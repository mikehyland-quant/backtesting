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58A68A79-7184-4C3C-9264-88A8329CEB4B}" xr6:coauthVersionLast="47" xr6:coauthVersionMax="47" xr10:uidLastSave="{00000000-0000-0000-0000-000000000000}"/>
  <bookViews>
    <workbookView xWindow="28680" yWindow="-120" windowWidth="29040" windowHeight="15720" xr2:uid="{77AE6104-9970-4093-9388-BB5DC83AACC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Y174" i="1" s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M164" i="1"/>
  <c r="AK164" i="1"/>
  <c r="AJ164" i="1"/>
  <c r="AN165" i="1" s="1"/>
  <c r="AX163" i="1"/>
  <c r="AV163" i="1"/>
  <c r="AU163" i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N160" i="1" s="1"/>
  <c r="AX158" i="1"/>
  <c r="AV158" i="1"/>
  <c r="AU158" i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Y143" i="1" s="1"/>
  <c r="AM142" i="1"/>
  <c r="AK142" i="1"/>
  <c r="AJ142" i="1"/>
  <c r="AN143" i="1" s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X119" i="1"/>
  <c r="AV119" i="1"/>
  <c r="AU119" i="1"/>
  <c r="AM119" i="1"/>
  <c r="AK119" i="1"/>
  <c r="AJ119" i="1"/>
  <c r="AN120" i="1" s="1"/>
  <c r="AX118" i="1"/>
  <c r="AV118" i="1"/>
  <c r="AU118" i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M115" i="1"/>
  <c r="AK115" i="1"/>
  <c r="AJ115" i="1"/>
  <c r="AN116" i="1" s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Y114" i="1" s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Y112" i="1" s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N106" i="1" s="1"/>
  <c r="AX104" i="1"/>
  <c r="AV104" i="1"/>
  <c r="AU104" i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N100" i="1" s="1"/>
  <c r="AX98" i="1"/>
  <c r="AV98" i="1"/>
  <c r="AU98" i="1"/>
  <c r="AM98" i="1"/>
  <c r="AK98" i="1"/>
  <c r="AJ98" i="1"/>
  <c r="AN99" i="1" s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N97" i="1" s="1"/>
  <c r="AX95" i="1"/>
  <c r="AV95" i="1"/>
  <c r="AU95" i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N94" i="1" s="1"/>
  <c r="AX92" i="1"/>
  <c r="AV92" i="1"/>
  <c r="AU92" i="1"/>
  <c r="AY93" i="1" s="1"/>
  <c r="AM92" i="1"/>
  <c r="AK92" i="1"/>
  <c r="AJ92" i="1"/>
  <c r="AN93" i="1" s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N90" i="1" s="1"/>
  <c r="AX88" i="1"/>
  <c r="AV88" i="1"/>
  <c r="AU88" i="1"/>
  <c r="AY89" i="1" s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M86" i="1"/>
  <c r="AK86" i="1"/>
  <c r="AJ86" i="1"/>
  <c r="AN87" i="1" s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N78" i="1" s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N75" i="1" s="1"/>
  <c r="AX73" i="1"/>
  <c r="AV73" i="1"/>
  <c r="AU73" i="1"/>
  <c r="AY74" i="1" s="1"/>
  <c r="AM73" i="1"/>
  <c r="AK73" i="1"/>
  <c r="AJ73" i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N61" i="1" s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Y58" i="1" s="1"/>
  <c r="AM57" i="1"/>
  <c r="AK57" i="1"/>
  <c r="AJ57" i="1"/>
  <c r="AN58" i="1" s="1"/>
  <c r="AX56" i="1"/>
  <c r="AV56" i="1"/>
  <c r="AU56" i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N51" i="1" s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N45" i="1" s="1"/>
  <c r="AX43" i="1"/>
  <c r="AV43" i="1"/>
  <c r="AU43" i="1"/>
  <c r="AM43" i="1"/>
  <c r="AK43" i="1"/>
  <c r="AJ43" i="1"/>
  <c r="AN44" i="1" s="1"/>
  <c r="AX42" i="1"/>
  <c r="AV42" i="1"/>
  <c r="AU42" i="1"/>
  <c r="AM42" i="1"/>
  <c r="AK42" i="1"/>
  <c r="AJ42" i="1"/>
  <c r="AX41" i="1"/>
  <c r="AV41" i="1"/>
  <c r="AU41" i="1"/>
  <c r="AY42" i="1" s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N40" i="1" s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Y34" i="1" s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M27" i="1"/>
  <c r="AK27" i="1"/>
  <c r="AJ27" i="1"/>
  <c r="AN28" i="1" s="1"/>
  <c r="AX26" i="1"/>
  <c r="AV26" i="1"/>
  <c r="AU26" i="1"/>
  <c r="AM26" i="1"/>
  <c r="AK26" i="1"/>
  <c r="AJ26" i="1"/>
  <c r="AN27" i="1" s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59" i="1" l="1"/>
  <c r="AN153" i="1"/>
  <c r="AN141" i="1"/>
  <c r="AN137" i="1"/>
  <c r="AN132" i="1"/>
  <c r="AN129" i="1"/>
  <c r="AN123" i="1"/>
  <c r="AN104" i="1"/>
  <c r="AN74" i="1"/>
  <c r="AN107" i="1"/>
  <c r="AN84" i="1"/>
  <c r="AN80" i="1"/>
  <c r="AN39" i="1"/>
  <c r="AN34" i="1"/>
  <c r="AN66" i="1"/>
  <c r="AN37" i="1"/>
  <c r="AN24" i="1"/>
  <c r="AO24" i="1" s="1"/>
  <c r="AN142" i="1"/>
  <c r="AN101" i="1"/>
  <c r="AN95" i="1"/>
  <c r="AN92" i="1"/>
  <c r="AN156" i="1"/>
  <c r="AN140" i="1"/>
  <c r="AN127" i="1"/>
  <c r="AN125" i="1"/>
  <c r="AN98" i="1"/>
  <c r="AN77" i="1"/>
  <c r="AN65" i="1"/>
  <c r="AN43" i="1"/>
  <c r="AN35" i="1"/>
  <c r="AN158" i="1"/>
  <c r="AN76" i="1"/>
  <c r="AN72" i="1"/>
  <c r="AN68" i="1"/>
  <c r="AN64" i="1"/>
  <c r="AN52" i="1"/>
  <c r="AN48" i="1"/>
  <c r="AN46" i="1"/>
  <c r="AN38" i="1"/>
  <c r="AN139" i="1"/>
  <c r="AN134" i="1"/>
  <c r="AN130" i="1"/>
  <c r="AN128" i="1"/>
  <c r="AN126" i="1"/>
  <c r="AN63" i="1"/>
  <c r="AN59" i="1"/>
  <c r="AN49" i="1"/>
  <c r="AN25" i="1"/>
  <c r="AN85" i="1"/>
  <c r="AN81" i="1"/>
  <c r="AN71" i="1"/>
  <c r="AY167" i="1"/>
  <c r="AY139" i="1"/>
  <c r="AY132" i="1"/>
  <c r="AY43" i="1"/>
  <c r="AY63" i="1"/>
  <c r="AY55" i="1"/>
  <c r="AY51" i="1"/>
  <c r="AY36" i="1"/>
  <c r="AY31" i="1"/>
  <c r="AY23" i="1"/>
  <c r="AY150" i="1"/>
  <c r="AY120" i="1"/>
  <c r="AY108" i="1"/>
  <c r="AY59" i="1"/>
  <c r="AY57" i="1"/>
  <c r="AY52" i="1"/>
  <c r="AY111" i="1"/>
  <c r="AY69" i="1"/>
  <c r="AY66" i="1"/>
  <c r="AY64" i="1"/>
  <c r="AY38" i="1"/>
  <c r="AY144" i="1"/>
  <c r="AY116" i="1"/>
  <c r="AY62" i="1"/>
  <c r="AY140" i="1"/>
  <c r="AY135" i="1"/>
  <c r="AY113" i="1"/>
  <c r="AY109" i="1"/>
  <c r="BA109" i="1" s="1"/>
  <c r="AY107" i="1"/>
  <c r="AY61" i="1"/>
  <c r="AY54" i="1"/>
  <c r="AY27" i="1"/>
  <c r="AY148" i="1"/>
  <c r="AY141" i="1"/>
  <c r="AY136" i="1"/>
  <c r="AY119" i="1"/>
  <c r="AY105" i="1"/>
  <c r="AY30" i="1"/>
  <c r="AY65" i="1"/>
  <c r="AY175" i="1"/>
  <c r="AY60" i="1"/>
  <c r="AY53" i="1"/>
  <c r="AY48" i="1"/>
  <c r="AY29" i="1"/>
  <c r="AN102" i="1"/>
  <c r="AN96" i="1"/>
  <c r="AN41" i="1"/>
  <c r="AN50" i="1"/>
  <c r="AN36" i="1"/>
  <c r="AN131" i="1"/>
  <c r="AN89" i="1"/>
  <c r="AN167" i="1"/>
  <c r="AY156" i="1"/>
  <c r="AN155" i="1"/>
  <c r="AN138" i="1"/>
  <c r="AN124" i="1"/>
  <c r="AN157" i="1"/>
  <c r="AY154" i="1"/>
  <c r="BA176" i="1"/>
  <c r="AZ176" i="1"/>
  <c r="AW176" i="1"/>
  <c r="AZ175" i="1"/>
  <c r="AW175" i="1"/>
  <c r="BA175" i="1"/>
  <c r="BA174" i="1"/>
  <c r="AZ174" i="1"/>
  <c r="BB174" i="1" s="1"/>
  <c r="AW174" i="1"/>
  <c r="AZ173" i="1"/>
  <c r="BA173" i="1"/>
  <c r="AW173" i="1"/>
  <c r="BA172" i="1"/>
  <c r="AZ172" i="1"/>
  <c r="BB172" i="1" s="1"/>
  <c r="AW172" i="1"/>
  <c r="AZ171" i="1"/>
  <c r="BA171" i="1"/>
  <c r="AW171" i="1"/>
  <c r="AW170" i="1"/>
  <c r="AZ170" i="1"/>
  <c r="BA170" i="1"/>
  <c r="AO170" i="1"/>
  <c r="AP170" i="1"/>
  <c r="AL170" i="1"/>
  <c r="AN171" i="1" s="1"/>
  <c r="AP169" i="1"/>
  <c r="AO169" i="1"/>
  <c r="AQ169" i="1" s="1"/>
  <c r="AL169" i="1"/>
  <c r="AP168" i="1"/>
  <c r="AL168" i="1"/>
  <c r="AO168" i="1"/>
  <c r="AQ168" i="1" s="1"/>
  <c r="BA167" i="1"/>
  <c r="AZ167" i="1"/>
  <c r="BB167" i="1" s="1"/>
  <c r="AW167" i="1"/>
  <c r="AY168" i="1" s="1"/>
  <c r="AP167" i="1"/>
  <c r="AO167" i="1"/>
  <c r="AQ167" i="1" s="1"/>
  <c r="AL167" i="1"/>
  <c r="AW166" i="1"/>
  <c r="AZ166" i="1"/>
  <c r="BA166" i="1"/>
  <c r="AP166" i="1"/>
  <c r="AL166" i="1"/>
  <c r="AO166" i="1"/>
  <c r="AQ166" i="1" s="1"/>
  <c r="AP165" i="1"/>
  <c r="AO165" i="1"/>
  <c r="AQ165" i="1" s="1"/>
  <c r="AL165" i="1"/>
  <c r="AL164" i="1"/>
  <c r="AP164" i="1"/>
  <c r="AO164" i="1"/>
  <c r="AQ164" i="1" s="1"/>
  <c r="AO163" i="1"/>
  <c r="AL163" i="1"/>
  <c r="AP163" i="1"/>
  <c r="AP162" i="1"/>
  <c r="AL162" i="1"/>
  <c r="AO162" i="1"/>
  <c r="AQ162" i="1" s="1"/>
  <c r="AZ161" i="1"/>
  <c r="AW161" i="1"/>
  <c r="AY162" i="1" s="1"/>
  <c r="BA161" i="1"/>
  <c r="AL161" i="1"/>
  <c r="AO161" i="1"/>
  <c r="AP161" i="1"/>
  <c r="AW160" i="1"/>
  <c r="AZ160" i="1"/>
  <c r="BA160" i="1"/>
  <c r="AP160" i="1"/>
  <c r="AO160" i="1"/>
  <c r="AQ160" i="1" s="1"/>
  <c r="AL160" i="1"/>
  <c r="AP159" i="1"/>
  <c r="AL159" i="1"/>
  <c r="AO159" i="1"/>
  <c r="AQ159" i="1" s="1"/>
  <c r="AW158" i="1"/>
  <c r="AY159" i="1" s="1"/>
  <c r="BA158" i="1"/>
  <c r="AZ158" i="1"/>
  <c r="BB158" i="1" s="1"/>
  <c r="AL158" i="1"/>
  <c r="AO158" i="1"/>
  <c r="AP158" i="1"/>
  <c r="BA157" i="1"/>
  <c r="AW157" i="1"/>
  <c r="AZ157" i="1"/>
  <c r="BB157" i="1" s="1"/>
  <c r="AL157" i="1"/>
  <c r="AP157" i="1"/>
  <c r="AO157" i="1"/>
  <c r="AQ157" i="1" s="1"/>
  <c r="BA156" i="1"/>
  <c r="AZ156" i="1"/>
  <c r="BB156" i="1" s="1"/>
  <c r="AW156" i="1"/>
  <c r="AP156" i="1"/>
  <c r="AO156" i="1"/>
  <c r="AQ156" i="1" s="1"/>
  <c r="BE156" i="1" s="1"/>
  <c r="AL156" i="1"/>
  <c r="AZ155" i="1"/>
  <c r="AW155" i="1"/>
  <c r="BA155" i="1"/>
  <c r="AL155" i="1"/>
  <c r="AO155" i="1"/>
  <c r="AP155" i="1"/>
  <c r="BA154" i="1"/>
  <c r="AW154" i="1"/>
  <c r="AZ154" i="1"/>
  <c r="BB154" i="1" s="1"/>
  <c r="AZ153" i="1"/>
  <c r="AW153" i="1"/>
  <c r="BA153" i="1"/>
  <c r="AO153" i="1"/>
  <c r="AL153" i="1"/>
  <c r="AN154" i="1" s="1"/>
  <c r="AP153" i="1"/>
  <c r="AZ152" i="1"/>
  <c r="BA152" i="1"/>
  <c r="AW152" i="1"/>
  <c r="AO152" i="1"/>
  <c r="AL152" i="1"/>
  <c r="AP152" i="1"/>
  <c r="AW151" i="1"/>
  <c r="AZ151" i="1"/>
  <c r="BA151" i="1"/>
  <c r="AW150" i="1"/>
  <c r="BA150" i="1"/>
  <c r="AZ150" i="1"/>
  <c r="BB150" i="1" s="1"/>
  <c r="AW149" i="1"/>
  <c r="BA149" i="1"/>
  <c r="AZ149" i="1"/>
  <c r="AW148" i="1"/>
  <c r="BA148" i="1"/>
  <c r="AZ148" i="1"/>
  <c r="BB148" i="1" s="1"/>
  <c r="AW147" i="1"/>
  <c r="AZ147" i="1"/>
  <c r="BA147" i="1"/>
  <c r="AO147" i="1"/>
  <c r="AP147" i="1"/>
  <c r="AL147" i="1"/>
  <c r="AN148" i="1" s="1"/>
  <c r="AZ146" i="1"/>
  <c r="AW146" i="1"/>
  <c r="BA146" i="1"/>
  <c r="BA145" i="1"/>
  <c r="AZ145" i="1"/>
  <c r="BB145" i="1" s="1"/>
  <c r="AW145" i="1"/>
  <c r="AZ144" i="1"/>
  <c r="AW144" i="1"/>
  <c r="BA144" i="1"/>
  <c r="AW143" i="1"/>
  <c r="AZ143" i="1"/>
  <c r="BA143" i="1"/>
  <c r="AL143" i="1"/>
  <c r="AN144" i="1" s="1"/>
  <c r="AO143" i="1"/>
  <c r="AP143" i="1"/>
  <c r="AP142" i="1"/>
  <c r="AL142" i="1"/>
  <c r="AO142" i="1"/>
  <c r="AQ142" i="1" s="1"/>
  <c r="AZ141" i="1"/>
  <c r="BA141" i="1"/>
  <c r="AW141" i="1"/>
  <c r="AY142" i="1" s="1"/>
  <c r="AO141" i="1"/>
  <c r="AP141" i="1"/>
  <c r="AL141" i="1"/>
  <c r="BA140" i="1"/>
  <c r="AW140" i="1"/>
  <c r="AZ140" i="1"/>
  <c r="BB140" i="1" s="1"/>
  <c r="AL140" i="1"/>
  <c r="AP140" i="1"/>
  <c r="AO140" i="1"/>
  <c r="AW139" i="1"/>
  <c r="BA139" i="1"/>
  <c r="AZ139" i="1"/>
  <c r="BB139" i="1" s="1"/>
  <c r="AL139" i="1"/>
  <c r="AP139" i="1"/>
  <c r="AO139" i="1"/>
  <c r="AQ139" i="1" s="1"/>
  <c r="AP138" i="1"/>
  <c r="AL138" i="1"/>
  <c r="AO138" i="1"/>
  <c r="AQ138" i="1" s="1"/>
  <c r="AP137" i="1"/>
  <c r="AO137" i="1"/>
  <c r="AQ137" i="1" s="1"/>
  <c r="AL137" i="1"/>
  <c r="AW136" i="1"/>
  <c r="AY137" i="1" s="1"/>
  <c r="BA136" i="1"/>
  <c r="AZ136" i="1"/>
  <c r="BB136" i="1" s="1"/>
  <c r="AL136" i="1"/>
  <c r="AO136" i="1"/>
  <c r="AP136" i="1"/>
  <c r="AW135" i="1"/>
  <c r="AZ135" i="1"/>
  <c r="BA135" i="1"/>
  <c r="AL135" i="1"/>
  <c r="AP135" i="1"/>
  <c r="AO135" i="1"/>
  <c r="AQ135" i="1" s="1"/>
  <c r="AO134" i="1"/>
  <c r="AL134" i="1"/>
  <c r="AP134" i="1"/>
  <c r="AW133" i="1"/>
  <c r="AY134" i="1" s="1"/>
  <c r="BA133" i="1"/>
  <c r="AZ133" i="1"/>
  <c r="BB133" i="1" s="1"/>
  <c r="AL133" i="1"/>
  <c r="AP133" i="1"/>
  <c r="AO133" i="1"/>
  <c r="AQ133" i="1" s="1"/>
  <c r="AZ132" i="1"/>
  <c r="BA132" i="1"/>
  <c r="AW132" i="1"/>
  <c r="AL132" i="1"/>
  <c r="AO132" i="1"/>
  <c r="AP132" i="1"/>
  <c r="AP131" i="1"/>
  <c r="AL131" i="1"/>
  <c r="AO131" i="1"/>
  <c r="AQ131" i="1" s="1"/>
  <c r="AP130" i="1"/>
  <c r="AO130" i="1"/>
  <c r="AQ130" i="1" s="1"/>
  <c r="AL130" i="1"/>
  <c r="AO129" i="1"/>
  <c r="AL129" i="1"/>
  <c r="AP129" i="1"/>
  <c r="AZ128" i="1"/>
  <c r="AW128" i="1"/>
  <c r="AY129" i="1" s="1"/>
  <c r="BA128" i="1"/>
  <c r="AO128" i="1"/>
  <c r="AP128" i="1"/>
  <c r="AL128" i="1"/>
  <c r="AL127" i="1"/>
  <c r="AO127" i="1"/>
  <c r="AP127" i="1"/>
  <c r="AW126" i="1"/>
  <c r="AY127" i="1" s="1"/>
  <c r="BA126" i="1"/>
  <c r="AZ126" i="1"/>
  <c r="AP126" i="1"/>
  <c r="AL126" i="1"/>
  <c r="AO126" i="1"/>
  <c r="AQ126" i="1" s="1"/>
  <c r="BA125" i="1"/>
  <c r="AW125" i="1"/>
  <c r="AZ125" i="1"/>
  <c r="AP125" i="1"/>
  <c r="AO125" i="1"/>
  <c r="AQ125" i="1" s="1"/>
  <c r="AL125" i="1"/>
  <c r="AZ124" i="1"/>
  <c r="AW124" i="1"/>
  <c r="BA124" i="1"/>
  <c r="AL124" i="1"/>
  <c r="AP124" i="1"/>
  <c r="AO124" i="1"/>
  <c r="AQ124" i="1" s="1"/>
  <c r="AP123" i="1"/>
  <c r="AO123" i="1"/>
  <c r="AL123" i="1"/>
  <c r="AZ122" i="1"/>
  <c r="AW122" i="1"/>
  <c r="AY123" i="1" s="1"/>
  <c r="BA122" i="1"/>
  <c r="AL122" i="1"/>
  <c r="AP122" i="1"/>
  <c r="AO122" i="1"/>
  <c r="AQ122" i="1" s="1"/>
  <c r="AZ121" i="1"/>
  <c r="AW121" i="1"/>
  <c r="BA121" i="1"/>
  <c r="BA120" i="1"/>
  <c r="AW120" i="1"/>
  <c r="AZ120" i="1"/>
  <c r="BB120" i="1" s="1"/>
  <c r="AL120" i="1"/>
  <c r="AN121" i="1" s="1"/>
  <c r="AP120" i="1"/>
  <c r="AO120" i="1"/>
  <c r="AQ120" i="1" s="1"/>
  <c r="AW119" i="1"/>
  <c r="AZ119" i="1"/>
  <c r="BA119" i="1"/>
  <c r="AO119" i="1"/>
  <c r="AP119" i="1"/>
  <c r="AL119" i="1"/>
  <c r="BA118" i="1"/>
  <c r="AZ118" i="1"/>
  <c r="AW118" i="1"/>
  <c r="AP118" i="1"/>
  <c r="AL118" i="1"/>
  <c r="AO118" i="1"/>
  <c r="AQ118" i="1" s="1"/>
  <c r="AZ117" i="1"/>
  <c r="BA117" i="1"/>
  <c r="AW117" i="1"/>
  <c r="AL117" i="1"/>
  <c r="AP117" i="1"/>
  <c r="AO117" i="1"/>
  <c r="AQ117" i="1" s="1"/>
  <c r="AW116" i="1"/>
  <c r="BA116" i="1"/>
  <c r="AZ116" i="1"/>
  <c r="BB116" i="1" s="1"/>
  <c r="AO116" i="1"/>
  <c r="AL116" i="1"/>
  <c r="AP116" i="1"/>
  <c r="BA115" i="1"/>
  <c r="AZ115" i="1"/>
  <c r="BB115" i="1" s="1"/>
  <c r="AW115" i="1"/>
  <c r="AL115" i="1"/>
  <c r="AP115" i="1"/>
  <c r="AO115" i="1"/>
  <c r="AW114" i="1"/>
  <c r="BA114" i="1"/>
  <c r="AZ114" i="1"/>
  <c r="AW113" i="1"/>
  <c r="AZ113" i="1"/>
  <c r="BA113" i="1"/>
  <c r="AZ112" i="1"/>
  <c r="BB112" i="1" s="1"/>
  <c r="BA112" i="1"/>
  <c r="AW112" i="1"/>
  <c r="AO112" i="1"/>
  <c r="AP112" i="1"/>
  <c r="AL112" i="1"/>
  <c r="AN113" i="1" s="1"/>
  <c r="AW111" i="1"/>
  <c r="BA111" i="1"/>
  <c r="AZ111" i="1"/>
  <c r="AL111" i="1"/>
  <c r="AO111" i="1"/>
  <c r="AP111" i="1"/>
  <c r="AZ110" i="1"/>
  <c r="BA110" i="1"/>
  <c r="AW110" i="1"/>
  <c r="AZ109" i="1"/>
  <c r="AW109" i="1"/>
  <c r="BA108" i="1"/>
  <c r="AZ108" i="1"/>
  <c r="BB108" i="1" s="1"/>
  <c r="AW108" i="1"/>
  <c r="AP108" i="1"/>
  <c r="AO108" i="1"/>
  <c r="AL108" i="1"/>
  <c r="AN109" i="1" s="1"/>
  <c r="AW107" i="1"/>
  <c r="BA107" i="1"/>
  <c r="AZ107" i="1"/>
  <c r="BB107" i="1" s="1"/>
  <c r="AP106" i="1"/>
  <c r="AL106" i="1"/>
  <c r="AO106" i="1"/>
  <c r="AQ106" i="1" s="1"/>
  <c r="AW105" i="1"/>
  <c r="AY106" i="1" s="1"/>
  <c r="BA105" i="1"/>
  <c r="AZ105" i="1"/>
  <c r="BB105" i="1" s="1"/>
  <c r="AP105" i="1"/>
  <c r="AL105" i="1"/>
  <c r="AO105" i="1"/>
  <c r="AW104" i="1"/>
  <c r="BA104" i="1"/>
  <c r="AZ104" i="1"/>
  <c r="BB104" i="1" s="1"/>
  <c r="AW103" i="1"/>
  <c r="BA103" i="1"/>
  <c r="AZ103" i="1"/>
  <c r="BB103" i="1" s="1"/>
  <c r="AL103" i="1"/>
  <c r="AO103" i="1"/>
  <c r="AP103" i="1"/>
  <c r="AZ102" i="1"/>
  <c r="AW102" i="1"/>
  <c r="BA102" i="1"/>
  <c r="AP100" i="1"/>
  <c r="AL100" i="1"/>
  <c r="AO100" i="1"/>
  <c r="AQ100" i="1" s="1"/>
  <c r="AO99" i="1"/>
  <c r="AL99" i="1"/>
  <c r="AP99" i="1"/>
  <c r="AP97" i="1"/>
  <c r="AL97" i="1"/>
  <c r="AO97" i="1"/>
  <c r="AQ97" i="1" s="1"/>
  <c r="AZ95" i="1"/>
  <c r="BA95" i="1"/>
  <c r="AW95" i="1"/>
  <c r="AY96" i="1" s="1"/>
  <c r="AP94" i="1"/>
  <c r="AL94" i="1"/>
  <c r="AO94" i="1"/>
  <c r="AQ94" i="1" s="1"/>
  <c r="AW93" i="1"/>
  <c r="AY94" i="1" s="1"/>
  <c r="BA93" i="1"/>
  <c r="AZ93" i="1"/>
  <c r="BB93" i="1" s="1"/>
  <c r="AL93" i="1"/>
  <c r="AP93" i="1"/>
  <c r="AO93" i="1"/>
  <c r="AQ93" i="1" s="1"/>
  <c r="AL91" i="1"/>
  <c r="AP91" i="1"/>
  <c r="AO91" i="1"/>
  <c r="AQ91" i="1" s="1"/>
  <c r="AL90" i="1"/>
  <c r="AO90" i="1"/>
  <c r="AP90" i="1"/>
  <c r="BA89" i="1"/>
  <c r="AZ89" i="1"/>
  <c r="AW89" i="1"/>
  <c r="AY90" i="1" s="1"/>
  <c r="AP88" i="1"/>
  <c r="AL88" i="1"/>
  <c r="AO88" i="1"/>
  <c r="AQ88" i="1" s="1"/>
  <c r="AL87" i="1"/>
  <c r="AP87" i="1"/>
  <c r="AO87" i="1"/>
  <c r="AQ87" i="1" s="1"/>
  <c r="AL86" i="1"/>
  <c r="AP86" i="1"/>
  <c r="AO86" i="1"/>
  <c r="AQ86" i="1" s="1"/>
  <c r="AP83" i="1"/>
  <c r="AL83" i="1"/>
  <c r="AO83" i="1"/>
  <c r="AL82" i="1"/>
  <c r="AP82" i="1"/>
  <c r="AO82" i="1"/>
  <c r="AQ82" i="1" s="1"/>
  <c r="AP79" i="1"/>
  <c r="AO79" i="1"/>
  <c r="AQ79" i="1" s="1"/>
  <c r="AL79" i="1"/>
  <c r="AL78" i="1"/>
  <c r="AP78" i="1"/>
  <c r="AO78" i="1"/>
  <c r="AL75" i="1"/>
  <c r="AP75" i="1"/>
  <c r="AO75" i="1"/>
  <c r="AQ75" i="1" s="1"/>
  <c r="AW74" i="1"/>
  <c r="AY75" i="1" s="1"/>
  <c r="BA74" i="1"/>
  <c r="AZ74" i="1"/>
  <c r="BB74" i="1" s="1"/>
  <c r="AL73" i="1"/>
  <c r="AO73" i="1"/>
  <c r="AP73" i="1"/>
  <c r="AZ71" i="1"/>
  <c r="AW71" i="1"/>
  <c r="AY72" i="1" s="1"/>
  <c r="BA71" i="1"/>
  <c r="AZ70" i="1"/>
  <c r="BA70" i="1"/>
  <c r="AW70" i="1"/>
  <c r="BA69" i="1"/>
  <c r="AW69" i="1"/>
  <c r="AZ69" i="1"/>
  <c r="BB69" i="1" s="1"/>
  <c r="AW68" i="1"/>
  <c r="AZ68" i="1"/>
  <c r="BA68" i="1"/>
  <c r="AW67" i="1"/>
  <c r="BA67" i="1"/>
  <c r="AZ67" i="1"/>
  <c r="BB67" i="1" s="1"/>
  <c r="AW66" i="1"/>
  <c r="BA66" i="1"/>
  <c r="AZ66" i="1"/>
  <c r="BB66" i="1" s="1"/>
  <c r="BA65" i="1"/>
  <c r="AZ65" i="1"/>
  <c r="BB65" i="1" s="1"/>
  <c r="AW65" i="1"/>
  <c r="BA64" i="1"/>
  <c r="AZ64" i="1"/>
  <c r="BB64" i="1" s="1"/>
  <c r="AW64" i="1"/>
  <c r="AZ63" i="1"/>
  <c r="AW63" i="1"/>
  <c r="BA63" i="1"/>
  <c r="AW62" i="1"/>
  <c r="BA62" i="1"/>
  <c r="AZ62" i="1"/>
  <c r="BB62" i="1" s="1"/>
  <c r="AZ61" i="1"/>
  <c r="AW61" i="1"/>
  <c r="BA61" i="1"/>
  <c r="AO61" i="1"/>
  <c r="AL61" i="1"/>
  <c r="AN62" i="1" s="1"/>
  <c r="AP61" i="1"/>
  <c r="BA60" i="1"/>
  <c r="AZ60" i="1"/>
  <c r="BB60" i="1" s="1"/>
  <c r="AW60" i="1"/>
  <c r="AW59" i="1"/>
  <c r="AZ59" i="1"/>
  <c r="BA59" i="1"/>
  <c r="AW58" i="1"/>
  <c r="BA58" i="1"/>
  <c r="AZ58" i="1"/>
  <c r="BB58" i="1" s="1"/>
  <c r="AL58" i="1"/>
  <c r="AO58" i="1"/>
  <c r="AP58" i="1"/>
  <c r="AW57" i="1"/>
  <c r="AZ57" i="1"/>
  <c r="BA57" i="1"/>
  <c r="AO57" i="1"/>
  <c r="AL57" i="1"/>
  <c r="AP57" i="1"/>
  <c r="AP56" i="1"/>
  <c r="AO56" i="1"/>
  <c r="AQ56" i="1" s="1"/>
  <c r="AL56" i="1"/>
  <c r="AW55" i="1"/>
  <c r="AY56" i="1" s="1"/>
  <c r="BA55" i="1"/>
  <c r="AZ55" i="1"/>
  <c r="BB55" i="1" s="1"/>
  <c r="AW54" i="1"/>
  <c r="BA54" i="1"/>
  <c r="AZ54" i="1"/>
  <c r="BB54" i="1" s="1"/>
  <c r="AZ53" i="1"/>
  <c r="AW53" i="1"/>
  <c r="BA53" i="1"/>
  <c r="AO53" i="1"/>
  <c r="AL53" i="1"/>
  <c r="AN54" i="1" s="1"/>
  <c r="AP53" i="1"/>
  <c r="AW52" i="1"/>
  <c r="BA52" i="1"/>
  <c r="AZ52" i="1"/>
  <c r="BB52" i="1" s="1"/>
  <c r="AZ51" i="1"/>
  <c r="BA51" i="1"/>
  <c r="AW51" i="1"/>
  <c r="AL51" i="1"/>
  <c r="AO51" i="1"/>
  <c r="AP51" i="1"/>
  <c r="AW48" i="1"/>
  <c r="AY49" i="1" s="1"/>
  <c r="AZ48" i="1"/>
  <c r="BA48" i="1"/>
  <c r="AP47" i="1"/>
  <c r="AL47" i="1"/>
  <c r="AO47" i="1"/>
  <c r="AQ47" i="1" s="1"/>
  <c r="AL45" i="1"/>
  <c r="AP45" i="1"/>
  <c r="AO45" i="1"/>
  <c r="AQ45" i="1" s="1"/>
  <c r="AP44" i="1"/>
  <c r="AO44" i="1"/>
  <c r="AQ44" i="1" s="1"/>
  <c r="AL44" i="1"/>
  <c r="AW43" i="1"/>
  <c r="AY44" i="1" s="1"/>
  <c r="AZ43" i="1"/>
  <c r="BA43" i="1"/>
  <c r="AZ42" i="1"/>
  <c r="BA42" i="1"/>
  <c r="AW42" i="1"/>
  <c r="AL42" i="1"/>
  <c r="AO42" i="1"/>
  <c r="AP42" i="1"/>
  <c r="AP40" i="1"/>
  <c r="AL40" i="1"/>
  <c r="AO40" i="1"/>
  <c r="AQ40" i="1" s="1"/>
  <c r="AZ38" i="1"/>
  <c r="AW38" i="1"/>
  <c r="AY39" i="1" s="1"/>
  <c r="BA38" i="1"/>
  <c r="AZ36" i="1"/>
  <c r="BA36" i="1"/>
  <c r="AW36" i="1"/>
  <c r="AY37" i="1" s="1"/>
  <c r="AW34" i="1"/>
  <c r="AY35" i="1" s="1"/>
  <c r="BA34" i="1"/>
  <c r="AZ34" i="1"/>
  <c r="BB34" i="1" s="1"/>
  <c r="AW33" i="1"/>
  <c r="BA33" i="1"/>
  <c r="AZ33" i="1"/>
  <c r="BB33" i="1" s="1"/>
  <c r="AW32" i="1"/>
  <c r="AZ32" i="1"/>
  <c r="BA32" i="1"/>
  <c r="AW31" i="1"/>
  <c r="BA31" i="1"/>
  <c r="AZ31" i="1"/>
  <c r="BB31" i="1" s="1"/>
  <c r="AW30" i="1"/>
  <c r="BA30" i="1"/>
  <c r="AZ30" i="1"/>
  <c r="BB30" i="1" s="1"/>
  <c r="AL30" i="1"/>
  <c r="AN31" i="1" s="1"/>
  <c r="AP30" i="1"/>
  <c r="AO30" i="1"/>
  <c r="AQ30" i="1" s="1"/>
  <c r="AL29" i="1"/>
  <c r="AP29" i="1"/>
  <c r="AO29" i="1"/>
  <c r="AQ29" i="1" s="1"/>
  <c r="AL28" i="1"/>
  <c r="AP28" i="1"/>
  <c r="AO28" i="1"/>
  <c r="AQ28" i="1" s="1"/>
  <c r="BA27" i="1"/>
  <c r="AZ27" i="1"/>
  <c r="BB27" i="1" s="1"/>
  <c r="AW27" i="1"/>
  <c r="AY28" i="1" s="1"/>
  <c r="AP27" i="1"/>
  <c r="AL27" i="1"/>
  <c r="AO27" i="1"/>
  <c r="AQ27" i="1" s="1"/>
  <c r="BE27" i="1" s="1"/>
  <c r="AO26" i="1"/>
  <c r="AL26" i="1"/>
  <c r="AP26" i="1"/>
  <c r="AL24" i="1"/>
  <c r="AP24" i="1"/>
  <c r="AW23" i="1"/>
  <c r="AY24" i="1" s="1"/>
  <c r="AZ23" i="1"/>
  <c r="BA23" i="1"/>
  <c r="AL23" i="1"/>
  <c r="AP23" i="1"/>
  <c r="AO23" i="1"/>
  <c r="AQ23" i="1" s="1"/>
  <c r="BA22" i="1"/>
  <c r="AZ22" i="1"/>
  <c r="BB22" i="1" s="1"/>
  <c r="AO22" i="1"/>
  <c r="AP22" i="1"/>
  <c r="AL104" i="1" l="1"/>
  <c r="AO104" i="1"/>
  <c r="AP104" i="1"/>
  <c r="AL74" i="1"/>
  <c r="AP74" i="1"/>
  <c r="AO74" i="1"/>
  <c r="AL107" i="1"/>
  <c r="AO107" i="1"/>
  <c r="AP107" i="1"/>
  <c r="AL84" i="1"/>
  <c r="AP84" i="1"/>
  <c r="AO84" i="1"/>
  <c r="AQ84" i="1" s="1"/>
  <c r="AL80" i="1"/>
  <c r="AO80" i="1"/>
  <c r="AP80" i="1"/>
  <c r="AP39" i="1"/>
  <c r="AL39" i="1"/>
  <c r="AO39" i="1"/>
  <c r="AP34" i="1"/>
  <c r="AO34" i="1"/>
  <c r="AL34" i="1"/>
  <c r="AL66" i="1"/>
  <c r="AN67" i="1" s="1"/>
  <c r="AP66" i="1"/>
  <c r="AO66" i="1"/>
  <c r="AQ66" i="1" s="1"/>
  <c r="AP37" i="1"/>
  <c r="AL37" i="1"/>
  <c r="AO37" i="1"/>
  <c r="AO101" i="1"/>
  <c r="AL101" i="1"/>
  <c r="AP101" i="1"/>
  <c r="AO95" i="1"/>
  <c r="AP95" i="1"/>
  <c r="AL95" i="1"/>
  <c r="AL92" i="1"/>
  <c r="AP92" i="1"/>
  <c r="AO92" i="1"/>
  <c r="AQ92" i="1" s="1"/>
  <c r="AP98" i="1"/>
  <c r="AO98" i="1"/>
  <c r="AL98" i="1"/>
  <c r="AL77" i="1"/>
  <c r="AO77" i="1"/>
  <c r="AP77" i="1"/>
  <c r="AL65" i="1"/>
  <c r="AO65" i="1"/>
  <c r="AQ65" i="1" s="1"/>
  <c r="BE65" i="1" s="1"/>
  <c r="AP65" i="1"/>
  <c r="AP43" i="1"/>
  <c r="AO43" i="1"/>
  <c r="AL43" i="1"/>
  <c r="AO35" i="1"/>
  <c r="AQ35" i="1" s="1"/>
  <c r="AP35" i="1"/>
  <c r="AL35" i="1"/>
  <c r="AL76" i="1"/>
  <c r="AO76" i="1"/>
  <c r="AP76" i="1"/>
  <c r="AP72" i="1"/>
  <c r="AL72" i="1"/>
  <c r="AO72" i="1"/>
  <c r="AQ72" i="1" s="1"/>
  <c r="AO68" i="1"/>
  <c r="AL68" i="1"/>
  <c r="AN69" i="1" s="1"/>
  <c r="AP68" i="1"/>
  <c r="AO64" i="1"/>
  <c r="AL64" i="1"/>
  <c r="AP64" i="1"/>
  <c r="AP52" i="1"/>
  <c r="AO52" i="1"/>
  <c r="AQ52" i="1" s="1"/>
  <c r="AL52" i="1"/>
  <c r="AL48" i="1"/>
  <c r="AP48" i="1"/>
  <c r="AO48" i="1"/>
  <c r="AQ48" i="1" s="1"/>
  <c r="AP46" i="1"/>
  <c r="AL46" i="1"/>
  <c r="AO46" i="1"/>
  <c r="AQ46" i="1" s="1"/>
  <c r="AO38" i="1"/>
  <c r="AL38" i="1"/>
  <c r="AP38" i="1"/>
  <c r="AP63" i="1"/>
  <c r="AL63" i="1"/>
  <c r="AO63" i="1"/>
  <c r="AQ63" i="1" s="1"/>
  <c r="AL59" i="1"/>
  <c r="AN60" i="1" s="1"/>
  <c r="AO59" i="1"/>
  <c r="AP59" i="1"/>
  <c r="AP49" i="1"/>
  <c r="AL49" i="1"/>
  <c r="AO49" i="1"/>
  <c r="AQ49" i="1" s="1"/>
  <c r="AP25" i="1"/>
  <c r="AL25" i="1"/>
  <c r="AO25" i="1"/>
  <c r="AQ25" i="1" s="1"/>
  <c r="AO85" i="1"/>
  <c r="AL85" i="1"/>
  <c r="AP85" i="1"/>
  <c r="AL81" i="1"/>
  <c r="AO81" i="1"/>
  <c r="AQ81" i="1" s="1"/>
  <c r="AP81" i="1"/>
  <c r="AO71" i="1"/>
  <c r="AL71" i="1"/>
  <c r="AP71" i="1"/>
  <c r="AL41" i="1"/>
  <c r="AP41" i="1"/>
  <c r="AO41" i="1"/>
  <c r="AO50" i="1"/>
  <c r="AP50" i="1"/>
  <c r="AL50" i="1"/>
  <c r="AL36" i="1"/>
  <c r="AO36" i="1"/>
  <c r="AQ36" i="1" s="1"/>
  <c r="AP36" i="1"/>
  <c r="AQ78" i="1"/>
  <c r="AQ41" i="1"/>
  <c r="AP102" i="1"/>
  <c r="AL102" i="1"/>
  <c r="AO102" i="1"/>
  <c r="AQ102" i="1" s="1"/>
  <c r="AP96" i="1"/>
  <c r="AL96" i="1"/>
  <c r="AO96" i="1"/>
  <c r="AP89" i="1"/>
  <c r="AO89" i="1"/>
  <c r="AQ89" i="1" s="1"/>
  <c r="AL89" i="1"/>
  <c r="AO171" i="1"/>
  <c r="AP171" i="1"/>
  <c r="AL171" i="1"/>
  <c r="AN172" i="1" s="1"/>
  <c r="AO148" i="1"/>
  <c r="AL148" i="1"/>
  <c r="AN149" i="1" s="1"/>
  <c r="AP148" i="1"/>
  <c r="AL144" i="1"/>
  <c r="AN145" i="1" s="1"/>
  <c r="AP144" i="1"/>
  <c r="AO144" i="1"/>
  <c r="AL121" i="1"/>
  <c r="AP121" i="1"/>
  <c r="AO121" i="1"/>
  <c r="AO113" i="1"/>
  <c r="AP113" i="1"/>
  <c r="AL113" i="1"/>
  <c r="AN114" i="1" s="1"/>
  <c r="AP109" i="1"/>
  <c r="AO109" i="1"/>
  <c r="AL109" i="1"/>
  <c r="AN110" i="1" s="1"/>
  <c r="AP69" i="1"/>
  <c r="AL69" i="1"/>
  <c r="AN70" i="1" s="1"/>
  <c r="AO69" i="1"/>
  <c r="AL67" i="1"/>
  <c r="AP67" i="1"/>
  <c r="AO67" i="1"/>
  <c r="AL62" i="1"/>
  <c r="AO62" i="1"/>
  <c r="AP62" i="1"/>
  <c r="AP60" i="1"/>
  <c r="AO60" i="1"/>
  <c r="AL60" i="1"/>
  <c r="AL54" i="1"/>
  <c r="AN55" i="1" s="1"/>
  <c r="AO54" i="1"/>
  <c r="AP54" i="1"/>
  <c r="AO31" i="1"/>
  <c r="AP31" i="1"/>
  <c r="AL31" i="1"/>
  <c r="AN32" i="1" s="1"/>
  <c r="BE93" i="1"/>
  <c r="BE167" i="1"/>
  <c r="BB89" i="1"/>
  <c r="BE89" i="1" s="1"/>
  <c r="BB149" i="1"/>
  <c r="BB111" i="1"/>
  <c r="BB141" i="1"/>
  <c r="BE30" i="1"/>
  <c r="BE52" i="1"/>
  <c r="BE157" i="1"/>
  <c r="BB118" i="1"/>
  <c r="BE66" i="1"/>
  <c r="AW168" i="1"/>
  <c r="AY169" i="1" s="1"/>
  <c r="AZ168" i="1"/>
  <c r="BA168" i="1"/>
  <c r="BA159" i="1"/>
  <c r="AW159" i="1"/>
  <c r="AZ159" i="1"/>
  <c r="AW137" i="1"/>
  <c r="AY138" i="1" s="1"/>
  <c r="AZ137" i="1"/>
  <c r="BA137" i="1"/>
  <c r="BA134" i="1"/>
  <c r="AW134" i="1"/>
  <c r="AZ134" i="1"/>
  <c r="BA129" i="1"/>
  <c r="AW129" i="1"/>
  <c r="AY130" i="1" s="1"/>
  <c r="AZ129" i="1"/>
  <c r="AW127" i="1"/>
  <c r="AZ127" i="1"/>
  <c r="BA127" i="1"/>
  <c r="AZ123" i="1"/>
  <c r="AW123" i="1"/>
  <c r="BA123" i="1"/>
  <c r="AW96" i="1"/>
  <c r="AY97" i="1" s="1"/>
  <c r="BA96" i="1"/>
  <c r="AZ96" i="1"/>
  <c r="AZ94" i="1"/>
  <c r="AW94" i="1"/>
  <c r="BA94" i="1"/>
  <c r="BA90" i="1"/>
  <c r="AW90" i="1"/>
  <c r="AY91" i="1" s="1"/>
  <c r="AZ90" i="1"/>
  <c r="AW75" i="1"/>
  <c r="AY76" i="1" s="1"/>
  <c r="AZ75" i="1"/>
  <c r="BA75" i="1"/>
  <c r="AW56" i="1"/>
  <c r="AZ56" i="1"/>
  <c r="BA56" i="1"/>
  <c r="BA44" i="1"/>
  <c r="AW44" i="1"/>
  <c r="AY45" i="1" s="1"/>
  <c r="AZ44" i="1"/>
  <c r="BB44" i="1" s="1"/>
  <c r="BE44" i="1" s="1"/>
  <c r="AW39" i="1"/>
  <c r="AY40" i="1" s="1"/>
  <c r="AZ39" i="1"/>
  <c r="BA39" i="1"/>
  <c r="AW24" i="1"/>
  <c r="AY25" i="1" s="1"/>
  <c r="BA24" i="1"/>
  <c r="AZ24" i="1"/>
  <c r="BE133" i="1"/>
  <c r="BB126" i="1"/>
  <c r="BE126" i="1" s="1"/>
  <c r="BB125" i="1"/>
  <c r="BE125" i="1" s="1"/>
  <c r="BE118" i="1"/>
  <c r="BB114" i="1"/>
  <c r="BE139" i="1"/>
  <c r="BE120" i="1"/>
  <c r="BB117" i="1"/>
  <c r="BE117" i="1" s="1"/>
  <c r="BA29" i="1"/>
  <c r="AZ29" i="1"/>
  <c r="BB29" i="1" s="1"/>
  <c r="BE29" i="1" s="1"/>
  <c r="AW29" i="1"/>
  <c r="AQ38" i="1"/>
  <c r="AQ105" i="1"/>
  <c r="BE105" i="1" s="1"/>
  <c r="BB170" i="1"/>
  <c r="BB166" i="1"/>
  <c r="BE166" i="1" s="1"/>
  <c r="AQ161" i="1"/>
  <c r="AQ158" i="1"/>
  <c r="BE158" i="1" s="1"/>
  <c r="AQ155" i="1"/>
  <c r="AQ152" i="1"/>
  <c r="BB147" i="1"/>
  <c r="BB146" i="1"/>
  <c r="AQ143" i="1"/>
  <c r="AQ140" i="1"/>
  <c r="BE140" i="1" s="1"/>
  <c r="AQ132" i="1"/>
  <c r="BB129" i="1"/>
  <c r="AQ112" i="1"/>
  <c r="BE112" i="1" s="1"/>
  <c r="BB109" i="1"/>
  <c r="AQ119" i="1"/>
  <c r="BB143" i="1"/>
  <c r="AQ136" i="1"/>
  <c r="BE136" i="1" s="1"/>
  <c r="AQ115" i="1"/>
  <c r="BE115" i="1" s="1"/>
  <c r="AQ111" i="1"/>
  <c r="BE111" i="1" s="1"/>
  <c r="AQ107" i="1"/>
  <c r="BE107" i="1" s="1"/>
  <c r="AQ103" i="1"/>
  <c r="BE103" i="1" s="1"/>
  <c r="AQ62" i="1"/>
  <c r="BE62" i="1" s="1"/>
  <c r="AQ128" i="1"/>
  <c r="BB128" i="1"/>
  <c r="AQ116" i="1"/>
  <c r="BE116" i="1" s="1"/>
  <c r="AQ109" i="1"/>
  <c r="BE109" i="1" s="1"/>
  <c r="AQ95" i="1"/>
  <c r="AQ90" i="1"/>
  <c r="BB122" i="1"/>
  <c r="BE122" i="1" s="1"/>
  <c r="BA162" i="1"/>
  <c r="AW162" i="1"/>
  <c r="AY163" i="1" s="1"/>
  <c r="AZ162" i="1"/>
  <c r="BB162" i="1" s="1"/>
  <c r="BE162" i="1" s="1"/>
  <c r="AL154" i="1"/>
  <c r="AP154" i="1"/>
  <c r="AO154" i="1"/>
  <c r="AP149" i="1"/>
  <c r="AL149" i="1"/>
  <c r="AN150" i="1" s="1"/>
  <c r="AO149" i="1"/>
  <c r="AQ149" i="1" s="1"/>
  <c r="BE149" i="1" s="1"/>
  <c r="AW142" i="1"/>
  <c r="AZ142" i="1"/>
  <c r="BA142" i="1"/>
  <c r="AW106" i="1"/>
  <c r="BA106" i="1"/>
  <c r="AZ106" i="1"/>
  <c r="BB106" i="1" s="1"/>
  <c r="BE106" i="1" s="1"/>
  <c r="BA91" i="1"/>
  <c r="AZ91" i="1"/>
  <c r="BB91" i="1" s="1"/>
  <c r="BE91" i="1" s="1"/>
  <c r="AW91" i="1"/>
  <c r="AY92" i="1" s="1"/>
  <c r="AZ72" i="1"/>
  <c r="AW72" i="1"/>
  <c r="AY73" i="1" s="1"/>
  <c r="BA72" i="1"/>
  <c r="AW49" i="1"/>
  <c r="AY50" i="1" s="1"/>
  <c r="BA49" i="1"/>
  <c r="AZ49" i="1"/>
  <c r="BB49" i="1" s="1"/>
  <c r="BE49" i="1" s="1"/>
  <c r="BA37" i="1"/>
  <c r="AZ37" i="1"/>
  <c r="BB37" i="1" s="1"/>
  <c r="AW37" i="1"/>
  <c r="AZ35" i="1"/>
  <c r="AW35" i="1"/>
  <c r="BA35" i="1"/>
  <c r="AO32" i="1"/>
  <c r="AL32" i="1"/>
  <c r="AN33" i="1" s="1"/>
  <c r="AP32" i="1"/>
  <c r="BA28" i="1"/>
  <c r="AZ28" i="1"/>
  <c r="BB28" i="1" s="1"/>
  <c r="BE28" i="1" s="1"/>
  <c r="AW28" i="1"/>
  <c r="AW25" i="1"/>
  <c r="AY26" i="1" s="1"/>
  <c r="BA25" i="1"/>
  <c r="AZ25" i="1"/>
  <c r="BB25" i="1" s="1"/>
  <c r="BE25" i="1" s="1"/>
  <c r="BC22" i="1"/>
  <c r="BB102" i="1"/>
  <c r="BE102" i="1" s="1"/>
  <c r="AQ101" i="1"/>
  <c r="AQ83" i="1"/>
  <c r="AQ80" i="1"/>
  <c r="AQ77" i="1"/>
  <c r="AQ76" i="1"/>
  <c r="AQ73" i="1"/>
  <c r="BB71" i="1"/>
  <c r="BB70" i="1"/>
  <c r="AQ69" i="1"/>
  <c r="BE69" i="1" s="1"/>
  <c r="BB68" i="1"/>
  <c r="AQ67" i="1"/>
  <c r="BE67" i="1" s="1"/>
  <c r="AQ64" i="1"/>
  <c r="BE64" i="1" s="1"/>
  <c r="BB63" i="1"/>
  <c r="BE63" i="1" s="1"/>
  <c r="BB61" i="1"/>
  <c r="AQ61" i="1"/>
  <c r="AQ60" i="1"/>
  <c r="BE60" i="1" s="1"/>
  <c r="BB59" i="1"/>
  <c r="AQ59" i="1"/>
  <c r="BE59" i="1" s="1"/>
  <c r="AQ58" i="1"/>
  <c r="BE58" i="1" s="1"/>
  <c r="BB57" i="1"/>
  <c r="AQ57" i="1"/>
  <c r="BE57" i="1" s="1"/>
  <c r="AQ54" i="1"/>
  <c r="BE54" i="1" s="1"/>
  <c r="BB53" i="1"/>
  <c r="AQ53" i="1"/>
  <c r="BE53" i="1" s="1"/>
  <c r="BB51" i="1"/>
  <c r="AQ51" i="1"/>
  <c r="BE51" i="1" s="1"/>
  <c r="AQ50" i="1"/>
  <c r="BB48" i="1"/>
  <c r="BE48" i="1" s="1"/>
  <c r="BB43" i="1"/>
  <c r="AQ43" i="1"/>
  <c r="BB42" i="1"/>
  <c r="AQ42" i="1"/>
  <c r="BE42" i="1" s="1"/>
  <c r="AQ39" i="1"/>
  <c r="BB38" i="1"/>
  <c r="BE38" i="1" s="1"/>
  <c r="AQ37" i="1"/>
  <c r="BE37" i="1" s="1"/>
  <c r="BB36" i="1"/>
  <c r="BE36" i="1" s="1"/>
  <c r="AQ34" i="1"/>
  <c r="BE34" i="1" s="1"/>
  <c r="BB32" i="1"/>
  <c r="AQ31" i="1"/>
  <c r="BE31" i="1" s="1"/>
  <c r="AQ26" i="1"/>
  <c r="BB24" i="1"/>
  <c r="AQ24" i="1"/>
  <c r="BB23" i="1"/>
  <c r="AQ22" i="1"/>
  <c r="BB176" i="1"/>
  <c r="BB173" i="1"/>
  <c r="BB171" i="1"/>
  <c r="AQ170" i="1"/>
  <c r="BE170" i="1" s="1"/>
  <c r="AQ147" i="1"/>
  <c r="BE147" i="1" s="1"/>
  <c r="AQ144" i="1"/>
  <c r="BB124" i="1"/>
  <c r="BE124" i="1" s="1"/>
  <c r="BB113" i="1"/>
  <c r="AQ99" i="1"/>
  <c r="BB175" i="1"/>
  <c r="BB159" i="1"/>
  <c r="BE159" i="1" s="1"/>
  <c r="BB155" i="1"/>
  <c r="BE155" i="1" s="1"/>
  <c r="BB152" i="1"/>
  <c r="BE152" i="1" s="1"/>
  <c r="BB144" i="1"/>
  <c r="AQ129" i="1"/>
  <c r="BE129" i="1" s="1"/>
  <c r="AQ104" i="1"/>
  <c r="BE104" i="1" s="1"/>
  <c r="BB95" i="1"/>
  <c r="BE95" i="1" s="1"/>
  <c r="BB151" i="1"/>
  <c r="BB127" i="1"/>
  <c r="AQ127" i="1"/>
  <c r="BB123" i="1"/>
  <c r="AQ121" i="1"/>
  <c r="BB119" i="1"/>
  <c r="BE119" i="1" s="1"/>
  <c r="BB161" i="1"/>
  <c r="BE161" i="1" s="1"/>
  <c r="AQ153" i="1"/>
  <c r="AQ141" i="1"/>
  <c r="BE141" i="1" s="1"/>
  <c r="BB132" i="1"/>
  <c r="BE132" i="1" s="1"/>
  <c r="AQ123" i="1"/>
  <c r="BE123" i="1" s="1"/>
  <c r="BB121" i="1"/>
  <c r="AQ163" i="1"/>
  <c r="BB160" i="1"/>
  <c r="BE160" i="1" s="1"/>
  <c r="BB135" i="1"/>
  <c r="BE135" i="1" s="1"/>
  <c r="BB110" i="1"/>
  <c r="AQ108" i="1"/>
  <c r="BE108" i="1" s="1"/>
  <c r="BB96" i="1"/>
  <c r="AQ96" i="1"/>
  <c r="BE96" i="1" s="1"/>
  <c r="BB90" i="1"/>
  <c r="BE90" i="1" s="1"/>
  <c r="BB153" i="1"/>
  <c r="AQ134" i="1"/>
  <c r="AQ98" i="1" l="1"/>
  <c r="AQ154" i="1"/>
  <c r="BE154" i="1" s="1"/>
  <c r="AQ71" i="1"/>
  <c r="BE71" i="1" s="1"/>
  <c r="AQ74" i="1"/>
  <c r="BE74" i="1" s="1"/>
  <c r="AQ68" i="1"/>
  <c r="BE68" i="1" s="1"/>
  <c r="AQ85" i="1"/>
  <c r="BE143" i="1"/>
  <c r="AQ148" i="1"/>
  <c r="BE148" i="1" s="1"/>
  <c r="AL172" i="1"/>
  <c r="AN173" i="1" s="1"/>
  <c r="AP172" i="1"/>
  <c r="AO172" i="1"/>
  <c r="AQ172" i="1" s="1"/>
  <c r="BE172" i="1" s="1"/>
  <c r="AO145" i="1"/>
  <c r="AP145" i="1"/>
  <c r="AL145" i="1"/>
  <c r="AN146" i="1" s="1"/>
  <c r="AL114" i="1"/>
  <c r="AP114" i="1"/>
  <c r="AO114" i="1"/>
  <c r="AO110" i="1"/>
  <c r="AL110" i="1"/>
  <c r="AP110" i="1"/>
  <c r="AP70" i="1"/>
  <c r="AL70" i="1"/>
  <c r="AO70" i="1"/>
  <c r="AQ70" i="1" s="1"/>
  <c r="BE70" i="1" s="1"/>
  <c r="AO55" i="1"/>
  <c r="AP55" i="1"/>
  <c r="AL55" i="1"/>
  <c r="AQ171" i="1"/>
  <c r="BE171" i="1" s="1"/>
  <c r="AQ113" i="1"/>
  <c r="BE113" i="1" s="1"/>
  <c r="AP150" i="1"/>
  <c r="AO150" i="1"/>
  <c r="AQ150" i="1" s="1"/>
  <c r="BE150" i="1" s="1"/>
  <c r="AL150" i="1"/>
  <c r="AN151" i="1" s="1"/>
  <c r="AO33" i="1"/>
  <c r="AP33" i="1"/>
  <c r="AL33" i="1"/>
  <c r="BB134" i="1"/>
  <c r="BE134" i="1" s="1"/>
  <c r="AZ169" i="1"/>
  <c r="AW169" i="1"/>
  <c r="BA169" i="1"/>
  <c r="BA138" i="1"/>
  <c r="AZ138" i="1"/>
  <c r="BB138" i="1" s="1"/>
  <c r="BE138" i="1" s="1"/>
  <c r="AW138" i="1"/>
  <c r="AW130" i="1"/>
  <c r="AY131" i="1" s="1"/>
  <c r="BA130" i="1"/>
  <c r="AZ130" i="1"/>
  <c r="BB130" i="1" s="1"/>
  <c r="BE130" i="1" s="1"/>
  <c r="AZ97" i="1"/>
  <c r="AW97" i="1"/>
  <c r="AY98" i="1" s="1"/>
  <c r="BA97" i="1"/>
  <c r="AZ76" i="1"/>
  <c r="BA76" i="1"/>
  <c r="AW76" i="1"/>
  <c r="AY77" i="1" s="1"/>
  <c r="BA45" i="1"/>
  <c r="AZ45" i="1"/>
  <c r="BB45" i="1" s="1"/>
  <c r="BE45" i="1" s="1"/>
  <c r="AW45" i="1"/>
  <c r="AY46" i="1" s="1"/>
  <c r="AW40" i="1"/>
  <c r="AY41" i="1" s="1"/>
  <c r="AZ40" i="1"/>
  <c r="BA40" i="1"/>
  <c r="BB168" i="1"/>
  <c r="BE168" i="1" s="1"/>
  <c r="BB137" i="1"/>
  <c r="BE137" i="1" s="1"/>
  <c r="BB39" i="1"/>
  <c r="BE39" i="1" s="1"/>
  <c r="BE43" i="1"/>
  <c r="BB94" i="1"/>
  <c r="BE94" i="1" s="1"/>
  <c r="BB75" i="1"/>
  <c r="BE75" i="1" s="1"/>
  <c r="BB56" i="1"/>
  <c r="BE56" i="1" s="1"/>
  <c r="AZ92" i="1"/>
  <c r="AW92" i="1"/>
  <c r="BA92" i="1"/>
  <c r="BA50" i="1"/>
  <c r="AZ50" i="1"/>
  <c r="BB50" i="1" s="1"/>
  <c r="BE50" i="1" s="1"/>
  <c r="AW50" i="1"/>
  <c r="BE127" i="1"/>
  <c r="BE128" i="1"/>
  <c r="BA163" i="1"/>
  <c r="AZ163" i="1"/>
  <c r="BB163" i="1" s="1"/>
  <c r="BE163" i="1" s="1"/>
  <c r="AW163" i="1"/>
  <c r="AY164" i="1" s="1"/>
  <c r="BA73" i="1"/>
  <c r="AW73" i="1"/>
  <c r="AZ73" i="1"/>
  <c r="BB73" i="1" s="1"/>
  <c r="BE73" i="1" s="1"/>
  <c r="AZ26" i="1"/>
  <c r="BA26" i="1"/>
  <c r="AW26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BE22" i="1"/>
  <c r="BE24" i="1"/>
  <c r="BE153" i="1"/>
  <c r="BB142" i="1"/>
  <c r="BE142" i="1" s="1"/>
  <c r="BB72" i="1"/>
  <c r="BE72" i="1" s="1"/>
  <c r="BB35" i="1"/>
  <c r="BE35" i="1" s="1"/>
  <c r="AQ32" i="1"/>
  <c r="BC23" i="1"/>
  <c r="BC24" i="1" s="1"/>
  <c r="BC25" i="1" s="1"/>
  <c r="BE61" i="1"/>
  <c r="BE144" i="1"/>
  <c r="BE121" i="1"/>
  <c r="BE23" i="1"/>
  <c r="AQ33" i="1" l="1"/>
  <c r="BE33" i="1" s="1"/>
  <c r="AP173" i="1"/>
  <c r="AO173" i="1"/>
  <c r="AQ173" i="1" s="1"/>
  <c r="BE173" i="1" s="1"/>
  <c r="AL173" i="1"/>
  <c r="AN174" i="1" s="1"/>
  <c r="AL146" i="1"/>
  <c r="AP146" i="1"/>
  <c r="AO146" i="1"/>
  <c r="AQ146" i="1" s="1"/>
  <c r="BE146" i="1" s="1"/>
  <c r="AP151" i="1"/>
  <c r="AO151" i="1"/>
  <c r="AQ151" i="1" s="1"/>
  <c r="BE151" i="1" s="1"/>
  <c r="AL151" i="1"/>
  <c r="AQ145" i="1"/>
  <c r="BE145" i="1" s="1"/>
  <c r="AQ110" i="1"/>
  <c r="BE110" i="1" s="1"/>
  <c r="AQ55" i="1"/>
  <c r="AQ114" i="1"/>
  <c r="BE114" i="1" s="1"/>
  <c r="BB97" i="1"/>
  <c r="BE97" i="1" s="1"/>
  <c r="AZ131" i="1"/>
  <c r="AW131" i="1"/>
  <c r="BA131" i="1"/>
  <c r="AW98" i="1"/>
  <c r="AY99" i="1" s="1"/>
  <c r="BA98" i="1"/>
  <c r="AZ98" i="1"/>
  <c r="BB98" i="1" s="1"/>
  <c r="BE98" i="1" s="1"/>
  <c r="AW77" i="1"/>
  <c r="AY78" i="1" s="1"/>
  <c r="BA77" i="1"/>
  <c r="AZ77" i="1"/>
  <c r="BB77" i="1" s="1"/>
  <c r="BE77" i="1" s="1"/>
  <c r="AZ46" i="1"/>
  <c r="AW46" i="1"/>
  <c r="AY47" i="1" s="1"/>
  <c r="BA46" i="1"/>
  <c r="AZ41" i="1"/>
  <c r="AW41" i="1"/>
  <c r="BA41" i="1"/>
  <c r="BB169" i="1"/>
  <c r="BE169" i="1" s="1"/>
  <c r="BB76" i="1"/>
  <c r="BE76" i="1" s="1"/>
  <c r="BB40" i="1"/>
  <c r="BE40" i="1" s="1"/>
  <c r="BB92" i="1"/>
  <c r="BE92" i="1" s="1"/>
  <c r="AW164" i="1"/>
  <c r="AY165" i="1" s="1"/>
  <c r="BA164" i="1"/>
  <c r="AZ164" i="1"/>
  <c r="BF22" i="1"/>
  <c r="BF23" i="1" s="1"/>
  <c r="BF24" i="1" s="1"/>
  <c r="BF25" i="1" s="1"/>
  <c r="AR32" i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BB26" i="1"/>
  <c r="BE32" i="1"/>
  <c r="AO174" i="1" l="1"/>
  <c r="AP174" i="1"/>
  <c r="AL174" i="1"/>
  <c r="AN175" i="1" s="1"/>
  <c r="BE55" i="1"/>
  <c r="BB164" i="1"/>
  <c r="BE164" i="1" s="1"/>
  <c r="AZ99" i="1"/>
  <c r="AW99" i="1"/>
  <c r="AY100" i="1" s="1"/>
  <c r="BA99" i="1"/>
  <c r="AW78" i="1"/>
  <c r="AY79" i="1" s="1"/>
  <c r="BA78" i="1"/>
  <c r="AZ78" i="1"/>
  <c r="AW47" i="1"/>
  <c r="BA47" i="1"/>
  <c r="AZ47" i="1"/>
  <c r="BB47" i="1" s="1"/>
  <c r="BE47" i="1" s="1"/>
  <c r="AZ165" i="1"/>
  <c r="BA165" i="1"/>
  <c r="AW165" i="1"/>
  <c r="BB131" i="1"/>
  <c r="BE131" i="1" s="1"/>
  <c r="BB46" i="1"/>
  <c r="BE46" i="1" s="1"/>
  <c r="BB41" i="1"/>
  <c r="BE41" i="1" s="1"/>
  <c r="BC26" i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E26" i="1"/>
  <c r="AP175" i="1" l="1"/>
  <c r="AL175" i="1"/>
  <c r="AN176" i="1" s="1"/>
  <c r="AO175" i="1"/>
  <c r="AQ175" i="1" s="1"/>
  <c r="BE175" i="1" s="1"/>
  <c r="AQ174" i="1"/>
  <c r="BB78" i="1"/>
  <c r="AW100" i="1"/>
  <c r="AY101" i="1" s="1"/>
  <c r="BA100" i="1"/>
  <c r="AZ100" i="1"/>
  <c r="BB100" i="1" s="1"/>
  <c r="BE100" i="1" s="1"/>
  <c r="AZ79" i="1"/>
  <c r="BA79" i="1"/>
  <c r="AW79" i="1"/>
  <c r="AY80" i="1" s="1"/>
  <c r="BB99" i="1"/>
  <c r="BE99" i="1" s="1"/>
  <c r="BB165" i="1"/>
  <c r="BE165" i="1" s="1"/>
  <c r="BF26" i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AP176" i="1" l="1"/>
  <c r="AL176" i="1"/>
  <c r="AO176" i="1"/>
  <c r="BE174" i="1"/>
  <c r="AR174" i="1"/>
  <c r="AR175" i="1" s="1"/>
  <c r="BC78" i="1"/>
  <c r="BE78" i="1"/>
  <c r="BF78" i="1" s="1"/>
  <c r="AW101" i="1"/>
  <c r="BA101" i="1"/>
  <c r="AZ101" i="1"/>
  <c r="BB101" i="1" s="1"/>
  <c r="BE101" i="1" s="1"/>
  <c r="AW80" i="1"/>
  <c r="AY81" i="1" s="1"/>
  <c r="BA80" i="1"/>
  <c r="AZ80" i="1"/>
  <c r="BB79" i="1"/>
  <c r="AQ176" i="1" l="1"/>
  <c r="BB80" i="1"/>
  <c r="BE80" i="1" s="1"/>
  <c r="AZ81" i="1"/>
  <c r="AW81" i="1"/>
  <c r="AY82" i="1" s="1"/>
  <c r="BA81" i="1"/>
  <c r="BE79" i="1"/>
  <c r="BC79" i="1"/>
  <c r="BC80" i="1" s="1"/>
  <c r="AQ14" i="1" l="1"/>
  <c r="AR176" i="1"/>
  <c r="AR19" i="1" s="1"/>
  <c r="AQ15" i="1"/>
  <c r="AQ19" i="1"/>
  <c r="BE176" i="1"/>
  <c r="BA82" i="1"/>
  <c r="AZ82" i="1"/>
  <c r="BB82" i="1" s="1"/>
  <c r="BE82" i="1" s="1"/>
  <c r="AW82" i="1"/>
  <c r="AY83" i="1" s="1"/>
  <c r="BF79" i="1"/>
  <c r="BF80" i="1" s="1"/>
  <c r="BB81" i="1"/>
  <c r="AQ16" i="1" l="1"/>
  <c r="AI1" i="1" s="1"/>
  <c r="BA83" i="1"/>
  <c r="AZ83" i="1"/>
  <c r="BB83" i="1" s="1"/>
  <c r="BE83" i="1" s="1"/>
  <c r="AW83" i="1"/>
  <c r="AY84" i="1" s="1"/>
  <c r="BC81" i="1"/>
  <c r="BC82" i="1" s="1"/>
  <c r="BC83" i="1" s="1"/>
  <c r="BE81" i="1"/>
  <c r="BA84" i="1" l="1"/>
  <c r="AZ84" i="1"/>
  <c r="BB84" i="1" s="1"/>
  <c r="AW84" i="1"/>
  <c r="AY85" i="1" s="1"/>
  <c r="BF81" i="1"/>
  <c r="BF82" i="1" s="1"/>
  <c r="BF83" i="1" s="1"/>
  <c r="BC84" i="1" l="1"/>
  <c r="BE84" i="1"/>
  <c r="AZ85" i="1"/>
  <c r="AW85" i="1"/>
  <c r="AY86" i="1" s="1"/>
  <c r="BA85" i="1"/>
  <c r="BF84" i="1" l="1"/>
  <c r="AW86" i="1"/>
  <c r="AY87" i="1" s="1"/>
  <c r="AZ86" i="1"/>
  <c r="BA86" i="1"/>
  <c r="BB85" i="1"/>
  <c r="BA87" i="1" l="1"/>
  <c r="AZ87" i="1"/>
  <c r="BB87" i="1" s="1"/>
  <c r="BE87" i="1" s="1"/>
  <c r="AW87" i="1"/>
  <c r="AY88" i="1" s="1"/>
  <c r="BC85" i="1"/>
  <c r="BE85" i="1"/>
  <c r="BB86" i="1"/>
  <c r="BE86" i="1" s="1"/>
  <c r="BA88" i="1" l="1"/>
  <c r="AZ88" i="1"/>
  <c r="BB88" i="1" s="1"/>
  <c r="AW88" i="1"/>
  <c r="BF85" i="1"/>
  <c r="BF86" i="1" s="1"/>
  <c r="BF87" i="1" s="1"/>
  <c r="BC86" i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5" i="1" l="1"/>
  <c r="BB14" i="1"/>
  <c r="BB16" i="1" s="1"/>
  <c r="AT1" i="1" s="1"/>
  <c r="BB19" i="1"/>
  <c r="BE88" i="1"/>
  <c r="BE18" i="1" l="1"/>
  <c r="BE15" i="1"/>
  <c r="BE14" i="1"/>
  <c r="BF88" i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<sst xmlns="http://schemas.openxmlformats.org/spreadsheetml/2006/main" count="74" uniqueCount="53">
  <si>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</si>
  <si>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BF A</t>
  </si>
  <si>
    <t>BF B</t>
  </si>
  <si>
    <t>BF A log rtn</t>
  </si>
  <si>
    <t>BF B log rtn</t>
  </si>
  <si>
    <t>BF A div</t>
  </si>
  <si>
    <t>BF A div cumsum</t>
  </si>
  <si>
    <t>BF B div</t>
  </si>
  <si>
    <t>BF B div cumsum</t>
  </si>
  <si>
    <t>BF A div adjustment</t>
  </si>
  <si>
    <t>BF B div adjustment</t>
  </si>
  <si>
    <t>BF A*</t>
  </si>
  <si>
    <t>BF B*</t>
  </si>
  <si>
    <t>BF B/BF A</t>
  </si>
  <si>
    <t>BF B/BF A avg</t>
  </si>
  <si>
    <t>BF B/BF A 10 dma</t>
  </si>
  <si>
    <t>BF B/BF A 20 dma</t>
  </si>
  <si>
    <t>BF A x avg</t>
  </si>
  <si>
    <t>BF A x 10 dma</t>
  </si>
  <si>
    <t>BF A x 20 dma</t>
  </si>
  <si>
    <t>log diff BF A x avg / BF B</t>
  </si>
  <si>
    <t>log diff BF A x 10 dma / BF B</t>
  </si>
  <si>
    <t>log diff BF A x 20 dma / BF B</t>
  </si>
  <si>
    <t>BF B*/BF A*</t>
  </si>
  <si>
    <t>BF B*/BF A* avg</t>
  </si>
  <si>
    <t>BF B*/BF A* 10 dma</t>
  </si>
  <si>
    <t>BF B*/BF A* 20 dma</t>
  </si>
  <si>
    <t>BF A* x avg</t>
  </si>
  <si>
    <t>BF A* x 10 dma</t>
  </si>
  <si>
    <t>BF A* x 20 dma</t>
  </si>
  <si>
    <t>log diff BF A* x avg / BF B*</t>
  </si>
  <si>
    <t>log diff BF A* x 10 dma / BF B*</t>
  </si>
  <si>
    <t>log diff BF A* x 20 dma / BF 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</si>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</sst>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BF B/BF 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0.98299370828552601</c:v>
                </c:pt>
                <c:pt idx="1">
                  <c:v>0.98299370828552601</c:v>
                </c:pt>
                <c:pt idx="2">
                  <c:v>0.98299370828552601</c:v>
                </c:pt>
                <c:pt idx="3">
                  <c:v>0.98299370828552601</c:v>
                </c:pt>
                <c:pt idx="4">
                  <c:v>0.98299370828552601</c:v>
                </c:pt>
                <c:pt idx="5">
                  <c:v>0.98299370828552601</c:v>
                </c:pt>
                <c:pt idx="6">
                  <c:v>0.98299370828552601</c:v>
                </c:pt>
                <c:pt idx="7">
                  <c:v>0.98299370828552601</c:v>
                </c:pt>
                <c:pt idx="8">
                  <c:v>0.98299370828552601</c:v>
                </c:pt>
                <c:pt idx="9">
                  <c:v>0.98299370828552601</c:v>
                </c:pt>
                <c:pt idx="10">
                  <c:v>0.98299370828552601</c:v>
                </c:pt>
                <c:pt idx="11">
                  <c:v>0.98299370828552601</c:v>
                </c:pt>
                <c:pt idx="12">
                  <c:v>0.98299370828552601</c:v>
                </c:pt>
                <c:pt idx="13">
                  <c:v>0.98299370828552601</c:v>
                </c:pt>
                <c:pt idx="14">
                  <c:v>0.98299370828552601</c:v>
                </c:pt>
                <c:pt idx="15">
                  <c:v>0.98299370828552601</c:v>
                </c:pt>
                <c:pt idx="16">
                  <c:v>0.98299370828552601</c:v>
                </c:pt>
                <c:pt idx="17">
                  <c:v>0.98299370828552601</c:v>
                </c:pt>
                <c:pt idx="18">
                  <c:v>0.98299370828552601</c:v>
                </c:pt>
                <c:pt idx="19">
                  <c:v>0.98299370828552601</c:v>
                </c:pt>
                <c:pt idx="20">
                  <c:v>0.98299370828552601</c:v>
                </c:pt>
                <c:pt idx="21">
                  <c:v>0.98299370828552601</c:v>
                </c:pt>
                <c:pt idx="22">
                  <c:v>0.98299370828552601</c:v>
                </c:pt>
                <c:pt idx="23">
                  <c:v>0.98299370828552601</c:v>
                </c:pt>
                <c:pt idx="24">
                  <c:v>0.98299370828552601</c:v>
                </c:pt>
                <c:pt idx="25">
                  <c:v>0.98299370828552601</c:v>
                </c:pt>
                <c:pt idx="26">
                  <c:v>0.98299370828552601</c:v>
                </c:pt>
                <c:pt idx="27">
                  <c:v>0.98299370828552601</c:v>
                </c:pt>
                <c:pt idx="28">
                  <c:v>0.98299370828552601</c:v>
                </c:pt>
                <c:pt idx="29">
                  <c:v>0.98299370828552601</c:v>
                </c:pt>
                <c:pt idx="30">
                  <c:v>0.98299370828552601</c:v>
                </c:pt>
                <c:pt idx="31">
                  <c:v>0.98299370828552601</c:v>
                </c:pt>
                <c:pt idx="32">
                  <c:v>0.98299370828552601</c:v>
                </c:pt>
                <c:pt idx="33">
                  <c:v>0.98299370828552601</c:v>
                </c:pt>
                <c:pt idx="34">
                  <c:v>0.98299370828552601</c:v>
                </c:pt>
                <c:pt idx="35">
                  <c:v>0.98299370828552601</c:v>
                </c:pt>
                <c:pt idx="36">
                  <c:v>0.98299370828552601</c:v>
                </c:pt>
                <c:pt idx="37">
                  <c:v>0.98299370828552601</c:v>
                </c:pt>
                <c:pt idx="38">
                  <c:v>0.98299370828552601</c:v>
                </c:pt>
                <c:pt idx="39">
                  <c:v>0.98299370828552601</c:v>
                </c:pt>
                <c:pt idx="40">
                  <c:v>0.98299370828552601</c:v>
                </c:pt>
                <c:pt idx="41">
                  <c:v>0.98299370828552601</c:v>
                </c:pt>
                <c:pt idx="42">
                  <c:v>0.98299370828552601</c:v>
                </c:pt>
                <c:pt idx="43">
                  <c:v>0.98299370828552601</c:v>
                </c:pt>
                <c:pt idx="44">
                  <c:v>0.98299370828552601</c:v>
                </c:pt>
                <c:pt idx="45">
                  <c:v>0.98299370828552601</c:v>
                </c:pt>
                <c:pt idx="46">
                  <c:v>0.98299370828552601</c:v>
                </c:pt>
                <c:pt idx="47">
                  <c:v>0.98299370828552601</c:v>
                </c:pt>
                <c:pt idx="48">
                  <c:v>0.98299370828552601</c:v>
                </c:pt>
                <c:pt idx="49">
                  <c:v>0.98299370828552601</c:v>
                </c:pt>
                <c:pt idx="50">
                  <c:v>0.98299370828552601</c:v>
                </c:pt>
                <c:pt idx="51">
                  <c:v>0.98299370828552601</c:v>
                </c:pt>
                <c:pt idx="52">
                  <c:v>0.98299370828552601</c:v>
                </c:pt>
                <c:pt idx="53">
                  <c:v>0.98299370828552601</c:v>
                </c:pt>
                <c:pt idx="54">
                  <c:v>0.98299370828552601</c:v>
                </c:pt>
                <c:pt idx="55">
                  <c:v>0.98299370828552601</c:v>
                </c:pt>
                <c:pt idx="56">
                  <c:v>0.98299370828552601</c:v>
                </c:pt>
                <c:pt idx="57">
                  <c:v>0.98299370828552601</c:v>
                </c:pt>
                <c:pt idx="58">
                  <c:v>0.98299370828552601</c:v>
                </c:pt>
                <c:pt idx="59">
                  <c:v>0.98299370828552601</c:v>
                </c:pt>
                <c:pt idx="60">
                  <c:v>0.98299370828552601</c:v>
                </c:pt>
                <c:pt idx="61">
                  <c:v>0.98299370828552601</c:v>
                </c:pt>
                <c:pt idx="62">
                  <c:v>0.98299370828552601</c:v>
                </c:pt>
                <c:pt idx="63">
                  <c:v>0.98299370828552601</c:v>
                </c:pt>
                <c:pt idx="64">
                  <c:v>0.98299370828552601</c:v>
                </c:pt>
                <c:pt idx="65">
                  <c:v>0.98299370828552601</c:v>
                </c:pt>
                <c:pt idx="66">
                  <c:v>0.98299370828552601</c:v>
                </c:pt>
                <c:pt idx="67">
                  <c:v>0.98299370828552601</c:v>
                </c:pt>
                <c:pt idx="68">
                  <c:v>0.98299370828552601</c:v>
                </c:pt>
                <c:pt idx="69">
                  <c:v>0.98299370828552601</c:v>
                </c:pt>
                <c:pt idx="70">
                  <c:v>0.98299370828552601</c:v>
                </c:pt>
                <c:pt idx="71">
                  <c:v>0.98299370828552601</c:v>
                </c:pt>
                <c:pt idx="72">
                  <c:v>0.98299370828552601</c:v>
                </c:pt>
                <c:pt idx="73">
                  <c:v>0.98299370828552601</c:v>
                </c:pt>
                <c:pt idx="74">
                  <c:v>0.98299370828552601</c:v>
                </c:pt>
                <c:pt idx="75">
                  <c:v>0.98299370828552601</c:v>
                </c:pt>
                <c:pt idx="76">
                  <c:v>0.98299370828552601</c:v>
                </c:pt>
                <c:pt idx="77">
                  <c:v>0.98299370828552601</c:v>
                </c:pt>
                <c:pt idx="78">
                  <c:v>0.98299370828552601</c:v>
                </c:pt>
                <c:pt idx="79">
                  <c:v>0.98299370828552601</c:v>
                </c:pt>
                <c:pt idx="80">
                  <c:v>0.98299370828552601</c:v>
                </c:pt>
                <c:pt idx="81">
                  <c:v>0.98299370828552601</c:v>
                </c:pt>
                <c:pt idx="82">
                  <c:v>0.98299370828552601</c:v>
                </c:pt>
                <c:pt idx="83">
                  <c:v>0.98299370828552601</c:v>
                </c:pt>
                <c:pt idx="84">
                  <c:v>0.98299370828552601</c:v>
                </c:pt>
                <c:pt idx="85">
                  <c:v>0.98299370828552601</c:v>
                </c:pt>
                <c:pt idx="86">
                  <c:v>0.98299370828552601</c:v>
                </c:pt>
                <c:pt idx="87">
                  <c:v>0.98299370828552601</c:v>
                </c:pt>
                <c:pt idx="88">
                  <c:v>0.98299370828552601</c:v>
                </c:pt>
                <c:pt idx="89">
                  <c:v>0.98299370828552601</c:v>
                </c:pt>
                <c:pt idx="90">
                  <c:v>0.98299370828552601</c:v>
                </c:pt>
                <c:pt idx="91">
                  <c:v>0.98299370828552601</c:v>
                </c:pt>
                <c:pt idx="92">
                  <c:v>0.98299370828552601</c:v>
                </c:pt>
                <c:pt idx="93">
                  <c:v>0.98299370828552601</c:v>
                </c:pt>
                <c:pt idx="94">
                  <c:v>0.98299370828552601</c:v>
                </c:pt>
                <c:pt idx="95">
                  <c:v>0.98299370828552601</c:v>
                </c:pt>
                <c:pt idx="96">
                  <c:v>0.98299370828552601</c:v>
                </c:pt>
                <c:pt idx="97">
                  <c:v>0.98299370828552601</c:v>
                </c:pt>
                <c:pt idx="98">
                  <c:v>0.98299370828552601</c:v>
                </c:pt>
                <c:pt idx="99">
                  <c:v>0.98299370828552601</c:v>
                </c:pt>
                <c:pt idx="100">
                  <c:v>0.98299370828552601</c:v>
                </c:pt>
                <c:pt idx="101">
                  <c:v>0.98299370828552601</c:v>
                </c:pt>
                <c:pt idx="102">
                  <c:v>0.98299370828552601</c:v>
                </c:pt>
                <c:pt idx="103">
                  <c:v>0.98299370828552601</c:v>
                </c:pt>
                <c:pt idx="104">
                  <c:v>0.98299370828552601</c:v>
                </c:pt>
                <c:pt idx="105">
                  <c:v>0.98299370828552601</c:v>
                </c:pt>
                <c:pt idx="106">
                  <c:v>0.98299370828552601</c:v>
                </c:pt>
                <c:pt idx="107">
                  <c:v>0.98299370828552601</c:v>
                </c:pt>
                <c:pt idx="108">
                  <c:v>0.98299370828552601</c:v>
                </c:pt>
                <c:pt idx="109">
                  <c:v>0.98299370828552601</c:v>
                </c:pt>
                <c:pt idx="110">
                  <c:v>0.98299370828552601</c:v>
                </c:pt>
                <c:pt idx="111">
                  <c:v>0.98299370828552601</c:v>
                </c:pt>
                <c:pt idx="112">
                  <c:v>0.98299370828552601</c:v>
                </c:pt>
                <c:pt idx="113">
                  <c:v>0.98299370828552601</c:v>
                </c:pt>
                <c:pt idx="114">
                  <c:v>0.98299370828552601</c:v>
                </c:pt>
                <c:pt idx="115">
                  <c:v>0.98299370828552601</c:v>
                </c:pt>
                <c:pt idx="116">
                  <c:v>0.98299370828552601</c:v>
                </c:pt>
                <c:pt idx="117">
                  <c:v>0.98299370828552601</c:v>
                </c:pt>
                <c:pt idx="118">
                  <c:v>0.98299370828552601</c:v>
                </c:pt>
                <c:pt idx="119">
                  <c:v>0.98299370828552601</c:v>
                </c:pt>
                <c:pt idx="120">
                  <c:v>0.98299370828552601</c:v>
                </c:pt>
                <c:pt idx="121">
                  <c:v>0.98299370828552601</c:v>
                </c:pt>
                <c:pt idx="122">
                  <c:v>0.98299370828552601</c:v>
                </c:pt>
                <c:pt idx="123">
                  <c:v>0.98299370828552601</c:v>
                </c:pt>
                <c:pt idx="124">
                  <c:v>0.98299370828552601</c:v>
                </c:pt>
                <c:pt idx="125">
                  <c:v>0.98299370828552601</c:v>
                </c:pt>
                <c:pt idx="126">
                  <c:v>0.98299370828552601</c:v>
                </c:pt>
                <c:pt idx="127">
                  <c:v>0.98299370828552601</c:v>
                </c:pt>
                <c:pt idx="128">
                  <c:v>0.98299370828552601</c:v>
                </c:pt>
                <c:pt idx="129">
                  <c:v>0.98299370828552601</c:v>
                </c:pt>
                <c:pt idx="130">
                  <c:v>0.98299370828552601</c:v>
                </c:pt>
                <c:pt idx="131">
                  <c:v>0.98299370828552601</c:v>
                </c:pt>
                <c:pt idx="132">
                  <c:v>0.98299370828552601</c:v>
                </c:pt>
                <c:pt idx="133">
                  <c:v>0.98299370828552601</c:v>
                </c:pt>
                <c:pt idx="134">
                  <c:v>0.98299370828552601</c:v>
                </c:pt>
                <c:pt idx="135">
                  <c:v>0.98299370828552601</c:v>
                </c:pt>
                <c:pt idx="136">
                  <c:v>0.98299370828552601</c:v>
                </c:pt>
                <c:pt idx="137">
                  <c:v>0.98299370828552601</c:v>
                </c:pt>
                <c:pt idx="138">
                  <c:v>0.98299370828552601</c:v>
                </c:pt>
                <c:pt idx="139">
                  <c:v>0.98299370828552601</c:v>
                </c:pt>
                <c:pt idx="140">
                  <c:v>0.98299370828552601</c:v>
                </c:pt>
                <c:pt idx="141">
                  <c:v>0.98299370828552601</c:v>
                </c:pt>
                <c:pt idx="142">
                  <c:v>0.98299370828552601</c:v>
                </c:pt>
                <c:pt idx="143">
                  <c:v>0.98299370828552601</c:v>
                </c:pt>
                <c:pt idx="144">
                  <c:v>0.98299370828552601</c:v>
                </c:pt>
                <c:pt idx="145">
                  <c:v>0.98299370828552601</c:v>
                </c:pt>
                <c:pt idx="146">
                  <c:v>0.98299370828552601</c:v>
                </c:pt>
                <c:pt idx="147">
                  <c:v>0.98299370828552601</c:v>
                </c:pt>
                <c:pt idx="148">
                  <c:v>0.98299370828552601</c:v>
                </c:pt>
                <c:pt idx="149">
                  <c:v>0.98299370828552601</c:v>
                </c:pt>
                <c:pt idx="150">
                  <c:v>0.98299370828552601</c:v>
                </c:pt>
                <c:pt idx="151">
                  <c:v>0.98299370828552601</c:v>
                </c:pt>
                <c:pt idx="152">
                  <c:v>0.98299370828552601</c:v>
                </c:pt>
                <c:pt idx="153">
                  <c:v>0.98299370828552601</c:v>
                </c:pt>
                <c:pt idx="154">
                  <c:v>0.98299370828552601</c:v>
                </c:pt>
                <c:pt idx="155">
                  <c:v>0.98299370828552601</c:v>
                </c:pt>
                <c:pt idx="156">
                  <c:v>0.98299370828552601</c:v>
                </c:pt>
                <c:pt idx="157">
                  <c:v>0.98299370828552601</c:v>
                </c:pt>
                <c:pt idx="158">
                  <c:v>0.98299370828552601</c:v>
                </c:pt>
                <c:pt idx="159">
                  <c:v>0.98299370828552601</c:v>
                </c:pt>
                <c:pt idx="160">
                  <c:v>0.98299370828552601</c:v>
                </c:pt>
                <c:pt idx="161">
                  <c:v>0.98299370828552601</c:v>
                </c:pt>
                <c:pt idx="162">
                  <c:v>0.98299370828552601</c:v>
                </c:pt>
                <c:pt idx="163">
                  <c:v>0.98299370828552601</c:v>
                </c:pt>
                <c:pt idx="164">
                  <c:v>0.98299370828552601</c:v>
                </c:pt>
                <c:pt idx="165">
                  <c:v>0.98299370828552601</c:v>
                </c:pt>
                <c:pt idx="166">
                  <c:v>0.98299370828552601</c:v>
                </c:pt>
                <c:pt idx="167">
                  <c:v>0.98299370828552601</c:v>
                </c:pt>
                <c:pt idx="168">
                  <c:v>0.98299370828552601</c:v>
                </c:pt>
                <c:pt idx="169">
                  <c:v>0.98299370828552601</c:v>
                </c:pt>
                <c:pt idx="170">
                  <c:v>0.98299370828552601</c:v>
                </c:pt>
                <c:pt idx="171">
                  <c:v>0.98299370828552601</c:v>
                </c:pt>
                <c:pt idx="172">
                  <c:v>0.98299370828552601</c:v>
                </c:pt>
                <c:pt idx="173">
                  <c:v>0.98299370828552601</c:v>
                </c:pt>
                <c:pt idx="174">
                  <c:v>0.98299370828552601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0-4CA3-91BD-2393C15DA9A9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BF B/BF 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0.99279621903919602</c:v>
                </c:pt>
                <c:pt idx="10">
                  <c:v>0.99227488336079805</c:v>
                </c:pt>
                <c:pt idx="11">
                  <c:v>0.99198635881653996</c:v>
                </c:pt>
                <c:pt idx="12">
                  <c:v>0.99202511693342299</c:v>
                </c:pt>
                <c:pt idx="13">
                  <c:v>0.99166747055627802</c:v>
                </c:pt>
                <c:pt idx="14">
                  <c:v>0.99128393760037103</c:v>
                </c:pt>
                <c:pt idx="15">
                  <c:v>0.99092333541088495</c:v>
                </c:pt>
                <c:pt idx="16">
                  <c:v>0.99045300186957297</c:v>
                </c:pt>
                <c:pt idx="17">
                  <c:v>0.99008202740680695</c:v>
                </c:pt>
                <c:pt idx="18">
                  <c:v>0.98916581013372495</c:v>
                </c:pt>
                <c:pt idx="19">
                  <c:v>0.98834474397318794</c:v>
                </c:pt>
                <c:pt idx="20">
                  <c:v>0.98750331498224297</c:v>
                </c:pt>
                <c:pt idx="21">
                  <c:v>0.986914779327001</c:v>
                </c:pt>
                <c:pt idx="22">
                  <c:v>0.98596746323596995</c:v>
                </c:pt>
                <c:pt idx="23">
                  <c:v>0.98550059077216201</c:v>
                </c:pt>
                <c:pt idx="24">
                  <c:v>0.98526762430195802</c:v>
                </c:pt>
                <c:pt idx="25">
                  <c:v>0.98464385137771604</c:v>
                </c:pt>
                <c:pt idx="26">
                  <c:v>0.98461855297570999</c:v>
                </c:pt>
                <c:pt idx="27">
                  <c:v>0.98528237943366004</c:v>
                </c:pt>
                <c:pt idx="28">
                  <c:v>0.98626848255314603</c:v>
                </c:pt>
                <c:pt idx="29">
                  <c:v>0.98702792706747899</c:v>
                </c:pt>
                <c:pt idx="30">
                  <c:v>0.98805064104909301</c:v>
                </c:pt>
                <c:pt idx="31">
                  <c:v>0.98831708885628999</c:v>
                </c:pt>
                <c:pt idx="32">
                  <c:v>0.98812595240721501</c:v>
                </c:pt>
                <c:pt idx="33">
                  <c:v>0.988501931510126</c:v>
                </c:pt>
                <c:pt idx="34">
                  <c:v>0.98814715236533102</c:v>
                </c:pt>
                <c:pt idx="35">
                  <c:v>0.988324394719444</c:v>
                </c:pt>
                <c:pt idx="36">
                  <c:v>0.98768849654965996</c:v>
                </c:pt>
                <c:pt idx="37">
                  <c:v>0.98667365929226802</c:v>
                </c:pt>
                <c:pt idx="38">
                  <c:v>0.985521894183082</c:v>
                </c:pt>
                <c:pt idx="39">
                  <c:v>0.98491312304329603</c:v>
                </c:pt>
                <c:pt idx="40">
                  <c:v>0.98429468307001799</c:v>
                </c:pt>
                <c:pt idx="41">
                  <c:v>0.98347511089279105</c:v>
                </c:pt>
                <c:pt idx="42">
                  <c:v>0.98297394924324899</c:v>
                </c:pt>
                <c:pt idx="43">
                  <c:v>0.98226273999545399</c:v>
                </c:pt>
                <c:pt idx="44">
                  <c:v>0.98176709292487196</c:v>
                </c:pt>
                <c:pt idx="45">
                  <c:v>0.98171260483594602</c:v>
                </c:pt>
                <c:pt idx="46">
                  <c:v>0.98187666792247197</c:v>
                </c:pt>
                <c:pt idx="47">
                  <c:v>0.98170968866222497</c:v>
                </c:pt>
                <c:pt idx="48">
                  <c:v>0.98190325197516504</c:v>
                </c:pt>
                <c:pt idx="49">
                  <c:v>0.98161823712004703</c:v>
                </c:pt>
                <c:pt idx="50">
                  <c:v>0.98122508392315599</c:v>
                </c:pt>
                <c:pt idx="51">
                  <c:v>0.98218018070364399</c:v>
                </c:pt>
                <c:pt idx="52">
                  <c:v>0.98316552172766003</c:v>
                </c:pt>
                <c:pt idx="53">
                  <c:v>0.98275857048487503</c:v>
                </c:pt>
                <c:pt idx="54">
                  <c:v>0.98300012638091006</c:v>
                </c:pt>
                <c:pt idx="55">
                  <c:v>0.98278820248632304</c:v>
                </c:pt>
                <c:pt idx="56">
                  <c:v>0.983020323882978</c:v>
                </c:pt>
                <c:pt idx="57">
                  <c:v>0.98422126532943399</c:v>
                </c:pt>
                <c:pt idx="58">
                  <c:v>0.98573069929169799</c:v>
                </c:pt>
                <c:pt idx="59">
                  <c:v>0.98670100054554</c:v>
                </c:pt>
                <c:pt idx="60">
                  <c:v>0.98705129737258701</c:v>
                </c:pt>
                <c:pt idx="61">
                  <c:v>0.98695410152568097</c:v>
                </c:pt>
                <c:pt idx="62">
                  <c:v>0.98688596947217899</c:v>
                </c:pt>
                <c:pt idx="63">
                  <c:v>0.98764703724446701</c:v>
                </c:pt>
                <c:pt idx="64">
                  <c:v>0.989042536542315</c:v>
                </c:pt>
                <c:pt idx="65">
                  <c:v>0.98919042813903901</c:v>
                </c:pt>
                <c:pt idx="66">
                  <c:v>0.99048633193812596</c:v>
                </c:pt>
                <c:pt idx="67">
                  <c:v>0.99074116965737302</c:v>
                </c:pt>
                <c:pt idx="68">
                  <c:v>0.98965972322276696</c:v>
                </c:pt>
                <c:pt idx="69">
                  <c:v>0.98892626841457898</c:v>
                </c:pt>
                <c:pt idx="70">
                  <c:v>0.98853724732462001</c:v>
                </c:pt>
                <c:pt idx="71">
                  <c:v>0.98876575351571505</c:v>
                </c:pt>
                <c:pt idx="72">
                  <c:v>0.98806993783386199</c:v>
                </c:pt>
                <c:pt idx="73">
                  <c:v>0.98760407375542503</c:v>
                </c:pt>
                <c:pt idx="74">
                  <c:v>0.985980332510624</c:v>
                </c:pt>
                <c:pt idx="75">
                  <c:v>0.98600378381387899</c:v>
                </c:pt>
                <c:pt idx="76">
                  <c:v>0.98446782814957101</c:v>
                </c:pt>
                <c:pt idx="77">
                  <c:v>0.98313337636529297</c:v>
                </c:pt>
                <c:pt idx="78">
                  <c:v>0.98233004328354001</c:v>
                </c:pt>
                <c:pt idx="79">
                  <c:v>0.98152127595086203</c:v>
                </c:pt>
                <c:pt idx="80">
                  <c:v>0.98113014050103797</c:v>
                </c:pt>
                <c:pt idx="81">
                  <c:v>0.98026404790725297</c:v>
                </c:pt>
                <c:pt idx="82">
                  <c:v>0.97980852215048697</c:v>
                </c:pt>
                <c:pt idx="83">
                  <c:v>0.97979779016517599</c:v>
                </c:pt>
                <c:pt idx="84">
                  <c:v>0.97971139485814196</c:v>
                </c:pt>
                <c:pt idx="85">
                  <c:v>0.97919522437195605</c:v>
                </c:pt>
                <c:pt idx="86">
                  <c:v>0.97811943124940304</c:v>
                </c:pt>
                <c:pt idx="87">
                  <c:v>0.97776321044032899</c:v>
                </c:pt>
                <c:pt idx="88">
                  <c:v>0.97735374378043105</c:v>
                </c:pt>
                <c:pt idx="89">
                  <c:v>0.97682441607746795</c:v>
                </c:pt>
                <c:pt idx="90">
                  <c:v>0.97572820271553695</c:v>
                </c:pt>
                <c:pt idx="91">
                  <c:v>0.97476597633551998</c:v>
                </c:pt>
                <c:pt idx="92">
                  <c:v>0.97359052210278996</c:v>
                </c:pt>
                <c:pt idx="93">
                  <c:v>0.97236983890006601</c:v>
                </c:pt>
                <c:pt idx="94">
                  <c:v>0.971682256177407</c:v>
                </c:pt>
                <c:pt idx="95">
                  <c:v>0.97076219407452002</c:v>
                </c:pt>
                <c:pt idx="96">
                  <c:v>0.97065323571642304</c:v>
                </c:pt>
                <c:pt idx="97">
                  <c:v>0.97012396901314102</c:v>
                </c:pt>
                <c:pt idx="98">
                  <c:v>0.96951079361326897</c:v>
                </c:pt>
                <c:pt idx="99">
                  <c:v>0.96948011456916305</c:v>
                </c:pt>
                <c:pt idx="100">
                  <c:v>0.96974596379467404</c:v>
                </c:pt>
                <c:pt idx="101">
                  <c:v>0.96887030344334901</c:v>
                </c:pt>
                <c:pt idx="102">
                  <c:v>0.96967010369100604</c:v>
                </c:pt>
                <c:pt idx="103">
                  <c:v>0.96958221718769599</c:v>
                </c:pt>
                <c:pt idx="104">
                  <c:v>0.96941315994442101</c:v>
                </c:pt>
                <c:pt idx="105">
                  <c:v>0.96920827121473896</c:v>
                </c:pt>
                <c:pt idx="106">
                  <c:v>0.97023926853342601</c:v>
                </c:pt>
                <c:pt idx="107">
                  <c:v>0.97123749515434199</c:v>
                </c:pt>
                <c:pt idx="108">
                  <c:v>0.97270686363312497</c:v>
                </c:pt>
                <c:pt idx="109">
                  <c:v>0.97443421897830096</c:v>
                </c:pt>
                <c:pt idx="110">
                  <c:v>0.97522353771348103</c:v>
                </c:pt>
                <c:pt idx="111">
                  <c:v>0.97757870604999597</c:v>
                </c:pt>
                <c:pt idx="112">
                  <c:v>0.97958729648438503</c:v>
                </c:pt>
                <c:pt idx="113">
                  <c:v>0.98254606893777896</c:v>
                </c:pt>
                <c:pt idx="114">
                  <c:v>0.98556091687438596</c:v>
                </c:pt>
                <c:pt idx="115">
                  <c:v>0.98875483322419599</c:v>
                </c:pt>
                <c:pt idx="116">
                  <c:v>0.99063066530461796</c:v>
                </c:pt>
                <c:pt idx="117">
                  <c:v>0.99252275143970103</c:v>
                </c:pt>
                <c:pt idx="118">
                  <c:v>0.99299892352528996</c:v>
                </c:pt>
                <c:pt idx="119">
                  <c:v>0.99255604613252502</c:v>
                </c:pt>
                <c:pt idx="120">
                  <c:v>0.99237762604242297</c:v>
                </c:pt>
                <c:pt idx="121">
                  <c:v>0.99192487751196601</c:v>
                </c:pt>
                <c:pt idx="122">
                  <c:v>0.99010332893518305</c:v>
                </c:pt>
                <c:pt idx="123">
                  <c:v>0.98783859763211801</c:v>
                </c:pt>
                <c:pt idx="124">
                  <c:v>0.98563563011872801</c:v>
                </c:pt>
                <c:pt idx="125">
                  <c:v>0.98295233457828901</c:v>
                </c:pt>
                <c:pt idx="126">
                  <c:v>0.98079896808661104</c:v>
                </c:pt>
                <c:pt idx="127">
                  <c:v>0.97863536184418098</c:v>
                </c:pt>
                <c:pt idx="128">
                  <c:v>0.97776773721171795</c:v>
                </c:pt>
                <c:pt idx="129">
                  <c:v>0.97778587958257002</c:v>
                </c:pt>
                <c:pt idx="130">
                  <c:v>0.97851715609753398</c:v>
                </c:pt>
                <c:pt idx="131">
                  <c:v>0.97802064463372596</c:v>
                </c:pt>
                <c:pt idx="132">
                  <c:v>0.97904519880478402</c:v>
                </c:pt>
                <c:pt idx="133">
                  <c:v>0.98005489352071695</c:v>
                </c:pt>
                <c:pt idx="134">
                  <c:v>0.98019218567326905</c:v>
                </c:pt>
                <c:pt idx="135">
                  <c:v>0.98058173352595401</c:v>
                </c:pt>
                <c:pt idx="136">
                  <c:v>0.98112540422683503</c:v>
                </c:pt>
                <c:pt idx="137">
                  <c:v>0.981504146378682</c:v>
                </c:pt>
                <c:pt idx="138">
                  <c:v>0.98123841392766298</c:v>
                </c:pt>
                <c:pt idx="139">
                  <c:v>0.98049628811519096</c:v>
                </c:pt>
                <c:pt idx="140">
                  <c:v>0.98017349011907595</c:v>
                </c:pt>
                <c:pt idx="141">
                  <c:v>0.98118092006426405</c:v>
                </c:pt>
                <c:pt idx="142">
                  <c:v>0.98157965090799804</c:v>
                </c:pt>
                <c:pt idx="143">
                  <c:v>0.98187084180583595</c:v>
                </c:pt>
                <c:pt idx="144">
                  <c:v>0.98229876851253295</c:v>
                </c:pt>
                <c:pt idx="145">
                  <c:v>0.983490097992606</c:v>
                </c:pt>
                <c:pt idx="146">
                  <c:v>0.98385837280947896</c:v>
                </c:pt>
                <c:pt idx="147">
                  <c:v>0.98459941828858499</c:v>
                </c:pt>
                <c:pt idx="148">
                  <c:v>0.98547173534958099</c:v>
                </c:pt>
                <c:pt idx="149">
                  <c:v>0.98597217815204996</c:v>
                </c:pt>
                <c:pt idx="150">
                  <c:v>0.98616127162692102</c:v>
                </c:pt>
                <c:pt idx="151">
                  <c:v>0.98618890214206201</c:v>
                </c:pt>
                <c:pt idx="152">
                  <c:v>0.985670505521966</c:v>
                </c:pt>
                <c:pt idx="153">
                  <c:v>0.98515006383842696</c:v>
                </c:pt>
                <c:pt idx="154">
                  <c:v>0.98516609779156605</c:v>
                </c:pt>
                <c:pt idx="155">
                  <c:v>0.98459293667660897</c:v>
                </c:pt>
                <c:pt idx="156">
                  <c:v>0.98360615853155797</c:v>
                </c:pt>
                <c:pt idx="157">
                  <c:v>0.98204968808937199</c:v>
                </c:pt>
                <c:pt idx="158">
                  <c:v>0.98137343785289599</c:v>
                </c:pt>
                <c:pt idx="159">
                  <c:v>0.98109814535461604</c:v>
                </c:pt>
                <c:pt idx="160">
                  <c:v>0.98076236001013495</c:v>
                </c:pt>
                <c:pt idx="161">
                  <c:v>0.97954113435906598</c:v>
                </c:pt>
                <c:pt idx="162">
                  <c:v>0.97896804400636395</c:v>
                </c:pt>
                <c:pt idx="163">
                  <c:v>0.979131154803774</c:v>
                </c:pt>
                <c:pt idx="164">
                  <c:v>0.97888214454784295</c:v>
                </c:pt>
                <c:pt idx="165">
                  <c:v>0.97809810566196398</c:v>
                </c:pt>
                <c:pt idx="166">
                  <c:v>0.978029719053221</c:v>
                </c:pt>
                <c:pt idx="167">
                  <c:v>0.97873260793338701</c:v>
                </c:pt>
                <c:pt idx="168">
                  <c:v>0.979163297828747</c:v>
                </c:pt>
                <c:pt idx="169">
                  <c:v>0.97982243208812803</c:v>
                </c:pt>
                <c:pt idx="170">
                  <c:v>0.98041041442384802</c:v>
                </c:pt>
                <c:pt idx="171">
                  <c:v>0.98142552257429205</c:v>
                </c:pt>
                <c:pt idx="172">
                  <c:v>0.98224323857562201</c:v>
                </c:pt>
                <c:pt idx="173">
                  <c:v>0.982324917226154</c:v>
                </c:pt>
                <c:pt idx="174">
                  <c:v>0.98232828507999004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0-4CA3-91BD-2393C15DA9A9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BF B/BF 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0.99057048150619198</c:v>
                </c:pt>
                <c:pt idx="20">
                  <c:v>0.98988909917152101</c:v>
                </c:pt>
                <c:pt idx="21">
                  <c:v>0.98945056907177098</c:v>
                </c:pt>
                <c:pt idx="22">
                  <c:v>0.98899629008469603</c:v>
                </c:pt>
                <c:pt idx="23">
                  <c:v>0.98858403066421996</c:v>
                </c:pt>
                <c:pt idx="24">
                  <c:v>0.98827578095116497</c:v>
                </c:pt>
                <c:pt idx="25">
                  <c:v>0.9877835933943</c:v>
                </c:pt>
                <c:pt idx="26">
                  <c:v>0.98753577742264098</c:v>
                </c:pt>
                <c:pt idx="27">
                  <c:v>0.98768220342023305</c:v>
                </c:pt>
                <c:pt idx="28">
                  <c:v>0.98771714634343599</c:v>
                </c:pt>
                <c:pt idx="29">
                  <c:v>0.98768633552033303</c:v>
                </c:pt>
                <c:pt idx="30">
                  <c:v>0.98777697801566799</c:v>
                </c:pt>
                <c:pt idx="31">
                  <c:v>0.98761593409164605</c:v>
                </c:pt>
                <c:pt idx="32">
                  <c:v>0.98704670782159198</c:v>
                </c:pt>
                <c:pt idx="33">
                  <c:v>0.98700126114114395</c:v>
                </c:pt>
                <c:pt idx="34">
                  <c:v>0.98670738833364402</c:v>
                </c:pt>
                <c:pt idx="35">
                  <c:v>0.98648412304858002</c:v>
                </c:pt>
                <c:pt idx="36">
                  <c:v>0.98615352476268503</c:v>
                </c:pt>
                <c:pt idx="37">
                  <c:v>0.98597801936296403</c:v>
                </c:pt>
                <c:pt idx="38">
                  <c:v>0.98589518836811396</c:v>
                </c:pt>
                <c:pt idx="39">
                  <c:v>0.98597052505538796</c:v>
                </c:pt>
                <c:pt idx="40">
                  <c:v>0.98617266205955501</c:v>
                </c:pt>
                <c:pt idx="41">
                  <c:v>0.98589609987454097</c:v>
                </c:pt>
                <c:pt idx="42">
                  <c:v>0.985549950825232</c:v>
                </c:pt>
                <c:pt idx="43">
                  <c:v>0.98538233575279</c:v>
                </c:pt>
                <c:pt idx="44">
                  <c:v>0.98495712264510105</c:v>
                </c:pt>
                <c:pt idx="45">
                  <c:v>0.98501849977769496</c:v>
                </c:pt>
                <c:pt idx="46">
                  <c:v>0.98478258223606596</c:v>
                </c:pt>
                <c:pt idx="47">
                  <c:v>0.98419167397724605</c:v>
                </c:pt>
                <c:pt idx="48">
                  <c:v>0.98371257307912296</c:v>
                </c:pt>
                <c:pt idx="49">
                  <c:v>0.98326568008167203</c:v>
                </c:pt>
                <c:pt idx="50">
                  <c:v>0.98275988349658705</c:v>
                </c:pt>
                <c:pt idx="51">
                  <c:v>0.98282764579821702</c:v>
                </c:pt>
                <c:pt idx="52">
                  <c:v>0.98306973548545495</c:v>
                </c:pt>
                <c:pt idx="53">
                  <c:v>0.98251065524016501</c:v>
                </c:pt>
                <c:pt idx="54">
                  <c:v>0.98238360965289095</c:v>
                </c:pt>
                <c:pt idx="55">
                  <c:v>0.98225040366113503</c:v>
                </c:pt>
                <c:pt idx="56">
                  <c:v>0.98244849590272498</c:v>
                </c:pt>
                <c:pt idx="57">
                  <c:v>0.98296547699582904</c:v>
                </c:pt>
                <c:pt idx="58">
                  <c:v>0.98381697563343096</c:v>
                </c:pt>
                <c:pt idx="59">
                  <c:v>0.98415961883279302</c:v>
                </c:pt>
                <c:pt idx="60">
                  <c:v>0.984138190647872</c:v>
                </c:pt>
                <c:pt idx="61">
                  <c:v>0.98456714111466204</c:v>
                </c:pt>
                <c:pt idx="62">
                  <c:v>0.98502574559991996</c:v>
                </c:pt>
                <c:pt idx="63">
                  <c:v>0.98520280386467096</c:v>
                </c:pt>
                <c:pt idx="64">
                  <c:v>0.98602133146161197</c:v>
                </c:pt>
                <c:pt idx="65">
                  <c:v>0.98598931531268097</c:v>
                </c:pt>
                <c:pt idx="66">
                  <c:v>0.98675332791055204</c:v>
                </c:pt>
                <c:pt idx="67">
                  <c:v>0.98748121749340301</c:v>
                </c:pt>
                <c:pt idx="68">
                  <c:v>0.98769521125723203</c:v>
                </c:pt>
                <c:pt idx="69">
                  <c:v>0.98781363448005899</c:v>
                </c:pt>
                <c:pt idx="70">
                  <c:v>0.98779427234860395</c:v>
                </c:pt>
                <c:pt idx="71">
                  <c:v>0.98785992752069796</c:v>
                </c:pt>
                <c:pt idx="72">
                  <c:v>0.98747795365302105</c:v>
                </c:pt>
                <c:pt idx="73">
                  <c:v>0.98762555549994602</c:v>
                </c:pt>
                <c:pt idx="74">
                  <c:v>0.98751143452646994</c:v>
                </c:pt>
                <c:pt idx="75">
                  <c:v>0.987597105976459</c:v>
                </c:pt>
                <c:pt idx="76">
                  <c:v>0.98747708004384904</c:v>
                </c:pt>
                <c:pt idx="77">
                  <c:v>0.98693727301133305</c:v>
                </c:pt>
                <c:pt idx="78">
                  <c:v>0.98599488325315399</c:v>
                </c:pt>
                <c:pt idx="79">
                  <c:v>0.98522377218272095</c:v>
                </c:pt>
                <c:pt idx="80">
                  <c:v>0.98483369391282904</c:v>
                </c:pt>
                <c:pt idx="81">
                  <c:v>0.98451490071148395</c:v>
                </c:pt>
                <c:pt idx="82">
                  <c:v>0.98393922999217498</c:v>
                </c:pt>
                <c:pt idx="83">
                  <c:v>0.98370093196030095</c:v>
                </c:pt>
                <c:pt idx="84">
                  <c:v>0.98284586368438298</c:v>
                </c:pt>
                <c:pt idx="85">
                  <c:v>0.98259950409291696</c:v>
                </c:pt>
                <c:pt idx="86">
                  <c:v>0.98129362969948697</c:v>
                </c:pt>
                <c:pt idx="87">
                  <c:v>0.98044829340281103</c:v>
                </c:pt>
                <c:pt idx="88">
                  <c:v>0.97984189353198603</c:v>
                </c:pt>
                <c:pt idx="89">
                  <c:v>0.97917284601416499</c:v>
                </c:pt>
                <c:pt idx="90">
                  <c:v>0.97842917160828702</c:v>
                </c:pt>
                <c:pt idx="91">
                  <c:v>0.97751501212138603</c:v>
                </c:pt>
                <c:pt idx="92">
                  <c:v>0.97669952212663802</c:v>
                </c:pt>
                <c:pt idx="93">
                  <c:v>0.97608381453262105</c:v>
                </c:pt>
                <c:pt idx="94">
                  <c:v>0.97569682551777404</c:v>
                </c:pt>
                <c:pt idx="95">
                  <c:v>0.97497870922323804</c:v>
                </c:pt>
                <c:pt idx="96">
                  <c:v>0.97438633348291304</c:v>
                </c:pt>
                <c:pt idx="97">
                  <c:v>0.973943589726735</c:v>
                </c:pt>
                <c:pt idx="98">
                  <c:v>0.97343226869684996</c:v>
                </c:pt>
                <c:pt idx="99">
                  <c:v>0.973152265323316</c:v>
                </c:pt>
                <c:pt idx="100">
                  <c:v>0.972737083255105</c:v>
                </c:pt>
                <c:pt idx="101">
                  <c:v>0.971818139889435</c:v>
                </c:pt>
                <c:pt idx="102">
                  <c:v>0.97163031289689805</c:v>
                </c:pt>
                <c:pt idx="103">
                  <c:v>0.97097602804388095</c:v>
                </c:pt>
                <c:pt idx="104">
                  <c:v>0.97054770806091395</c:v>
                </c:pt>
                <c:pt idx="105">
                  <c:v>0.96998523264462899</c:v>
                </c:pt>
                <c:pt idx="106">
                  <c:v>0.97044625212492497</c:v>
                </c:pt>
                <c:pt idx="107">
                  <c:v>0.97068073208374195</c:v>
                </c:pt>
                <c:pt idx="108">
                  <c:v>0.97110882862319703</c:v>
                </c:pt>
                <c:pt idx="109">
                  <c:v>0.97195716677373201</c:v>
                </c:pt>
                <c:pt idx="110">
                  <c:v>0.97248475075407803</c:v>
                </c:pt>
                <c:pt idx="111">
                  <c:v>0.97322450474667299</c:v>
                </c:pt>
                <c:pt idx="112">
                  <c:v>0.97462870008769598</c:v>
                </c:pt>
                <c:pt idx="113">
                  <c:v>0.97606414306273803</c:v>
                </c:pt>
                <c:pt idx="114">
                  <c:v>0.97748703840940299</c:v>
                </c:pt>
                <c:pt idx="115">
                  <c:v>0.97898155221946803</c:v>
                </c:pt>
                <c:pt idx="116">
                  <c:v>0.98043496691902199</c:v>
                </c:pt>
                <c:pt idx="117">
                  <c:v>0.98188012329702101</c:v>
                </c:pt>
                <c:pt idx="118">
                  <c:v>0.98285289357920802</c:v>
                </c:pt>
                <c:pt idx="119">
                  <c:v>0.98349513255541299</c:v>
                </c:pt>
                <c:pt idx="120">
                  <c:v>0.98380058187795205</c:v>
                </c:pt>
                <c:pt idx="121">
                  <c:v>0.98475179178098105</c:v>
                </c:pt>
                <c:pt idx="122">
                  <c:v>0.98484531270978404</c:v>
                </c:pt>
                <c:pt idx="123">
                  <c:v>0.98519233328494804</c:v>
                </c:pt>
                <c:pt idx="124">
                  <c:v>0.98559827349655704</c:v>
                </c:pt>
                <c:pt idx="125">
                  <c:v>0.985853583901243</c:v>
                </c:pt>
                <c:pt idx="126">
                  <c:v>0.985714816695614</c:v>
                </c:pt>
                <c:pt idx="127">
                  <c:v>0.98557905664194101</c:v>
                </c:pt>
                <c:pt idx="128">
                  <c:v>0.98538333036850401</c:v>
                </c:pt>
                <c:pt idx="129">
                  <c:v>0.98517096285754702</c:v>
                </c:pt>
                <c:pt idx="130">
                  <c:v>0.98544739106997803</c:v>
                </c:pt>
                <c:pt idx="131">
                  <c:v>0.98497276107284604</c:v>
                </c:pt>
                <c:pt idx="132">
                  <c:v>0.98457426386998304</c:v>
                </c:pt>
                <c:pt idx="133">
                  <c:v>0.98394674557641704</c:v>
                </c:pt>
                <c:pt idx="134">
                  <c:v>0.98291390789599897</c:v>
                </c:pt>
                <c:pt idx="135">
                  <c:v>0.98176703405212096</c:v>
                </c:pt>
                <c:pt idx="136">
                  <c:v>0.98096218615672304</c:v>
                </c:pt>
                <c:pt idx="137">
                  <c:v>0.98006975411143105</c:v>
                </c:pt>
                <c:pt idx="138">
                  <c:v>0.97950307556969096</c:v>
                </c:pt>
                <c:pt idx="139">
                  <c:v>0.97914108384888099</c:v>
                </c:pt>
                <c:pt idx="140">
                  <c:v>0.97934532310830502</c:v>
                </c:pt>
                <c:pt idx="141">
                  <c:v>0.97960078234899495</c:v>
                </c:pt>
                <c:pt idx="142">
                  <c:v>0.98031242485639003</c:v>
                </c:pt>
                <c:pt idx="143">
                  <c:v>0.98096286766327701</c:v>
                </c:pt>
                <c:pt idx="144">
                  <c:v>0.981245477092901</c:v>
                </c:pt>
                <c:pt idx="145">
                  <c:v>0.98203591575927995</c:v>
                </c:pt>
                <c:pt idx="146">
                  <c:v>0.98249188851815705</c:v>
                </c:pt>
                <c:pt idx="147">
                  <c:v>0.983051782333633</c:v>
                </c:pt>
                <c:pt idx="148">
                  <c:v>0.98335507463862204</c:v>
                </c:pt>
                <c:pt idx="149">
                  <c:v>0.98323423313362102</c:v>
                </c:pt>
                <c:pt idx="150">
                  <c:v>0.98316738087299904</c:v>
                </c:pt>
                <c:pt idx="151">
                  <c:v>0.98368491110316303</c:v>
                </c:pt>
                <c:pt idx="152">
                  <c:v>0.98362507821498202</c:v>
                </c:pt>
                <c:pt idx="153">
                  <c:v>0.98351045282213101</c:v>
                </c:pt>
                <c:pt idx="154">
                  <c:v>0.98373243315204895</c:v>
                </c:pt>
                <c:pt idx="155">
                  <c:v>0.98404151733460798</c:v>
                </c:pt>
                <c:pt idx="156">
                  <c:v>0.98373226567051797</c:v>
                </c:pt>
                <c:pt idx="157">
                  <c:v>0.98332455318897805</c:v>
                </c:pt>
                <c:pt idx="158">
                  <c:v>0.98342258660123805</c:v>
                </c:pt>
                <c:pt idx="159">
                  <c:v>0.983535161753333</c:v>
                </c:pt>
                <c:pt idx="160">
                  <c:v>0.98346181581852798</c:v>
                </c:pt>
                <c:pt idx="161">
                  <c:v>0.98286501825056305</c:v>
                </c:pt>
                <c:pt idx="162">
                  <c:v>0.98231927476416503</c:v>
                </c:pt>
                <c:pt idx="163">
                  <c:v>0.98214060932110003</c:v>
                </c:pt>
                <c:pt idx="164">
                  <c:v>0.98202412116970506</c:v>
                </c:pt>
                <c:pt idx="165">
                  <c:v>0.98134552116928697</c:v>
                </c:pt>
                <c:pt idx="166">
                  <c:v>0.98081793879238899</c:v>
                </c:pt>
                <c:pt idx="167">
                  <c:v>0.98039114801138005</c:v>
                </c:pt>
                <c:pt idx="168">
                  <c:v>0.98026836784082205</c:v>
                </c:pt>
                <c:pt idx="169">
                  <c:v>0.98046028872137203</c:v>
                </c:pt>
                <c:pt idx="170">
                  <c:v>0.98058638721699198</c:v>
                </c:pt>
                <c:pt idx="171">
                  <c:v>0.98048332846667896</c:v>
                </c:pt>
                <c:pt idx="172">
                  <c:v>0.98060564129099304</c:v>
                </c:pt>
                <c:pt idx="173">
                  <c:v>0.98072803601496406</c:v>
                </c:pt>
                <c:pt idx="174">
                  <c:v>0.98060521481391605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90-4CA3-91BD-2393C15D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BF A* x 10 dma / BF 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1.06894933455596E-3</c:v>
                </c:pt>
                <c:pt idx="11">
                  <c:v>2.4901315424747401E-3</c:v>
                </c:pt>
                <c:pt idx="12">
                  <c:v>-2.7049809669921401E-3</c:v>
                </c:pt>
                <c:pt idx="13">
                  <c:v>2.6770097798536302E-3</c:v>
                </c:pt>
                <c:pt idx="14">
                  <c:v>2.0963042900959501E-3</c:v>
                </c:pt>
                <c:pt idx="15">
                  <c:v>1.40915742467614E-3</c:v>
                </c:pt>
                <c:pt idx="16">
                  <c:v>4.2401606572817496E-3</c:v>
                </c:pt>
                <c:pt idx="17">
                  <c:v>6.9925154256196302E-3</c:v>
                </c:pt>
                <c:pt idx="18">
                  <c:v>5.52526477540071E-3</c:v>
                </c:pt>
                <c:pt idx="19">
                  <c:v>5.7737454047398998E-3</c:v>
                </c:pt>
                <c:pt idx="20">
                  <c:v>5.0956983433279096E-3</c:v>
                </c:pt>
                <c:pt idx="21">
                  <c:v>3.6335272078690298E-3</c:v>
                </c:pt>
                <c:pt idx="22">
                  <c:v>1.7388897601892099E-3</c:v>
                </c:pt>
                <c:pt idx="23">
                  <c:v>1.2819797215798501E-3</c:v>
                </c:pt>
                <c:pt idx="24">
                  <c:v>-1.78486449608415E-3</c:v>
                </c:pt>
                <c:pt idx="25">
                  <c:v>1.64283909262476E-3</c:v>
                </c:pt>
                <c:pt idx="26">
                  <c:v>-1.8605872660887499E-3</c:v>
                </c:pt>
                <c:pt idx="27">
                  <c:v>-5.6421967435188996E-3</c:v>
                </c:pt>
                <c:pt idx="28">
                  <c:v>-9.2994286977511192E-3</c:v>
                </c:pt>
                <c:pt idx="29">
                  <c:v>-4.8520344831861099E-3</c:v>
                </c:pt>
                <c:pt idx="30">
                  <c:v>-6.5844305421358601E-3</c:v>
                </c:pt>
                <c:pt idx="31">
                  <c:v>1.4832677380457199E-3</c:v>
                </c:pt>
                <c:pt idx="32">
                  <c:v>5.10074534639252E-3</c:v>
                </c:pt>
                <c:pt idx="33">
                  <c:v>-3.4212600642730801E-4</c:v>
                </c:pt>
                <c:pt idx="34">
                  <c:v>4.8560478198598298E-3</c:v>
                </c:pt>
                <c:pt idx="35">
                  <c:v>2.7608989992679001E-3</c:v>
                </c:pt>
                <c:pt idx="36">
                  <c:v>8.3374031675346304E-3</c:v>
                </c:pt>
                <c:pt idx="37">
                  <c:v>7.7726537576737597E-3</c:v>
                </c:pt>
                <c:pt idx="38">
                  <c:v>3.7607171638778898E-3</c:v>
                </c:pt>
                <c:pt idx="39">
                  <c:v>5.5223156911071703E-4</c:v>
                </c:pt>
                <c:pt idx="40">
                  <c:v>-2.48531564788555E-3</c:v>
                </c:pt>
                <c:pt idx="41">
                  <c:v>6.01649113001317E-3</c:v>
                </c:pt>
                <c:pt idx="42">
                  <c:v>5.2993128575138703E-3</c:v>
                </c:pt>
                <c:pt idx="43">
                  <c:v>1.6514247810150099E-3</c:v>
                </c:pt>
                <c:pt idx="44">
                  <c:v>3.5755474794521001E-3</c:v>
                </c:pt>
                <c:pt idx="45">
                  <c:v>-3.1635291372269902E-3</c:v>
                </c:pt>
                <c:pt idx="46">
                  <c:v>-4.7484145405541497E-5</c:v>
                </c:pt>
                <c:pt idx="47">
                  <c:v>3.5762516614893198E-3</c:v>
                </c:pt>
                <c:pt idx="48">
                  <c:v>-3.2502283989697999E-3</c:v>
                </c:pt>
                <c:pt idx="49">
                  <c:v>-2.2851738122841699E-4</c:v>
                </c:pt>
                <c:pt idx="50">
                  <c:v>-1.84648548498074E-3</c:v>
                </c:pt>
                <c:pt idx="51">
                  <c:v>-6.8215378196078104E-3</c:v>
                </c:pt>
                <c:pt idx="52">
                  <c:v>-6.0400636818415798E-3</c:v>
                </c:pt>
                <c:pt idx="53">
                  <c:v>6.0017613230168099E-3</c:v>
                </c:pt>
                <c:pt idx="54">
                  <c:v>1.61525788351808E-3</c:v>
                </c:pt>
                <c:pt idx="55">
                  <c:v>2.4571244343149002E-4</c:v>
                </c:pt>
                <c:pt idx="56">
                  <c:v>-1.3140007094134E-3</c:v>
                </c:pt>
                <c:pt idx="57">
                  <c:v>-7.45983719911538E-3</c:v>
                </c:pt>
                <c:pt idx="58">
                  <c:v>-1.5904544068141301E-2</c:v>
                </c:pt>
                <c:pt idx="59">
                  <c:v>-6.1692064337496204E-3</c:v>
                </c:pt>
                <c:pt idx="60">
                  <c:v>-2.3755451433049501E-4</c:v>
                </c:pt>
                <c:pt idx="61">
                  <c:v>8.2902916822945403E-5</c:v>
                </c:pt>
                <c:pt idx="62">
                  <c:v>-5.0156088845963297E-4</c:v>
                </c:pt>
                <c:pt idx="63">
                  <c:v>2.0213455831861798E-3</c:v>
                </c:pt>
                <c:pt idx="64">
                  <c:v>-7.5454214562522201E-3</c:v>
                </c:pt>
                <c:pt idx="65">
                  <c:v>4.8700733845229603E-3</c:v>
                </c:pt>
                <c:pt idx="66">
                  <c:v>-7.9035024049384592E-3</c:v>
                </c:pt>
                <c:pt idx="67">
                  <c:v>-2.4633891111064399E-3</c:v>
                </c:pt>
                <c:pt idx="68">
                  <c:v>1.5714059711159399E-3</c:v>
                </c:pt>
                <c:pt idx="69">
                  <c:v>5.2312090500157898E-3</c:v>
                </c:pt>
                <c:pt idx="70">
                  <c:v>5.9646634251052603E-3</c:v>
                </c:pt>
                <c:pt idx="71">
                  <c:v>-7.2534020786475697E-4</c:v>
                </c:pt>
                <c:pt idx="72">
                  <c:v>8.4038969455636908E-3</c:v>
                </c:pt>
                <c:pt idx="73">
                  <c:v>7.9616477882997801E-3</c:v>
                </c:pt>
                <c:pt idx="74">
                  <c:v>8.8625813517877808E-3</c:v>
                </c:pt>
                <c:pt idx="75">
                  <c:v>1.5309003448985201E-3</c:v>
                </c:pt>
                <c:pt idx="76">
                  <c:v>4.3948869734500504E-3</c:v>
                </c:pt>
                <c:pt idx="77">
                  <c:v>4.9724361925846498E-3</c:v>
                </c:pt>
                <c:pt idx="78">
                  <c:v>2.01719365007943E-3</c:v>
                </c:pt>
                <c:pt idx="79">
                  <c:v>6.04635140197873E-3</c:v>
                </c:pt>
                <c:pt idx="80">
                  <c:v>2.4353276835121598E-3</c:v>
                </c:pt>
                <c:pt idx="81">
                  <c:v>5.4700179786301402E-4</c:v>
                </c:pt>
                <c:pt idx="82">
                  <c:v>4.4251368630425199E-3</c:v>
                </c:pt>
                <c:pt idx="83">
                  <c:v>-3.2517787245083001E-4</c:v>
                </c:pt>
                <c:pt idx="84">
                  <c:v>1.80988690623926E-3</c:v>
                </c:pt>
                <c:pt idx="85">
                  <c:v>4.0943908690138501E-4</c:v>
                </c:pt>
                <c:pt idx="86">
                  <c:v>8.48491377667367E-3</c:v>
                </c:pt>
                <c:pt idx="87">
                  <c:v>2.14607235328736E-3</c:v>
                </c:pt>
                <c:pt idx="88">
                  <c:v>7.2198152595181098E-4</c:v>
                </c:pt>
                <c:pt idx="89">
                  <c:v>6.4035832115275203E-3</c:v>
                </c:pt>
                <c:pt idx="90">
                  <c:v>8.8974454293222101E-3</c:v>
                </c:pt>
                <c:pt idx="91">
                  <c:v>4.8871113024885702E-3</c:v>
                </c:pt>
                <c:pt idx="92">
                  <c:v>1.09180843991945E-2</c:v>
                </c:pt>
                <c:pt idx="93">
                  <c:v>5.8410017798275404E-3</c:v>
                </c:pt>
                <c:pt idx="94">
                  <c:v>1.25503773721384E-3</c:v>
                </c:pt>
                <c:pt idx="95">
                  <c:v>1.6196716627560901E-3</c:v>
                </c:pt>
                <c:pt idx="96">
                  <c:v>9.5825466359671302E-4</c:v>
                </c:pt>
                <c:pt idx="97">
                  <c:v>-7.8978997145566897E-5</c:v>
                </c:pt>
                <c:pt idx="98">
                  <c:v>-8.2616663466394296E-4</c:v>
                </c:pt>
                <c:pt idx="99">
                  <c:v>-1.33750140614666E-3</c:v>
                </c:pt>
                <c:pt idx="100">
                  <c:v>-1.39163568872672E-3</c:v>
                </c:pt>
                <c:pt idx="101">
                  <c:v>7.7964960015604202E-3</c:v>
                </c:pt>
                <c:pt idx="102">
                  <c:v>-3.4094840247533499E-3</c:v>
                </c:pt>
                <c:pt idx="103">
                  <c:v>2.7145150221528401E-3</c:v>
                </c:pt>
                <c:pt idx="104">
                  <c:v>1.2639859350055901E-4</c:v>
                </c:pt>
                <c:pt idx="105">
                  <c:v>1.39596574158788E-3</c:v>
                </c:pt>
                <c:pt idx="106">
                  <c:v>-1.1218319184838199E-2</c:v>
                </c:pt>
                <c:pt idx="107">
                  <c:v>-1.0736298250621199E-2</c:v>
                </c:pt>
                <c:pt idx="108">
                  <c:v>-1.46993194637601E-2</c:v>
                </c:pt>
                <c:pt idx="109">
                  <c:v>-1.5682860057135199E-2</c:v>
                </c:pt>
                <c:pt idx="110">
                  <c:v>-4.3920594230855503E-3</c:v>
                </c:pt>
                <c:pt idx="111">
                  <c:v>-1.0752719223288401E-2</c:v>
                </c:pt>
                <c:pt idx="112">
                  <c:v>-1.49115972680592E-2</c:v>
                </c:pt>
                <c:pt idx="113">
                  <c:v>-1.72474416357268E-2</c:v>
                </c:pt>
                <c:pt idx="114">
                  <c:v>-1.7216120511028402E-2</c:v>
                </c:pt>
                <c:pt idx="115">
                  <c:v>-1.45443411344339E-2</c:v>
                </c:pt>
                <c:pt idx="116">
                  <c:v>-1.02089632437264E-2</c:v>
                </c:pt>
                <c:pt idx="117">
                  <c:v>-9.0464631854145806E-3</c:v>
                </c:pt>
                <c:pt idx="118">
                  <c:v>2.16002635861E-3</c:v>
                </c:pt>
                <c:pt idx="119">
                  <c:v>9.4562219360700608E-3</c:v>
                </c:pt>
                <c:pt idx="120">
                  <c:v>1.5859058402489998E-2</c:v>
                </c:pt>
                <c:pt idx="121">
                  <c:v>1.1287710550236E-2</c:v>
                </c:pt>
                <c:pt idx="122">
                  <c:v>1.8185039263148101E-2</c:v>
                </c:pt>
                <c:pt idx="123">
                  <c:v>1.6416589571765498E-2</c:v>
                </c:pt>
                <c:pt idx="124">
                  <c:v>1.0440751371089499E-2</c:v>
                </c:pt>
                <c:pt idx="125">
                  <c:v>1.2730995409407199E-2</c:v>
                </c:pt>
                <c:pt idx="126">
                  <c:v>5.6983759688632998E-3</c:v>
                </c:pt>
                <c:pt idx="127">
                  <c:v>2.86094620854461E-3</c:v>
                </c:pt>
                <c:pt idx="128">
                  <c:v>-3.13168505885972E-3</c:v>
                </c:pt>
                <c:pt idx="129">
                  <c:v>-6.1856254199266197E-3</c:v>
                </c:pt>
                <c:pt idx="130">
                  <c:v>-6.59122079337665E-3</c:v>
                </c:pt>
                <c:pt idx="131">
                  <c:v>2.2952158986393298E-3</c:v>
                </c:pt>
                <c:pt idx="132">
                  <c:v>-6.3951233165087298E-3</c:v>
                </c:pt>
                <c:pt idx="133">
                  <c:v>-5.1282137241500797E-3</c:v>
                </c:pt>
                <c:pt idx="134">
                  <c:v>1.1265882922418299E-3</c:v>
                </c:pt>
                <c:pt idx="135">
                  <c:v>3.1980152650364401E-3</c:v>
                </c:pt>
                <c:pt idx="136">
                  <c:v>-2.2634431927008201E-3</c:v>
                </c:pt>
                <c:pt idx="137">
                  <c:v>-6.7143423309184297E-4</c:v>
                </c:pt>
                <c:pt idx="138">
                  <c:v>2.5059563944483999E-3</c:v>
                </c:pt>
                <c:pt idx="139">
                  <c:v>4.9294726459363902E-3</c:v>
                </c:pt>
                <c:pt idx="140">
                  <c:v>-5.3805249591780402E-4</c:v>
                </c:pt>
                <c:pt idx="141">
                  <c:v>-6.2797713472236899E-3</c:v>
                </c:pt>
                <c:pt idx="142">
                  <c:v>-7.2117798024711501E-3</c:v>
                </c:pt>
                <c:pt idx="143">
                  <c:v>-5.49751158480125E-3</c:v>
                </c:pt>
                <c:pt idx="144">
                  <c:v>-1.3839716025448501E-3</c:v>
                </c:pt>
                <c:pt idx="145">
                  <c:v>-6.7743732830676901E-3</c:v>
                </c:pt>
                <c:pt idx="146">
                  <c:v>-3.0420572794930402E-3</c:v>
                </c:pt>
                <c:pt idx="147">
                  <c:v>-5.4093640991008402E-3</c:v>
                </c:pt>
                <c:pt idx="148">
                  <c:v>-3.2158000452926199E-3</c:v>
                </c:pt>
                <c:pt idx="149">
                  <c:v>4.1222292774565497E-3</c:v>
                </c:pt>
                <c:pt idx="150">
                  <c:v>3.1055689434627098E-3</c:v>
                </c:pt>
                <c:pt idx="151">
                  <c:v>-4.6954557707400401E-4</c:v>
                </c:pt>
                <c:pt idx="152">
                  <c:v>3.1385088661323801E-3</c:v>
                </c:pt>
                <c:pt idx="153">
                  <c:v>3.9484177990012697E-3</c:v>
                </c:pt>
                <c:pt idx="154">
                  <c:v>1.78717210998744E-3</c:v>
                </c:pt>
                <c:pt idx="155">
                  <c:v>1.95273477709324E-3</c:v>
                </c:pt>
                <c:pt idx="156">
                  <c:v>8.1319888329693894E-3</c:v>
                </c:pt>
                <c:pt idx="157">
                  <c:v>1.0194076167119001E-2</c:v>
                </c:pt>
                <c:pt idx="158">
                  <c:v>1.0609986126831801E-3</c:v>
                </c:pt>
                <c:pt idx="159">
                  <c:v>2.76383194784021E-3</c:v>
                </c:pt>
                <c:pt idx="160">
                  <c:v>1.5720008427261201E-3</c:v>
                </c:pt>
                <c:pt idx="161">
                  <c:v>6.4957994585277696E-3</c:v>
                </c:pt>
                <c:pt idx="162">
                  <c:v>2.2213065888498601E-3</c:v>
                </c:pt>
                <c:pt idx="163">
                  <c:v>-4.5346965373342998E-3</c:v>
                </c:pt>
                <c:pt idx="164">
                  <c:v>-1.80583432083145E-3</c:v>
                </c:pt>
                <c:pt idx="165">
                  <c:v>3.5596943055091201E-3</c:v>
                </c:pt>
                <c:pt idx="166">
                  <c:v>2.2141567297283599E-3</c:v>
                </c:pt>
                <c:pt idx="167">
                  <c:v>-2.6847637951628199E-3</c:v>
                </c:pt>
                <c:pt idx="168">
                  <c:v>-6.7030985494634498E-3</c:v>
                </c:pt>
                <c:pt idx="169">
                  <c:v>-6.2032531990594804E-3</c:v>
                </c:pt>
                <c:pt idx="170">
                  <c:v>-5.7137257337414003E-3</c:v>
                </c:pt>
                <c:pt idx="171">
                  <c:v>-4.2268706599534701E-3</c:v>
                </c:pt>
                <c:pt idx="172">
                  <c:v>-4.1885038484992601E-3</c:v>
                </c:pt>
                <c:pt idx="173">
                  <c:v>-2.0249368390524401E-3</c:v>
                </c:pt>
                <c:pt idx="174">
                  <c:v>1.4163568511344901E-3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1-4E2E-B7B8-006835D4527B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BF A* x 20 dma / BF 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7.3451514203201297E-3</c:v>
                </c:pt>
                <c:pt idx="21">
                  <c:v>6.0465893091252304E-3</c:v>
                </c:pt>
                <c:pt idx="22">
                  <c:v>4.3050055224671396E-3</c:v>
                </c:pt>
                <c:pt idx="23">
                  <c:v>4.34920484730799E-3</c:v>
                </c:pt>
                <c:pt idx="24">
                  <c:v>1.33905670380015E-3</c:v>
                </c:pt>
                <c:pt idx="25">
                  <c:v>4.6913243408652902E-3</c:v>
                </c:pt>
                <c:pt idx="26">
                  <c:v>1.3230478803589599E-3</c:v>
                </c:pt>
                <c:pt idx="27">
                  <c:v>-2.6837806300843898E-3</c:v>
                </c:pt>
                <c:pt idx="28">
                  <c:v>-6.8667188650880801E-3</c:v>
                </c:pt>
                <c:pt idx="29">
                  <c:v>-3.3842790657660701E-3</c:v>
                </c:pt>
                <c:pt idx="30">
                  <c:v>-5.9175913039471598E-3</c:v>
                </c:pt>
                <c:pt idx="31">
                  <c:v>1.20625669463863E-3</c:v>
                </c:pt>
                <c:pt idx="32">
                  <c:v>4.3910504468888103E-3</c:v>
                </c:pt>
                <c:pt idx="33">
                  <c:v>-1.43493648802181E-3</c:v>
                </c:pt>
                <c:pt idx="34">
                  <c:v>3.3367684147751898E-3</c:v>
                </c:pt>
                <c:pt idx="35">
                  <c:v>1.3028024588917801E-3</c:v>
                </c:pt>
                <c:pt idx="36">
                  <c:v>6.47365568316204E-3</c:v>
                </c:pt>
                <c:pt idx="37">
                  <c:v>6.21733972562237E-3</c:v>
                </c:pt>
                <c:pt idx="38">
                  <c:v>3.0554330372713702E-3</c:v>
                </c:pt>
                <c:pt idx="39">
                  <c:v>9.3093802630595305E-4</c:v>
                </c:pt>
                <c:pt idx="40">
                  <c:v>-1.41229227122142E-3</c:v>
                </c:pt>
                <c:pt idx="41">
                  <c:v>7.9226171693885603E-3</c:v>
                </c:pt>
                <c:pt idx="42">
                  <c:v>7.7579556853065897E-3</c:v>
                </c:pt>
                <c:pt idx="43">
                  <c:v>4.2686173406742299E-3</c:v>
                </c:pt>
                <c:pt idx="44">
                  <c:v>6.7464428910655096E-3</c:v>
                </c:pt>
                <c:pt idx="45">
                  <c:v>8.0476801701561901E-5</c:v>
                </c:pt>
                <c:pt idx="46">
                  <c:v>3.3143359300990701E-3</c:v>
                </c:pt>
                <c:pt idx="47">
                  <c:v>6.5314320550021602E-3</c:v>
                </c:pt>
                <c:pt idx="48">
                  <c:v>-7.2519160830235502E-4</c:v>
                </c:pt>
                <c:pt idx="49">
                  <c:v>1.6124543813161099E-3</c:v>
                </c:pt>
                <c:pt idx="50">
                  <c:v>-1.6959930025975501E-4</c:v>
                </c:pt>
                <c:pt idx="51">
                  <c:v>-5.2585931827343101E-3</c:v>
                </c:pt>
                <c:pt idx="52">
                  <c:v>-5.38106873100951E-3</c:v>
                </c:pt>
                <c:pt idx="53">
                  <c:v>5.9043302125432601E-3</c:v>
                </c:pt>
                <c:pt idx="54">
                  <c:v>1.3629614115840099E-3</c:v>
                </c:pt>
                <c:pt idx="55">
                  <c:v>-3.8166300181806102E-4</c:v>
                </c:pt>
                <c:pt idx="56">
                  <c:v>-1.86136790813807E-3</c:v>
                </c:pt>
                <c:pt idx="57">
                  <c:v>-8.0417116004088407E-3</c:v>
                </c:pt>
                <c:pt idx="58">
                  <c:v>-1.7181279496627899E-2</c:v>
                </c:pt>
                <c:pt idx="59">
                  <c:v>-8.11251990098877E-3</c:v>
                </c:pt>
                <c:pt idx="60">
                  <c:v>-2.8165122511930002E-3</c:v>
                </c:pt>
                <c:pt idx="61">
                  <c:v>-2.87278334589346E-3</c:v>
                </c:pt>
                <c:pt idx="62">
                  <c:v>-2.92300228680464E-3</c:v>
                </c:pt>
                <c:pt idx="63">
                  <c:v>1.3462376915802601E-4</c:v>
                </c:pt>
                <c:pt idx="64">
                  <c:v>-1.00232933950753E-2</c:v>
                </c:pt>
                <c:pt idx="65">
                  <c:v>1.8107217492736201E-3</c:v>
                </c:pt>
                <c:pt idx="66">
                  <c:v>-1.1144843492626301E-2</c:v>
                </c:pt>
                <c:pt idx="67">
                  <c:v>-6.2393688659297796E-3</c:v>
                </c:pt>
                <c:pt idx="68">
                  <c:v>-1.7244369392679E-3</c:v>
                </c:pt>
                <c:pt idx="69">
                  <c:v>3.2441984454577499E-3</c:v>
                </c:pt>
                <c:pt idx="70">
                  <c:v>4.8389371215181104E-3</c:v>
                </c:pt>
                <c:pt idx="71">
                  <c:v>-1.47721306282021E-3</c:v>
                </c:pt>
                <c:pt idx="72">
                  <c:v>7.4873591639107598E-3</c:v>
                </c:pt>
                <c:pt idx="73">
                  <c:v>7.3623363758947898E-3</c:v>
                </c:pt>
                <c:pt idx="74">
                  <c:v>8.8843324881656294E-3</c:v>
                </c:pt>
                <c:pt idx="75">
                  <c:v>3.0825686605397001E-3</c:v>
                </c:pt>
                <c:pt idx="76">
                  <c:v>6.0095219454725096E-3</c:v>
                </c:pt>
                <c:pt idx="77">
                  <c:v>8.0245034361818793E-3</c:v>
                </c:pt>
                <c:pt idx="78">
                  <c:v>5.8788839650181796E-3</c:v>
                </c:pt>
                <c:pt idx="79">
                  <c:v>9.7701717480830098E-3</c:v>
                </c:pt>
                <c:pt idx="80">
                  <c:v>6.20043247862291E-3</c:v>
                </c:pt>
                <c:pt idx="81">
                  <c:v>4.3146782200575102E-3</c:v>
                </c:pt>
                <c:pt idx="82">
                  <c:v>8.7521981233164292E-3</c:v>
                </c:pt>
                <c:pt idx="83">
                  <c:v>3.8817921210119802E-3</c:v>
                </c:pt>
                <c:pt idx="84">
                  <c:v>5.7855930193194604E-3</c:v>
                </c:pt>
                <c:pt idx="85">
                  <c:v>3.6037117408868301E-3</c:v>
                </c:pt>
                <c:pt idx="86">
                  <c:v>1.1955494147383601E-2</c:v>
                </c:pt>
                <c:pt idx="87">
                  <c:v>5.3860234284846499E-3</c:v>
                </c:pt>
                <c:pt idx="88">
                  <c:v>3.4643662377305501E-3</c:v>
                </c:pt>
                <c:pt idx="89">
                  <c:v>8.9461507960220104E-3</c:v>
                </c:pt>
                <c:pt idx="90">
                  <c:v>1.12987075482866E-2</c:v>
                </c:pt>
                <c:pt idx="91">
                  <c:v>7.6514440509166497E-3</c:v>
                </c:pt>
                <c:pt idx="92">
                  <c:v>1.37343158935751E-2</c:v>
                </c:pt>
                <c:pt idx="93">
                  <c:v>9.0292482323045403E-3</c:v>
                </c:pt>
                <c:pt idx="94">
                  <c:v>5.0672712219393297E-3</c:v>
                </c:pt>
                <c:pt idx="95">
                  <c:v>5.7427261468746896E-3</c:v>
                </c:pt>
                <c:pt idx="96">
                  <c:v>5.2923586976767302E-3</c:v>
                </c:pt>
                <c:pt idx="97">
                  <c:v>3.75960856627542E-3</c:v>
                </c:pt>
                <c:pt idx="98">
                  <c:v>3.1033528013834498E-3</c:v>
                </c:pt>
                <c:pt idx="99">
                  <c:v>2.6991381480527101E-3</c:v>
                </c:pt>
                <c:pt idx="100">
                  <c:v>2.3889613670741799E-3</c:v>
                </c:pt>
                <c:pt idx="101">
                  <c:v>1.08761849894008E-2</c:v>
                </c:pt>
                <c:pt idx="102">
                  <c:v>-3.7155310559880601E-4</c:v>
                </c:pt>
                <c:pt idx="103">
                  <c:v>4.7339962475595101E-3</c:v>
                </c:pt>
                <c:pt idx="104">
                  <c:v>1.5629038870601001E-3</c:v>
                </c:pt>
                <c:pt idx="105">
                  <c:v>2.5656267018199399E-3</c:v>
                </c:pt>
                <c:pt idx="106">
                  <c:v>-1.0416994850862201E-2</c:v>
                </c:pt>
                <c:pt idx="107">
                  <c:v>-1.0522988479326501E-2</c:v>
                </c:pt>
                <c:pt idx="108">
                  <c:v>-1.5272735046400599E-2</c:v>
                </c:pt>
                <c:pt idx="109">
                  <c:v>-1.7327085254323499E-2</c:v>
                </c:pt>
                <c:pt idx="110">
                  <c:v>-6.9373373769311096E-3</c:v>
                </c:pt>
                <c:pt idx="111">
                  <c:v>-1.35650384815064E-2</c:v>
                </c:pt>
                <c:pt idx="112">
                  <c:v>-1.9375613433192499E-2</c:v>
                </c:pt>
                <c:pt idx="113">
                  <c:v>-2.2322220521071499E-2</c:v>
                </c:pt>
                <c:pt idx="114">
                  <c:v>-2.3835048054497002E-2</c:v>
                </c:pt>
                <c:pt idx="115">
                  <c:v>-2.2770247149758699E-2</c:v>
                </c:pt>
                <c:pt idx="116">
                  <c:v>-2.01425716712107E-2</c:v>
                </c:pt>
                <c:pt idx="117">
                  <c:v>-1.9391922164178399E-2</c:v>
                </c:pt>
                <c:pt idx="118">
                  <c:v>-8.6206824377323497E-3</c:v>
                </c:pt>
                <c:pt idx="119">
                  <c:v>-8.1389957588028701E-4</c:v>
                </c:pt>
                <c:pt idx="120">
                  <c:v>6.6882664926089597E-3</c:v>
                </c:pt>
                <c:pt idx="121">
                  <c:v>2.6072201092729301E-3</c:v>
                </c:pt>
                <c:pt idx="122">
                  <c:v>1.09272845385146E-2</c:v>
                </c:pt>
                <c:pt idx="123">
                  <c:v>1.1091865133102801E-2</c:v>
                </c:pt>
                <c:pt idx="124">
                  <c:v>7.7583140180180104E-3</c:v>
                </c:pt>
                <c:pt idx="125">
                  <c:v>1.2693093644318001E-2</c:v>
                </c:pt>
                <c:pt idx="126">
                  <c:v>8.6455952917702892E-3</c:v>
                </c:pt>
                <c:pt idx="127">
                  <c:v>7.8605133477311594E-3</c:v>
                </c:pt>
                <c:pt idx="128">
                  <c:v>3.93854480768691E-3</c:v>
                </c:pt>
                <c:pt idx="129">
                  <c:v>1.57295361617574E-3</c:v>
                </c:pt>
                <c:pt idx="130">
                  <c:v>9.3326263818569702E-4</c:v>
                </c:pt>
                <c:pt idx="131">
                  <c:v>9.3526383424966802E-3</c:v>
                </c:pt>
                <c:pt idx="132">
                  <c:v>6.8808489559264599E-4</c:v>
                </c:pt>
                <c:pt idx="133">
                  <c:v>5.0330478815710403E-4</c:v>
                </c:pt>
                <c:pt idx="134">
                  <c:v>5.0897796382129096E-3</c:v>
                </c:pt>
                <c:pt idx="135">
                  <c:v>5.9708903282345103E-3</c:v>
                </c:pt>
                <c:pt idx="136">
                  <c:v>-1.05540037187266E-3</c:v>
                </c:pt>
                <c:pt idx="137">
                  <c:v>-8.3780608243056701E-4</c:v>
                </c:pt>
                <c:pt idx="138">
                  <c:v>1.04346495065579E-3</c:v>
                </c:pt>
                <c:pt idx="139">
                  <c:v>3.1593883993748699E-3</c:v>
                </c:pt>
                <c:pt idx="140">
                  <c:v>-1.9211701091484299E-3</c:v>
                </c:pt>
                <c:pt idx="141">
                  <c:v>-7.1250472940435497E-3</c:v>
                </c:pt>
                <c:pt idx="142">
                  <c:v>-8.8235227674189794E-3</c:v>
                </c:pt>
                <c:pt idx="143">
                  <c:v>-6.7893525005131398E-3</c:v>
                </c:pt>
                <c:pt idx="144">
                  <c:v>-2.3091383173231899E-3</c:v>
                </c:pt>
                <c:pt idx="145">
                  <c:v>-7.8472205316257801E-3</c:v>
                </c:pt>
                <c:pt idx="146">
                  <c:v>-4.5217451477549504E-3</c:v>
                </c:pt>
                <c:pt idx="147">
                  <c:v>-6.7992329725872899E-3</c:v>
                </c:pt>
                <c:pt idx="148">
                  <c:v>-4.7888799423883403E-3</c:v>
                </c:pt>
                <c:pt idx="149">
                  <c:v>1.9720538372310099E-3</c:v>
                </c:pt>
                <c:pt idx="150">
                  <c:v>3.2480734627151101E-4</c:v>
                </c:pt>
                <c:pt idx="151">
                  <c:v>-3.5100670833320899E-3</c:v>
                </c:pt>
                <c:pt idx="152">
                  <c:v>5.9622177066835495E-4</c:v>
                </c:pt>
                <c:pt idx="153">
                  <c:v>1.8710983154037999E-3</c:v>
                </c:pt>
                <c:pt idx="154">
                  <c:v>1.21459427150686E-4</c:v>
                </c:pt>
                <c:pt idx="155">
                  <c:v>4.96423168987216E-4</c:v>
                </c:pt>
                <c:pt idx="156">
                  <c:v>7.5717839099082003E-3</c:v>
                </c:pt>
                <c:pt idx="157">
                  <c:v>1.03222769256482E-2</c:v>
                </c:pt>
                <c:pt idx="158">
                  <c:v>2.3583243348137299E-3</c:v>
                </c:pt>
                <c:pt idx="159">
                  <c:v>4.8496968068860299E-3</c:v>
                </c:pt>
                <c:pt idx="160">
                  <c:v>4.0528888942995001E-3</c:v>
                </c:pt>
                <c:pt idx="161">
                  <c:v>9.2444241227897898E-3</c:v>
                </c:pt>
                <c:pt idx="162">
                  <c:v>5.6088694190034602E-3</c:v>
                </c:pt>
                <c:pt idx="163">
                  <c:v>-1.1173145075082801E-3</c:v>
                </c:pt>
                <c:pt idx="164">
                  <c:v>1.26304877258321E-3</c:v>
                </c:pt>
                <c:pt idx="165">
                  <c:v>6.76431388951721E-3</c:v>
                </c:pt>
                <c:pt idx="166">
                  <c:v>5.5287899614044197E-3</c:v>
                </c:pt>
                <c:pt idx="167">
                  <c:v>1.6203402603396901E-4</c:v>
                </c:pt>
                <c:pt idx="168">
                  <c:v>-5.00995336741263E-3</c:v>
                </c:pt>
                <c:pt idx="169">
                  <c:v>-5.0753035505996203E-3</c:v>
                </c:pt>
                <c:pt idx="170">
                  <c:v>-5.0629454672164896E-3</c:v>
                </c:pt>
                <c:pt idx="171">
                  <c:v>-4.0473978597239096E-3</c:v>
                </c:pt>
                <c:pt idx="172">
                  <c:v>-5.1489910592556597E-3</c:v>
                </c:pt>
                <c:pt idx="173">
                  <c:v>-3.6935295477180901E-3</c:v>
                </c:pt>
                <c:pt idx="174">
                  <c:v>-2.1057996764969401E-4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E1-4E2E-B7B8-006835D45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BF B*/BF 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0.98299370828552601</c:v>
                </c:pt>
                <c:pt idx="1">
                  <c:v>0.98299370828552601</c:v>
                </c:pt>
                <c:pt idx="2">
                  <c:v>0.98299370828552601</c:v>
                </c:pt>
                <c:pt idx="3">
                  <c:v>0.98299370828552601</c:v>
                </c:pt>
                <c:pt idx="4">
                  <c:v>0.98299370828552601</c:v>
                </c:pt>
                <c:pt idx="5">
                  <c:v>0.98299370828552601</c:v>
                </c:pt>
                <c:pt idx="6">
                  <c:v>0.98299370828552601</c:v>
                </c:pt>
                <c:pt idx="7">
                  <c:v>0.98299370828552601</c:v>
                </c:pt>
                <c:pt idx="8">
                  <c:v>0.98299370828552601</c:v>
                </c:pt>
                <c:pt idx="9">
                  <c:v>0.98299370828552601</c:v>
                </c:pt>
                <c:pt idx="10">
                  <c:v>0.98299370828552601</c:v>
                </c:pt>
                <c:pt idx="11">
                  <c:v>0.98299370828552601</c:v>
                </c:pt>
                <c:pt idx="12">
                  <c:v>0.98299370828552601</c:v>
                </c:pt>
                <c:pt idx="13">
                  <c:v>0.98299370828552601</c:v>
                </c:pt>
                <c:pt idx="14">
                  <c:v>0.98299370828552601</c:v>
                </c:pt>
                <c:pt idx="15">
                  <c:v>0.98299370828552601</c:v>
                </c:pt>
                <c:pt idx="16">
                  <c:v>0.98299370828552601</c:v>
                </c:pt>
                <c:pt idx="17">
                  <c:v>0.98299370828552601</c:v>
                </c:pt>
                <c:pt idx="18">
                  <c:v>0.98299370828552601</c:v>
                </c:pt>
                <c:pt idx="19">
                  <c:v>0.98299370828552601</c:v>
                </c:pt>
                <c:pt idx="20">
                  <c:v>0.98299370828552601</c:v>
                </c:pt>
                <c:pt idx="21">
                  <c:v>0.98299370828552601</c:v>
                </c:pt>
                <c:pt idx="22">
                  <c:v>0.98299370828552601</c:v>
                </c:pt>
                <c:pt idx="23">
                  <c:v>0.98299370828552601</c:v>
                </c:pt>
                <c:pt idx="24">
                  <c:v>0.98299370828552601</c:v>
                </c:pt>
                <c:pt idx="25">
                  <c:v>0.98299370828552601</c:v>
                </c:pt>
                <c:pt idx="26">
                  <c:v>0.98299370828552601</c:v>
                </c:pt>
                <c:pt idx="27">
                  <c:v>0.98299370828552601</c:v>
                </c:pt>
                <c:pt idx="28">
                  <c:v>0.98299370828552601</c:v>
                </c:pt>
                <c:pt idx="29">
                  <c:v>0.98299370828552601</c:v>
                </c:pt>
                <c:pt idx="30">
                  <c:v>0.98299370828552601</c:v>
                </c:pt>
                <c:pt idx="31">
                  <c:v>0.98299370828552601</c:v>
                </c:pt>
                <c:pt idx="32">
                  <c:v>0.98299370828552601</c:v>
                </c:pt>
                <c:pt idx="33">
                  <c:v>0.98299370828552601</c:v>
                </c:pt>
                <c:pt idx="34">
                  <c:v>0.98299370828552601</c:v>
                </c:pt>
                <c:pt idx="35">
                  <c:v>0.98299370828552601</c:v>
                </c:pt>
                <c:pt idx="36">
                  <c:v>0.98299370828552601</c:v>
                </c:pt>
                <c:pt idx="37">
                  <c:v>0.98299370828552601</c:v>
                </c:pt>
                <c:pt idx="38">
                  <c:v>0.98299370828552601</c:v>
                </c:pt>
                <c:pt idx="39">
                  <c:v>0.98299370828552601</c:v>
                </c:pt>
                <c:pt idx="40">
                  <c:v>0.98299370828552601</c:v>
                </c:pt>
                <c:pt idx="41">
                  <c:v>0.98299370828552601</c:v>
                </c:pt>
                <c:pt idx="42">
                  <c:v>0.98299370828552601</c:v>
                </c:pt>
                <c:pt idx="43">
                  <c:v>0.98299370828552601</c:v>
                </c:pt>
                <c:pt idx="44">
                  <c:v>0.98299370828552601</c:v>
                </c:pt>
                <c:pt idx="45">
                  <c:v>0.98299370828552601</c:v>
                </c:pt>
                <c:pt idx="46">
                  <c:v>0.98299370828552601</c:v>
                </c:pt>
                <c:pt idx="47">
                  <c:v>0.98299370828552601</c:v>
                </c:pt>
                <c:pt idx="48">
                  <c:v>0.98299370828552601</c:v>
                </c:pt>
                <c:pt idx="49">
                  <c:v>0.98299370828552601</c:v>
                </c:pt>
                <c:pt idx="50">
                  <c:v>0.98299370828552601</c:v>
                </c:pt>
                <c:pt idx="51">
                  <c:v>0.98299370828552601</c:v>
                </c:pt>
                <c:pt idx="52">
                  <c:v>0.98299370828552601</c:v>
                </c:pt>
                <c:pt idx="53">
                  <c:v>0.98299370828552601</c:v>
                </c:pt>
                <c:pt idx="54">
                  <c:v>0.98299370828552601</c:v>
                </c:pt>
                <c:pt idx="55">
                  <c:v>0.98299370828552601</c:v>
                </c:pt>
                <c:pt idx="56">
                  <c:v>0.98299370828552601</c:v>
                </c:pt>
                <c:pt idx="57">
                  <c:v>0.98299370828552601</c:v>
                </c:pt>
                <c:pt idx="58">
                  <c:v>0.98299370828552601</c:v>
                </c:pt>
                <c:pt idx="59">
                  <c:v>0.98299370828552601</c:v>
                </c:pt>
                <c:pt idx="60">
                  <c:v>0.98299370828552601</c:v>
                </c:pt>
                <c:pt idx="61">
                  <c:v>0.98299370828552601</c:v>
                </c:pt>
                <c:pt idx="62">
                  <c:v>0.98299370828552601</c:v>
                </c:pt>
                <c:pt idx="63">
                  <c:v>0.98299370828552601</c:v>
                </c:pt>
                <c:pt idx="64">
                  <c:v>0.98299370828552601</c:v>
                </c:pt>
                <c:pt idx="65">
                  <c:v>0.98299370828552601</c:v>
                </c:pt>
                <c:pt idx="66">
                  <c:v>0.98299370828552601</c:v>
                </c:pt>
                <c:pt idx="67">
                  <c:v>0.98299370828552601</c:v>
                </c:pt>
                <c:pt idx="68">
                  <c:v>0.98299370828552601</c:v>
                </c:pt>
                <c:pt idx="69">
                  <c:v>0.98299370828552601</c:v>
                </c:pt>
                <c:pt idx="70">
                  <c:v>0.98299370828552601</c:v>
                </c:pt>
                <c:pt idx="71">
                  <c:v>0.98299370828552601</c:v>
                </c:pt>
                <c:pt idx="72">
                  <c:v>0.98299370828552601</c:v>
                </c:pt>
                <c:pt idx="73">
                  <c:v>0.98299370828552601</c:v>
                </c:pt>
                <c:pt idx="74">
                  <c:v>0.98299370828552601</c:v>
                </c:pt>
                <c:pt idx="75">
                  <c:v>0.98299370828552601</c:v>
                </c:pt>
                <c:pt idx="76">
                  <c:v>0.98299370828552601</c:v>
                </c:pt>
                <c:pt idx="77">
                  <c:v>0.98299370828552601</c:v>
                </c:pt>
                <c:pt idx="78">
                  <c:v>0.98299370828552601</c:v>
                </c:pt>
                <c:pt idx="79">
                  <c:v>0.98299370828552601</c:v>
                </c:pt>
                <c:pt idx="80">
                  <c:v>0.98299370828552601</c:v>
                </c:pt>
                <c:pt idx="81">
                  <c:v>0.98299370828552601</c:v>
                </c:pt>
                <c:pt idx="82">
                  <c:v>0.98299370828552601</c:v>
                </c:pt>
                <c:pt idx="83">
                  <c:v>0.98299370828552601</c:v>
                </c:pt>
                <c:pt idx="84">
                  <c:v>0.98299370828552601</c:v>
                </c:pt>
                <c:pt idx="85">
                  <c:v>0.98299370828552601</c:v>
                </c:pt>
                <c:pt idx="86">
                  <c:v>0.98299370828552601</c:v>
                </c:pt>
                <c:pt idx="87">
                  <c:v>0.98299370828552601</c:v>
                </c:pt>
                <c:pt idx="88">
                  <c:v>0.98299370828552601</c:v>
                </c:pt>
                <c:pt idx="89">
                  <c:v>0.98299370828552601</c:v>
                </c:pt>
                <c:pt idx="90">
                  <c:v>0.98299370828552601</c:v>
                </c:pt>
                <c:pt idx="91">
                  <c:v>0.98299370828552601</c:v>
                </c:pt>
                <c:pt idx="92">
                  <c:v>0.98299370828552601</c:v>
                </c:pt>
                <c:pt idx="93">
                  <c:v>0.98299370828552601</c:v>
                </c:pt>
                <c:pt idx="94">
                  <c:v>0.98299370828552601</c:v>
                </c:pt>
                <c:pt idx="95">
                  <c:v>0.98299370828552601</c:v>
                </c:pt>
                <c:pt idx="96">
                  <c:v>0.98299370828552601</c:v>
                </c:pt>
                <c:pt idx="97">
                  <c:v>0.98299370828552601</c:v>
                </c:pt>
                <c:pt idx="98">
                  <c:v>0.98299370828552601</c:v>
                </c:pt>
                <c:pt idx="99">
                  <c:v>0.98299370828552601</c:v>
                </c:pt>
                <c:pt idx="100">
                  <c:v>0.98299370828552601</c:v>
                </c:pt>
                <c:pt idx="101">
                  <c:v>0.98299370828552601</c:v>
                </c:pt>
                <c:pt idx="102">
                  <c:v>0.98299370828552601</c:v>
                </c:pt>
                <c:pt idx="103">
                  <c:v>0.98299370828552601</c:v>
                </c:pt>
                <c:pt idx="104">
                  <c:v>0.98299370828552601</c:v>
                </c:pt>
                <c:pt idx="105">
                  <c:v>0.98299370828552601</c:v>
                </c:pt>
                <c:pt idx="106">
                  <c:v>0.98299370828552601</c:v>
                </c:pt>
                <c:pt idx="107">
                  <c:v>0.98299370828552601</c:v>
                </c:pt>
                <c:pt idx="108">
                  <c:v>0.98299370828552601</c:v>
                </c:pt>
                <c:pt idx="109">
                  <c:v>0.98299370828552601</c:v>
                </c:pt>
                <c:pt idx="110">
                  <c:v>0.98299370828552601</c:v>
                </c:pt>
                <c:pt idx="111">
                  <c:v>0.98299370828552601</c:v>
                </c:pt>
                <c:pt idx="112">
                  <c:v>0.98299370828552601</c:v>
                </c:pt>
                <c:pt idx="113">
                  <c:v>0.98299370828552601</c:v>
                </c:pt>
                <c:pt idx="114">
                  <c:v>0.98299370828552601</c:v>
                </c:pt>
                <c:pt idx="115">
                  <c:v>0.98299370828552601</c:v>
                </c:pt>
                <c:pt idx="116">
                  <c:v>0.98299370828552601</c:v>
                </c:pt>
                <c:pt idx="117">
                  <c:v>0.98299370828552601</c:v>
                </c:pt>
                <c:pt idx="118">
                  <c:v>0.98299370828552601</c:v>
                </c:pt>
                <c:pt idx="119">
                  <c:v>0.98299370828552601</c:v>
                </c:pt>
                <c:pt idx="120">
                  <c:v>0.98299370828552601</c:v>
                </c:pt>
                <c:pt idx="121">
                  <c:v>0.98299370828552601</c:v>
                </c:pt>
                <c:pt idx="122">
                  <c:v>0.98299370828552601</c:v>
                </c:pt>
                <c:pt idx="123">
                  <c:v>0.98299370828552601</c:v>
                </c:pt>
                <c:pt idx="124">
                  <c:v>0.98299370828552601</c:v>
                </c:pt>
                <c:pt idx="125">
                  <c:v>0.98299370828552601</c:v>
                </c:pt>
                <c:pt idx="126">
                  <c:v>0.98299370828552601</c:v>
                </c:pt>
                <c:pt idx="127">
                  <c:v>0.98299370828552601</c:v>
                </c:pt>
                <c:pt idx="128">
                  <c:v>0.98299370828552601</c:v>
                </c:pt>
                <c:pt idx="129">
                  <c:v>0.98299370828552601</c:v>
                </c:pt>
                <c:pt idx="130">
                  <c:v>0.98299370828552601</c:v>
                </c:pt>
                <c:pt idx="131">
                  <c:v>0.98299370828552601</c:v>
                </c:pt>
                <c:pt idx="132">
                  <c:v>0.98299370828552601</c:v>
                </c:pt>
                <c:pt idx="133">
                  <c:v>0.98299370828552601</c:v>
                </c:pt>
                <c:pt idx="134">
                  <c:v>0.98299370828552601</c:v>
                </c:pt>
                <c:pt idx="135">
                  <c:v>0.98299370828552601</c:v>
                </c:pt>
                <c:pt idx="136">
                  <c:v>0.98299370828552601</c:v>
                </c:pt>
                <c:pt idx="137">
                  <c:v>0.98299370828552601</c:v>
                </c:pt>
                <c:pt idx="138">
                  <c:v>0.98299370828552601</c:v>
                </c:pt>
                <c:pt idx="139">
                  <c:v>0.98299370828552601</c:v>
                </c:pt>
                <c:pt idx="140">
                  <c:v>0.98299370828552601</c:v>
                </c:pt>
                <c:pt idx="141">
                  <c:v>0.98299370828552601</c:v>
                </c:pt>
                <c:pt idx="142">
                  <c:v>0.98299370828552601</c:v>
                </c:pt>
                <c:pt idx="143">
                  <c:v>0.98299370828552601</c:v>
                </c:pt>
                <c:pt idx="144">
                  <c:v>0.98299370828552601</c:v>
                </c:pt>
                <c:pt idx="145">
                  <c:v>0.98299370828552601</c:v>
                </c:pt>
                <c:pt idx="146">
                  <c:v>0.98299370828552601</c:v>
                </c:pt>
                <c:pt idx="147">
                  <c:v>0.98299370828552601</c:v>
                </c:pt>
                <c:pt idx="148">
                  <c:v>0.98299370828552601</c:v>
                </c:pt>
                <c:pt idx="149">
                  <c:v>0.98299370828552601</c:v>
                </c:pt>
                <c:pt idx="150">
                  <c:v>0.98299370828552601</c:v>
                </c:pt>
                <c:pt idx="151">
                  <c:v>0.98299370828552601</c:v>
                </c:pt>
                <c:pt idx="152">
                  <c:v>0.98299370828552601</c:v>
                </c:pt>
                <c:pt idx="153">
                  <c:v>0.98299370828552601</c:v>
                </c:pt>
                <c:pt idx="154">
                  <c:v>0.98299370828552601</c:v>
                </c:pt>
                <c:pt idx="155">
                  <c:v>0.98299370828552601</c:v>
                </c:pt>
                <c:pt idx="156">
                  <c:v>0.98299370828552601</c:v>
                </c:pt>
                <c:pt idx="157">
                  <c:v>0.98299370828552601</c:v>
                </c:pt>
                <c:pt idx="158">
                  <c:v>0.98299370828552601</c:v>
                </c:pt>
                <c:pt idx="159">
                  <c:v>0.98299370828552601</c:v>
                </c:pt>
                <c:pt idx="160">
                  <c:v>0.98299370828552601</c:v>
                </c:pt>
                <c:pt idx="161">
                  <c:v>0.98299370828552601</c:v>
                </c:pt>
                <c:pt idx="162">
                  <c:v>0.98299370828552601</c:v>
                </c:pt>
                <c:pt idx="163">
                  <c:v>0.98299370828552601</c:v>
                </c:pt>
                <c:pt idx="164">
                  <c:v>0.98299370828552601</c:v>
                </c:pt>
                <c:pt idx="165">
                  <c:v>0.98299370828552601</c:v>
                </c:pt>
                <c:pt idx="166">
                  <c:v>0.98299370828552601</c:v>
                </c:pt>
                <c:pt idx="167">
                  <c:v>0.98299370828552601</c:v>
                </c:pt>
                <c:pt idx="168">
                  <c:v>0.98299370828552601</c:v>
                </c:pt>
                <c:pt idx="169">
                  <c:v>0.98299370828552601</c:v>
                </c:pt>
                <c:pt idx="170">
                  <c:v>0.98299370828552601</c:v>
                </c:pt>
                <c:pt idx="171">
                  <c:v>0.98299370828552601</c:v>
                </c:pt>
                <c:pt idx="172">
                  <c:v>0.98299370828552601</c:v>
                </c:pt>
                <c:pt idx="173">
                  <c:v>0.98299370828552601</c:v>
                </c:pt>
                <c:pt idx="174">
                  <c:v>0.98299370828552601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8-48C8-97A8-2C32FC6F7709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BF B*/BF 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0.99279621903919602</c:v>
                </c:pt>
                <c:pt idx="10">
                  <c:v>0.99227488336079805</c:v>
                </c:pt>
                <c:pt idx="11">
                  <c:v>0.99198635881653996</c:v>
                </c:pt>
                <c:pt idx="12">
                  <c:v>0.99202511693342299</c:v>
                </c:pt>
                <c:pt idx="13">
                  <c:v>0.99166747055627802</c:v>
                </c:pt>
                <c:pt idx="14">
                  <c:v>0.99128393760037103</c:v>
                </c:pt>
                <c:pt idx="15">
                  <c:v>0.99092333541088495</c:v>
                </c:pt>
                <c:pt idx="16">
                  <c:v>0.99045300186957297</c:v>
                </c:pt>
                <c:pt idx="17">
                  <c:v>0.99008202740680695</c:v>
                </c:pt>
                <c:pt idx="18">
                  <c:v>0.98916581013372495</c:v>
                </c:pt>
                <c:pt idx="19">
                  <c:v>0.98834474397318794</c:v>
                </c:pt>
                <c:pt idx="20">
                  <c:v>0.98750331498224297</c:v>
                </c:pt>
                <c:pt idx="21">
                  <c:v>0.986914779327001</c:v>
                </c:pt>
                <c:pt idx="22">
                  <c:v>0.98596746323596995</c:v>
                </c:pt>
                <c:pt idx="23">
                  <c:v>0.98550059077216201</c:v>
                </c:pt>
                <c:pt idx="24">
                  <c:v>0.98526762430195802</c:v>
                </c:pt>
                <c:pt idx="25">
                  <c:v>0.98464385137771604</c:v>
                </c:pt>
                <c:pt idx="26">
                  <c:v>0.98461855297570999</c:v>
                </c:pt>
                <c:pt idx="27">
                  <c:v>0.98528237943366004</c:v>
                </c:pt>
                <c:pt idx="28">
                  <c:v>0.98626848255314603</c:v>
                </c:pt>
                <c:pt idx="29">
                  <c:v>0.98702792706747899</c:v>
                </c:pt>
                <c:pt idx="30">
                  <c:v>0.98805064104909301</c:v>
                </c:pt>
                <c:pt idx="31">
                  <c:v>0.98831708885628999</c:v>
                </c:pt>
                <c:pt idx="32">
                  <c:v>0.98812595240721501</c:v>
                </c:pt>
                <c:pt idx="33">
                  <c:v>0.988501931510126</c:v>
                </c:pt>
                <c:pt idx="34">
                  <c:v>0.98814715236533102</c:v>
                </c:pt>
                <c:pt idx="35">
                  <c:v>0.988324394719444</c:v>
                </c:pt>
                <c:pt idx="36">
                  <c:v>0.98768849654965996</c:v>
                </c:pt>
                <c:pt idx="37">
                  <c:v>0.98667365929226802</c:v>
                </c:pt>
                <c:pt idx="38">
                  <c:v>0.985521894183082</c:v>
                </c:pt>
                <c:pt idx="39">
                  <c:v>0.98491312304329603</c:v>
                </c:pt>
                <c:pt idx="40">
                  <c:v>0.98429468307001799</c:v>
                </c:pt>
                <c:pt idx="41">
                  <c:v>0.98347511089279105</c:v>
                </c:pt>
                <c:pt idx="42">
                  <c:v>0.98297394924324899</c:v>
                </c:pt>
                <c:pt idx="43">
                  <c:v>0.98226273999545399</c:v>
                </c:pt>
                <c:pt idx="44">
                  <c:v>0.98176709292487196</c:v>
                </c:pt>
                <c:pt idx="45">
                  <c:v>0.98171260483594602</c:v>
                </c:pt>
                <c:pt idx="46">
                  <c:v>0.98187666792247197</c:v>
                </c:pt>
                <c:pt idx="47">
                  <c:v>0.98170968866222497</c:v>
                </c:pt>
                <c:pt idx="48">
                  <c:v>0.98190325197516504</c:v>
                </c:pt>
                <c:pt idx="49">
                  <c:v>0.98161823712004703</c:v>
                </c:pt>
                <c:pt idx="50">
                  <c:v>0.98122508392315599</c:v>
                </c:pt>
                <c:pt idx="51">
                  <c:v>0.98218018070364399</c:v>
                </c:pt>
                <c:pt idx="52">
                  <c:v>0.98316552172766003</c:v>
                </c:pt>
                <c:pt idx="53">
                  <c:v>0.98275857048487503</c:v>
                </c:pt>
                <c:pt idx="54">
                  <c:v>0.98300012638091006</c:v>
                </c:pt>
                <c:pt idx="55">
                  <c:v>0.98278820248632304</c:v>
                </c:pt>
                <c:pt idx="56">
                  <c:v>0.983020323882978</c:v>
                </c:pt>
                <c:pt idx="57">
                  <c:v>0.98422126532943399</c:v>
                </c:pt>
                <c:pt idx="58">
                  <c:v>0.98573069929169799</c:v>
                </c:pt>
                <c:pt idx="59">
                  <c:v>0.98670100054554</c:v>
                </c:pt>
                <c:pt idx="60">
                  <c:v>0.98705129737258701</c:v>
                </c:pt>
                <c:pt idx="61">
                  <c:v>0.98695410152568097</c:v>
                </c:pt>
                <c:pt idx="62">
                  <c:v>0.98688596947217899</c:v>
                </c:pt>
                <c:pt idx="63">
                  <c:v>0.98764703724446701</c:v>
                </c:pt>
                <c:pt idx="64">
                  <c:v>0.989042536542315</c:v>
                </c:pt>
                <c:pt idx="65">
                  <c:v>0.98919042813903901</c:v>
                </c:pt>
                <c:pt idx="66">
                  <c:v>0.99048633193812596</c:v>
                </c:pt>
                <c:pt idx="67">
                  <c:v>0.99074116965737302</c:v>
                </c:pt>
                <c:pt idx="68">
                  <c:v>0.98965972322276696</c:v>
                </c:pt>
                <c:pt idx="69">
                  <c:v>0.98892626841457898</c:v>
                </c:pt>
                <c:pt idx="70">
                  <c:v>0.98853724732462001</c:v>
                </c:pt>
                <c:pt idx="71">
                  <c:v>0.98876575351571505</c:v>
                </c:pt>
                <c:pt idx="72">
                  <c:v>0.98806993783386199</c:v>
                </c:pt>
                <c:pt idx="73">
                  <c:v>0.98760407375542503</c:v>
                </c:pt>
                <c:pt idx="74">
                  <c:v>0.985980332510624</c:v>
                </c:pt>
                <c:pt idx="75">
                  <c:v>0.98600378381387899</c:v>
                </c:pt>
                <c:pt idx="76">
                  <c:v>0.98446782814957101</c:v>
                </c:pt>
                <c:pt idx="77">
                  <c:v>0.98313337636529297</c:v>
                </c:pt>
                <c:pt idx="78">
                  <c:v>0.98233004328354001</c:v>
                </c:pt>
                <c:pt idx="79">
                  <c:v>0.98152127595086203</c:v>
                </c:pt>
                <c:pt idx="80">
                  <c:v>0.98113014050103797</c:v>
                </c:pt>
                <c:pt idx="81">
                  <c:v>0.98026404790725297</c:v>
                </c:pt>
                <c:pt idx="82">
                  <c:v>0.97980852215048697</c:v>
                </c:pt>
                <c:pt idx="83">
                  <c:v>0.97979779016517599</c:v>
                </c:pt>
                <c:pt idx="84">
                  <c:v>0.97971139485814196</c:v>
                </c:pt>
                <c:pt idx="85">
                  <c:v>0.97919522437195605</c:v>
                </c:pt>
                <c:pt idx="86">
                  <c:v>0.97811943124940304</c:v>
                </c:pt>
                <c:pt idx="87">
                  <c:v>0.97776321044032899</c:v>
                </c:pt>
                <c:pt idx="88">
                  <c:v>0.97735374378043105</c:v>
                </c:pt>
                <c:pt idx="89">
                  <c:v>0.97682441607746795</c:v>
                </c:pt>
                <c:pt idx="90">
                  <c:v>0.97572820271553695</c:v>
                </c:pt>
                <c:pt idx="91">
                  <c:v>0.97476597633551998</c:v>
                </c:pt>
                <c:pt idx="92">
                  <c:v>0.97359052210278996</c:v>
                </c:pt>
                <c:pt idx="93">
                  <c:v>0.97236983890006601</c:v>
                </c:pt>
                <c:pt idx="94">
                  <c:v>0.971682256177407</c:v>
                </c:pt>
                <c:pt idx="95">
                  <c:v>0.97076219407452002</c:v>
                </c:pt>
                <c:pt idx="96">
                  <c:v>0.97065323571642304</c:v>
                </c:pt>
                <c:pt idx="97">
                  <c:v>0.97012396901314102</c:v>
                </c:pt>
                <c:pt idx="98">
                  <c:v>0.96951079361326897</c:v>
                </c:pt>
                <c:pt idx="99">
                  <c:v>0.96948011456916305</c:v>
                </c:pt>
                <c:pt idx="100">
                  <c:v>0.96974596379467404</c:v>
                </c:pt>
                <c:pt idx="101">
                  <c:v>0.96887030344334901</c:v>
                </c:pt>
                <c:pt idx="102">
                  <c:v>0.96967010369100604</c:v>
                </c:pt>
                <c:pt idx="103">
                  <c:v>0.96958221718769599</c:v>
                </c:pt>
                <c:pt idx="104">
                  <c:v>0.96941315994442101</c:v>
                </c:pt>
                <c:pt idx="105">
                  <c:v>0.96920827121473896</c:v>
                </c:pt>
                <c:pt idx="106">
                  <c:v>0.97023926853342601</c:v>
                </c:pt>
                <c:pt idx="107">
                  <c:v>0.97123749515434199</c:v>
                </c:pt>
                <c:pt idx="108">
                  <c:v>0.97270686363312497</c:v>
                </c:pt>
                <c:pt idx="109">
                  <c:v>0.97443421897830096</c:v>
                </c:pt>
                <c:pt idx="110">
                  <c:v>0.97522353771348103</c:v>
                </c:pt>
                <c:pt idx="111">
                  <c:v>0.97757870604999597</c:v>
                </c:pt>
                <c:pt idx="112">
                  <c:v>0.97958729648438503</c:v>
                </c:pt>
                <c:pt idx="113">
                  <c:v>0.98254606893777896</c:v>
                </c:pt>
                <c:pt idx="114">
                  <c:v>0.98556091687438596</c:v>
                </c:pt>
                <c:pt idx="115">
                  <c:v>0.98875483322419599</c:v>
                </c:pt>
                <c:pt idx="116">
                  <c:v>0.99063066530461796</c:v>
                </c:pt>
                <c:pt idx="117">
                  <c:v>0.99252275143970103</c:v>
                </c:pt>
                <c:pt idx="118">
                  <c:v>0.99299892352528996</c:v>
                </c:pt>
                <c:pt idx="119">
                  <c:v>0.99255604613252502</c:v>
                </c:pt>
                <c:pt idx="120">
                  <c:v>0.99237762604242297</c:v>
                </c:pt>
                <c:pt idx="121">
                  <c:v>0.99192487751196601</c:v>
                </c:pt>
                <c:pt idx="122">
                  <c:v>0.99010332893518305</c:v>
                </c:pt>
                <c:pt idx="123">
                  <c:v>0.98783859763211801</c:v>
                </c:pt>
                <c:pt idx="124">
                  <c:v>0.98563563011872801</c:v>
                </c:pt>
                <c:pt idx="125">
                  <c:v>0.98295233457828901</c:v>
                </c:pt>
                <c:pt idx="126">
                  <c:v>0.98079896808661104</c:v>
                </c:pt>
                <c:pt idx="127">
                  <c:v>0.97863536184418098</c:v>
                </c:pt>
                <c:pt idx="128">
                  <c:v>0.97776773721171795</c:v>
                </c:pt>
                <c:pt idx="129">
                  <c:v>0.97778587958257002</c:v>
                </c:pt>
                <c:pt idx="130">
                  <c:v>0.97851715609753398</c:v>
                </c:pt>
                <c:pt idx="131">
                  <c:v>0.97802064463372596</c:v>
                </c:pt>
                <c:pt idx="132">
                  <c:v>0.97904519880478402</c:v>
                </c:pt>
                <c:pt idx="133">
                  <c:v>0.98005489352071695</c:v>
                </c:pt>
                <c:pt idx="134">
                  <c:v>0.98019218567326905</c:v>
                </c:pt>
                <c:pt idx="135">
                  <c:v>0.98058173352595401</c:v>
                </c:pt>
                <c:pt idx="136">
                  <c:v>0.98112540422683503</c:v>
                </c:pt>
                <c:pt idx="137">
                  <c:v>0.981504146378682</c:v>
                </c:pt>
                <c:pt idx="138">
                  <c:v>0.98123841392766298</c:v>
                </c:pt>
                <c:pt idx="139">
                  <c:v>0.98049628811519096</c:v>
                </c:pt>
                <c:pt idx="140">
                  <c:v>0.98017349011907595</c:v>
                </c:pt>
                <c:pt idx="141">
                  <c:v>0.98118092006426405</c:v>
                </c:pt>
                <c:pt idx="142">
                  <c:v>0.98157965090799804</c:v>
                </c:pt>
                <c:pt idx="143">
                  <c:v>0.98187084180583595</c:v>
                </c:pt>
                <c:pt idx="144">
                  <c:v>0.98229876851253295</c:v>
                </c:pt>
                <c:pt idx="145">
                  <c:v>0.983490097992606</c:v>
                </c:pt>
                <c:pt idx="146">
                  <c:v>0.98385837280947896</c:v>
                </c:pt>
                <c:pt idx="147">
                  <c:v>0.98459941828858499</c:v>
                </c:pt>
                <c:pt idx="148">
                  <c:v>0.98547173534958099</c:v>
                </c:pt>
                <c:pt idx="149">
                  <c:v>0.98597217815204996</c:v>
                </c:pt>
                <c:pt idx="150">
                  <c:v>0.98616127162692102</c:v>
                </c:pt>
                <c:pt idx="151">
                  <c:v>0.98618890214206201</c:v>
                </c:pt>
                <c:pt idx="152">
                  <c:v>0.985670505521966</c:v>
                </c:pt>
                <c:pt idx="153">
                  <c:v>0.98515006383842696</c:v>
                </c:pt>
                <c:pt idx="154">
                  <c:v>0.98516609779156605</c:v>
                </c:pt>
                <c:pt idx="155">
                  <c:v>0.98459293667660897</c:v>
                </c:pt>
                <c:pt idx="156">
                  <c:v>0.98360615853155797</c:v>
                </c:pt>
                <c:pt idx="157">
                  <c:v>0.98204968808937199</c:v>
                </c:pt>
                <c:pt idx="158">
                  <c:v>0.98137343785289599</c:v>
                </c:pt>
                <c:pt idx="159">
                  <c:v>0.98109814535461604</c:v>
                </c:pt>
                <c:pt idx="160">
                  <c:v>0.98076236001013495</c:v>
                </c:pt>
                <c:pt idx="161">
                  <c:v>0.97954113435906598</c:v>
                </c:pt>
                <c:pt idx="162">
                  <c:v>0.97896804400636395</c:v>
                </c:pt>
                <c:pt idx="163">
                  <c:v>0.979131154803774</c:v>
                </c:pt>
                <c:pt idx="164">
                  <c:v>0.97888214454784295</c:v>
                </c:pt>
                <c:pt idx="165">
                  <c:v>0.97809810566196398</c:v>
                </c:pt>
                <c:pt idx="166">
                  <c:v>0.978029719053221</c:v>
                </c:pt>
                <c:pt idx="167">
                  <c:v>0.97873260793338701</c:v>
                </c:pt>
                <c:pt idx="168">
                  <c:v>0.979163297828747</c:v>
                </c:pt>
                <c:pt idx="169">
                  <c:v>0.97982243208812803</c:v>
                </c:pt>
                <c:pt idx="170">
                  <c:v>0.98041041442384802</c:v>
                </c:pt>
                <c:pt idx="171">
                  <c:v>0.98142552257429205</c:v>
                </c:pt>
                <c:pt idx="172">
                  <c:v>0.98224323857562201</c:v>
                </c:pt>
                <c:pt idx="173">
                  <c:v>0.982324917226154</c:v>
                </c:pt>
                <c:pt idx="174">
                  <c:v>0.98232828507999004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8-48C8-97A8-2C32FC6F7709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BF B*/BF 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0.99057048150619198</c:v>
                </c:pt>
                <c:pt idx="20">
                  <c:v>0.98988909917152101</c:v>
                </c:pt>
                <c:pt idx="21">
                  <c:v>0.98945056907177098</c:v>
                </c:pt>
                <c:pt idx="22">
                  <c:v>0.98899629008469603</c:v>
                </c:pt>
                <c:pt idx="23">
                  <c:v>0.98858403066421996</c:v>
                </c:pt>
                <c:pt idx="24">
                  <c:v>0.98827578095116497</c:v>
                </c:pt>
                <c:pt idx="25">
                  <c:v>0.9877835933943</c:v>
                </c:pt>
                <c:pt idx="26">
                  <c:v>0.98753577742264098</c:v>
                </c:pt>
                <c:pt idx="27">
                  <c:v>0.98768220342023305</c:v>
                </c:pt>
                <c:pt idx="28">
                  <c:v>0.98771714634343599</c:v>
                </c:pt>
                <c:pt idx="29">
                  <c:v>0.98768633552033303</c:v>
                </c:pt>
                <c:pt idx="30">
                  <c:v>0.98777697801566799</c:v>
                </c:pt>
                <c:pt idx="31">
                  <c:v>0.98761593409164605</c:v>
                </c:pt>
                <c:pt idx="32">
                  <c:v>0.98704670782159198</c:v>
                </c:pt>
                <c:pt idx="33">
                  <c:v>0.98700126114114395</c:v>
                </c:pt>
                <c:pt idx="34">
                  <c:v>0.98670738833364402</c:v>
                </c:pt>
                <c:pt idx="35">
                  <c:v>0.98648412304858002</c:v>
                </c:pt>
                <c:pt idx="36">
                  <c:v>0.98615352476268503</c:v>
                </c:pt>
                <c:pt idx="37">
                  <c:v>0.98597801936296403</c:v>
                </c:pt>
                <c:pt idx="38">
                  <c:v>0.98589518836811396</c:v>
                </c:pt>
                <c:pt idx="39">
                  <c:v>0.98597052505538796</c:v>
                </c:pt>
                <c:pt idx="40">
                  <c:v>0.98617266205955501</c:v>
                </c:pt>
                <c:pt idx="41">
                  <c:v>0.98589609987454097</c:v>
                </c:pt>
                <c:pt idx="42">
                  <c:v>0.985549950825232</c:v>
                </c:pt>
                <c:pt idx="43">
                  <c:v>0.98538233575279</c:v>
                </c:pt>
                <c:pt idx="44">
                  <c:v>0.98495712264510105</c:v>
                </c:pt>
                <c:pt idx="45">
                  <c:v>0.98501849977769496</c:v>
                </c:pt>
                <c:pt idx="46">
                  <c:v>0.98478258223606596</c:v>
                </c:pt>
                <c:pt idx="47">
                  <c:v>0.98419167397724605</c:v>
                </c:pt>
                <c:pt idx="48">
                  <c:v>0.98371257307912296</c:v>
                </c:pt>
                <c:pt idx="49">
                  <c:v>0.98326568008167203</c:v>
                </c:pt>
                <c:pt idx="50">
                  <c:v>0.98275988349658705</c:v>
                </c:pt>
                <c:pt idx="51">
                  <c:v>0.98282764579821702</c:v>
                </c:pt>
                <c:pt idx="52">
                  <c:v>0.98306973548545495</c:v>
                </c:pt>
                <c:pt idx="53">
                  <c:v>0.98251065524016501</c:v>
                </c:pt>
                <c:pt idx="54">
                  <c:v>0.98238360965289095</c:v>
                </c:pt>
                <c:pt idx="55">
                  <c:v>0.98225040366113503</c:v>
                </c:pt>
                <c:pt idx="56">
                  <c:v>0.98244849590272498</c:v>
                </c:pt>
                <c:pt idx="57">
                  <c:v>0.98296547699582904</c:v>
                </c:pt>
                <c:pt idx="58">
                  <c:v>0.98381697563343096</c:v>
                </c:pt>
                <c:pt idx="59">
                  <c:v>0.98415961883279302</c:v>
                </c:pt>
                <c:pt idx="60">
                  <c:v>0.984138190647872</c:v>
                </c:pt>
                <c:pt idx="61">
                  <c:v>0.98456714111466204</c:v>
                </c:pt>
                <c:pt idx="62">
                  <c:v>0.98502574559991996</c:v>
                </c:pt>
                <c:pt idx="63">
                  <c:v>0.98520280386467096</c:v>
                </c:pt>
                <c:pt idx="64">
                  <c:v>0.98602133146161197</c:v>
                </c:pt>
                <c:pt idx="65">
                  <c:v>0.98598931531268097</c:v>
                </c:pt>
                <c:pt idx="66">
                  <c:v>0.98675332791055204</c:v>
                </c:pt>
                <c:pt idx="67">
                  <c:v>0.98748121749340301</c:v>
                </c:pt>
                <c:pt idx="68">
                  <c:v>0.98769521125723203</c:v>
                </c:pt>
                <c:pt idx="69">
                  <c:v>0.98781363448005899</c:v>
                </c:pt>
                <c:pt idx="70">
                  <c:v>0.98779427234860395</c:v>
                </c:pt>
                <c:pt idx="71">
                  <c:v>0.98785992752069796</c:v>
                </c:pt>
                <c:pt idx="72">
                  <c:v>0.98747795365302105</c:v>
                </c:pt>
                <c:pt idx="73">
                  <c:v>0.98762555549994602</c:v>
                </c:pt>
                <c:pt idx="74">
                  <c:v>0.98751143452646994</c:v>
                </c:pt>
                <c:pt idx="75">
                  <c:v>0.987597105976459</c:v>
                </c:pt>
                <c:pt idx="76">
                  <c:v>0.98747708004384904</c:v>
                </c:pt>
                <c:pt idx="77">
                  <c:v>0.98693727301133305</c:v>
                </c:pt>
                <c:pt idx="78">
                  <c:v>0.98599488325315399</c:v>
                </c:pt>
                <c:pt idx="79">
                  <c:v>0.98522377218272095</c:v>
                </c:pt>
                <c:pt idx="80">
                  <c:v>0.98483369391282904</c:v>
                </c:pt>
                <c:pt idx="81">
                  <c:v>0.98451490071148395</c:v>
                </c:pt>
                <c:pt idx="82">
                  <c:v>0.98393922999217498</c:v>
                </c:pt>
                <c:pt idx="83">
                  <c:v>0.98370093196030095</c:v>
                </c:pt>
                <c:pt idx="84">
                  <c:v>0.98284586368438298</c:v>
                </c:pt>
                <c:pt idx="85">
                  <c:v>0.98259950409291696</c:v>
                </c:pt>
                <c:pt idx="86">
                  <c:v>0.98129362969948697</c:v>
                </c:pt>
                <c:pt idx="87">
                  <c:v>0.98044829340281103</c:v>
                </c:pt>
                <c:pt idx="88">
                  <c:v>0.97984189353198603</c:v>
                </c:pt>
                <c:pt idx="89">
                  <c:v>0.97917284601416499</c:v>
                </c:pt>
                <c:pt idx="90">
                  <c:v>0.97842917160828702</c:v>
                </c:pt>
                <c:pt idx="91">
                  <c:v>0.97751501212138603</c:v>
                </c:pt>
                <c:pt idx="92">
                  <c:v>0.97669952212663802</c:v>
                </c:pt>
                <c:pt idx="93">
                  <c:v>0.97608381453262105</c:v>
                </c:pt>
                <c:pt idx="94">
                  <c:v>0.97569682551777404</c:v>
                </c:pt>
                <c:pt idx="95">
                  <c:v>0.97497870922323804</c:v>
                </c:pt>
                <c:pt idx="96">
                  <c:v>0.97438633348291304</c:v>
                </c:pt>
                <c:pt idx="97">
                  <c:v>0.973943589726735</c:v>
                </c:pt>
                <c:pt idx="98">
                  <c:v>0.97343226869684996</c:v>
                </c:pt>
                <c:pt idx="99">
                  <c:v>0.973152265323316</c:v>
                </c:pt>
                <c:pt idx="100">
                  <c:v>0.972737083255105</c:v>
                </c:pt>
                <c:pt idx="101">
                  <c:v>0.971818139889435</c:v>
                </c:pt>
                <c:pt idx="102">
                  <c:v>0.97163031289689805</c:v>
                </c:pt>
                <c:pt idx="103">
                  <c:v>0.97097602804388095</c:v>
                </c:pt>
                <c:pt idx="104">
                  <c:v>0.97054770806091395</c:v>
                </c:pt>
                <c:pt idx="105">
                  <c:v>0.96998523264462899</c:v>
                </c:pt>
                <c:pt idx="106">
                  <c:v>0.97044625212492497</c:v>
                </c:pt>
                <c:pt idx="107">
                  <c:v>0.97068073208374195</c:v>
                </c:pt>
                <c:pt idx="108">
                  <c:v>0.97110882862319703</c:v>
                </c:pt>
                <c:pt idx="109">
                  <c:v>0.97195716677373201</c:v>
                </c:pt>
                <c:pt idx="110">
                  <c:v>0.97248475075407803</c:v>
                </c:pt>
                <c:pt idx="111">
                  <c:v>0.97322450474667299</c:v>
                </c:pt>
                <c:pt idx="112">
                  <c:v>0.97462870008769598</c:v>
                </c:pt>
                <c:pt idx="113">
                  <c:v>0.97606414306273803</c:v>
                </c:pt>
                <c:pt idx="114">
                  <c:v>0.97748703840940299</c:v>
                </c:pt>
                <c:pt idx="115">
                  <c:v>0.97898155221946803</c:v>
                </c:pt>
                <c:pt idx="116">
                  <c:v>0.98043496691902199</c:v>
                </c:pt>
                <c:pt idx="117">
                  <c:v>0.98188012329702101</c:v>
                </c:pt>
                <c:pt idx="118">
                  <c:v>0.98285289357920802</c:v>
                </c:pt>
                <c:pt idx="119">
                  <c:v>0.98349513255541299</c:v>
                </c:pt>
                <c:pt idx="120">
                  <c:v>0.98380058187795205</c:v>
                </c:pt>
                <c:pt idx="121">
                  <c:v>0.98475179178098105</c:v>
                </c:pt>
                <c:pt idx="122">
                  <c:v>0.98484531270978404</c:v>
                </c:pt>
                <c:pt idx="123">
                  <c:v>0.98519233328494804</c:v>
                </c:pt>
                <c:pt idx="124">
                  <c:v>0.98559827349655704</c:v>
                </c:pt>
                <c:pt idx="125">
                  <c:v>0.985853583901243</c:v>
                </c:pt>
                <c:pt idx="126">
                  <c:v>0.985714816695614</c:v>
                </c:pt>
                <c:pt idx="127">
                  <c:v>0.98557905664194101</c:v>
                </c:pt>
                <c:pt idx="128">
                  <c:v>0.98538333036850401</c:v>
                </c:pt>
                <c:pt idx="129">
                  <c:v>0.98517096285754702</c:v>
                </c:pt>
                <c:pt idx="130">
                  <c:v>0.98544739106997803</c:v>
                </c:pt>
                <c:pt idx="131">
                  <c:v>0.98497276107284604</c:v>
                </c:pt>
                <c:pt idx="132">
                  <c:v>0.98457426386998304</c:v>
                </c:pt>
                <c:pt idx="133">
                  <c:v>0.98394674557641704</c:v>
                </c:pt>
                <c:pt idx="134">
                  <c:v>0.98291390789599897</c:v>
                </c:pt>
                <c:pt idx="135">
                  <c:v>0.98176703405212096</c:v>
                </c:pt>
                <c:pt idx="136">
                  <c:v>0.98096218615672304</c:v>
                </c:pt>
                <c:pt idx="137">
                  <c:v>0.98006975411143105</c:v>
                </c:pt>
                <c:pt idx="138">
                  <c:v>0.97950307556969096</c:v>
                </c:pt>
                <c:pt idx="139">
                  <c:v>0.97914108384888099</c:v>
                </c:pt>
                <c:pt idx="140">
                  <c:v>0.97934532310830502</c:v>
                </c:pt>
                <c:pt idx="141">
                  <c:v>0.97960078234899495</c:v>
                </c:pt>
                <c:pt idx="142">
                  <c:v>0.98031242485639003</c:v>
                </c:pt>
                <c:pt idx="143">
                  <c:v>0.98096286766327701</c:v>
                </c:pt>
                <c:pt idx="144">
                  <c:v>0.981245477092901</c:v>
                </c:pt>
                <c:pt idx="145">
                  <c:v>0.98203591575927995</c:v>
                </c:pt>
                <c:pt idx="146">
                  <c:v>0.98249188851815705</c:v>
                </c:pt>
                <c:pt idx="147">
                  <c:v>0.983051782333633</c:v>
                </c:pt>
                <c:pt idx="148">
                  <c:v>0.98335507463862204</c:v>
                </c:pt>
                <c:pt idx="149">
                  <c:v>0.98323423313362102</c:v>
                </c:pt>
                <c:pt idx="150">
                  <c:v>0.98316738087299904</c:v>
                </c:pt>
                <c:pt idx="151">
                  <c:v>0.98368491110316303</c:v>
                </c:pt>
                <c:pt idx="152">
                  <c:v>0.98362507821498202</c:v>
                </c:pt>
                <c:pt idx="153">
                  <c:v>0.98351045282213101</c:v>
                </c:pt>
                <c:pt idx="154">
                  <c:v>0.98373243315204895</c:v>
                </c:pt>
                <c:pt idx="155">
                  <c:v>0.98404151733460798</c:v>
                </c:pt>
                <c:pt idx="156">
                  <c:v>0.98373226567051797</c:v>
                </c:pt>
                <c:pt idx="157">
                  <c:v>0.98332455318897805</c:v>
                </c:pt>
                <c:pt idx="158">
                  <c:v>0.98342258660123805</c:v>
                </c:pt>
                <c:pt idx="159">
                  <c:v>0.983535161753333</c:v>
                </c:pt>
                <c:pt idx="160">
                  <c:v>0.98346181581852798</c:v>
                </c:pt>
                <c:pt idx="161">
                  <c:v>0.98286501825056305</c:v>
                </c:pt>
                <c:pt idx="162">
                  <c:v>0.98231927476416503</c:v>
                </c:pt>
                <c:pt idx="163">
                  <c:v>0.98214060932110003</c:v>
                </c:pt>
                <c:pt idx="164">
                  <c:v>0.98202412116970506</c:v>
                </c:pt>
                <c:pt idx="165">
                  <c:v>0.98134552116928697</c:v>
                </c:pt>
                <c:pt idx="166">
                  <c:v>0.98081793879238899</c:v>
                </c:pt>
                <c:pt idx="167">
                  <c:v>0.98039114801138005</c:v>
                </c:pt>
                <c:pt idx="168">
                  <c:v>0.98026836784082205</c:v>
                </c:pt>
                <c:pt idx="169">
                  <c:v>0.98046028872137203</c:v>
                </c:pt>
                <c:pt idx="170">
                  <c:v>0.98058638721699198</c:v>
                </c:pt>
                <c:pt idx="171">
                  <c:v>0.98048332846667896</c:v>
                </c:pt>
                <c:pt idx="172">
                  <c:v>0.98060564129099304</c:v>
                </c:pt>
                <c:pt idx="173">
                  <c:v>0.98072803601496406</c:v>
                </c:pt>
                <c:pt idx="174">
                  <c:v>0.98060521481391605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8-48C8-97A8-2C32FC6F7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BF A x avg / BF 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-9.8180350878655596E-3</c:v>
                </c:pt>
                <c:pt idx="2">
                  <c:v>-1.14218846698401E-2</c:v>
                </c:pt>
                <c:pt idx="3">
                  <c:v>-1.0077058162624801E-2</c:v>
                </c:pt>
                <c:pt idx="4">
                  <c:v>-1.05569971569059E-2</c:v>
                </c:pt>
                <c:pt idx="5">
                  <c:v>-1.06253716821933E-2</c:v>
                </c:pt>
                <c:pt idx="6">
                  <c:v>-8.5495513909169193E-3</c:v>
                </c:pt>
                <c:pt idx="7">
                  <c:v>-4.3318709497636703E-3</c:v>
                </c:pt>
                <c:pt idx="8">
                  <c:v>-1.0922009628189001E-2</c:v>
                </c:pt>
                <c:pt idx="9">
                  <c:v>-8.7995055446497099E-3</c:v>
                </c:pt>
                <c:pt idx="10">
                  <c:v>-8.8537565641299502E-3</c:v>
                </c:pt>
                <c:pt idx="11">
                  <c:v>-6.90731791602204E-3</c:v>
                </c:pt>
                <c:pt idx="12">
                  <c:v>-1.18116173610007E-2</c:v>
                </c:pt>
                <c:pt idx="13">
                  <c:v>-6.4686970705125496E-3</c:v>
                </c:pt>
                <c:pt idx="14">
                  <c:v>-6.6888160628709101E-3</c:v>
                </c:pt>
                <c:pt idx="15">
                  <c:v>-6.9891325106490902E-3</c:v>
                </c:pt>
                <c:pt idx="16">
                  <c:v>-3.7942902402458901E-3</c:v>
                </c:pt>
                <c:pt idx="17">
                  <c:v>-5.6718108901089896E-4</c:v>
                </c:pt>
                <c:pt idx="18">
                  <c:v>-1.65981128402907E-3</c:v>
                </c:pt>
                <c:pt idx="19">
                  <c:v>-4.8550689361351302E-4</c:v>
                </c:pt>
                <c:pt idx="20">
                  <c:v>-3.3315008586431299E-4</c:v>
                </c:pt>
                <c:pt idx="21">
                  <c:v>-9.4360690250562399E-4</c:v>
                </c:pt>
                <c:pt idx="22">
                  <c:v>-2.2420832084608599E-3</c:v>
                </c:pt>
                <c:pt idx="23">
                  <c:v>-1.7386559867925699E-3</c:v>
                </c:pt>
                <c:pt idx="24">
                  <c:v>-4.3318709497636703E-3</c:v>
                </c:pt>
                <c:pt idx="25">
                  <c:v>-6.6774537138918099E-4</c:v>
                </c:pt>
                <c:pt idx="26">
                  <c:v>-3.5378712465108401E-3</c:v>
                </c:pt>
                <c:pt idx="27">
                  <c:v>-7.2937874471570401E-3</c:v>
                </c:pt>
                <c:pt idx="28">
                  <c:v>-1.1624988809856501E-2</c:v>
                </c:pt>
                <c:pt idx="29">
                  <c:v>-8.1779270956899505E-3</c:v>
                </c:pt>
                <c:pt idx="30">
                  <c:v>-1.06800448732076E-2</c:v>
                </c:pt>
                <c:pt idx="31">
                  <c:v>-3.6479652155243002E-3</c:v>
                </c:pt>
                <c:pt idx="32">
                  <c:v>-3.0012144584005702E-4</c:v>
                </c:pt>
                <c:pt idx="33">
                  <c:v>-5.54957821935662E-3</c:v>
                </c:pt>
                <c:pt idx="34">
                  <c:v>-7.3182916649763298E-4</c:v>
                </c:pt>
                <c:pt idx="35">
                  <c:v>-2.4680076959039399E-3</c:v>
                </c:pt>
                <c:pt idx="36">
                  <c:v>2.9291441767532E-3</c:v>
                </c:pt>
                <c:pt idx="37">
                  <c:v>3.0080122195367798E-3</c:v>
                </c:pt>
                <c:pt idx="38">
                  <c:v>2.40910217650252E-5</c:v>
                </c:pt>
                <c:pt idx="39">
                  <c:v>-2.0163914932916499E-3</c:v>
                </c:pt>
                <c:pt idx="40">
                  <c:v>-4.4360333707737596E-3</c:v>
                </c:pt>
                <c:pt idx="41">
                  <c:v>4.6938838500056399E-3</c:v>
                </c:pt>
                <c:pt idx="42">
                  <c:v>4.8097016191484898E-3</c:v>
                </c:pt>
                <c:pt idx="43">
                  <c:v>1.67152586681031E-3</c:v>
                </c:pt>
                <c:pt idx="44">
                  <c:v>4.3194385115043199E-3</c:v>
                </c:pt>
                <c:pt idx="45">
                  <c:v>-1.9149135100625899E-3</c:v>
                </c:pt>
                <c:pt idx="46">
                  <c:v>1.2566330374941699E-3</c:v>
                </c:pt>
                <c:pt idx="47">
                  <c:v>4.7132635447373504E-3</c:v>
                </c:pt>
                <c:pt idx="48">
                  <c:v>-1.94314071529618E-3</c:v>
                </c:pt>
                <c:pt idx="49">
                  <c:v>8.8142013138926801E-4</c:v>
                </c:pt>
                <c:pt idx="50">
                  <c:v>-4.4623807893743E-4</c:v>
                </c:pt>
                <c:pt idx="51">
                  <c:v>-5.0206948103043696E-3</c:v>
                </c:pt>
                <c:pt idx="52">
                  <c:v>-5.2121190069072103E-3</c:v>
                </c:pt>
                <c:pt idx="53">
                  <c:v>5.8269906941184101E-3</c:v>
                </c:pt>
                <c:pt idx="54">
                  <c:v>1.85449230212836E-3</c:v>
                </c:pt>
                <c:pt idx="55">
                  <c:v>2.39183333044046E-4</c:v>
                </c:pt>
                <c:pt idx="56">
                  <c:v>-1.10491769890767E-3</c:v>
                </c:pt>
                <c:pt idx="57">
                  <c:v>-7.4869128934067298E-3</c:v>
                </c:pt>
                <c:pt idx="58">
                  <c:v>-1.7152559378825101E-2</c:v>
                </c:pt>
                <c:pt idx="59">
                  <c:v>-8.9496796771871903E-3</c:v>
                </c:pt>
                <c:pt idx="60">
                  <c:v>-4.0018908057933003E-3</c:v>
                </c:pt>
                <c:pt idx="61">
                  <c:v>-4.0363885846679097E-3</c:v>
                </c:pt>
                <c:pt idx="62">
                  <c:v>-4.5223766238369099E-3</c:v>
                </c:pt>
                <c:pt idx="63">
                  <c:v>-1.93043512292958E-3</c:v>
                </c:pt>
                <c:pt idx="64">
                  <c:v>-1.226808601935E-2</c:v>
                </c:pt>
                <c:pt idx="65">
                  <c:v>-1.26454735843756E-3</c:v>
                </c:pt>
                <c:pt idx="66">
                  <c:v>-1.4187642036360901E-2</c:v>
                </c:pt>
                <c:pt idx="67">
                  <c:v>-1.0056736397356001E-2</c:v>
                </c:pt>
                <c:pt idx="68">
                  <c:v>-6.2791936705013903E-3</c:v>
                </c:pt>
                <c:pt idx="69">
                  <c:v>-1.5272414757442701E-3</c:v>
                </c:pt>
                <c:pt idx="70">
                  <c:v>-5.2394161571916599E-5</c:v>
                </c:pt>
                <c:pt idx="71">
                  <c:v>-6.3489431574463599E-3</c:v>
                </c:pt>
                <c:pt idx="72">
                  <c:v>2.5491648346797498E-3</c:v>
                </c:pt>
                <c:pt idx="73">
                  <c:v>2.8108848678076001E-3</c:v>
                </c:pt>
                <c:pt idx="74">
                  <c:v>4.18341858834424E-3</c:v>
                </c:pt>
                <c:pt idx="75">
                  <c:v>-1.50278771169742E-3</c:v>
                </c:pt>
                <c:pt idx="76">
                  <c:v>1.3374144420583501E-3</c:v>
                </c:pt>
                <c:pt idx="77">
                  <c:v>3.47393661575309E-3</c:v>
                </c:pt>
                <c:pt idx="78">
                  <c:v>1.8751193344444599E-3</c:v>
                </c:pt>
                <c:pt idx="79">
                  <c:v>6.7217261606484797E-3</c:v>
                </c:pt>
                <c:pt idx="80">
                  <c:v>3.9343568303523598E-3</c:v>
                </c:pt>
                <c:pt idx="81">
                  <c:v>2.4446095733110401E-3</c:v>
                </c:pt>
                <c:pt idx="82">
                  <c:v>7.2058844532152796E-3</c:v>
                </c:pt>
                <c:pt idx="83">
                  <c:v>2.9203747172164901E-3</c:v>
                </c:pt>
                <c:pt idx="84">
                  <c:v>5.0663927013985697E-3</c:v>
                </c:pt>
                <c:pt idx="85">
                  <c:v>3.7541254404884201E-3</c:v>
                </c:pt>
                <c:pt idx="86">
                  <c:v>1.23565987049399E-2</c:v>
                </c:pt>
                <c:pt idx="87">
                  <c:v>7.1170115356327598E-3</c:v>
                </c:pt>
                <c:pt idx="88">
                  <c:v>6.0571765234670397E-3</c:v>
                </c:pt>
                <c:pt idx="89">
                  <c:v>1.2157644880932199E-2</c:v>
                </c:pt>
                <c:pt idx="90">
                  <c:v>1.51932465642295E-2</c:v>
                </c:pt>
                <c:pt idx="91">
                  <c:v>1.23057640999376E-2</c:v>
                </c:pt>
                <c:pt idx="92">
                  <c:v>1.9323386086356101E-2</c:v>
                </c:pt>
                <c:pt idx="93">
                  <c:v>1.54529146557368E-2</c:v>
                </c:pt>
                <c:pt idx="94">
                  <c:v>1.21215325535336E-2</c:v>
                </c:pt>
                <c:pt idx="95">
                  <c:v>1.31935371849032E-2</c:v>
                </c:pt>
                <c:pt idx="96">
                  <c:v>1.3479444235680101E-2</c:v>
                </c:pt>
                <c:pt idx="97">
                  <c:v>1.2554456884036801E-2</c:v>
                </c:pt>
                <c:pt idx="98">
                  <c:v>1.2352686531009301E-2</c:v>
                </c:pt>
                <c:pt idx="99">
                  <c:v>1.2473610401321901E-2</c:v>
                </c:pt>
                <c:pt idx="100">
                  <c:v>1.24511204590826E-2</c:v>
                </c:pt>
                <c:pt idx="101">
                  <c:v>2.1365071402584E-2</c:v>
                </c:pt>
                <c:pt idx="102">
                  <c:v>1.10624784216347E-2</c:v>
                </c:pt>
                <c:pt idx="103">
                  <c:v>1.6361320262537799E-2</c:v>
                </c:pt>
                <c:pt idx="104">
                  <c:v>1.38638434091725E-2</c:v>
                </c:pt>
                <c:pt idx="105">
                  <c:v>1.5307786675633201E-2</c:v>
                </c:pt>
                <c:pt idx="106">
                  <c:v>2.9048774486097801E-3</c:v>
                </c:pt>
                <c:pt idx="107">
                  <c:v>2.3237116817955402E-3</c:v>
                </c:pt>
                <c:pt idx="108">
                  <c:v>-2.66762645745785E-3</c:v>
                </c:pt>
                <c:pt idx="109">
                  <c:v>-5.1629065735997104E-3</c:v>
                </c:pt>
                <c:pt idx="110">
                  <c:v>4.3536458421386398E-3</c:v>
                </c:pt>
                <c:pt idx="111">
                  <c:v>-2.8167137893249702E-3</c:v>
                </c:pt>
                <c:pt idx="112">
                  <c:v>-9.3876839810986303E-3</c:v>
                </c:pt>
                <c:pt idx="113">
                  <c:v>-1.3776078962219E-2</c:v>
                </c:pt>
                <c:pt idx="114">
                  <c:v>-1.6760633055956101E-2</c:v>
                </c:pt>
                <c:pt idx="115">
                  <c:v>-1.7152559378825101E-2</c:v>
                </c:pt>
                <c:pt idx="116">
                  <c:v>-1.60526509269645E-2</c:v>
                </c:pt>
                <c:pt idx="117">
                  <c:v>-1.6785519550883601E-2</c:v>
                </c:pt>
                <c:pt idx="118">
                  <c:v>-7.4871897016254296E-3</c:v>
                </c:pt>
                <c:pt idx="119">
                  <c:v>-6.7063844205096396E-4</c:v>
                </c:pt>
                <c:pt idx="120">
                  <c:v>6.17829738387023E-3</c:v>
                </c:pt>
                <c:pt idx="121">
                  <c:v>1.78672389192246E-3</c:v>
                </c:pt>
                <c:pt idx="122">
                  <c:v>9.1403827636709796E-3</c:v>
                </c:pt>
                <c:pt idx="123">
                  <c:v>9.2099988310875396E-3</c:v>
                </c:pt>
                <c:pt idx="124">
                  <c:v>5.5241492922046198E-3</c:v>
                </c:pt>
                <c:pt idx="125">
                  <c:v>1.0046972198239501E-2</c:v>
                </c:pt>
                <c:pt idx="126">
                  <c:v>5.7404663480903799E-3</c:v>
                </c:pt>
                <c:pt idx="127">
                  <c:v>5.0961527444399798E-3</c:v>
                </c:pt>
                <c:pt idx="128">
                  <c:v>1.31192120619366E-3</c:v>
                </c:pt>
                <c:pt idx="129">
                  <c:v>-8.55060133226257E-4</c:v>
                </c:pt>
                <c:pt idx="130">
                  <c:v>-1.27921022253481E-3</c:v>
                </c:pt>
                <c:pt idx="131">
                  <c:v>6.8596157612347804E-3</c:v>
                </c:pt>
                <c:pt idx="132">
                  <c:v>-1.3231825576615599E-3</c:v>
                </c:pt>
                <c:pt idx="133">
                  <c:v>-1.1033039255459E-3</c:v>
                </c:pt>
                <c:pt idx="134">
                  <c:v>4.1207240029992901E-3</c:v>
                </c:pt>
                <c:pt idx="135">
                  <c:v>6.0520746004902298E-3</c:v>
                </c:pt>
                <c:pt idx="136">
                  <c:v>1.93275221400601E-4</c:v>
                </c:pt>
                <c:pt idx="137">
                  <c:v>1.2310009199272701E-3</c:v>
                </c:pt>
                <c:pt idx="138">
                  <c:v>4.0224377576335603E-3</c:v>
                </c:pt>
                <c:pt idx="139">
                  <c:v>6.7167306845922203E-3</c:v>
                </c:pt>
                <c:pt idx="140">
                  <c:v>2.0058071842356598E-3</c:v>
                </c:pt>
                <c:pt idx="141">
                  <c:v>-3.4066384741898198E-3</c:v>
                </c:pt>
                <c:pt idx="142">
                  <c:v>-5.3659268830783804E-3</c:v>
                </c:pt>
                <c:pt idx="143">
                  <c:v>-4.0579546294861601E-3</c:v>
                </c:pt>
                <c:pt idx="144">
                  <c:v>-2.41026047469954E-4</c:v>
                </c:pt>
                <c:pt idx="145">
                  <c:v>-6.06716068223435E-3</c:v>
                </c:pt>
                <c:pt idx="146">
                  <c:v>-3.5469073230464201E-3</c:v>
                </c:pt>
                <c:pt idx="147">
                  <c:v>-6.2886011174482304E-3</c:v>
                </c:pt>
                <c:pt idx="148">
                  <c:v>-4.8479569560191099E-3</c:v>
                </c:pt>
                <c:pt idx="149">
                  <c:v>1.6045032172165301E-3</c:v>
                </c:pt>
                <c:pt idx="150">
                  <c:v>8.0151226573362E-5</c:v>
                </c:pt>
                <c:pt idx="151">
                  <c:v>-3.6867286894254098E-3</c:v>
                </c:pt>
                <c:pt idx="152">
                  <c:v>-1.06692105836654E-4</c:v>
                </c:pt>
                <c:pt idx="153">
                  <c:v>1.22901154649705E-3</c:v>
                </c:pt>
                <c:pt idx="154">
                  <c:v>-4.0408692939330999E-4</c:v>
                </c:pt>
                <c:pt idx="155">
                  <c:v>-2.5479977527556201E-4</c:v>
                </c:pt>
                <c:pt idx="156">
                  <c:v>6.5064149378217997E-3</c:v>
                </c:pt>
                <c:pt idx="157">
                  <c:v>9.5712242325023903E-3</c:v>
                </c:pt>
                <c:pt idx="158">
                  <c:v>2.0218122725938802E-3</c:v>
                </c:pt>
                <c:pt idx="159">
                  <c:v>4.4134938282715504E-3</c:v>
                </c:pt>
                <c:pt idx="160">
                  <c:v>3.50221965192094E-3</c:v>
                </c:pt>
                <c:pt idx="161">
                  <c:v>8.7683314412047107E-3</c:v>
                </c:pt>
                <c:pt idx="162">
                  <c:v>5.7397944274071699E-3</c:v>
                </c:pt>
                <c:pt idx="163">
                  <c:v>-4.3097746740106602E-4</c:v>
                </c:pt>
                <c:pt idx="164">
                  <c:v>2.13128359029836E-3</c:v>
                </c:pt>
                <c:pt idx="165">
                  <c:v>7.75116213076421E-3</c:v>
                </c:pt>
                <c:pt idx="166">
                  <c:v>7.2068987913925702E-3</c:v>
                </c:pt>
                <c:pt idx="167">
                  <c:v>2.3778986550437699E-3</c:v>
                </c:pt>
                <c:pt idx="168">
                  <c:v>-2.3588564211365101E-3</c:v>
                </c:pt>
                <c:pt idx="169">
                  <c:v>-2.2989628588124598E-3</c:v>
                </c:pt>
                <c:pt idx="170">
                  <c:v>-2.4823696310314401E-3</c:v>
                </c:pt>
                <c:pt idx="171">
                  <c:v>-1.5954252815238499E-3</c:v>
                </c:pt>
                <c:pt idx="172">
                  <c:v>-2.5919138541436902E-3</c:v>
                </c:pt>
                <c:pt idx="173">
                  <c:v>-1.2611920421903701E-3</c:v>
                </c:pt>
                <c:pt idx="174">
                  <c:v>2.0969498873021001E-3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3-445A-BC9F-5377AF97C1B7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BF A x 10 dma / BF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1.06894933455596E-3</c:v>
                </c:pt>
                <c:pt idx="11">
                  <c:v>2.4901315424747401E-3</c:v>
                </c:pt>
                <c:pt idx="12">
                  <c:v>-2.7049809669921401E-3</c:v>
                </c:pt>
                <c:pt idx="13">
                  <c:v>2.6770097798536302E-3</c:v>
                </c:pt>
                <c:pt idx="14">
                  <c:v>2.0963042900959501E-3</c:v>
                </c:pt>
                <c:pt idx="15">
                  <c:v>1.40915742467614E-3</c:v>
                </c:pt>
                <c:pt idx="16">
                  <c:v>4.2401606572817496E-3</c:v>
                </c:pt>
                <c:pt idx="17">
                  <c:v>6.9925154256196302E-3</c:v>
                </c:pt>
                <c:pt idx="18">
                  <c:v>5.52526477540071E-3</c:v>
                </c:pt>
                <c:pt idx="19">
                  <c:v>5.7737454047398998E-3</c:v>
                </c:pt>
                <c:pt idx="20">
                  <c:v>5.0956983433279096E-3</c:v>
                </c:pt>
                <c:pt idx="21">
                  <c:v>3.6335272078690298E-3</c:v>
                </c:pt>
                <c:pt idx="22">
                  <c:v>1.7388897601892099E-3</c:v>
                </c:pt>
                <c:pt idx="23">
                  <c:v>1.2819797215798501E-3</c:v>
                </c:pt>
                <c:pt idx="24">
                  <c:v>-1.78486449608415E-3</c:v>
                </c:pt>
                <c:pt idx="25">
                  <c:v>1.64283909262476E-3</c:v>
                </c:pt>
                <c:pt idx="26">
                  <c:v>-1.8605872660887499E-3</c:v>
                </c:pt>
                <c:pt idx="27">
                  <c:v>-5.6421967435188996E-3</c:v>
                </c:pt>
                <c:pt idx="28">
                  <c:v>-9.2994286977511192E-3</c:v>
                </c:pt>
                <c:pt idx="29">
                  <c:v>-4.8520344831861099E-3</c:v>
                </c:pt>
                <c:pt idx="30">
                  <c:v>-6.5844305421358601E-3</c:v>
                </c:pt>
                <c:pt idx="31">
                  <c:v>1.4832677380457199E-3</c:v>
                </c:pt>
                <c:pt idx="32">
                  <c:v>5.10074534639252E-3</c:v>
                </c:pt>
                <c:pt idx="33">
                  <c:v>-3.4212600642730801E-4</c:v>
                </c:pt>
                <c:pt idx="34">
                  <c:v>4.8560478198598298E-3</c:v>
                </c:pt>
                <c:pt idx="35">
                  <c:v>2.7608989992679001E-3</c:v>
                </c:pt>
                <c:pt idx="36">
                  <c:v>8.3374031675346304E-3</c:v>
                </c:pt>
                <c:pt idx="37">
                  <c:v>7.7726537576737597E-3</c:v>
                </c:pt>
                <c:pt idx="38">
                  <c:v>3.7607171638778898E-3</c:v>
                </c:pt>
                <c:pt idx="39">
                  <c:v>5.5223156911071703E-4</c:v>
                </c:pt>
                <c:pt idx="40">
                  <c:v>-2.48531564788555E-3</c:v>
                </c:pt>
                <c:pt idx="41">
                  <c:v>6.01649113001317E-3</c:v>
                </c:pt>
                <c:pt idx="42">
                  <c:v>5.2993128575138703E-3</c:v>
                </c:pt>
                <c:pt idx="43">
                  <c:v>1.6514247810150099E-3</c:v>
                </c:pt>
                <c:pt idx="44">
                  <c:v>3.5755474794521001E-3</c:v>
                </c:pt>
                <c:pt idx="45">
                  <c:v>-3.1635291372269902E-3</c:v>
                </c:pt>
                <c:pt idx="46">
                  <c:v>-4.7484145405541497E-5</c:v>
                </c:pt>
                <c:pt idx="47">
                  <c:v>3.5762516614893198E-3</c:v>
                </c:pt>
                <c:pt idx="48">
                  <c:v>-3.2502283989697999E-3</c:v>
                </c:pt>
                <c:pt idx="49">
                  <c:v>-2.2851738122841699E-4</c:v>
                </c:pt>
                <c:pt idx="50">
                  <c:v>-1.84648548498074E-3</c:v>
                </c:pt>
                <c:pt idx="51">
                  <c:v>-6.8215378196078104E-3</c:v>
                </c:pt>
                <c:pt idx="52">
                  <c:v>-6.0400636818415798E-3</c:v>
                </c:pt>
                <c:pt idx="53">
                  <c:v>6.0017613230168099E-3</c:v>
                </c:pt>
                <c:pt idx="54">
                  <c:v>1.61525788351808E-3</c:v>
                </c:pt>
                <c:pt idx="55">
                  <c:v>2.4571244343149002E-4</c:v>
                </c:pt>
                <c:pt idx="56">
                  <c:v>-1.3140007094134E-3</c:v>
                </c:pt>
                <c:pt idx="57">
                  <c:v>-7.45983719911538E-3</c:v>
                </c:pt>
                <c:pt idx="58">
                  <c:v>-1.5904544068141301E-2</c:v>
                </c:pt>
                <c:pt idx="59">
                  <c:v>-6.1692064337496204E-3</c:v>
                </c:pt>
                <c:pt idx="60">
                  <c:v>-2.3755451433049501E-4</c:v>
                </c:pt>
                <c:pt idx="61">
                  <c:v>8.2902916822945403E-5</c:v>
                </c:pt>
                <c:pt idx="62">
                  <c:v>-5.0156088845963297E-4</c:v>
                </c:pt>
                <c:pt idx="63">
                  <c:v>2.0213455831861798E-3</c:v>
                </c:pt>
                <c:pt idx="64">
                  <c:v>-7.5454214562522201E-3</c:v>
                </c:pt>
                <c:pt idx="65">
                  <c:v>4.8700733845229603E-3</c:v>
                </c:pt>
                <c:pt idx="66">
                  <c:v>-7.9035024049384592E-3</c:v>
                </c:pt>
                <c:pt idx="67">
                  <c:v>-2.4633891111064399E-3</c:v>
                </c:pt>
                <c:pt idx="68">
                  <c:v>1.5714059711159399E-3</c:v>
                </c:pt>
                <c:pt idx="69">
                  <c:v>5.2312090500157898E-3</c:v>
                </c:pt>
                <c:pt idx="70">
                  <c:v>5.9646634251052603E-3</c:v>
                </c:pt>
                <c:pt idx="71">
                  <c:v>-7.2534020786475697E-4</c:v>
                </c:pt>
                <c:pt idx="72">
                  <c:v>8.4038969455636908E-3</c:v>
                </c:pt>
                <c:pt idx="73">
                  <c:v>7.9616477882997801E-3</c:v>
                </c:pt>
                <c:pt idx="74">
                  <c:v>8.8625813517877808E-3</c:v>
                </c:pt>
                <c:pt idx="75">
                  <c:v>1.5309003448985201E-3</c:v>
                </c:pt>
                <c:pt idx="76">
                  <c:v>4.3948869734500504E-3</c:v>
                </c:pt>
                <c:pt idx="77">
                  <c:v>4.9724361925846498E-3</c:v>
                </c:pt>
                <c:pt idx="78">
                  <c:v>2.01719365007943E-3</c:v>
                </c:pt>
                <c:pt idx="79">
                  <c:v>6.04635140197873E-3</c:v>
                </c:pt>
                <c:pt idx="80">
                  <c:v>2.4353276835121598E-3</c:v>
                </c:pt>
                <c:pt idx="81">
                  <c:v>5.4700179786301402E-4</c:v>
                </c:pt>
                <c:pt idx="82">
                  <c:v>4.4251368630425199E-3</c:v>
                </c:pt>
                <c:pt idx="83">
                  <c:v>-3.2517787245083001E-4</c:v>
                </c:pt>
                <c:pt idx="84">
                  <c:v>1.80988690623926E-3</c:v>
                </c:pt>
                <c:pt idx="85">
                  <c:v>4.0943908690138501E-4</c:v>
                </c:pt>
                <c:pt idx="86">
                  <c:v>8.48491377667367E-3</c:v>
                </c:pt>
                <c:pt idx="87">
                  <c:v>2.14607235328736E-3</c:v>
                </c:pt>
                <c:pt idx="88">
                  <c:v>7.2198152595181098E-4</c:v>
                </c:pt>
                <c:pt idx="89">
                  <c:v>6.4035832115275203E-3</c:v>
                </c:pt>
                <c:pt idx="90">
                  <c:v>8.8974454293222101E-3</c:v>
                </c:pt>
                <c:pt idx="91">
                  <c:v>4.8871113024885702E-3</c:v>
                </c:pt>
                <c:pt idx="92">
                  <c:v>1.09180843991945E-2</c:v>
                </c:pt>
                <c:pt idx="93">
                  <c:v>5.8410017798275404E-3</c:v>
                </c:pt>
                <c:pt idx="94">
                  <c:v>1.25503773721384E-3</c:v>
                </c:pt>
                <c:pt idx="95">
                  <c:v>1.6196716627560901E-3</c:v>
                </c:pt>
                <c:pt idx="96">
                  <c:v>9.5825466359671302E-4</c:v>
                </c:pt>
                <c:pt idx="97">
                  <c:v>-7.8978997145566897E-5</c:v>
                </c:pt>
                <c:pt idx="98">
                  <c:v>-8.2616663466394296E-4</c:v>
                </c:pt>
                <c:pt idx="99">
                  <c:v>-1.33750140614666E-3</c:v>
                </c:pt>
                <c:pt idx="100">
                  <c:v>-1.39163568872672E-3</c:v>
                </c:pt>
                <c:pt idx="101">
                  <c:v>7.7964960015604202E-3</c:v>
                </c:pt>
                <c:pt idx="102">
                  <c:v>-3.4094840247533499E-3</c:v>
                </c:pt>
                <c:pt idx="103">
                  <c:v>2.7145150221528401E-3</c:v>
                </c:pt>
                <c:pt idx="104">
                  <c:v>1.2639859350055901E-4</c:v>
                </c:pt>
                <c:pt idx="105">
                  <c:v>1.39596574158788E-3</c:v>
                </c:pt>
                <c:pt idx="106">
                  <c:v>-1.1218319184838199E-2</c:v>
                </c:pt>
                <c:pt idx="107">
                  <c:v>-1.0736298250621199E-2</c:v>
                </c:pt>
                <c:pt idx="108">
                  <c:v>-1.46993194637601E-2</c:v>
                </c:pt>
                <c:pt idx="109">
                  <c:v>-1.5682860057135199E-2</c:v>
                </c:pt>
                <c:pt idx="110">
                  <c:v>-4.3920594230855503E-3</c:v>
                </c:pt>
                <c:pt idx="111">
                  <c:v>-1.0752719223288401E-2</c:v>
                </c:pt>
                <c:pt idx="112">
                  <c:v>-1.49115972680592E-2</c:v>
                </c:pt>
                <c:pt idx="113">
                  <c:v>-1.72474416357268E-2</c:v>
                </c:pt>
                <c:pt idx="114">
                  <c:v>-1.7216120511028402E-2</c:v>
                </c:pt>
                <c:pt idx="115">
                  <c:v>-1.45443411344339E-2</c:v>
                </c:pt>
                <c:pt idx="116">
                  <c:v>-1.02089632437264E-2</c:v>
                </c:pt>
                <c:pt idx="117">
                  <c:v>-9.0464631854145806E-3</c:v>
                </c:pt>
                <c:pt idx="118">
                  <c:v>2.16002635861E-3</c:v>
                </c:pt>
                <c:pt idx="119">
                  <c:v>9.4562219360700608E-3</c:v>
                </c:pt>
                <c:pt idx="120">
                  <c:v>1.5859058402489998E-2</c:v>
                </c:pt>
                <c:pt idx="121">
                  <c:v>1.1287710550236E-2</c:v>
                </c:pt>
                <c:pt idx="122">
                  <c:v>1.8185039263148101E-2</c:v>
                </c:pt>
                <c:pt idx="123">
                  <c:v>1.6416589571765498E-2</c:v>
                </c:pt>
                <c:pt idx="124">
                  <c:v>1.0440751371089499E-2</c:v>
                </c:pt>
                <c:pt idx="125">
                  <c:v>1.2730995409407199E-2</c:v>
                </c:pt>
                <c:pt idx="126">
                  <c:v>5.6983759688632998E-3</c:v>
                </c:pt>
                <c:pt idx="127">
                  <c:v>2.86094620854461E-3</c:v>
                </c:pt>
                <c:pt idx="128">
                  <c:v>-3.13168505885972E-3</c:v>
                </c:pt>
                <c:pt idx="129">
                  <c:v>-6.1856254199266197E-3</c:v>
                </c:pt>
                <c:pt idx="130">
                  <c:v>-6.59122079337665E-3</c:v>
                </c:pt>
                <c:pt idx="131">
                  <c:v>2.2952158986393298E-3</c:v>
                </c:pt>
                <c:pt idx="132">
                  <c:v>-6.3951233165087298E-3</c:v>
                </c:pt>
                <c:pt idx="133">
                  <c:v>-5.1282137241500797E-3</c:v>
                </c:pt>
                <c:pt idx="134">
                  <c:v>1.1265882922418299E-3</c:v>
                </c:pt>
                <c:pt idx="135">
                  <c:v>3.1980152650364401E-3</c:v>
                </c:pt>
                <c:pt idx="136">
                  <c:v>-2.2634431927008201E-3</c:v>
                </c:pt>
                <c:pt idx="137">
                  <c:v>-6.7143423309184297E-4</c:v>
                </c:pt>
                <c:pt idx="138">
                  <c:v>2.5059563944483999E-3</c:v>
                </c:pt>
                <c:pt idx="139">
                  <c:v>4.9294726459363902E-3</c:v>
                </c:pt>
                <c:pt idx="140">
                  <c:v>-5.3805249591780402E-4</c:v>
                </c:pt>
                <c:pt idx="141">
                  <c:v>-6.2797713472236899E-3</c:v>
                </c:pt>
                <c:pt idx="142">
                  <c:v>-7.2117798024711501E-3</c:v>
                </c:pt>
                <c:pt idx="143">
                  <c:v>-5.49751158480125E-3</c:v>
                </c:pt>
                <c:pt idx="144">
                  <c:v>-1.3839716025448501E-3</c:v>
                </c:pt>
                <c:pt idx="145">
                  <c:v>-6.7743732830676901E-3</c:v>
                </c:pt>
                <c:pt idx="146">
                  <c:v>-3.0420572794930402E-3</c:v>
                </c:pt>
                <c:pt idx="147">
                  <c:v>-5.4093640991008402E-3</c:v>
                </c:pt>
                <c:pt idx="148">
                  <c:v>-3.2158000452926199E-3</c:v>
                </c:pt>
                <c:pt idx="149">
                  <c:v>4.1222292774565497E-3</c:v>
                </c:pt>
                <c:pt idx="150">
                  <c:v>3.1055689434627098E-3</c:v>
                </c:pt>
                <c:pt idx="151">
                  <c:v>-4.6954557707400401E-4</c:v>
                </c:pt>
                <c:pt idx="152">
                  <c:v>3.1385088661323801E-3</c:v>
                </c:pt>
                <c:pt idx="153">
                  <c:v>3.9484177990012697E-3</c:v>
                </c:pt>
                <c:pt idx="154">
                  <c:v>1.78717210998744E-3</c:v>
                </c:pt>
                <c:pt idx="155">
                  <c:v>1.95273477709324E-3</c:v>
                </c:pt>
                <c:pt idx="156">
                  <c:v>8.1319888329693894E-3</c:v>
                </c:pt>
                <c:pt idx="157">
                  <c:v>1.0194076167119001E-2</c:v>
                </c:pt>
                <c:pt idx="158">
                  <c:v>1.0609986126831801E-3</c:v>
                </c:pt>
                <c:pt idx="159">
                  <c:v>2.76383194784021E-3</c:v>
                </c:pt>
                <c:pt idx="160">
                  <c:v>1.5720008427261201E-3</c:v>
                </c:pt>
                <c:pt idx="161">
                  <c:v>6.4957994585277696E-3</c:v>
                </c:pt>
                <c:pt idx="162">
                  <c:v>2.2213065888498601E-3</c:v>
                </c:pt>
                <c:pt idx="163">
                  <c:v>-4.5346965373342998E-3</c:v>
                </c:pt>
                <c:pt idx="164">
                  <c:v>-1.80583432083145E-3</c:v>
                </c:pt>
                <c:pt idx="165">
                  <c:v>3.5596943055091201E-3</c:v>
                </c:pt>
                <c:pt idx="166">
                  <c:v>2.2141567297283599E-3</c:v>
                </c:pt>
                <c:pt idx="167">
                  <c:v>-2.6847637951628199E-3</c:v>
                </c:pt>
                <c:pt idx="168">
                  <c:v>-6.7030985494634498E-3</c:v>
                </c:pt>
                <c:pt idx="169">
                  <c:v>-6.2032531990594804E-3</c:v>
                </c:pt>
                <c:pt idx="170">
                  <c:v>-5.7137257337414003E-3</c:v>
                </c:pt>
                <c:pt idx="171">
                  <c:v>-4.2268706599534701E-3</c:v>
                </c:pt>
                <c:pt idx="172">
                  <c:v>-4.1885038484992601E-3</c:v>
                </c:pt>
                <c:pt idx="173">
                  <c:v>-2.0249368390524401E-3</c:v>
                </c:pt>
                <c:pt idx="174">
                  <c:v>1.4163568511344901E-3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3-445A-BC9F-5377AF97C1B7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BF A x 20 dma / BF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7.3451514203201297E-3</c:v>
                </c:pt>
                <c:pt idx="21">
                  <c:v>6.0465893091252304E-3</c:v>
                </c:pt>
                <c:pt idx="22">
                  <c:v>4.3050055224671396E-3</c:v>
                </c:pt>
                <c:pt idx="23">
                  <c:v>4.34920484730799E-3</c:v>
                </c:pt>
                <c:pt idx="24">
                  <c:v>1.33905670380015E-3</c:v>
                </c:pt>
                <c:pt idx="25">
                  <c:v>4.6913243408652902E-3</c:v>
                </c:pt>
                <c:pt idx="26">
                  <c:v>1.3230478803589599E-3</c:v>
                </c:pt>
                <c:pt idx="27">
                  <c:v>-2.6837806300843898E-3</c:v>
                </c:pt>
                <c:pt idx="28">
                  <c:v>-6.8667188650880801E-3</c:v>
                </c:pt>
                <c:pt idx="29">
                  <c:v>-3.3842790657660701E-3</c:v>
                </c:pt>
                <c:pt idx="30">
                  <c:v>-5.9175913039471598E-3</c:v>
                </c:pt>
                <c:pt idx="31">
                  <c:v>1.20625669463863E-3</c:v>
                </c:pt>
                <c:pt idx="32">
                  <c:v>4.3910504468888103E-3</c:v>
                </c:pt>
                <c:pt idx="33">
                  <c:v>-1.43493648802181E-3</c:v>
                </c:pt>
                <c:pt idx="34">
                  <c:v>3.3367684147751898E-3</c:v>
                </c:pt>
                <c:pt idx="35">
                  <c:v>1.3028024588917801E-3</c:v>
                </c:pt>
                <c:pt idx="36">
                  <c:v>6.47365568316204E-3</c:v>
                </c:pt>
                <c:pt idx="37">
                  <c:v>6.21733972562237E-3</c:v>
                </c:pt>
                <c:pt idx="38">
                  <c:v>3.0554330372713702E-3</c:v>
                </c:pt>
                <c:pt idx="39">
                  <c:v>9.3093802630595305E-4</c:v>
                </c:pt>
                <c:pt idx="40">
                  <c:v>-1.41229227122142E-3</c:v>
                </c:pt>
                <c:pt idx="41">
                  <c:v>7.9226171693885603E-3</c:v>
                </c:pt>
                <c:pt idx="42">
                  <c:v>7.7579556853065897E-3</c:v>
                </c:pt>
                <c:pt idx="43">
                  <c:v>4.2686173406742299E-3</c:v>
                </c:pt>
                <c:pt idx="44">
                  <c:v>6.7464428910655096E-3</c:v>
                </c:pt>
                <c:pt idx="45">
                  <c:v>8.0476801701561901E-5</c:v>
                </c:pt>
                <c:pt idx="46">
                  <c:v>3.3143359300990701E-3</c:v>
                </c:pt>
                <c:pt idx="47">
                  <c:v>6.5314320550021602E-3</c:v>
                </c:pt>
                <c:pt idx="48">
                  <c:v>-7.2519160830235502E-4</c:v>
                </c:pt>
                <c:pt idx="49">
                  <c:v>1.6124543813161099E-3</c:v>
                </c:pt>
                <c:pt idx="50">
                  <c:v>-1.6959930025975501E-4</c:v>
                </c:pt>
                <c:pt idx="51">
                  <c:v>-5.2585931827343101E-3</c:v>
                </c:pt>
                <c:pt idx="52">
                  <c:v>-5.38106873100951E-3</c:v>
                </c:pt>
                <c:pt idx="53">
                  <c:v>5.9043302125432601E-3</c:v>
                </c:pt>
                <c:pt idx="54">
                  <c:v>1.3629614115840099E-3</c:v>
                </c:pt>
                <c:pt idx="55">
                  <c:v>-3.8166300181806102E-4</c:v>
                </c:pt>
                <c:pt idx="56">
                  <c:v>-1.86136790813807E-3</c:v>
                </c:pt>
                <c:pt idx="57">
                  <c:v>-8.0417116004088407E-3</c:v>
                </c:pt>
                <c:pt idx="58">
                  <c:v>-1.7181279496627899E-2</c:v>
                </c:pt>
                <c:pt idx="59">
                  <c:v>-8.11251990098877E-3</c:v>
                </c:pt>
                <c:pt idx="60">
                  <c:v>-2.8165122511930002E-3</c:v>
                </c:pt>
                <c:pt idx="61">
                  <c:v>-2.87278334589346E-3</c:v>
                </c:pt>
                <c:pt idx="62">
                  <c:v>-2.92300228680464E-3</c:v>
                </c:pt>
                <c:pt idx="63">
                  <c:v>1.3462376915802601E-4</c:v>
                </c:pt>
                <c:pt idx="64">
                  <c:v>-1.00232933950753E-2</c:v>
                </c:pt>
                <c:pt idx="65">
                  <c:v>1.8107217492736201E-3</c:v>
                </c:pt>
                <c:pt idx="66">
                  <c:v>-1.1144843492626301E-2</c:v>
                </c:pt>
                <c:pt idx="67">
                  <c:v>-6.2393688659297796E-3</c:v>
                </c:pt>
                <c:pt idx="68">
                  <c:v>-1.7244369392679E-3</c:v>
                </c:pt>
                <c:pt idx="69">
                  <c:v>3.2441984454577499E-3</c:v>
                </c:pt>
                <c:pt idx="70">
                  <c:v>4.8389371215181104E-3</c:v>
                </c:pt>
                <c:pt idx="71">
                  <c:v>-1.47721306282021E-3</c:v>
                </c:pt>
                <c:pt idx="72">
                  <c:v>7.4873591639107598E-3</c:v>
                </c:pt>
                <c:pt idx="73">
                  <c:v>7.3623363758947898E-3</c:v>
                </c:pt>
                <c:pt idx="74">
                  <c:v>8.8843324881656294E-3</c:v>
                </c:pt>
                <c:pt idx="75">
                  <c:v>3.0825686605397001E-3</c:v>
                </c:pt>
                <c:pt idx="76">
                  <c:v>6.0095219454725096E-3</c:v>
                </c:pt>
                <c:pt idx="77">
                  <c:v>8.0245034361818793E-3</c:v>
                </c:pt>
                <c:pt idx="78">
                  <c:v>5.8788839650181796E-3</c:v>
                </c:pt>
                <c:pt idx="79">
                  <c:v>9.7701717480830098E-3</c:v>
                </c:pt>
                <c:pt idx="80">
                  <c:v>6.20043247862291E-3</c:v>
                </c:pt>
                <c:pt idx="81">
                  <c:v>4.3146782200575102E-3</c:v>
                </c:pt>
                <c:pt idx="82">
                  <c:v>8.7521981233164292E-3</c:v>
                </c:pt>
                <c:pt idx="83">
                  <c:v>3.8817921210119802E-3</c:v>
                </c:pt>
                <c:pt idx="84">
                  <c:v>5.7855930193194604E-3</c:v>
                </c:pt>
                <c:pt idx="85">
                  <c:v>3.6037117408868301E-3</c:v>
                </c:pt>
                <c:pt idx="86">
                  <c:v>1.1955494147383601E-2</c:v>
                </c:pt>
                <c:pt idx="87">
                  <c:v>5.3860234284846499E-3</c:v>
                </c:pt>
                <c:pt idx="88">
                  <c:v>3.4643662377305501E-3</c:v>
                </c:pt>
                <c:pt idx="89">
                  <c:v>8.9461507960220104E-3</c:v>
                </c:pt>
                <c:pt idx="90">
                  <c:v>1.12987075482866E-2</c:v>
                </c:pt>
                <c:pt idx="91">
                  <c:v>7.6514440509166497E-3</c:v>
                </c:pt>
                <c:pt idx="92">
                  <c:v>1.37343158935751E-2</c:v>
                </c:pt>
                <c:pt idx="93">
                  <c:v>9.0292482323045403E-3</c:v>
                </c:pt>
                <c:pt idx="94">
                  <c:v>5.0672712219393297E-3</c:v>
                </c:pt>
                <c:pt idx="95">
                  <c:v>5.7427261468746896E-3</c:v>
                </c:pt>
                <c:pt idx="96">
                  <c:v>5.2923586976767302E-3</c:v>
                </c:pt>
                <c:pt idx="97">
                  <c:v>3.75960856627542E-3</c:v>
                </c:pt>
                <c:pt idx="98">
                  <c:v>3.1033528013834498E-3</c:v>
                </c:pt>
                <c:pt idx="99">
                  <c:v>2.6991381480527101E-3</c:v>
                </c:pt>
                <c:pt idx="100">
                  <c:v>2.3889613670741799E-3</c:v>
                </c:pt>
                <c:pt idx="101">
                  <c:v>1.08761849894008E-2</c:v>
                </c:pt>
                <c:pt idx="102">
                  <c:v>-3.7155310559880601E-4</c:v>
                </c:pt>
                <c:pt idx="103">
                  <c:v>4.7339962475595101E-3</c:v>
                </c:pt>
                <c:pt idx="104">
                  <c:v>1.5629038870601001E-3</c:v>
                </c:pt>
                <c:pt idx="105">
                  <c:v>2.5656267018199399E-3</c:v>
                </c:pt>
                <c:pt idx="106">
                  <c:v>-1.0416994850862201E-2</c:v>
                </c:pt>
                <c:pt idx="107">
                  <c:v>-1.0522988479326501E-2</c:v>
                </c:pt>
                <c:pt idx="108">
                  <c:v>-1.5272735046400599E-2</c:v>
                </c:pt>
                <c:pt idx="109">
                  <c:v>-1.7327085254323499E-2</c:v>
                </c:pt>
                <c:pt idx="110">
                  <c:v>-6.9373373769311096E-3</c:v>
                </c:pt>
                <c:pt idx="111">
                  <c:v>-1.35650384815064E-2</c:v>
                </c:pt>
                <c:pt idx="112">
                  <c:v>-1.9375613433192499E-2</c:v>
                </c:pt>
                <c:pt idx="113">
                  <c:v>-2.2322220521071499E-2</c:v>
                </c:pt>
                <c:pt idx="114">
                  <c:v>-2.3835048054497002E-2</c:v>
                </c:pt>
                <c:pt idx="115">
                  <c:v>-2.2770247149758699E-2</c:v>
                </c:pt>
                <c:pt idx="116">
                  <c:v>-2.01425716712107E-2</c:v>
                </c:pt>
                <c:pt idx="117">
                  <c:v>-1.9391922164178399E-2</c:v>
                </c:pt>
                <c:pt idx="118">
                  <c:v>-8.6206824377323497E-3</c:v>
                </c:pt>
                <c:pt idx="119">
                  <c:v>-8.1389957588028701E-4</c:v>
                </c:pt>
                <c:pt idx="120">
                  <c:v>6.6882664926089597E-3</c:v>
                </c:pt>
                <c:pt idx="121">
                  <c:v>2.6072201092729301E-3</c:v>
                </c:pt>
                <c:pt idx="122">
                  <c:v>1.09272845385146E-2</c:v>
                </c:pt>
                <c:pt idx="123">
                  <c:v>1.1091865133102801E-2</c:v>
                </c:pt>
                <c:pt idx="124">
                  <c:v>7.7583140180180104E-3</c:v>
                </c:pt>
                <c:pt idx="125">
                  <c:v>1.2693093644318001E-2</c:v>
                </c:pt>
                <c:pt idx="126">
                  <c:v>8.6455952917702892E-3</c:v>
                </c:pt>
                <c:pt idx="127">
                  <c:v>7.8605133477311594E-3</c:v>
                </c:pt>
                <c:pt idx="128">
                  <c:v>3.93854480768691E-3</c:v>
                </c:pt>
                <c:pt idx="129">
                  <c:v>1.57295361617574E-3</c:v>
                </c:pt>
                <c:pt idx="130">
                  <c:v>9.3326263818569702E-4</c:v>
                </c:pt>
                <c:pt idx="131">
                  <c:v>9.3526383424966802E-3</c:v>
                </c:pt>
                <c:pt idx="132">
                  <c:v>6.8808489559264599E-4</c:v>
                </c:pt>
                <c:pt idx="133">
                  <c:v>5.0330478815710403E-4</c:v>
                </c:pt>
                <c:pt idx="134">
                  <c:v>5.0897796382129096E-3</c:v>
                </c:pt>
                <c:pt idx="135">
                  <c:v>5.9708903282345103E-3</c:v>
                </c:pt>
                <c:pt idx="136">
                  <c:v>-1.05540037187266E-3</c:v>
                </c:pt>
                <c:pt idx="137">
                  <c:v>-8.3780608243056701E-4</c:v>
                </c:pt>
                <c:pt idx="138">
                  <c:v>1.04346495065579E-3</c:v>
                </c:pt>
                <c:pt idx="139">
                  <c:v>3.1593883993748699E-3</c:v>
                </c:pt>
                <c:pt idx="140">
                  <c:v>-1.9211701091484299E-3</c:v>
                </c:pt>
                <c:pt idx="141">
                  <c:v>-7.1250472940435497E-3</c:v>
                </c:pt>
                <c:pt idx="142">
                  <c:v>-8.8235227674189794E-3</c:v>
                </c:pt>
                <c:pt idx="143">
                  <c:v>-6.7893525005131398E-3</c:v>
                </c:pt>
                <c:pt idx="144">
                  <c:v>-2.3091383173231899E-3</c:v>
                </c:pt>
                <c:pt idx="145">
                  <c:v>-7.8472205316257801E-3</c:v>
                </c:pt>
                <c:pt idx="146">
                  <c:v>-4.5217451477549504E-3</c:v>
                </c:pt>
                <c:pt idx="147">
                  <c:v>-6.7992329725872899E-3</c:v>
                </c:pt>
                <c:pt idx="148">
                  <c:v>-4.7888799423883403E-3</c:v>
                </c:pt>
                <c:pt idx="149">
                  <c:v>1.9720538372310099E-3</c:v>
                </c:pt>
                <c:pt idx="150">
                  <c:v>3.2480734627151101E-4</c:v>
                </c:pt>
                <c:pt idx="151">
                  <c:v>-3.5100670833320899E-3</c:v>
                </c:pt>
                <c:pt idx="152">
                  <c:v>5.9622177066835495E-4</c:v>
                </c:pt>
                <c:pt idx="153">
                  <c:v>1.8710983154037999E-3</c:v>
                </c:pt>
                <c:pt idx="154">
                  <c:v>1.21459427150686E-4</c:v>
                </c:pt>
                <c:pt idx="155">
                  <c:v>4.96423168987216E-4</c:v>
                </c:pt>
                <c:pt idx="156">
                  <c:v>7.5717839099082003E-3</c:v>
                </c:pt>
                <c:pt idx="157">
                  <c:v>1.03222769256482E-2</c:v>
                </c:pt>
                <c:pt idx="158">
                  <c:v>2.3583243348137299E-3</c:v>
                </c:pt>
                <c:pt idx="159">
                  <c:v>4.8496968068860299E-3</c:v>
                </c:pt>
                <c:pt idx="160">
                  <c:v>4.0528888942995001E-3</c:v>
                </c:pt>
                <c:pt idx="161">
                  <c:v>9.2444241227897898E-3</c:v>
                </c:pt>
                <c:pt idx="162">
                  <c:v>5.6088694190034602E-3</c:v>
                </c:pt>
                <c:pt idx="163">
                  <c:v>-1.1173145075082801E-3</c:v>
                </c:pt>
                <c:pt idx="164">
                  <c:v>1.26304877258321E-3</c:v>
                </c:pt>
                <c:pt idx="165">
                  <c:v>6.76431388951721E-3</c:v>
                </c:pt>
                <c:pt idx="166">
                  <c:v>5.5287899614044197E-3</c:v>
                </c:pt>
                <c:pt idx="167">
                  <c:v>1.6203402603396901E-4</c:v>
                </c:pt>
                <c:pt idx="168">
                  <c:v>-5.00995336741263E-3</c:v>
                </c:pt>
                <c:pt idx="169">
                  <c:v>-5.0753035505996203E-3</c:v>
                </c:pt>
                <c:pt idx="170">
                  <c:v>-5.0629454672164896E-3</c:v>
                </c:pt>
                <c:pt idx="171">
                  <c:v>-4.0473978597239096E-3</c:v>
                </c:pt>
                <c:pt idx="172">
                  <c:v>-5.1489910592556597E-3</c:v>
                </c:pt>
                <c:pt idx="173">
                  <c:v>-3.6935295477180901E-3</c:v>
                </c:pt>
                <c:pt idx="174">
                  <c:v>-2.1057996764969401E-4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3-445A-BC9F-5377AF97C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8.2028797016379992E-3</c:v>
                </c:pt>
                <c:pt idx="40">
                  <c:v>1.3150668573031689E-2</c:v>
                </c:pt>
                <c:pt idx="41">
                  <c:v>1.3150668573031689E-2</c:v>
                </c:pt>
                <c:pt idx="42">
                  <c:v>1.3150668573031689E-2</c:v>
                </c:pt>
                <c:pt idx="43">
                  <c:v>1.3150668573031689E-2</c:v>
                </c:pt>
                <c:pt idx="44">
                  <c:v>1.3150668573031689E-2</c:v>
                </c:pt>
                <c:pt idx="45">
                  <c:v>1.3150668573031689E-2</c:v>
                </c:pt>
                <c:pt idx="46">
                  <c:v>1.3150668573031689E-2</c:v>
                </c:pt>
                <c:pt idx="47">
                  <c:v>1.3150668573031689E-2</c:v>
                </c:pt>
                <c:pt idx="48">
                  <c:v>1.3150668573031689E-2</c:v>
                </c:pt>
                <c:pt idx="49">
                  <c:v>1.3150668573031689E-2</c:v>
                </c:pt>
                <c:pt idx="50">
                  <c:v>1.3150668573031689E-2</c:v>
                </c:pt>
                <c:pt idx="51">
                  <c:v>1.3150668573031689E-2</c:v>
                </c:pt>
                <c:pt idx="52">
                  <c:v>1.3150668573031689E-2</c:v>
                </c:pt>
                <c:pt idx="53">
                  <c:v>1.3150668573031689E-2</c:v>
                </c:pt>
                <c:pt idx="54">
                  <c:v>1.3150668573031689E-2</c:v>
                </c:pt>
                <c:pt idx="55">
                  <c:v>1.3150668573031689E-2</c:v>
                </c:pt>
                <c:pt idx="56">
                  <c:v>1.3150668573031689E-2</c:v>
                </c:pt>
                <c:pt idx="57">
                  <c:v>1.3150668573031689E-2</c:v>
                </c:pt>
                <c:pt idx="58">
                  <c:v>1.3150668573031689E-2</c:v>
                </c:pt>
                <c:pt idx="59">
                  <c:v>1.3150668573031689E-2</c:v>
                </c:pt>
                <c:pt idx="60">
                  <c:v>1.3150668573031689E-2</c:v>
                </c:pt>
                <c:pt idx="61">
                  <c:v>1.3150668573031689E-2</c:v>
                </c:pt>
                <c:pt idx="62">
                  <c:v>1.3150668573031689E-2</c:v>
                </c:pt>
                <c:pt idx="63">
                  <c:v>1.3150668573031689E-2</c:v>
                </c:pt>
                <c:pt idx="64">
                  <c:v>1.3150668573031689E-2</c:v>
                </c:pt>
                <c:pt idx="65">
                  <c:v>1.3150668573031689E-2</c:v>
                </c:pt>
                <c:pt idx="66">
                  <c:v>1.3150668573031689E-2</c:v>
                </c:pt>
                <c:pt idx="67">
                  <c:v>1.3150668573031689E-2</c:v>
                </c:pt>
                <c:pt idx="68">
                  <c:v>1.3150668573031689E-2</c:v>
                </c:pt>
                <c:pt idx="69">
                  <c:v>1.3150668573031689E-2</c:v>
                </c:pt>
                <c:pt idx="70">
                  <c:v>1.3150668573031689E-2</c:v>
                </c:pt>
                <c:pt idx="71">
                  <c:v>1.3150668573031689E-2</c:v>
                </c:pt>
                <c:pt idx="72">
                  <c:v>1.3150668573031689E-2</c:v>
                </c:pt>
                <c:pt idx="73">
                  <c:v>1.3150668573031689E-2</c:v>
                </c:pt>
                <c:pt idx="74">
                  <c:v>1.3150668573031689E-2</c:v>
                </c:pt>
                <c:pt idx="75">
                  <c:v>1.3150668573031689E-2</c:v>
                </c:pt>
                <c:pt idx="76">
                  <c:v>1.3150668573031689E-2</c:v>
                </c:pt>
                <c:pt idx="77">
                  <c:v>1.3150668573031689E-2</c:v>
                </c:pt>
                <c:pt idx="78">
                  <c:v>1.3150668573031689E-2</c:v>
                </c:pt>
                <c:pt idx="79">
                  <c:v>1.3150668573031689E-2</c:v>
                </c:pt>
                <c:pt idx="80">
                  <c:v>1.3150668573031689E-2</c:v>
                </c:pt>
                <c:pt idx="81">
                  <c:v>1.3150668573031689E-2</c:v>
                </c:pt>
                <c:pt idx="82">
                  <c:v>1.3150668573031689E-2</c:v>
                </c:pt>
                <c:pt idx="83">
                  <c:v>1.3150668573031689E-2</c:v>
                </c:pt>
                <c:pt idx="84">
                  <c:v>1.3150668573031689E-2</c:v>
                </c:pt>
                <c:pt idx="85">
                  <c:v>1.3150668573031689E-2</c:v>
                </c:pt>
                <c:pt idx="86">
                  <c:v>1.3150668573031689E-2</c:v>
                </c:pt>
                <c:pt idx="87">
                  <c:v>1.3150668573031689E-2</c:v>
                </c:pt>
                <c:pt idx="88">
                  <c:v>1.3150668573031689E-2</c:v>
                </c:pt>
                <c:pt idx="89">
                  <c:v>1.0655388456889998E-2</c:v>
                </c:pt>
                <c:pt idx="90">
                  <c:v>2.0171940872628018E-2</c:v>
                </c:pt>
                <c:pt idx="91">
                  <c:v>2.0171940872628018E-2</c:v>
                </c:pt>
                <c:pt idx="92">
                  <c:v>2.0171940872628018E-2</c:v>
                </c:pt>
                <c:pt idx="93">
                  <c:v>1.5783545891507718E-2</c:v>
                </c:pt>
                <c:pt idx="94">
                  <c:v>1.2798991797770616E-2</c:v>
                </c:pt>
                <c:pt idx="95">
                  <c:v>1.2407065474901412E-2</c:v>
                </c:pt>
                <c:pt idx="96">
                  <c:v>1.3506973926762013E-2</c:v>
                </c:pt>
                <c:pt idx="97">
                  <c:v>1.2774105302842981E-2</c:v>
                </c:pt>
                <c:pt idx="98">
                  <c:v>2.2072435152100979E-2</c:v>
                </c:pt>
                <c:pt idx="99">
                  <c:v>2.8888986411675407E-2</c:v>
                </c:pt>
                <c:pt idx="100">
                  <c:v>2.8888986411675407E-2</c:v>
                </c:pt>
                <c:pt idx="101">
                  <c:v>2.8888986411675407E-2</c:v>
                </c:pt>
                <c:pt idx="102">
                  <c:v>2.8888986411675407E-2</c:v>
                </c:pt>
                <c:pt idx="103">
                  <c:v>2.8888986411675407E-2</c:v>
                </c:pt>
                <c:pt idx="104">
                  <c:v>2.8888986411675407E-2</c:v>
                </c:pt>
                <c:pt idx="105">
                  <c:v>2.8888986411675407E-2</c:v>
                </c:pt>
                <c:pt idx="106">
                  <c:v>2.8888986411675407E-2</c:v>
                </c:pt>
                <c:pt idx="107">
                  <c:v>2.8888986411675407E-2</c:v>
                </c:pt>
                <c:pt idx="108">
                  <c:v>2.8888986411675407E-2</c:v>
                </c:pt>
                <c:pt idx="109">
                  <c:v>2.8888986411675407E-2</c:v>
                </c:pt>
                <c:pt idx="110">
                  <c:v>2.8888986411675407E-2</c:v>
                </c:pt>
                <c:pt idx="111">
                  <c:v>2.8888986411675407E-2</c:v>
                </c:pt>
                <c:pt idx="112">
                  <c:v>2.8888986411675407E-2</c:v>
                </c:pt>
                <c:pt idx="113">
                  <c:v>2.8888986411675407E-2</c:v>
                </c:pt>
                <c:pt idx="114">
                  <c:v>2.8888986411675407E-2</c:v>
                </c:pt>
                <c:pt idx="115">
                  <c:v>2.8888986411675407E-2</c:v>
                </c:pt>
                <c:pt idx="116">
                  <c:v>2.8888986411675407E-2</c:v>
                </c:pt>
                <c:pt idx="117">
                  <c:v>2.8888986411675407E-2</c:v>
                </c:pt>
                <c:pt idx="118">
                  <c:v>2.8888986411675407E-2</c:v>
                </c:pt>
                <c:pt idx="119">
                  <c:v>2.8888986411675407E-2</c:v>
                </c:pt>
                <c:pt idx="120">
                  <c:v>2.8888986411675407E-2</c:v>
                </c:pt>
                <c:pt idx="121">
                  <c:v>2.8888986411675407E-2</c:v>
                </c:pt>
                <c:pt idx="122">
                  <c:v>2.8888986411675407E-2</c:v>
                </c:pt>
                <c:pt idx="123">
                  <c:v>2.8888986411675407E-2</c:v>
                </c:pt>
                <c:pt idx="124">
                  <c:v>2.8888986411675407E-2</c:v>
                </c:pt>
                <c:pt idx="125">
                  <c:v>2.8888986411675407E-2</c:v>
                </c:pt>
                <c:pt idx="126">
                  <c:v>2.8888986411675407E-2</c:v>
                </c:pt>
                <c:pt idx="127">
                  <c:v>2.8888986411675407E-2</c:v>
                </c:pt>
                <c:pt idx="128">
                  <c:v>2.8888986411675407E-2</c:v>
                </c:pt>
                <c:pt idx="129">
                  <c:v>2.8888986411675407E-2</c:v>
                </c:pt>
                <c:pt idx="130">
                  <c:v>2.8888986411675407E-2</c:v>
                </c:pt>
                <c:pt idx="131">
                  <c:v>2.8888986411675407E-2</c:v>
                </c:pt>
                <c:pt idx="132">
                  <c:v>2.8888986411675407E-2</c:v>
                </c:pt>
                <c:pt idx="133">
                  <c:v>2.8888986411675407E-2</c:v>
                </c:pt>
                <c:pt idx="134">
                  <c:v>2.8888986411675407E-2</c:v>
                </c:pt>
                <c:pt idx="135">
                  <c:v>2.8888986411675407E-2</c:v>
                </c:pt>
                <c:pt idx="136">
                  <c:v>2.8888986411675407E-2</c:v>
                </c:pt>
                <c:pt idx="137">
                  <c:v>2.8888986411675407E-2</c:v>
                </c:pt>
                <c:pt idx="138">
                  <c:v>2.8888986411675407E-2</c:v>
                </c:pt>
                <c:pt idx="139">
                  <c:v>2.8888986411675407E-2</c:v>
                </c:pt>
                <c:pt idx="140">
                  <c:v>2.8888986411675407E-2</c:v>
                </c:pt>
                <c:pt idx="141">
                  <c:v>2.8888986411675407E-2</c:v>
                </c:pt>
                <c:pt idx="142">
                  <c:v>2.8888986411675407E-2</c:v>
                </c:pt>
                <c:pt idx="143">
                  <c:v>2.8888986411675407E-2</c:v>
                </c:pt>
                <c:pt idx="144">
                  <c:v>2.8888986411675407E-2</c:v>
                </c:pt>
                <c:pt idx="145">
                  <c:v>2.8888986411675407E-2</c:v>
                </c:pt>
                <c:pt idx="146">
                  <c:v>2.8888986411675407E-2</c:v>
                </c:pt>
                <c:pt idx="147">
                  <c:v>2.8888986411675407E-2</c:v>
                </c:pt>
                <c:pt idx="148">
                  <c:v>2.8888986411675407E-2</c:v>
                </c:pt>
                <c:pt idx="149">
                  <c:v>2.8888986411675407E-2</c:v>
                </c:pt>
                <c:pt idx="150">
                  <c:v>2.8888986411675407E-2</c:v>
                </c:pt>
                <c:pt idx="151">
                  <c:v>2.8888986411675407E-2</c:v>
                </c:pt>
                <c:pt idx="152">
                  <c:v>2.8888986411675407E-2</c:v>
                </c:pt>
                <c:pt idx="153">
                  <c:v>2.8888986411675407E-2</c:v>
                </c:pt>
                <c:pt idx="154">
                  <c:v>2.8888986411675407E-2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B-4516-90C5-6940E8C4F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5.2395871693071494E-3</c:v>
                </c:pt>
                <c:pt idx="68">
                  <c:v>6.299422181472847E-3</c:v>
                </c:pt>
                <c:pt idx="69">
                  <c:v>6.299422181472847E-3</c:v>
                </c:pt>
                <c:pt idx="70">
                  <c:v>6.299422181472847E-3</c:v>
                </c:pt>
                <c:pt idx="71">
                  <c:v>9.1869046457647673E-3</c:v>
                </c:pt>
                <c:pt idx="72">
                  <c:v>2.1692826593463672E-3</c:v>
                </c:pt>
                <c:pt idx="73">
                  <c:v>6.0397540899653976E-3</c:v>
                </c:pt>
                <c:pt idx="74">
                  <c:v>9.3711361921687986E-3</c:v>
                </c:pt>
                <c:pt idx="75">
                  <c:v>8.299131560799089E-3</c:v>
                </c:pt>
                <c:pt idx="76">
                  <c:v>8.0132245100220899E-3</c:v>
                </c:pt>
                <c:pt idx="77">
                  <c:v>8.9382118616651886E-3</c:v>
                </c:pt>
                <c:pt idx="78">
                  <c:v>8.9382118616651886E-3</c:v>
                </c:pt>
                <c:pt idx="79">
                  <c:v>8.9382118616651886E-3</c:v>
                </c:pt>
                <c:pt idx="80">
                  <c:v>8.9382118616651886E-3</c:v>
                </c:pt>
                <c:pt idx="81">
                  <c:v>8.9382118616651886E-3</c:v>
                </c:pt>
                <c:pt idx="82">
                  <c:v>1.9240804842614187E-2</c:v>
                </c:pt>
                <c:pt idx="83">
                  <c:v>1.9240804842614187E-2</c:v>
                </c:pt>
                <c:pt idx="84">
                  <c:v>1.9240804842614187E-2</c:v>
                </c:pt>
                <c:pt idx="85">
                  <c:v>1.9240804842614187E-2</c:v>
                </c:pt>
                <c:pt idx="86">
                  <c:v>1.9240804842614187E-2</c:v>
                </c:pt>
                <c:pt idx="87">
                  <c:v>1.9240804842614187E-2</c:v>
                </c:pt>
                <c:pt idx="88">
                  <c:v>1.9240804842614187E-2</c:v>
                </c:pt>
                <c:pt idx="89">
                  <c:v>1.9240804842614187E-2</c:v>
                </c:pt>
                <c:pt idx="90">
                  <c:v>1.9240804842614187E-2</c:v>
                </c:pt>
                <c:pt idx="91">
                  <c:v>1.9240804842614187E-2</c:v>
                </c:pt>
                <c:pt idx="92">
                  <c:v>1.9240804842614187E-2</c:v>
                </c:pt>
                <c:pt idx="93">
                  <c:v>1.9240804842614187E-2</c:v>
                </c:pt>
                <c:pt idx="94">
                  <c:v>1.9240804842614187E-2</c:v>
                </c:pt>
                <c:pt idx="95">
                  <c:v>1.9240804842614187E-2</c:v>
                </c:pt>
                <c:pt idx="96">
                  <c:v>1.9240804842614187E-2</c:v>
                </c:pt>
                <c:pt idx="97">
                  <c:v>1.9240804842614187E-2</c:v>
                </c:pt>
                <c:pt idx="98">
                  <c:v>1.9240804842614187E-2</c:v>
                </c:pt>
                <c:pt idx="99">
                  <c:v>1.9240804842614187E-2</c:v>
                </c:pt>
                <c:pt idx="100">
                  <c:v>1.9240804842614187E-2</c:v>
                </c:pt>
                <c:pt idx="101">
                  <c:v>1.9240804842614187E-2</c:v>
                </c:pt>
                <c:pt idx="102">
                  <c:v>1.9240804842614187E-2</c:v>
                </c:pt>
                <c:pt idx="103">
                  <c:v>1.9171188775197689E-2</c:v>
                </c:pt>
                <c:pt idx="104">
                  <c:v>2.2857038314080681E-2</c:v>
                </c:pt>
                <c:pt idx="105">
                  <c:v>1.8334215408046084E-2</c:v>
                </c:pt>
                <c:pt idx="106">
                  <c:v>2.2640721258195114E-2</c:v>
                </c:pt>
                <c:pt idx="107">
                  <c:v>2.3285034861845653E-2</c:v>
                </c:pt>
                <c:pt idx="108">
                  <c:v>2.7069266400091854E-2</c:v>
                </c:pt>
                <c:pt idx="109">
                  <c:v>2.7069266400091854E-2</c:v>
                </c:pt>
                <c:pt idx="110">
                  <c:v>2.7069266400091854E-2</c:v>
                </c:pt>
                <c:pt idx="111">
                  <c:v>2.7069266400091854E-2</c:v>
                </c:pt>
                <c:pt idx="112">
                  <c:v>2.7069266400091854E-2</c:v>
                </c:pt>
                <c:pt idx="113">
                  <c:v>2.7069266400091854E-2</c:v>
                </c:pt>
                <c:pt idx="114">
                  <c:v>2.7069266400091854E-2</c:v>
                </c:pt>
                <c:pt idx="115">
                  <c:v>2.7069266400091854E-2</c:v>
                </c:pt>
                <c:pt idx="116">
                  <c:v>2.7069266400091854E-2</c:v>
                </c:pt>
                <c:pt idx="117">
                  <c:v>2.7069266400091854E-2</c:v>
                </c:pt>
                <c:pt idx="118">
                  <c:v>2.7069266400091854E-2</c:v>
                </c:pt>
                <c:pt idx="119">
                  <c:v>2.7069266400091854E-2</c:v>
                </c:pt>
                <c:pt idx="120">
                  <c:v>2.7069266400091854E-2</c:v>
                </c:pt>
                <c:pt idx="121">
                  <c:v>2.7069266400091854E-2</c:v>
                </c:pt>
                <c:pt idx="122">
                  <c:v>2.7069266400091854E-2</c:v>
                </c:pt>
                <c:pt idx="123">
                  <c:v>2.7069266400091854E-2</c:v>
                </c:pt>
                <c:pt idx="124">
                  <c:v>2.7069266400091854E-2</c:v>
                </c:pt>
                <c:pt idx="125">
                  <c:v>2.7069266400091854E-2</c:v>
                </c:pt>
                <c:pt idx="126">
                  <c:v>2.7069266400091854E-2</c:v>
                </c:pt>
                <c:pt idx="127">
                  <c:v>2.7069266400091854E-2</c:v>
                </c:pt>
                <c:pt idx="128">
                  <c:v>2.7069266400091854E-2</c:v>
                </c:pt>
                <c:pt idx="129">
                  <c:v>2.7069266400091854E-2</c:v>
                </c:pt>
                <c:pt idx="130">
                  <c:v>2.7069266400091854E-2</c:v>
                </c:pt>
                <c:pt idx="131">
                  <c:v>2.7069266400091854E-2</c:v>
                </c:pt>
                <c:pt idx="132">
                  <c:v>2.7069266400091854E-2</c:v>
                </c:pt>
                <c:pt idx="133">
                  <c:v>2.7069266400091854E-2</c:v>
                </c:pt>
                <c:pt idx="134">
                  <c:v>2.7069266400091854E-2</c:v>
                </c:pt>
                <c:pt idx="135">
                  <c:v>2.7069266400091854E-2</c:v>
                </c:pt>
                <c:pt idx="136">
                  <c:v>2.7069266400091854E-2</c:v>
                </c:pt>
                <c:pt idx="137">
                  <c:v>2.7069266400091854E-2</c:v>
                </c:pt>
                <c:pt idx="138">
                  <c:v>3.4618678360000425E-2</c:v>
                </c:pt>
                <c:pt idx="139">
                  <c:v>3.4618678360000425E-2</c:v>
                </c:pt>
                <c:pt idx="140">
                  <c:v>3.4618678360000425E-2</c:v>
                </c:pt>
                <c:pt idx="141">
                  <c:v>3.4618678360000425E-2</c:v>
                </c:pt>
                <c:pt idx="142">
                  <c:v>3.4618678360000425E-2</c:v>
                </c:pt>
                <c:pt idx="143">
                  <c:v>3.4618678360000425E-2</c:v>
                </c:pt>
                <c:pt idx="144">
                  <c:v>3.4618678360000425E-2</c:v>
                </c:pt>
                <c:pt idx="145">
                  <c:v>3.4618678360000425E-2</c:v>
                </c:pt>
                <c:pt idx="146">
                  <c:v>3.4618678360000425E-2</c:v>
                </c:pt>
                <c:pt idx="147">
                  <c:v>3.4618678360000425E-2</c:v>
                </c:pt>
                <c:pt idx="148">
                  <c:v>3.4618678360000425E-2</c:v>
                </c:pt>
                <c:pt idx="149">
                  <c:v>3.4618678360000425E-2</c:v>
                </c:pt>
                <c:pt idx="150">
                  <c:v>3.4618678360000425E-2</c:v>
                </c:pt>
                <c:pt idx="151">
                  <c:v>3.4618678360000425E-2</c:v>
                </c:pt>
                <c:pt idx="152">
                  <c:v>3.4618678360000425E-2</c:v>
                </c:pt>
                <c:pt idx="153">
                  <c:v>3.4618678360000425E-2</c:v>
                </c:pt>
                <c:pt idx="154">
                  <c:v>3.4618678360000425E-2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6-4C96-8AF9-E7941ADE5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8.2028797016379992E-3</c:v>
                </c:pt>
                <c:pt idx="40">
                  <c:v>1.3150668573031689E-2</c:v>
                </c:pt>
                <c:pt idx="41">
                  <c:v>1.3150668573031689E-2</c:v>
                </c:pt>
                <c:pt idx="42">
                  <c:v>1.3150668573031689E-2</c:v>
                </c:pt>
                <c:pt idx="43">
                  <c:v>1.3150668573031689E-2</c:v>
                </c:pt>
                <c:pt idx="44">
                  <c:v>1.3150668573031689E-2</c:v>
                </c:pt>
                <c:pt idx="45">
                  <c:v>1.3150668573031689E-2</c:v>
                </c:pt>
                <c:pt idx="46">
                  <c:v>1.3150668573031689E-2</c:v>
                </c:pt>
                <c:pt idx="47">
                  <c:v>1.3150668573031689E-2</c:v>
                </c:pt>
                <c:pt idx="48">
                  <c:v>1.3150668573031689E-2</c:v>
                </c:pt>
                <c:pt idx="49">
                  <c:v>1.3150668573031689E-2</c:v>
                </c:pt>
                <c:pt idx="50">
                  <c:v>1.3150668573031689E-2</c:v>
                </c:pt>
                <c:pt idx="51">
                  <c:v>1.3150668573031689E-2</c:v>
                </c:pt>
                <c:pt idx="52">
                  <c:v>1.3150668573031689E-2</c:v>
                </c:pt>
                <c:pt idx="53">
                  <c:v>1.3150668573031689E-2</c:v>
                </c:pt>
                <c:pt idx="54">
                  <c:v>1.3150668573031689E-2</c:v>
                </c:pt>
                <c:pt idx="55">
                  <c:v>1.3150668573031689E-2</c:v>
                </c:pt>
                <c:pt idx="56">
                  <c:v>1.3150668573031689E-2</c:v>
                </c:pt>
                <c:pt idx="57">
                  <c:v>1.3150668573031689E-2</c:v>
                </c:pt>
                <c:pt idx="58">
                  <c:v>1.3150668573031689E-2</c:v>
                </c:pt>
                <c:pt idx="59">
                  <c:v>1.3150668573031689E-2</c:v>
                </c:pt>
                <c:pt idx="60">
                  <c:v>1.3150668573031689E-2</c:v>
                </c:pt>
                <c:pt idx="61">
                  <c:v>1.3150668573031689E-2</c:v>
                </c:pt>
                <c:pt idx="62">
                  <c:v>1.3150668573031689E-2</c:v>
                </c:pt>
                <c:pt idx="63">
                  <c:v>1.3150668573031689E-2</c:v>
                </c:pt>
                <c:pt idx="64">
                  <c:v>1.3150668573031689E-2</c:v>
                </c:pt>
                <c:pt idx="65">
                  <c:v>1.3150668573031689E-2</c:v>
                </c:pt>
                <c:pt idx="66">
                  <c:v>1.3150668573031689E-2</c:v>
                </c:pt>
                <c:pt idx="67">
                  <c:v>1.8390255742338837E-2</c:v>
                </c:pt>
                <c:pt idx="68">
                  <c:v>1.9450090754504535E-2</c:v>
                </c:pt>
                <c:pt idx="69">
                  <c:v>1.9450090754504535E-2</c:v>
                </c:pt>
                <c:pt idx="70">
                  <c:v>1.9450090754504535E-2</c:v>
                </c:pt>
                <c:pt idx="71">
                  <c:v>2.2337573218796456E-2</c:v>
                </c:pt>
                <c:pt idx="72">
                  <c:v>1.5319951232378056E-2</c:v>
                </c:pt>
                <c:pt idx="73">
                  <c:v>1.9190422662997086E-2</c:v>
                </c:pt>
                <c:pt idx="74">
                  <c:v>2.2521804765200486E-2</c:v>
                </c:pt>
                <c:pt idx="75">
                  <c:v>2.1449800133830778E-2</c:v>
                </c:pt>
                <c:pt idx="76">
                  <c:v>2.1163893083053779E-2</c:v>
                </c:pt>
                <c:pt idx="77">
                  <c:v>2.2088880434696877E-2</c:v>
                </c:pt>
                <c:pt idx="78">
                  <c:v>2.2088880434696877E-2</c:v>
                </c:pt>
                <c:pt idx="79">
                  <c:v>2.2088880434696877E-2</c:v>
                </c:pt>
                <c:pt idx="80">
                  <c:v>2.2088880434696877E-2</c:v>
                </c:pt>
                <c:pt idx="81">
                  <c:v>2.2088880434696877E-2</c:v>
                </c:pt>
                <c:pt idx="82">
                  <c:v>3.2391473415645876E-2</c:v>
                </c:pt>
                <c:pt idx="83">
                  <c:v>3.2391473415645876E-2</c:v>
                </c:pt>
                <c:pt idx="84">
                  <c:v>3.2391473415645876E-2</c:v>
                </c:pt>
                <c:pt idx="85">
                  <c:v>3.2391473415645876E-2</c:v>
                </c:pt>
                <c:pt idx="86">
                  <c:v>3.2391473415645876E-2</c:v>
                </c:pt>
                <c:pt idx="87">
                  <c:v>3.2391473415645876E-2</c:v>
                </c:pt>
                <c:pt idx="88">
                  <c:v>3.2391473415645876E-2</c:v>
                </c:pt>
                <c:pt idx="89">
                  <c:v>2.9896193299504187E-2</c:v>
                </c:pt>
                <c:pt idx="90">
                  <c:v>3.9412745715242205E-2</c:v>
                </c:pt>
                <c:pt idx="91">
                  <c:v>3.9412745715242205E-2</c:v>
                </c:pt>
                <c:pt idx="92">
                  <c:v>3.9412745715242205E-2</c:v>
                </c:pt>
                <c:pt idx="93">
                  <c:v>3.5024350734121905E-2</c:v>
                </c:pt>
                <c:pt idx="94">
                  <c:v>3.2039796640384803E-2</c:v>
                </c:pt>
                <c:pt idx="95">
                  <c:v>3.1647870317515599E-2</c:v>
                </c:pt>
                <c:pt idx="96">
                  <c:v>3.27477787693762E-2</c:v>
                </c:pt>
                <c:pt idx="97">
                  <c:v>3.2014910145457168E-2</c:v>
                </c:pt>
                <c:pt idx="98">
                  <c:v>4.1313239994715166E-2</c:v>
                </c:pt>
                <c:pt idx="99">
                  <c:v>4.8129791254289594E-2</c:v>
                </c:pt>
                <c:pt idx="100">
                  <c:v>4.8129791254289594E-2</c:v>
                </c:pt>
                <c:pt idx="101">
                  <c:v>4.8129791254289594E-2</c:v>
                </c:pt>
                <c:pt idx="102">
                  <c:v>4.8129791254289594E-2</c:v>
                </c:pt>
                <c:pt idx="103">
                  <c:v>4.8060175186873097E-2</c:v>
                </c:pt>
                <c:pt idx="104">
                  <c:v>5.1746024725756089E-2</c:v>
                </c:pt>
                <c:pt idx="105">
                  <c:v>4.7223201819721491E-2</c:v>
                </c:pt>
                <c:pt idx="106">
                  <c:v>5.1529707669870521E-2</c:v>
                </c:pt>
                <c:pt idx="107">
                  <c:v>5.2174021273521061E-2</c:v>
                </c:pt>
                <c:pt idx="108">
                  <c:v>5.5958252811767265E-2</c:v>
                </c:pt>
                <c:pt idx="109">
                  <c:v>5.5958252811767265E-2</c:v>
                </c:pt>
                <c:pt idx="110">
                  <c:v>5.5958252811767265E-2</c:v>
                </c:pt>
                <c:pt idx="111">
                  <c:v>5.5958252811767265E-2</c:v>
                </c:pt>
                <c:pt idx="112">
                  <c:v>5.5958252811767265E-2</c:v>
                </c:pt>
                <c:pt idx="113">
                  <c:v>5.5958252811767265E-2</c:v>
                </c:pt>
                <c:pt idx="114">
                  <c:v>5.5958252811767265E-2</c:v>
                </c:pt>
                <c:pt idx="115">
                  <c:v>5.5958252811767265E-2</c:v>
                </c:pt>
                <c:pt idx="116">
                  <c:v>5.5958252811767265E-2</c:v>
                </c:pt>
                <c:pt idx="117">
                  <c:v>5.5958252811767265E-2</c:v>
                </c:pt>
                <c:pt idx="118">
                  <c:v>5.5958252811767265E-2</c:v>
                </c:pt>
                <c:pt idx="119">
                  <c:v>5.5958252811767265E-2</c:v>
                </c:pt>
                <c:pt idx="120">
                  <c:v>5.5958252811767265E-2</c:v>
                </c:pt>
                <c:pt idx="121">
                  <c:v>5.5958252811767265E-2</c:v>
                </c:pt>
                <c:pt idx="122">
                  <c:v>5.5958252811767265E-2</c:v>
                </c:pt>
                <c:pt idx="123">
                  <c:v>5.5958252811767265E-2</c:v>
                </c:pt>
                <c:pt idx="124">
                  <c:v>5.5958252811767265E-2</c:v>
                </c:pt>
                <c:pt idx="125">
                  <c:v>5.5958252811767265E-2</c:v>
                </c:pt>
                <c:pt idx="126">
                  <c:v>5.5958252811767265E-2</c:v>
                </c:pt>
                <c:pt idx="127">
                  <c:v>5.5958252811767265E-2</c:v>
                </c:pt>
                <c:pt idx="128">
                  <c:v>5.5958252811767265E-2</c:v>
                </c:pt>
                <c:pt idx="129">
                  <c:v>5.5958252811767265E-2</c:v>
                </c:pt>
                <c:pt idx="130">
                  <c:v>5.5958252811767265E-2</c:v>
                </c:pt>
                <c:pt idx="131">
                  <c:v>5.5958252811767265E-2</c:v>
                </c:pt>
                <c:pt idx="132">
                  <c:v>5.5958252811767265E-2</c:v>
                </c:pt>
                <c:pt idx="133">
                  <c:v>5.5958252811767265E-2</c:v>
                </c:pt>
                <c:pt idx="134">
                  <c:v>5.5958252811767265E-2</c:v>
                </c:pt>
                <c:pt idx="135">
                  <c:v>5.5958252811767265E-2</c:v>
                </c:pt>
                <c:pt idx="136">
                  <c:v>5.5958252811767265E-2</c:v>
                </c:pt>
                <c:pt idx="137">
                  <c:v>5.5958252811767265E-2</c:v>
                </c:pt>
                <c:pt idx="138">
                  <c:v>6.350766477167584E-2</c:v>
                </c:pt>
                <c:pt idx="139">
                  <c:v>6.350766477167584E-2</c:v>
                </c:pt>
                <c:pt idx="140">
                  <c:v>6.350766477167584E-2</c:v>
                </c:pt>
                <c:pt idx="141">
                  <c:v>6.350766477167584E-2</c:v>
                </c:pt>
                <c:pt idx="142">
                  <c:v>6.350766477167584E-2</c:v>
                </c:pt>
                <c:pt idx="143">
                  <c:v>6.350766477167584E-2</c:v>
                </c:pt>
                <c:pt idx="144">
                  <c:v>6.350766477167584E-2</c:v>
                </c:pt>
                <c:pt idx="145">
                  <c:v>6.350766477167584E-2</c:v>
                </c:pt>
                <c:pt idx="146">
                  <c:v>6.350766477167584E-2</c:v>
                </c:pt>
                <c:pt idx="147">
                  <c:v>6.350766477167584E-2</c:v>
                </c:pt>
                <c:pt idx="148">
                  <c:v>6.350766477167584E-2</c:v>
                </c:pt>
                <c:pt idx="149">
                  <c:v>6.350766477167584E-2</c:v>
                </c:pt>
                <c:pt idx="150">
                  <c:v>6.350766477167584E-2</c:v>
                </c:pt>
                <c:pt idx="151">
                  <c:v>6.350766477167584E-2</c:v>
                </c:pt>
                <c:pt idx="152">
                  <c:v>6.350766477167584E-2</c:v>
                </c:pt>
                <c:pt idx="153">
                  <c:v>6.350766477167584E-2</c:v>
                </c:pt>
                <c:pt idx="154">
                  <c:v>6.350766477167584E-2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1-4911-8825-0B8E6A4D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7EED4-3B19-48D4-9F4C-14C209014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135478-192E-4B26-8CED-B3986B6CF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76605A-8462-4AE1-A468-A66C49E71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44419F-0D8C-4C93-B42A-6BB385FE1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2C1655-5ED0-4D52-BA02-9335464C4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9ED96A-AB4E-40F7-834D-5E99F5A0F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26A83C-DCA1-4BDB-A09C-DF6E7F4C9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5787-979C-4320-9CDA-6CD9878ED1D1}">
  <dimension ref="A1:DZ179"/>
  <sheetViews>
    <sheetView tabSelected="1" topLeftCell="BI1" workbookViewId="0">
      <selection activeCell="CO16" sqref="CO16"/>
    </sheetView>
  </sheetViews>
  <sheetFormatPr defaultRowHeight="15" x14ac:dyDescent="0.25"/>
  <cols>
    <col min="1" max="1" width="9.42578125" bestFit="1" customWidth="1"/>
    <col min="2" max="3" width="10" style="33" bestFit="1" customWidth="1"/>
    <col min="4" max="4" width="12.28515625" style="15" bestFit="1" customWidth="1"/>
    <col min="5" max="5" width="11.7109375" style="15" bestFit="1" customWidth="1"/>
    <col min="6" max="6" width="10.7109375" style="33" bestFit="1" customWidth="1"/>
    <col min="7" max="7" width="19.140625" style="33" bestFit="1" customWidth="1"/>
    <col min="8" max="8" width="10.140625" style="33" bestFit="1" customWidth="1"/>
    <col min="9" max="9" width="18.5703125" style="33" bestFit="1" customWidth="1"/>
    <col min="10" max="10" width="21.85546875" style="33" bestFit="1" customWidth="1"/>
    <col min="11" max="11" width="21.140625" style="33" bestFit="1" customWidth="1"/>
    <col min="12" max="13" width="10" style="33" bestFit="1" customWidth="1"/>
    <col min="14" max="14" width="12.85546875" style="34" bestFit="1" customWidth="1"/>
    <col min="15" max="15" width="16.42578125" style="34" bestFit="1" customWidth="1"/>
    <col min="16" max="17" width="19.85546875" style="34" bestFit="1" customWidth="1"/>
    <col min="18" max="18" width="12.42578125" style="33" bestFit="1" customWidth="1"/>
    <col min="19" max="20" width="15.85546875" style="33" bestFit="1" customWidth="1"/>
    <col min="21" max="21" width="24.28515625" style="15" bestFit="1" customWidth="1"/>
    <col min="22" max="23" width="27.7109375" style="15" bestFit="1" customWidth="1"/>
    <col min="24" max="24" width="15" style="34" bestFit="1" customWidth="1"/>
    <col min="25" max="25" width="18.5703125" style="34" bestFit="1" customWidth="1"/>
    <col min="26" max="27" width="22" style="34" bestFit="1" customWidth="1"/>
    <col min="28" max="28" width="13.5703125" style="33" bestFit="1" customWidth="1"/>
    <col min="29" max="30" width="16.85546875" style="33" bestFit="1" customWidth="1"/>
    <col min="31" max="31" width="26.42578125" style="15" bestFit="1" customWidth="1"/>
    <col min="32" max="33" width="29.8554687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2.28515625" style="15" bestFit="1" customWidth="1"/>
    <col min="42" max="42" width="11.7109375" style="15" bestFit="1" customWidth="1"/>
    <col min="43" max="43" width="7.5703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2.28515625" style="15" bestFit="1" customWidth="1"/>
    <col min="53" max="53" width="11.7109375" style="15" bestFit="1" customWidth="1"/>
    <col min="54" max="54" width="7.5703125" style="15" bestFit="1" customWidth="1"/>
    <col min="55" max="55" width="8.7109375" style="15" bestFit="1" customWidth="1"/>
    <col min="56" max="56" width="1.7109375" style="9" customWidth="1"/>
    <col min="57" max="57" width="7.57031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1.9734203783000503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33</v>
      </c>
      <c r="AS1" s="2"/>
      <c r="AT1" s="3">
        <f>BB16</f>
        <v>2.3965491233828407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26.22</v>
      </c>
      <c r="C2" s="33">
        <v>26.14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26.22</v>
      </c>
      <c r="M2" s="33">
        <v>26.14</v>
      </c>
      <c r="N2" s="34">
        <v>0.99694889397406505</v>
      </c>
      <c r="O2" s="34">
        <v>0.98299370828552601</v>
      </c>
      <c r="X2" s="34">
        <v>0.99694889397406505</v>
      </c>
      <c r="Y2" s="34">
        <v>0.98299370828552601</v>
      </c>
      <c r="AI2" s="4">
        <v>0</v>
      </c>
      <c r="AJ2" s="10">
        <f t="dataTable" ref="AJ2:AQ9" dt2D="1" dtr="1" r1="AI21" r2="AI22"/>
        <v>2.6778071071130625</v>
      </c>
      <c r="AK2" s="10">
        <v>2.2819641102016313</v>
      </c>
      <c r="AL2" s="10">
        <v>2.344484748832028</v>
      </c>
      <c r="AM2" s="10">
        <v>1.6799252009712908</v>
      </c>
      <c r="AN2" s="10">
        <v>2.0416599905739479</v>
      </c>
      <c r="AO2" s="10">
        <v>1.3731309238552829</v>
      </c>
      <c r="AP2" s="10">
        <v>1.3731309238552829</v>
      </c>
      <c r="AQ2" s="10">
        <v>1.370642630413949</v>
      </c>
      <c r="AR2"/>
      <c r="AT2" s="4">
        <v>0</v>
      </c>
      <c r="AU2" s="10">
        <f t="dataTable" ref="AU2:BB9" dt2D="1" dtr="1" r1="AT21" r2="AT22"/>
        <v>2.2332875943228445</v>
      </c>
      <c r="AV2" s="11">
        <v>2.1184824746561541</v>
      </c>
      <c r="AW2" s="11">
        <v>1.4577397300793262</v>
      </c>
      <c r="AX2" s="11">
        <v>0.60273353155817444</v>
      </c>
      <c r="AY2" s="11">
        <v>0.93753699924259082</v>
      </c>
      <c r="AZ2" s="11">
        <v>1.0871706211744674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26</v>
      </c>
      <c r="C3" s="33">
        <v>25.81</v>
      </c>
      <c r="D3" s="15">
        <v>-8.4259403140717094E-3</v>
      </c>
      <c r="E3" s="15">
        <v>-1.2704694465553499E-2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26</v>
      </c>
      <c r="M3" s="33">
        <v>25.81</v>
      </c>
      <c r="N3" s="34">
        <v>0.99269230769230699</v>
      </c>
      <c r="O3" s="34">
        <v>0.98299370828552601</v>
      </c>
      <c r="R3" s="33">
        <v>25.557836415423601</v>
      </c>
      <c r="U3" s="15">
        <v>-9.8180350878655596E-3</v>
      </c>
      <c r="X3" s="34">
        <v>0.99269230769230699</v>
      </c>
      <c r="Y3" s="34">
        <v>0.98299370828552601</v>
      </c>
      <c r="AB3" s="33">
        <v>25.557836415423601</v>
      </c>
      <c r="AE3" s="15">
        <v>-9.8180350878655596E-3</v>
      </c>
      <c r="AI3" s="4">
        <f t="shared" ref="AI3:AI9" si="2">AI2-AK$12</f>
        <v>-2.5000000000000001E-3</v>
      </c>
      <c r="AJ3" s="10">
        <v>2.6778071071130625</v>
      </c>
      <c r="AK3" s="10">
        <v>2.1605119676379116</v>
      </c>
      <c r="AL3" s="10">
        <v>2.2257724146702191</v>
      </c>
      <c r="AM3" s="10">
        <v>1.5226926741331683</v>
      </c>
      <c r="AN3" s="10">
        <v>1.5538686792981893</v>
      </c>
      <c r="AO3" s="11">
        <v>1.0302982245977352</v>
      </c>
      <c r="AP3" s="10">
        <v>1.0302982245977352</v>
      </c>
      <c r="AQ3" s="10">
        <v>0.86910324139092043</v>
      </c>
      <c r="AR3"/>
      <c r="AT3" s="4">
        <f>AT2+AV$12</f>
        <v>2.5000000000000001E-3</v>
      </c>
      <c r="AU3" s="10">
        <v>2.2332875943228445</v>
      </c>
      <c r="AV3" s="11">
        <v>3.28518883418295</v>
      </c>
      <c r="AW3" s="11">
        <v>2.6439558915897758</v>
      </c>
      <c r="AX3" s="11">
        <v>1.8587553333817435</v>
      </c>
      <c r="AY3" s="11">
        <v>1.7838034937576304</v>
      </c>
      <c r="AZ3" s="11">
        <v>2.8202570524114212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26.25</v>
      </c>
      <c r="C4" s="33">
        <v>26.1</v>
      </c>
      <c r="D4" s="15">
        <v>9.5694510161506707E-3</v>
      </c>
      <c r="E4" s="15">
        <v>1.1173300598125199E-2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26.25</v>
      </c>
      <c r="M4" s="33">
        <v>26.1</v>
      </c>
      <c r="N4" s="34">
        <v>0.994285714285714</v>
      </c>
      <c r="O4" s="34">
        <v>0.98299370828552601</v>
      </c>
      <c r="R4" s="33">
        <v>25.803584842494999</v>
      </c>
      <c r="U4" s="15">
        <v>-1.14218846698401E-2</v>
      </c>
      <c r="X4" s="34">
        <v>0.994285714285714</v>
      </c>
      <c r="Y4" s="34">
        <v>0.98299370828552601</v>
      </c>
      <c r="AB4" s="33">
        <v>25.803584842494999</v>
      </c>
      <c r="AE4" s="15">
        <v>-1.14218846698401E-2</v>
      </c>
      <c r="AG4"/>
      <c r="AI4" s="4">
        <f t="shared" si="2"/>
        <v>-5.0000000000000001E-3</v>
      </c>
      <c r="AJ4" s="10">
        <v>2.6778071071130625</v>
      </c>
      <c r="AK4" s="11">
        <v>2.1605119676379116</v>
      </c>
      <c r="AL4" s="11">
        <v>2.0733125323268315</v>
      </c>
      <c r="AM4" s="11">
        <v>1.240461770181988</v>
      </c>
      <c r="AN4" s="10">
        <v>1.4557398301604219</v>
      </c>
      <c r="AO4" s="11">
        <v>0.91297725966493481</v>
      </c>
      <c r="AP4" s="11">
        <v>0.91297725966493481</v>
      </c>
      <c r="AQ4" s="11">
        <v>0.86910324139092043</v>
      </c>
      <c r="AR4"/>
      <c r="AT4" s="4">
        <f t="shared" ref="AT4:AT9" si="3">AT3+AV$12</f>
        <v>5.0000000000000001E-3</v>
      </c>
      <c r="AU4" s="10">
        <v>2.2332875943228445</v>
      </c>
      <c r="AV4" s="11">
        <v>3.28518883418295</v>
      </c>
      <c r="AW4" s="11">
        <v>4.4041479760058966</v>
      </c>
      <c r="AX4" s="11">
        <v>3.2444290667774398</v>
      </c>
      <c r="AY4" s="11">
        <v>2.3965491233828407</v>
      </c>
      <c r="AZ4" s="11">
        <v>2.5460882257986439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25.53</v>
      </c>
      <c r="C5" s="33">
        <v>25.35</v>
      </c>
      <c r="D5" s="15">
        <v>-2.78117577842402E-2</v>
      </c>
      <c r="E5" s="15">
        <v>-2.9156584291455501E-2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25.53</v>
      </c>
      <c r="M5" s="33">
        <v>25.35</v>
      </c>
      <c r="N5" s="34">
        <v>0.99294947121034005</v>
      </c>
      <c r="O5" s="34">
        <v>0.98299370828552601</v>
      </c>
      <c r="R5" s="33">
        <v>25.095829372529401</v>
      </c>
      <c r="U5" s="15">
        <v>-1.0077058162624801E-2</v>
      </c>
      <c r="X5" s="34">
        <v>0.99294947121034005</v>
      </c>
      <c r="Y5" s="34">
        <v>0.98299370828552601</v>
      </c>
      <c r="AB5" s="33">
        <v>25.095829372529401</v>
      </c>
      <c r="AE5" s="15">
        <v>-1.0077058162624801E-2</v>
      </c>
      <c r="AG5" s="29"/>
      <c r="AI5" s="4">
        <f t="shared" si="2"/>
        <v>-7.4999999999999997E-3</v>
      </c>
      <c r="AJ5" s="10">
        <v>2.6778071071130625</v>
      </c>
      <c r="AK5" s="11">
        <v>2.1605119676379116</v>
      </c>
      <c r="AL5" s="11">
        <v>2.0733125323268315</v>
      </c>
      <c r="AM5" s="11">
        <v>1.2930478679740096</v>
      </c>
      <c r="AN5" s="11">
        <v>1.7252374398494073</v>
      </c>
      <c r="AO5" s="11">
        <v>1.4335442834536489</v>
      </c>
      <c r="AP5" s="10">
        <v>1.9734203783000503</v>
      </c>
      <c r="AQ5" s="11">
        <v>0.86910324139092043</v>
      </c>
      <c r="AR5"/>
      <c r="AT5" s="4">
        <f t="shared" si="3"/>
        <v>7.4999999999999997E-3</v>
      </c>
      <c r="AU5" s="10">
        <v>2.2332875943228445</v>
      </c>
      <c r="AV5" s="11">
        <v>3.28518883418295</v>
      </c>
      <c r="AW5" s="11">
        <v>4.4041479760058966</v>
      </c>
      <c r="AX5" s="11">
        <v>3.2542448501139267</v>
      </c>
      <c r="AY5" s="11">
        <v>2.3634529757602047</v>
      </c>
      <c r="AZ5" s="11">
        <v>2.6660223250359016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25.86</v>
      </c>
      <c r="C6" s="33">
        <v>25.69</v>
      </c>
      <c r="D6" s="15">
        <v>1.2843142090318701E-2</v>
      </c>
      <c r="E6" s="15">
        <v>1.3323081084599901E-2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25.86</v>
      </c>
      <c r="M6" s="33">
        <v>25.69</v>
      </c>
      <c r="N6" s="34">
        <v>0.99342614075792701</v>
      </c>
      <c r="O6" s="34">
        <v>0.98299370828552601</v>
      </c>
      <c r="R6" s="33">
        <v>25.420217296263701</v>
      </c>
      <c r="U6" s="15">
        <v>-1.05569971569059E-2</v>
      </c>
      <c r="X6" s="34">
        <v>0.99342614075792701</v>
      </c>
      <c r="Y6" s="34">
        <v>0.98299370828552601</v>
      </c>
      <c r="AB6" s="33">
        <v>25.420217296263701</v>
      </c>
      <c r="AE6" s="15">
        <v>-1.05569971569059E-2</v>
      </c>
      <c r="AG6" s="29"/>
      <c r="AI6" s="4">
        <f t="shared" si="2"/>
        <v>-0.01</v>
      </c>
      <c r="AJ6" s="10">
        <v>2.6778071071130625</v>
      </c>
      <c r="AK6" s="11">
        <v>2.1605119676379116</v>
      </c>
      <c r="AL6" s="11">
        <v>2.0733125323268315</v>
      </c>
      <c r="AM6" s="11">
        <v>1.2930478679740096</v>
      </c>
      <c r="AN6" s="11">
        <v>1.161413091348146</v>
      </c>
      <c r="AO6" s="11">
        <v>0.74625870906092573</v>
      </c>
      <c r="AP6" s="11">
        <v>1.303686328810761</v>
      </c>
      <c r="AQ6" s="11">
        <v>0.22378416293061482</v>
      </c>
      <c r="AR6"/>
      <c r="AT6" s="4">
        <f t="shared" si="3"/>
        <v>0.01</v>
      </c>
      <c r="AU6" s="10">
        <v>2.2332875943228445</v>
      </c>
      <c r="AV6" s="11">
        <v>3.28518883418295</v>
      </c>
      <c r="AW6" s="11">
        <v>4.4041479760058966</v>
      </c>
      <c r="AX6" s="11">
        <v>3.2542448501139267</v>
      </c>
      <c r="AY6" s="11">
        <v>3.1194262758415139</v>
      </c>
      <c r="AZ6" s="11">
        <v>1.8065060898523393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26.13</v>
      </c>
      <c r="C7" s="33">
        <v>25.96</v>
      </c>
      <c r="D7" s="15">
        <v>1.0386706188809601E-2</v>
      </c>
      <c r="E7" s="15">
        <v>1.04550807140969E-2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26.13</v>
      </c>
      <c r="M7" s="33">
        <v>25.96</v>
      </c>
      <c r="N7" s="34">
        <v>0.99349406812093299</v>
      </c>
      <c r="O7" s="34">
        <v>0.98299370828552601</v>
      </c>
      <c r="R7" s="33">
        <v>25.6856255975007</v>
      </c>
      <c r="U7" s="15">
        <v>-1.06253716821933E-2</v>
      </c>
      <c r="X7" s="34">
        <v>0.99349406812093299</v>
      </c>
      <c r="Y7" s="34">
        <v>0.98299370828552601</v>
      </c>
      <c r="AB7" s="33">
        <v>25.6856255975007</v>
      </c>
      <c r="AE7" s="15">
        <v>-1.06253716821933E-2</v>
      </c>
      <c r="AG7"/>
      <c r="AI7" s="4">
        <f t="shared" si="2"/>
        <v>-1.2500000000000001E-2</v>
      </c>
      <c r="AJ7" s="10">
        <v>2.6778071071130625</v>
      </c>
      <c r="AK7" s="11">
        <v>2.1605119676379116</v>
      </c>
      <c r="AL7" s="11">
        <v>2.0733125323268315</v>
      </c>
      <c r="AM7" s="11">
        <v>1.2930478679740096</v>
      </c>
      <c r="AN7" s="11">
        <v>1.161413091348146</v>
      </c>
      <c r="AO7" s="11">
        <v>0.74625870906092573</v>
      </c>
      <c r="AP7" s="11">
        <v>1.303686328810761</v>
      </c>
      <c r="AQ7" s="11">
        <v>0.22378416293061482</v>
      </c>
      <c r="AR7"/>
      <c r="AT7" s="4">
        <f t="shared" si="3"/>
        <v>1.2500000000000001E-2</v>
      </c>
      <c r="AU7" s="10">
        <v>2.2332875943228445</v>
      </c>
      <c r="AV7" s="11">
        <v>3.28518883418295</v>
      </c>
      <c r="AW7" s="11">
        <v>4.4041479760058966</v>
      </c>
      <c r="AX7" s="11">
        <v>3.2542448501139267</v>
      </c>
      <c r="AY7" s="11">
        <v>3.1194262758415139</v>
      </c>
      <c r="AZ7" s="11">
        <v>1.8065060898523393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26.85</v>
      </c>
      <c r="C8" s="33">
        <v>26.62</v>
      </c>
      <c r="D8" s="15">
        <v>2.71817414223527E-2</v>
      </c>
      <c r="E8" s="15">
        <v>2.5105921131076198E-2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26.85</v>
      </c>
      <c r="M8" s="33">
        <v>26.62</v>
      </c>
      <c r="N8" s="34">
        <v>0.99143389199255105</v>
      </c>
      <c r="O8" s="34">
        <v>0.98299370828552601</v>
      </c>
      <c r="R8" s="33">
        <v>26.393381067466301</v>
      </c>
      <c r="U8" s="15">
        <v>-8.5495513909169193E-3</v>
      </c>
      <c r="X8" s="34">
        <v>0.99143389199255105</v>
      </c>
      <c r="Y8" s="34">
        <v>0.98299370828552601</v>
      </c>
      <c r="AB8" s="33">
        <v>26.393381067466301</v>
      </c>
      <c r="AE8" s="15">
        <v>-8.5495513909169193E-3</v>
      </c>
      <c r="AG8"/>
      <c r="AI8" s="4">
        <f t="shared" si="2"/>
        <v>-1.5000000000000001E-2</v>
      </c>
      <c r="AJ8" s="10">
        <v>2.6778071071130625</v>
      </c>
      <c r="AK8" s="11">
        <v>2.1605119676379116</v>
      </c>
      <c r="AL8" s="11">
        <v>2.0733125323268315</v>
      </c>
      <c r="AM8" s="11">
        <v>1.2930478679740096</v>
      </c>
      <c r="AN8" s="11">
        <v>1.161413091348146</v>
      </c>
      <c r="AO8" s="11">
        <v>0.74625870906092573</v>
      </c>
      <c r="AP8" s="11">
        <v>1.303686328810761</v>
      </c>
      <c r="AQ8" s="11">
        <v>0.22378416293061482</v>
      </c>
      <c r="AR8"/>
      <c r="AT8" s="4">
        <f t="shared" si="3"/>
        <v>1.5000000000000001E-2</v>
      </c>
      <c r="AU8" s="10">
        <v>2.2332875943228445</v>
      </c>
      <c r="AV8" s="11">
        <v>3.28518883418295</v>
      </c>
      <c r="AW8" s="11">
        <v>4.4041479760058966</v>
      </c>
      <c r="AX8" s="11">
        <v>3.2542448501139267</v>
      </c>
      <c r="AY8" s="11">
        <v>3.1194262758415139</v>
      </c>
      <c r="AZ8" s="11">
        <v>1.8065060898523393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26.69</v>
      </c>
      <c r="C9" s="33">
        <v>26.35</v>
      </c>
      <c r="D9" s="15">
        <v>-5.9768575384409103E-3</v>
      </c>
      <c r="E9" s="15">
        <v>-1.0194537979594199E-2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26.69</v>
      </c>
      <c r="M9" s="33">
        <v>26.35</v>
      </c>
      <c r="N9" s="34">
        <v>0.98726114649681496</v>
      </c>
      <c r="O9" s="34">
        <v>0.98299370828552601</v>
      </c>
      <c r="R9" s="33">
        <v>26.2361020741406</v>
      </c>
      <c r="U9" s="15">
        <v>-4.3318709497636703E-3</v>
      </c>
      <c r="X9" s="34">
        <v>0.98726114649681496</v>
      </c>
      <c r="Y9" s="34">
        <v>0.98299370828552601</v>
      </c>
      <c r="AB9" s="33">
        <v>26.2361020741406</v>
      </c>
      <c r="AE9" s="15">
        <v>-4.3318709497636703E-3</v>
      </c>
      <c r="AF9"/>
      <c r="AI9" s="4">
        <f t="shared" si="2"/>
        <v>-1.7500000000000002E-2</v>
      </c>
      <c r="AJ9" s="10">
        <v>2.6778071071130625</v>
      </c>
      <c r="AK9" s="11">
        <v>2.1605119676379116</v>
      </c>
      <c r="AL9" s="11">
        <v>2.0733125323268315</v>
      </c>
      <c r="AM9" s="11">
        <v>1.2930478679740096</v>
      </c>
      <c r="AN9" s="11">
        <v>1.161413091348146</v>
      </c>
      <c r="AO9" s="11">
        <v>0.74625870906092573</v>
      </c>
      <c r="AP9" s="11">
        <v>1.303686328810761</v>
      </c>
      <c r="AQ9" s="11">
        <v>0.22378416293061482</v>
      </c>
      <c r="AR9"/>
      <c r="AT9" s="4">
        <f t="shared" si="3"/>
        <v>1.7500000000000002E-2</v>
      </c>
      <c r="AU9" s="10">
        <v>2.2332875943228445</v>
      </c>
      <c r="AV9" s="10">
        <v>3.28518883418295</v>
      </c>
      <c r="AW9" s="10">
        <v>4.4041479760058966</v>
      </c>
      <c r="AX9" s="10">
        <v>3.2542448501139267</v>
      </c>
      <c r="AY9" s="10">
        <v>3.1194262758415139</v>
      </c>
      <c r="AZ9" s="10">
        <v>1.8065060898523393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27.37</v>
      </c>
      <c r="C10" s="33">
        <v>27.2</v>
      </c>
      <c r="D10" s="15">
        <v>2.51585596361549E-2</v>
      </c>
      <c r="E10" s="15">
        <v>3.1748698314580201E-2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27.37</v>
      </c>
      <c r="M10" s="33">
        <v>27.2</v>
      </c>
      <c r="N10" s="34">
        <v>0.99378881987577605</v>
      </c>
      <c r="O10" s="34">
        <v>0.98299370828552601</v>
      </c>
      <c r="R10" s="33">
        <v>26.9045377957748</v>
      </c>
      <c r="U10" s="15">
        <v>-1.0922009628189001E-2</v>
      </c>
      <c r="X10" s="34">
        <v>0.99378881987577605</v>
      </c>
      <c r="Y10" s="34">
        <v>0.98299370828552601</v>
      </c>
      <c r="AB10" s="33">
        <v>26.9045377957748</v>
      </c>
      <c r="AE10" s="15">
        <v>-1.0922009628189001E-2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27.65</v>
      </c>
      <c r="C11" s="33">
        <v>27.42</v>
      </c>
      <c r="D11" s="15">
        <v>1.0178204915756E-2</v>
      </c>
      <c r="E11" s="15">
        <v>8.0557008322168899E-3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27.65</v>
      </c>
      <c r="M11" s="33">
        <v>27.42</v>
      </c>
      <c r="N11" s="34">
        <v>0.991681735985533</v>
      </c>
      <c r="O11" s="34">
        <v>0.98299370828552601</v>
      </c>
      <c r="P11" s="34">
        <v>0.99279621903919602</v>
      </c>
      <c r="R11" s="33">
        <v>27.179776034094701</v>
      </c>
      <c r="U11" s="15">
        <v>-8.7995055446497099E-3</v>
      </c>
      <c r="X11" s="34">
        <v>0.991681735985533</v>
      </c>
      <c r="Y11" s="34">
        <v>0.98299370828552601</v>
      </c>
      <c r="Z11" s="34">
        <v>0.99279621903919602</v>
      </c>
      <c r="AB11" s="33">
        <v>27.179776034094701</v>
      </c>
      <c r="AE11" s="15">
        <v>-8.7995055446497099E-3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26.62</v>
      </c>
      <c r="C12" s="33">
        <v>26.4</v>
      </c>
      <c r="D12" s="15">
        <v>-3.7962915001378099E-2</v>
      </c>
      <c r="E12" s="15">
        <v>-3.7908663981897898E-2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26.62</v>
      </c>
      <c r="M12" s="33">
        <v>26.4</v>
      </c>
      <c r="N12" s="34">
        <v>0.99173553719008201</v>
      </c>
      <c r="O12" s="34">
        <v>0.98299370828552601</v>
      </c>
      <c r="P12" s="34">
        <v>0.99227488336079805</v>
      </c>
      <c r="R12" s="33">
        <v>26.1672925145607</v>
      </c>
      <c r="S12" s="33">
        <v>26.4282353508234</v>
      </c>
      <c r="U12" s="15">
        <v>-8.8537565641299502E-3</v>
      </c>
      <c r="V12" s="15">
        <v>1.06894933455596E-3</v>
      </c>
      <c r="X12" s="34">
        <v>0.99173553719008201</v>
      </c>
      <c r="Y12" s="34">
        <v>0.98299370828552601</v>
      </c>
      <c r="Z12" s="34">
        <v>0.99227488336079805</v>
      </c>
      <c r="AB12" s="33">
        <v>26.1672925145607</v>
      </c>
      <c r="AC12" s="33">
        <v>26.4282353508234</v>
      </c>
      <c r="AE12" s="15">
        <v>-8.8537565641299502E-3</v>
      </c>
      <c r="AF12" s="15">
        <v>1.06894933455596E-3</v>
      </c>
      <c r="AK12" s="17">
        <v>2.5000000000000001E-3</v>
      </c>
      <c r="AL12" s="18" t="s">
        <v>37</v>
      </c>
      <c r="AM12" s="19" t="s">
        <v>38</v>
      </c>
      <c r="AV12" s="17">
        <v>2.5000000000000001E-3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27.47</v>
      </c>
      <c r="C13" s="33">
        <v>27.19</v>
      </c>
      <c r="D13" s="15">
        <v>3.14316871402169E-2</v>
      </c>
      <c r="E13" s="15">
        <v>2.9485248492108901E-2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27.47</v>
      </c>
      <c r="M13" s="33">
        <v>27.19</v>
      </c>
      <c r="N13" s="34">
        <v>0.98980706224972703</v>
      </c>
      <c r="O13" s="34">
        <v>0.98299370828552601</v>
      </c>
      <c r="P13" s="34">
        <v>0.99198635881653996</v>
      </c>
      <c r="R13" s="33">
        <v>27.002837166603399</v>
      </c>
      <c r="S13" s="33">
        <v>27.257791045921099</v>
      </c>
      <c r="U13" s="15">
        <v>-6.90731791602204E-3</v>
      </c>
      <c r="V13" s="15">
        <v>2.4901315424747401E-3</v>
      </c>
      <c r="X13" s="34">
        <v>0.98980706224972703</v>
      </c>
      <c r="Y13" s="34">
        <v>0.98299370828552601</v>
      </c>
      <c r="Z13" s="34">
        <v>0.99198635881653996</v>
      </c>
      <c r="AB13" s="33">
        <v>27.002837166603399</v>
      </c>
      <c r="AC13" s="33">
        <v>27.257791045921099</v>
      </c>
      <c r="AE13" s="15">
        <v>-6.90731791602204E-3</v>
      </c>
      <c r="AF13" s="15">
        <v>2.4901315424747401E-3</v>
      </c>
    </row>
    <row r="14" spans="1:130" x14ac:dyDescent="0.25">
      <c r="A14" s="1">
        <v>46043</v>
      </c>
      <c r="B14" s="33">
        <v>28.16</v>
      </c>
      <c r="C14" s="33">
        <v>28.01</v>
      </c>
      <c r="D14" s="15">
        <v>2.4808031182659101E-2</v>
      </c>
      <c r="E14" s="15">
        <v>2.9712330627637701E-2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28.16</v>
      </c>
      <c r="M14" s="33">
        <v>28.01</v>
      </c>
      <c r="N14" s="34">
        <v>0.99467329545454497</v>
      </c>
      <c r="O14" s="34">
        <v>0.98299370828552601</v>
      </c>
      <c r="P14" s="34">
        <v>0.99202511693342299</v>
      </c>
      <c r="R14" s="33">
        <v>27.681102825320401</v>
      </c>
      <c r="S14" s="33">
        <v>27.934335864273699</v>
      </c>
      <c r="U14" s="15">
        <v>-1.18116173610007E-2</v>
      </c>
      <c r="V14" s="15">
        <v>-2.7049809669921401E-3</v>
      </c>
      <c r="X14" s="34">
        <v>0.99467329545454497</v>
      </c>
      <c r="Y14" s="34">
        <v>0.98299370828552601</v>
      </c>
      <c r="Z14" s="34">
        <v>0.99202511693342299</v>
      </c>
      <c r="AB14" s="33">
        <v>27.681102825320401</v>
      </c>
      <c r="AC14" s="33">
        <v>27.934335864273699</v>
      </c>
      <c r="AE14" s="15">
        <v>-1.18116173610007E-2</v>
      </c>
      <c r="AF14" s="15">
        <v>-2.7049809669921401E-3</v>
      </c>
      <c r="AQ14" s="20">
        <f>AVERAGE(AQ22:AQ176)</f>
        <v>1.8638055749468005E-4</v>
      </c>
      <c r="AR14" s="21" t="s">
        <v>41</v>
      </c>
      <c r="BB14" s="20">
        <f>AVERAGE(BB22:BB176)</f>
        <v>2.2334631200000274E-4</v>
      </c>
      <c r="BC14" s="21" t="s">
        <v>41</v>
      </c>
      <c r="BD14" s="22"/>
      <c r="BE14" s="20">
        <f>AVERAGE(BE22:BE176)</f>
        <v>4.0972686949468281E-4</v>
      </c>
      <c r="BF14" s="21" t="s">
        <v>41</v>
      </c>
    </row>
    <row r="15" spans="1:130" x14ac:dyDescent="0.25">
      <c r="A15" s="1">
        <v>46044</v>
      </c>
      <c r="B15" s="33">
        <v>28.23</v>
      </c>
      <c r="C15" s="33">
        <v>27.93</v>
      </c>
      <c r="D15" s="15">
        <v>2.4827109755562599E-3</v>
      </c>
      <c r="E15" s="15">
        <v>-2.8602093149318599E-3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28.23</v>
      </c>
      <c r="M15" s="33">
        <v>27.93</v>
      </c>
      <c r="N15" s="34">
        <v>0.989373007438894</v>
      </c>
      <c r="O15" s="34">
        <v>0.98299370828552601</v>
      </c>
      <c r="P15" s="34">
        <v>0.99166747055627802</v>
      </c>
      <c r="R15" s="33">
        <v>27.749912384900401</v>
      </c>
      <c r="S15" s="33">
        <v>28.0048690510305</v>
      </c>
      <c r="U15" s="15">
        <v>-6.4686970705125496E-3</v>
      </c>
      <c r="V15" s="15">
        <v>2.6770097798536302E-3</v>
      </c>
      <c r="X15" s="34">
        <v>0.989373007438894</v>
      </c>
      <c r="Y15" s="34">
        <v>0.98299370828552601</v>
      </c>
      <c r="Z15" s="34">
        <v>0.99166747055627802</v>
      </c>
      <c r="AB15" s="33">
        <v>27.749912384900401</v>
      </c>
      <c r="AC15" s="33">
        <v>28.0048690510305</v>
      </c>
      <c r="AE15" s="15">
        <v>-6.4686970705125496E-3</v>
      </c>
      <c r="AF15" s="15">
        <v>2.6770097798536302E-3</v>
      </c>
      <c r="AQ15" s="20">
        <f>STDEV(AQ22:AQ176)</f>
        <v>1.4992748927826955E-3</v>
      </c>
      <c r="AR15" s="21" t="s">
        <v>42</v>
      </c>
      <c r="BB15" s="20">
        <f>STDEV(BB22:BB176)</f>
        <v>1.4794242071566779E-3</v>
      </c>
      <c r="BC15" s="21" t="s">
        <v>42</v>
      </c>
      <c r="BD15" s="22"/>
      <c r="BE15" s="20">
        <f>STDEV(BE22:BE176)</f>
        <v>2.0863187083577806E-3</v>
      </c>
      <c r="BF15" s="21" t="s">
        <v>42</v>
      </c>
    </row>
    <row r="16" spans="1:130" x14ac:dyDescent="0.25">
      <c r="A16" s="1">
        <v>46045</v>
      </c>
      <c r="B16" s="33">
        <v>27.86</v>
      </c>
      <c r="C16" s="33">
        <v>27.57</v>
      </c>
      <c r="D16" s="15">
        <v>-1.31932739137383E-2</v>
      </c>
      <c r="E16" s="15">
        <v>-1.29731549213799E-2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27.86</v>
      </c>
      <c r="M16" s="33">
        <v>27.57</v>
      </c>
      <c r="N16" s="34">
        <v>0.98959081119885095</v>
      </c>
      <c r="O16" s="34">
        <v>0.98299370828552601</v>
      </c>
      <c r="P16" s="34">
        <v>0.99128393760037103</v>
      </c>
      <c r="R16" s="33">
        <v>27.386204712834701</v>
      </c>
      <c r="S16" s="33">
        <v>27.627855729697899</v>
      </c>
      <c r="U16" s="15">
        <v>-6.6888160628709101E-3</v>
      </c>
      <c r="V16" s="15">
        <v>2.0963042900959501E-3</v>
      </c>
      <c r="X16" s="34">
        <v>0.98959081119885095</v>
      </c>
      <c r="Y16" s="34">
        <v>0.98299370828552601</v>
      </c>
      <c r="Z16" s="34">
        <v>0.99128393760037103</v>
      </c>
      <c r="AB16" s="33">
        <v>27.386204712834701</v>
      </c>
      <c r="AC16" s="33">
        <v>27.627855729697899</v>
      </c>
      <c r="AE16" s="15">
        <v>-6.6888160628709101E-3</v>
      </c>
      <c r="AF16" s="15">
        <v>2.0963042900959501E-3</v>
      </c>
      <c r="AQ16" s="23">
        <f>SQRT(252)*AQ14/AQ15</f>
        <v>1.9734203783000503</v>
      </c>
      <c r="AR16" s="21" t="s">
        <v>43</v>
      </c>
      <c r="BB16" s="23">
        <f>SQRT(252)*BB14/BB15</f>
        <v>2.3965491233828407</v>
      </c>
      <c r="BC16" s="21" t="s">
        <v>43</v>
      </c>
      <c r="BD16" s="22"/>
      <c r="BE16" s="23">
        <f>SQRT(252)*BE14/BE15</f>
        <v>3.1175545647977212</v>
      </c>
      <c r="BF16" s="21" t="s">
        <v>43</v>
      </c>
    </row>
    <row r="17" spans="1:124" x14ac:dyDescent="0.25">
      <c r="A17" s="1">
        <v>46048</v>
      </c>
      <c r="B17" s="33">
        <v>27.69</v>
      </c>
      <c r="C17" s="33">
        <v>27.41</v>
      </c>
      <c r="D17" s="15">
        <v>-6.1206311687890596E-3</v>
      </c>
      <c r="E17" s="15">
        <v>-5.8203147210110001E-3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27.69</v>
      </c>
      <c r="M17" s="33">
        <v>27.41</v>
      </c>
      <c r="N17" s="34">
        <v>0.98988804622607396</v>
      </c>
      <c r="O17" s="34">
        <v>0.98299370828552601</v>
      </c>
      <c r="P17" s="34">
        <v>0.99092333541088495</v>
      </c>
      <c r="R17" s="33">
        <v>27.219095782426201</v>
      </c>
      <c r="S17" s="33">
        <v>27.448652232154199</v>
      </c>
      <c r="U17" s="15">
        <v>-6.9891325106490902E-3</v>
      </c>
      <c r="V17" s="15">
        <v>1.40915742467614E-3</v>
      </c>
      <c r="X17" s="34">
        <v>0.98988804622607396</v>
      </c>
      <c r="Y17" s="34">
        <v>0.98299370828552601</v>
      </c>
      <c r="Z17" s="34">
        <v>0.99092333541088495</v>
      </c>
      <c r="AB17" s="33">
        <v>27.219095782426201</v>
      </c>
      <c r="AC17" s="33">
        <v>27.448652232154199</v>
      </c>
      <c r="AE17" s="15">
        <v>-6.9891325106490902E-3</v>
      </c>
      <c r="AF17" s="15">
        <v>1.40915742467614E-3</v>
      </c>
    </row>
    <row r="18" spans="1:124" x14ac:dyDescent="0.25">
      <c r="A18" s="1">
        <v>46049</v>
      </c>
      <c r="B18" s="33">
        <v>27.13</v>
      </c>
      <c r="C18" s="33">
        <v>26.77</v>
      </c>
      <c r="D18" s="15">
        <v>-2.0431210512030201E-2</v>
      </c>
      <c r="E18" s="15">
        <v>-2.36260527824333E-2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27.13</v>
      </c>
      <c r="M18" s="33">
        <v>26.77</v>
      </c>
      <c r="N18" s="34">
        <v>0.98673055657943198</v>
      </c>
      <c r="O18" s="34">
        <v>0.98299370828552601</v>
      </c>
      <c r="P18" s="34">
        <v>0.99045300186957297</v>
      </c>
      <c r="R18" s="33">
        <v>26.668619305786301</v>
      </c>
      <c r="S18" s="33">
        <v>26.883750089697301</v>
      </c>
      <c r="U18" s="15">
        <v>-3.7942902402458901E-3</v>
      </c>
      <c r="V18" s="15">
        <v>4.2401606572817496E-3</v>
      </c>
      <c r="X18" s="34">
        <v>0.98673055657943198</v>
      </c>
      <c r="Y18" s="34">
        <v>0.98299370828552601</v>
      </c>
      <c r="Z18" s="34">
        <v>0.99045300186957297</v>
      </c>
      <c r="AB18" s="33">
        <v>26.668619305786301</v>
      </c>
      <c r="AC18" s="33">
        <v>26.883750089697301</v>
      </c>
      <c r="AE18" s="15">
        <v>-3.7942902402458901E-3</v>
      </c>
      <c r="AF18" s="15">
        <v>4.2401606572817496E-3</v>
      </c>
      <c r="BE18" s="24">
        <f>SUM(BE22:BE176)</f>
        <v>6.350766477167584E-2</v>
      </c>
      <c r="BF18" s="20">
        <f>BF176</f>
        <v>6.350766477167584E-2</v>
      </c>
    </row>
    <row r="19" spans="1:124" x14ac:dyDescent="0.25">
      <c r="A19" s="1">
        <v>46050</v>
      </c>
      <c r="B19" s="33">
        <v>26.75</v>
      </c>
      <c r="C19" s="33">
        <v>26.31</v>
      </c>
      <c r="D19" s="15">
        <v>-1.41056533288248E-2</v>
      </c>
      <c r="E19" s="15">
        <v>-1.7332762480059799E-2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26.75</v>
      </c>
      <c r="M19" s="33">
        <v>26.31</v>
      </c>
      <c r="N19" s="34">
        <v>0.98355140186915802</v>
      </c>
      <c r="O19" s="34">
        <v>0.98299370828552601</v>
      </c>
      <c r="P19" s="34">
        <v>0.99008202740680695</v>
      </c>
      <c r="R19" s="33">
        <v>26.295081696637801</v>
      </c>
      <c r="S19" s="33">
        <v>26.494617800011</v>
      </c>
      <c r="U19" s="15">
        <v>-5.6718108901089896E-4</v>
      </c>
      <c r="V19" s="15">
        <v>6.9925154256196302E-3</v>
      </c>
      <c r="X19" s="34">
        <v>0.98355140186915802</v>
      </c>
      <c r="Y19" s="34">
        <v>0.98299370828552601</v>
      </c>
      <c r="Z19" s="34">
        <v>0.99008202740680695</v>
      </c>
      <c r="AB19" s="33">
        <v>26.295081696637801</v>
      </c>
      <c r="AC19" s="33">
        <v>26.494617800011</v>
      </c>
      <c r="AE19" s="15">
        <v>-5.6718108901089896E-4</v>
      </c>
      <c r="AF19" s="15">
        <v>6.9925154256196302E-3</v>
      </c>
      <c r="AI19" s="12"/>
      <c r="AJ19"/>
      <c r="AK19"/>
      <c r="AL19"/>
      <c r="AM19"/>
      <c r="AN19"/>
      <c r="AO19"/>
      <c r="AP19"/>
      <c r="AQ19" s="24">
        <f>SUM(AQ22:AQ176)</f>
        <v>2.8888986411675407E-2</v>
      </c>
      <c r="AR19" s="24">
        <f>AR176</f>
        <v>2.8888986411675407E-2</v>
      </c>
      <c r="AU19"/>
      <c r="AV19"/>
      <c r="AW19"/>
      <c r="AX19"/>
      <c r="AY19"/>
      <c r="AZ19"/>
      <c r="BA19"/>
      <c r="BB19" s="24">
        <f>SUM(BB22:BB176)</f>
        <v>3.4618678360000425E-2</v>
      </c>
      <c r="BC19" s="24">
        <f>BC176</f>
        <v>3.4618678360000425E-2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27.32</v>
      </c>
      <c r="C20" s="33">
        <v>26.9</v>
      </c>
      <c r="D20" s="15">
        <v>2.1084561360573701E-2</v>
      </c>
      <c r="E20" s="15">
        <v>2.2177191555591998E-2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27.32</v>
      </c>
      <c r="M20" s="33">
        <v>26.9</v>
      </c>
      <c r="N20" s="34">
        <v>0.98462664714494796</v>
      </c>
      <c r="O20" s="34">
        <v>0.98299370828552601</v>
      </c>
      <c r="P20" s="34">
        <v>0.98916581013372495</v>
      </c>
      <c r="R20" s="33">
        <v>26.855388110360501</v>
      </c>
      <c r="S20" s="33">
        <v>27.049040988753902</v>
      </c>
      <c r="U20" s="15">
        <v>-1.65981128402907E-3</v>
      </c>
      <c r="V20" s="15">
        <v>5.52526477540071E-3</v>
      </c>
      <c r="X20" s="34">
        <v>0.98462664714494796</v>
      </c>
      <c r="Y20" s="34">
        <v>0.98299370828552601</v>
      </c>
      <c r="Z20" s="34">
        <v>0.98916581013372495</v>
      </c>
      <c r="AB20" s="33">
        <v>26.855388110360501</v>
      </c>
      <c r="AC20" s="33">
        <v>27.049040988753902</v>
      </c>
      <c r="AE20" s="15">
        <v>-1.65981128402907E-3</v>
      </c>
      <c r="AF20" s="15">
        <v>5.52526477540071E-3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BF A log rtn</v>
      </c>
      <c r="AP20" s="7" t="str">
        <f>E1</f>
        <v>BF B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BF A log rtn</v>
      </c>
      <c r="BA20" s="24" t="str">
        <f>E1</f>
        <v>BF B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27.83</v>
      </c>
      <c r="C21" s="33">
        <v>27.37</v>
      </c>
      <c r="D21" s="15">
        <v>1.8495540835209899E-2</v>
      </c>
      <c r="E21" s="15">
        <v>1.7321236444794299E-2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27.83</v>
      </c>
      <c r="M21" s="33">
        <v>27.37</v>
      </c>
      <c r="N21" s="34">
        <v>0.98347107438016501</v>
      </c>
      <c r="O21" s="34">
        <v>0.98299370828552601</v>
      </c>
      <c r="P21" s="34">
        <v>0.98834474397318794</v>
      </c>
      <c r="Q21" s="34">
        <v>0.99057048150619198</v>
      </c>
      <c r="R21" s="33">
        <v>27.356714901586098</v>
      </c>
      <c r="S21" s="33">
        <v>27.528484496021498</v>
      </c>
      <c r="U21" s="15">
        <v>-4.8550689361351302E-4</v>
      </c>
      <c r="V21" s="15">
        <v>5.7737454047398998E-3</v>
      </c>
      <c r="X21" s="34">
        <v>0.98347107438016501</v>
      </c>
      <c r="Y21" s="34">
        <v>0.98299370828552601</v>
      </c>
      <c r="Z21" s="34">
        <v>0.98834474397318794</v>
      </c>
      <c r="AA21" s="34">
        <v>0.99057048150619198</v>
      </c>
      <c r="AB21" s="33">
        <v>27.356714901586098</v>
      </c>
      <c r="AC21" s="33">
        <v>27.528484496021498</v>
      </c>
      <c r="AE21" s="15">
        <v>-4.8550689361351302E-4</v>
      </c>
      <c r="AF21" s="15">
        <v>5.7737454047398998E-3</v>
      </c>
      <c r="AI21" s="26">
        <v>-1.4999999999999999E-2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0.01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27.58</v>
      </c>
      <c r="C22" s="33">
        <v>27.12</v>
      </c>
      <c r="D22" s="15">
        <v>-9.0237031726436608E-3</v>
      </c>
      <c r="E22" s="15">
        <v>-9.1760599803929095E-3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27.58</v>
      </c>
      <c r="M22" s="33">
        <v>27.12</v>
      </c>
      <c r="N22" s="34">
        <v>0.98332124728063797</v>
      </c>
      <c r="O22" s="34">
        <v>0.98299370828552601</v>
      </c>
      <c r="P22" s="34">
        <v>0.98750331498224297</v>
      </c>
      <c r="Q22" s="34">
        <v>0.98988909917152101</v>
      </c>
      <c r="R22" s="33">
        <v>27.1109664745148</v>
      </c>
      <c r="S22" s="33">
        <v>27.2585480387805</v>
      </c>
      <c r="T22" s="33">
        <v>27.319933879940699</v>
      </c>
      <c r="U22" s="15">
        <v>-3.3315008586431299E-4</v>
      </c>
      <c r="V22" s="15">
        <v>5.0956983433279096E-3</v>
      </c>
      <c r="W22" s="15">
        <v>7.3451514203201297E-3</v>
      </c>
      <c r="X22" s="34">
        <v>0.98332124728063797</v>
      </c>
      <c r="Y22" s="34">
        <v>0.98299370828552601</v>
      </c>
      <c r="Z22" s="34">
        <v>0.98750331498224297</v>
      </c>
      <c r="AA22" s="34">
        <v>0.98988909917152101</v>
      </c>
      <c r="AB22" s="33">
        <v>27.1109664745148</v>
      </c>
      <c r="AC22" s="33">
        <v>27.2585480387805</v>
      </c>
      <c r="AD22" s="33">
        <v>27.319933879940699</v>
      </c>
      <c r="AE22" s="15">
        <v>-3.3315008586431299E-4</v>
      </c>
      <c r="AF22" s="15">
        <v>5.0956983433279096E-3</v>
      </c>
      <c r="AG22" s="15">
        <v>7.3451514203201297E-3</v>
      </c>
      <c r="AI22" s="26">
        <v>-7.4999999999999997E-3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5.0000000000000001E-3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28.61</v>
      </c>
      <c r="C23" s="33">
        <v>28.15</v>
      </c>
      <c r="D23" s="15">
        <v>3.6665434696863203E-2</v>
      </c>
      <c r="E23" s="15">
        <v>3.7275891513504397E-2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28.61</v>
      </c>
      <c r="M23" s="33">
        <v>28.15</v>
      </c>
      <c r="N23" s="34">
        <v>0.98392170569730797</v>
      </c>
      <c r="O23" s="34">
        <v>0.98299370828552601</v>
      </c>
      <c r="P23" s="34">
        <v>0.986914779327001</v>
      </c>
      <c r="Q23" s="34">
        <v>0.98945056907177098</v>
      </c>
      <c r="R23" s="33">
        <v>28.123449994048901</v>
      </c>
      <c r="S23" s="33">
        <v>28.252469841641901</v>
      </c>
      <c r="T23" s="33">
        <v>28.3207271272972</v>
      </c>
      <c r="U23" s="15">
        <v>-9.4360690250562399E-4</v>
      </c>
      <c r="V23" s="15">
        <v>3.6335272078690298E-3</v>
      </c>
      <c r="W23" s="15">
        <v>6.0465893091252304E-3</v>
      </c>
      <c r="X23" s="34">
        <v>0.98392170569730797</v>
      </c>
      <c r="Y23" s="34">
        <v>0.98299370828552601</v>
      </c>
      <c r="Z23" s="34">
        <v>0.986914779327001</v>
      </c>
      <c r="AA23" s="34">
        <v>0.98945056907177098</v>
      </c>
      <c r="AB23" s="33">
        <v>28.123449994048901</v>
      </c>
      <c r="AC23" s="33">
        <v>28.252469841641901</v>
      </c>
      <c r="AD23" s="33">
        <v>28.3207271272972</v>
      </c>
      <c r="AE23" s="15">
        <v>-9.4360690250562399E-4</v>
      </c>
      <c r="AF23" s="15">
        <v>3.6335272078690298E-3</v>
      </c>
      <c r="AG23" s="15">
        <v>6.0465893091252304E-3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29.73</v>
      </c>
      <c r="C24" s="33">
        <v>29.29</v>
      </c>
      <c r="D24" s="15">
        <v>3.8400329947987401E-2</v>
      </c>
      <c r="E24" s="15">
        <v>3.9698806253942599E-2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29.73</v>
      </c>
      <c r="M24" s="33">
        <v>29.29</v>
      </c>
      <c r="N24" s="34">
        <v>0.98520013454423105</v>
      </c>
      <c r="O24" s="34">
        <v>0.98299370828552601</v>
      </c>
      <c r="P24" s="34">
        <v>0.98596746323596995</v>
      </c>
      <c r="Q24" s="34">
        <v>0.98899629008469603</v>
      </c>
      <c r="R24" s="33">
        <v>29.224402947328599</v>
      </c>
      <c r="S24" s="33">
        <v>29.340976389391699</v>
      </c>
      <c r="T24" s="33">
        <v>29.416365418503698</v>
      </c>
      <c r="U24" s="15">
        <v>-2.2420832084608599E-3</v>
      </c>
      <c r="V24" s="15">
        <v>1.7388897601892099E-3</v>
      </c>
      <c r="W24" s="15">
        <v>4.3050055224671396E-3</v>
      </c>
      <c r="X24" s="34">
        <v>0.98520013454423105</v>
      </c>
      <c r="Y24" s="34">
        <v>0.98299370828552601</v>
      </c>
      <c r="Z24" s="34">
        <v>0.98596746323596995</v>
      </c>
      <c r="AA24" s="34">
        <v>0.98899629008469603</v>
      </c>
      <c r="AB24" s="33">
        <v>29.224402947328599</v>
      </c>
      <c r="AC24" s="33">
        <v>29.340976389391699</v>
      </c>
      <c r="AD24" s="33">
        <v>29.416365418503698</v>
      </c>
      <c r="AE24" s="15">
        <v>-2.2420832084608599E-3</v>
      </c>
      <c r="AF24" s="15">
        <v>1.7388897601892099E-3</v>
      </c>
      <c r="AG24" s="15">
        <v>4.3050055224671396E-3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29.42</v>
      </c>
      <c r="C25" s="33">
        <v>28.97</v>
      </c>
      <c r="D25" s="15">
        <v>-1.04819218367148E-2</v>
      </c>
      <c r="E25" s="15">
        <v>-1.0985349058383E-2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29.42</v>
      </c>
      <c r="M25" s="33">
        <v>28.97</v>
      </c>
      <c r="N25" s="34">
        <v>0.98470428280081501</v>
      </c>
      <c r="O25" s="34">
        <v>0.98299370828552601</v>
      </c>
      <c r="P25" s="34">
        <v>0.98550059077216201</v>
      </c>
      <c r="Q25" s="34">
        <v>0.98858403066421996</v>
      </c>
      <c r="R25" s="33">
        <v>28.9196748977601</v>
      </c>
      <c r="S25" s="33">
        <v>29.0071627684022</v>
      </c>
      <c r="T25" s="33">
        <v>29.096270854291699</v>
      </c>
      <c r="U25" s="15">
        <v>-1.7386559867925699E-3</v>
      </c>
      <c r="V25" s="15">
        <v>1.2819797215798501E-3</v>
      </c>
      <c r="W25" s="15">
        <v>4.34920484730799E-3</v>
      </c>
      <c r="X25" s="34">
        <v>0.98470428280081501</v>
      </c>
      <c r="Y25" s="34">
        <v>0.98299370828552601</v>
      </c>
      <c r="Z25" s="34">
        <v>0.98550059077216201</v>
      </c>
      <c r="AA25" s="34">
        <v>0.98858403066421996</v>
      </c>
      <c r="AB25" s="33">
        <v>28.9196748977601</v>
      </c>
      <c r="AC25" s="33">
        <v>29.0071627684022</v>
      </c>
      <c r="AD25" s="33">
        <v>29.096270854291699</v>
      </c>
      <c r="AE25" s="15">
        <v>-1.7386559867925699E-3</v>
      </c>
      <c r="AF25" s="15">
        <v>1.2819797215798501E-3</v>
      </c>
      <c r="AG25" s="15">
        <v>4.34920484730799E-3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29.83</v>
      </c>
      <c r="C26" s="33">
        <v>29.45</v>
      </c>
      <c r="D26" s="15">
        <v>1.38398833533656E-2</v>
      </c>
      <c r="E26" s="15">
        <v>1.6433098316336499E-2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29.83</v>
      </c>
      <c r="M26" s="33">
        <v>29.45</v>
      </c>
      <c r="N26" s="34">
        <v>0.98726114649681496</v>
      </c>
      <c r="O26" s="34">
        <v>0.98299370828552601</v>
      </c>
      <c r="P26" s="34">
        <v>0.98526762430195802</v>
      </c>
      <c r="Q26" s="34">
        <v>0.98827578095116497</v>
      </c>
      <c r="R26" s="33">
        <v>29.322702318157202</v>
      </c>
      <c r="S26" s="33">
        <v>29.397482622733602</v>
      </c>
      <c r="T26" s="33">
        <v>29.489461634713699</v>
      </c>
      <c r="U26" s="15">
        <v>-4.3318709497636703E-3</v>
      </c>
      <c r="V26" s="15">
        <v>-1.78486449608415E-3</v>
      </c>
      <c r="W26" s="15">
        <v>1.33905670380015E-3</v>
      </c>
      <c r="X26" s="34">
        <v>0.98726114649681496</v>
      </c>
      <c r="Y26" s="34">
        <v>0.98299370828552601</v>
      </c>
      <c r="Z26" s="34">
        <v>0.98526762430195802</v>
      </c>
      <c r="AA26" s="34">
        <v>0.98827578095116497</v>
      </c>
      <c r="AB26" s="33">
        <v>29.322702318157202</v>
      </c>
      <c r="AC26" s="33">
        <v>29.397482622733602</v>
      </c>
      <c r="AD26" s="33">
        <v>29.489461634713699</v>
      </c>
      <c r="AE26" s="15">
        <v>-4.3318709497636703E-3</v>
      </c>
      <c r="AF26" s="15">
        <v>-1.78486449608415E-3</v>
      </c>
      <c r="AG26" s="15">
        <v>1.33905670380015E-3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29.97</v>
      </c>
      <c r="C27" s="33">
        <v>29.48</v>
      </c>
      <c r="D27" s="15">
        <v>4.6822828019147302E-3</v>
      </c>
      <c r="E27" s="15">
        <v>1.0181572235401701E-3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29.97</v>
      </c>
      <c r="M27" s="33">
        <v>29.48</v>
      </c>
      <c r="N27" s="34">
        <v>0.98365031698365002</v>
      </c>
      <c r="O27" s="34">
        <v>0.98299370828552601</v>
      </c>
      <c r="P27" s="34">
        <v>0.98464385137771604</v>
      </c>
      <c r="Q27" s="34">
        <v>0.9877835933943</v>
      </c>
      <c r="R27" s="33">
        <v>29.460321437317202</v>
      </c>
      <c r="S27" s="33">
        <v>29.528470700329699</v>
      </c>
      <c r="T27" s="33">
        <v>29.6186251551064</v>
      </c>
      <c r="U27" s="15">
        <v>-6.6774537138918099E-4</v>
      </c>
      <c r="V27" s="15">
        <v>1.64283909262476E-3</v>
      </c>
      <c r="W27" s="15">
        <v>4.6913243408652902E-3</v>
      </c>
      <c r="X27" s="34">
        <v>0.98365031698365002</v>
      </c>
      <c r="Y27" s="34">
        <v>0.98299370828552601</v>
      </c>
      <c r="Z27" s="34">
        <v>0.98464385137771604</v>
      </c>
      <c r="AA27" s="34">
        <v>0.9877835933943</v>
      </c>
      <c r="AB27" s="33">
        <v>29.460321437317202</v>
      </c>
      <c r="AC27" s="33">
        <v>29.528470700329699</v>
      </c>
      <c r="AD27" s="33">
        <v>29.6186251551064</v>
      </c>
      <c r="AE27" s="15">
        <v>-6.6774537138918099E-4</v>
      </c>
      <c r="AF27" s="15">
        <v>1.64283909262476E-3</v>
      </c>
      <c r="AG27" s="15">
        <v>4.6913243408652902E-3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30.32</v>
      </c>
      <c r="C28" s="33">
        <v>29.91</v>
      </c>
      <c r="D28" s="15">
        <v>1.16106794455991E-2</v>
      </c>
      <c r="E28" s="15">
        <v>1.44808053207208E-2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30.32</v>
      </c>
      <c r="M28" s="33">
        <v>29.91</v>
      </c>
      <c r="N28" s="34">
        <v>0.98647757255936597</v>
      </c>
      <c r="O28" s="34">
        <v>0.98299370828552601</v>
      </c>
      <c r="P28" s="34">
        <v>0.98461855297570999</v>
      </c>
      <c r="Q28" s="34">
        <v>0.98753577742264098</v>
      </c>
      <c r="R28" s="33">
        <v>29.804369235217099</v>
      </c>
      <c r="S28" s="33">
        <v>29.8544015737723</v>
      </c>
      <c r="T28" s="33">
        <v>29.949598551715201</v>
      </c>
      <c r="U28" s="15">
        <v>-3.5378712465108401E-3</v>
      </c>
      <c r="V28" s="15">
        <v>-1.8605872660887499E-3</v>
      </c>
      <c r="W28" s="15">
        <v>1.3230478803589599E-3</v>
      </c>
      <c r="X28" s="34">
        <v>0.98647757255936597</v>
      </c>
      <c r="Y28" s="34">
        <v>0.98299370828552601</v>
      </c>
      <c r="Z28" s="34">
        <v>0.98461855297570999</v>
      </c>
      <c r="AA28" s="34">
        <v>0.98753577742264098</v>
      </c>
      <c r="AB28" s="33">
        <v>29.804369235217099</v>
      </c>
      <c r="AC28" s="33">
        <v>29.8544015737723</v>
      </c>
      <c r="AD28" s="33">
        <v>29.949598551715201</v>
      </c>
      <c r="AE28" s="15">
        <v>-3.5378712465108401E-3</v>
      </c>
      <c r="AF28" s="15">
        <v>-1.8605872660887499E-3</v>
      </c>
      <c r="AG28" s="15">
        <v>1.3230478803589599E-3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30.58</v>
      </c>
      <c r="C29" s="33">
        <v>30.28</v>
      </c>
      <c r="D29" s="15">
        <v>8.5386397267451994E-3</v>
      </c>
      <c r="E29" s="15">
        <v>1.22945559273914E-2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30.58</v>
      </c>
      <c r="M29" s="33">
        <v>30.28</v>
      </c>
      <c r="N29" s="34">
        <v>0.99018966644865902</v>
      </c>
      <c r="O29" s="34">
        <v>0.98299370828552601</v>
      </c>
      <c r="P29" s="34">
        <v>0.98528237943366004</v>
      </c>
      <c r="Q29" s="34">
        <v>0.98768220342023305</v>
      </c>
      <c r="R29" s="33">
        <v>30.059947599371299</v>
      </c>
      <c r="S29" s="33">
        <v>30.109635349997198</v>
      </c>
      <c r="T29" s="33">
        <v>30.198844073584301</v>
      </c>
      <c r="U29" s="15">
        <v>-7.2937874471570401E-3</v>
      </c>
      <c r="V29" s="15">
        <v>-5.6421967435188996E-3</v>
      </c>
      <c r="W29" s="15">
        <v>-2.6837806300843898E-3</v>
      </c>
      <c r="X29" s="34">
        <v>0.99018966644865902</v>
      </c>
      <c r="Y29" s="34">
        <v>0.98299370828552601</v>
      </c>
      <c r="Z29" s="34">
        <v>0.98528237943366004</v>
      </c>
      <c r="AA29" s="34">
        <v>0.98768220342023305</v>
      </c>
      <c r="AB29" s="33">
        <v>30.059947599371299</v>
      </c>
      <c r="AC29" s="33">
        <v>30.109635349997198</v>
      </c>
      <c r="AD29" s="33">
        <v>30.198844073584301</v>
      </c>
      <c r="AE29" s="15">
        <v>-7.2937874471570401E-3</v>
      </c>
      <c r="AF29" s="15">
        <v>-5.6421967435188996E-3</v>
      </c>
      <c r="AG29" s="15">
        <v>-2.6837806300843898E-3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30.84</v>
      </c>
      <c r="C30" s="33">
        <v>30.67</v>
      </c>
      <c r="D30" s="15">
        <v>8.4663481942126393E-3</v>
      </c>
      <c r="E30" s="15">
        <v>1.27975495569121E-2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30.84</v>
      </c>
      <c r="M30" s="33">
        <v>30.67</v>
      </c>
      <c r="N30" s="34">
        <v>0.99448767833981799</v>
      </c>
      <c r="O30" s="34">
        <v>0.98299370828552601</v>
      </c>
      <c r="P30" s="34">
        <v>0.98626848255314603</v>
      </c>
      <c r="Q30" s="34">
        <v>0.98771714634343599</v>
      </c>
      <c r="R30" s="33">
        <v>30.315525963525602</v>
      </c>
      <c r="S30" s="33">
        <v>30.386108581734</v>
      </c>
      <c r="T30" s="33">
        <v>30.460119153480001</v>
      </c>
      <c r="U30" s="15">
        <v>-1.1624988809856501E-2</v>
      </c>
      <c r="V30" s="15">
        <v>-9.2994286977511192E-3</v>
      </c>
      <c r="W30" s="15">
        <v>-6.8667188650880801E-3</v>
      </c>
      <c r="X30" s="34">
        <v>0.99448767833981799</v>
      </c>
      <c r="Y30" s="34">
        <v>0.98299370828552601</v>
      </c>
      <c r="Z30" s="34">
        <v>0.98626848255314603</v>
      </c>
      <c r="AA30" s="34">
        <v>0.98771714634343599</v>
      </c>
      <c r="AB30" s="33">
        <v>30.315525963525602</v>
      </c>
      <c r="AC30" s="33">
        <v>30.386108581734</v>
      </c>
      <c r="AD30" s="33">
        <v>30.460119153480001</v>
      </c>
      <c r="AE30" s="15">
        <v>-1.1624988809856501E-2</v>
      </c>
      <c r="AF30" s="15">
        <v>-9.2994286977511192E-3</v>
      </c>
      <c r="AG30" s="15">
        <v>-6.8667188650880801E-3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30.22</v>
      </c>
      <c r="C31" s="33">
        <v>29.95</v>
      </c>
      <c r="D31" s="15">
        <v>-2.0308591850535199E-2</v>
      </c>
      <c r="E31" s="15">
        <v>-2.3755653564701801E-2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30.22</v>
      </c>
      <c r="M31" s="33">
        <v>29.95</v>
      </c>
      <c r="N31" s="34">
        <v>0.99106551952349398</v>
      </c>
      <c r="O31" s="34">
        <v>0.98299370828552601</v>
      </c>
      <c r="P31" s="34">
        <v>0.98702792706747899</v>
      </c>
      <c r="Q31" s="34">
        <v>0.98768633552033303</v>
      </c>
      <c r="R31" s="33">
        <v>29.706069864388599</v>
      </c>
      <c r="S31" s="33">
        <v>29.8050335427561</v>
      </c>
      <c r="T31" s="33">
        <v>29.8488121624986</v>
      </c>
      <c r="U31" s="15">
        <v>-8.1779270956899505E-3</v>
      </c>
      <c r="V31" s="15">
        <v>-4.8520344831861099E-3</v>
      </c>
      <c r="W31" s="15">
        <v>-3.3842790657660701E-3</v>
      </c>
      <c r="X31" s="34">
        <v>0.99106551952349398</v>
      </c>
      <c r="Y31" s="34">
        <v>0.98299370828552601</v>
      </c>
      <c r="Z31" s="34">
        <v>0.98702792706747899</v>
      </c>
      <c r="AA31" s="34">
        <v>0.98768633552033303</v>
      </c>
      <c r="AB31" s="33">
        <v>29.706069864388599</v>
      </c>
      <c r="AC31" s="33">
        <v>29.8050335427561</v>
      </c>
      <c r="AD31" s="33">
        <v>29.8488121624986</v>
      </c>
      <c r="AE31" s="15">
        <v>-8.1779270956899505E-3</v>
      </c>
      <c r="AF31" s="15">
        <v>-4.8520344831861099E-3</v>
      </c>
      <c r="AG31" s="15">
        <v>-3.3842790657660701E-3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29.45</v>
      </c>
      <c r="C32" s="33">
        <v>29.26</v>
      </c>
      <c r="D32" s="15">
        <v>-2.58100467469978E-2</v>
      </c>
      <c r="E32" s="15">
        <v>-2.3307928969479901E-2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29.45</v>
      </c>
      <c r="M32" s="33">
        <v>29.26</v>
      </c>
      <c r="N32" s="34">
        <v>0.99354838709677396</v>
      </c>
      <c r="O32" s="34">
        <v>0.98299370828552601</v>
      </c>
      <c r="P32" s="34">
        <v>0.98805064104909301</v>
      </c>
      <c r="Q32" s="34">
        <v>0.98777697801566799</v>
      </c>
      <c r="R32" s="33">
        <v>28.949164709008699</v>
      </c>
      <c r="S32" s="33">
        <v>29.067972452137202</v>
      </c>
      <c r="T32" s="33">
        <v>29.087362581073801</v>
      </c>
      <c r="U32" s="15">
        <v>-1.06800448732076E-2</v>
      </c>
      <c r="V32" s="15">
        <v>-6.5844305421358601E-3</v>
      </c>
      <c r="W32" s="15">
        <v>-5.9175913039471598E-3</v>
      </c>
      <c r="X32" s="34">
        <v>0.99354838709677396</v>
      </c>
      <c r="Y32" s="34">
        <v>0.98299370828552601</v>
      </c>
      <c r="Z32" s="34">
        <v>0.98805064104909301</v>
      </c>
      <c r="AA32" s="34">
        <v>0.98777697801566799</v>
      </c>
      <c r="AB32" s="33">
        <v>28.949164709008699</v>
      </c>
      <c r="AC32" s="33">
        <v>29.067972452137202</v>
      </c>
      <c r="AD32" s="33">
        <v>29.087362581073801</v>
      </c>
      <c r="AE32" s="15">
        <v>-1.06800448732076E-2</v>
      </c>
      <c r="AF32" s="15">
        <v>-6.5844305421358601E-3</v>
      </c>
      <c r="AG32" s="15">
        <v>-5.9175913039471598E-3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29.82</v>
      </c>
      <c r="C33" s="33">
        <v>29.42</v>
      </c>
      <c r="D33" s="15">
        <v>1.24853992389967E-2</v>
      </c>
      <c r="E33" s="15">
        <v>5.4533195813132604E-3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29.82</v>
      </c>
      <c r="M33" s="33">
        <v>29.42</v>
      </c>
      <c r="N33" s="34">
        <v>0.98658618376928198</v>
      </c>
      <c r="O33" s="34">
        <v>0.98299370828552601</v>
      </c>
      <c r="P33" s="34">
        <v>0.98831708885628999</v>
      </c>
      <c r="Q33" s="34">
        <v>0.98761593409164605</v>
      </c>
      <c r="R33" s="33">
        <v>29.3128723810743</v>
      </c>
      <c r="S33" s="33">
        <v>29.4636701160839</v>
      </c>
      <c r="T33" s="33">
        <v>29.4555094844272</v>
      </c>
      <c r="U33" s="15">
        <v>-3.6479652155243002E-3</v>
      </c>
      <c r="V33" s="15">
        <v>1.4832677380457199E-3</v>
      </c>
      <c r="W33" s="15">
        <v>1.20625669463863E-3</v>
      </c>
      <c r="X33" s="34">
        <v>0.98658618376928198</v>
      </c>
      <c r="Y33" s="34">
        <v>0.98299370828552601</v>
      </c>
      <c r="Z33" s="34">
        <v>0.98831708885628999</v>
      </c>
      <c r="AA33" s="34">
        <v>0.98761593409164605</v>
      </c>
      <c r="AB33" s="33">
        <v>29.3128723810743</v>
      </c>
      <c r="AC33" s="33">
        <v>29.4636701160839</v>
      </c>
      <c r="AD33" s="33">
        <v>29.4555094844272</v>
      </c>
      <c r="AE33" s="15">
        <v>-3.6479652155243002E-3</v>
      </c>
      <c r="AF33" s="15">
        <v>1.4832677380457199E-3</v>
      </c>
      <c r="AG33" s="15">
        <v>1.20625669463863E-3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29.92</v>
      </c>
      <c r="C34" s="33">
        <v>29.42</v>
      </c>
      <c r="D34" s="15">
        <v>3.3478437696841199E-3</v>
      </c>
      <c r="E34" s="15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29.92</v>
      </c>
      <c r="M34" s="33">
        <v>29.42</v>
      </c>
      <c r="N34" s="34">
        <v>0.98328877005347504</v>
      </c>
      <c r="O34" s="34">
        <v>0.98299370828552601</v>
      </c>
      <c r="P34" s="34">
        <v>0.98812595240721501</v>
      </c>
      <c r="Q34" s="34">
        <v>0.98704670782159198</v>
      </c>
      <c r="R34" s="33">
        <v>29.411171751902899</v>
      </c>
      <c r="S34" s="33">
        <v>29.570447298580198</v>
      </c>
      <c r="T34" s="33">
        <v>29.549468748022001</v>
      </c>
      <c r="U34" s="15">
        <v>-3.0012144584005702E-4</v>
      </c>
      <c r="V34" s="15">
        <v>5.10074534639252E-3</v>
      </c>
      <c r="W34" s="15">
        <v>4.3910504468888103E-3</v>
      </c>
      <c r="X34" s="34">
        <v>0.98328877005347504</v>
      </c>
      <c r="Y34" s="34">
        <v>0.98299370828552601</v>
      </c>
      <c r="Z34" s="34">
        <v>0.98812595240721501</v>
      </c>
      <c r="AA34" s="34">
        <v>0.98704670782159198</v>
      </c>
      <c r="AB34" s="33">
        <v>29.411171751902899</v>
      </c>
      <c r="AC34" s="33">
        <v>29.570447298580198</v>
      </c>
      <c r="AD34" s="33">
        <v>29.549468748022001</v>
      </c>
      <c r="AE34" s="15">
        <v>-3.0012144584005702E-4</v>
      </c>
      <c r="AF34" s="15">
        <v>5.10074534639252E-3</v>
      </c>
      <c r="AG34" s="15">
        <v>4.3910504468888103E-3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30.34</v>
      </c>
      <c r="C35" s="33">
        <v>29.99</v>
      </c>
      <c r="D35" s="15">
        <v>1.3939820814109501E-2</v>
      </c>
      <c r="E35" s="15">
        <v>1.9189277587626199E-2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30.34</v>
      </c>
      <c r="M35" s="33">
        <v>29.99</v>
      </c>
      <c r="N35" s="34">
        <v>0.98846407382992696</v>
      </c>
      <c r="O35" s="34">
        <v>0.98299370828552601</v>
      </c>
      <c r="P35" s="34">
        <v>0.988501931510126</v>
      </c>
      <c r="Q35" s="34">
        <v>0.98700126114114395</v>
      </c>
      <c r="R35" s="33">
        <v>29.824029109382799</v>
      </c>
      <c r="S35" s="33">
        <v>29.9797413960349</v>
      </c>
      <c r="T35" s="33">
        <v>29.946997115307099</v>
      </c>
      <c r="U35" s="15">
        <v>-5.54957821935662E-3</v>
      </c>
      <c r="V35" s="15">
        <v>-3.4212600642730801E-4</v>
      </c>
      <c r="W35" s="15">
        <v>-1.43493648802181E-3</v>
      </c>
      <c r="X35" s="34">
        <v>0.98846407382992696</v>
      </c>
      <c r="Y35" s="34">
        <v>0.98299370828552601</v>
      </c>
      <c r="Z35" s="34">
        <v>0.988501931510126</v>
      </c>
      <c r="AA35" s="34">
        <v>0.98700126114114395</v>
      </c>
      <c r="AB35" s="33">
        <v>29.824029109382799</v>
      </c>
      <c r="AC35" s="33">
        <v>29.9797413960349</v>
      </c>
      <c r="AD35" s="33">
        <v>29.946997115307099</v>
      </c>
      <c r="AE35" s="15">
        <v>-5.54957821935662E-3</v>
      </c>
      <c r="AF35" s="15">
        <v>-3.4212600642730801E-4</v>
      </c>
      <c r="AG35" s="15">
        <v>-1.43493648802181E-3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30.7</v>
      </c>
      <c r="C36" s="33">
        <v>30.2</v>
      </c>
      <c r="D36" s="15">
        <v>1.1795680672765201E-2</v>
      </c>
      <c r="E36" s="15">
        <v>6.9779316199062996E-3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30.7</v>
      </c>
      <c r="M36" s="33">
        <v>30.2</v>
      </c>
      <c r="N36" s="34">
        <v>0.98371335504885904</v>
      </c>
      <c r="O36" s="34">
        <v>0.98299370828552601</v>
      </c>
      <c r="P36" s="34">
        <v>0.98814715236533102</v>
      </c>
      <c r="Q36" s="34">
        <v>0.98670738833364402</v>
      </c>
      <c r="R36" s="33">
        <v>30.177906844365602</v>
      </c>
      <c r="S36" s="33">
        <v>30.347009297360799</v>
      </c>
      <c r="T36" s="33">
        <v>30.300938717033102</v>
      </c>
      <c r="U36" s="15">
        <v>-7.3182916649763298E-4</v>
      </c>
      <c r="V36" s="15">
        <v>4.8560478198598298E-3</v>
      </c>
      <c r="W36" s="15">
        <v>3.3367684147751898E-3</v>
      </c>
      <c r="X36" s="34">
        <v>0.98371335504885904</v>
      </c>
      <c r="Y36" s="34">
        <v>0.98299370828552601</v>
      </c>
      <c r="Z36" s="34">
        <v>0.98814715236533102</v>
      </c>
      <c r="AA36" s="34">
        <v>0.98670738833364402</v>
      </c>
      <c r="AB36" s="33">
        <v>30.177906844365602</v>
      </c>
      <c r="AC36" s="33">
        <v>30.347009297360799</v>
      </c>
      <c r="AD36" s="33">
        <v>30.300938717033102</v>
      </c>
      <c r="AE36" s="15">
        <v>-7.3182916649763298E-4</v>
      </c>
      <c r="AF36" s="15">
        <v>4.8560478198598298E-3</v>
      </c>
      <c r="AG36" s="15">
        <v>3.3367684147751898E-3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30.87</v>
      </c>
      <c r="C37" s="33">
        <v>30.42</v>
      </c>
      <c r="D37" s="15">
        <v>5.5221839209165001E-3</v>
      </c>
      <c r="E37" s="15">
        <v>7.2583624503228996E-3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30.87</v>
      </c>
      <c r="M37" s="33">
        <v>30.42</v>
      </c>
      <c r="N37" s="34">
        <v>0.98542274052478096</v>
      </c>
      <c r="O37" s="34">
        <v>0.98299370828552601</v>
      </c>
      <c r="P37" s="34">
        <v>0.988324394719444</v>
      </c>
      <c r="Q37" s="34">
        <v>0.98648412304858002</v>
      </c>
      <c r="R37" s="33">
        <v>30.345015774774101</v>
      </c>
      <c r="S37" s="33">
        <v>30.5041025935177</v>
      </c>
      <c r="T37" s="33">
        <v>30.4596570778596</v>
      </c>
      <c r="U37" s="15">
        <v>-2.4680076959039399E-3</v>
      </c>
      <c r="V37" s="15">
        <v>2.7608989992679001E-3</v>
      </c>
      <c r="W37" s="15">
        <v>1.3028024588917801E-3</v>
      </c>
      <c r="X37" s="34">
        <v>0.98542274052478096</v>
      </c>
      <c r="Y37" s="34">
        <v>0.98299370828552601</v>
      </c>
      <c r="Z37" s="34">
        <v>0.988324394719444</v>
      </c>
      <c r="AA37" s="34">
        <v>0.98648412304858002</v>
      </c>
      <c r="AB37" s="33">
        <v>30.345015774774101</v>
      </c>
      <c r="AC37" s="33">
        <v>30.5041025935177</v>
      </c>
      <c r="AD37" s="33">
        <v>30.4596570778596</v>
      </c>
      <c r="AE37" s="15">
        <v>-2.4680076959039399E-3</v>
      </c>
      <c r="AF37" s="15">
        <v>2.7608989992679001E-3</v>
      </c>
      <c r="AG37" s="15">
        <v>1.3028024588917801E-3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28.67</v>
      </c>
      <c r="C38" s="33">
        <v>28.1</v>
      </c>
      <c r="D38" s="15">
        <v>-7.3933558618789294E-2</v>
      </c>
      <c r="E38" s="15">
        <v>-7.9330710491446702E-2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28.67</v>
      </c>
      <c r="M38" s="33">
        <v>28.1</v>
      </c>
      <c r="N38" s="34">
        <v>0.98011859086152697</v>
      </c>
      <c r="O38" s="34">
        <v>0.98299370828552601</v>
      </c>
      <c r="P38" s="34">
        <v>0.98768849654965996</v>
      </c>
      <c r="Q38" s="34">
        <v>0.98615352476268503</v>
      </c>
      <c r="R38" s="33">
        <v>28.182429616545999</v>
      </c>
      <c r="S38" s="33">
        <v>28.335260396606401</v>
      </c>
      <c r="T38" s="33">
        <v>28.2824998078028</v>
      </c>
      <c r="U38" s="15">
        <v>2.9291441767532E-3</v>
      </c>
      <c r="V38" s="15">
        <v>8.3374031675346304E-3</v>
      </c>
      <c r="W38" s="15">
        <v>6.47365568316204E-3</v>
      </c>
      <c r="X38" s="34">
        <v>0.98011859086152697</v>
      </c>
      <c r="Y38" s="34">
        <v>0.98299370828552601</v>
      </c>
      <c r="Z38" s="34">
        <v>0.98768849654965996</v>
      </c>
      <c r="AA38" s="34">
        <v>0.98615352476268503</v>
      </c>
      <c r="AB38" s="33">
        <v>28.182429616545999</v>
      </c>
      <c r="AC38" s="33">
        <v>28.335260396606401</v>
      </c>
      <c r="AD38" s="33">
        <v>28.2824998078028</v>
      </c>
      <c r="AE38" s="15">
        <v>2.9291441767532E-3</v>
      </c>
      <c r="AF38" s="15">
        <v>8.3374031675346304E-3</v>
      </c>
      <c r="AG38" s="15">
        <v>6.47365568316204E-3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0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29.06</v>
      </c>
      <c r="C39" s="33">
        <v>28.48</v>
      </c>
      <c r="D39" s="15">
        <v>1.35113782468582E-2</v>
      </c>
      <c r="E39" s="15">
        <v>1.3432510204074899E-2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29.06</v>
      </c>
      <c r="M39" s="33">
        <v>28.48</v>
      </c>
      <c r="N39" s="34">
        <v>0.98004129387474104</v>
      </c>
      <c r="O39" s="34">
        <v>0.98299370828552601</v>
      </c>
      <c r="P39" s="34">
        <v>0.98667365929226802</v>
      </c>
      <c r="Q39" s="34">
        <v>0.98597801936296403</v>
      </c>
      <c r="R39" s="33">
        <v>28.565797162777301</v>
      </c>
      <c r="S39" s="33">
        <v>28.702227709733101</v>
      </c>
      <c r="T39" s="33">
        <v>28.657621429603601</v>
      </c>
      <c r="U39" s="15">
        <v>3.0080122195367798E-3</v>
      </c>
      <c r="V39" s="15">
        <v>7.7726537576737597E-3</v>
      </c>
      <c r="W39" s="15">
        <v>6.21733972562237E-3</v>
      </c>
      <c r="X39" s="34">
        <v>0.98004129387474104</v>
      </c>
      <c r="Y39" s="34">
        <v>0.98299370828552601</v>
      </c>
      <c r="Z39" s="34">
        <v>0.98667365929226802</v>
      </c>
      <c r="AA39" s="34">
        <v>0.98597801936296403</v>
      </c>
      <c r="AB39" s="33">
        <v>28.565797162777301</v>
      </c>
      <c r="AC39" s="33">
        <v>28.702227709733101</v>
      </c>
      <c r="AD39" s="33">
        <v>28.657621429603601</v>
      </c>
      <c r="AE39" s="15">
        <v>3.0080122195367798E-3</v>
      </c>
      <c r="AF39" s="15">
        <v>7.7726537576737597E-3</v>
      </c>
      <c r="AG39" s="15">
        <v>6.21733972562237E-3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0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29.36</v>
      </c>
      <c r="C40" s="33">
        <v>28.86</v>
      </c>
      <c r="D40" s="15">
        <v>1.0270545604177899E-2</v>
      </c>
      <c r="E40" s="15">
        <v>1.3254466801949701E-2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29.36</v>
      </c>
      <c r="M40" s="33">
        <v>28.86</v>
      </c>
      <c r="N40" s="34">
        <v>0.98297002724795601</v>
      </c>
      <c r="O40" s="34">
        <v>0.98299370828552601</v>
      </c>
      <c r="P40" s="34">
        <v>0.985521894183082</v>
      </c>
      <c r="Q40" s="34">
        <v>0.98589518836811396</v>
      </c>
      <c r="R40" s="33">
        <v>28.860695275263001</v>
      </c>
      <c r="S40" s="33">
        <v>28.968738636820898</v>
      </c>
      <c r="T40" s="33">
        <v>28.948314648496599</v>
      </c>
      <c r="U40" s="15">
        <v>2.40910217650252E-5</v>
      </c>
      <c r="V40" s="15">
        <v>3.7607171638778898E-3</v>
      </c>
      <c r="W40" s="15">
        <v>3.0554330372713702E-3</v>
      </c>
      <c r="X40" s="34">
        <v>0.98297002724795601</v>
      </c>
      <c r="Y40" s="34">
        <v>0.98299370828552601</v>
      </c>
      <c r="Z40" s="34">
        <v>0.985521894183082</v>
      </c>
      <c r="AA40" s="34">
        <v>0.98589518836811396</v>
      </c>
      <c r="AB40" s="33">
        <v>28.860695275263001</v>
      </c>
      <c r="AC40" s="33">
        <v>28.968738636820898</v>
      </c>
      <c r="AD40" s="33">
        <v>28.948314648496599</v>
      </c>
      <c r="AE40" s="15">
        <v>2.40910217650252E-5</v>
      </c>
      <c r="AF40" s="15">
        <v>3.7607171638778898E-3</v>
      </c>
      <c r="AG40" s="15">
        <v>3.0554330372713702E-3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29.29</v>
      </c>
      <c r="C41" s="33">
        <v>28.85</v>
      </c>
      <c r="D41" s="15">
        <v>-2.3870429066726799E-3</v>
      </c>
      <c r="E41" s="15">
        <v>-3.4656039161619801E-4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29.29</v>
      </c>
      <c r="M41" s="33">
        <v>28.85</v>
      </c>
      <c r="N41" s="34">
        <v>0.98497780812563995</v>
      </c>
      <c r="O41" s="34">
        <v>0.98299370828552601</v>
      </c>
      <c r="P41" s="34">
        <v>0.98491312304329603</v>
      </c>
      <c r="Q41" s="34">
        <v>0.98597052505538796</v>
      </c>
      <c r="R41" s="33">
        <v>28.791885715683001</v>
      </c>
      <c r="S41" s="33">
        <v>28.8659362806224</v>
      </c>
      <c r="T41" s="33">
        <v>28.876870067302001</v>
      </c>
      <c r="U41" s="15">
        <v>-2.0163914932916499E-3</v>
      </c>
      <c r="V41" s="15">
        <v>5.5223156911071703E-4</v>
      </c>
      <c r="W41" s="15">
        <v>9.3093802630595305E-4</v>
      </c>
      <c r="X41" s="34">
        <v>0.98497780812563995</v>
      </c>
      <c r="Y41" s="34">
        <v>0.98299370828552601</v>
      </c>
      <c r="Z41" s="34">
        <v>0.98491312304329603</v>
      </c>
      <c r="AA41" s="34">
        <v>0.98597052505538796</v>
      </c>
      <c r="AB41" s="33">
        <v>28.791885715683001</v>
      </c>
      <c r="AC41" s="33">
        <v>28.8659362806224</v>
      </c>
      <c r="AD41" s="33">
        <v>28.876870067302001</v>
      </c>
      <c r="AE41" s="15">
        <v>-2.0163914932916499E-3</v>
      </c>
      <c r="AF41" s="15">
        <v>5.5223156911071703E-4</v>
      </c>
      <c r="AG41" s="15">
        <v>9.3093802630595305E-4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28.49</v>
      </c>
      <c r="C42" s="33">
        <v>28.13</v>
      </c>
      <c r="D42" s="15">
        <v>-2.7693012329825101E-2</v>
      </c>
      <c r="E42" s="15">
        <v>-2.52733704523431E-2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28.49</v>
      </c>
      <c r="M42" s="33">
        <v>28.13</v>
      </c>
      <c r="N42" s="34">
        <v>0.98736398736398701</v>
      </c>
      <c r="O42" s="34">
        <v>0.98299370828552601</v>
      </c>
      <c r="P42" s="34">
        <v>0.98429468307001799</v>
      </c>
      <c r="Q42" s="34">
        <v>0.98617266205955501</v>
      </c>
      <c r="R42" s="33">
        <v>28.005490749054601</v>
      </c>
      <c r="S42" s="33">
        <v>28.060174875503499</v>
      </c>
      <c r="T42" s="33">
        <v>28.090300258828002</v>
      </c>
      <c r="U42" s="15">
        <v>-4.4360333707737596E-3</v>
      </c>
      <c r="V42" s="15">
        <v>-2.48531564788555E-3</v>
      </c>
      <c r="W42" s="15">
        <v>-1.41229227122142E-3</v>
      </c>
      <c r="X42" s="34">
        <v>0.98736398736398701</v>
      </c>
      <c r="Y42" s="34">
        <v>0.98299370828552601</v>
      </c>
      <c r="Z42" s="34">
        <v>0.98429468307001799</v>
      </c>
      <c r="AA42" s="34">
        <v>0.98617266205955501</v>
      </c>
      <c r="AB42" s="33">
        <v>28.005490749054601</v>
      </c>
      <c r="AC42" s="33">
        <v>28.060174875503499</v>
      </c>
      <c r="AD42" s="33">
        <v>28.090300258828002</v>
      </c>
      <c r="AE42" s="15">
        <v>-4.4360333707737596E-3</v>
      </c>
      <c r="AF42" s="15">
        <v>-2.48531564788555E-3</v>
      </c>
      <c r="AG42" s="15">
        <v>-1.41229227122142E-3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26.84</v>
      </c>
      <c r="C43" s="33">
        <v>26.26</v>
      </c>
      <c r="D43" s="15">
        <v>-5.9659836406335799E-2</v>
      </c>
      <c r="E43" s="15">
        <v>-6.8789753627115202E-2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26.84</v>
      </c>
      <c r="M43" s="33">
        <v>26.26</v>
      </c>
      <c r="N43" s="34">
        <v>0.97839046199701896</v>
      </c>
      <c r="O43" s="34">
        <v>0.98299370828552601</v>
      </c>
      <c r="P43" s="34">
        <v>0.98347511089279105</v>
      </c>
      <c r="Q43" s="34">
        <v>0.98589609987454097</v>
      </c>
      <c r="R43" s="33">
        <v>26.383551130383498</v>
      </c>
      <c r="S43" s="33">
        <v>26.418469293599198</v>
      </c>
      <c r="T43" s="33">
        <v>26.4688742496784</v>
      </c>
      <c r="U43" s="15">
        <v>4.6938838500056399E-3</v>
      </c>
      <c r="V43" s="15">
        <v>6.01649113001317E-3</v>
      </c>
      <c r="W43" s="15">
        <v>7.9226171693885603E-3</v>
      </c>
      <c r="X43" s="34">
        <v>0.97839046199701896</v>
      </c>
      <c r="Y43" s="34">
        <v>0.98299370828552601</v>
      </c>
      <c r="Z43" s="34">
        <v>0.98347511089279105</v>
      </c>
      <c r="AA43" s="34">
        <v>0.98589609987454097</v>
      </c>
      <c r="AB43" s="33">
        <v>26.383551130383498</v>
      </c>
      <c r="AC43" s="33">
        <v>26.418469293599198</v>
      </c>
      <c r="AD43" s="33">
        <v>26.4688742496784</v>
      </c>
      <c r="AE43" s="15">
        <v>4.6938838500056399E-3</v>
      </c>
      <c r="AF43" s="15">
        <v>6.01649113001317E-3</v>
      </c>
      <c r="AG43" s="15">
        <v>7.9226171693885603E-3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26.7</v>
      </c>
      <c r="C44" s="33">
        <v>26.12</v>
      </c>
      <c r="D44" s="15">
        <v>-5.2297466972772598E-3</v>
      </c>
      <c r="E44" s="15">
        <v>-5.3455644664198E-3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26.7</v>
      </c>
      <c r="M44" s="33">
        <v>26.12</v>
      </c>
      <c r="N44" s="34">
        <v>0.978277153558052</v>
      </c>
      <c r="O44" s="34">
        <v>0.98299370828552601</v>
      </c>
      <c r="P44" s="34">
        <v>0.98297394924324899</v>
      </c>
      <c r="Q44" s="34">
        <v>0.985549950825232</v>
      </c>
      <c r="R44" s="33">
        <v>26.245932011223498</v>
      </c>
      <c r="S44" s="33">
        <v>26.258785460837501</v>
      </c>
      <c r="T44" s="33">
        <v>26.323425866650201</v>
      </c>
      <c r="U44" s="15">
        <v>4.8097016191484898E-3</v>
      </c>
      <c r="V44" s="15">
        <v>5.2993128575138703E-3</v>
      </c>
      <c r="W44" s="15">
        <v>7.7579556853065897E-3</v>
      </c>
      <c r="X44" s="34">
        <v>0.978277153558052</v>
      </c>
      <c r="Y44" s="34">
        <v>0.98299370828552601</v>
      </c>
      <c r="Z44" s="34">
        <v>0.98297394924324899</v>
      </c>
      <c r="AA44" s="34">
        <v>0.985549950825232</v>
      </c>
      <c r="AB44" s="33">
        <v>26.245932011223498</v>
      </c>
      <c r="AC44" s="33">
        <v>26.258785460837501</v>
      </c>
      <c r="AD44" s="33">
        <v>26.323425866650201</v>
      </c>
      <c r="AE44" s="15">
        <v>4.8097016191484898E-3</v>
      </c>
      <c r="AF44" s="15">
        <v>5.2993128575138703E-3</v>
      </c>
      <c r="AG44" s="15">
        <v>7.7579556853065897E-3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25.74</v>
      </c>
      <c r="C45" s="33">
        <v>25.26</v>
      </c>
      <c r="D45" s="15">
        <v>-3.6617363238223302E-2</v>
      </c>
      <c r="E45" s="15">
        <v>-3.3479187485885201E-2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25.74</v>
      </c>
      <c r="M45" s="33">
        <v>25.26</v>
      </c>
      <c r="N45" s="34">
        <v>0.98135198135198098</v>
      </c>
      <c r="O45" s="34">
        <v>0.98299370828552601</v>
      </c>
      <c r="P45" s="34">
        <v>0.98226273999545399</v>
      </c>
      <c r="Q45" s="34">
        <v>0.98538233575279</v>
      </c>
      <c r="R45" s="33">
        <v>25.302258051269401</v>
      </c>
      <c r="S45" s="33">
        <v>25.3017494535212</v>
      </c>
      <c r="T45" s="33">
        <v>25.368055734241398</v>
      </c>
      <c r="U45" s="15">
        <v>1.67152586681031E-3</v>
      </c>
      <c r="V45" s="15">
        <v>1.6514247810150099E-3</v>
      </c>
      <c r="W45" s="15">
        <v>4.2686173406742299E-3</v>
      </c>
      <c r="X45" s="34">
        <v>0.98135198135198098</v>
      </c>
      <c r="Y45" s="34">
        <v>0.98299370828552601</v>
      </c>
      <c r="Z45" s="34">
        <v>0.98226273999545399</v>
      </c>
      <c r="AA45" s="34">
        <v>0.98538233575279</v>
      </c>
      <c r="AB45" s="33">
        <v>25.302258051269401</v>
      </c>
      <c r="AC45" s="33">
        <v>25.3017494535212</v>
      </c>
      <c r="AD45" s="33">
        <v>25.368055734241398</v>
      </c>
      <c r="AE45" s="15">
        <v>1.67152586681031E-3</v>
      </c>
      <c r="AF45" s="15">
        <v>1.6514247810150099E-3</v>
      </c>
      <c r="AG45" s="15">
        <v>4.2686173406742299E-3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25.42</v>
      </c>
      <c r="C46" s="33">
        <v>24.88</v>
      </c>
      <c r="D46" s="15">
        <v>-1.25099364066724E-2</v>
      </c>
      <c r="E46" s="15">
        <v>-1.51578490513664E-2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25.42</v>
      </c>
      <c r="M46" s="33">
        <v>24.88</v>
      </c>
      <c r="N46" s="34">
        <v>0.97875688434303598</v>
      </c>
      <c r="O46" s="34">
        <v>0.98299370828552601</v>
      </c>
      <c r="P46" s="34">
        <v>0.98176709292487196</v>
      </c>
      <c r="Q46" s="34">
        <v>0.98495712264510105</v>
      </c>
      <c r="R46" s="33">
        <v>24.987700064618</v>
      </c>
      <c r="S46" s="33">
        <v>24.969118850684399</v>
      </c>
      <c r="T46" s="33">
        <v>25.048418974835901</v>
      </c>
      <c r="U46" s="15">
        <v>4.3194385115043199E-3</v>
      </c>
      <c r="V46" s="15">
        <v>3.5755474794521001E-3</v>
      </c>
      <c r="W46" s="15">
        <v>6.7464428910655096E-3</v>
      </c>
      <c r="X46" s="34">
        <v>0.97875688434303598</v>
      </c>
      <c r="Y46" s="34">
        <v>0.98299370828552601</v>
      </c>
      <c r="Z46" s="34">
        <v>0.98176709292487196</v>
      </c>
      <c r="AA46" s="34">
        <v>0.98495712264510105</v>
      </c>
      <c r="AB46" s="33">
        <v>24.987700064618</v>
      </c>
      <c r="AC46" s="33">
        <v>24.969118850684399</v>
      </c>
      <c r="AD46" s="33">
        <v>25.048418974835901</v>
      </c>
      <c r="AE46" s="15">
        <v>4.3194385115043199E-3</v>
      </c>
      <c r="AF46" s="15">
        <v>3.5755474794521001E-3</v>
      </c>
      <c r="AG46" s="15">
        <v>6.7464428910655096E-3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0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25.79</v>
      </c>
      <c r="C47" s="33">
        <v>25.4</v>
      </c>
      <c r="D47" s="15">
        <v>1.44505541319452E-2</v>
      </c>
      <c r="E47" s="15">
        <v>2.0684906153512098E-2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25.79</v>
      </c>
      <c r="M47" s="33">
        <v>25.4</v>
      </c>
      <c r="N47" s="34">
        <v>0.98487785963551699</v>
      </c>
      <c r="O47" s="34">
        <v>0.98299370828552601</v>
      </c>
      <c r="P47" s="34">
        <v>0.98171260483594602</v>
      </c>
      <c r="Q47" s="34">
        <v>0.98501849977769496</v>
      </c>
      <c r="R47" s="33">
        <v>25.351407736683701</v>
      </c>
      <c r="S47" s="33">
        <v>25.319773326532399</v>
      </c>
      <c r="T47" s="33">
        <v>25.402044193017101</v>
      </c>
      <c r="U47" s="15">
        <v>-1.9149135100625899E-3</v>
      </c>
      <c r="V47" s="15">
        <v>-3.1635291372269902E-3</v>
      </c>
      <c r="W47" s="15">
        <v>8.0476801701561901E-5</v>
      </c>
      <c r="X47" s="34">
        <v>0.98487785963551699</v>
      </c>
      <c r="Y47" s="34">
        <v>0.98299370828552601</v>
      </c>
      <c r="Z47" s="34">
        <v>0.98171260483594602</v>
      </c>
      <c r="AA47" s="34">
        <v>0.98501849977769496</v>
      </c>
      <c r="AB47" s="33">
        <v>25.351407736683701</v>
      </c>
      <c r="AC47" s="33">
        <v>25.319773326532399</v>
      </c>
      <c r="AD47" s="33">
        <v>25.402044193017101</v>
      </c>
      <c r="AE47" s="15">
        <v>-1.9149135100625899E-3</v>
      </c>
      <c r="AF47" s="15">
        <v>-3.1635291372269902E-3</v>
      </c>
      <c r="AG47" s="15">
        <v>8.0476801701561901E-5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24.67</v>
      </c>
      <c r="C48" s="33">
        <v>24.22</v>
      </c>
      <c r="D48" s="15">
        <v>-4.4398889351987901E-2</v>
      </c>
      <c r="E48" s="15">
        <v>-4.7570435899544697E-2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24.67</v>
      </c>
      <c r="M48" s="33">
        <v>24.22</v>
      </c>
      <c r="N48" s="34">
        <v>0.98175922172679297</v>
      </c>
      <c r="O48" s="34">
        <v>0.98299370828552601</v>
      </c>
      <c r="P48" s="34">
        <v>0.98187666792247197</v>
      </c>
      <c r="Q48" s="34">
        <v>0.98478258223606596</v>
      </c>
      <c r="R48" s="33">
        <v>24.250454783403899</v>
      </c>
      <c r="S48" s="33">
        <v>24.218849961302698</v>
      </c>
      <c r="T48" s="33">
        <v>24.3004063895157</v>
      </c>
      <c r="U48" s="15">
        <v>1.2566330374941699E-3</v>
      </c>
      <c r="V48" s="15">
        <v>-4.7484145405541497E-5</v>
      </c>
      <c r="W48" s="15">
        <v>3.3143359300990701E-3</v>
      </c>
      <c r="X48" s="34">
        <v>0.98175922172679297</v>
      </c>
      <c r="Y48" s="34">
        <v>0.98299370828552601</v>
      </c>
      <c r="Z48" s="34">
        <v>0.98187666792247197</v>
      </c>
      <c r="AA48" s="34">
        <v>0.98478258223606596</v>
      </c>
      <c r="AB48" s="33">
        <v>24.250454783403899</v>
      </c>
      <c r="AC48" s="33">
        <v>24.218849961302698</v>
      </c>
      <c r="AD48" s="33">
        <v>24.3004063895157</v>
      </c>
      <c r="AE48" s="15">
        <v>1.2566330374941699E-3</v>
      </c>
      <c r="AF48" s="15">
        <v>-4.7484145405541497E-5</v>
      </c>
      <c r="AG48" s="15">
        <v>3.3143359300990701E-3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23.58</v>
      </c>
      <c r="C49" s="33">
        <v>23.07</v>
      </c>
      <c r="D49" s="15">
        <v>-4.5189035432040503E-2</v>
      </c>
      <c r="E49" s="15">
        <v>-4.8645665939283801E-2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23.58</v>
      </c>
      <c r="M49" s="33">
        <v>23.07</v>
      </c>
      <c r="N49" s="34">
        <v>0.97837150127226402</v>
      </c>
      <c r="O49" s="34">
        <v>0.98299370828552601</v>
      </c>
      <c r="P49" s="34">
        <v>0.98170968866222497</v>
      </c>
      <c r="Q49" s="34">
        <v>0.98419167397724605</v>
      </c>
      <c r="R49" s="33">
        <v>23.178991641372701</v>
      </c>
      <c r="S49" s="33">
        <v>23.152651829611901</v>
      </c>
      <c r="T49" s="33">
        <v>23.221173289126401</v>
      </c>
      <c r="U49" s="15">
        <v>4.7132635447373504E-3</v>
      </c>
      <c r="V49" s="15">
        <v>3.5762516614893198E-3</v>
      </c>
      <c r="W49" s="15">
        <v>6.5314320550021602E-3</v>
      </c>
      <c r="X49" s="34">
        <v>0.97837150127226402</v>
      </c>
      <c r="Y49" s="34">
        <v>0.98299370828552601</v>
      </c>
      <c r="Z49" s="34">
        <v>0.98170968866222497</v>
      </c>
      <c r="AA49" s="34">
        <v>0.98419167397724605</v>
      </c>
      <c r="AB49" s="33">
        <v>23.178991641372701</v>
      </c>
      <c r="AC49" s="33">
        <v>23.152651829611901</v>
      </c>
      <c r="AD49" s="33">
        <v>23.221173289126401</v>
      </c>
      <c r="AE49" s="15">
        <v>4.7132635447373504E-3</v>
      </c>
      <c r="AF49" s="15">
        <v>3.5762516614893198E-3</v>
      </c>
      <c r="AG49" s="15">
        <v>6.5314320550021602E-3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0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23.85</v>
      </c>
      <c r="C50" s="33">
        <v>23.49</v>
      </c>
      <c r="D50" s="15">
        <v>1.1385322225125401E-2</v>
      </c>
      <c r="E50" s="15">
        <v>1.8041726485159001E-2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23.85</v>
      </c>
      <c r="M50" s="33">
        <v>23.49</v>
      </c>
      <c r="N50" s="34">
        <v>0.98490566037735805</v>
      </c>
      <c r="O50" s="34">
        <v>0.98299370828552601</v>
      </c>
      <c r="P50" s="34">
        <v>0.98190325197516504</v>
      </c>
      <c r="Q50" s="34">
        <v>0.98371257307912296</v>
      </c>
      <c r="R50" s="33">
        <v>23.444399942609799</v>
      </c>
      <c r="S50" s="33">
        <v>23.413776074594001</v>
      </c>
      <c r="T50" s="33">
        <v>23.472971424357301</v>
      </c>
      <c r="U50" s="15">
        <v>-1.94314071529618E-3</v>
      </c>
      <c r="V50" s="15">
        <v>-3.2502283989697999E-3</v>
      </c>
      <c r="W50" s="15">
        <v>-7.2519160830235502E-4</v>
      </c>
      <c r="X50" s="34">
        <v>0.98490566037735805</v>
      </c>
      <c r="Y50" s="34">
        <v>0.98299370828552601</v>
      </c>
      <c r="Z50" s="34">
        <v>0.98190325197516504</v>
      </c>
      <c r="AA50" s="34">
        <v>0.98371257307912296</v>
      </c>
      <c r="AB50" s="33">
        <v>23.444399942609799</v>
      </c>
      <c r="AC50" s="33">
        <v>23.413776074594001</v>
      </c>
      <c r="AD50" s="33">
        <v>23.472971424357301</v>
      </c>
      <c r="AE50" s="15">
        <v>-1.94314071529618E-3</v>
      </c>
      <c r="AF50" s="15">
        <v>-3.2502283989697999E-3</v>
      </c>
      <c r="AG50" s="15">
        <v>-7.2519160830235502E-4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23.5</v>
      </c>
      <c r="C51" s="33">
        <v>23.08</v>
      </c>
      <c r="D51" s="15">
        <v>-1.47837961842369E-2</v>
      </c>
      <c r="E51" s="15">
        <v>-1.7608357030922599E-2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23.5</v>
      </c>
      <c r="M51" s="33">
        <v>23.08</v>
      </c>
      <c r="N51" s="34">
        <v>0.98212765957446801</v>
      </c>
      <c r="O51" s="34">
        <v>0.98299370828552601</v>
      </c>
      <c r="P51" s="34">
        <v>0.98161823712004703</v>
      </c>
      <c r="Q51" s="34">
        <v>0.98326568008167203</v>
      </c>
      <c r="R51" s="33">
        <v>23.100352144709799</v>
      </c>
      <c r="S51" s="33">
        <v>23.074726421416301</v>
      </c>
      <c r="T51" s="33">
        <v>23.1172454673594</v>
      </c>
      <c r="U51" s="15">
        <v>8.8142013138926801E-4</v>
      </c>
      <c r="V51" s="15">
        <v>-2.2851738122841699E-4</v>
      </c>
      <c r="W51" s="15">
        <v>1.6124543813161099E-3</v>
      </c>
      <c r="X51" s="34">
        <v>0.98212765957446801</v>
      </c>
      <c r="Y51" s="34">
        <v>0.98299370828552601</v>
      </c>
      <c r="Z51" s="34">
        <v>0.98161823712004703</v>
      </c>
      <c r="AA51" s="34">
        <v>0.98326568008167203</v>
      </c>
      <c r="AB51" s="33">
        <v>23.100352144709799</v>
      </c>
      <c r="AC51" s="33">
        <v>23.074726421416301</v>
      </c>
      <c r="AD51" s="33">
        <v>23.1172454673594</v>
      </c>
      <c r="AE51" s="15">
        <v>8.8142013138926801E-4</v>
      </c>
      <c r="AF51" s="15">
        <v>-2.2851738122841699E-4</v>
      </c>
      <c r="AG51" s="15">
        <v>1.6124543813161099E-3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B52" s="33">
        <v>23.54</v>
      </c>
      <c r="C52" s="33">
        <v>23.15</v>
      </c>
      <c r="D52" s="15">
        <v>1.70068068201725E-3</v>
      </c>
      <c r="E52" s="15">
        <v>3.0283388923443501E-3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23.54</v>
      </c>
      <c r="M52" s="33">
        <v>23.15</v>
      </c>
      <c r="N52" s="34">
        <v>0.98343245539507196</v>
      </c>
      <c r="O52" s="34">
        <v>0.98299370828552601</v>
      </c>
      <c r="P52" s="34">
        <v>0.98122508392315599</v>
      </c>
      <c r="Q52" s="34">
        <v>0.98275988349658705</v>
      </c>
      <c r="R52" s="33">
        <v>23.1396718930412</v>
      </c>
      <c r="S52" s="33">
        <v>23.1072933018059</v>
      </c>
      <c r="T52" s="33">
        <v>23.146074109122502</v>
      </c>
      <c r="U52" s="15">
        <v>-4.4623807893743E-4</v>
      </c>
      <c r="V52" s="15">
        <v>-1.84648548498074E-3</v>
      </c>
      <c r="W52" s="15">
        <v>-1.6959930025975501E-4</v>
      </c>
      <c r="X52" s="34">
        <v>0.98343245539507196</v>
      </c>
      <c r="Y52" s="34">
        <v>0.98299370828552601</v>
      </c>
      <c r="Z52" s="34">
        <v>0.98122508392315599</v>
      </c>
      <c r="AA52" s="34">
        <v>0.98275988349658705</v>
      </c>
      <c r="AB52" s="33">
        <v>23.1396718930412</v>
      </c>
      <c r="AC52" s="33">
        <v>23.1072933018059</v>
      </c>
      <c r="AD52" s="33">
        <v>23.146074109122502</v>
      </c>
      <c r="AE52" s="15">
        <v>-4.4623807893743E-4</v>
      </c>
      <c r="AF52" s="15">
        <v>-1.84648548498074E-3</v>
      </c>
      <c r="AG52" s="15">
        <v>-1.6959930025975501E-4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B53" s="33">
        <v>23.22</v>
      </c>
      <c r="C53" s="33">
        <v>22.94</v>
      </c>
      <c r="D53" s="15">
        <v>-1.3687125562385201E-2</v>
      </c>
      <c r="E53" s="15">
        <v>-9.1126688310182793E-3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23.22</v>
      </c>
      <c r="M53" s="33">
        <v>22.94</v>
      </c>
      <c r="N53" s="34">
        <v>0.98794142980189503</v>
      </c>
      <c r="O53" s="34">
        <v>0.98299370828552601</v>
      </c>
      <c r="P53" s="34">
        <v>0.98218018070364399</v>
      </c>
      <c r="Q53" s="34">
        <v>0.98282764579821702</v>
      </c>
      <c r="R53" s="33">
        <v>22.825113906389898</v>
      </c>
      <c r="S53" s="33">
        <v>22.784046448695602</v>
      </c>
      <c r="T53" s="33">
        <v>22.8196844947907</v>
      </c>
      <c r="U53" s="15">
        <v>-5.0206948103043696E-3</v>
      </c>
      <c r="V53" s="15">
        <v>-6.8215378196078104E-3</v>
      </c>
      <c r="W53" s="15">
        <v>-5.2585931827343101E-3</v>
      </c>
      <c r="X53" s="34">
        <v>0.98794142980189503</v>
      </c>
      <c r="Y53" s="34">
        <v>0.98299370828552601</v>
      </c>
      <c r="Z53" s="34">
        <v>0.98218018070364399</v>
      </c>
      <c r="AA53" s="34">
        <v>0.98282764579821702</v>
      </c>
      <c r="AB53" s="33">
        <v>22.825113906389898</v>
      </c>
      <c r="AC53" s="33">
        <v>22.784046448695602</v>
      </c>
      <c r="AD53" s="33">
        <v>22.8196844947907</v>
      </c>
      <c r="AE53" s="15">
        <v>-5.0206948103043696E-3</v>
      </c>
      <c r="AF53" s="15">
        <v>-6.8215378196078104E-3</v>
      </c>
      <c r="AG53" s="15">
        <v>-5.2585931827343101E-3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B54" s="33">
        <v>23.59</v>
      </c>
      <c r="C54" s="33">
        <v>23.31</v>
      </c>
      <c r="D54" s="15">
        <v>1.58089171498382E-2</v>
      </c>
      <c r="E54" s="15">
        <v>1.6000341346441099E-2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23.59</v>
      </c>
      <c r="M54" s="33">
        <v>23.31</v>
      </c>
      <c r="N54" s="34">
        <v>0.98813056379821895</v>
      </c>
      <c r="O54" s="34">
        <v>0.98299370828552601</v>
      </c>
      <c r="P54" s="34">
        <v>0.98316552172766003</v>
      </c>
      <c r="Q54" s="34">
        <v>0.98306973548545495</v>
      </c>
      <c r="R54" s="33">
        <v>23.188821578455499</v>
      </c>
      <c r="S54" s="33">
        <v>23.169630462798899</v>
      </c>
      <c r="T54" s="33">
        <v>23.184904164379901</v>
      </c>
      <c r="U54" s="15">
        <v>-5.2121190069072103E-3</v>
      </c>
      <c r="V54" s="15">
        <v>-6.0400636818415798E-3</v>
      </c>
      <c r="W54" s="15">
        <v>-5.38106873100951E-3</v>
      </c>
      <c r="X54" s="34">
        <v>0.98813056379821895</v>
      </c>
      <c r="Y54" s="34">
        <v>0.98299370828552601</v>
      </c>
      <c r="Z54" s="34">
        <v>0.98316552172766003</v>
      </c>
      <c r="AA54" s="34">
        <v>0.98306973548545495</v>
      </c>
      <c r="AB54" s="33">
        <v>23.188821578455499</v>
      </c>
      <c r="AC54" s="33">
        <v>23.169630462798899</v>
      </c>
      <c r="AD54" s="33">
        <v>23.184904164379901</v>
      </c>
      <c r="AE54" s="15">
        <v>-5.2121190069072103E-3</v>
      </c>
      <c r="AF54" s="15">
        <v>-6.0400636818415798E-3</v>
      </c>
      <c r="AG54" s="15">
        <v>-5.38106873100951E-3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25">
      <c r="A55" s="1">
        <v>46101</v>
      </c>
      <c r="B55" s="33">
        <v>23.33</v>
      </c>
      <c r="C55" s="33">
        <v>22.8</v>
      </c>
      <c r="D55" s="15">
        <v>-1.10828073862451E-2</v>
      </c>
      <c r="E55" s="15">
        <v>-2.2121917087270501E-2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23.33</v>
      </c>
      <c r="M55" s="33">
        <v>22.8</v>
      </c>
      <c r="N55" s="34">
        <v>0.97728246892413195</v>
      </c>
      <c r="O55" s="34">
        <v>0.98299370828552601</v>
      </c>
      <c r="P55" s="34">
        <v>0.98275857048487503</v>
      </c>
      <c r="Q55" s="34">
        <v>0.98251065524016501</v>
      </c>
      <c r="R55" s="33">
        <v>22.933243214301299</v>
      </c>
      <c r="S55" s="33">
        <v>22.937251621906299</v>
      </c>
      <c r="T55" s="33">
        <v>22.935016928875601</v>
      </c>
      <c r="U55" s="15">
        <v>5.8269906941184101E-3</v>
      </c>
      <c r="V55" s="15">
        <v>6.0017613230168099E-3</v>
      </c>
      <c r="W55" s="15">
        <v>5.9043302125432601E-3</v>
      </c>
      <c r="X55" s="34">
        <v>0.97728246892413195</v>
      </c>
      <c r="Y55" s="34">
        <v>0.98299370828552601</v>
      </c>
      <c r="Z55" s="34">
        <v>0.98275857048487503</v>
      </c>
      <c r="AA55" s="34">
        <v>0.98251065524016501</v>
      </c>
      <c r="AB55" s="33">
        <v>22.933243214301299</v>
      </c>
      <c r="AC55" s="33">
        <v>22.937251621906299</v>
      </c>
      <c r="AD55" s="33">
        <v>22.935016928875601</v>
      </c>
      <c r="AE55" s="15">
        <v>5.8269906941184101E-3</v>
      </c>
      <c r="AF55" s="15">
        <v>6.0017613230168099E-3</v>
      </c>
      <c r="AG55" s="15">
        <v>5.9043302125432601E-3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25">
      <c r="A56" s="1">
        <v>46104</v>
      </c>
      <c r="B56" s="33">
        <v>23.37</v>
      </c>
      <c r="C56" s="33">
        <v>22.93</v>
      </c>
      <c r="D56" s="15">
        <v>1.7130625174281401E-3</v>
      </c>
      <c r="E56" s="15">
        <v>5.6855609094178302E-3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23.37</v>
      </c>
      <c r="M56" s="33">
        <v>22.93</v>
      </c>
      <c r="N56" s="34">
        <v>0.98117244330338005</v>
      </c>
      <c r="O56" s="34">
        <v>0.98299370828552601</v>
      </c>
      <c r="P56" s="34">
        <v>0.98300012638091006</v>
      </c>
      <c r="Q56" s="34">
        <v>0.98238360965289095</v>
      </c>
      <c r="R56" s="33">
        <v>22.972562962632701</v>
      </c>
      <c r="S56" s="33">
        <v>22.9670677922315</v>
      </c>
      <c r="T56" s="33">
        <v>22.961274012962601</v>
      </c>
      <c r="U56" s="15">
        <v>1.85449230212836E-3</v>
      </c>
      <c r="V56" s="15">
        <v>1.61525788351808E-3</v>
      </c>
      <c r="W56" s="15">
        <v>1.3629614115840099E-3</v>
      </c>
      <c r="X56" s="34">
        <v>0.98117244330338005</v>
      </c>
      <c r="Y56" s="34">
        <v>0.98299370828552601</v>
      </c>
      <c r="Z56" s="34">
        <v>0.98300012638091006</v>
      </c>
      <c r="AA56" s="34">
        <v>0.98238360965289095</v>
      </c>
      <c r="AB56" s="33">
        <v>22.972562962632701</v>
      </c>
      <c r="AC56" s="33">
        <v>22.9670677922315</v>
      </c>
      <c r="AD56" s="33">
        <v>22.961274012962601</v>
      </c>
      <c r="AE56" s="15">
        <v>1.85449230212836E-3</v>
      </c>
      <c r="AF56" s="15">
        <v>1.61525788351808E-3</v>
      </c>
      <c r="AG56" s="15">
        <v>1.3629614115840099E-3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25">
      <c r="A57" s="1">
        <v>46105</v>
      </c>
      <c r="B57" s="33">
        <v>23.2</v>
      </c>
      <c r="C57" s="33">
        <v>22.8</v>
      </c>
      <c r="D57" s="15">
        <v>-7.3008698785024199E-3</v>
      </c>
      <c r="E57" s="15">
        <v>-5.6855609094179603E-3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23.2</v>
      </c>
      <c r="M57" s="33">
        <v>22.8</v>
      </c>
      <c r="N57" s="34">
        <v>0.98275862068965503</v>
      </c>
      <c r="O57" s="34">
        <v>0.98299370828552601</v>
      </c>
      <c r="P57" s="34">
        <v>0.98278820248632304</v>
      </c>
      <c r="Q57" s="34">
        <v>0.98225040366113503</v>
      </c>
      <c r="R57" s="33">
        <v>22.805454032224201</v>
      </c>
      <c r="S57" s="33">
        <v>22.8056029320371</v>
      </c>
      <c r="T57" s="33">
        <v>22.791299743947</v>
      </c>
      <c r="U57" s="15">
        <v>2.39183333044046E-4</v>
      </c>
      <c r="V57" s="15">
        <v>2.4571244343149002E-4</v>
      </c>
      <c r="W57" s="15">
        <v>-3.8166300181806102E-4</v>
      </c>
      <c r="X57" s="34">
        <v>0.98275862068965503</v>
      </c>
      <c r="Y57" s="34">
        <v>0.98299370828552601</v>
      </c>
      <c r="Z57" s="34">
        <v>0.98278820248632304</v>
      </c>
      <c r="AA57" s="34">
        <v>0.98225040366113503</v>
      </c>
      <c r="AB57" s="33">
        <v>22.805454032224201</v>
      </c>
      <c r="AC57" s="33">
        <v>22.8056029320371</v>
      </c>
      <c r="AD57" s="33">
        <v>22.791299743947</v>
      </c>
      <c r="AE57" s="15">
        <v>2.39183333044046E-4</v>
      </c>
      <c r="AF57" s="15">
        <v>2.4571244343149002E-4</v>
      </c>
      <c r="AG57" s="15">
        <v>-3.8166300181806102E-4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0</v>
      </c>
      <c r="BH57" s="29"/>
    </row>
    <row r="58" spans="1:60" x14ac:dyDescent="0.25">
      <c r="A58" s="1">
        <v>46106</v>
      </c>
      <c r="B58" s="33">
        <v>23.87</v>
      </c>
      <c r="C58" s="33">
        <v>23.49</v>
      </c>
      <c r="D58" s="15">
        <v>2.84701616784745E-2</v>
      </c>
      <c r="E58" s="15">
        <v>2.9814262710426202E-2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23.87</v>
      </c>
      <c r="M58" s="33">
        <v>23.49</v>
      </c>
      <c r="N58" s="34">
        <v>0.98408043569333803</v>
      </c>
      <c r="O58" s="34">
        <v>0.98299370828552601</v>
      </c>
      <c r="P58" s="34">
        <v>0.983020323882978</v>
      </c>
      <c r="Q58" s="34">
        <v>0.98244849590272498</v>
      </c>
      <c r="R58" s="33">
        <v>23.464059816775499</v>
      </c>
      <c r="S58" s="33">
        <v>23.459154393348499</v>
      </c>
      <c r="T58" s="33">
        <v>23.446317135391201</v>
      </c>
      <c r="U58" s="15">
        <v>-1.10491769890767E-3</v>
      </c>
      <c r="V58" s="15">
        <v>-1.3140007094134E-3</v>
      </c>
      <c r="W58" s="15">
        <v>-1.86136790813807E-3</v>
      </c>
      <c r="X58" s="34">
        <v>0.98408043569333803</v>
      </c>
      <c r="Y58" s="34">
        <v>0.98299370828552601</v>
      </c>
      <c r="Z58" s="34">
        <v>0.983020323882978</v>
      </c>
      <c r="AA58" s="34">
        <v>0.98244849590272498</v>
      </c>
      <c r="AB58" s="33">
        <v>23.464059816775499</v>
      </c>
      <c r="AC58" s="33">
        <v>23.459154393348499</v>
      </c>
      <c r="AD58" s="33">
        <v>23.446317135391201</v>
      </c>
      <c r="AE58" s="15">
        <v>-1.10491769890767E-3</v>
      </c>
      <c r="AF58" s="15">
        <v>-1.3140007094134E-3</v>
      </c>
      <c r="AG58" s="15">
        <v>-1.86136790813807E-3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0</v>
      </c>
      <c r="BH58" s="29"/>
    </row>
    <row r="59" spans="1:60" x14ac:dyDescent="0.25">
      <c r="A59" s="1">
        <v>46107</v>
      </c>
      <c r="B59" s="33">
        <v>25.99</v>
      </c>
      <c r="C59" s="33">
        <v>25.74</v>
      </c>
      <c r="D59" s="15">
        <v>8.508940830266E-2</v>
      </c>
      <c r="E59" s="15">
        <v>9.1471403497159098E-2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25.99</v>
      </c>
      <c r="M59" s="33">
        <v>25.74</v>
      </c>
      <c r="N59" s="34">
        <v>0.99038091573682097</v>
      </c>
      <c r="O59" s="34">
        <v>0.98299370828552601</v>
      </c>
      <c r="P59" s="34">
        <v>0.98422126532943399</v>
      </c>
      <c r="Q59" s="34">
        <v>0.98296547699582904</v>
      </c>
      <c r="R59" s="33">
        <v>25.548006478340799</v>
      </c>
      <c r="S59" s="33">
        <v>25.548698217718599</v>
      </c>
      <c r="T59" s="33">
        <v>25.533836408511799</v>
      </c>
      <c r="U59" s="15">
        <v>-7.4869128934067298E-3</v>
      </c>
      <c r="V59" s="15">
        <v>-7.45983719911538E-3</v>
      </c>
      <c r="W59" s="15">
        <v>-8.0417116004088407E-3</v>
      </c>
      <c r="X59" s="34">
        <v>0.99038091573682097</v>
      </c>
      <c r="Y59" s="34">
        <v>0.98299370828552601</v>
      </c>
      <c r="Z59" s="34">
        <v>0.98422126532943399</v>
      </c>
      <c r="AA59" s="34">
        <v>0.98296547699582904</v>
      </c>
      <c r="AB59" s="33">
        <v>25.548006478340799</v>
      </c>
      <c r="AC59" s="33">
        <v>25.548698217718599</v>
      </c>
      <c r="AD59" s="33">
        <v>25.533836408511799</v>
      </c>
      <c r="AE59" s="15">
        <v>-7.4869128934067298E-3</v>
      </c>
      <c r="AF59" s="15">
        <v>-7.45983719911538E-3</v>
      </c>
      <c r="AG59" s="15">
        <v>-8.0417116004088407E-3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0</v>
      </c>
      <c r="BH59" s="29"/>
    </row>
    <row r="60" spans="1:60" x14ac:dyDescent="0.25">
      <c r="A60" s="1">
        <v>46108</v>
      </c>
      <c r="B60" s="33">
        <v>27.19</v>
      </c>
      <c r="C60" s="33">
        <v>27.19</v>
      </c>
      <c r="D60" s="15">
        <v>4.5137409990980502E-2</v>
      </c>
      <c r="E60" s="15">
        <v>5.4803056476398902E-2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27.19</v>
      </c>
      <c r="M60" s="33">
        <v>27.19</v>
      </c>
      <c r="N60" s="34">
        <v>1</v>
      </c>
      <c r="O60" s="34">
        <v>0.98299370828552601</v>
      </c>
      <c r="P60" s="34">
        <v>0.98573069929169799</v>
      </c>
      <c r="Q60" s="34">
        <v>0.98381697563343096</v>
      </c>
      <c r="R60" s="33">
        <v>26.727598928283399</v>
      </c>
      <c r="S60" s="33">
        <v>26.760976204307301</v>
      </c>
      <c r="T60" s="33">
        <v>26.726831319516599</v>
      </c>
      <c r="U60" s="15">
        <v>-1.7152559378825101E-2</v>
      </c>
      <c r="V60" s="15">
        <v>-1.5904544068141301E-2</v>
      </c>
      <c r="W60" s="15">
        <v>-1.7181279496627899E-2</v>
      </c>
      <c r="X60" s="34">
        <v>1</v>
      </c>
      <c r="Y60" s="34">
        <v>0.98299370828552601</v>
      </c>
      <c r="Z60" s="34">
        <v>0.98573069929169799</v>
      </c>
      <c r="AA60" s="34">
        <v>0.98381697563343096</v>
      </c>
      <c r="AB60" s="33">
        <v>26.727598928283399</v>
      </c>
      <c r="AC60" s="33">
        <v>26.760976204307301</v>
      </c>
      <c r="AD60" s="33">
        <v>26.726831319516599</v>
      </c>
      <c r="AE60" s="15">
        <v>-1.7152559378825101E-2</v>
      </c>
      <c r="AF60" s="15">
        <v>-1.5904544068141301E-2</v>
      </c>
      <c r="AG60" s="15">
        <v>-1.7181279496627899E-2</v>
      </c>
      <c r="AI60" s="12"/>
      <c r="AJ60">
        <f t="shared" si="6"/>
        <v>1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0</v>
      </c>
      <c r="BH60" s="29"/>
    </row>
    <row r="61" spans="1:60" x14ac:dyDescent="0.25">
      <c r="A61" s="1">
        <v>46111</v>
      </c>
      <c r="B61" s="33">
        <v>26.93</v>
      </c>
      <c r="C61" s="33">
        <v>26.71</v>
      </c>
      <c r="D61" s="15">
        <v>-9.6083518208718004E-3</v>
      </c>
      <c r="E61" s="15">
        <v>-1.78112315225098E-2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26.93</v>
      </c>
      <c r="M61" s="33">
        <v>26.71</v>
      </c>
      <c r="N61" s="34">
        <v>0.991830672112885</v>
      </c>
      <c r="O61" s="34">
        <v>0.98299370828552601</v>
      </c>
      <c r="P61" s="34">
        <v>0.98670100054554</v>
      </c>
      <c r="Q61" s="34">
        <v>0.98415961883279302</v>
      </c>
      <c r="R61" s="33">
        <v>26.472020564129199</v>
      </c>
      <c r="S61" s="33">
        <v>26.5457277319254</v>
      </c>
      <c r="T61" s="33">
        <v>26.494191153808298</v>
      </c>
      <c r="U61" s="15">
        <v>-8.9496796771871903E-3</v>
      </c>
      <c r="V61" s="15">
        <v>-6.1692064337496204E-3</v>
      </c>
      <c r="W61" s="15">
        <v>-8.11251990098877E-3</v>
      </c>
      <c r="X61" s="34">
        <v>0.991830672112885</v>
      </c>
      <c r="Y61" s="34">
        <v>0.98299370828552601</v>
      </c>
      <c r="Z61" s="34">
        <v>0.98670100054554</v>
      </c>
      <c r="AA61" s="34">
        <v>0.98415961883279302</v>
      </c>
      <c r="AB61" s="33">
        <v>26.472020564129199</v>
      </c>
      <c r="AC61" s="33">
        <v>26.5457277319254</v>
      </c>
      <c r="AD61" s="33">
        <v>26.494191153808298</v>
      </c>
      <c r="AE61" s="15">
        <v>-8.9496796771871903E-3</v>
      </c>
      <c r="AF61" s="15">
        <v>-6.1692064337496204E-3</v>
      </c>
      <c r="AG61" s="15">
        <v>-8.11251990098877E-3</v>
      </c>
      <c r="AI61" s="12"/>
      <c r="AJ61">
        <f t="shared" si="6"/>
        <v>0</v>
      </c>
      <c r="AK61">
        <f t="shared" si="7"/>
        <v>0</v>
      </c>
      <c r="AL61">
        <f t="shared" si="14"/>
        <v>1</v>
      </c>
      <c r="AM61">
        <f t="shared" si="4"/>
        <v>1</v>
      </c>
      <c r="AN61">
        <f t="shared" si="15"/>
        <v>1</v>
      </c>
      <c r="AO61" s="28">
        <f t="shared" si="8"/>
        <v>-9.6083518208718004E-3</v>
      </c>
      <c r="AP61" s="28">
        <f t="shared" si="9"/>
        <v>1.78112315225098E-2</v>
      </c>
      <c r="AQ61" s="28">
        <f t="shared" si="16"/>
        <v>8.2028797016379992E-3</v>
      </c>
      <c r="AR61" s="29">
        <f t="shared" si="17"/>
        <v>8.2028797016379992E-3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8.2028797016379992E-3</v>
      </c>
      <c r="BF61" s="29">
        <f t="shared" si="23"/>
        <v>8.2028797016379992E-3</v>
      </c>
      <c r="BH61" s="29"/>
    </row>
    <row r="62" spans="1:60" x14ac:dyDescent="0.25">
      <c r="A62" s="1">
        <v>46112</v>
      </c>
      <c r="B62" s="33">
        <v>26.79</v>
      </c>
      <c r="C62" s="33">
        <v>26.44</v>
      </c>
      <c r="D62" s="15">
        <v>-5.2122232669902097E-3</v>
      </c>
      <c r="E62" s="15">
        <v>-1.0160012138383899E-2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26.79</v>
      </c>
      <c r="M62" s="33">
        <v>26.44</v>
      </c>
      <c r="N62" s="34">
        <v>0.98693542366554599</v>
      </c>
      <c r="O62" s="34">
        <v>0.98299370828552601</v>
      </c>
      <c r="P62" s="34">
        <v>0.98705129737258701</v>
      </c>
      <c r="Q62" s="34">
        <v>0.984138190647872</v>
      </c>
      <c r="R62" s="33">
        <v>26.334401444969199</v>
      </c>
      <c r="S62" s="33">
        <v>26.433719804614999</v>
      </c>
      <c r="T62" s="33">
        <v>26.365636188530502</v>
      </c>
      <c r="U62" s="15">
        <v>-4.0018908057933003E-3</v>
      </c>
      <c r="V62" s="15">
        <v>-2.3755451433049501E-4</v>
      </c>
      <c r="W62" s="15">
        <v>-2.8165122511930002E-3</v>
      </c>
      <c r="X62" s="34">
        <v>0.98693542366554599</v>
      </c>
      <c r="Y62" s="34">
        <v>0.98299370828552601</v>
      </c>
      <c r="Z62" s="34">
        <v>0.98705129737258701</v>
      </c>
      <c r="AA62" s="34">
        <v>0.984138190647872</v>
      </c>
      <c r="AB62" s="33">
        <v>26.334401444969199</v>
      </c>
      <c r="AC62" s="33">
        <v>26.433719804614999</v>
      </c>
      <c r="AD62" s="33">
        <v>26.365636188530502</v>
      </c>
      <c r="AE62" s="15">
        <v>-4.0018908057933003E-3</v>
      </c>
      <c r="AF62" s="15">
        <v>-2.3755451433049501E-4</v>
      </c>
      <c r="AG62" s="15">
        <v>-2.8165122511930002E-3</v>
      </c>
      <c r="AI62" s="12"/>
      <c r="AJ62">
        <f t="shared" si="6"/>
        <v>0</v>
      </c>
      <c r="AK62">
        <f t="shared" si="7"/>
        <v>1</v>
      </c>
      <c r="AL62">
        <f t="shared" si="14"/>
        <v>1</v>
      </c>
      <c r="AM62">
        <f t="shared" si="4"/>
        <v>1</v>
      </c>
      <c r="AN62">
        <f t="shared" si="15"/>
        <v>1</v>
      </c>
      <c r="AO62" s="28">
        <f t="shared" si="8"/>
        <v>-5.2122232669902097E-3</v>
      </c>
      <c r="AP62" s="28">
        <f t="shared" si="9"/>
        <v>1.0160012138383899E-2</v>
      </c>
      <c r="AQ62" s="28">
        <f t="shared" si="16"/>
        <v>4.9477888713936897E-3</v>
      </c>
      <c r="AR62" s="29">
        <f t="shared" si="17"/>
        <v>1.3150668573031689E-2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4.9477888713936897E-3</v>
      </c>
      <c r="BF62" s="29">
        <f t="shared" si="23"/>
        <v>1.3150668573031689E-2</v>
      </c>
      <c r="BH62" s="29"/>
    </row>
    <row r="63" spans="1:60" x14ac:dyDescent="0.25">
      <c r="A63" s="1">
        <v>46113</v>
      </c>
      <c r="B63" s="33">
        <v>26.86</v>
      </c>
      <c r="C63" s="33">
        <v>26.51</v>
      </c>
      <c r="D63" s="15">
        <v>2.6095075385740699E-3</v>
      </c>
      <c r="E63" s="15">
        <v>2.6440053174486599E-3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26.86</v>
      </c>
      <c r="M63" s="33">
        <v>26.51</v>
      </c>
      <c r="N63" s="34">
        <v>0.98696947133283697</v>
      </c>
      <c r="O63" s="34">
        <v>0.98299370828552601</v>
      </c>
      <c r="P63" s="34">
        <v>0.98695410152568097</v>
      </c>
      <c r="Q63" s="34">
        <v>0.98456714111466204</v>
      </c>
      <c r="R63" s="33">
        <v>26.403211004549199</v>
      </c>
      <c r="S63" s="33">
        <v>26.5121978474277</v>
      </c>
      <c r="T63" s="33">
        <v>26.4339518008018</v>
      </c>
      <c r="U63" s="15">
        <v>-4.0363885846679097E-3</v>
      </c>
      <c r="V63" s="15">
        <v>8.2902916822945403E-5</v>
      </c>
      <c r="W63" s="15">
        <v>-2.87278334589346E-3</v>
      </c>
      <c r="X63" s="34">
        <v>0.98696947133283697</v>
      </c>
      <c r="Y63" s="34">
        <v>0.98299370828552601</v>
      </c>
      <c r="Z63" s="34">
        <v>0.98695410152568097</v>
      </c>
      <c r="AA63" s="34">
        <v>0.98456714111466204</v>
      </c>
      <c r="AB63" s="33">
        <v>26.403211004549199</v>
      </c>
      <c r="AC63" s="33">
        <v>26.5121978474277</v>
      </c>
      <c r="AD63" s="33">
        <v>26.4339518008018</v>
      </c>
      <c r="AE63" s="15">
        <v>-4.0363885846679097E-3</v>
      </c>
      <c r="AF63" s="15">
        <v>8.2902916822945403E-5</v>
      </c>
      <c r="AG63" s="15">
        <v>-2.87278334589346E-3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1.3150668573031689E-2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1.3150668573031689E-2</v>
      </c>
      <c r="BH63" s="29"/>
    </row>
    <row r="64" spans="1:60" x14ac:dyDescent="0.25">
      <c r="A64" s="1">
        <v>46114</v>
      </c>
      <c r="B64" s="33">
        <v>27.09</v>
      </c>
      <c r="C64" s="33">
        <v>26.75</v>
      </c>
      <c r="D64" s="15">
        <v>8.5264650019123093E-3</v>
      </c>
      <c r="E64" s="15">
        <v>9.0124530410813104E-3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27.09</v>
      </c>
      <c r="M64" s="33">
        <v>26.75</v>
      </c>
      <c r="N64" s="34">
        <v>0.98744924326319605</v>
      </c>
      <c r="O64" s="34">
        <v>0.98299370828552601</v>
      </c>
      <c r="P64" s="34">
        <v>0.98688596947217899</v>
      </c>
      <c r="Q64" s="34">
        <v>0.98502574559991996</v>
      </c>
      <c r="R64" s="33">
        <v>26.6292995574549</v>
      </c>
      <c r="S64" s="33">
        <v>26.736586610330701</v>
      </c>
      <c r="T64" s="33">
        <v>26.671923852796201</v>
      </c>
      <c r="U64" s="15">
        <v>-4.5223766238369099E-3</v>
      </c>
      <c r="V64" s="15">
        <v>-5.0156088845963297E-4</v>
      </c>
      <c r="W64" s="15">
        <v>-2.92300228680464E-3</v>
      </c>
      <c r="X64" s="34">
        <v>0.98744924326319605</v>
      </c>
      <c r="Y64" s="34">
        <v>0.98299370828552601</v>
      </c>
      <c r="Z64" s="34">
        <v>0.98688596947217899</v>
      </c>
      <c r="AA64" s="34">
        <v>0.98502574559991996</v>
      </c>
      <c r="AB64" s="33">
        <v>26.6292995574549</v>
      </c>
      <c r="AC64" s="33">
        <v>26.736586610330701</v>
      </c>
      <c r="AD64" s="33">
        <v>26.671923852796201</v>
      </c>
      <c r="AE64" s="15">
        <v>-4.5223766238369099E-3</v>
      </c>
      <c r="AF64" s="15">
        <v>-5.0156088845963297E-4</v>
      </c>
      <c r="AG64" s="15">
        <v>-2.92300228680464E-3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1.3150668573031689E-2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1.3150668573031689E-2</v>
      </c>
      <c r="BH64" s="29"/>
    </row>
    <row r="65" spans="1:60" x14ac:dyDescent="0.25">
      <c r="A65" s="1">
        <v>46118</v>
      </c>
      <c r="B65" s="33">
        <v>27.14</v>
      </c>
      <c r="C65" s="33">
        <v>26.73</v>
      </c>
      <c r="D65" s="15">
        <v>1.8439983097193601E-3</v>
      </c>
      <c r="E65" s="15">
        <v>-7.4794319118793001E-4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27.14</v>
      </c>
      <c r="M65" s="33">
        <v>26.73</v>
      </c>
      <c r="N65" s="34">
        <v>0.98489314664701499</v>
      </c>
      <c r="O65" s="34">
        <v>0.98299370828552601</v>
      </c>
      <c r="P65" s="34">
        <v>0.98764703724446701</v>
      </c>
      <c r="Q65" s="34">
        <v>0.98520280386467096</v>
      </c>
      <c r="R65" s="33">
        <v>26.6784492428691</v>
      </c>
      <c r="S65" s="33">
        <v>26.784085211474899</v>
      </c>
      <c r="T65" s="33">
        <v>26.733598735581801</v>
      </c>
      <c r="U65" s="15">
        <v>-1.93043512292958E-3</v>
      </c>
      <c r="V65" s="15">
        <v>2.0213455831861798E-3</v>
      </c>
      <c r="W65" s="15">
        <v>1.3462376915802601E-4</v>
      </c>
      <c r="X65" s="34">
        <v>0.98489314664701499</v>
      </c>
      <c r="Y65" s="34">
        <v>0.98299370828552601</v>
      </c>
      <c r="Z65" s="34">
        <v>0.98764703724446701</v>
      </c>
      <c r="AA65" s="34">
        <v>0.98520280386467096</v>
      </c>
      <c r="AB65" s="33">
        <v>26.6784492428691</v>
      </c>
      <c r="AC65" s="33">
        <v>26.784085211474899</v>
      </c>
      <c r="AD65" s="33">
        <v>26.733598735581801</v>
      </c>
      <c r="AE65" s="15">
        <v>-1.93043512292958E-3</v>
      </c>
      <c r="AF65" s="15">
        <v>2.0213455831861798E-3</v>
      </c>
      <c r="AG65" s="15">
        <v>1.3462376915802601E-4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1.3150668573031689E-2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1.3150668573031689E-2</v>
      </c>
      <c r="BH65" s="29"/>
    </row>
    <row r="66" spans="1:60" x14ac:dyDescent="0.25">
      <c r="A66" s="1">
        <v>46119</v>
      </c>
      <c r="B66" s="33">
        <v>26.68</v>
      </c>
      <c r="C66" s="33">
        <v>26.55</v>
      </c>
      <c r="D66" s="15">
        <v>-1.7094433359300099E-2</v>
      </c>
      <c r="E66" s="15">
        <v>-6.7567824628797599E-3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26.68</v>
      </c>
      <c r="M66" s="33">
        <v>26.55</v>
      </c>
      <c r="N66" s="34">
        <v>0.99512743628185896</v>
      </c>
      <c r="O66" s="34">
        <v>0.98299370828552601</v>
      </c>
      <c r="P66" s="34">
        <v>0.989042536542315</v>
      </c>
      <c r="Q66" s="34">
        <v>0.98602133146161197</v>
      </c>
      <c r="R66" s="33">
        <v>26.226272137057801</v>
      </c>
      <c r="S66" s="33">
        <v>26.350422953682401</v>
      </c>
      <c r="T66" s="33">
        <v>26.285210807109401</v>
      </c>
      <c r="U66" s="15">
        <v>-1.226808601935E-2</v>
      </c>
      <c r="V66" s="15">
        <v>-7.5454214562522201E-3</v>
      </c>
      <c r="W66" s="15">
        <v>-1.00232933950753E-2</v>
      </c>
      <c r="X66" s="34">
        <v>0.99512743628185896</v>
      </c>
      <c r="Y66" s="34">
        <v>0.98299370828552601</v>
      </c>
      <c r="Z66" s="34">
        <v>0.989042536542315</v>
      </c>
      <c r="AA66" s="34">
        <v>0.98602133146161197</v>
      </c>
      <c r="AB66" s="33">
        <v>26.226272137057801</v>
      </c>
      <c r="AC66" s="33">
        <v>26.350422953682401</v>
      </c>
      <c r="AD66" s="33">
        <v>26.285210807109401</v>
      </c>
      <c r="AE66" s="15">
        <v>-1.226808601935E-2</v>
      </c>
      <c r="AF66" s="15">
        <v>-7.5454214562522201E-3</v>
      </c>
      <c r="AG66" s="15">
        <v>-1.00232933950753E-2</v>
      </c>
      <c r="AI66" s="12"/>
      <c r="AJ66">
        <f t="shared" si="6"/>
        <v>0</v>
      </c>
      <c r="AK66">
        <f t="shared" si="7"/>
        <v>0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1.3150668573031689E-2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1.3150668573031689E-2</v>
      </c>
      <c r="BH66" s="29"/>
    </row>
    <row r="67" spans="1:60" x14ac:dyDescent="0.25">
      <c r="A67" s="1">
        <v>46120</v>
      </c>
      <c r="B67" s="33">
        <v>27.28</v>
      </c>
      <c r="C67" s="33">
        <v>26.85</v>
      </c>
      <c r="D67" s="15">
        <v>2.2239611927838299E-2</v>
      </c>
      <c r="E67" s="15">
        <v>1.1236073266925901E-2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27.28</v>
      </c>
      <c r="M67" s="33">
        <v>26.85</v>
      </c>
      <c r="N67" s="34">
        <v>0.98423753665689095</v>
      </c>
      <c r="O67" s="34">
        <v>0.98299370828552601</v>
      </c>
      <c r="P67" s="34">
        <v>0.98919042813903901</v>
      </c>
      <c r="Q67" s="34">
        <v>0.98598931531268097</v>
      </c>
      <c r="R67" s="33">
        <v>26.8160683620291</v>
      </c>
      <c r="S67" s="33">
        <v>26.981080396874301</v>
      </c>
      <c r="T67" s="33">
        <v>26.898661922272801</v>
      </c>
      <c r="U67" s="15">
        <v>-1.26454735843756E-3</v>
      </c>
      <c r="V67" s="15">
        <v>4.8700733845229603E-3</v>
      </c>
      <c r="W67" s="15">
        <v>1.8107217492736201E-3</v>
      </c>
      <c r="X67" s="34">
        <v>0.98423753665689095</v>
      </c>
      <c r="Y67" s="34">
        <v>0.98299370828552601</v>
      </c>
      <c r="Z67" s="34">
        <v>0.98919042813903901</v>
      </c>
      <c r="AA67" s="34">
        <v>0.98598931531268097</v>
      </c>
      <c r="AB67" s="33">
        <v>26.8160683620291</v>
      </c>
      <c r="AC67" s="33">
        <v>26.981080396874301</v>
      </c>
      <c r="AD67" s="33">
        <v>26.898661922272801</v>
      </c>
      <c r="AE67" s="15">
        <v>-1.26454735843756E-3</v>
      </c>
      <c r="AF67" s="15">
        <v>4.8700733845229603E-3</v>
      </c>
      <c r="AG67" s="15">
        <v>1.8107217492736201E-3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1.3150668573031689E-2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1.3150668573031689E-2</v>
      </c>
      <c r="BH67" s="29"/>
    </row>
    <row r="68" spans="1:60" x14ac:dyDescent="0.25">
      <c r="A68" s="1">
        <v>46121</v>
      </c>
      <c r="B68" s="33">
        <v>30.4</v>
      </c>
      <c r="C68" s="33">
        <v>30.31</v>
      </c>
      <c r="D68" s="15">
        <v>0.10828877543691399</v>
      </c>
      <c r="E68" s="15">
        <v>0.121211870114838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30.4</v>
      </c>
      <c r="M68" s="33">
        <v>30.31</v>
      </c>
      <c r="N68" s="34">
        <v>0.99703947368420998</v>
      </c>
      <c r="O68" s="34">
        <v>0.98299370828552601</v>
      </c>
      <c r="P68" s="34">
        <v>0.99048633193812596</v>
      </c>
      <c r="Q68" s="34">
        <v>0.98675332791055204</v>
      </c>
      <c r="R68" s="33">
        <v>29.883008731879901</v>
      </c>
      <c r="S68" s="33">
        <v>30.0713890154267</v>
      </c>
      <c r="T68" s="33">
        <v>29.974075185505502</v>
      </c>
      <c r="U68" s="15">
        <v>-1.4187642036360901E-2</v>
      </c>
      <c r="V68" s="15">
        <v>-7.9035024049384592E-3</v>
      </c>
      <c r="W68" s="15">
        <v>-1.1144843492626301E-2</v>
      </c>
      <c r="X68" s="34">
        <v>0.99703947368420998</v>
      </c>
      <c r="Y68" s="34">
        <v>0.98299370828552601</v>
      </c>
      <c r="Z68" s="34">
        <v>0.99048633193812596</v>
      </c>
      <c r="AA68" s="34">
        <v>0.98675332791055204</v>
      </c>
      <c r="AB68" s="33">
        <v>29.883008731879901</v>
      </c>
      <c r="AC68" s="33">
        <v>30.0713890154267</v>
      </c>
      <c r="AD68" s="33">
        <v>29.974075185505502</v>
      </c>
      <c r="AE68" s="15">
        <v>-1.4187642036360901E-2</v>
      </c>
      <c r="AF68" s="15">
        <v>-7.9035024049384592E-3</v>
      </c>
      <c r="AG68" s="15">
        <v>-1.1144843492626301E-2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1.3150668573031689E-2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1.3150668573031689E-2</v>
      </c>
      <c r="BH68" s="29"/>
    </row>
    <row r="69" spans="1:60" x14ac:dyDescent="0.25">
      <c r="A69" s="1">
        <v>46122</v>
      </c>
      <c r="B69" s="33">
        <v>29.7</v>
      </c>
      <c r="C69" s="33">
        <v>29.49</v>
      </c>
      <c r="D69" s="15">
        <v>-2.3295562603521999E-2</v>
      </c>
      <c r="E69" s="15">
        <v>-2.74264682425268E-2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29.7</v>
      </c>
      <c r="M69" s="33">
        <v>29.49</v>
      </c>
      <c r="N69" s="34">
        <v>0.992929292929292</v>
      </c>
      <c r="O69" s="34">
        <v>0.98299370828552601</v>
      </c>
      <c r="P69" s="34">
        <v>0.99074116965737302</v>
      </c>
      <c r="Q69" s="34">
        <v>0.98748121749340301</v>
      </c>
      <c r="R69" s="33">
        <v>29.1949131360801</v>
      </c>
      <c r="S69" s="33">
        <v>29.4174440585623</v>
      </c>
      <c r="T69" s="33">
        <v>29.3065738389434</v>
      </c>
      <c r="U69" s="15">
        <v>-1.0056736397356001E-2</v>
      </c>
      <c r="V69" s="15">
        <v>-2.4633891111064399E-3</v>
      </c>
      <c r="W69" s="15">
        <v>-6.2393688659297796E-3</v>
      </c>
      <c r="X69" s="34">
        <v>0.992929292929292</v>
      </c>
      <c r="Y69" s="34">
        <v>0.98299370828552601</v>
      </c>
      <c r="Z69" s="34">
        <v>0.99074116965737302</v>
      </c>
      <c r="AA69" s="34">
        <v>0.98748121749340301</v>
      </c>
      <c r="AB69" s="33">
        <v>29.1949131360801</v>
      </c>
      <c r="AC69" s="33">
        <v>29.4174440585623</v>
      </c>
      <c r="AD69" s="33">
        <v>29.3065738389434</v>
      </c>
      <c r="AE69" s="15">
        <v>-1.0056736397356001E-2</v>
      </c>
      <c r="AF69" s="15">
        <v>-2.4633891111064399E-3</v>
      </c>
      <c r="AG69" s="15">
        <v>-6.2393688659297796E-3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1.3150668573031689E-2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1.3150668573031689E-2</v>
      </c>
      <c r="BH69" s="29"/>
    </row>
    <row r="70" spans="1:60" x14ac:dyDescent="0.25">
      <c r="A70" s="1">
        <v>46125</v>
      </c>
      <c r="B70" s="33">
        <v>29.59</v>
      </c>
      <c r="C70" s="33">
        <v>29.27</v>
      </c>
      <c r="D70" s="15">
        <v>-3.7105793965355998E-3</v>
      </c>
      <c r="E70" s="15">
        <v>-7.4881221233903499E-3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29.59</v>
      </c>
      <c r="M70" s="33">
        <v>29.27</v>
      </c>
      <c r="N70" s="34">
        <v>0.98918553565393696</v>
      </c>
      <c r="O70" s="34">
        <v>0.98299370828552601</v>
      </c>
      <c r="P70" s="34">
        <v>0.98965972322276696</v>
      </c>
      <c r="Q70" s="34">
        <v>0.98769521125723203</v>
      </c>
      <c r="R70" s="33">
        <v>29.086783828168699</v>
      </c>
      <c r="S70" s="33">
        <v>29.316031210161601</v>
      </c>
      <c r="T70" s="33">
        <v>29.219569225629801</v>
      </c>
      <c r="U70" s="15">
        <v>-6.2791936705013903E-3</v>
      </c>
      <c r="V70" s="15">
        <v>1.5714059711159399E-3</v>
      </c>
      <c r="W70" s="15">
        <v>-1.7244369392679E-3</v>
      </c>
      <c r="X70" s="34">
        <v>0.98918553565393696</v>
      </c>
      <c r="Y70" s="34">
        <v>0.98299370828552601</v>
      </c>
      <c r="Z70" s="34">
        <v>0.98965972322276696</v>
      </c>
      <c r="AA70" s="34">
        <v>0.98769521125723203</v>
      </c>
      <c r="AB70" s="33">
        <v>29.086783828168699</v>
      </c>
      <c r="AC70" s="33">
        <v>29.316031210161601</v>
      </c>
      <c r="AD70" s="33">
        <v>29.219569225629801</v>
      </c>
      <c r="AE70" s="15">
        <v>-6.2791936705013903E-3</v>
      </c>
      <c r="AF70" s="15">
        <v>1.5714059711159399E-3</v>
      </c>
      <c r="AG70" s="15">
        <v>-1.7244369392679E-3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1.3150668573031689E-2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1.3150668573031689E-2</v>
      </c>
      <c r="BH70" s="29"/>
    </row>
    <row r="71" spans="1:60" x14ac:dyDescent="0.25">
      <c r="A71" s="1">
        <v>46126</v>
      </c>
      <c r="B71" s="33">
        <v>29.67</v>
      </c>
      <c r="C71" s="33">
        <v>29.21</v>
      </c>
      <c r="D71" s="15">
        <v>2.6999678906121402E-3</v>
      </c>
      <c r="E71" s="15">
        <v>-2.05198430414489E-3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29.67</v>
      </c>
      <c r="M71" s="33">
        <v>29.21</v>
      </c>
      <c r="N71" s="34">
        <v>0.98449612403100695</v>
      </c>
      <c r="O71" s="34">
        <v>0.98299370828552601</v>
      </c>
      <c r="P71" s="34">
        <v>0.98892626841457898</v>
      </c>
      <c r="Q71" s="34">
        <v>0.98781363448005899</v>
      </c>
      <c r="R71" s="33">
        <v>29.165423324831501</v>
      </c>
      <c r="S71" s="33">
        <v>29.363203988019499</v>
      </c>
      <c r="T71" s="33">
        <v>29.3049169180021</v>
      </c>
      <c r="U71" s="15">
        <v>-1.5272414757442701E-3</v>
      </c>
      <c r="V71" s="15">
        <v>5.2312090500157898E-3</v>
      </c>
      <c r="W71" s="15">
        <v>3.2441984454577499E-3</v>
      </c>
      <c r="X71" s="34">
        <v>0.98449612403100695</v>
      </c>
      <c r="Y71" s="34">
        <v>0.98299370828552601</v>
      </c>
      <c r="Z71" s="34">
        <v>0.98892626841457898</v>
      </c>
      <c r="AA71" s="34">
        <v>0.98781363448005899</v>
      </c>
      <c r="AB71" s="33">
        <v>29.165423324831501</v>
      </c>
      <c r="AC71" s="33">
        <v>29.363203988019499</v>
      </c>
      <c r="AD71" s="33">
        <v>29.3049169180021</v>
      </c>
      <c r="AE71" s="15">
        <v>-1.5272414757442701E-3</v>
      </c>
      <c r="AF71" s="15">
        <v>5.2312090500157898E-3</v>
      </c>
      <c r="AG71" s="15">
        <v>3.2441984454577499E-3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1.3150668573031689E-2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1.3150668573031689E-2</v>
      </c>
      <c r="BH71" s="29"/>
    </row>
    <row r="72" spans="1:60" x14ac:dyDescent="0.25">
      <c r="A72" s="1">
        <v>46127</v>
      </c>
      <c r="B72" s="33">
        <v>30.08</v>
      </c>
      <c r="C72" s="33">
        <v>29.57</v>
      </c>
      <c r="D72" s="15">
        <v>1.3724064778908401E-2</v>
      </c>
      <c r="E72" s="15">
        <v>1.22492174647361E-2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30.08</v>
      </c>
      <c r="M72" s="33">
        <v>29.57</v>
      </c>
      <c r="N72" s="34">
        <v>0.98304521276595702</v>
      </c>
      <c r="O72" s="34">
        <v>0.98299370828552601</v>
      </c>
      <c r="P72" s="34">
        <v>0.98853724732462001</v>
      </c>
      <c r="Q72" s="34">
        <v>0.98779427234860395</v>
      </c>
      <c r="R72" s="33">
        <v>29.568450745228599</v>
      </c>
      <c r="S72" s="33">
        <v>29.746902153910501</v>
      </c>
      <c r="T72" s="33">
        <v>29.713434125160099</v>
      </c>
      <c r="U72" s="15">
        <v>-5.2394161571916599E-5</v>
      </c>
      <c r="V72" s="15">
        <v>5.9646634251052603E-3</v>
      </c>
      <c r="W72" s="15">
        <v>4.8389371215181104E-3</v>
      </c>
      <c r="X72" s="34">
        <v>0.98304521276595702</v>
      </c>
      <c r="Y72" s="34">
        <v>0.98299370828552601</v>
      </c>
      <c r="Z72" s="34">
        <v>0.98853724732462001</v>
      </c>
      <c r="AA72" s="34">
        <v>0.98779427234860395</v>
      </c>
      <c r="AB72" s="33">
        <v>29.568450745228599</v>
      </c>
      <c r="AC72" s="33">
        <v>29.746902153910501</v>
      </c>
      <c r="AD72" s="33">
        <v>29.713434125160099</v>
      </c>
      <c r="AE72" s="15">
        <v>-5.2394161571916599E-5</v>
      </c>
      <c r="AF72" s="15">
        <v>5.9646634251052603E-3</v>
      </c>
      <c r="AG72" s="15">
        <v>4.8389371215181104E-3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1.3150668573031689E-2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1.3150668573031689E-2</v>
      </c>
      <c r="BH72" s="29"/>
    </row>
    <row r="73" spans="1:60" x14ac:dyDescent="0.25">
      <c r="A73" s="1">
        <v>46128</v>
      </c>
      <c r="B73" s="33">
        <v>29.78</v>
      </c>
      <c r="C73" s="33">
        <v>29.46</v>
      </c>
      <c r="D73" s="15">
        <v>-1.0023471825776E-2</v>
      </c>
      <c r="E73" s="15">
        <v>-3.7269228299016601E-3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29.78</v>
      </c>
      <c r="M73" s="33">
        <v>29.46</v>
      </c>
      <c r="N73" s="34">
        <v>0.98925453324378698</v>
      </c>
      <c r="O73" s="34">
        <v>0.98299370828552601</v>
      </c>
      <c r="P73" s="34">
        <v>0.98876575351571505</v>
      </c>
      <c r="Q73" s="34">
        <v>0.98785992752069796</v>
      </c>
      <c r="R73" s="33">
        <v>29.273552632742899</v>
      </c>
      <c r="S73" s="33">
        <v>29.438639225327201</v>
      </c>
      <c r="T73" s="33">
        <v>29.4165134305414</v>
      </c>
      <c r="U73" s="15">
        <v>-6.3489431574463599E-3</v>
      </c>
      <c r="V73" s="15">
        <v>-7.2534020786475697E-4</v>
      </c>
      <c r="W73" s="15">
        <v>-1.47721306282021E-3</v>
      </c>
      <c r="X73" s="34">
        <v>0.98925453324378698</v>
      </c>
      <c r="Y73" s="34">
        <v>0.98299370828552601</v>
      </c>
      <c r="Z73" s="34">
        <v>0.98876575351571505</v>
      </c>
      <c r="AA73" s="34">
        <v>0.98785992752069796</v>
      </c>
      <c r="AB73" s="33">
        <v>29.273552632742899</v>
      </c>
      <c r="AC73" s="33">
        <v>29.438639225327201</v>
      </c>
      <c r="AD73" s="33">
        <v>29.4165134305414</v>
      </c>
      <c r="AE73" s="15">
        <v>-6.3489431574463599E-3</v>
      </c>
      <c r="AF73" s="15">
        <v>-7.2534020786475697E-4</v>
      </c>
      <c r="AG73" s="15">
        <v>-1.47721306282021E-3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1.3150668573031689E-2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1.3150668573031689E-2</v>
      </c>
      <c r="BH73" s="29"/>
    </row>
    <row r="74" spans="1:60" x14ac:dyDescent="0.25">
      <c r="A74" s="1">
        <v>46129</v>
      </c>
      <c r="B74" s="33">
        <v>29.73</v>
      </c>
      <c r="C74" s="33">
        <v>29.15</v>
      </c>
      <c r="D74" s="15">
        <v>-1.6803902458566299E-3</v>
      </c>
      <c r="E74" s="15">
        <v>-1.0578498237982899E-2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29.73</v>
      </c>
      <c r="M74" s="33">
        <v>29.15</v>
      </c>
      <c r="N74" s="34">
        <v>0.98049108644466798</v>
      </c>
      <c r="O74" s="34">
        <v>0.98299370828552601</v>
      </c>
      <c r="P74" s="34">
        <v>0.98806993783386199</v>
      </c>
      <c r="Q74" s="34">
        <v>0.98747795365302105</v>
      </c>
      <c r="R74" s="33">
        <v>29.224402947328599</v>
      </c>
      <c r="S74" s="33">
        <v>29.396005852022199</v>
      </c>
      <c r="T74" s="33">
        <v>29.3690756451903</v>
      </c>
      <c r="U74" s="15">
        <v>2.5491648346797498E-3</v>
      </c>
      <c r="V74" s="15">
        <v>8.4038969455636908E-3</v>
      </c>
      <c r="W74" s="15">
        <v>7.4873591639107598E-3</v>
      </c>
      <c r="X74" s="34">
        <v>0.98049108644466798</v>
      </c>
      <c r="Y74" s="34">
        <v>0.98299370828552601</v>
      </c>
      <c r="Z74" s="34">
        <v>0.98806993783386199</v>
      </c>
      <c r="AA74" s="34">
        <v>0.98747795365302105</v>
      </c>
      <c r="AB74" s="33">
        <v>29.224402947328599</v>
      </c>
      <c r="AC74" s="33">
        <v>29.396005852022199</v>
      </c>
      <c r="AD74" s="33">
        <v>29.3690756451903</v>
      </c>
      <c r="AE74" s="15">
        <v>2.5491648346797498E-3</v>
      </c>
      <c r="AF74" s="15">
        <v>8.4038969455636908E-3</v>
      </c>
      <c r="AG74" s="15">
        <v>7.4873591639107598E-3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1.3150668573031689E-2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1.3150668573031689E-2</v>
      </c>
      <c r="BH74" s="29"/>
    </row>
    <row r="75" spans="1:60" x14ac:dyDescent="0.25">
      <c r="A75" s="1">
        <v>46132</v>
      </c>
      <c r="B75" s="33">
        <v>29.85</v>
      </c>
      <c r="C75" s="33">
        <v>29.26</v>
      </c>
      <c r="D75" s="15">
        <v>4.0282028286047801E-3</v>
      </c>
      <c r="E75" s="15">
        <v>3.76648279547686E-3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29.85</v>
      </c>
      <c r="M75" s="33">
        <v>29.26</v>
      </c>
      <c r="N75" s="34">
        <v>0.98023450586264604</v>
      </c>
      <c r="O75" s="34">
        <v>0.98299370828552601</v>
      </c>
      <c r="P75" s="34">
        <v>0.98760407375542503</v>
      </c>
      <c r="Q75" s="34">
        <v>0.98762555549994602</v>
      </c>
      <c r="R75" s="33">
        <v>29.342362192322899</v>
      </c>
      <c r="S75" s="33">
        <v>29.493887644340798</v>
      </c>
      <c r="T75" s="33">
        <v>29.476216916542601</v>
      </c>
      <c r="U75" s="15">
        <v>2.8108848678076001E-3</v>
      </c>
      <c r="V75" s="15">
        <v>7.9616477882997801E-3</v>
      </c>
      <c r="W75" s="15">
        <v>7.3623363758947898E-3</v>
      </c>
      <c r="X75" s="34">
        <v>0.98023450586264604</v>
      </c>
      <c r="Y75" s="34">
        <v>0.98299370828552601</v>
      </c>
      <c r="Z75" s="34">
        <v>0.98760407375542503</v>
      </c>
      <c r="AA75" s="34">
        <v>0.98762555549994602</v>
      </c>
      <c r="AB75" s="33">
        <v>29.342362192322899</v>
      </c>
      <c r="AC75" s="33">
        <v>29.493887644340798</v>
      </c>
      <c r="AD75" s="33">
        <v>29.476216916542601</v>
      </c>
      <c r="AE75" s="15">
        <v>2.8108848678076001E-3</v>
      </c>
      <c r="AF75" s="15">
        <v>7.9616477882997801E-3</v>
      </c>
      <c r="AG75" s="15">
        <v>7.3623363758947898E-3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1.3150668573031689E-2</v>
      </c>
      <c r="AT75" s="12"/>
      <c r="AU75">
        <f t="shared" si="10"/>
        <v>0</v>
      </c>
      <c r="AV75">
        <f t="shared" si="11"/>
        <v>0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1.3150668573031689E-2</v>
      </c>
      <c r="BH75" s="29"/>
    </row>
    <row r="76" spans="1:60" x14ac:dyDescent="0.25">
      <c r="A76" s="1">
        <v>46133</v>
      </c>
      <c r="B76" s="33">
        <v>29.37</v>
      </c>
      <c r="C76" s="33">
        <v>28.75</v>
      </c>
      <c r="D76" s="15">
        <v>-1.62110946280823E-2</v>
      </c>
      <c r="E76" s="15">
        <v>-1.7583628348618801E-2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29.37</v>
      </c>
      <c r="M76" s="33">
        <v>28.75</v>
      </c>
      <c r="N76" s="34">
        <v>0.97889002383384405</v>
      </c>
      <c r="O76" s="34">
        <v>0.98299370828552601</v>
      </c>
      <c r="P76" s="34">
        <v>0.985980332510624</v>
      </c>
      <c r="Q76" s="34">
        <v>0.98751143452646994</v>
      </c>
      <c r="R76" s="33">
        <v>28.8705252123459</v>
      </c>
      <c r="S76" s="33">
        <v>29.0059316461968</v>
      </c>
      <c r="T76" s="33">
        <v>29.006562565033398</v>
      </c>
      <c r="U76" s="15">
        <v>4.18341858834424E-3</v>
      </c>
      <c r="V76" s="15">
        <v>8.8625813517877808E-3</v>
      </c>
      <c r="W76" s="15">
        <v>8.8843324881656294E-3</v>
      </c>
      <c r="X76" s="34">
        <v>0.97889002383384405</v>
      </c>
      <c r="Y76" s="34">
        <v>0.98299370828552601</v>
      </c>
      <c r="Z76" s="34">
        <v>0.985980332510624</v>
      </c>
      <c r="AA76" s="34">
        <v>0.98751143452646994</v>
      </c>
      <c r="AB76" s="33">
        <v>28.8705252123459</v>
      </c>
      <c r="AC76" s="33">
        <v>29.0059316461968</v>
      </c>
      <c r="AD76" s="33">
        <v>29.006562565033398</v>
      </c>
      <c r="AE76" s="15">
        <v>4.18341858834424E-3</v>
      </c>
      <c r="AF76" s="15">
        <v>8.8625813517877808E-3</v>
      </c>
      <c r="AG76" s="15">
        <v>8.8843324881656294E-3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1.3150668573031689E-2</v>
      </c>
      <c r="AT76" s="12"/>
      <c r="AU76">
        <f t="shared" si="10"/>
        <v>0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1.3150668573031689E-2</v>
      </c>
      <c r="BH76" s="29"/>
    </row>
    <row r="77" spans="1:60" x14ac:dyDescent="0.25">
      <c r="A77" s="1">
        <v>46134</v>
      </c>
      <c r="B77" s="33">
        <v>28.98</v>
      </c>
      <c r="C77" s="33">
        <v>28.53</v>
      </c>
      <c r="D77" s="15">
        <v>-1.3367808317992299E-2</v>
      </c>
      <c r="E77" s="15">
        <v>-7.6816020179507399E-3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28.98</v>
      </c>
      <c r="M77" s="33">
        <v>28.53</v>
      </c>
      <c r="N77" s="34">
        <v>0.98447204968944102</v>
      </c>
      <c r="O77" s="34">
        <v>0.98299370828552601</v>
      </c>
      <c r="P77" s="34">
        <v>0.98600378381387899</v>
      </c>
      <c r="Q77" s="34">
        <v>0.987597105976459</v>
      </c>
      <c r="R77" s="33">
        <v>28.487157666114499</v>
      </c>
      <c r="S77" s="33">
        <v>28.573710036157799</v>
      </c>
      <c r="T77" s="33">
        <v>28.618081372577102</v>
      </c>
      <c r="U77" s="15">
        <v>-1.50278771169742E-3</v>
      </c>
      <c r="V77" s="15">
        <v>1.5309003448985201E-3</v>
      </c>
      <c r="W77" s="15">
        <v>3.0825686605397001E-3</v>
      </c>
      <c r="X77" s="34">
        <v>0.98447204968944102</v>
      </c>
      <c r="Y77" s="34">
        <v>0.98299370828552601</v>
      </c>
      <c r="Z77" s="34">
        <v>0.98600378381387899</v>
      </c>
      <c r="AA77" s="34">
        <v>0.987597105976459</v>
      </c>
      <c r="AB77" s="33">
        <v>28.487157666114499</v>
      </c>
      <c r="AC77" s="33">
        <v>28.573710036157799</v>
      </c>
      <c r="AD77" s="33">
        <v>28.618081372577102</v>
      </c>
      <c r="AE77" s="15">
        <v>-1.50278771169742E-3</v>
      </c>
      <c r="AF77" s="15">
        <v>1.5309003448985201E-3</v>
      </c>
      <c r="AG77" s="15">
        <v>3.0825686605397001E-3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1.3150668573031689E-2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1.3150668573031689E-2</v>
      </c>
      <c r="BH77" s="29"/>
    </row>
    <row r="78" spans="1:60" x14ac:dyDescent="0.25">
      <c r="A78" s="1">
        <v>46135</v>
      </c>
      <c r="B78" s="33">
        <v>28.93</v>
      </c>
      <c r="C78" s="33">
        <v>28.4</v>
      </c>
      <c r="D78" s="15">
        <v>-1.7268179044926601E-3</v>
      </c>
      <c r="E78" s="15">
        <v>-4.5670200582483902E-3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28.93</v>
      </c>
      <c r="M78" s="33">
        <v>28.4</v>
      </c>
      <c r="N78" s="34">
        <v>0.981679917041133</v>
      </c>
      <c r="O78" s="34">
        <v>0.98299370828552601</v>
      </c>
      <c r="P78" s="34">
        <v>0.98446782814957101</v>
      </c>
      <c r="Q78" s="34">
        <v>0.98747708004384904</v>
      </c>
      <c r="R78" s="33">
        <v>28.438007980700199</v>
      </c>
      <c r="S78" s="33">
        <v>28.525089465735501</v>
      </c>
      <c r="T78" s="33">
        <v>28.571184275898901</v>
      </c>
      <c r="U78" s="15">
        <v>1.3374144420583501E-3</v>
      </c>
      <c r="V78" s="15">
        <v>4.3948869734500504E-3</v>
      </c>
      <c r="W78" s="15">
        <v>6.0095219454725096E-3</v>
      </c>
      <c r="X78" s="34">
        <v>0.981679917041133</v>
      </c>
      <c r="Y78" s="34">
        <v>0.98299370828552601</v>
      </c>
      <c r="Z78" s="34">
        <v>0.98446782814957101</v>
      </c>
      <c r="AA78" s="34">
        <v>0.98747708004384904</v>
      </c>
      <c r="AB78" s="33">
        <v>28.438007980700199</v>
      </c>
      <c r="AC78" s="33">
        <v>28.525089465735501</v>
      </c>
      <c r="AD78" s="33">
        <v>28.571184275898901</v>
      </c>
      <c r="AE78" s="15">
        <v>1.3374144420583501E-3</v>
      </c>
      <c r="AF78" s="15">
        <v>4.3948869734500504E-3</v>
      </c>
      <c r="AG78" s="15">
        <v>6.0095219454725096E-3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1.3150668573031689E-2</v>
      </c>
      <c r="AT78" s="12"/>
      <c r="AU78">
        <f t="shared" si="10"/>
        <v>0</v>
      </c>
      <c r="AV78">
        <f t="shared" si="11"/>
        <v>0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1.3150668573031689E-2</v>
      </c>
      <c r="BH78" s="29"/>
    </row>
    <row r="79" spans="1:60" x14ac:dyDescent="0.25">
      <c r="A79" s="1">
        <v>46136</v>
      </c>
      <c r="B79" s="33">
        <v>28.9</v>
      </c>
      <c r="C79" s="33">
        <v>28.31</v>
      </c>
      <c r="D79" s="15">
        <v>-1.0375238696572701E-3</v>
      </c>
      <c r="E79" s="15">
        <v>-3.17404604335206E-3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28.9</v>
      </c>
      <c r="M79" s="33">
        <v>28.31</v>
      </c>
      <c r="N79" s="34">
        <v>0.97958477508650499</v>
      </c>
      <c r="O79" s="34">
        <v>0.98299370828552601</v>
      </c>
      <c r="P79" s="34">
        <v>0.98313337636529297</v>
      </c>
      <c r="Q79" s="34">
        <v>0.98693727301133305</v>
      </c>
      <c r="R79" s="33">
        <v>28.4085181694517</v>
      </c>
      <c r="S79" s="33">
        <v>28.451120233522602</v>
      </c>
      <c r="T79" s="33">
        <v>28.538087613267201</v>
      </c>
      <c r="U79" s="15">
        <v>3.47393661575309E-3</v>
      </c>
      <c r="V79" s="15">
        <v>4.9724361925846498E-3</v>
      </c>
      <c r="W79" s="15">
        <v>8.0245034361818793E-3</v>
      </c>
      <c r="X79" s="34">
        <v>0.97958477508650499</v>
      </c>
      <c r="Y79" s="34">
        <v>0.98299370828552601</v>
      </c>
      <c r="Z79" s="34">
        <v>0.98313337636529297</v>
      </c>
      <c r="AA79" s="34">
        <v>0.98693727301133305</v>
      </c>
      <c r="AB79" s="33">
        <v>28.4085181694517</v>
      </c>
      <c r="AC79" s="33">
        <v>28.451120233522602</v>
      </c>
      <c r="AD79" s="33">
        <v>28.538087613267201</v>
      </c>
      <c r="AE79" s="15">
        <v>3.47393661575309E-3</v>
      </c>
      <c r="AF79" s="15">
        <v>4.9724361925846498E-3</v>
      </c>
      <c r="AG79" s="15">
        <v>8.0245034361818793E-3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1.3150668573031689E-2</v>
      </c>
      <c r="AT79" s="12"/>
      <c r="AU79">
        <f t="shared" si="10"/>
        <v>0</v>
      </c>
      <c r="AV79">
        <f t="shared" si="11"/>
        <v>0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1.3150668573031689E-2</v>
      </c>
      <c r="BH79" s="29"/>
    </row>
    <row r="80" spans="1:60" x14ac:dyDescent="0.25">
      <c r="A80" s="1">
        <v>46139</v>
      </c>
      <c r="B80" s="33">
        <v>28.12</v>
      </c>
      <c r="C80" s="33">
        <v>27.59</v>
      </c>
      <c r="D80" s="15">
        <v>-2.7360528175922199E-2</v>
      </c>
      <c r="E80" s="15">
        <v>-2.5761710894613501E-2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28.12</v>
      </c>
      <c r="M80" s="33">
        <v>27.59</v>
      </c>
      <c r="N80" s="34">
        <v>0.98115220483641497</v>
      </c>
      <c r="O80" s="34">
        <v>0.98299370828552601</v>
      </c>
      <c r="P80" s="34">
        <v>0.98233004328354001</v>
      </c>
      <c r="Q80" s="34">
        <v>0.98599488325315399</v>
      </c>
      <c r="R80" s="33">
        <v>27.641783076988901</v>
      </c>
      <c r="S80" s="33">
        <v>27.645710543391999</v>
      </c>
      <c r="T80" s="33">
        <v>27.7526761170786</v>
      </c>
      <c r="U80" s="15">
        <v>1.8751193344444599E-3</v>
      </c>
      <c r="V80" s="15">
        <v>2.01719365007943E-3</v>
      </c>
      <c r="W80" s="15">
        <v>5.8788839650181796E-3</v>
      </c>
      <c r="X80" s="34">
        <v>0.98115220483641497</v>
      </c>
      <c r="Y80" s="34">
        <v>0.98299370828552601</v>
      </c>
      <c r="Z80" s="34">
        <v>0.98233004328354001</v>
      </c>
      <c r="AA80" s="34">
        <v>0.98599488325315399</v>
      </c>
      <c r="AB80" s="33">
        <v>27.641783076988901</v>
      </c>
      <c r="AC80" s="33">
        <v>27.645710543391999</v>
      </c>
      <c r="AD80" s="33">
        <v>27.7526761170786</v>
      </c>
      <c r="AE80" s="15">
        <v>1.8751193344444599E-3</v>
      </c>
      <c r="AF80" s="15">
        <v>2.01719365007943E-3</v>
      </c>
      <c r="AG80" s="15">
        <v>5.8788839650181796E-3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1.3150668573031689E-2</v>
      </c>
      <c r="AT80" s="12"/>
      <c r="AU80">
        <f t="shared" si="10"/>
        <v>0</v>
      </c>
      <c r="AV80">
        <f t="shared" si="11"/>
        <v>0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0</v>
      </c>
      <c r="BF80" s="29">
        <f t="shared" si="23"/>
        <v>1.3150668573031689E-2</v>
      </c>
      <c r="BH80" s="29"/>
    </row>
    <row r="81" spans="1:60" x14ac:dyDescent="0.25">
      <c r="A81" s="1">
        <v>46140</v>
      </c>
      <c r="B81" s="33">
        <v>28.4</v>
      </c>
      <c r="C81" s="33">
        <v>27.73</v>
      </c>
      <c r="D81" s="15">
        <v>9.9080782246960698E-3</v>
      </c>
      <c r="E81" s="15">
        <v>5.0614713984920004E-3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28.4</v>
      </c>
      <c r="M81" s="33">
        <v>27.73</v>
      </c>
      <c r="N81" s="34">
        <v>0.97640845070422499</v>
      </c>
      <c r="O81" s="34">
        <v>0.98299370828552601</v>
      </c>
      <c r="P81" s="34">
        <v>0.98152127595086203</v>
      </c>
      <c r="Q81" s="34">
        <v>0.98522377218272095</v>
      </c>
      <c r="R81" s="33">
        <v>27.917021315308901</v>
      </c>
      <c r="S81" s="33">
        <v>27.8981732292525</v>
      </c>
      <c r="T81" s="33">
        <v>28.002254684389499</v>
      </c>
      <c r="U81" s="15">
        <v>6.7217261606484797E-3</v>
      </c>
      <c r="V81" s="15">
        <v>6.04635140197873E-3</v>
      </c>
      <c r="W81" s="15">
        <v>9.7701717480830098E-3</v>
      </c>
      <c r="X81" s="34">
        <v>0.97640845070422499</v>
      </c>
      <c r="Y81" s="34">
        <v>0.98299370828552601</v>
      </c>
      <c r="Z81" s="34">
        <v>0.98152127595086203</v>
      </c>
      <c r="AA81" s="34">
        <v>0.98522377218272095</v>
      </c>
      <c r="AB81" s="33">
        <v>27.917021315308901</v>
      </c>
      <c r="AC81" s="33">
        <v>27.8981732292525</v>
      </c>
      <c r="AD81" s="33">
        <v>28.002254684389499</v>
      </c>
      <c r="AE81" s="15">
        <v>6.7217261606484797E-3</v>
      </c>
      <c r="AF81" s="15">
        <v>6.04635140197873E-3</v>
      </c>
      <c r="AG81" s="15">
        <v>9.7701717480830098E-3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1.3150668573031689E-2</v>
      </c>
      <c r="AT81" s="12"/>
      <c r="AU81">
        <f t="shared" si="10"/>
        <v>0</v>
      </c>
      <c r="AV81">
        <f t="shared" si="11"/>
        <v>0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1.3150668573031689E-2</v>
      </c>
      <c r="BH81" s="29"/>
    </row>
    <row r="82" spans="1:60" x14ac:dyDescent="0.25">
      <c r="A82" s="1">
        <v>46141</v>
      </c>
      <c r="B82" s="33">
        <v>25.4</v>
      </c>
      <c r="C82" s="33">
        <v>24.87</v>
      </c>
      <c r="D82" s="15">
        <v>-0.11163997114266901</v>
      </c>
      <c r="E82" s="15">
        <v>-0.108852601812373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25.4</v>
      </c>
      <c r="M82" s="33">
        <v>24.87</v>
      </c>
      <c r="N82" s="34">
        <v>0.97913385826771604</v>
      </c>
      <c r="O82" s="34">
        <v>0.98299370828552601</v>
      </c>
      <c r="P82" s="34">
        <v>0.98113014050103797</v>
      </c>
      <c r="Q82" s="34">
        <v>0.98483369391282904</v>
      </c>
      <c r="R82" s="33">
        <v>24.968040190452299</v>
      </c>
      <c r="S82" s="33">
        <v>24.930640409151898</v>
      </c>
      <c r="T82" s="33">
        <v>25.024683813441101</v>
      </c>
      <c r="U82" s="15">
        <v>3.9343568303523598E-3</v>
      </c>
      <c r="V82" s="15">
        <v>2.4353276835121598E-3</v>
      </c>
      <c r="W82" s="15">
        <v>6.20043247862291E-3</v>
      </c>
      <c r="X82" s="34">
        <v>0.97913385826771604</v>
      </c>
      <c r="Y82" s="34">
        <v>0.98299370828552601</v>
      </c>
      <c r="Z82" s="34">
        <v>0.98113014050103797</v>
      </c>
      <c r="AA82" s="34">
        <v>0.98483369391282904</v>
      </c>
      <c r="AB82" s="33">
        <v>24.968040190452299</v>
      </c>
      <c r="AC82" s="33">
        <v>24.930640409151898</v>
      </c>
      <c r="AD82" s="33">
        <v>25.024683813441101</v>
      </c>
      <c r="AE82" s="15">
        <v>3.9343568303523598E-3</v>
      </c>
      <c r="AF82" s="15">
        <v>2.4353276835121598E-3</v>
      </c>
      <c r="AG82" s="15">
        <v>6.20043247862291E-3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1.3150668573031689E-2</v>
      </c>
      <c r="AT82" s="12"/>
      <c r="AU82">
        <f t="shared" si="10"/>
        <v>0</v>
      </c>
      <c r="AV82">
        <f t="shared" si="11"/>
        <v>0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0</v>
      </c>
      <c r="BF82" s="29">
        <f t="shared" si="23"/>
        <v>1.3150668573031689E-2</v>
      </c>
      <c r="BH82" s="29"/>
    </row>
    <row r="83" spans="1:60" x14ac:dyDescent="0.25">
      <c r="A83" s="1">
        <v>46142</v>
      </c>
      <c r="B83" s="33">
        <v>26.28</v>
      </c>
      <c r="C83" s="33">
        <v>25.77</v>
      </c>
      <c r="D83" s="15">
        <v>3.4059019591918802E-2</v>
      </c>
      <c r="E83" s="15">
        <v>3.55487668489603E-2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26.28</v>
      </c>
      <c r="M83" s="33">
        <v>25.77</v>
      </c>
      <c r="N83" s="34">
        <v>0.98059360730593603</v>
      </c>
      <c r="O83" s="34">
        <v>0.98299370828552601</v>
      </c>
      <c r="P83" s="34">
        <v>0.98026404790725297</v>
      </c>
      <c r="Q83" s="34">
        <v>0.98451490071148395</v>
      </c>
      <c r="R83" s="33">
        <v>25.833074653743601</v>
      </c>
      <c r="S83" s="33">
        <v>25.784100092367201</v>
      </c>
      <c r="T83" s="33">
        <v>25.881429476029101</v>
      </c>
      <c r="U83" s="15">
        <v>2.4446095733110401E-3</v>
      </c>
      <c r="V83" s="15">
        <v>5.4700179786301402E-4</v>
      </c>
      <c r="W83" s="15">
        <v>4.3146782200575102E-3</v>
      </c>
      <c r="X83" s="34">
        <v>0.98059360730593603</v>
      </c>
      <c r="Y83" s="34">
        <v>0.98299370828552601</v>
      </c>
      <c r="Z83" s="34">
        <v>0.98026404790725297</v>
      </c>
      <c r="AA83" s="34">
        <v>0.98451490071148395</v>
      </c>
      <c r="AB83" s="33">
        <v>25.833074653743601</v>
      </c>
      <c r="AC83" s="33">
        <v>25.784100092367201</v>
      </c>
      <c r="AD83" s="33">
        <v>25.881429476029101</v>
      </c>
      <c r="AE83" s="15">
        <v>2.4446095733110401E-3</v>
      </c>
      <c r="AF83" s="15">
        <v>5.4700179786301402E-4</v>
      </c>
      <c r="AG83" s="15">
        <v>4.3146782200575102E-3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1.3150668573031689E-2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1.3150668573031689E-2</v>
      </c>
      <c r="BH83" s="29"/>
    </row>
    <row r="84" spans="1:60" x14ac:dyDescent="0.25">
      <c r="A84" s="1">
        <v>46143</v>
      </c>
      <c r="B84" s="33">
        <v>26.18</v>
      </c>
      <c r="C84" s="33">
        <v>25.55</v>
      </c>
      <c r="D84" s="15">
        <v>-3.8124331346559102E-3</v>
      </c>
      <c r="E84" s="15">
        <v>-8.5737080145601996E-3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26.18</v>
      </c>
      <c r="M84" s="33">
        <v>25.55</v>
      </c>
      <c r="N84" s="34">
        <v>0.97593582887700503</v>
      </c>
      <c r="O84" s="34">
        <v>0.98299370828552601</v>
      </c>
      <c r="P84" s="34">
        <v>0.97980852215048697</v>
      </c>
      <c r="Q84" s="34">
        <v>0.98393922999217498</v>
      </c>
      <c r="R84" s="33">
        <v>25.734775282914999</v>
      </c>
      <c r="S84" s="33">
        <v>25.6633127742118</v>
      </c>
      <c r="T84" s="33">
        <v>25.7746001006266</v>
      </c>
      <c r="U84" s="15">
        <v>7.2058844532152796E-3</v>
      </c>
      <c r="V84" s="15">
        <v>4.4251368630425199E-3</v>
      </c>
      <c r="W84" s="15">
        <v>8.7521981233164292E-3</v>
      </c>
      <c r="X84" s="34">
        <v>0.97593582887700503</v>
      </c>
      <c r="Y84" s="34">
        <v>0.98299370828552601</v>
      </c>
      <c r="Z84" s="34">
        <v>0.97980852215048697</v>
      </c>
      <c r="AA84" s="34">
        <v>0.98393922999217498</v>
      </c>
      <c r="AB84" s="33">
        <v>25.734775282914999</v>
      </c>
      <c r="AC84" s="33">
        <v>25.6633127742118</v>
      </c>
      <c r="AD84" s="33">
        <v>25.7746001006266</v>
      </c>
      <c r="AE84" s="15">
        <v>7.2058844532152796E-3</v>
      </c>
      <c r="AF84" s="15">
        <v>4.4251368630425199E-3</v>
      </c>
      <c r="AG84" s="15">
        <v>8.7521981233164292E-3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1.3150668573031689E-2</v>
      </c>
      <c r="AT84" s="12"/>
      <c r="AU84">
        <f t="shared" si="10"/>
        <v>0</v>
      </c>
      <c r="AV84">
        <f t="shared" si="11"/>
        <v>0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</v>
      </c>
      <c r="BE84" s="29">
        <f t="shared" si="22"/>
        <v>0</v>
      </c>
      <c r="BF84" s="29">
        <f t="shared" si="23"/>
        <v>1.3150668573031689E-2</v>
      </c>
      <c r="BH84" s="29"/>
    </row>
    <row r="85" spans="1:60" x14ac:dyDescent="0.25">
      <c r="A85" s="1">
        <v>46146</v>
      </c>
      <c r="B85" s="33">
        <v>25.16</v>
      </c>
      <c r="C85" s="33">
        <v>24.66</v>
      </c>
      <c r="D85" s="15">
        <v>-3.9740328649514101E-2</v>
      </c>
      <c r="E85" s="15">
        <v>-3.54548189135152E-2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25.16</v>
      </c>
      <c r="M85" s="33">
        <v>24.66</v>
      </c>
      <c r="N85" s="34">
        <v>0.98012718600953896</v>
      </c>
      <c r="O85" s="34">
        <v>0.98299370828552601</v>
      </c>
      <c r="P85" s="34">
        <v>0.97979779016517599</v>
      </c>
      <c r="Q85" s="34">
        <v>0.98370093196030095</v>
      </c>
      <c r="R85" s="33">
        <v>24.7321217004638</v>
      </c>
      <c r="S85" s="33">
        <v>24.651982417306201</v>
      </c>
      <c r="T85" s="33">
        <v>24.755911026603101</v>
      </c>
      <c r="U85" s="15">
        <v>2.9203747172164901E-3</v>
      </c>
      <c r="V85" s="15">
        <v>-3.2517787245083001E-4</v>
      </c>
      <c r="W85" s="15">
        <v>3.8817921210119802E-3</v>
      </c>
      <c r="X85" s="34">
        <v>0.98012718600953896</v>
      </c>
      <c r="Y85" s="34">
        <v>0.98299370828552601</v>
      </c>
      <c r="Z85" s="34">
        <v>0.97979779016517599</v>
      </c>
      <c r="AA85" s="34">
        <v>0.98370093196030095</v>
      </c>
      <c r="AB85" s="33">
        <v>24.7321217004638</v>
      </c>
      <c r="AC85" s="33">
        <v>24.651982417306201</v>
      </c>
      <c r="AD85" s="33">
        <v>24.755911026603101</v>
      </c>
      <c r="AE85" s="15">
        <v>2.9203747172164901E-3</v>
      </c>
      <c r="AF85" s="15">
        <v>-3.2517787245083001E-4</v>
      </c>
      <c r="AG85" s="15">
        <v>3.8817921210119802E-3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1.3150668573031689E-2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</v>
      </c>
      <c r="BE85" s="29">
        <f t="shared" si="22"/>
        <v>0</v>
      </c>
      <c r="BF85" s="29">
        <f t="shared" si="23"/>
        <v>1.3150668573031689E-2</v>
      </c>
      <c r="BH85" s="29"/>
    </row>
    <row r="86" spans="1:60" x14ac:dyDescent="0.25">
      <c r="A86" s="1">
        <v>46147</v>
      </c>
      <c r="B86" s="33">
        <v>26.85</v>
      </c>
      <c r="C86" s="33">
        <v>26.26</v>
      </c>
      <c r="D86" s="15">
        <v>6.5010389122633794E-2</v>
      </c>
      <c r="E86" s="15">
        <v>6.2864371138451794E-2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26.85</v>
      </c>
      <c r="M86" s="33">
        <v>26.26</v>
      </c>
      <c r="N86" s="34">
        <v>0.97802607076350001</v>
      </c>
      <c r="O86" s="34">
        <v>0.98299370828552601</v>
      </c>
      <c r="P86" s="34">
        <v>0.97971139485814196</v>
      </c>
      <c r="Q86" s="34">
        <v>0.98284586368438298</v>
      </c>
      <c r="R86" s="33">
        <v>26.393381067466301</v>
      </c>
      <c r="S86" s="33">
        <v>26.3075706659349</v>
      </c>
      <c r="T86" s="33">
        <v>26.412370023133999</v>
      </c>
      <c r="U86" s="15">
        <v>5.0663927013985697E-3</v>
      </c>
      <c r="V86" s="15">
        <v>1.80988690623926E-3</v>
      </c>
      <c r="W86" s="15">
        <v>5.7855930193194604E-3</v>
      </c>
      <c r="X86" s="34">
        <v>0.97802607076350001</v>
      </c>
      <c r="Y86" s="34">
        <v>0.98299370828552601</v>
      </c>
      <c r="Z86" s="34">
        <v>0.97971139485814196</v>
      </c>
      <c r="AA86" s="34">
        <v>0.98284586368438298</v>
      </c>
      <c r="AB86" s="33">
        <v>26.393381067466301</v>
      </c>
      <c r="AC86" s="33">
        <v>26.3075706659349</v>
      </c>
      <c r="AD86" s="33">
        <v>26.412370023133999</v>
      </c>
      <c r="AE86" s="15">
        <v>5.0663927013985697E-3</v>
      </c>
      <c r="AF86" s="15">
        <v>1.80988690623926E-3</v>
      </c>
      <c r="AG86" s="15">
        <v>5.7855930193194604E-3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1.3150668573031689E-2</v>
      </c>
      <c r="AT86" s="12"/>
      <c r="AU86">
        <f t="shared" ref="AU86:AU149" si="30">IF($AG86&gt;AT$21,1,0)</f>
        <v>0</v>
      </c>
      <c r="AV86">
        <f t="shared" ref="AV86:AV149" si="31">IF($AG86&lt;AT$22,1,0)</f>
        <v>0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</v>
      </c>
      <c r="BE86" s="29">
        <f t="shared" si="22"/>
        <v>0</v>
      </c>
      <c r="BF86" s="29">
        <f t="shared" si="23"/>
        <v>1.3150668573031689E-2</v>
      </c>
      <c r="BH86" s="29"/>
    </row>
    <row r="87" spans="1:60" x14ac:dyDescent="0.25">
      <c r="A87" s="1">
        <v>46148</v>
      </c>
      <c r="B87" s="33">
        <v>27.55</v>
      </c>
      <c r="C87" s="33">
        <v>26.98</v>
      </c>
      <c r="D87" s="15">
        <v>2.5736714644049599E-2</v>
      </c>
      <c r="E87" s="15">
        <v>2.70489819049596E-2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27.55</v>
      </c>
      <c r="M87" s="33">
        <v>26.98</v>
      </c>
      <c r="N87" s="34">
        <v>0.97931034482758605</v>
      </c>
      <c r="O87" s="34">
        <v>0.98299370828552601</v>
      </c>
      <c r="P87" s="34">
        <v>0.97919522437195605</v>
      </c>
      <c r="Q87" s="34">
        <v>0.98259950409291696</v>
      </c>
      <c r="R87" s="33">
        <v>27.081476663266201</v>
      </c>
      <c r="S87" s="33">
        <v>26.991048928341801</v>
      </c>
      <c r="T87" s="33">
        <v>27.077403544504701</v>
      </c>
      <c r="U87" s="15">
        <v>3.7541254404884201E-3</v>
      </c>
      <c r="V87" s="15">
        <v>4.0943908690138501E-4</v>
      </c>
      <c r="W87" s="15">
        <v>3.6037117408868301E-3</v>
      </c>
      <c r="X87" s="34">
        <v>0.97931034482758605</v>
      </c>
      <c r="Y87" s="34">
        <v>0.98299370828552601</v>
      </c>
      <c r="Z87" s="34">
        <v>0.97919522437195605</v>
      </c>
      <c r="AA87" s="34">
        <v>0.98259950409291696</v>
      </c>
      <c r="AB87" s="33">
        <v>27.081476663266201</v>
      </c>
      <c r="AC87" s="33">
        <v>26.991048928341801</v>
      </c>
      <c r="AD87" s="33">
        <v>27.077403544504701</v>
      </c>
      <c r="AE87" s="15">
        <v>3.7541254404884201E-3</v>
      </c>
      <c r="AF87" s="15">
        <v>4.0943908690138501E-4</v>
      </c>
      <c r="AG87" s="15">
        <v>3.6037117408868301E-3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1.3150668573031689E-2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</v>
      </c>
      <c r="BE87" s="29">
        <f t="shared" ref="BE87:BE150" si="42">AQ87+BB87</f>
        <v>0</v>
      </c>
      <c r="BF87" s="29">
        <f t="shared" ref="BF87:BF150" si="43">BF86+BE87</f>
        <v>1.3150668573031689E-2</v>
      </c>
      <c r="BH87" s="29"/>
    </row>
    <row r="88" spans="1:60" x14ac:dyDescent="0.25">
      <c r="A88" s="1">
        <v>46149</v>
      </c>
      <c r="B88" s="33">
        <v>28.2</v>
      </c>
      <c r="C88" s="33">
        <v>27.38</v>
      </c>
      <c r="D88" s="15">
        <v>2.3319442345144398E-2</v>
      </c>
      <c r="E88" s="15">
        <v>1.47169690806929E-2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28.2</v>
      </c>
      <c r="M88" s="33">
        <v>27.38</v>
      </c>
      <c r="N88" s="34">
        <v>0.97092198581560196</v>
      </c>
      <c r="O88" s="34">
        <v>0.98299370828552601</v>
      </c>
      <c r="P88" s="34">
        <v>0.97811943124940304</v>
      </c>
      <c r="Q88" s="34">
        <v>0.98129362969948697</v>
      </c>
      <c r="R88" s="33">
        <v>27.720422573651799</v>
      </c>
      <c r="S88" s="33">
        <v>27.613305327289101</v>
      </c>
      <c r="T88" s="33">
        <v>27.7093060154202</v>
      </c>
      <c r="U88" s="15">
        <v>1.23565987049399E-2</v>
      </c>
      <c r="V88" s="15">
        <v>8.48491377667367E-3</v>
      </c>
      <c r="W88" s="15">
        <v>1.1955494147383601E-2</v>
      </c>
      <c r="X88" s="34">
        <v>0.97092198581560196</v>
      </c>
      <c r="Y88" s="34">
        <v>0.98299370828552601</v>
      </c>
      <c r="Z88" s="34">
        <v>0.97811943124940304</v>
      </c>
      <c r="AA88" s="34">
        <v>0.98129362969948697</v>
      </c>
      <c r="AB88" s="33">
        <v>27.720422573651799</v>
      </c>
      <c r="AC88" s="33">
        <v>27.613305327289101</v>
      </c>
      <c r="AD88" s="33">
        <v>27.7093060154202</v>
      </c>
      <c r="AE88" s="15">
        <v>1.23565987049399E-2</v>
      </c>
      <c r="AF88" s="15">
        <v>8.48491377667367E-3</v>
      </c>
      <c r="AG88" s="15">
        <v>1.1955494147383601E-2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1.3150668573031689E-2</v>
      </c>
      <c r="AT88" s="12"/>
      <c r="AU88">
        <f t="shared" si="30"/>
        <v>1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</v>
      </c>
      <c r="BE88" s="29">
        <f t="shared" si="42"/>
        <v>0</v>
      </c>
      <c r="BF88" s="29">
        <f t="shared" si="43"/>
        <v>1.3150668573031689E-2</v>
      </c>
      <c r="BH88" s="29"/>
    </row>
    <row r="89" spans="1:60" x14ac:dyDescent="0.25">
      <c r="A89" s="1">
        <v>46150</v>
      </c>
      <c r="B89" s="33">
        <v>28.36</v>
      </c>
      <c r="C89" s="33">
        <v>27.68</v>
      </c>
      <c r="D89" s="15">
        <v>5.6577237198588504E-3</v>
      </c>
      <c r="E89" s="15">
        <v>1.0897310889166E-2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28.36</v>
      </c>
      <c r="M89" s="33">
        <v>27.68</v>
      </c>
      <c r="N89" s="34">
        <v>0.97602256699576795</v>
      </c>
      <c r="O89" s="34">
        <v>0.98299370828552601</v>
      </c>
      <c r="P89" s="34">
        <v>0.97776321044032899</v>
      </c>
      <c r="Q89" s="34">
        <v>0.98044829340281103</v>
      </c>
      <c r="R89" s="33">
        <v>27.8777015669775</v>
      </c>
      <c r="S89" s="33">
        <v>27.739467070233001</v>
      </c>
      <c r="T89" s="33">
        <v>27.829487338277399</v>
      </c>
      <c r="U89" s="15">
        <v>7.1170115356327598E-3</v>
      </c>
      <c r="V89" s="15">
        <v>2.14607235328736E-3</v>
      </c>
      <c r="W89" s="15">
        <v>5.3860234284846499E-3</v>
      </c>
      <c r="X89" s="34">
        <v>0.97602256699576795</v>
      </c>
      <c r="Y89" s="34">
        <v>0.98299370828552601</v>
      </c>
      <c r="Z89" s="34">
        <v>0.97776321044032899</v>
      </c>
      <c r="AA89" s="34">
        <v>0.98044829340281103</v>
      </c>
      <c r="AB89" s="33">
        <v>27.8777015669775</v>
      </c>
      <c r="AC89" s="33">
        <v>27.739467070233001</v>
      </c>
      <c r="AD89" s="33">
        <v>27.829487338277399</v>
      </c>
      <c r="AE89" s="15">
        <v>7.1170115356327598E-3</v>
      </c>
      <c r="AF89" s="15">
        <v>2.14607235328736E-3</v>
      </c>
      <c r="AG89" s="15">
        <v>5.3860234284846499E-3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1.3150668573031689E-2</v>
      </c>
      <c r="AT89" s="12"/>
      <c r="AU89">
        <f t="shared" si="30"/>
        <v>0</v>
      </c>
      <c r="AV89">
        <f t="shared" si="31"/>
        <v>0</v>
      </c>
      <c r="AW89">
        <f t="shared" si="38"/>
        <v>1</v>
      </c>
      <c r="AX89">
        <f t="shared" si="25"/>
        <v>1</v>
      </c>
      <c r="AY89">
        <f t="shared" si="39"/>
        <v>1</v>
      </c>
      <c r="AZ89" s="28">
        <f t="shared" si="32"/>
        <v>-5.6577237198588504E-3</v>
      </c>
      <c r="BA89" s="28">
        <f t="shared" si="33"/>
        <v>1.0897310889166E-2</v>
      </c>
      <c r="BB89" s="28">
        <f t="shared" si="40"/>
        <v>5.2395871693071494E-3</v>
      </c>
      <c r="BC89" s="29">
        <f t="shared" si="41"/>
        <v>5.2395871693071494E-3</v>
      </c>
      <c r="BE89" s="29">
        <f t="shared" si="42"/>
        <v>5.2395871693071494E-3</v>
      </c>
      <c r="BF89" s="29">
        <f t="shared" si="43"/>
        <v>1.8390255742338837E-2</v>
      </c>
      <c r="BH89" s="29"/>
    </row>
    <row r="90" spans="1:60" x14ac:dyDescent="0.25">
      <c r="A90" s="1">
        <v>46153</v>
      </c>
      <c r="B90" s="33">
        <v>27.46</v>
      </c>
      <c r="C90" s="33">
        <v>26.83</v>
      </c>
      <c r="D90" s="15">
        <v>-3.2249301324101698E-2</v>
      </c>
      <c r="E90" s="15">
        <v>-3.1189466311936E-2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27.46</v>
      </c>
      <c r="M90" s="33">
        <v>26.83</v>
      </c>
      <c r="N90" s="34">
        <v>0.97705753823743602</v>
      </c>
      <c r="O90" s="34">
        <v>0.98299370828552601</v>
      </c>
      <c r="P90" s="34">
        <v>0.97735374378043105</v>
      </c>
      <c r="Q90" s="34">
        <v>0.97984189353198603</v>
      </c>
      <c r="R90" s="33">
        <v>26.993007229520501</v>
      </c>
      <c r="S90" s="33">
        <v>26.8493777586914</v>
      </c>
      <c r="T90" s="33">
        <v>26.9231101368411</v>
      </c>
      <c r="U90" s="15">
        <v>6.0571765234670397E-3</v>
      </c>
      <c r="V90" s="15">
        <v>7.2198152595181098E-4</v>
      </c>
      <c r="W90" s="15">
        <v>3.4643662377305501E-3</v>
      </c>
      <c r="X90" s="34">
        <v>0.97705753823743602</v>
      </c>
      <c r="Y90" s="34">
        <v>0.98299370828552601</v>
      </c>
      <c r="Z90" s="34">
        <v>0.97735374378043105</v>
      </c>
      <c r="AA90" s="34">
        <v>0.97984189353198603</v>
      </c>
      <c r="AB90" s="33">
        <v>26.993007229520501</v>
      </c>
      <c r="AC90" s="33">
        <v>26.8493777586914</v>
      </c>
      <c r="AD90" s="33">
        <v>26.9231101368411</v>
      </c>
      <c r="AE90" s="15">
        <v>6.0571765234670397E-3</v>
      </c>
      <c r="AF90" s="15">
        <v>7.2198152595181098E-4</v>
      </c>
      <c r="AG90" s="15">
        <v>3.4643662377305501E-3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1.3150668573031689E-2</v>
      </c>
      <c r="AT90" s="12"/>
      <c r="AU90">
        <f t="shared" si="30"/>
        <v>0</v>
      </c>
      <c r="AV90">
        <f t="shared" si="31"/>
        <v>1</v>
      </c>
      <c r="AW90">
        <f t="shared" si="38"/>
        <v>1</v>
      </c>
      <c r="AX90">
        <f t="shared" si="25"/>
        <v>1</v>
      </c>
      <c r="AY90">
        <f t="shared" si="39"/>
        <v>1</v>
      </c>
      <c r="AZ90" s="28">
        <f t="shared" si="32"/>
        <v>3.2249301324101698E-2</v>
      </c>
      <c r="BA90" s="28">
        <f t="shared" si="33"/>
        <v>-3.1189466311936E-2</v>
      </c>
      <c r="BB90" s="28">
        <f t="shared" si="40"/>
        <v>1.0598350121656976E-3</v>
      </c>
      <c r="BC90" s="29">
        <f t="shared" si="41"/>
        <v>6.299422181472847E-3</v>
      </c>
      <c r="BE90" s="29">
        <f t="shared" si="42"/>
        <v>1.0598350121656976E-3</v>
      </c>
      <c r="BF90" s="29">
        <f t="shared" si="43"/>
        <v>1.9450090754504535E-2</v>
      </c>
      <c r="BH90" s="29"/>
    </row>
    <row r="91" spans="1:60" x14ac:dyDescent="0.25">
      <c r="A91" s="1">
        <v>46154</v>
      </c>
      <c r="B91" s="33">
        <v>27.35</v>
      </c>
      <c r="C91" s="33">
        <v>26.56</v>
      </c>
      <c r="D91" s="15">
        <v>-4.0138714718347896E-3</v>
      </c>
      <c r="E91" s="15">
        <v>-1.0114339829299599E-2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27.35</v>
      </c>
      <c r="M91" s="33">
        <v>26.56</v>
      </c>
      <c r="N91" s="34">
        <v>0.97111517367458799</v>
      </c>
      <c r="O91" s="34">
        <v>0.98299370828552601</v>
      </c>
      <c r="P91" s="34">
        <v>0.97682441607746795</v>
      </c>
      <c r="Q91" s="34">
        <v>0.97917284601416499</v>
      </c>
      <c r="R91" s="33">
        <v>26.8848779216091</v>
      </c>
      <c r="S91" s="33">
        <v>26.7306248923948</v>
      </c>
      <c r="T91" s="33">
        <v>26.7986757880998</v>
      </c>
      <c r="U91" s="15">
        <v>1.2157644880932199E-2</v>
      </c>
      <c r="V91" s="15">
        <v>6.4035832115275203E-3</v>
      </c>
      <c r="W91" s="15">
        <v>8.9461507960220104E-3</v>
      </c>
      <c r="X91" s="34">
        <v>0.97111517367458799</v>
      </c>
      <c r="Y91" s="34">
        <v>0.98299370828552601</v>
      </c>
      <c r="Z91" s="34">
        <v>0.97682441607746795</v>
      </c>
      <c r="AA91" s="34">
        <v>0.97917284601416499</v>
      </c>
      <c r="AB91" s="33">
        <v>26.8848779216091</v>
      </c>
      <c r="AC91" s="33">
        <v>26.7306248923948</v>
      </c>
      <c r="AD91" s="33">
        <v>26.7986757880998</v>
      </c>
      <c r="AE91" s="15">
        <v>1.2157644880932199E-2</v>
      </c>
      <c r="AF91" s="15">
        <v>6.4035832115275203E-3</v>
      </c>
      <c r="AG91" s="15">
        <v>8.9461507960220104E-3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1.3150668573031689E-2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6.299422181472847E-3</v>
      </c>
      <c r="BE91" s="29">
        <f t="shared" si="42"/>
        <v>0</v>
      </c>
      <c r="BF91" s="29">
        <f t="shared" si="43"/>
        <v>1.9450090754504535E-2</v>
      </c>
      <c r="BH91" s="29"/>
    </row>
    <row r="92" spans="1:60" x14ac:dyDescent="0.25">
      <c r="A92" s="1">
        <v>46155</v>
      </c>
      <c r="B92" s="33">
        <v>27.02</v>
      </c>
      <c r="C92" s="33">
        <v>26.16</v>
      </c>
      <c r="D92" s="15">
        <v>-1.21391963359375E-2</v>
      </c>
      <c r="E92" s="15">
        <v>-1.5174798019235099E-2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27.02</v>
      </c>
      <c r="M92" s="33">
        <v>26.16</v>
      </c>
      <c r="N92" s="34">
        <v>0.96817172464840795</v>
      </c>
      <c r="O92" s="34">
        <v>0.98299370828552601</v>
      </c>
      <c r="P92" s="34">
        <v>0.97572820271553695</v>
      </c>
      <c r="Q92" s="34">
        <v>0.97842917160828702</v>
      </c>
      <c r="R92" s="33">
        <v>26.5604899978749</v>
      </c>
      <c r="S92" s="33">
        <v>26.393795722413099</v>
      </c>
      <c r="T92" s="33">
        <v>26.4572502993027</v>
      </c>
      <c r="U92" s="15">
        <v>1.51932465642295E-2</v>
      </c>
      <c r="V92" s="15">
        <v>8.8974454293222101E-3</v>
      </c>
      <c r="W92" s="15">
        <v>1.12987075482866E-2</v>
      </c>
      <c r="X92" s="34">
        <v>0.96817172464840795</v>
      </c>
      <c r="Y92" s="34">
        <v>0.98299370828552601</v>
      </c>
      <c r="Z92" s="34">
        <v>0.97572820271553695</v>
      </c>
      <c r="AA92" s="34">
        <v>0.97842917160828702</v>
      </c>
      <c r="AB92" s="33">
        <v>26.5604899978749</v>
      </c>
      <c r="AC92" s="33">
        <v>26.393795722413099</v>
      </c>
      <c r="AD92" s="33">
        <v>26.4572502993027</v>
      </c>
      <c r="AE92" s="15">
        <v>1.51932465642295E-2</v>
      </c>
      <c r="AF92" s="15">
        <v>8.8974454293222101E-3</v>
      </c>
      <c r="AG92" s="15">
        <v>1.12987075482866E-2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1.3150668573031689E-2</v>
      </c>
      <c r="AT92" s="12"/>
      <c r="AU92">
        <f t="shared" si="30"/>
        <v>1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6.299422181472847E-3</v>
      </c>
      <c r="BE92" s="29">
        <f t="shared" si="42"/>
        <v>0</v>
      </c>
      <c r="BF92" s="29">
        <f t="shared" si="43"/>
        <v>1.9450090754504535E-2</v>
      </c>
      <c r="BH92" s="29"/>
    </row>
    <row r="93" spans="1:60" x14ac:dyDescent="0.25">
      <c r="A93" s="1">
        <v>46156</v>
      </c>
      <c r="B93" s="33">
        <v>26.87</v>
      </c>
      <c r="C93" s="33">
        <v>26.09</v>
      </c>
      <c r="D93" s="15">
        <v>-5.5669099046528302E-3</v>
      </c>
      <c r="E93" s="15">
        <v>-2.6794274403609099E-3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26.87</v>
      </c>
      <c r="M93" s="33">
        <v>26.09</v>
      </c>
      <c r="N93" s="34">
        <v>0.97097134350576797</v>
      </c>
      <c r="O93" s="34">
        <v>0.98299370828552601</v>
      </c>
      <c r="P93" s="34">
        <v>0.97476597633551998</v>
      </c>
      <c r="Q93" s="34">
        <v>0.97751501212138603</v>
      </c>
      <c r="R93" s="33">
        <v>26.413040941632001</v>
      </c>
      <c r="S93" s="33">
        <v>26.2178168069664</v>
      </c>
      <c r="T93" s="33">
        <v>26.290391841114602</v>
      </c>
      <c r="U93" s="15">
        <v>1.23057640999376E-2</v>
      </c>
      <c r="V93" s="15">
        <v>4.8871113024885702E-3</v>
      </c>
      <c r="W93" s="15">
        <v>7.6514440509166497E-3</v>
      </c>
      <c r="X93" s="34">
        <v>0.97097134350576797</v>
      </c>
      <c r="Y93" s="34">
        <v>0.98299370828552601</v>
      </c>
      <c r="Z93" s="34">
        <v>0.97476597633551998</v>
      </c>
      <c r="AA93" s="34">
        <v>0.97751501212138603</v>
      </c>
      <c r="AB93" s="33">
        <v>26.413040941632001</v>
      </c>
      <c r="AC93" s="33">
        <v>26.2178168069664</v>
      </c>
      <c r="AD93" s="33">
        <v>26.290391841114602</v>
      </c>
      <c r="AE93" s="15">
        <v>1.23057640999376E-2</v>
      </c>
      <c r="AF93" s="15">
        <v>4.8871113024885702E-3</v>
      </c>
      <c r="AG93" s="15">
        <v>7.6514440509166497E-3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1.3150668573031689E-2</v>
      </c>
      <c r="AT93" s="12"/>
      <c r="AU93">
        <f t="shared" si="30"/>
        <v>0</v>
      </c>
      <c r="AV93">
        <f t="shared" si="31"/>
        <v>0</v>
      </c>
      <c r="AW93">
        <f t="shared" si="38"/>
        <v>1</v>
      </c>
      <c r="AX93">
        <f t="shared" si="25"/>
        <v>1</v>
      </c>
      <c r="AY93">
        <f t="shared" si="39"/>
        <v>1</v>
      </c>
      <c r="AZ93" s="28">
        <f t="shared" si="32"/>
        <v>5.5669099046528302E-3</v>
      </c>
      <c r="BA93" s="28">
        <f t="shared" si="33"/>
        <v>-2.6794274403609099E-3</v>
      </c>
      <c r="BB93" s="28">
        <f t="shared" si="40"/>
        <v>2.8874824642919203E-3</v>
      </c>
      <c r="BC93" s="29">
        <f t="shared" si="41"/>
        <v>9.1869046457647673E-3</v>
      </c>
      <c r="BE93" s="29">
        <f t="shared" si="42"/>
        <v>2.8874824642919203E-3</v>
      </c>
      <c r="BF93" s="29">
        <f t="shared" si="43"/>
        <v>2.2337573218796456E-2</v>
      </c>
      <c r="BH93" s="29"/>
    </row>
    <row r="94" spans="1:60" x14ac:dyDescent="0.25">
      <c r="A94" s="1">
        <v>46157</v>
      </c>
      <c r="B94" s="33">
        <v>27.36</v>
      </c>
      <c r="C94" s="33">
        <v>26.38</v>
      </c>
      <c r="D94" s="15">
        <v>1.8071670126949799E-2</v>
      </c>
      <c r="E94" s="15">
        <v>1.1054048140531399E-2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27.36</v>
      </c>
      <c r="M94" s="33">
        <v>26.38</v>
      </c>
      <c r="N94" s="34">
        <v>0.96418128654970703</v>
      </c>
      <c r="O94" s="34">
        <v>0.98299370828552601</v>
      </c>
      <c r="P94" s="34">
        <v>0.97359052210278996</v>
      </c>
      <c r="Q94" s="34">
        <v>0.97669952212663802</v>
      </c>
      <c r="R94" s="33">
        <v>26.894707858691898</v>
      </c>
      <c r="S94" s="33">
        <v>26.669597112539801</v>
      </c>
      <c r="T94" s="33">
        <v>26.744810731641099</v>
      </c>
      <c r="U94" s="15">
        <v>1.9323386086356101E-2</v>
      </c>
      <c r="V94" s="15">
        <v>1.09180843991945E-2</v>
      </c>
      <c r="W94" s="15">
        <v>1.37343158935751E-2</v>
      </c>
      <c r="X94" s="34">
        <v>0.96418128654970703</v>
      </c>
      <c r="Y94" s="34">
        <v>0.98299370828552601</v>
      </c>
      <c r="Z94" s="34">
        <v>0.97359052210278996</v>
      </c>
      <c r="AA94" s="34">
        <v>0.97669952212663802</v>
      </c>
      <c r="AB94" s="33">
        <v>26.894707858691898</v>
      </c>
      <c r="AC94" s="33">
        <v>26.669597112539801</v>
      </c>
      <c r="AD94" s="33">
        <v>26.744810731641099</v>
      </c>
      <c r="AE94" s="15">
        <v>1.9323386086356101E-2</v>
      </c>
      <c r="AF94" s="15">
        <v>1.09180843991945E-2</v>
      </c>
      <c r="AG94" s="15">
        <v>1.37343158935751E-2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1.3150668573031689E-2</v>
      </c>
      <c r="AT94" s="12"/>
      <c r="AU94">
        <f t="shared" si="30"/>
        <v>1</v>
      </c>
      <c r="AV94">
        <f t="shared" si="31"/>
        <v>0</v>
      </c>
      <c r="AW94">
        <f t="shared" si="38"/>
        <v>1</v>
      </c>
      <c r="AX94">
        <f t="shared" si="25"/>
        <v>1</v>
      </c>
      <c r="AY94">
        <f t="shared" si="39"/>
        <v>1</v>
      </c>
      <c r="AZ94" s="28">
        <f t="shared" si="32"/>
        <v>-1.8071670126949799E-2</v>
      </c>
      <c r="BA94" s="28">
        <f t="shared" si="33"/>
        <v>1.1054048140531399E-2</v>
      </c>
      <c r="BB94" s="28">
        <f t="shared" si="40"/>
        <v>-7.0176219864184E-3</v>
      </c>
      <c r="BC94" s="29">
        <f t="shared" si="41"/>
        <v>2.1692826593463672E-3</v>
      </c>
      <c r="BE94" s="29">
        <f t="shared" si="42"/>
        <v>-7.0176219864184E-3</v>
      </c>
      <c r="BF94" s="29">
        <f t="shared" si="43"/>
        <v>1.5319951232378056E-2</v>
      </c>
      <c r="BH94" s="29"/>
    </row>
    <row r="95" spans="1:60" x14ac:dyDescent="0.25">
      <c r="A95" s="1">
        <v>46160</v>
      </c>
      <c r="B95" s="33">
        <v>27.12</v>
      </c>
      <c r="C95" s="33">
        <v>26.25</v>
      </c>
      <c r="D95" s="15">
        <v>-8.8106296821548E-3</v>
      </c>
      <c r="E95" s="15">
        <v>-4.9401582515357697E-3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27.12</v>
      </c>
      <c r="M95" s="33">
        <v>26.25</v>
      </c>
      <c r="N95" s="34">
        <v>0.96792035398230003</v>
      </c>
      <c r="O95" s="34">
        <v>0.98299370828552601</v>
      </c>
      <c r="P95" s="34">
        <v>0.97236983890006601</v>
      </c>
      <c r="Q95" s="34">
        <v>0.97608381453262105</v>
      </c>
      <c r="R95" s="33">
        <v>26.658789368703399</v>
      </c>
      <c r="S95" s="33">
        <v>26.403774959427601</v>
      </c>
      <c r="T95" s="33">
        <v>26.488091040074401</v>
      </c>
      <c r="U95" s="15">
        <v>1.54529146557368E-2</v>
      </c>
      <c r="V95" s="15">
        <v>5.8410017798275404E-3</v>
      </c>
      <c r="W95" s="15">
        <v>9.0292482323045403E-3</v>
      </c>
      <c r="X95" s="34">
        <v>0.96792035398230003</v>
      </c>
      <c r="Y95" s="34">
        <v>0.98299370828552601</v>
      </c>
      <c r="Z95" s="34">
        <v>0.97236983890006601</v>
      </c>
      <c r="AA95" s="34">
        <v>0.97608381453262105</v>
      </c>
      <c r="AB95" s="33">
        <v>26.658789368703399</v>
      </c>
      <c r="AC95" s="33">
        <v>26.403774959427601</v>
      </c>
      <c r="AD95" s="33">
        <v>26.488091040074401</v>
      </c>
      <c r="AE95" s="15">
        <v>1.54529146557368E-2</v>
      </c>
      <c r="AF95" s="15">
        <v>5.8410017798275404E-3</v>
      </c>
      <c r="AG95" s="15">
        <v>9.0292482323045403E-3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1.3150668573031689E-2</v>
      </c>
      <c r="AT95" s="12"/>
      <c r="AU95">
        <f t="shared" si="30"/>
        <v>0</v>
      </c>
      <c r="AV95">
        <f t="shared" si="31"/>
        <v>0</v>
      </c>
      <c r="AW95">
        <f t="shared" si="38"/>
        <v>1</v>
      </c>
      <c r="AX95">
        <f t="shared" si="25"/>
        <v>1</v>
      </c>
      <c r="AY95">
        <f t="shared" si="39"/>
        <v>1</v>
      </c>
      <c r="AZ95" s="28">
        <f t="shared" si="32"/>
        <v>8.8106296821548E-3</v>
      </c>
      <c r="BA95" s="28">
        <f t="shared" si="33"/>
        <v>-4.9401582515357697E-3</v>
      </c>
      <c r="BB95" s="28">
        <f t="shared" si="40"/>
        <v>3.8704714306190303E-3</v>
      </c>
      <c r="BC95" s="29">
        <f t="shared" si="41"/>
        <v>6.0397540899653976E-3</v>
      </c>
      <c r="BE95" s="29">
        <f t="shared" si="42"/>
        <v>3.8704714306190303E-3</v>
      </c>
      <c r="BF95" s="29">
        <f t="shared" si="43"/>
        <v>1.9190422662997086E-2</v>
      </c>
      <c r="BH95" s="29"/>
    </row>
    <row r="96" spans="1:60" x14ac:dyDescent="0.25">
      <c r="A96" s="1">
        <v>46161</v>
      </c>
      <c r="B96" s="33">
        <v>26.69</v>
      </c>
      <c r="C96" s="33">
        <v>25.92</v>
      </c>
      <c r="D96" s="15">
        <v>-1.5982499655762001E-2</v>
      </c>
      <c r="E96" s="15">
        <v>-1.26511175535586E-2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26.69</v>
      </c>
      <c r="M96" s="33">
        <v>25.92</v>
      </c>
      <c r="N96" s="34">
        <v>0.97115024353690504</v>
      </c>
      <c r="O96" s="34">
        <v>0.98299370828552601</v>
      </c>
      <c r="P96" s="34">
        <v>0.971682256177407</v>
      </c>
      <c r="Q96" s="34">
        <v>0.97569682551777404</v>
      </c>
      <c r="R96" s="33">
        <v>26.2361020741406</v>
      </c>
      <c r="S96" s="33">
        <v>25.9525510002427</v>
      </c>
      <c r="T96" s="33">
        <v>26.051677009875601</v>
      </c>
      <c r="U96" s="15">
        <v>1.21215325535336E-2</v>
      </c>
      <c r="V96" s="15">
        <v>1.25503773721384E-3</v>
      </c>
      <c r="W96" s="15">
        <v>5.0672712219393297E-3</v>
      </c>
      <c r="X96" s="34">
        <v>0.97115024353690504</v>
      </c>
      <c r="Y96" s="34">
        <v>0.98299370828552601</v>
      </c>
      <c r="Z96" s="34">
        <v>0.971682256177407</v>
      </c>
      <c r="AA96" s="34">
        <v>0.97569682551777404</v>
      </c>
      <c r="AB96" s="33">
        <v>26.2361020741406</v>
      </c>
      <c r="AC96" s="33">
        <v>25.9525510002427</v>
      </c>
      <c r="AD96" s="33">
        <v>26.051677009875601</v>
      </c>
      <c r="AE96" s="15">
        <v>1.21215325535336E-2</v>
      </c>
      <c r="AF96" s="15">
        <v>1.25503773721384E-3</v>
      </c>
      <c r="AG96" s="15">
        <v>5.0672712219393297E-3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1.3150668573031689E-2</v>
      </c>
      <c r="AT96" s="12"/>
      <c r="AU96">
        <f t="shared" si="30"/>
        <v>0</v>
      </c>
      <c r="AV96">
        <f t="shared" si="31"/>
        <v>0</v>
      </c>
      <c r="AW96">
        <f t="shared" si="38"/>
        <v>1</v>
      </c>
      <c r="AX96">
        <f t="shared" si="25"/>
        <v>1</v>
      </c>
      <c r="AY96">
        <f t="shared" si="39"/>
        <v>1</v>
      </c>
      <c r="AZ96" s="28">
        <f t="shared" si="32"/>
        <v>1.5982499655762001E-2</v>
      </c>
      <c r="BA96" s="28">
        <f t="shared" si="33"/>
        <v>-1.26511175535586E-2</v>
      </c>
      <c r="BB96" s="28">
        <f t="shared" si="40"/>
        <v>3.331382102203401E-3</v>
      </c>
      <c r="BC96" s="29">
        <f t="shared" si="41"/>
        <v>9.3711361921687986E-3</v>
      </c>
      <c r="BE96" s="29">
        <f t="shared" si="42"/>
        <v>3.331382102203401E-3</v>
      </c>
      <c r="BF96" s="29">
        <f t="shared" si="43"/>
        <v>2.2521804765200486E-2</v>
      </c>
      <c r="BH96" s="29"/>
    </row>
    <row r="97" spans="1:60" x14ac:dyDescent="0.25">
      <c r="A97" s="1">
        <v>46162</v>
      </c>
      <c r="B97" s="33">
        <v>26.43</v>
      </c>
      <c r="C97" s="33">
        <v>25.64</v>
      </c>
      <c r="D97" s="15">
        <v>-9.7892348002349902E-3</v>
      </c>
      <c r="E97" s="15">
        <v>-1.08612394316047E-2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26.43</v>
      </c>
      <c r="M97" s="33">
        <v>25.64</v>
      </c>
      <c r="N97" s="34">
        <v>0.97010972379871296</v>
      </c>
      <c r="O97" s="34">
        <v>0.98299370828552601</v>
      </c>
      <c r="P97" s="34">
        <v>0.97076219407452002</v>
      </c>
      <c r="Q97" s="34">
        <v>0.97497870922323804</v>
      </c>
      <c r="R97" s="33">
        <v>25.9805237099864</v>
      </c>
      <c r="S97" s="33">
        <v>25.681562030768799</v>
      </c>
      <c r="T97" s="33">
        <v>25.787667098434699</v>
      </c>
      <c r="U97" s="15">
        <v>1.31935371849032E-2</v>
      </c>
      <c r="V97" s="15">
        <v>1.6196716627560901E-3</v>
      </c>
      <c r="W97" s="15">
        <v>5.7427261468746896E-3</v>
      </c>
      <c r="X97" s="34">
        <v>0.97010972379871296</v>
      </c>
      <c r="Y97" s="34">
        <v>0.98299370828552601</v>
      </c>
      <c r="Z97" s="34">
        <v>0.97076219407452002</v>
      </c>
      <c r="AA97" s="34">
        <v>0.97497870922323804</v>
      </c>
      <c r="AB97" s="33">
        <v>25.9805237099864</v>
      </c>
      <c r="AC97" s="33">
        <v>25.681562030768799</v>
      </c>
      <c r="AD97" s="33">
        <v>25.787667098434699</v>
      </c>
      <c r="AE97" s="15">
        <v>1.31935371849032E-2</v>
      </c>
      <c r="AF97" s="15">
        <v>1.6196716627560901E-3</v>
      </c>
      <c r="AG97" s="15">
        <v>5.7427261468746896E-3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1.3150668573031689E-2</v>
      </c>
      <c r="AT97" s="12"/>
      <c r="AU97">
        <f t="shared" si="30"/>
        <v>0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9.7892348002349902E-3</v>
      </c>
      <c r="BA97" s="28">
        <f t="shared" si="33"/>
        <v>-1.08612394316047E-2</v>
      </c>
      <c r="BB97" s="28">
        <f t="shared" si="40"/>
        <v>-1.0720046313697097E-3</v>
      </c>
      <c r="BC97" s="29">
        <f t="shared" si="41"/>
        <v>8.299131560799089E-3</v>
      </c>
      <c r="BE97" s="29">
        <f t="shared" si="42"/>
        <v>-1.0720046313697097E-3</v>
      </c>
      <c r="BF97" s="29">
        <f t="shared" si="43"/>
        <v>2.1449800133830778E-2</v>
      </c>
      <c r="BH97" s="29"/>
    </row>
    <row r="98" spans="1:60" x14ac:dyDescent="0.25">
      <c r="A98" s="1">
        <v>46163</v>
      </c>
      <c r="B98" s="33">
        <v>26.85</v>
      </c>
      <c r="C98" s="33">
        <v>26.04</v>
      </c>
      <c r="D98" s="15">
        <v>1.5766092338675999E-2</v>
      </c>
      <c r="E98" s="15">
        <v>1.5480185287899E-2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26.85</v>
      </c>
      <c r="M98" s="33">
        <v>26.04</v>
      </c>
      <c r="N98" s="34">
        <v>0.96983240223463596</v>
      </c>
      <c r="O98" s="34">
        <v>0.98299370828552601</v>
      </c>
      <c r="P98" s="34">
        <v>0.97065323571642304</v>
      </c>
      <c r="Q98" s="34">
        <v>0.97438633348291304</v>
      </c>
      <c r="R98" s="33">
        <v>26.393381067466301</v>
      </c>
      <c r="S98" s="33">
        <v>26.064964910900802</v>
      </c>
      <c r="T98" s="33">
        <v>26.1781783426439</v>
      </c>
      <c r="U98" s="15">
        <v>1.3479444235680101E-2</v>
      </c>
      <c r="V98" s="15">
        <v>9.5825466359671302E-4</v>
      </c>
      <c r="W98" s="15">
        <v>5.2923586976767302E-3</v>
      </c>
      <c r="X98" s="34">
        <v>0.96983240223463596</v>
      </c>
      <c r="Y98" s="34">
        <v>0.98299370828552601</v>
      </c>
      <c r="Z98" s="34">
        <v>0.97065323571642304</v>
      </c>
      <c r="AA98" s="34">
        <v>0.97438633348291304</v>
      </c>
      <c r="AB98" s="33">
        <v>26.393381067466301</v>
      </c>
      <c r="AC98" s="33">
        <v>26.064964910900802</v>
      </c>
      <c r="AD98" s="33">
        <v>26.1781783426439</v>
      </c>
      <c r="AE98" s="15">
        <v>1.3479444235680101E-2</v>
      </c>
      <c r="AF98" s="15">
        <v>9.5825466359671302E-4</v>
      </c>
      <c r="AG98" s="15">
        <v>5.2923586976767302E-3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1.3150668573031689E-2</v>
      </c>
      <c r="AT98" s="12"/>
      <c r="AU98">
        <f t="shared" si="30"/>
        <v>0</v>
      </c>
      <c r="AV98">
        <f t="shared" si="31"/>
        <v>0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-1.5766092338675999E-2</v>
      </c>
      <c r="BA98" s="28">
        <f t="shared" si="33"/>
        <v>1.5480185287899E-2</v>
      </c>
      <c r="BB98" s="28">
        <f t="shared" si="40"/>
        <v>-2.859070507769991E-4</v>
      </c>
      <c r="BC98" s="29">
        <f t="shared" si="41"/>
        <v>8.0132245100220899E-3</v>
      </c>
      <c r="BE98" s="29">
        <f t="shared" si="42"/>
        <v>-2.859070507769991E-4</v>
      </c>
      <c r="BF98" s="29">
        <f t="shared" si="43"/>
        <v>2.1163893083053779E-2</v>
      </c>
      <c r="BH98" s="29"/>
    </row>
    <row r="99" spans="1:60" x14ac:dyDescent="0.25">
      <c r="A99" s="1">
        <v>46164</v>
      </c>
      <c r="B99" s="33">
        <v>26.99</v>
      </c>
      <c r="C99" s="33">
        <v>26.2</v>
      </c>
      <c r="D99" s="15">
        <v>5.2006060750394703E-3</v>
      </c>
      <c r="E99" s="15">
        <v>6.1255934266825698E-3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26.99</v>
      </c>
      <c r="M99" s="33">
        <v>26.2</v>
      </c>
      <c r="N99" s="34">
        <v>0.97072989996294901</v>
      </c>
      <c r="O99" s="34">
        <v>0.98299370828552601</v>
      </c>
      <c r="P99" s="34">
        <v>0.97012396901314102</v>
      </c>
      <c r="Q99" s="34">
        <v>0.973943589726735</v>
      </c>
      <c r="R99" s="33">
        <v>26.531000186626301</v>
      </c>
      <c r="S99" s="33">
        <v>26.197930831986199</v>
      </c>
      <c r="T99" s="33">
        <v>26.298687140703802</v>
      </c>
      <c r="U99" s="15">
        <v>1.2554456884036801E-2</v>
      </c>
      <c r="V99" s="15">
        <v>-7.8978997145566897E-5</v>
      </c>
      <c r="W99" s="15">
        <v>3.75960856627542E-3</v>
      </c>
      <c r="X99" s="34">
        <v>0.97072989996294901</v>
      </c>
      <c r="Y99" s="34">
        <v>0.98299370828552601</v>
      </c>
      <c r="Z99" s="34">
        <v>0.97012396901314102</v>
      </c>
      <c r="AA99" s="34">
        <v>0.973943589726735</v>
      </c>
      <c r="AB99" s="33">
        <v>26.531000186626301</v>
      </c>
      <c r="AC99" s="33">
        <v>26.197930831986199</v>
      </c>
      <c r="AD99" s="33">
        <v>26.298687140703802</v>
      </c>
      <c r="AE99" s="15">
        <v>1.2554456884036801E-2</v>
      </c>
      <c r="AF99" s="15">
        <v>-7.8978997145566897E-5</v>
      </c>
      <c r="AG99" s="15">
        <v>3.75960856627542E-3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1.3150668573031689E-2</v>
      </c>
      <c r="AT99" s="12"/>
      <c r="AU99">
        <f t="shared" si="30"/>
        <v>0</v>
      </c>
      <c r="AV99">
        <f t="shared" si="31"/>
        <v>1</v>
      </c>
      <c r="AW99">
        <f t="shared" si="38"/>
        <v>1</v>
      </c>
      <c r="AX99">
        <f t="shared" si="25"/>
        <v>1</v>
      </c>
      <c r="AY99">
        <f t="shared" si="39"/>
        <v>1</v>
      </c>
      <c r="AZ99" s="28">
        <f t="shared" si="32"/>
        <v>-5.2006060750394703E-3</v>
      </c>
      <c r="BA99" s="28">
        <f t="shared" si="33"/>
        <v>6.1255934266825698E-3</v>
      </c>
      <c r="BB99" s="28">
        <f t="shared" si="40"/>
        <v>9.2498735164309957E-4</v>
      </c>
      <c r="BC99" s="29">
        <f t="shared" si="41"/>
        <v>8.9382118616651886E-3</v>
      </c>
      <c r="BE99" s="29">
        <f t="shared" si="42"/>
        <v>9.2498735164309957E-4</v>
      </c>
      <c r="BF99" s="29">
        <f t="shared" si="43"/>
        <v>2.2088880434696877E-2</v>
      </c>
      <c r="BH99" s="29"/>
    </row>
    <row r="100" spans="1:60" x14ac:dyDescent="0.25">
      <c r="A100" s="1">
        <v>46168</v>
      </c>
      <c r="B100" s="33">
        <v>26.14</v>
      </c>
      <c r="C100" s="33">
        <v>25.38</v>
      </c>
      <c r="D100" s="15">
        <v>-3.1999718833837301E-2</v>
      </c>
      <c r="E100" s="15">
        <v>-3.1797948480809503E-2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26.14</v>
      </c>
      <c r="M100" s="33">
        <v>25.38</v>
      </c>
      <c r="N100" s="34">
        <v>0.97092578423871401</v>
      </c>
      <c r="O100" s="34">
        <v>0.98299370828552601</v>
      </c>
      <c r="P100" s="34">
        <v>0.96951079361326897</v>
      </c>
      <c r="Q100" s="34">
        <v>0.97343226869684996</v>
      </c>
      <c r="R100" s="33">
        <v>25.695455534583601</v>
      </c>
      <c r="S100" s="33">
        <v>25.359040550003499</v>
      </c>
      <c r="T100" s="33">
        <v>25.4588854354568</v>
      </c>
      <c r="U100" s="15">
        <v>1.2352686531009301E-2</v>
      </c>
      <c r="V100" s="15">
        <v>-8.2616663466394296E-4</v>
      </c>
      <c r="W100" s="15">
        <v>3.1033528013834498E-3</v>
      </c>
      <c r="X100" s="34">
        <v>0.97092578423871401</v>
      </c>
      <c r="Y100" s="34">
        <v>0.98299370828552601</v>
      </c>
      <c r="Z100" s="34">
        <v>0.96951079361326897</v>
      </c>
      <c r="AA100" s="34">
        <v>0.97343226869684996</v>
      </c>
      <c r="AB100" s="33">
        <v>25.695455534583601</v>
      </c>
      <c r="AC100" s="33">
        <v>25.359040550003499</v>
      </c>
      <c r="AD100" s="33">
        <v>25.4588854354568</v>
      </c>
      <c r="AE100" s="15">
        <v>1.2352686531009301E-2</v>
      </c>
      <c r="AF100" s="15">
        <v>-8.2616663466394296E-4</v>
      </c>
      <c r="AG100" s="15">
        <v>3.1033528013834498E-3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1.3150668573031689E-2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8.9382118616651886E-3</v>
      </c>
      <c r="BE100" s="29">
        <f t="shared" si="42"/>
        <v>0</v>
      </c>
      <c r="BF100" s="29">
        <f t="shared" si="43"/>
        <v>2.2088880434696877E-2</v>
      </c>
      <c r="BH100" s="29"/>
    </row>
    <row r="101" spans="1:60" x14ac:dyDescent="0.25">
      <c r="A101" s="1">
        <v>46169</v>
      </c>
      <c r="B101" s="33">
        <v>26.72</v>
      </c>
      <c r="C101" s="33">
        <v>25.94</v>
      </c>
      <c r="D101" s="15">
        <v>2.19456404723689E-2</v>
      </c>
      <c r="E101" s="15">
        <v>2.1824716602056201E-2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26.72</v>
      </c>
      <c r="M101" s="33">
        <v>25.94</v>
      </c>
      <c r="N101" s="34">
        <v>0.97080838323353302</v>
      </c>
      <c r="O101" s="34">
        <v>0.98299370828552601</v>
      </c>
      <c r="P101" s="34">
        <v>0.96948011456916305</v>
      </c>
      <c r="Q101" s="34">
        <v>0.973152265323316</v>
      </c>
      <c r="R101" s="33">
        <v>26.265591885389199</v>
      </c>
      <c r="S101" s="33">
        <v>25.905328405346498</v>
      </c>
      <c r="T101" s="33">
        <v>26.010110219579801</v>
      </c>
      <c r="U101" s="15">
        <v>1.2473610401321901E-2</v>
      </c>
      <c r="V101" s="15">
        <v>-1.33750140614666E-3</v>
      </c>
      <c r="W101" s="15">
        <v>2.6991381480527101E-3</v>
      </c>
      <c r="X101" s="34">
        <v>0.97080838323353302</v>
      </c>
      <c r="Y101" s="34">
        <v>0.98299370828552601</v>
      </c>
      <c r="Z101" s="34">
        <v>0.96948011456916305</v>
      </c>
      <c r="AA101" s="34">
        <v>0.973152265323316</v>
      </c>
      <c r="AB101" s="33">
        <v>26.265591885389199</v>
      </c>
      <c r="AC101" s="33">
        <v>25.905328405346498</v>
      </c>
      <c r="AD101" s="33">
        <v>26.010110219579801</v>
      </c>
      <c r="AE101" s="15">
        <v>1.2473610401321901E-2</v>
      </c>
      <c r="AF101" s="15">
        <v>-1.33750140614666E-3</v>
      </c>
      <c r="AG101" s="15">
        <v>2.6991381480527101E-3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1.3150668573031689E-2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8.9382118616651886E-3</v>
      </c>
      <c r="BE101" s="29">
        <f t="shared" si="42"/>
        <v>0</v>
      </c>
      <c r="BF101" s="29">
        <f t="shared" si="43"/>
        <v>2.2088880434696877E-2</v>
      </c>
      <c r="BH101" s="29"/>
    </row>
    <row r="102" spans="1:60" x14ac:dyDescent="0.25">
      <c r="A102" s="1">
        <v>46170</v>
      </c>
      <c r="B102" s="33">
        <v>26.74</v>
      </c>
      <c r="C102" s="33">
        <v>25.96</v>
      </c>
      <c r="D102" s="15">
        <v>7.48223005352134E-4</v>
      </c>
      <c r="E102" s="15">
        <v>7.7071294759130198E-4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26.74</v>
      </c>
      <c r="M102" s="33">
        <v>25.96</v>
      </c>
      <c r="N102" s="34">
        <v>0.97083021690351501</v>
      </c>
      <c r="O102" s="34">
        <v>0.98299370828552601</v>
      </c>
      <c r="P102" s="34">
        <v>0.96974596379467404</v>
      </c>
      <c r="Q102" s="34">
        <v>0.972737083255105</v>
      </c>
      <c r="R102" s="33">
        <v>26.2852517595549</v>
      </c>
      <c r="S102" s="33">
        <v>25.9238982635794</v>
      </c>
      <c r="T102" s="33">
        <v>26.022091574745399</v>
      </c>
      <c r="U102" s="15">
        <v>1.24511204590826E-2</v>
      </c>
      <c r="V102" s="15">
        <v>-1.39163568872672E-3</v>
      </c>
      <c r="W102" s="15">
        <v>2.3889613670741799E-3</v>
      </c>
      <c r="X102" s="34">
        <v>0.97083021690351501</v>
      </c>
      <c r="Y102" s="34">
        <v>0.98299370828552601</v>
      </c>
      <c r="Z102" s="34">
        <v>0.96974596379467404</v>
      </c>
      <c r="AA102" s="34">
        <v>0.972737083255105</v>
      </c>
      <c r="AB102" s="33">
        <v>26.2852517595549</v>
      </c>
      <c r="AC102" s="33">
        <v>25.9238982635794</v>
      </c>
      <c r="AD102" s="33">
        <v>26.022091574745399</v>
      </c>
      <c r="AE102" s="15">
        <v>1.24511204590826E-2</v>
      </c>
      <c r="AF102" s="15">
        <v>-1.39163568872672E-3</v>
      </c>
      <c r="AG102" s="15">
        <v>2.3889613670741799E-3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1.3150668573031689E-2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8.9382118616651886E-3</v>
      </c>
      <c r="BE102" s="29">
        <f t="shared" si="42"/>
        <v>0</v>
      </c>
      <c r="BF102" s="29">
        <f t="shared" si="43"/>
        <v>2.2088880434696877E-2</v>
      </c>
      <c r="BH102" s="29"/>
    </row>
    <row r="103" spans="1:60" x14ac:dyDescent="0.25">
      <c r="A103" s="1">
        <v>46171</v>
      </c>
      <c r="B103" s="33">
        <v>26.73</v>
      </c>
      <c r="C103" s="33">
        <v>25.72</v>
      </c>
      <c r="D103" s="15">
        <v>-3.74041522969419E-4</v>
      </c>
      <c r="E103" s="15">
        <v>-9.2879924664707094E-3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26.73</v>
      </c>
      <c r="M103" s="33">
        <v>25.72</v>
      </c>
      <c r="N103" s="34">
        <v>0.96221473999251705</v>
      </c>
      <c r="O103" s="34">
        <v>0.98299370828552601</v>
      </c>
      <c r="P103" s="34">
        <v>0.96887030344334901</v>
      </c>
      <c r="Q103" s="34">
        <v>0.971818139889435</v>
      </c>
      <c r="R103" s="33">
        <v>26.275421822472101</v>
      </c>
      <c r="S103" s="33">
        <v>25.9213096122316</v>
      </c>
      <c r="T103" s="33">
        <v>26.001262235408898</v>
      </c>
      <c r="U103" s="15">
        <v>2.1365071402584E-2</v>
      </c>
      <c r="V103" s="15">
        <v>7.7964960015604202E-3</v>
      </c>
      <c r="W103" s="15">
        <v>1.08761849894008E-2</v>
      </c>
      <c r="X103" s="34">
        <v>0.96221473999251705</v>
      </c>
      <c r="Y103" s="34">
        <v>0.98299370828552601</v>
      </c>
      <c r="Z103" s="34">
        <v>0.96887030344334901</v>
      </c>
      <c r="AA103" s="34">
        <v>0.971818139889435</v>
      </c>
      <c r="AB103" s="33">
        <v>26.275421822472101</v>
      </c>
      <c r="AC103" s="33">
        <v>25.9213096122316</v>
      </c>
      <c r="AD103" s="33">
        <v>26.001262235408898</v>
      </c>
      <c r="AE103" s="15">
        <v>2.1365071402584E-2</v>
      </c>
      <c r="AF103" s="15">
        <v>7.7964960015604202E-3</v>
      </c>
      <c r="AG103" s="15">
        <v>1.08761849894008E-2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1.3150668573031689E-2</v>
      </c>
      <c r="AT103" s="12"/>
      <c r="AU103">
        <f t="shared" si="30"/>
        <v>1</v>
      </c>
      <c r="AV103">
        <f t="shared" si="31"/>
        <v>0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8.9382118616651886E-3</v>
      </c>
      <c r="BE103" s="29">
        <f t="shared" si="42"/>
        <v>0</v>
      </c>
      <c r="BF103" s="29">
        <f t="shared" si="43"/>
        <v>2.2088880434696877E-2</v>
      </c>
      <c r="BH103" s="29"/>
    </row>
    <row r="104" spans="1:60" x14ac:dyDescent="0.25">
      <c r="A104" s="1">
        <v>46174</v>
      </c>
      <c r="B104" s="33">
        <v>25.88</v>
      </c>
      <c r="C104" s="33">
        <v>25.16</v>
      </c>
      <c r="D104" s="15">
        <v>-3.2316060518127798E-2</v>
      </c>
      <c r="E104" s="15">
        <v>-2.20134675371788E-2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25.88</v>
      </c>
      <c r="M104" s="33">
        <v>25.16</v>
      </c>
      <c r="N104" s="34">
        <v>0.97217928902627504</v>
      </c>
      <c r="O104" s="34">
        <v>0.98299370828552601</v>
      </c>
      <c r="P104" s="34">
        <v>0.96967010369100604</v>
      </c>
      <c r="Q104" s="34">
        <v>0.97163031289689805</v>
      </c>
      <c r="R104" s="33">
        <v>25.439877170429401</v>
      </c>
      <c r="S104" s="33">
        <v>25.074363453113801</v>
      </c>
      <c r="T104" s="33">
        <v>25.1506534603385</v>
      </c>
      <c r="U104" s="15">
        <v>1.10624784216347E-2</v>
      </c>
      <c r="V104" s="15">
        <v>-3.4094840247533499E-3</v>
      </c>
      <c r="W104" s="15">
        <v>-3.7155310559880601E-4</v>
      </c>
      <c r="X104" s="34">
        <v>0.97217928902627504</v>
      </c>
      <c r="Y104" s="34">
        <v>0.98299370828552601</v>
      </c>
      <c r="Z104" s="34">
        <v>0.96967010369100604</v>
      </c>
      <c r="AA104" s="34">
        <v>0.97163031289689805</v>
      </c>
      <c r="AB104" s="33">
        <v>25.439877170429401</v>
      </c>
      <c r="AC104" s="33">
        <v>25.074363453113801</v>
      </c>
      <c r="AD104" s="33">
        <v>25.1506534603385</v>
      </c>
      <c r="AE104" s="15">
        <v>1.10624784216347E-2</v>
      </c>
      <c r="AF104" s="15">
        <v>-3.4094840247533499E-3</v>
      </c>
      <c r="AG104" s="15">
        <v>-3.7155310559880601E-4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1.3150668573031689E-2</v>
      </c>
      <c r="AT104" s="12"/>
      <c r="AU104">
        <f t="shared" si="30"/>
        <v>0</v>
      </c>
      <c r="AV104">
        <f t="shared" si="31"/>
        <v>1</v>
      </c>
      <c r="AW104">
        <f t="shared" si="38"/>
        <v>1</v>
      </c>
      <c r="AX104">
        <f t="shared" si="25"/>
        <v>1</v>
      </c>
      <c r="AY104">
        <f t="shared" si="39"/>
        <v>1</v>
      </c>
      <c r="AZ104" s="28">
        <f t="shared" si="32"/>
        <v>3.2316060518127798E-2</v>
      </c>
      <c r="BA104" s="28">
        <f t="shared" si="33"/>
        <v>-2.20134675371788E-2</v>
      </c>
      <c r="BB104" s="28">
        <f t="shared" si="40"/>
        <v>1.0302592980948998E-2</v>
      </c>
      <c r="BC104" s="29">
        <f t="shared" si="41"/>
        <v>1.9240804842614187E-2</v>
      </c>
      <c r="BE104" s="29">
        <f t="shared" si="42"/>
        <v>1.0302592980948998E-2</v>
      </c>
      <c r="BF104" s="29">
        <f t="shared" si="43"/>
        <v>3.2391473415645876E-2</v>
      </c>
      <c r="BH104" s="29"/>
    </row>
    <row r="105" spans="1:60" x14ac:dyDescent="0.25">
      <c r="A105" s="1">
        <v>46175</v>
      </c>
      <c r="B105" s="33">
        <v>25.79</v>
      </c>
      <c r="C105" s="33">
        <v>24.94</v>
      </c>
      <c r="D105" s="15">
        <v>-3.4836497394463502E-3</v>
      </c>
      <c r="E105" s="15">
        <v>-8.7824915803493397E-3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25.79</v>
      </c>
      <c r="M105" s="33">
        <v>24.94</v>
      </c>
      <c r="N105" s="34">
        <v>0.96704148894920505</v>
      </c>
      <c r="O105" s="34">
        <v>0.98299370828552601</v>
      </c>
      <c r="P105" s="34">
        <v>0.96958221718769599</v>
      </c>
      <c r="Q105" s="34">
        <v>0.97097602804388095</v>
      </c>
      <c r="R105" s="33">
        <v>25.351407736683701</v>
      </c>
      <c r="S105" s="33">
        <v>25.007791974191001</v>
      </c>
      <c r="T105" s="33">
        <v>25.058345769611002</v>
      </c>
      <c r="U105" s="15">
        <v>1.6361320262537799E-2</v>
      </c>
      <c r="V105" s="15">
        <v>2.7145150221528401E-3</v>
      </c>
      <c r="W105" s="15">
        <v>4.7339962475595101E-3</v>
      </c>
      <c r="X105" s="34">
        <v>0.96704148894920505</v>
      </c>
      <c r="Y105" s="34">
        <v>0.98299370828552601</v>
      </c>
      <c r="Z105" s="34">
        <v>0.96958221718769599</v>
      </c>
      <c r="AA105" s="34">
        <v>0.97097602804388095</v>
      </c>
      <c r="AB105" s="33">
        <v>25.351407736683701</v>
      </c>
      <c r="AC105" s="33">
        <v>25.007791974191001</v>
      </c>
      <c r="AD105" s="33">
        <v>25.058345769611002</v>
      </c>
      <c r="AE105" s="15">
        <v>1.6361320262537799E-2</v>
      </c>
      <c r="AF105" s="15">
        <v>2.7145150221528401E-3</v>
      </c>
      <c r="AG105" s="15">
        <v>4.7339962475595101E-3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1.3150668573031689E-2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1.9240804842614187E-2</v>
      </c>
      <c r="BE105" s="29">
        <f t="shared" si="42"/>
        <v>0</v>
      </c>
      <c r="BF105" s="29">
        <f t="shared" si="43"/>
        <v>3.2391473415645876E-2</v>
      </c>
      <c r="BH105" s="29"/>
    </row>
    <row r="106" spans="1:60" x14ac:dyDescent="0.25">
      <c r="A106" s="1">
        <v>46176</v>
      </c>
      <c r="B106" s="33">
        <v>25.54</v>
      </c>
      <c r="C106" s="33">
        <v>24.76</v>
      </c>
      <c r="D106" s="15">
        <v>-9.7409692888601705E-3</v>
      </c>
      <c r="E106" s="15">
        <v>-7.2434924354950201E-3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25.54</v>
      </c>
      <c r="M106" s="33">
        <v>24.76</v>
      </c>
      <c r="N106" s="34">
        <v>0.96945967110414999</v>
      </c>
      <c r="O106" s="34">
        <v>0.98299370828552601</v>
      </c>
      <c r="P106" s="34">
        <v>0.96941315994442101</v>
      </c>
      <c r="Q106" s="34">
        <v>0.97054770806091395</v>
      </c>
      <c r="R106" s="33">
        <v>25.1056593096123</v>
      </c>
      <c r="S106" s="33">
        <v>24.763129826973699</v>
      </c>
      <c r="T106" s="33">
        <v>24.798727756240702</v>
      </c>
      <c r="U106" s="15">
        <v>1.38638434091725E-2</v>
      </c>
      <c r="V106" s="15">
        <v>1.2639859350055901E-4</v>
      </c>
      <c r="W106" s="15">
        <v>1.5629038870601001E-3</v>
      </c>
      <c r="X106" s="34">
        <v>0.96945967110414999</v>
      </c>
      <c r="Y106" s="34">
        <v>0.98299370828552601</v>
      </c>
      <c r="Z106" s="34">
        <v>0.96941315994442101</v>
      </c>
      <c r="AA106" s="34">
        <v>0.97054770806091395</v>
      </c>
      <c r="AB106" s="33">
        <v>25.1056593096123</v>
      </c>
      <c r="AC106" s="33">
        <v>24.763129826973699</v>
      </c>
      <c r="AD106" s="33">
        <v>24.798727756240702</v>
      </c>
      <c r="AE106" s="15">
        <v>1.38638434091725E-2</v>
      </c>
      <c r="AF106" s="15">
        <v>1.2639859350055901E-4</v>
      </c>
      <c r="AG106" s="15">
        <v>1.5629038870601001E-3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1.3150668573031689E-2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1.9240804842614187E-2</v>
      </c>
      <c r="BE106" s="29">
        <f t="shared" si="42"/>
        <v>0</v>
      </c>
      <c r="BF106" s="29">
        <f t="shared" si="43"/>
        <v>3.2391473415645876E-2</v>
      </c>
      <c r="BH106" s="29"/>
    </row>
    <row r="107" spans="1:60" x14ac:dyDescent="0.25">
      <c r="A107" s="1">
        <v>46177</v>
      </c>
      <c r="B107" s="33">
        <v>26.3</v>
      </c>
      <c r="C107" s="33">
        <v>25.46</v>
      </c>
      <c r="D107" s="15">
        <v>2.9323088579325699E-2</v>
      </c>
      <c r="E107" s="15">
        <v>2.7879145312865099E-2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26.3</v>
      </c>
      <c r="M107" s="33">
        <v>25.46</v>
      </c>
      <c r="N107" s="34">
        <v>0.968060836501901</v>
      </c>
      <c r="O107" s="34">
        <v>0.98299370828552601</v>
      </c>
      <c r="P107" s="34">
        <v>0.96920827121473896</v>
      </c>
      <c r="Q107" s="34">
        <v>0.96998523264462899</v>
      </c>
      <c r="R107" s="33">
        <v>25.852734527909298</v>
      </c>
      <c r="S107" s="33">
        <v>25.495566106538199</v>
      </c>
      <c r="T107" s="33">
        <v>25.525404722002001</v>
      </c>
      <c r="U107" s="15">
        <v>1.5307786675633201E-2</v>
      </c>
      <c r="V107" s="15">
        <v>1.39596574158788E-3</v>
      </c>
      <c r="W107" s="15">
        <v>2.5656267018199399E-3</v>
      </c>
      <c r="X107" s="34">
        <v>0.968060836501901</v>
      </c>
      <c r="Y107" s="34">
        <v>0.98299370828552601</v>
      </c>
      <c r="Z107" s="34">
        <v>0.96920827121473896</v>
      </c>
      <c r="AA107" s="34">
        <v>0.96998523264462899</v>
      </c>
      <c r="AB107" s="33">
        <v>25.852734527909298</v>
      </c>
      <c r="AC107" s="33">
        <v>25.495566106538199</v>
      </c>
      <c r="AD107" s="33">
        <v>25.525404722002001</v>
      </c>
      <c r="AE107" s="15">
        <v>1.5307786675633201E-2</v>
      </c>
      <c r="AF107" s="15">
        <v>1.39596574158788E-3</v>
      </c>
      <c r="AG107" s="15">
        <v>2.5656267018199399E-3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1.3150668573031689E-2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1.9240804842614187E-2</v>
      </c>
      <c r="BE107" s="29">
        <f t="shared" si="42"/>
        <v>0</v>
      </c>
      <c r="BF107" s="29">
        <f t="shared" si="43"/>
        <v>3.2391473415645876E-2</v>
      </c>
      <c r="BH107" s="29"/>
    </row>
    <row r="108" spans="1:60" x14ac:dyDescent="0.25">
      <c r="A108" s="1">
        <v>46178</v>
      </c>
      <c r="B108" s="33">
        <v>26.69</v>
      </c>
      <c r="C108" s="33">
        <v>26.16</v>
      </c>
      <c r="D108" s="15">
        <v>1.47200242327138E-2</v>
      </c>
      <c r="E108" s="15">
        <v>2.71229334597375E-2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26.69</v>
      </c>
      <c r="M108" s="33">
        <v>26.16</v>
      </c>
      <c r="N108" s="34">
        <v>0.98014237542150595</v>
      </c>
      <c r="O108" s="34">
        <v>0.98299370828552601</v>
      </c>
      <c r="P108" s="34">
        <v>0.97023926853342601</v>
      </c>
      <c r="Q108" s="34">
        <v>0.97044625212492497</v>
      </c>
      <c r="R108" s="33">
        <v>26.2361020741406</v>
      </c>
      <c r="S108" s="33">
        <v>25.868168758721399</v>
      </c>
      <c r="T108" s="33">
        <v>25.888905859285099</v>
      </c>
      <c r="U108" s="15">
        <v>2.9048774486097801E-3</v>
      </c>
      <c r="V108" s="15">
        <v>-1.1218319184838199E-2</v>
      </c>
      <c r="W108" s="15">
        <v>-1.0416994850862201E-2</v>
      </c>
      <c r="X108" s="34">
        <v>0.98014237542150595</v>
      </c>
      <c r="Y108" s="34">
        <v>0.98299370828552601</v>
      </c>
      <c r="Z108" s="34">
        <v>0.97023926853342601</v>
      </c>
      <c r="AA108" s="34">
        <v>0.97044625212492497</v>
      </c>
      <c r="AB108" s="33">
        <v>26.2361020741406</v>
      </c>
      <c r="AC108" s="33">
        <v>25.868168758721399</v>
      </c>
      <c r="AD108" s="33">
        <v>25.888905859285099</v>
      </c>
      <c r="AE108" s="15">
        <v>2.9048774486097801E-3</v>
      </c>
      <c r="AF108" s="15">
        <v>-1.1218319184838199E-2</v>
      </c>
      <c r="AG108" s="15">
        <v>-1.0416994850862201E-2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1.3150668573031689E-2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1.9240804842614187E-2</v>
      </c>
      <c r="BE108" s="29">
        <f t="shared" si="42"/>
        <v>0</v>
      </c>
      <c r="BF108" s="29">
        <f t="shared" si="43"/>
        <v>3.2391473415645876E-2</v>
      </c>
      <c r="BH108" s="29"/>
    </row>
    <row r="109" spans="1:60" x14ac:dyDescent="0.25">
      <c r="A109" s="1">
        <v>46181</v>
      </c>
      <c r="B109" s="33">
        <v>26.96</v>
      </c>
      <c r="C109" s="33">
        <v>26.44</v>
      </c>
      <c r="D109" s="15">
        <v>1.00653226276735E-2</v>
      </c>
      <c r="E109" s="15">
        <v>1.06464883944877E-2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26.96</v>
      </c>
      <c r="M109" s="33">
        <v>26.44</v>
      </c>
      <c r="N109" s="34">
        <v>0.98071216617210599</v>
      </c>
      <c r="O109" s="34">
        <v>0.98299370828552601</v>
      </c>
      <c r="P109" s="34">
        <v>0.97123749515434199</v>
      </c>
      <c r="Q109" s="34">
        <v>0.97068073208374195</v>
      </c>
      <c r="R109" s="33">
        <v>26.501510375377698</v>
      </c>
      <c r="S109" s="33">
        <v>26.157650679661099</v>
      </c>
      <c r="T109" s="33">
        <v>26.163230957287901</v>
      </c>
      <c r="U109" s="15">
        <v>2.3237116817955402E-3</v>
      </c>
      <c r="V109" s="15">
        <v>-1.0736298250621199E-2</v>
      </c>
      <c r="W109" s="15">
        <v>-1.0522988479326501E-2</v>
      </c>
      <c r="X109" s="34">
        <v>0.98071216617210599</v>
      </c>
      <c r="Y109" s="34">
        <v>0.98299370828552601</v>
      </c>
      <c r="Z109" s="34">
        <v>0.97123749515434199</v>
      </c>
      <c r="AA109" s="34">
        <v>0.97068073208374195</v>
      </c>
      <c r="AB109" s="33">
        <v>26.501510375377698</v>
      </c>
      <c r="AC109" s="33">
        <v>26.157650679661099</v>
      </c>
      <c r="AD109" s="33">
        <v>26.163230957287901</v>
      </c>
      <c r="AE109" s="15">
        <v>2.3237116817955402E-3</v>
      </c>
      <c r="AF109" s="15">
        <v>-1.0736298250621199E-2</v>
      </c>
      <c r="AG109" s="15">
        <v>-1.0522988479326501E-2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1.3150668573031689E-2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1.9240804842614187E-2</v>
      </c>
      <c r="BE109" s="29">
        <f t="shared" si="42"/>
        <v>0</v>
      </c>
      <c r="BF109" s="29">
        <f t="shared" si="43"/>
        <v>3.2391473415645876E-2</v>
      </c>
      <c r="BH109" s="29"/>
    </row>
    <row r="110" spans="1:60" x14ac:dyDescent="0.25">
      <c r="A110" s="1">
        <v>46182</v>
      </c>
      <c r="B110" s="33">
        <v>27.12</v>
      </c>
      <c r="C110" s="33">
        <v>26.73</v>
      </c>
      <c r="D110" s="15">
        <v>5.9171770280885098E-3</v>
      </c>
      <c r="E110" s="15">
        <v>1.09085151673419E-2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27.12</v>
      </c>
      <c r="M110" s="33">
        <v>26.73</v>
      </c>
      <c r="N110" s="34">
        <v>0.98561946902654796</v>
      </c>
      <c r="O110" s="34">
        <v>0.98299370828552601</v>
      </c>
      <c r="P110" s="34">
        <v>0.97270686363312497</v>
      </c>
      <c r="Q110" s="34">
        <v>0.97110882862319703</v>
      </c>
      <c r="R110" s="33">
        <v>26.658789368703399</v>
      </c>
      <c r="S110" s="33">
        <v>26.339960868585699</v>
      </c>
      <c r="T110" s="33">
        <v>26.324861454111002</v>
      </c>
      <c r="U110" s="15">
        <v>-2.66762645745785E-3</v>
      </c>
      <c r="V110" s="15">
        <v>-1.46993194637601E-2</v>
      </c>
      <c r="W110" s="15">
        <v>-1.5272735046400599E-2</v>
      </c>
      <c r="X110" s="34">
        <v>0.98561946902654796</v>
      </c>
      <c r="Y110" s="34">
        <v>0.98299370828552601</v>
      </c>
      <c r="Z110" s="34">
        <v>0.97270686363312497</v>
      </c>
      <c r="AA110" s="34">
        <v>0.97110882862319703</v>
      </c>
      <c r="AB110" s="33">
        <v>26.658789368703399</v>
      </c>
      <c r="AC110" s="33">
        <v>26.339960868585699</v>
      </c>
      <c r="AD110" s="33">
        <v>26.324861454111002</v>
      </c>
      <c r="AE110" s="15">
        <v>-2.66762645745785E-3</v>
      </c>
      <c r="AF110" s="15">
        <v>-1.46993194637601E-2</v>
      </c>
      <c r="AG110" s="15">
        <v>-1.5272735046400599E-2</v>
      </c>
      <c r="AI110" s="12"/>
      <c r="AJ110">
        <f t="shared" si="26"/>
        <v>1</v>
      </c>
      <c r="AK110">
        <f t="shared" si="27"/>
        <v>0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1.3150668573031689E-2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1.9240804842614187E-2</v>
      </c>
      <c r="BE110" s="29">
        <f t="shared" si="42"/>
        <v>0</v>
      </c>
      <c r="BF110" s="29">
        <f t="shared" si="43"/>
        <v>3.2391473415645876E-2</v>
      </c>
      <c r="BH110" s="29"/>
    </row>
    <row r="111" spans="1:60" x14ac:dyDescent="0.25">
      <c r="A111" s="1">
        <v>46183</v>
      </c>
      <c r="B111" s="33">
        <v>26.85</v>
      </c>
      <c r="C111" s="33">
        <v>26.53</v>
      </c>
      <c r="D111" s="15">
        <v>-1.0005642117321E-2</v>
      </c>
      <c r="E111" s="15">
        <v>-7.5103620011793097E-3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26.85</v>
      </c>
      <c r="M111" s="33">
        <v>26.53</v>
      </c>
      <c r="N111" s="34">
        <v>0.98808193668528799</v>
      </c>
      <c r="O111" s="34">
        <v>0.98299370828552601</v>
      </c>
      <c r="P111" s="34">
        <v>0.97443421897830096</v>
      </c>
      <c r="Q111" s="34">
        <v>0.97195716677373201</v>
      </c>
      <c r="R111" s="33">
        <v>26.393381067466301</v>
      </c>
      <c r="S111" s="33">
        <v>26.117179288549401</v>
      </c>
      <c r="T111" s="33">
        <v>26.074272048532801</v>
      </c>
      <c r="U111" s="15">
        <v>-5.1629065735997104E-3</v>
      </c>
      <c r="V111" s="15">
        <v>-1.5682860057135199E-2</v>
      </c>
      <c r="W111" s="15">
        <v>-1.7327085254323499E-2</v>
      </c>
      <c r="X111" s="34">
        <v>0.98808193668528799</v>
      </c>
      <c r="Y111" s="34">
        <v>0.98299370828552601</v>
      </c>
      <c r="Z111" s="34">
        <v>0.97443421897830096</v>
      </c>
      <c r="AA111" s="34">
        <v>0.97195716677373201</v>
      </c>
      <c r="AB111" s="33">
        <v>26.393381067466301</v>
      </c>
      <c r="AC111" s="33">
        <v>26.117179288549401</v>
      </c>
      <c r="AD111" s="33">
        <v>26.074272048532801</v>
      </c>
      <c r="AE111" s="15">
        <v>-5.1629065735997104E-3</v>
      </c>
      <c r="AF111" s="15">
        <v>-1.5682860057135199E-2</v>
      </c>
      <c r="AG111" s="15">
        <v>-1.7327085254323499E-2</v>
      </c>
      <c r="AI111" s="12"/>
      <c r="AJ111">
        <f t="shared" si="26"/>
        <v>1</v>
      </c>
      <c r="AK111">
        <f t="shared" si="27"/>
        <v>0</v>
      </c>
      <c r="AL111">
        <f t="shared" si="34"/>
        <v>1</v>
      </c>
      <c r="AM111">
        <f t="shared" si="24"/>
        <v>1</v>
      </c>
      <c r="AN111">
        <f t="shared" si="35"/>
        <v>1</v>
      </c>
      <c r="AO111" s="28">
        <f t="shared" si="28"/>
        <v>-1.0005642117321E-2</v>
      </c>
      <c r="AP111" s="28">
        <f t="shared" si="29"/>
        <v>7.5103620011793097E-3</v>
      </c>
      <c r="AQ111" s="28">
        <f t="shared" si="36"/>
        <v>-2.4952801161416908E-3</v>
      </c>
      <c r="AR111" s="29">
        <f t="shared" si="37"/>
        <v>1.0655388456889998E-2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1.9240804842614187E-2</v>
      </c>
      <c r="BE111" s="29">
        <f t="shared" si="42"/>
        <v>-2.4952801161416908E-3</v>
      </c>
      <c r="BF111" s="29">
        <f t="shared" si="43"/>
        <v>2.9896193299504187E-2</v>
      </c>
      <c r="BH111" s="29"/>
    </row>
    <row r="112" spans="1:60" x14ac:dyDescent="0.25">
      <c r="A112" s="1">
        <v>46184</v>
      </c>
      <c r="B112" s="33">
        <v>27.26</v>
      </c>
      <c r="C112" s="33">
        <v>26.68</v>
      </c>
      <c r="D112" s="15">
        <v>1.51546053135127E-2</v>
      </c>
      <c r="E112" s="15">
        <v>5.6380528977746803E-3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27.26</v>
      </c>
      <c r="M112" s="33">
        <v>26.68</v>
      </c>
      <c r="N112" s="34">
        <v>0.97872340425531901</v>
      </c>
      <c r="O112" s="34">
        <v>0.98299370828552601</v>
      </c>
      <c r="P112" s="34">
        <v>0.97522353771348103</v>
      </c>
      <c r="Q112" s="34">
        <v>0.97248475075407803</v>
      </c>
      <c r="R112" s="33">
        <v>26.796408487863399</v>
      </c>
      <c r="S112" s="33">
        <v>26.563076809348399</v>
      </c>
      <c r="T112" s="33">
        <v>26.4955523662519</v>
      </c>
      <c r="U112" s="15">
        <v>4.3536458421386398E-3</v>
      </c>
      <c r="V112" s="15">
        <v>-4.3920594230855503E-3</v>
      </c>
      <c r="W112" s="15">
        <v>-6.9373373769311096E-3</v>
      </c>
      <c r="X112" s="34">
        <v>0.97872340425531901</v>
      </c>
      <c r="Y112" s="34">
        <v>0.98299370828552601</v>
      </c>
      <c r="Z112" s="34">
        <v>0.97522353771348103</v>
      </c>
      <c r="AA112" s="34">
        <v>0.97248475075407803</v>
      </c>
      <c r="AB112" s="33">
        <v>26.796408487863399</v>
      </c>
      <c r="AC112" s="33">
        <v>26.563076809348399</v>
      </c>
      <c r="AD112" s="33">
        <v>26.4955523662519</v>
      </c>
      <c r="AE112" s="15">
        <v>4.3536458421386398E-3</v>
      </c>
      <c r="AF112" s="15">
        <v>-4.3920594230855503E-3</v>
      </c>
      <c r="AG112" s="15">
        <v>-6.9373373769311096E-3</v>
      </c>
      <c r="AI112" s="12"/>
      <c r="AJ112">
        <f t="shared" si="26"/>
        <v>0</v>
      </c>
      <c r="AK112">
        <f t="shared" si="27"/>
        <v>1</v>
      </c>
      <c r="AL112">
        <f t="shared" si="34"/>
        <v>1</v>
      </c>
      <c r="AM112">
        <f t="shared" si="24"/>
        <v>1</v>
      </c>
      <c r="AN112">
        <f t="shared" si="35"/>
        <v>1</v>
      </c>
      <c r="AO112" s="28">
        <f t="shared" si="28"/>
        <v>1.51546053135127E-2</v>
      </c>
      <c r="AP112" s="28">
        <f t="shared" si="29"/>
        <v>-5.6380528977746803E-3</v>
      </c>
      <c r="AQ112" s="28">
        <f t="shared" si="36"/>
        <v>9.5165524157380197E-3</v>
      </c>
      <c r="AR112" s="29">
        <f t="shared" si="37"/>
        <v>2.0171940872628018E-2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1.9240804842614187E-2</v>
      </c>
      <c r="BE112" s="29">
        <f t="shared" si="42"/>
        <v>9.5165524157380197E-3</v>
      </c>
      <c r="BF112" s="29">
        <f t="shared" si="43"/>
        <v>3.9412745715242205E-2</v>
      </c>
      <c r="BH112" s="29"/>
    </row>
    <row r="113" spans="1:60" x14ac:dyDescent="0.25">
      <c r="A113" s="1">
        <v>46185</v>
      </c>
      <c r="B113" s="33">
        <v>27.4</v>
      </c>
      <c r="C113" s="33">
        <v>27.01</v>
      </c>
      <c r="D113" s="15">
        <v>5.1225871256379198E-3</v>
      </c>
      <c r="E113" s="15">
        <v>1.22929467571012E-2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27.4</v>
      </c>
      <c r="M113" s="33">
        <v>27.01</v>
      </c>
      <c r="N113" s="34">
        <v>0.98576642335766396</v>
      </c>
      <c r="O113" s="34">
        <v>0.98299370828552601</v>
      </c>
      <c r="P113" s="34">
        <v>0.97757870604999597</v>
      </c>
      <c r="Q113" s="34">
        <v>0.97322450474667299</v>
      </c>
      <c r="R113" s="33">
        <v>26.934027607023399</v>
      </c>
      <c r="S113" s="33">
        <v>26.721124933349401</v>
      </c>
      <c r="T113" s="33">
        <v>26.6460821706617</v>
      </c>
      <c r="U113" s="15">
        <v>-2.8167137893249702E-3</v>
      </c>
      <c r="V113" s="15">
        <v>-1.0752719223288401E-2</v>
      </c>
      <c r="W113" s="15">
        <v>-1.35650384815064E-2</v>
      </c>
      <c r="X113" s="34">
        <v>0.98576642335766396</v>
      </c>
      <c r="Y113" s="34">
        <v>0.98299370828552601</v>
      </c>
      <c r="Z113" s="34">
        <v>0.97757870604999597</v>
      </c>
      <c r="AA113" s="34">
        <v>0.97322450474667299</v>
      </c>
      <c r="AB113" s="33">
        <v>26.934027607023399</v>
      </c>
      <c r="AC113" s="33">
        <v>26.721124933349401</v>
      </c>
      <c r="AD113" s="33">
        <v>26.6460821706617</v>
      </c>
      <c r="AE113" s="15">
        <v>-2.8167137893249702E-3</v>
      </c>
      <c r="AF113" s="15">
        <v>-1.0752719223288401E-2</v>
      </c>
      <c r="AG113" s="15">
        <v>-1.35650384815064E-2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2.0171940872628018E-2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1.9240804842614187E-2</v>
      </c>
      <c r="BE113" s="29">
        <f t="shared" si="42"/>
        <v>0</v>
      </c>
      <c r="BF113" s="29">
        <f t="shared" si="43"/>
        <v>3.9412745715242205E-2</v>
      </c>
      <c r="BH113" s="29"/>
    </row>
    <row r="114" spans="1:60" x14ac:dyDescent="0.25">
      <c r="A114" s="1">
        <v>46188</v>
      </c>
      <c r="B114" s="33">
        <v>27.15</v>
      </c>
      <c r="C114" s="33">
        <v>26.94</v>
      </c>
      <c r="D114" s="15">
        <v>-9.1659670140800502E-3</v>
      </c>
      <c r="E114" s="15">
        <v>-2.5949968223063099E-3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27.15</v>
      </c>
      <c r="M114" s="33">
        <v>26.94</v>
      </c>
      <c r="N114" s="34">
        <v>0.99226519337016506</v>
      </c>
      <c r="O114" s="34">
        <v>0.98299370828552601</v>
      </c>
      <c r="P114" s="34">
        <v>0.97958729648438503</v>
      </c>
      <c r="Q114" s="34">
        <v>0.97462870008769598</v>
      </c>
      <c r="R114" s="33">
        <v>26.688279179952001</v>
      </c>
      <c r="S114" s="33">
        <v>26.541261869257401</v>
      </c>
      <c r="T114" s="33">
        <v>26.423045303872101</v>
      </c>
      <c r="U114" s="15">
        <v>-9.3876839810986303E-3</v>
      </c>
      <c r="V114" s="15">
        <v>-1.49115972680592E-2</v>
      </c>
      <c r="W114" s="15">
        <v>-1.9375613433192499E-2</v>
      </c>
      <c r="X114" s="34">
        <v>0.99226519337016506</v>
      </c>
      <c r="Y114" s="34">
        <v>0.98299370828552601</v>
      </c>
      <c r="Z114" s="34">
        <v>0.97958729648438503</v>
      </c>
      <c r="AA114" s="34">
        <v>0.97462870008769598</v>
      </c>
      <c r="AB114" s="33">
        <v>26.688279179952001</v>
      </c>
      <c r="AC114" s="33">
        <v>26.541261869257401</v>
      </c>
      <c r="AD114" s="33">
        <v>26.423045303872101</v>
      </c>
      <c r="AE114" s="15">
        <v>-9.3876839810986303E-3</v>
      </c>
      <c r="AF114" s="15">
        <v>-1.49115972680592E-2</v>
      </c>
      <c r="AG114" s="15">
        <v>-1.9375613433192499E-2</v>
      </c>
      <c r="AI114" s="12"/>
      <c r="AJ114">
        <f t="shared" si="26"/>
        <v>1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2.0171940872628018E-2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1.9240804842614187E-2</v>
      </c>
      <c r="BE114" s="29">
        <f t="shared" si="42"/>
        <v>0</v>
      </c>
      <c r="BF114" s="29">
        <f t="shared" si="43"/>
        <v>3.9412745715242205E-2</v>
      </c>
      <c r="BH114" s="29"/>
    </row>
    <row r="115" spans="1:60" x14ac:dyDescent="0.25">
      <c r="A115" s="1">
        <v>46189</v>
      </c>
      <c r="B115" s="33">
        <v>26.7</v>
      </c>
      <c r="C115" s="33">
        <v>26.61</v>
      </c>
      <c r="D115" s="15">
        <v>-1.6713480973740501E-2</v>
      </c>
      <c r="E115" s="15">
        <v>-1.2325085992620201E-2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26.7</v>
      </c>
      <c r="M115" s="33">
        <v>26.61</v>
      </c>
      <c r="N115" s="34">
        <v>0.99662921348314604</v>
      </c>
      <c r="O115" s="34">
        <v>0.98299370828552601</v>
      </c>
      <c r="P115" s="34">
        <v>0.98254606893777896</v>
      </c>
      <c r="Q115" s="34">
        <v>0.97606414306273803</v>
      </c>
      <c r="R115" s="33">
        <v>26.245932011223498</v>
      </c>
      <c r="S115" s="33">
        <v>26.154980816133001</v>
      </c>
      <c r="T115" s="33">
        <v>26.022586292341401</v>
      </c>
      <c r="U115" s="15">
        <v>-1.3776078962219E-2</v>
      </c>
      <c r="V115" s="15">
        <v>-1.72474416357268E-2</v>
      </c>
      <c r="W115" s="15">
        <v>-2.2322220521071499E-2</v>
      </c>
      <c r="X115" s="34">
        <v>0.99662921348314604</v>
      </c>
      <c r="Y115" s="34">
        <v>0.98299370828552601</v>
      </c>
      <c r="Z115" s="34">
        <v>0.98254606893777896</v>
      </c>
      <c r="AA115" s="34">
        <v>0.97606414306273803</v>
      </c>
      <c r="AB115" s="33">
        <v>26.245932011223498</v>
      </c>
      <c r="AC115" s="33">
        <v>26.154980816133001</v>
      </c>
      <c r="AD115" s="33">
        <v>26.022586292341401</v>
      </c>
      <c r="AE115" s="15">
        <v>-1.3776078962219E-2</v>
      </c>
      <c r="AF115" s="15">
        <v>-1.72474416357268E-2</v>
      </c>
      <c r="AG115" s="15">
        <v>-2.2322220521071499E-2</v>
      </c>
      <c r="AI115" s="12"/>
      <c r="AJ115">
        <f t="shared" si="26"/>
        <v>1</v>
      </c>
      <c r="AK115">
        <f t="shared" si="27"/>
        <v>0</v>
      </c>
      <c r="AL115">
        <f t="shared" si="34"/>
        <v>1</v>
      </c>
      <c r="AM115">
        <f t="shared" si="24"/>
        <v>1</v>
      </c>
      <c r="AN115">
        <f t="shared" si="35"/>
        <v>1</v>
      </c>
      <c r="AO115" s="28">
        <f t="shared" si="28"/>
        <v>-1.6713480973740501E-2</v>
      </c>
      <c r="AP115" s="28">
        <f t="shared" si="29"/>
        <v>1.2325085992620201E-2</v>
      </c>
      <c r="AQ115" s="28">
        <f t="shared" si="36"/>
        <v>-4.3883949811202999E-3</v>
      </c>
      <c r="AR115" s="29">
        <f t="shared" si="37"/>
        <v>1.5783545891507718E-2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1.9240804842614187E-2</v>
      </c>
      <c r="BE115" s="29">
        <f t="shared" si="42"/>
        <v>-4.3883949811202999E-3</v>
      </c>
      <c r="BF115" s="29">
        <f t="shared" si="43"/>
        <v>3.5024350734121905E-2</v>
      </c>
      <c r="BH115" s="29"/>
    </row>
    <row r="116" spans="1:60" x14ac:dyDescent="0.25">
      <c r="A116" s="1">
        <v>46190</v>
      </c>
      <c r="B116" s="33">
        <v>25.52</v>
      </c>
      <c r="C116" s="33">
        <v>25.51</v>
      </c>
      <c r="D116" s="15">
        <v>-4.5201106929614703E-2</v>
      </c>
      <c r="E116" s="15">
        <v>-4.2216552835877601E-2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25.52</v>
      </c>
      <c r="M116" s="33">
        <v>25.51</v>
      </c>
      <c r="N116" s="34">
        <v>0.999608150470219</v>
      </c>
      <c r="O116" s="34">
        <v>0.98299370828552601</v>
      </c>
      <c r="P116" s="34">
        <v>0.98556091687438596</v>
      </c>
      <c r="Q116" s="34">
        <v>0.97748703840940299</v>
      </c>
      <c r="R116" s="33">
        <v>25.085999435446599</v>
      </c>
      <c r="S116" s="33">
        <v>25.074575679292099</v>
      </c>
      <c r="T116" s="33">
        <v>24.909156930961</v>
      </c>
      <c r="U116" s="15">
        <v>-1.6760633055956101E-2</v>
      </c>
      <c r="V116" s="15">
        <v>-1.7216120511028402E-2</v>
      </c>
      <c r="W116" s="15">
        <v>-2.3835048054497002E-2</v>
      </c>
      <c r="X116" s="34">
        <v>0.999608150470219</v>
      </c>
      <c r="Y116" s="34">
        <v>0.98299370828552601</v>
      </c>
      <c r="Z116" s="34">
        <v>0.98556091687438596</v>
      </c>
      <c r="AA116" s="34">
        <v>0.97748703840940299</v>
      </c>
      <c r="AB116" s="33">
        <v>25.085999435446599</v>
      </c>
      <c r="AC116" s="33">
        <v>25.074575679292099</v>
      </c>
      <c r="AD116" s="33">
        <v>24.909156930961</v>
      </c>
      <c r="AE116" s="15">
        <v>-1.6760633055956101E-2</v>
      </c>
      <c r="AF116" s="15">
        <v>-1.7216120511028402E-2</v>
      </c>
      <c r="AG116" s="15">
        <v>-2.3835048054497002E-2</v>
      </c>
      <c r="AI116" s="12"/>
      <c r="AJ116">
        <f t="shared" si="26"/>
        <v>1</v>
      </c>
      <c r="AK116">
        <f t="shared" si="27"/>
        <v>0</v>
      </c>
      <c r="AL116">
        <f t="shared" si="34"/>
        <v>1</v>
      </c>
      <c r="AM116">
        <f t="shared" si="24"/>
        <v>1</v>
      </c>
      <c r="AN116">
        <f t="shared" si="35"/>
        <v>1</v>
      </c>
      <c r="AO116" s="28">
        <f t="shared" si="28"/>
        <v>-4.5201106929614703E-2</v>
      </c>
      <c r="AP116" s="28">
        <f t="shared" si="29"/>
        <v>4.2216552835877601E-2</v>
      </c>
      <c r="AQ116" s="28">
        <f t="shared" si="36"/>
        <v>-2.9845540937371018E-3</v>
      </c>
      <c r="AR116" s="29">
        <f t="shared" si="37"/>
        <v>1.2798991797770616E-2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1.9240804842614187E-2</v>
      </c>
      <c r="BE116" s="29">
        <f t="shared" si="42"/>
        <v>-2.9845540937371018E-3</v>
      </c>
      <c r="BF116" s="29">
        <f t="shared" si="43"/>
        <v>3.2039796640384803E-2</v>
      </c>
      <c r="BH116" s="29"/>
    </row>
    <row r="117" spans="1:60" x14ac:dyDescent="0.25">
      <c r="A117" s="1">
        <v>46191</v>
      </c>
      <c r="B117" s="33">
        <v>26.64</v>
      </c>
      <c r="C117" s="33">
        <v>26.64</v>
      </c>
      <c r="D117" s="15">
        <v>4.2951387195599197E-2</v>
      </c>
      <c r="E117" s="15">
        <v>4.3343313518468402E-2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26.64</v>
      </c>
      <c r="M117" s="33">
        <v>26.64</v>
      </c>
      <c r="N117" s="34">
        <v>1</v>
      </c>
      <c r="O117" s="34">
        <v>0.98299370828552601</v>
      </c>
      <c r="P117" s="34">
        <v>0.98875483322419599</v>
      </c>
      <c r="Q117" s="34">
        <v>0.97898155221946803</v>
      </c>
      <c r="R117" s="33">
        <v>26.1869523887264</v>
      </c>
      <c r="S117" s="33">
        <v>26.255342825533599</v>
      </c>
      <c r="T117" s="33">
        <v>26.040254703226498</v>
      </c>
      <c r="U117" s="15">
        <v>-1.7152559378825101E-2</v>
      </c>
      <c r="V117" s="15">
        <v>-1.45443411344339E-2</v>
      </c>
      <c r="W117" s="15">
        <v>-2.2770247149758699E-2</v>
      </c>
      <c r="X117" s="34">
        <v>1</v>
      </c>
      <c r="Y117" s="34">
        <v>0.98299370828552601</v>
      </c>
      <c r="Z117" s="34">
        <v>0.98875483322419599</v>
      </c>
      <c r="AA117" s="34">
        <v>0.97898155221946803</v>
      </c>
      <c r="AB117" s="33">
        <v>26.1869523887264</v>
      </c>
      <c r="AC117" s="33">
        <v>26.255342825533599</v>
      </c>
      <c r="AD117" s="33">
        <v>26.040254703226498</v>
      </c>
      <c r="AE117" s="15">
        <v>-1.7152559378825101E-2</v>
      </c>
      <c r="AF117" s="15">
        <v>-1.45443411344339E-2</v>
      </c>
      <c r="AG117" s="15">
        <v>-2.2770247149758699E-2</v>
      </c>
      <c r="AI117" s="12"/>
      <c r="AJ117">
        <f t="shared" si="26"/>
        <v>1</v>
      </c>
      <c r="AK117">
        <f t="shared" si="27"/>
        <v>0</v>
      </c>
      <c r="AL117">
        <f t="shared" si="34"/>
        <v>1</v>
      </c>
      <c r="AM117">
        <f t="shared" si="24"/>
        <v>1</v>
      </c>
      <c r="AN117">
        <f t="shared" si="35"/>
        <v>1</v>
      </c>
      <c r="AO117" s="28">
        <f t="shared" si="28"/>
        <v>4.2951387195599197E-2</v>
      </c>
      <c r="AP117" s="28">
        <f t="shared" si="29"/>
        <v>-4.3343313518468402E-2</v>
      </c>
      <c r="AQ117" s="28">
        <f t="shared" si="36"/>
        <v>-3.9192632286920437E-4</v>
      </c>
      <c r="AR117" s="29">
        <f t="shared" si="37"/>
        <v>1.2407065474901412E-2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1.9240804842614187E-2</v>
      </c>
      <c r="BE117" s="29">
        <f t="shared" si="42"/>
        <v>-3.9192632286920437E-4</v>
      </c>
      <c r="BF117" s="29">
        <f t="shared" si="43"/>
        <v>3.1647870317515599E-2</v>
      </c>
      <c r="BH117" s="29"/>
    </row>
    <row r="118" spans="1:60" x14ac:dyDescent="0.25">
      <c r="A118" s="1">
        <v>46195</v>
      </c>
      <c r="B118" s="33">
        <v>27.29</v>
      </c>
      <c r="C118" s="33">
        <v>27.26</v>
      </c>
      <c r="D118" s="15">
        <v>2.4106489048058701E-2</v>
      </c>
      <c r="E118" s="15">
        <v>2.30065805961981E-2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27.29</v>
      </c>
      <c r="M118" s="33">
        <v>27.26</v>
      </c>
      <c r="N118" s="34">
        <v>0.99890069622572297</v>
      </c>
      <c r="O118" s="34">
        <v>0.98299370828552601</v>
      </c>
      <c r="P118" s="34">
        <v>0.99063066530461796</v>
      </c>
      <c r="Q118" s="34">
        <v>0.98043496691902199</v>
      </c>
      <c r="R118" s="33">
        <v>26.825898299112001</v>
      </c>
      <c r="S118" s="33">
        <v>26.983119398688299</v>
      </c>
      <c r="T118" s="33">
        <v>26.716406560069199</v>
      </c>
      <c r="U118" s="15">
        <v>-1.60526509269645E-2</v>
      </c>
      <c r="V118" s="15">
        <v>-1.02089632437264E-2</v>
      </c>
      <c r="W118" s="15">
        <v>-2.01425716712107E-2</v>
      </c>
      <c r="X118" s="34">
        <v>0.99890069622572297</v>
      </c>
      <c r="Y118" s="34">
        <v>0.98299370828552601</v>
      </c>
      <c r="Z118" s="34">
        <v>0.99063066530461796</v>
      </c>
      <c r="AA118" s="34">
        <v>0.98043496691902199</v>
      </c>
      <c r="AB118" s="33">
        <v>26.825898299112001</v>
      </c>
      <c r="AC118" s="33">
        <v>26.983119398688299</v>
      </c>
      <c r="AD118" s="33">
        <v>26.716406560069199</v>
      </c>
      <c r="AE118" s="15">
        <v>-1.60526509269645E-2</v>
      </c>
      <c r="AF118" s="15">
        <v>-1.02089632437264E-2</v>
      </c>
      <c r="AG118" s="15">
        <v>-2.01425716712107E-2</v>
      </c>
      <c r="AI118" s="12"/>
      <c r="AJ118">
        <f t="shared" si="26"/>
        <v>1</v>
      </c>
      <c r="AK118">
        <f t="shared" si="27"/>
        <v>0</v>
      </c>
      <c r="AL118">
        <f t="shared" si="34"/>
        <v>1</v>
      </c>
      <c r="AM118">
        <f t="shared" si="24"/>
        <v>1</v>
      </c>
      <c r="AN118">
        <f t="shared" si="35"/>
        <v>1</v>
      </c>
      <c r="AO118" s="28">
        <f t="shared" si="28"/>
        <v>2.4106489048058701E-2</v>
      </c>
      <c r="AP118" s="28">
        <f t="shared" si="29"/>
        <v>-2.30065805961981E-2</v>
      </c>
      <c r="AQ118" s="28">
        <f t="shared" si="36"/>
        <v>1.0999084518606012E-3</v>
      </c>
      <c r="AR118" s="29">
        <f t="shared" si="37"/>
        <v>1.3506973926762013E-2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1.9240804842614187E-2</v>
      </c>
      <c r="BE118" s="29">
        <f t="shared" si="42"/>
        <v>1.0999084518606012E-3</v>
      </c>
      <c r="BF118" s="29">
        <f t="shared" si="43"/>
        <v>3.27477787693762E-2</v>
      </c>
      <c r="BH118" s="29"/>
    </row>
    <row r="119" spans="1:60" x14ac:dyDescent="0.25">
      <c r="A119" s="1">
        <v>46196</v>
      </c>
      <c r="B119" s="33">
        <v>27.25</v>
      </c>
      <c r="C119" s="33">
        <v>27.24</v>
      </c>
      <c r="D119" s="15">
        <v>-1.4668136109940401E-3</v>
      </c>
      <c r="E119" s="15">
        <v>-7.3394498707500804E-4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27.25</v>
      </c>
      <c r="M119" s="33">
        <v>27.24</v>
      </c>
      <c r="N119" s="34">
        <v>0.99963302752293504</v>
      </c>
      <c r="O119" s="34">
        <v>0.98299370828552601</v>
      </c>
      <c r="P119" s="34">
        <v>0.99252275143970103</v>
      </c>
      <c r="Q119" s="34">
        <v>0.98188012329702101</v>
      </c>
      <c r="R119" s="33">
        <v>26.786578550780501</v>
      </c>
      <c r="S119" s="33">
        <v>26.994685629550801</v>
      </c>
      <c r="T119" s="33">
        <v>26.716852848543301</v>
      </c>
      <c r="U119" s="15">
        <v>-1.6785519550883601E-2</v>
      </c>
      <c r="V119" s="15">
        <v>-9.0464631854145806E-3</v>
      </c>
      <c r="W119" s="15">
        <v>-1.9391922164178399E-2</v>
      </c>
      <c r="X119" s="34">
        <v>0.99963302752293504</v>
      </c>
      <c r="Y119" s="34">
        <v>0.98299370828552601</v>
      </c>
      <c r="Z119" s="34">
        <v>0.99252275143970103</v>
      </c>
      <c r="AA119" s="34">
        <v>0.98188012329702101</v>
      </c>
      <c r="AB119" s="33">
        <v>26.786578550780501</v>
      </c>
      <c r="AC119" s="33">
        <v>26.994685629550801</v>
      </c>
      <c r="AD119" s="33">
        <v>26.716852848543301</v>
      </c>
      <c r="AE119" s="15">
        <v>-1.6785519550883601E-2</v>
      </c>
      <c r="AF119" s="15">
        <v>-9.0464631854145806E-3</v>
      </c>
      <c r="AG119" s="15">
        <v>-1.9391922164178399E-2</v>
      </c>
      <c r="AI119" s="12"/>
      <c r="AJ119">
        <f t="shared" si="26"/>
        <v>1</v>
      </c>
      <c r="AK119">
        <f t="shared" si="27"/>
        <v>0</v>
      </c>
      <c r="AL119">
        <f t="shared" si="34"/>
        <v>1</v>
      </c>
      <c r="AM119">
        <f t="shared" si="24"/>
        <v>1</v>
      </c>
      <c r="AN119">
        <f t="shared" si="35"/>
        <v>1</v>
      </c>
      <c r="AO119" s="28">
        <f t="shared" si="28"/>
        <v>-1.4668136109940401E-3</v>
      </c>
      <c r="AP119" s="28">
        <f t="shared" si="29"/>
        <v>7.3394498707500804E-4</v>
      </c>
      <c r="AQ119" s="28">
        <f t="shared" si="36"/>
        <v>-7.3286862391903202E-4</v>
      </c>
      <c r="AR119" s="29">
        <f t="shared" si="37"/>
        <v>1.2774105302842981E-2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1.9240804842614187E-2</v>
      </c>
      <c r="BE119" s="29">
        <f t="shared" si="42"/>
        <v>-7.3286862391903202E-4</v>
      </c>
      <c r="BF119" s="29">
        <f t="shared" si="43"/>
        <v>3.2014910145457168E-2</v>
      </c>
      <c r="BH119" s="29"/>
    </row>
    <row r="120" spans="1:60" x14ac:dyDescent="0.25">
      <c r="A120" s="1">
        <v>46197</v>
      </c>
      <c r="B120" s="33">
        <v>28.07</v>
      </c>
      <c r="C120" s="33">
        <v>27.8</v>
      </c>
      <c r="D120" s="15">
        <v>2.9647869264537899E-2</v>
      </c>
      <c r="E120" s="15">
        <v>2.0349539415279901E-2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28.07</v>
      </c>
      <c r="M120" s="33">
        <v>27.8</v>
      </c>
      <c r="N120" s="34">
        <v>0.99038118988243595</v>
      </c>
      <c r="O120" s="34">
        <v>0.98299370828552601</v>
      </c>
      <c r="P120" s="34">
        <v>0.99299892352528996</v>
      </c>
      <c r="Q120" s="34">
        <v>0.98285289357920802</v>
      </c>
      <c r="R120" s="33">
        <v>27.592633391574701</v>
      </c>
      <c r="S120" s="33">
        <v>27.860113632912402</v>
      </c>
      <c r="T120" s="33">
        <v>27.561375060947402</v>
      </c>
      <c r="U120" s="15">
        <v>-7.4871897016254296E-3</v>
      </c>
      <c r="V120" s="15">
        <v>2.16002635861E-3</v>
      </c>
      <c r="W120" s="15">
        <v>-8.6206824377323497E-3</v>
      </c>
      <c r="X120" s="34">
        <v>0.99038118988243595</v>
      </c>
      <c r="Y120" s="34">
        <v>0.98299370828552601</v>
      </c>
      <c r="Z120" s="34">
        <v>0.99299892352528996</v>
      </c>
      <c r="AA120" s="34">
        <v>0.98285289357920802</v>
      </c>
      <c r="AB120" s="33">
        <v>27.592633391574701</v>
      </c>
      <c r="AC120" s="33">
        <v>27.860113632912402</v>
      </c>
      <c r="AD120" s="33">
        <v>27.561375060947402</v>
      </c>
      <c r="AE120" s="15">
        <v>-7.4871897016254296E-3</v>
      </c>
      <c r="AF120" s="15">
        <v>2.16002635861E-3</v>
      </c>
      <c r="AG120" s="15">
        <v>-8.6206824377323497E-3</v>
      </c>
      <c r="AI120" s="12"/>
      <c r="AJ120">
        <f t="shared" si="26"/>
        <v>0</v>
      </c>
      <c r="AK120">
        <f t="shared" si="27"/>
        <v>0</v>
      </c>
      <c r="AL120">
        <f t="shared" si="34"/>
        <v>1</v>
      </c>
      <c r="AM120">
        <f t="shared" si="24"/>
        <v>1</v>
      </c>
      <c r="AN120">
        <f t="shared" si="35"/>
        <v>1</v>
      </c>
      <c r="AO120" s="28">
        <f t="shared" si="28"/>
        <v>2.9647869264537899E-2</v>
      </c>
      <c r="AP120" s="28">
        <f t="shared" si="29"/>
        <v>-2.0349539415279901E-2</v>
      </c>
      <c r="AQ120" s="28">
        <f t="shared" si="36"/>
        <v>9.2983298492579983E-3</v>
      </c>
      <c r="AR120" s="29">
        <f t="shared" si="37"/>
        <v>2.2072435152100979E-2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1.9240804842614187E-2</v>
      </c>
      <c r="BE120" s="29">
        <f t="shared" si="42"/>
        <v>9.2983298492579983E-3</v>
      </c>
      <c r="BF120" s="29">
        <f t="shared" si="43"/>
        <v>4.1313239994715166E-2</v>
      </c>
      <c r="BH120" s="29"/>
    </row>
    <row r="121" spans="1:60" x14ac:dyDescent="0.25">
      <c r="A121" s="1">
        <v>46198</v>
      </c>
      <c r="B121" s="33">
        <v>28.14</v>
      </c>
      <c r="C121" s="33">
        <v>27.68</v>
      </c>
      <c r="D121" s="15">
        <v>2.49066131245183E-3</v>
      </c>
      <c r="E121" s="15">
        <v>-4.3258899471226003E-3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28.14</v>
      </c>
      <c r="M121" s="33">
        <v>27.68</v>
      </c>
      <c r="N121" s="34">
        <v>0.98365316275764003</v>
      </c>
      <c r="O121" s="34">
        <v>0.98299370828552601</v>
      </c>
      <c r="P121" s="34">
        <v>0.99255604613252502</v>
      </c>
      <c r="Q121" s="34">
        <v>0.98349513255541299</v>
      </c>
      <c r="R121" s="33">
        <v>27.661442951154701</v>
      </c>
      <c r="S121" s="33">
        <v>27.942989708001601</v>
      </c>
      <c r="T121" s="33">
        <v>27.657480425318901</v>
      </c>
      <c r="U121" s="15">
        <v>-6.7063844205096396E-4</v>
      </c>
      <c r="V121" s="15">
        <v>9.4562219360700608E-3</v>
      </c>
      <c r="W121" s="15">
        <v>-8.1389957588028701E-4</v>
      </c>
      <c r="X121" s="34">
        <v>0.98365316275764003</v>
      </c>
      <c r="Y121" s="34">
        <v>0.98299370828552601</v>
      </c>
      <c r="Z121" s="34">
        <v>0.99255604613252502</v>
      </c>
      <c r="AA121" s="34">
        <v>0.98349513255541299</v>
      </c>
      <c r="AB121" s="33">
        <v>27.661442951154701</v>
      </c>
      <c r="AC121" s="33">
        <v>27.942989708001601</v>
      </c>
      <c r="AD121" s="33">
        <v>27.657480425318901</v>
      </c>
      <c r="AE121" s="15">
        <v>-6.7063844205096396E-4</v>
      </c>
      <c r="AF121" s="15">
        <v>9.4562219360700608E-3</v>
      </c>
      <c r="AG121" s="15">
        <v>-8.1389957588028701E-4</v>
      </c>
      <c r="AI121" s="12"/>
      <c r="AJ121">
        <f t="shared" si="26"/>
        <v>0</v>
      </c>
      <c r="AK121">
        <f t="shared" si="27"/>
        <v>1</v>
      </c>
      <c r="AL121">
        <f t="shared" si="34"/>
        <v>1</v>
      </c>
      <c r="AM121">
        <f t="shared" si="24"/>
        <v>1</v>
      </c>
      <c r="AN121">
        <f t="shared" si="35"/>
        <v>1</v>
      </c>
      <c r="AO121" s="28">
        <f t="shared" si="28"/>
        <v>2.49066131245183E-3</v>
      </c>
      <c r="AP121" s="28">
        <f t="shared" si="29"/>
        <v>4.3258899471226003E-3</v>
      </c>
      <c r="AQ121" s="28">
        <f t="shared" si="36"/>
        <v>6.8165512595744302E-3</v>
      </c>
      <c r="AR121" s="29">
        <f t="shared" si="37"/>
        <v>2.8888986411675407E-2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1.9240804842614187E-2</v>
      </c>
      <c r="BE121" s="29">
        <f t="shared" si="42"/>
        <v>6.8165512595744302E-3</v>
      </c>
      <c r="BF121" s="29">
        <f t="shared" si="43"/>
        <v>4.8129791254289594E-2</v>
      </c>
      <c r="BH121" s="29"/>
    </row>
    <row r="122" spans="1:60" x14ac:dyDescent="0.25">
      <c r="A122" s="1">
        <v>46199</v>
      </c>
      <c r="B122" s="33">
        <v>28.62</v>
      </c>
      <c r="C122" s="33">
        <v>27.96</v>
      </c>
      <c r="D122" s="15">
        <v>1.6913722442061799E-2</v>
      </c>
      <c r="E122" s="15">
        <v>1.0064786616140801E-2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28.62</v>
      </c>
      <c r="M122" s="33">
        <v>27.96</v>
      </c>
      <c r="N122" s="34">
        <v>0.97693920335429696</v>
      </c>
      <c r="O122" s="34">
        <v>0.98299370828552601</v>
      </c>
      <c r="P122" s="34">
        <v>0.99237762604242297</v>
      </c>
      <c r="Q122" s="34">
        <v>0.98380058187795205</v>
      </c>
      <c r="R122" s="33">
        <v>28.1332799311317</v>
      </c>
      <c r="S122" s="33">
        <v>28.406954040312801</v>
      </c>
      <c r="T122" s="33">
        <v>28.147630693735898</v>
      </c>
      <c r="U122" s="15">
        <v>6.17829738387023E-3</v>
      </c>
      <c r="V122" s="15">
        <v>1.5859058402489998E-2</v>
      </c>
      <c r="W122" s="15">
        <v>6.6882664926089597E-3</v>
      </c>
      <c r="X122" s="34">
        <v>0.97693920335429696</v>
      </c>
      <c r="Y122" s="34">
        <v>0.98299370828552601</v>
      </c>
      <c r="Z122" s="34">
        <v>0.99237762604242297</v>
      </c>
      <c r="AA122" s="34">
        <v>0.98380058187795205</v>
      </c>
      <c r="AB122" s="33">
        <v>28.1332799311317</v>
      </c>
      <c r="AC122" s="33">
        <v>28.406954040312801</v>
      </c>
      <c r="AD122" s="33">
        <v>28.147630693735898</v>
      </c>
      <c r="AE122" s="15">
        <v>6.17829738387023E-3</v>
      </c>
      <c r="AF122" s="15">
        <v>1.5859058402489998E-2</v>
      </c>
      <c r="AG122" s="15">
        <v>6.6882664926089597E-3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2.8888986411675407E-2</v>
      </c>
      <c r="AT122" s="12"/>
      <c r="AU122">
        <f t="shared" si="30"/>
        <v>0</v>
      </c>
      <c r="AV122">
        <f t="shared" si="31"/>
        <v>0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1.9240804842614187E-2</v>
      </c>
      <c r="BE122" s="29">
        <f t="shared" si="42"/>
        <v>0</v>
      </c>
      <c r="BF122" s="29">
        <f t="shared" si="43"/>
        <v>4.8129791254289594E-2</v>
      </c>
      <c r="BH122" s="29"/>
    </row>
    <row r="123" spans="1:60" x14ac:dyDescent="0.25">
      <c r="A123" s="1">
        <v>46202</v>
      </c>
      <c r="B123" s="33">
        <v>28.25</v>
      </c>
      <c r="C123" s="33">
        <v>27.72</v>
      </c>
      <c r="D123" s="15">
        <v>-1.30123165358549E-2</v>
      </c>
      <c r="E123" s="15">
        <v>-8.6207430439070795E-3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28.25</v>
      </c>
      <c r="M123" s="33">
        <v>27.72</v>
      </c>
      <c r="N123" s="34">
        <v>0.98123893805309703</v>
      </c>
      <c r="O123" s="34">
        <v>0.98299370828552601</v>
      </c>
      <c r="P123" s="34">
        <v>0.99192487751196601</v>
      </c>
      <c r="Q123" s="34">
        <v>0.98475179178098105</v>
      </c>
      <c r="R123" s="33">
        <v>27.769572259066098</v>
      </c>
      <c r="S123" s="33">
        <v>28.034667935698401</v>
      </c>
      <c r="T123" s="33">
        <v>27.792366438052099</v>
      </c>
      <c r="U123" s="15">
        <v>1.78672389192246E-3</v>
      </c>
      <c r="V123" s="15">
        <v>1.1287710550236E-2</v>
      </c>
      <c r="W123" s="15">
        <v>2.6072201092729301E-3</v>
      </c>
      <c r="X123" s="34">
        <v>0.98123893805309703</v>
      </c>
      <c r="Y123" s="34">
        <v>0.98299370828552601</v>
      </c>
      <c r="Z123" s="34">
        <v>0.99192487751196601</v>
      </c>
      <c r="AA123" s="34">
        <v>0.98475179178098105</v>
      </c>
      <c r="AB123" s="33">
        <v>27.769572259066098</v>
      </c>
      <c r="AC123" s="33">
        <v>28.034667935698401</v>
      </c>
      <c r="AD123" s="33">
        <v>27.792366438052099</v>
      </c>
      <c r="AE123" s="15">
        <v>1.78672389192246E-3</v>
      </c>
      <c r="AF123" s="15">
        <v>1.1287710550236E-2</v>
      </c>
      <c r="AG123" s="15">
        <v>2.6072201092729301E-3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2.8888986411675407E-2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1.9240804842614187E-2</v>
      </c>
      <c r="BE123" s="29">
        <f t="shared" si="42"/>
        <v>0</v>
      </c>
      <c r="BF123" s="29">
        <f t="shared" si="43"/>
        <v>4.8129791254289594E-2</v>
      </c>
      <c r="BH123" s="29"/>
    </row>
    <row r="124" spans="1:60" x14ac:dyDescent="0.25">
      <c r="A124" s="1">
        <v>46203</v>
      </c>
      <c r="B124" s="33">
        <v>27.36</v>
      </c>
      <c r="C124" s="33">
        <v>26.65</v>
      </c>
      <c r="D124" s="15">
        <v>-3.2011364838100201E-2</v>
      </c>
      <c r="E124" s="15">
        <v>-3.9365023709848901E-2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27.36</v>
      </c>
      <c r="M124" s="33">
        <v>26.65</v>
      </c>
      <c r="N124" s="34">
        <v>0.974049707602339</v>
      </c>
      <c r="O124" s="34">
        <v>0.98299370828552601</v>
      </c>
      <c r="P124" s="34">
        <v>0.99010332893518305</v>
      </c>
      <c r="Q124" s="34">
        <v>0.98484531270978404</v>
      </c>
      <c r="R124" s="33">
        <v>26.894707858691898</v>
      </c>
      <c r="S124" s="33">
        <v>27.139064648727299</v>
      </c>
      <c r="T124" s="33">
        <v>26.942809023127602</v>
      </c>
      <c r="U124" s="15">
        <v>9.1403827636709796E-3</v>
      </c>
      <c r="V124" s="15">
        <v>1.8185039263148101E-2</v>
      </c>
      <c r="W124" s="15">
        <v>1.09272845385146E-2</v>
      </c>
      <c r="X124" s="34">
        <v>0.974049707602339</v>
      </c>
      <c r="Y124" s="34">
        <v>0.98299370828552601</v>
      </c>
      <c r="Z124" s="34">
        <v>0.99010332893518305</v>
      </c>
      <c r="AA124" s="34">
        <v>0.98484531270978404</v>
      </c>
      <c r="AB124" s="33">
        <v>26.894707858691898</v>
      </c>
      <c r="AC124" s="33">
        <v>27.139064648727299</v>
      </c>
      <c r="AD124" s="33">
        <v>26.942809023127602</v>
      </c>
      <c r="AE124" s="15">
        <v>9.1403827636709796E-3</v>
      </c>
      <c r="AF124" s="15">
        <v>1.8185039263148101E-2</v>
      </c>
      <c r="AG124" s="15">
        <v>1.09272845385146E-2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2.8888986411675407E-2</v>
      </c>
      <c r="AT124" s="12"/>
      <c r="AU124">
        <f t="shared" si="30"/>
        <v>1</v>
      </c>
      <c r="AV124">
        <f t="shared" si="31"/>
        <v>0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1.9240804842614187E-2</v>
      </c>
      <c r="BE124" s="29">
        <f t="shared" si="42"/>
        <v>0</v>
      </c>
      <c r="BF124" s="29">
        <f t="shared" si="43"/>
        <v>4.8129791254289594E-2</v>
      </c>
      <c r="BH124" s="29"/>
    </row>
    <row r="125" spans="1:60" x14ac:dyDescent="0.25">
      <c r="A125" s="1">
        <v>46204</v>
      </c>
      <c r="B125" s="33">
        <v>26.52</v>
      </c>
      <c r="C125" s="33">
        <v>25.83</v>
      </c>
      <c r="D125" s="15">
        <v>-3.11829274366879E-2</v>
      </c>
      <c r="E125" s="15">
        <v>-3.1252543504104398E-2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26.52</v>
      </c>
      <c r="M125" s="33">
        <v>25.83</v>
      </c>
      <c r="N125" s="34">
        <v>0.973981900452488</v>
      </c>
      <c r="O125" s="34">
        <v>0.98299370828552601</v>
      </c>
      <c r="P125" s="34">
        <v>0.98783859763211801</v>
      </c>
      <c r="Q125" s="34">
        <v>0.98519233328494804</v>
      </c>
      <c r="R125" s="33">
        <v>26.068993143732101</v>
      </c>
      <c r="S125" s="33">
        <v>26.257540283360999</v>
      </c>
      <c r="T125" s="33">
        <v>26.118097693063401</v>
      </c>
      <c r="U125" s="15">
        <v>9.2099988310875396E-3</v>
      </c>
      <c r="V125" s="15">
        <v>1.6416589571765498E-2</v>
      </c>
      <c r="W125" s="15">
        <v>1.1091865133102801E-2</v>
      </c>
      <c r="X125" s="34">
        <v>0.973981900452488</v>
      </c>
      <c r="Y125" s="34">
        <v>0.98299370828552601</v>
      </c>
      <c r="Z125" s="34">
        <v>0.98783859763211801</v>
      </c>
      <c r="AA125" s="34">
        <v>0.98519233328494804</v>
      </c>
      <c r="AB125" s="33">
        <v>26.068993143732101</v>
      </c>
      <c r="AC125" s="33">
        <v>26.257540283360999</v>
      </c>
      <c r="AD125" s="33">
        <v>26.118097693063401</v>
      </c>
      <c r="AE125" s="15">
        <v>9.2099988310875396E-3</v>
      </c>
      <c r="AF125" s="15">
        <v>1.6416589571765498E-2</v>
      </c>
      <c r="AG125" s="15">
        <v>1.1091865133102801E-2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2.8888986411675407E-2</v>
      </c>
      <c r="AT125" s="12"/>
      <c r="AU125">
        <f t="shared" si="30"/>
        <v>1</v>
      </c>
      <c r="AV125">
        <f t="shared" si="31"/>
        <v>0</v>
      </c>
      <c r="AW125">
        <f t="shared" si="38"/>
        <v>1</v>
      </c>
      <c r="AX125">
        <f t="shared" si="25"/>
        <v>1</v>
      </c>
      <c r="AY125">
        <f t="shared" si="39"/>
        <v>1</v>
      </c>
      <c r="AZ125" s="28">
        <f t="shared" si="32"/>
        <v>3.11829274366879E-2</v>
      </c>
      <c r="BA125" s="28">
        <f t="shared" si="33"/>
        <v>-3.1252543504104398E-2</v>
      </c>
      <c r="BB125" s="28">
        <f t="shared" si="40"/>
        <v>-6.9616067416497507E-5</v>
      </c>
      <c r="BC125" s="29">
        <f t="shared" si="41"/>
        <v>1.9171188775197689E-2</v>
      </c>
      <c r="BE125" s="29">
        <f t="shared" si="42"/>
        <v>-6.9616067416497507E-5</v>
      </c>
      <c r="BF125" s="29">
        <f t="shared" si="43"/>
        <v>4.8060175186873097E-2</v>
      </c>
      <c r="BH125" s="29"/>
    </row>
    <row r="126" spans="1:60" x14ac:dyDescent="0.25">
      <c r="A126" s="1">
        <v>46205</v>
      </c>
      <c r="B126" s="33">
        <v>26.76</v>
      </c>
      <c r="C126" s="33">
        <v>26.16</v>
      </c>
      <c r="D126" s="15">
        <v>9.0090699423659108E-3</v>
      </c>
      <c r="E126" s="15">
        <v>1.2694919481248901E-2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26.76</v>
      </c>
      <c r="M126" s="33">
        <v>26.16</v>
      </c>
      <c r="N126" s="34">
        <v>0.97757847533632203</v>
      </c>
      <c r="O126" s="34">
        <v>0.98299370828552601</v>
      </c>
      <c r="P126" s="34">
        <v>0.98563563011872801</v>
      </c>
      <c r="Q126" s="34">
        <v>0.98559827349655704</v>
      </c>
      <c r="R126" s="33">
        <v>26.3049116337206</v>
      </c>
      <c r="S126" s="33">
        <v>26.434560872635402</v>
      </c>
      <c r="T126" s="33">
        <v>26.3637468387052</v>
      </c>
      <c r="U126" s="15">
        <v>5.5241492922046198E-3</v>
      </c>
      <c r="V126" s="15">
        <v>1.0440751371089499E-2</v>
      </c>
      <c r="W126" s="15">
        <v>7.7583140180180104E-3</v>
      </c>
      <c r="X126" s="34">
        <v>0.97757847533632203</v>
      </c>
      <c r="Y126" s="34">
        <v>0.98299370828552601</v>
      </c>
      <c r="Z126" s="34">
        <v>0.98563563011872801</v>
      </c>
      <c r="AA126" s="34">
        <v>0.98559827349655704</v>
      </c>
      <c r="AB126" s="33">
        <v>26.3049116337206</v>
      </c>
      <c r="AC126" s="33">
        <v>26.434560872635402</v>
      </c>
      <c r="AD126" s="33">
        <v>26.3637468387052</v>
      </c>
      <c r="AE126" s="15">
        <v>5.5241492922046198E-3</v>
      </c>
      <c r="AF126" s="15">
        <v>1.0440751371089499E-2</v>
      </c>
      <c r="AG126" s="15">
        <v>7.7583140180180104E-3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2.8888986411675407E-2</v>
      </c>
      <c r="AT126" s="12"/>
      <c r="AU126">
        <f t="shared" si="30"/>
        <v>0</v>
      </c>
      <c r="AV126">
        <f t="shared" si="31"/>
        <v>0</v>
      </c>
      <c r="AW126">
        <f t="shared" si="38"/>
        <v>1</v>
      </c>
      <c r="AX126">
        <f t="shared" si="25"/>
        <v>1</v>
      </c>
      <c r="AY126">
        <f t="shared" si="39"/>
        <v>1</v>
      </c>
      <c r="AZ126" s="28">
        <f t="shared" si="32"/>
        <v>-9.0090699423659108E-3</v>
      </c>
      <c r="BA126" s="28">
        <f t="shared" si="33"/>
        <v>1.2694919481248901E-2</v>
      </c>
      <c r="BB126" s="28">
        <f t="shared" si="40"/>
        <v>3.68584953888299E-3</v>
      </c>
      <c r="BC126" s="29">
        <f t="shared" si="41"/>
        <v>2.2857038314080681E-2</v>
      </c>
      <c r="BE126" s="29">
        <f t="shared" si="42"/>
        <v>3.68584953888299E-3</v>
      </c>
      <c r="BF126" s="29">
        <f t="shared" si="43"/>
        <v>5.1746024725756089E-2</v>
      </c>
      <c r="BH126" s="29"/>
    </row>
    <row r="127" spans="1:60" x14ac:dyDescent="0.25">
      <c r="A127" s="1">
        <v>46209</v>
      </c>
      <c r="B127" s="33">
        <v>26.46</v>
      </c>
      <c r="C127" s="33">
        <v>25.75</v>
      </c>
      <c r="D127" s="15">
        <v>-1.1274076573218101E-2</v>
      </c>
      <c r="E127" s="15">
        <v>-1.57968994792527E-2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26.46</v>
      </c>
      <c r="M127" s="33">
        <v>25.75</v>
      </c>
      <c r="N127" s="34">
        <v>0.97316704459561598</v>
      </c>
      <c r="O127" s="34">
        <v>0.98299370828552601</v>
      </c>
      <c r="P127" s="34">
        <v>0.98295233457828901</v>
      </c>
      <c r="Q127" s="34">
        <v>0.985853583901243</v>
      </c>
      <c r="R127" s="33">
        <v>26.010013521234999</v>
      </c>
      <c r="S127" s="33">
        <v>26.0799187729415</v>
      </c>
      <c r="T127" s="33">
        <v>26.0789303167189</v>
      </c>
      <c r="U127" s="15">
        <v>1.0046972198239501E-2</v>
      </c>
      <c r="V127" s="15">
        <v>1.2730995409407199E-2</v>
      </c>
      <c r="W127" s="15">
        <v>1.2693093644318001E-2</v>
      </c>
      <c r="X127" s="34">
        <v>0.97316704459561598</v>
      </c>
      <c r="Y127" s="34">
        <v>0.98299370828552601</v>
      </c>
      <c r="Z127" s="34">
        <v>0.98295233457828901</v>
      </c>
      <c r="AA127" s="34">
        <v>0.985853583901243</v>
      </c>
      <c r="AB127" s="33">
        <v>26.010013521234999</v>
      </c>
      <c r="AC127" s="33">
        <v>26.0799187729415</v>
      </c>
      <c r="AD127" s="33">
        <v>26.0789303167189</v>
      </c>
      <c r="AE127" s="15">
        <v>1.0046972198239501E-2</v>
      </c>
      <c r="AF127" s="15">
        <v>1.2730995409407199E-2</v>
      </c>
      <c r="AG127" s="15">
        <v>1.2693093644318001E-2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2.8888986411675407E-2</v>
      </c>
      <c r="AT127" s="12"/>
      <c r="AU127">
        <f t="shared" si="30"/>
        <v>1</v>
      </c>
      <c r="AV127">
        <f t="shared" si="31"/>
        <v>0</v>
      </c>
      <c r="AW127">
        <f t="shared" si="38"/>
        <v>1</v>
      </c>
      <c r="AX127">
        <f t="shared" si="25"/>
        <v>1</v>
      </c>
      <c r="AY127">
        <f t="shared" si="39"/>
        <v>1</v>
      </c>
      <c r="AZ127" s="28">
        <f t="shared" si="32"/>
        <v>1.1274076573218101E-2</v>
      </c>
      <c r="BA127" s="28">
        <f t="shared" si="33"/>
        <v>-1.57968994792527E-2</v>
      </c>
      <c r="BB127" s="28">
        <f t="shared" si="40"/>
        <v>-4.522822906034599E-3</v>
      </c>
      <c r="BC127" s="29">
        <f t="shared" si="41"/>
        <v>1.8334215408046084E-2</v>
      </c>
      <c r="BE127" s="29">
        <f t="shared" si="42"/>
        <v>-4.522822906034599E-3</v>
      </c>
      <c r="BF127" s="29">
        <f t="shared" si="43"/>
        <v>4.7223201819721491E-2</v>
      </c>
      <c r="BH127" s="29"/>
    </row>
    <row r="128" spans="1:60" x14ac:dyDescent="0.25">
      <c r="A128" s="1">
        <v>46210</v>
      </c>
      <c r="B128" s="33">
        <v>26.51</v>
      </c>
      <c r="C128" s="33">
        <v>25.91</v>
      </c>
      <c r="D128" s="15">
        <v>1.88786161412448E-3</v>
      </c>
      <c r="E128" s="15">
        <v>6.1943674642735104E-3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26.51</v>
      </c>
      <c r="M128" s="33">
        <v>25.91</v>
      </c>
      <c r="N128" s="34">
        <v>0.97736703130893998</v>
      </c>
      <c r="O128" s="34">
        <v>0.98299370828552601</v>
      </c>
      <c r="P128" s="34">
        <v>0.98079896808661104</v>
      </c>
      <c r="Q128" s="34">
        <v>0.985714816695614</v>
      </c>
      <c r="R128" s="33">
        <v>26.059163206649298</v>
      </c>
      <c r="S128" s="33">
        <v>26.058066389670401</v>
      </c>
      <c r="T128" s="33">
        <v>26.134978509221899</v>
      </c>
      <c r="U128" s="15">
        <v>5.7404663480903799E-3</v>
      </c>
      <c r="V128" s="15">
        <v>5.6983759688632998E-3</v>
      </c>
      <c r="W128" s="15">
        <v>8.6455952917702892E-3</v>
      </c>
      <c r="X128" s="34">
        <v>0.97736703130893998</v>
      </c>
      <c r="Y128" s="34">
        <v>0.98299370828552601</v>
      </c>
      <c r="Z128" s="34">
        <v>0.98079896808661104</v>
      </c>
      <c r="AA128" s="34">
        <v>0.985714816695614</v>
      </c>
      <c r="AB128" s="33">
        <v>26.059163206649298</v>
      </c>
      <c r="AC128" s="33">
        <v>26.058066389670401</v>
      </c>
      <c r="AD128" s="33">
        <v>26.134978509221899</v>
      </c>
      <c r="AE128" s="15">
        <v>5.7404663480903799E-3</v>
      </c>
      <c r="AF128" s="15">
        <v>5.6983759688632998E-3</v>
      </c>
      <c r="AG128" s="15">
        <v>8.6455952917702892E-3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2.8888986411675407E-2</v>
      </c>
      <c r="AT128" s="12"/>
      <c r="AU128">
        <f t="shared" si="30"/>
        <v>0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28">
        <f t="shared" si="32"/>
        <v>-1.88786161412448E-3</v>
      </c>
      <c r="BA128" s="28">
        <f t="shared" si="33"/>
        <v>6.1943674642735104E-3</v>
      </c>
      <c r="BB128" s="28">
        <f t="shared" si="40"/>
        <v>4.3065058501490306E-3</v>
      </c>
      <c r="BC128" s="29">
        <f t="shared" si="41"/>
        <v>2.2640721258195114E-2</v>
      </c>
      <c r="BE128" s="29">
        <f t="shared" si="42"/>
        <v>4.3065058501490306E-3</v>
      </c>
      <c r="BF128" s="29">
        <f t="shared" si="43"/>
        <v>5.1529707669870521E-2</v>
      </c>
      <c r="BH128" s="29"/>
    </row>
    <row r="129" spans="1:60" x14ac:dyDescent="0.25">
      <c r="A129" s="1">
        <v>46211</v>
      </c>
      <c r="B129" s="33">
        <v>26.36</v>
      </c>
      <c r="C129" s="33">
        <v>25.78</v>
      </c>
      <c r="D129" s="15">
        <v>-5.6743106666278199E-3</v>
      </c>
      <c r="E129" s="15">
        <v>-5.0299970629772801E-3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26.36</v>
      </c>
      <c r="M129" s="33">
        <v>25.78</v>
      </c>
      <c r="N129" s="34">
        <v>0.97799696509863399</v>
      </c>
      <c r="O129" s="34">
        <v>0.98299370828552601</v>
      </c>
      <c r="P129" s="34">
        <v>0.97863536184418098</v>
      </c>
      <c r="Q129" s="34">
        <v>0.98557905664194101</v>
      </c>
      <c r="R129" s="33">
        <v>25.9117141504064</v>
      </c>
      <c r="S129" s="33">
        <v>25.853860798763002</v>
      </c>
      <c r="T129" s="33">
        <v>25.9834425680964</v>
      </c>
      <c r="U129" s="15">
        <v>5.0961527444399798E-3</v>
      </c>
      <c r="V129" s="15">
        <v>2.86094620854461E-3</v>
      </c>
      <c r="W129" s="15">
        <v>7.8605133477311594E-3</v>
      </c>
      <c r="X129" s="34">
        <v>0.97799696509863399</v>
      </c>
      <c r="Y129" s="34">
        <v>0.98299370828552601</v>
      </c>
      <c r="Z129" s="34">
        <v>0.97863536184418098</v>
      </c>
      <c r="AA129" s="34">
        <v>0.98557905664194101</v>
      </c>
      <c r="AB129" s="33">
        <v>25.9117141504064</v>
      </c>
      <c r="AC129" s="33">
        <v>25.853860798763002</v>
      </c>
      <c r="AD129" s="33">
        <v>25.9834425680964</v>
      </c>
      <c r="AE129" s="15">
        <v>5.0961527444399798E-3</v>
      </c>
      <c r="AF129" s="15">
        <v>2.86094620854461E-3</v>
      </c>
      <c r="AG129" s="15">
        <v>7.8605133477311594E-3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2.8888986411675407E-2</v>
      </c>
      <c r="AT129" s="12"/>
      <c r="AU129">
        <f t="shared" si="30"/>
        <v>0</v>
      </c>
      <c r="AV129">
        <f t="shared" si="31"/>
        <v>0</v>
      </c>
      <c r="AW129">
        <f t="shared" si="38"/>
        <v>1</v>
      </c>
      <c r="AX129">
        <f t="shared" si="25"/>
        <v>1</v>
      </c>
      <c r="AY129">
        <f t="shared" si="39"/>
        <v>1</v>
      </c>
      <c r="AZ129" s="28">
        <f t="shared" si="32"/>
        <v>5.6743106666278199E-3</v>
      </c>
      <c r="BA129" s="28">
        <f t="shared" si="33"/>
        <v>-5.0299970629772801E-3</v>
      </c>
      <c r="BB129" s="28">
        <f t="shared" si="40"/>
        <v>6.443136036505398E-4</v>
      </c>
      <c r="BC129" s="29">
        <f t="shared" si="41"/>
        <v>2.3285034861845653E-2</v>
      </c>
      <c r="BE129" s="29">
        <f t="shared" si="42"/>
        <v>6.443136036505398E-4</v>
      </c>
      <c r="BF129" s="29">
        <f t="shared" si="43"/>
        <v>5.2174021273521061E-2</v>
      </c>
      <c r="BH129" s="29"/>
    </row>
    <row r="130" spans="1:60" x14ac:dyDescent="0.25">
      <c r="A130" s="1">
        <v>46212</v>
      </c>
      <c r="B130" s="33">
        <v>25.69</v>
      </c>
      <c r="C130" s="33">
        <v>25.22</v>
      </c>
      <c r="D130" s="15">
        <v>-2.57458985125141E-2</v>
      </c>
      <c r="E130" s="15">
        <v>-2.19616669742679E-2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25.69</v>
      </c>
      <c r="M130" s="33">
        <v>25.22</v>
      </c>
      <c r="N130" s="34">
        <v>0.98170494355780402</v>
      </c>
      <c r="O130" s="34">
        <v>0.98299370828552601</v>
      </c>
      <c r="P130" s="34">
        <v>0.97776773721171795</v>
      </c>
      <c r="Q130" s="34">
        <v>0.98538333036850401</v>
      </c>
      <c r="R130" s="33">
        <v>25.253108365855098</v>
      </c>
      <c r="S130" s="33">
        <v>25.141142445777</v>
      </c>
      <c r="T130" s="33">
        <v>25.319525965131401</v>
      </c>
      <c r="U130" s="15">
        <v>1.31192120619366E-3</v>
      </c>
      <c r="V130" s="15">
        <v>-3.13168505885972E-3</v>
      </c>
      <c r="W130" s="15">
        <v>3.93854480768691E-3</v>
      </c>
      <c r="X130" s="34">
        <v>0.98170494355780402</v>
      </c>
      <c r="Y130" s="34">
        <v>0.98299370828552601</v>
      </c>
      <c r="Z130" s="34">
        <v>0.97776773721171795</v>
      </c>
      <c r="AA130" s="34">
        <v>0.98538333036850401</v>
      </c>
      <c r="AB130" s="33">
        <v>25.253108365855098</v>
      </c>
      <c r="AC130" s="33">
        <v>25.141142445777</v>
      </c>
      <c r="AD130" s="33">
        <v>25.319525965131401</v>
      </c>
      <c r="AE130" s="15">
        <v>1.31192120619366E-3</v>
      </c>
      <c r="AF130" s="15">
        <v>-3.13168505885972E-3</v>
      </c>
      <c r="AG130" s="15">
        <v>3.93854480768691E-3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2.8888986411675407E-2</v>
      </c>
      <c r="AT130" s="12"/>
      <c r="AU130">
        <f t="shared" si="30"/>
        <v>0</v>
      </c>
      <c r="AV130">
        <f t="shared" si="31"/>
        <v>1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2.57458985125141E-2</v>
      </c>
      <c r="BA130" s="28">
        <f t="shared" si="33"/>
        <v>-2.19616669742679E-2</v>
      </c>
      <c r="BB130" s="28">
        <f t="shared" si="40"/>
        <v>3.7842315382462001E-3</v>
      </c>
      <c r="BC130" s="29">
        <f t="shared" si="41"/>
        <v>2.7069266400091854E-2</v>
      </c>
      <c r="BE130" s="29">
        <f t="shared" si="42"/>
        <v>3.7842315382462001E-3</v>
      </c>
      <c r="BF130" s="29">
        <f t="shared" si="43"/>
        <v>5.5958252811767265E-2</v>
      </c>
      <c r="BH130" s="29"/>
    </row>
    <row r="131" spans="1:60" x14ac:dyDescent="0.25">
      <c r="A131" s="1">
        <v>46213</v>
      </c>
      <c r="B131" s="33">
        <v>26.6</v>
      </c>
      <c r="C131" s="33">
        <v>26.17</v>
      </c>
      <c r="D131" s="15">
        <v>3.4809404665861098E-2</v>
      </c>
      <c r="E131" s="15">
        <v>3.6976386005280998E-2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26.6</v>
      </c>
      <c r="M131" s="33">
        <v>26.17</v>
      </c>
      <c r="N131" s="34">
        <v>0.98383458646616495</v>
      </c>
      <c r="O131" s="34">
        <v>0.98299370828552601</v>
      </c>
      <c r="P131" s="34">
        <v>0.97778587958257002</v>
      </c>
      <c r="Q131" s="34">
        <v>0.98517096285754702</v>
      </c>
      <c r="R131" s="33">
        <v>26.1476326403949</v>
      </c>
      <c r="S131" s="33">
        <v>26.008621809831698</v>
      </c>
      <c r="T131" s="33">
        <v>26.211196587802199</v>
      </c>
      <c r="U131" s="15">
        <v>-8.55060133226257E-4</v>
      </c>
      <c r="V131" s="15">
        <v>-6.1856254199266197E-3</v>
      </c>
      <c r="W131" s="15">
        <v>1.57295361617574E-3</v>
      </c>
      <c r="X131" s="34">
        <v>0.98383458646616495</v>
      </c>
      <c r="Y131" s="34">
        <v>0.98299370828552601</v>
      </c>
      <c r="Z131" s="34">
        <v>0.97778587958257002</v>
      </c>
      <c r="AA131" s="34">
        <v>0.98517096285754702</v>
      </c>
      <c r="AB131" s="33">
        <v>26.1476326403949</v>
      </c>
      <c r="AC131" s="33">
        <v>26.008621809831698</v>
      </c>
      <c r="AD131" s="33">
        <v>26.211196587802199</v>
      </c>
      <c r="AE131" s="15">
        <v>-8.55060133226257E-4</v>
      </c>
      <c r="AF131" s="15">
        <v>-6.1856254199266197E-3</v>
      </c>
      <c r="AG131" s="15">
        <v>1.57295361617574E-3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2.8888986411675407E-2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2.7069266400091854E-2</v>
      </c>
      <c r="BE131" s="29">
        <f t="shared" si="42"/>
        <v>0</v>
      </c>
      <c r="BF131" s="29">
        <f t="shared" si="43"/>
        <v>5.5958252811767265E-2</v>
      </c>
      <c r="BH131" s="29"/>
    </row>
    <row r="132" spans="1:60" x14ac:dyDescent="0.25">
      <c r="A132" s="1">
        <v>46216</v>
      </c>
      <c r="B132" s="33">
        <v>26.67</v>
      </c>
      <c r="C132" s="33">
        <v>26.25</v>
      </c>
      <c r="D132" s="15">
        <v>2.62812240626963E-3</v>
      </c>
      <c r="E132" s="15">
        <v>3.0522724955782199E-3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26.67</v>
      </c>
      <c r="M132" s="33">
        <v>26.25</v>
      </c>
      <c r="N132" s="34">
        <v>0.98425196850393604</v>
      </c>
      <c r="O132" s="34">
        <v>0.98299370828552601</v>
      </c>
      <c r="P132" s="34">
        <v>0.97851715609753398</v>
      </c>
      <c r="Q132" s="34">
        <v>0.98544739106997803</v>
      </c>
      <c r="R132" s="33">
        <v>26.2164421999749</v>
      </c>
      <c r="S132" s="33">
        <v>26.0775494084671</v>
      </c>
      <c r="T132" s="33">
        <v>26.2745095794108</v>
      </c>
      <c r="U132" s="15">
        <v>-1.27921022253481E-3</v>
      </c>
      <c r="V132" s="15">
        <v>-6.59122079337665E-3</v>
      </c>
      <c r="W132" s="15">
        <v>9.3326263818569702E-4</v>
      </c>
      <c r="X132" s="34">
        <v>0.98425196850393604</v>
      </c>
      <c r="Y132" s="34">
        <v>0.98299370828552601</v>
      </c>
      <c r="Z132" s="34">
        <v>0.97851715609753398</v>
      </c>
      <c r="AA132" s="34">
        <v>0.98544739106997803</v>
      </c>
      <c r="AB132" s="33">
        <v>26.2164421999749</v>
      </c>
      <c r="AC132" s="33">
        <v>26.0775494084671</v>
      </c>
      <c r="AD132" s="33">
        <v>26.2745095794108</v>
      </c>
      <c r="AE132" s="15">
        <v>-1.27921022253481E-3</v>
      </c>
      <c r="AF132" s="15">
        <v>-6.59122079337665E-3</v>
      </c>
      <c r="AG132" s="15">
        <v>9.3326263818569702E-4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2.8888986411675407E-2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2.7069266400091854E-2</v>
      </c>
      <c r="BE132" s="29">
        <f t="shared" si="42"/>
        <v>0</v>
      </c>
      <c r="BF132" s="29">
        <f t="shared" si="43"/>
        <v>5.5958252811767265E-2</v>
      </c>
      <c r="BH132" s="29"/>
    </row>
    <row r="133" spans="1:60" x14ac:dyDescent="0.25">
      <c r="A133" s="1">
        <v>46217</v>
      </c>
      <c r="B133" s="33">
        <v>25.71</v>
      </c>
      <c r="C133" s="33">
        <v>25.1</v>
      </c>
      <c r="D133" s="15">
        <v>-3.6659316916124798E-2</v>
      </c>
      <c r="E133" s="15">
        <v>-4.4798142899894401E-2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25.71</v>
      </c>
      <c r="M133" s="33">
        <v>25.1</v>
      </c>
      <c r="N133" s="34">
        <v>0.97627382341501301</v>
      </c>
      <c r="O133" s="34">
        <v>0.98299370828552601</v>
      </c>
      <c r="P133" s="34">
        <v>0.97802064463372596</v>
      </c>
      <c r="Q133" s="34">
        <v>0.98497276107284604</v>
      </c>
      <c r="R133" s="33">
        <v>25.272768240020799</v>
      </c>
      <c r="S133" s="33">
        <v>25.157676083267599</v>
      </c>
      <c r="T133" s="33">
        <v>25.335852424409101</v>
      </c>
      <c r="U133" s="15">
        <v>6.8596157612347804E-3</v>
      </c>
      <c r="V133" s="15">
        <v>2.2952158986393298E-3</v>
      </c>
      <c r="W133" s="15">
        <v>9.3526383424966802E-3</v>
      </c>
      <c r="X133" s="34">
        <v>0.97627382341501301</v>
      </c>
      <c r="Y133" s="34">
        <v>0.98299370828552601</v>
      </c>
      <c r="Z133" s="34">
        <v>0.97802064463372596</v>
      </c>
      <c r="AA133" s="34">
        <v>0.98497276107284604</v>
      </c>
      <c r="AB133" s="33">
        <v>25.272768240020799</v>
      </c>
      <c r="AC133" s="33">
        <v>25.157676083267599</v>
      </c>
      <c r="AD133" s="33">
        <v>25.335852424409101</v>
      </c>
      <c r="AE133" s="15">
        <v>6.8596157612347804E-3</v>
      </c>
      <c r="AF133" s="15">
        <v>2.2952158986393298E-3</v>
      </c>
      <c r="AG133" s="15">
        <v>9.3526383424966802E-3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2.8888986411675407E-2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2.7069266400091854E-2</v>
      </c>
      <c r="BE133" s="29">
        <f t="shared" si="42"/>
        <v>0</v>
      </c>
      <c r="BF133" s="29">
        <f t="shared" si="43"/>
        <v>5.5958252811767265E-2</v>
      </c>
      <c r="BH133" s="29"/>
    </row>
    <row r="134" spans="1:60" x14ac:dyDescent="0.25">
      <c r="A134" s="1">
        <v>46218</v>
      </c>
      <c r="B134" s="33">
        <v>25.47</v>
      </c>
      <c r="C134" s="33">
        <v>25.07</v>
      </c>
      <c r="D134" s="15">
        <v>-9.3787322864325798E-3</v>
      </c>
      <c r="E134" s="15">
        <v>-1.19593396753626E-3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25.47</v>
      </c>
      <c r="M134" s="33">
        <v>25.07</v>
      </c>
      <c r="N134" s="34">
        <v>0.98429524931291701</v>
      </c>
      <c r="O134" s="34">
        <v>0.98299370828552601</v>
      </c>
      <c r="P134" s="34">
        <v>0.97904519880478402</v>
      </c>
      <c r="Q134" s="34">
        <v>0.98457426386998304</v>
      </c>
      <c r="R134" s="33">
        <v>25.0368497500323</v>
      </c>
      <c r="S134" s="33">
        <v>24.910185818820999</v>
      </c>
      <c r="T134" s="33">
        <v>25.087256224525301</v>
      </c>
      <c r="U134" s="15">
        <v>-1.3231825576615599E-3</v>
      </c>
      <c r="V134" s="15">
        <v>-6.3951233165087298E-3</v>
      </c>
      <c r="W134" s="15">
        <v>6.8808489559264599E-4</v>
      </c>
      <c r="X134" s="34">
        <v>0.98429524931291701</v>
      </c>
      <c r="Y134" s="34">
        <v>0.98299370828552601</v>
      </c>
      <c r="Z134" s="34">
        <v>0.97904519880478402</v>
      </c>
      <c r="AA134" s="34">
        <v>0.98457426386998304</v>
      </c>
      <c r="AB134" s="33">
        <v>25.0368497500323</v>
      </c>
      <c r="AC134" s="33">
        <v>24.910185818820999</v>
      </c>
      <c r="AD134" s="33">
        <v>25.087256224525301</v>
      </c>
      <c r="AE134" s="15">
        <v>-1.3231825576615599E-3</v>
      </c>
      <c r="AF134" s="15">
        <v>-6.3951233165087298E-3</v>
      </c>
      <c r="AG134" s="15">
        <v>6.8808489559264599E-4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2.8888986411675407E-2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2.7069266400091854E-2</v>
      </c>
      <c r="BE134" s="29">
        <f t="shared" si="42"/>
        <v>0</v>
      </c>
      <c r="BF134" s="29">
        <f t="shared" si="43"/>
        <v>5.5958252811767265E-2</v>
      </c>
      <c r="BH134" s="29"/>
    </row>
    <row r="135" spans="1:60" x14ac:dyDescent="0.25">
      <c r="A135" s="1">
        <v>46219</v>
      </c>
      <c r="B135" s="33">
        <v>26.38</v>
      </c>
      <c r="C135" s="33">
        <v>25.96</v>
      </c>
      <c r="D135" s="15">
        <v>3.5104858297802799E-2</v>
      </c>
      <c r="E135" s="15">
        <v>3.48849796656873E-2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26.38</v>
      </c>
      <c r="M135" s="33">
        <v>25.96</v>
      </c>
      <c r="N135" s="34">
        <v>0.98407884761182696</v>
      </c>
      <c r="O135" s="34">
        <v>0.98299370828552601</v>
      </c>
      <c r="P135" s="34">
        <v>0.98005489352071695</v>
      </c>
      <c r="Q135" s="34">
        <v>0.98394674557641704</v>
      </c>
      <c r="R135" s="33">
        <v>25.931374024572101</v>
      </c>
      <c r="S135" s="33">
        <v>25.827212344470201</v>
      </c>
      <c r="T135" s="33">
        <v>25.973069080890099</v>
      </c>
      <c r="U135" s="15">
        <v>-1.1033039255459E-3</v>
      </c>
      <c r="V135" s="15">
        <v>-5.1282137241500797E-3</v>
      </c>
      <c r="W135" s="15">
        <v>5.0330478815710403E-4</v>
      </c>
      <c r="X135" s="34">
        <v>0.98407884761182696</v>
      </c>
      <c r="Y135" s="34">
        <v>0.98299370828552601</v>
      </c>
      <c r="Z135" s="34">
        <v>0.98005489352071695</v>
      </c>
      <c r="AA135" s="34">
        <v>0.98394674557641704</v>
      </c>
      <c r="AB135" s="33">
        <v>25.931374024572101</v>
      </c>
      <c r="AC135" s="33">
        <v>25.827212344470201</v>
      </c>
      <c r="AD135" s="33">
        <v>25.973069080890099</v>
      </c>
      <c r="AE135" s="15">
        <v>-1.1033039255459E-3</v>
      </c>
      <c r="AF135" s="15">
        <v>-5.1282137241500797E-3</v>
      </c>
      <c r="AG135" s="15">
        <v>5.0330478815710403E-4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2.8888986411675407E-2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2.7069266400091854E-2</v>
      </c>
      <c r="BE135" s="29">
        <f t="shared" si="42"/>
        <v>0</v>
      </c>
      <c r="BF135" s="29">
        <f t="shared" si="43"/>
        <v>5.5958252811767265E-2</v>
      </c>
      <c r="BH135" s="29"/>
    </row>
    <row r="136" spans="1:60" x14ac:dyDescent="0.25">
      <c r="A136" s="1">
        <v>46220</v>
      </c>
      <c r="B136" s="33">
        <v>26.13</v>
      </c>
      <c r="C136" s="33">
        <v>25.58</v>
      </c>
      <c r="D136" s="15">
        <v>-9.5220677566474499E-3</v>
      </c>
      <c r="E136" s="15">
        <v>-1.47460956851927E-2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26.13</v>
      </c>
      <c r="M136" s="33">
        <v>25.58</v>
      </c>
      <c r="N136" s="34">
        <v>0.97895139686184396</v>
      </c>
      <c r="O136" s="34">
        <v>0.98299370828552601</v>
      </c>
      <c r="P136" s="34">
        <v>0.98019218567326905</v>
      </c>
      <c r="Q136" s="34">
        <v>0.98291390789599897</v>
      </c>
      <c r="R136" s="33">
        <v>25.6856255975007</v>
      </c>
      <c r="S136" s="33">
        <v>25.6088343676963</v>
      </c>
      <c r="T136" s="33">
        <v>25.7105284619117</v>
      </c>
      <c r="U136" s="15">
        <v>4.1207240029992901E-3</v>
      </c>
      <c r="V136" s="15">
        <v>1.1265882922418299E-3</v>
      </c>
      <c r="W136" s="15">
        <v>5.0897796382129096E-3</v>
      </c>
      <c r="X136" s="34">
        <v>0.97895139686184396</v>
      </c>
      <c r="Y136" s="34">
        <v>0.98299370828552601</v>
      </c>
      <c r="Z136" s="34">
        <v>0.98019218567326905</v>
      </c>
      <c r="AA136" s="34">
        <v>0.98291390789599897</v>
      </c>
      <c r="AB136" s="33">
        <v>25.6856255975007</v>
      </c>
      <c r="AC136" s="33">
        <v>25.6088343676963</v>
      </c>
      <c r="AD136" s="33">
        <v>25.7105284619117</v>
      </c>
      <c r="AE136" s="15">
        <v>4.1207240029992901E-3</v>
      </c>
      <c r="AF136" s="15">
        <v>1.1265882922418299E-3</v>
      </c>
      <c r="AG136" s="15">
        <v>5.0897796382129096E-3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2.8888986411675407E-2</v>
      </c>
      <c r="AT136" s="12"/>
      <c r="AU136">
        <f t="shared" si="30"/>
        <v>0</v>
      </c>
      <c r="AV136">
        <f t="shared" si="31"/>
        <v>0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2.7069266400091854E-2</v>
      </c>
      <c r="BE136" s="29">
        <f t="shared" si="42"/>
        <v>0</v>
      </c>
      <c r="BF136" s="29">
        <f t="shared" si="43"/>
        <v>5.5958252811767265E-2</v>
      </c>
      <c r="BH136" s="29"/>
    </row>
    <row r="137" spans="1:60" x14ac:dyDescent="0.25">
      <c r="A137" s="1">
        <v>46223</v>
      </c>
      <c r="B137" s="33">
        <v>27.03</v>
      </c>
      <c r="C137" s="33">
        <v>26.41</v>
      </c>
      <c r="D137" s="15">
        <v>3.3863280755835098E-2</v>
      </c>
      <c r="E137" s="15">
        <v>3.1931930158344203E-2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27.03</v>
      </c>
      <c r="M137" s="33">
        <v>26.41</v>
      </c>
      <c r="N137" s="34">
        <v>0.97706252312245601</v>
      </c>
      <c r="O137" s="34">
        <v>0.98299370828552601</v>
      </c>
      <c r="P137" s="34">
        <v>0.98058173352595401</v>
      </c>
      <c r="Q137" s="34">
        <v>0.98176703405212096</v>
      </c>
      <c r="R137" s="33">
        <v>26.570319934957698</v>
      </c>
      <c r="S137" s="33">
        <v>26.4945947787484</v>
      </c>
      <c r="T137" s="33">
        <v>26.568162930428802</v>
      </c>
      <c r="U137" s="15">
        <v>6.0520746004902298E-3</v>
      </c>
      <c r="V137" s="15">
        <v>3.1980152650364401E-3</v>
      </c>
      <c r="W137" s="15">
        <v>5.9708903282345103E-3</v>
      </c>
      <c r="X137" s="34">
        <v>0.97706252312245601</v>
      </c>
      <c r="Y137" s="34">
        <v>0.98299370828552601</v>
      </c>
      <c r="Z137" s="34">
        <v>0.98058173352595401</v>
      </c>
      <c r="AA137" s="34">
        <v>0.98176703405212096</v>
      </c>
      <c r="AB137" s="33">
        <v>26.570319934957698</v>
      </c>
      <c r="AC137" s="33">
        <v>26.4945947787484</v>
      </c>
      <c r="AD137" s="33">
        <v>26.568162930428802</v>
      </c>
      <c r="AE137" s="15">
        <v>6.0520746004902298E-3</v>
      </c>
      <c r="AF137" s="15">
        <v>3.1980152650364401E-3</v>
      </c>
      <c r="AG137" s="15">
        <v>5.9708903282345103E-3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2.8888986411675407E-2</v>
      </c>
      <c r="AT137" s="12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2.7069266400091854E-2</v>
      </c>
      <c r="BE137" s="29">
        <f t="shared" si="42"/>
        <v>0</v>
      </c>
      <c r="BF137" s="29">
        <f t="shared" si="43"/>
        <v>5.5958252811767265E-2</v>
      </c>
      <c r="BH137" s="29"/>
    </row>
    <row r="138" spans="1:60" x14ac:dyDescent="0.25">
      <c r="A138" s="1">
        <v>46224</v>
      </c>
      <c r="B138" s="33">
        <v>26.75</v>
      </c>
      <c r="C138" s="33">
        <v>26.29</v>
      </c>
      <c r="D138" s="15">
        <v>-1.04128869463407E-2</v>
      </c>
      <c r="E138" s="15">
        <v>-4.55408756725107E-3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26.75</v>
      </c>
      <c r="M138" s="33">
        <v>26.29</v>
      </c>
      <c r="N138" s="34">
        <v>0.98280373831775703</v>
      </c>
      <c r="O138" s="34">
        <v>0.98299370828552601</v>
      </c>
      <c r="P138" s="34">
        <v>0.98112540422683503</v>
      </c>
      <c r="Q138" s="34">
        <v>0.98096218615672304</v>
      </c>
      <c r="R138" s="33">
        <v>26.295081696637801</v>
      </c>
      <c r="S138" s="33">
        <v>26.230561371819199</v>
      </c>
      <c r="T138" s="33">
        <v>26.262268160894202</v>
      </c>
      <c r="U138" s="15">
        <v>1.93275221400601E-4</v>
      </c>
      <c r="V138" s="15">
        <v>-2.2634431927008201E-3</v>
      </c>
      <c r="W138" s="15">
        <v>-1.05540037187266E-3</v>
      </c>
      <c r="X138" s="34">
        <v>0.98280373831775703</v>
      </c>
      <c r="Y138" s="34">
        <v>0.98299370828552601</v>
      </c>
      <c r="Z138" s="34">
        <v>0.98112540422683503</v>
      </c>
      <c r="AA138" s="34">
        <v>0.98096218615672304</v>
      </c>
      <c r="AB138" s="33">
        <v>26.295081696637801</v>
      </c>
      <c r="AC138" s="33">
        <v>26.230561371819199</v>
      </c>
      <c r="AD138" s="33">
        <v>26.262268160894202</v>
      </c>
      <c r="AE138" s="15">
        <v>1.93275221400601E-4</v>
      </c>
      <c r="AF138" s="15">
        <v>-2.2634431927008201E-3</v>
      </c>
      <c r="AG138" s="15">
        <v>-1.05540037187266E-3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2.8888986411675407E-2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2.7069266400091854E-2</v>
      </c>
      <c r="BE138" s="29">
        <f t="shared" si="42"/>
        <v>0</v>
      </c>
      <c r="BF138" s="29">
        <f t="shared" si="43"/>
        <v>5.5958252811767265E-2</v>
      </c>
      <c r="BH138" s="29"/>
    </row>
    <row r="139" spans="1:60" x14ac:dyDescent="0.25">
      <c r="A139" s="1">
        <v>46225</v>
      </c>
      <c r="B139" s="33">
        <v>26.9</v>
      </c>
      <c r="C139" s="33">
        <v>26.41</v>
      </c>
      <c r="D139" s="15">
        <v>5.5918132657777099E-3</v>
      </c>
      <c r="E139" s="15">
        <v>4.5540875672509503E-3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26.9</v>
      </c>
      <c r="M139" s="33">
        <v>26.41</v>
      </c>
      <c r="N139" s="34">
        <v>0.98178438661709999</v>
      </c>
      <c r="O139" s="34">
        <v>0.98299370828552601</v>
      </c>
      <c r="P139" s="34">
        <v>0.981504146378682</v>
      </c>
      <c r="Q139" s="34">
        <v>0.98006975411143105</v>
      </c>
      <c r="R139" s="33">
        <v>26.4425307528806</v>
      </c>
      <c r="S139" s="33">
        <v>26.392273373701801</v>
      </c>
      <c r="T139" s="33">
        <v>26.387882807615799</v>
      </c>
      <c r="U139" s="15">
        <v>1.2310009199272701E-3</v>
      </c>
      <c r="V139" s="15">
        <v>-6.7143423309184297E-4</v>
      </c>
      <c r="W139" s="15">
        <v>-8.3780608243056701E-4</v>
      </c>
      <c r="X139" s="34">
        <v>0.98178438661709999</v>
      </c>
      <c r="Y139" s="34">
        <v>0.98299370828552601</v>
      </c>
      <c r="Z139" s="34">
        <v>0.981504146378682</v>
      </c>
      <c r="AA139" s="34">
        <v>0.98006975411143105</v>
      </c>
      <c r="AB139" s="33">
        <v>26.4425307528806</v>
      </c>
      <c r="AC139" s="33">
        <v>26.392273373701801</v>
      </c>
      <c r="AD139" s="33">
        <v>26.387882807615799</v>
      </c>
      <c r="AE139" s="15">
        <v>1.2310009199272701E-3</v>
      </c>
      <c r="AF139" s="15">
        <v>-6.7143423309184297E-4</v>
      </c>
      <c r="AG139" s="15">
        <v>-8.3780608243056701E-4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2.8888986411675407E-2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2.7069266400091854E-2</v>
      </c>
      <c r="BE139" s="29">
        <f t="shared" si="42"/>
        <v>0</v>
      </c>
      <c r="BF139" s="29">
        <f t="shared" si="43"/>
        <v>5.5958252811767265E-2</v>
      </c>
      <c r="BH139" s="29"/>
    </row>
    <row r="140" spans="1:60" x14ac:dyDescent="0.25">
      <c r="A140" s="1">
        <v>46226</v>
      </c>
      <c r="B140" s="33">
        <v>26.25</v>
      </c>
      <c r="C140" s="33">
        <v>25.7</v>
      </c>
      <c r="D140" s="15">
        <v>-2.4460297570160501E-2</v>
      </c>
      <c r="E140" s="15">
        <v>-2.7251734407866698E-2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26.25</v>
      </c>
      <c r="M140" s="33">
        <v>25.7</v>
      </c>
      <c r="N140" s="34">
        <v>0.97904761904761906</v>
      </c>
      <c r="O140" s="34">
        <v>0.98299370828552601</v>
      </c>
      <c r="P140" s="34">
        <v>0.98123841392766298</v>
      </c>
      <c r="Q140" s="34">
        <v>0.97950307556969096</v>
      </c>
      <c r="R140" s="33">
        <v>25.803584842494999</v>
      </c>
      <c r="S140" s="33">
        <v>25.764483842440399</v>
      </c>
      <c r="T140" s="33">
        <v>25.726831045425001</v>
      </c>
      <c r="U140" s="15">
        <v>4.0224377576335603E-3</v>
      </c>
      <c r="V140" s="15">
        <v>2.5059563944483999E-3</v>
      </c>
      <c r="W140" s="15">
        <v>1.04346495065579E-3</v>
      </c>
      <c r="X140" s="34">
        <v>0.97904761904761906</v>
      </c>
      <c r="Y140" s="34">
        <v>0.98299370828552601</v>
      </c>
      <c r="Z140" s="34">
        <v>0.98123841392766298</v>
      </c>
      <c r="AA140" s="34">
        <v>0.97950307556969096</v>
      </c>
      <c r="AB140" s="33">
        <v>25.803584842494999</v>
      </c>
      <c r="AC140" s="33">
        <v>25.764483842440399</v>
      </c>
      <c r="AD140" s="33">
        <v>25.726831045425001</v>
      </c>
      <c r="AE140" s="15">
        <v>4.0224377576335603E-3</v>
      </c>
      <c r="AF140" s="15">
        <v>2.5059563944483999E-3</v>
      </c>
      <c r="AG140" s="15">
        <v>1.04346495065579E-3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2.8888986411675407E-2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2.7069266400091854E-2</v>
      </c>
      <c r="BE140" s="29">
        <f t="shared" si="42"/>
        <v>0</v>
      </c>
      <c r="BF140" s="29">
        <f t="shared" si="43"/>
        <v>5.5958252811767265E-2</v>
      </c>
      <c r="BH140" s="29"/>
    </row>
    <row r="141" spans="1:60" x14ac:dyDescent="0.25">
      <c r="A141" s="1">
        <v>46227</v>
      </c>
      <c r="B141" s="33">
        <v>26.71</v>
      </c>
      <c r="C141" s="33">
        <v>26.08</v>
      </c>
      <c r="D141" s="15">
        <v>1.73720380842367E-2</v>
      </c>
      <c r="E141" s="15">
        <v>1.4677745157278E-2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26.71</v>
      </c>
      <c r="M141" s="33">
        <v>26.08</v>
      </c>
      <c r="N141" s="34">
        <v>0.97641332834144501</v>
      </c>
      <c r="O141" s="34">
        <v>0.98299370828552601</v>
      </c>
      <c r="P141" s="34">
        <v>0.98049628811519096</v>
      </c>
      <c r="Q141" s="34">
        <v>0.97914108384888099</v>
      </c>
      <c r="R141" s="33">
        <v>26.2557619483064</v>
      </c>
      <c r="S141" s="33">
        <v>26.208878036007899</v>
      </c>
      <c r="T141" s="33">
        <v>26.162527148466399</v>
      </c>
      <c r="U141" s="15">
        <v>6.7167306845922203E-3</v>
      </c>
      <c r="V141" s="15">
        <v>4.9294726459363902E-3</v>
      </c>
      <c r="W141" s="15">
        <v>3.1593883993748699E-3</v>
      </c>
      <c r="X141" s="34">
        <v>0.97641332834144501</v>
      </c>
      <c r="Y141" s="34">
        <v>0.98299370828552601</v>
      </c>
      <c r="Z141" s="34">
        <v>0.98049628811519096</v>
      </c>
      <c r="AA141" s="34">
        <v>0.97914108384888099</v>
      </c>
      <c r="AB141" s="33">
        <v>26.2557619483064</v>
      </c>
      <c r="AC141" s="33">
        <v>26.208878036007899</v>
      </c>
      <c r="AD141" s="33">
        <v>26.162527148466399</v>
      </c>
      <c r="AE141" s="15">
        <v>6.7167306845922203E-3</v>
      </c>
      <c r="AF141" s="15">
        <v>4.9294726459363902E-3</v>
      </c>
      <c r="AG141" s="15">
        <v>3.1593883993748699E-3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2.8888986411675407E-2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2.7069266400091854E-2</v>
      </c>
      <c r="BE141" s="29">
        <f t="shared" si="42"/>
        <v>0</v>
      </c>
      <c r="BF141" s="29">
        <f t="shared" si="43"/>
        <v>5.5958252811767265E-2</v>
      </c>
      <c r="BH141" s="29"/>
    </row>
    <row r="142" spans="1:60" x14ac:dyDescent="0.25">
      <c r="A142" s="1">
        <v>46230</v>
      </c>
      <c r="B142" s="33">
        <v>27.93</v>
      </c>
      <c r="C142" s="33">
        <v>27.4</v>
      </c>
      <c r="D142" s="15">
        <v>4.4663352835215699E-2</v>
      </c>
      <c r="E142" s="15">
        <v>4.9374276335572301E-2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27.93</v>
      </c>
      <c r="M142" s="33">
        <v>27.4</v>
      </c>
      <c r="N142" s="34">
        <v>0.98102398854278505</v>
      </c>
      <c r="O142" s="34">
        <v>0.98299370828552601</v>
      </c>
      <c r="P142" s="34">
        <v>0.98017349011907595</v>
      </c>
      <c r="Q142" s="34">
        <v>0.97934532310830502</v>
      </c>
      <c r="R142" s="33">
        <v>27.455014272414701</v>
      </c>
      <c r="S142" s="33">
        <v>27.3852613270573</v>
      </c>
      <c r="T142" s="33">
        <v>27.347410471899199</v>
      </c>
      <c r="U142" s="15">
        <v>2.0058071842356598E-3</v>
      </c>
      <c r="V142" s="15">
        <v>-5.3805249591780402E-4</v>
      </c>
      <c r="W142" s="15">
        <v>-1.9211701091484299E-3</v>
      </c>
      <c r="X142" s="34">
        <v>0.98102398854278505</v>
      </c>
      <c r="Y142" s="34">
        <v>0.98299370828552601</v>
      </c>
      <c r="Z142" s="34">
        <v>0.98017349011907595</v>
      </c>
      <c r="AA142" s="34">
        <v>0.97934532310830502</v>
      </c>
      <c r="AB142" s="33">
        <v>27.455014272414701</v>
      </c>
      <c r="AC142" s="33">
        <v>27.3852613270573</v>
      </c>
      <c r="AD142" s="33">
        <v>27.347410471899199</v>
      </c>
      <c r="AE142" s="15">
        <v>2.0058071842356598E-3</v>
      </c>
      <c r="AF142" s="15">
        <v>-5.3805249591780402E-4</v>
      </c>
      <c r="AG142" s="15">
        <v>-1.9211701091484299E-3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2.8888986411675407E-2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2.7069266400091854E-2</v>
      </c>
      <c r="BE142" s="29">
        <f t="shared" si="42"/>
        <v>0</v>
      </c>
      <c r="BF142" s="29">
        <f t="shared" si="43"/>
        <v>5.5958252811767265E-2</v>
      </c>
      <c r="BH142" s="29"/>
    </row>
    <row r="143" spans="1:60" x14ac:dyDescent="0.25">
      <c r="A143" s="1">
        <v>46231</v>
      </c>
      <c r="B143" s="33">
        <v>29.3</v>
      </c>
      <c r="C143" s="33">
        <v>28.9</v>
      </c>
      <c r="D143" s="15">
        <v>4.78861360659361E-2</v>
      </c>
      <c r="E143" s="15">
        <v>5.3298581724361901E-2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29.3</v>
      </c>
      <c r="M143" s="33">
        <v>28.9</v>
      </c>
      <c r="N143" s="34">
        <v>0.98634812286689399</v>
      </c>
      <c r="O143" s="34">
        <v>0.98299370828552601</v>
      </c>
      <c r="P143" s="34">
        <v>0.98118092006426405</v>
      </c>
      <c r="Q143" s="34">
        <v>0.97960078234899495</v>
      </c>
      <c r="R143" s="33">
        <v>28.8017156527659</v>
      </c>
      <c r="S143" s="33">
        <v>28.719083260488901</v>
      </c>
      <c r="T143" s="33">
        <v>28.694817967073298</v>
      </c>
      <c r="U143" s="15">
        <v>-3.4066384741898198E-3</v>
      </c>
      <c r="V143" s="15">
        <v>-6.2797713472236899E-3</v>
      </c>
      <c r="W143" s="15">
        <v>-7.1250472940435497E-3</v>
      </c>
      <c r="X143" s="34">
        <v>0.98634812286689399</v>
      </c>
      <c r="Y143" s="34">
        <v>0.98299370828552601</v>
      </c>
      <c r="Z143" s="34">
        <v>0.98118092006426405</v>
      </c>
      <c r="AA143" s="34">
        <v>0.97960078234899495</v>
      </c>
      <c r="AB143" s="33">
        <v>28.8017156527659</v>
      </c>
      <c r="AC143" s="33">
        <v>28.719083260488901</v>
      </c>
      <c r="AD143" s="33">
        <v>28.694817967073298</v>
      </c>
      <c r="AE143" s="15">
        <v>-3.4066384741898198E-3</v>
      </c>
      <c r="AF143" s="15">
        <v>-6.2797713472236899E-3</v>
      </c>
      <c r="AG143" s="15">
        <v>-7.1250472940435497E-3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2.8888986411675407E-2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2.7069266400091854E-2</v>
      </c>
      <c r="BE143" s="29">
        <f t="shared" si="42"/>
        <v>0</v>
      </c>
      <c r="BF143" s="29">
        <f t="shared" si="43"/>
        <v>5.5958252811767265E-2</v>
      </c>
      <c r="BH143" s="29"/>
    </row>
    <row r="144" spans="1:60" x14ac:dyDescent="0.25">
      <c r="A144" s="1">
        <v>46232</v>
      </c>
      <c r="B144" s="33">
        <v>29.87</v>
      </c>
      <c r="C144" s="33">
        <v>29.52</v>
      </c>
      <c r="D144" s="15">
        <v>1.9267116204996701E-2</v>
      </c>
      <c r="E144" s="15">
        <v>2.1226404613885301E-2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29.87</v>
      </c>
      <c r="M144" s="33">
        <v>29.52</v>
      </c>
      <c r="N144" s="34">
        <v>0.98828255775025098</v>
      </c>
      <c r="O144" s="34">
        <v>0.98299370828552601</v>
      </c>
      <c r="P144" s="34">
        <v>0.98157965090799804</v>
      </c>
      <c r="Q144" s="34">
        <v>0.98031242485639003</v>
      </c>
      <c r="R144" s="33">
        <v>29.362022066488599</v>
      </c>
      <c r="S144" s="33">
        <v>29.307874082319501</v>
      </c>
      <c r="T144" s="33">
        <v>29.260675368764399</v>
      </c>
      <c r="U144" s="15">
        <v>-5.3659268830783804E-3</v>
      </c>
      <c r="V144" s="15">
        <v>-7.2117798024711501E-3</v>
      </c>
      <c r="W144" s="15">
        <v>-8.8235227674189794E-3</v>
      </c>
      <c r="X144" s="34">
        <v>0.98828255775025098</v>
      </c>
      <c r="Y144" s="34">
        <v>0.98299370828552601</v>
      </c>
      <c r="Z144" s="34">
        <v>0.98157965090799804</v>
      </c>
      <c r="AA144" s="34">
        <v>0.98031242485639003</v>
      </c>
      <c r="AB144" s="33">
        <v>29.362022066488599</v>
      </c>
      <c r="AC144" s="33">
        <v>29.307874082319501</v>
      </c>
      <c r="AD144" s="33">
        <v>29.260675368764399</v>
      </c>
      <c r="AE144" s="15">
        <v>-5.3659268830783804E-3</v>
      </c>
      <c r="AF144" s="15">
        <v>-7.2117798024711501E-3</v>
      </c>
      <c r="AG144" s="15">
        <v>-8.8235227674189794E-3</v>
      </c>
      <c r="AI144" s="12"/>
      <c r="AJ144">
        <f t="shared" si="26"/>
        <v>0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2.8888986411675407E-2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2.7069266400091854E-2</v>
      </c>
      <c r="BE144" s="29">
        <f t="shared" si="42"/>
        <v>0</v>
      </c>
      <c r="BF144" s="29">
        <f t="shared" si="43"/>
        <v>5.5958252811767265E-2</v>
      </c>
      <c r="BH144" s="29"/>
    </row>
    <row r="145" spans="1:60" x14ac:dyDescent="0.25">
      <c r="A145" s="1">
        <v>46233</v>
      </c>
      <c r="B145" s="33">
        <v>29.21</v>
      </c>
      <c r="C145" s="33">
        <v>28.83</v>
      </c>
      <c r="D145" s="15">
        <v>-2.2343515828368798E-2</v>
      </c>
      <c r="E145" s="15">
        <v>-2.3651488081960902E-2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29.21</v>
      </c>
      <c r="M145" s="33">
        <v>28.83</v>
      </c>
      <c r="N145" s="34">
        <v>0.98699075659020796</v>
      </c>
      <c r="O145" s="34">
        <v>0.98299370828552601</v>
      </c>
      <c r="P145" s="34">
        <v>0.98187084180583595</v>
      </c>
      <c r="Q145" s="34">
        <v>0.98096286766327701</v>
      </c>
      <c r="R145" s="33">
        <v>28.713246219020199</v>
      </c>
      <c r="S145" s="33">
        <v>28.671941603022599</v>
      </c>
      <c r="T145" s="33">
        <v>28.6349259300551</v>
      </c>
      <c r="U145" s="15">
        <v>-4.0579546294861601E-3</v>
      </c>
      <c r="V145" s="15">
        <v>-5.49751158480125E-3</v>
      </c>
      <c r="W145" s="15">
        <v>-6.7893525005131398E-3</v>
      </c>
      <c r="X145" s="34">
        <v>0.98699075659020796</v>
      </c>
      <c r="Y145" s="34">
        <v>0.98299370828552601</v>
      </c>
      <c r="Z145" s="34">
        <v>0.98187084180583595</v>
      </c>
      <c r="AA145" s="34">
        <v>0.98096286766327701</v>
      </c>
      <c r="AB145" s="33">
        <v>28.713246219020199</v>
      </c>
      <c r="AC145" s="33">
        <v>28.671941603022599</v>
      </c>
      <c r="AD145" s="33">
        <v>28.6349259300551</v>
      </c>
      <c r="AE145" s="15">
        <v>-4.0579546294861601E-3</v>
      </c>
      <c r="AF145" s="15">
        <v>-5.49751158480125E-3</v>
      </c>
      <c r="AG145" s="15">
        <v>-6.7893525005131398E-3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2.8888986411675407E-2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2.7069266400091854E-2</v>
      </c>
      <c r="BE145" s="29">
        <f t="shared" si="42"/>
        <v>0</v>
      </c>
      <c r="BF145" s="29">
        <f t="shared" si="43"/>
        <v>5.5958252811767265E-2</v>
      </c>
      <c r="BH145" s="29"/>
    </row>
    <row r="146" spans="1:60" x14ac:dyDescent="0.25">
      <c r="A146" s="1">
        <v>46234</v>
      </c>
      <c r="B146" s="33">
        <v>29.22</v>
      </c>
      <c r="C146" s="33">
        <v>28.73</v>
      </c>
      <c r="D146" s="15">
        <v>3.4228992290370101E-4</v>
      </c>
      <c r="E146" s="15">
        <v>-3.4746386591125202E-3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29.22</v>
      </c>
      <c r="M146" s="33">
        <v>28.73</v>
      </c>
      <c r="N146" s="34">
        <v>0.98323066392881597</v>
      </c>
      <c r="O146" s="34">
        <v>0.98299370828552601</v>
      </c>
      <c r="P146" s="34">
        <v>0.98229876851253295</v>
      </c>
      <c r="Q146" s="34">
        <v>0.981245477092901</v>
      </c>
      <c r="R146" s="33">
        <v>28.723076156103001</v>
      </c>
      <c r="S146" s="33">
        <v>28.690265997566499</v>
      </c>
      <c r="T146" s="33">
        <v>28.663734993120901</v>
      </c>
      <c r="U146" s="15">
        <v>-2.41026047469954E-4</v>
      </c>
      <c r="V146" s="15">
        <v>-1.3839716025448501E-3</v>
      </c>
      <c r="W146" s="15">
        <v>-2.3091383173231899E-3</v>
      </c>
      <c r="X146" s="34">
        <v>0.98323066392881597</v>
      </c>
      <c r="Y146" s="34">
        <v>0.98299370828552601</v>
      </c>
      <c r="Z146" s="34">
        <v>0.98229876851253295</v>
      </c>
      <c r="AA146" s="34">
        <v>0.981245477092901</v>
      </c>
      <c r="AB146" s="33">
        <v>28.723076156103001</v>
      </c>
      <c r="AC146" s="33">
        <v>28.690265997566499</v>
      </c>
      <c r="AD146" s="33">
        <v>28.663734993120901</v>
      </c>
      <c r="AE146" s="15">
        <v>-2.41026047469954E-4</v>
      </c>
      <c r="AF146" s="15">
        <v>-1.3839716025448501E-3</v>
      </c>
      <c r="AG146" s="15">
        <v>-2.3091383173231899E-3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2.8888986411675407E-2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2.7069266400091854E-2</v>
      </c>
      <c r="BE146" s="29">
        <f t="shared" si="42"/>
        <v>0</v>
      </c>
      <c r="BF146" s="29">
        <f t="shared" si="43"/>
        <v>5.5958252811767265E-2</v>
      </c>
      <c r="BH146" s="29"/>
    </row>
    <row r="147" spans="1:60" x14ac:dyDescent="0.25">
      <c r="A147" s="1">
        <v>46237</v>
      </c>
      <c r="B147" s="33">
        <v>28.12</v>
      </c>
      <c r="C147" s="33">
        <v>27.81</v>
      </c>
      <c r="D147" s="15">
        <v>-3.8372339380089097E-2</v>
      </c>
      <c r="E147" s="15">
        <v>-3.25462047453247E-2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28.12</v>
      </c>
      <c r="M147" s="33">
        <v>27.81</v>
      </c>
      <c r="N147" s="34">
        <v>0.98897581792318601</v>
      </c>
      <c r="O147" s="34">
        <v>0.98299370828552601</v>
      </c>
      <c r="P147" s="34">
        <v>0.983490097992606</v>
      </c>
      <c r="Q147" s="34">
        <v>0.98203591575927995</v>
      </c>
      <c r="R147" s="33">
        <v>27.641783076988901</v>
      </c>
      <c r="S147" s="33">
        <v>27.6222413705724</v>
      </c>
      <c r="T147" s="33">
        <v>27.592622815852302</v>
      </c>
      <c r="U147" s="15">
        <v>-6.06716068223435E-3</v>
      </c>
      <c r="V147" s="15">
        <v>-6.7743732830676901E-3</v>
      </c>
      <c r="W147" s="15">
        <v>-7.8472205316257801E-3</v>
      </c>
      <c r="X147" s="34">
        <v>0.98897581792318601</v>
      </c>
      <c r="Y147" s="34">
        <v>0.98299370828552601</v>
      </c>
      <c r="Z147" s="34">
        <v>0.983490097992606</v>
      </c>
      <c r="AA147" s="34">
        <v>0.98203591575927995</v>
      </c>
      <c r="AB147" s="33">
        <v>27.641783076988901</v>
      </c>
      <c r="AC147" s="33">
        <v>27.6222413705724</v>
      </c>
      <c r="AD147" s="33">
        <v>27.592622815852302</v>
      </c>
      <c r="AE147" s="15">
        <v>-6.06716068223435E-3</v>
      </c>
      <c r="AF147" s="15">
        <v>-6.7743732830676901E-3</v>
      </c>
      <c r="AG147" s="15">
        <v>-7.8472205316257801E-3</v>
      </c>
      <c r="AI147" s="12"/>
      <c r="AJ147">
        <f t="shared" si="26"/>
        <v>0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2.8888986411675407E-2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2.7069266400091854E-2</v>
      </c>
      <c r="BE147" s="29">
        <f t="shared" si="42"/>
        <v>0</v>
      </c>
      <c r="BF147" s="29">
        <f t="shared" si="43"/>
        <v>5.5958252811767265E-2</v>
      </c>
      <c r="BH147" s="29"/>
    </row>
    <row r="148" spans="1:60" x14ac:dyDescent="0.25">
      <c r="A148" s="1">
        <v>46238</v>
      </c>
      <c r="B148" s="33">
        <v>28.86</v>
      </c>
      <c r="C148" s="33">
        <v>28.47</v>
      </c>
      <c r="D148" s="15">
        <v>2.59754864032605E-2</v>
      </c>
      <c r="E148" s="15">
        <v>2.3455233044072699E-2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28.86</v>
      </c>
      <c r="M148" s="33">
        <v>28.47</v>
      </c>
      <c r="N148" s="34">
        <v>0.98648648648648596</v>
      </c>
      <c r="O148" s="34">
        <v>0.98299370828552601</v>
      </c>
      <c r="P148" s="34">
        <v>0.98385837280947896</v>
      </c>
      <c r="Q148" s="34">
        <v>0.98249188851815705</v>
      </c>
      <c r="R148" s="33">
        <v>28.369198421120199</v>
      </c>
      <c r="S148" s="33">
        <v>28.383524228066602</v>
      </c>
      <c r="T148" s="33">
        <v>28.341556528812799</v>
      </c>
      <c r="U148" s="15">
        <v>-3.5469073230464201E-3</v>
      </c>
      <c r="V148" s="15">
        <v>-3.0420572794930402E-3</v>
      </c>
      <c r="W148" s="15">
        <v>-4.5217451477549504E-3</v>
      </c>
      <c r="X148" s="34">
        <v>0.98648648648648596</v>
      </c>
      <c r="Y148" s="34">
        <v>0.98299370828552601</v>
      </c>
      <c r="Z148" s="34">
        <v>0.98385837280947896</v>
      </c>
      <c r="AA148" s="34">
        <v>0.98249188851815705</v>
      </c>
      <c r="AB148" s="33">
        <v>28.369198421120199</v>
      </c>
      <c r="AC148" s="33">
        <v>28.383524228066602</v>
      </c>
      <c r="AD148" s="33">
        <v>28.341556528812799</v>
      </c>
      <c r="AE148" s="15">
        <v>-3.5469073230464201E-3</v>
      </c>
      <c r="AF148" s="15">
        <v>-3.0420572794930402E-3</v>
      </c>
      <c r="AG148" s="15">
        <v>-4.5217451477549504E-3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2.8888986411675407E-2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2.7069266400091854E-2</v>
      </c>
      <c r="BE148" s="29">
        <f t="shared" si="42"/>
        <v>0</v>
      </c>
      <c r="BF148" s="29">
        <f t="shared" si="43"/>
        <v>5.5958252811767265E-2</v>
      </c>
      <c r="BH148" s="29"/>
    </row>
    <row r="149" spans="1:60" x14ac:dyDescent="0.25">
      <c r="A149" s="1">
        <v>46239</v>
      </c>
      <c r="B149" s="33">
        <v>28.69</v>
      </c>
      <c r="C149" s="33">
        <v>28.38</v>
      </c>
      <c r="D149" s="15">
        <v>-5.9079233524513804E-3</v>
      </c>
      <c r="E149" s="15">
        <v>-3.1662295580495402E-3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28.69</v>
      </c>
      <c r="M149" s="33">
        <v>28.38</v>
      </c>
      <c r="N149" s="34">
        <v>0.98919484140815594</v>
      </c>
      <c r="O149" s="34">
        <v>0.98299370828552601</v>
      </c>
      <c r="P149" s="34">
        <v>0.98459941828858499</v>
      </c>
      <c r="Q149" s="34">
        <v>0.983051782333633</v>
      </c>
      <c r="R149" s="33">
        <v>28.2020894907117</v>
      </c>
      <c r="S149" s="33">
        <v>28.226896715903901</v>
      </c>
      <c r="T149" s="33">
        <v>28.1876922815859</v>
      </c>
      <c r="U149" s="15">
        <v>-6.2886011174482304E-3</v>
      </c>
      <c r="V149" s="15">
        <v>-5.4093640991008402E-3</v>
      </c>
      <c r="W149" s="15">
        <v>-6.7992329725872899E-3</v>
      </c>
      <c r="X149" s="34">
        <v>0.98919484140815594</v>
      </c>
      <c r="Y149" s="34">
        <v>0.98299370828552601</v>
      </c>
      <c r="Z149" s="34">
        <v>0.98459941828858499</v>
      </c>
      <c r="AA149" s="34">
        <v>0.983051782333633</v>
      </c>
      <c r="AB149" s="33">
        <v>28.2020894907117</v>
      </c>
      <c r="AC149" s="33">
        <v>28.226896715903901</v>
      </c>
      <c r="AD149" s="33">
        <v>28.1876922815859</v>
      </c>
      <c r="AE149" s="15">
        <v>-6.2886011174482304E-3</v>
      </c>
      <c r="AF149" s="15">
        <v>-5.4093640991008402E-3</v>
      </c>
      <c r="AG149" s="15">
        <v>-6.7992329725872899E-3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2.8888986411675407E-2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2.7069266400091854E-2</v>
      </c>
      <c r="BE149" s="29">
        <f t="shared" si="42"/>
        <v>0</v>
      </c>
      <c r="BF149" s="29">
        <f t="shared" si="43"/>
        <v>5.5958252811767265E-2</v>
      </c>
      <c r="BH149" s="29"/>
    </row>
    <row r="150" spans="1:60" x14ac:dyDescent="0.25">
      <c r="A150" s="1">
        <v>46240</v>
      </c>
      <c r="B150" s="33">
        <v>28.62</v>
      </c>
      <c r="C150" s="33">
        <v>28.27</v>
      </c>
      <c r="D150" s="15">
        <v>-2.4428558649685398E-3</v>
      </c>
      <c r="E150" s="15">
        <v>-3.88350002639763E-3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28.62</v>
      </c>
      <c r="M150" s="33">
        <v>28.27</v>
      </c>
      <c r="N150" s="34">
        <v>0.98777078965758203</v>
      </c>
      <c r="O150" s="34">
        <v>0.98299370828552601</v>
      </c>
      <c r="P150" s="34">
        <v>0.98547173534958099</v>
      </c>
      <c r="Q150" s="34">
        <v>0.98335507463862204</v>
      </c>
      <c r="R150" s="33">
        <v>28.1332799311317</v>
      </c>
      <c r="S150" s="33">
        <v>28.179235351419301</v>
      </c>
      <c r="T150" s="33">
        <v>28.1349420103885</v>
      </c>
      <c r="U150" s="15">
        <v>-4.8479569560191099E-3</v>
      </c>
      <c r="V150" s="15">
        <v>-3.2158000452926199E-3</v>
      </c>
      <c r="W150" s="15">
        <v>-4.7888799423883403E-3</v>
      </c>
      <c r="X150" s="34">
        <v>0.98777078965758203</v>
      </c>
      <c r="Y150" s="34">
        <v>0.98299370828552601</v>
      </c>
      <c r="Z150" s="34">
        <v>0.98547173534958099</v>
      </c>
      <c r="AA150" s="34">
        <v>0.98335507463862204</v>
      </c>
      <c r="AB150" s="33">
        <v>28.1332799311317</v>
      </c>
      <c r="AC150" s="33">
        <v>28.179235351419301</v>
      </c>
      <c r="AD150" s="33">
        <v>28.1349420103885</v>
      </c>
      <c r="AE150" s="15">
        <v>-4.8479569560191099E-3</v>
      </c>
      <c r="AF150" s="15">
        <v>-3.2158000452926199E-3</v>
      </c>
      <c r="AG150" s="15">
        <v>-4.7888799423883403E-3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2.8888986411675407E-2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2.7069266400091854E-2</v>
      </c>
      <c r="BE150" s="29">
        <f t="shared" si="42"/>
        <v>0</v>
      </c>
      <c r="BF150" s="29">
        <f t="shared" si="43"/>
        <v>5.5958252811767265E-2</v>
      </c>
      <c r="BH150" s="29"/>
    </row>
    <row r="151" spans="1:60" x14ac:dyDescent="0.25">
      <c r="A151" s="1">
        <v>46241</v>
      </c>
      <c r="B151" s="33">
        <v>29.06</v>
      </c>
      <c r="C151" s="33">
        <v>28.52</v>
      </c>
      <c r="D151" s="15">
        <v>1.5256884013831899E-2</v>
      </c>
      <c r="E151" s="15">
        <v>8.80442384059614E-3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29.06</v>
      </c>
      <c r="M151" s="33">
        <v>28.52</v>
      </c>
      <c r="N151" s="34">
        <v>0.98141775636613904</v>
      </c>
      <c r="O151" s="34">
        <v>0.98299370828552601</v>
      </c>
      <c r="P151" s="34">
        <v>0.98597217815204996</v>
      </c>
      <c r="Q151" s="34">
        <v>0.98323423313362102</v>
      </c>
      <c r="R151" s="33">
        <v>28.565797162777301</v>
      </c>
      <c r="S151" s="33">
        <v>28.637808629258799</v>
      </c>
      <c r="T151" s="33">
        <v>28.576298468998299</v>
      </c>
      <c r="U151" s="15">
        <v>1.6045032172165301E-3</v>
      </c>
      <c r="V151" s="15">
        <v>4.1222292774565497E-3</v>
      </c>
      <c r="W151" s="15">
        <v>1.9720538372310099E-3</v>
      </c>
      <c r="X151" s="34">
        <v>0.98141775636613904</v>
      </c>
      <c r="Y151" s="34">
        <v>0.98299370828552601</v>
      </c>
      <c r="Z151" s="34">
        <v>0.98597217815204996</v>
      </c>
      <c r="AA151" s="34">
        <v>0.98323423313362102</v>
      </c>
      <c r="AB151" s="33">
        <v>28.565797162777301</v>
      </c>
      <c r="AC151" s="33">
        <v>28.637808629258799</v>
      </c>
      <c r="AD151" s="33">
        <v>28.576298468998299</v>
      </c>
      <c r="AE151" s="15">
        <v>1.6045032172165301E-3</v>
      </c>
      <c r="AF151" s="15">
        <v>4.1222292774565497E-3</v>
      </c>
      <c r="AG151" s="15">
        <v>1.9720538372310099E-3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2.8888986411675407E-2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2.7069266400091854E-2</v>
      </c>
      <c r="BE151" s="29">
        <f t="shared" ref="BE151:BE176" si="62">AQ151+BB151</f>
        <v>0</v>
      </c>
      <c r="BF151" s="29">
        <f t="shared" ref="BF151:BF176" si="63">BF150+BE151</f>
        <v>5.5958252811767265E-2</v>
      </c>
      <c r="BH151" s="29"/>
    </row>
    <row r="152" spans="1:60" x14ac:dyDescent="0.25">
      <c r="A152" s="1">
        <v>46244</v>
      </c>
      <c r="B152" s="33">
        <v>28.68</v>
      </c>
      <c r="C152" s="33">
        <v>28.19</v>
      </c>
      <c r="D152" s="15">
        <v>-1.31626424107172E-2</v>
      </c>
      <c r="E152" s="15">
        <v>-1.16382904200739E-2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28.68</v>
      </c>
      <c r="M152" s="33">
        <v>28.19</v>
      </c>
      <c r="N152" s="34">
        <v>0.98291492329149199</v>
      </c>
      <c r="O152" s="34">
        <v>0.98299370828552601</v>
      </c>
      <c r="P152" s="34">
        <v>0.98616127162692102</v>
      </c>
      <c r="Q152" s="34">
        <v>0.98316738087299904</v>
      </c>
      <c r="R152" s="33">
        <v>28.192259553628801</v>
      </c>
      <c r="S152" s="33">
        <v>28.2776820694008</v>
      </c>
      <c r="T152" s="33">
        <v>28.199157806272201</v>
      </c>
      <c r="U152" s="15">
        <v>8.0151226573362E-5</v>
      </c>
      <c r="V152" s="15">
        <v>3.1055689434627098E-3</v>
      </c>
      <c r="W152" s="15">
        <v>3.2480734627151101E-4</v>
      </c>
      <c r="X152" s="34">
        <v>0.98291492329149199</v>
      </c>
      <c r="Y152" s="34">
        <v>0.98299370828552601</v>
      </c>
      <c r="Z152" s="34">
        <v>0.98616127162692102</v>
      </c>
      <c r="AA152" s="34">
        <v>0.98316738087299904</v>
      </c>
      <c r="AB152" s="33">
        <v>28.192259553628801</v>
      </c>
      <c r="AC152" s="33">
        <v>28.2776820694008</v>
      </c>
      <c r="AD152" s="33">
        <v>28.199157806272201</v>
      </c>
      <c r="AE152" s="15">
        <v>8.0151226573362E-5</v>
      </c>
      <c r="AF152" s="15">
        <v>3.1055689434627098E-3</v>
      </c>
      <c r="AG152" s="15">
        <v>3.2480734627151101E-4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2.8888986411675407E-2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2.7069266400091854E-2</v>
      </c>
      <c r="BE152" s="29">
        <f t="shared" si="62"/>
        <v>0</v>
      </c>
      <c r="BF152" s="29">
        <f t="shared" si="63"/>
        <v>5.5958252811767265E-2</v>
      </c>
      <c r="BH152" s="29"/>
    </row>
    <row r="153" spans="1:60" x14ac:dyDescent="0.25">
      <c r="A153" s="1">
        <v>46245</v>
      </c>
      <c r="B153" s="33">
        <v>28.41</v>
      </c>
      <c r="C153" s="33">
        <v>28.03</v>
      </c>
      <c r="D153" s="15">
        <v>-9.4588198653230496E-3</v>
      </c>
      <c r="E153" s="15">
        <v>-5.6919399493243197E-3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28.41</v>
      </c>
      <c r="M153" s="33">
        <v>28.03</v>
      </c>
      <c r="N153" s="34">
        <v>0.98662442801830297</v>
      </c>
      <c r="O153" s="34">
        <v>0.98299370828552601</v>
      </c>
      <c r="P153" s="34">
        <v>0.98618890214206201</v>
      </c>
      <c r="Q153" s="34">
        <v>0.98368491110316303</v>
      </c>
      <c r="R153" s="33">
        <v>27.926851252391799</v>
      </c>
      <c r="S153" s="33">
        <v>28.016841726920799</v>
      </c>
      <c r="T153" s="33">
        <v>27.931785290601901</v>
      </c>
      <c r="U153" s="15">
        <v>-3.6867286894254098E-3</v>
      </c>
      <c r="V153" s="15">
        <v>-4.6954557707400401E-4</v>
      </c>
      <c r="W153" s="15">
        <v>-3.5100670833320899E-3</v>
      </c>
      <c r="X153" s="34">
        <v>0.98662442801830297</v>
      </c>
      <c r="Y153" s="34">
        <v>0.98299370828552601</v>
      </c>
      <c r="Z153" s="34">
        <v>0.98618890214206201</v>
      </c>
      <c r="AA153" s="34">
        <v>0.98368491110316303</v>
      </c>
      <c r="AB153" s="33">
        <v>27.926851252391799</v>
      </c>
      <c r="AC153" s="33">
        <v>28.016841726920799</v>
      </c>
      <c r="AD153" s="33">
        <v>27.931785290601901</v>
      </c>
      <c r="AE153" s="15">
        <v>-3.6867286894254098E-3</v>
      </c>
      <c r="AF153" s="15">
        <v>-4.6954557707400401E-4</v>
      </c>
      <c r="AG153" s="15">
        <v>-3.5100670833320899E-3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2.8888986411675407E-2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2.7069266400091854E-2</v>
      </c>
      <c r="BE153" s="29">
        <f t="shared" si="62"/>
        <v>0</v>
      </c>
      <c r="BF153" s="29">
        <f t="shared" si="63"/>
        <v>5.5958252811767265E-2</v>
      </c>
      <c r="BH153" s="29"/>
    </row>
    <row r="154" spans="1:60" x14ac:dyDescent="0.25">
      <c r="A154" s="1">
        <v>46246</v>
      </c>
      <c r="B154" s="33">
        <v>28.4</v>
      </c>
      <c r="C154" s="33">
        <v>27.92</v>
      </c>
      <c r="D154" s="15">
        <v>-3.5205069893621697E-4</v>
      </c>
      <c r="E154" s="15">
        <v>-3.9320872825251898E-3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28.4</v>
      </c>
      <c r="M154" s="33">
        <v>27.92</v>
      </c>
      <c r="N154" s="34">
        <v>0.98309859154929502</v>
      </c>
      <c r="O154" s="34">
        <v>0.98299370828552601</v>
      </c>
      <c r="P154" s="34">
        <v>0.985670505521966</v>
      </c>
      <c r="Q154" s="34">
        <v>0.98362507821498202</v>
      </c>
      <c r="R154" s="33">
        <v>27.917021315308901</v>
      </c>
      <c r="S154" s="33">
        <v>28.007764820834499</v>
      </c>
      <c r="T154" s="33">
        <v>27.9366514753298</v>
      </c>
      <c r="U154" s="15">
        <v>-1.06692105836654E-4</v>
      </c>
      <c r="V154" s="15">
        <v>3.1385088661323801E-3</v>
      </c>
      <c r="W154" s="15">
        <v>5.9622177066835495E-4</v>
      </c>
      <c r="X154" s="34">
        <v>0.98309859154929502</v>
      </c>
      <c r="Y154" s="34">
        <v>0.98299370828552601</v>
      </c>
      <c r="Z154" s="34">
        <v>0.985670505521966</v>
      </c>
      <c r="AA154" s="34">
        <v>0.98362507821498202</v>
      </c>
      <c r="AB154" s="33">
        <v>27.917021315308901</v>
      </c>
      <c r="AC154" s="33">
        <v>28.007764820834499</v>
      </c>
      <c r="AD154" s="33">
        <v>27.9366514753298</v>
      </c>
      <c r="AE154" s="15">
        <v>-1.06692105836654E-4</v>
      </c>
      <c r="AF154" s="15">
        <v>3.1385088661323801E-3</v>
      </c>
      <c r="AG154" s="15">
        <v>5.9622177066835495E-4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2.8888986411675407E-2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2.7069266400091854E-2</v>
      </c>
      <c r="BE154" s="29">
        <f t="shared" si="62"/>
        <v>0</v>
      </c>
      <c r="BF154" s="29">
        <f t="shared" si="63"/>
        <v>5.5958252811767265E-2</v>
      </c>
      <c r="BH154" s="29"/>
    </row>
    <row r="155" spans="1:60" x14ac:dyDescent="0.25">
      <c r="A155" s="1">
        <v>46247</v>
      </c>
      <c r="B155" s="33">
        <v>28.55</v>
      </c>
      <c r="C155" s="33">
        <v>28.03</v>
      </c>
      <c r="D155" s="15">
        <v>5.2677909348590197E-3</v>
      </c>
      <c r="E155" s="15">
        <v>3.9320872825251499E-3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28.55</v>
      </c>
      <c r="M155" s="33">
        <v>28.03</v>
      </c>
      <c r="N155" s="34">
        <v>0.981786339754816</v>
      </c>
      <c r="O155" s="34">
        <v>0.98299370828552601</v>
      </c>
      <c r="P155" s="34">
        <v>0.98515006383842696</v>
      </c>
      <c r="Q155" s="34">
        <v>0.98351045282213101</v>
      </c>
      <c r="R155" s="33">
        <v>28.0644703715517</v>
      </c>
      <c r="S155" s="33">
        <v>28.1408929326521</v>
      </c>
      <c r="T155" s="33">
        <v>28.082495983037699</v>
      </c>
      <c r="U155" s="15">
        <v>1.22901154649705E-3</v>
      </c>
      <c r="V155" s="15">
        <v>3.9484177990012697E-3</v>
      </c>
      <c r="W155" s="15">
        <v>1.8710983154037999E-3</v>
      </c>
      <c r="X155" s="34">
        <v>0.981786339754816</v>
      </c>
      <c r="Y155" s="34">
        <v>0.98299370828552601</v>
      </c>
      <c r="Z155" s="34">
        <v>0.98515006383842696</v>
      </c>
      <c r="AA155" s="34">
        <v>0.98351045282213101</v>
      </c>
      <c r="AB155" s="33">
        <v>28.0644703715517</v>
      </c>
      <c r="AC155" s="33">
        <v>28.1408929326521</v>
      </c>
      <c r="AD155" s="33">
        <v>28.082495983037699</v>
      </c>
      <c r="AE155" s="15">
        <v>1.22901154649705E-3</v>
      </c>
      <c r="AF155" s="15">
        <v>3.9484177990012697E-3</v>
      </c>
      <c r="AG155" s="15">
        <v>1.8710983154037999E-3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2.8888986411675407E-2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2.7069266400091854E-2</v>
      </c>
      <c r="BE155" s="29">
        <f t="shared" si="62"/>
        <v>0</v>
      </c>
      <c r="BF155" s="29">
        <f t="shared" si="63"/>
        <v>5.5958252811767265E-2</v>
      </c>
      <c r="BH155" s="29"/>
    </row>
    <row r="156" spans="1:60" x14ac:dyDescent="0.25">
      <c r="A156" s="1">
        <v>46248</v>
      </c>
      <c r="B156" s="33">
        <v>28.9</v>
      </c>
      <c r="C156" s="33">
        <v>28.42</v>
      </c>
      <c r="D156" s="15">
        <v>1.21846590163672E-2</v>
      </c>
      <c r="E156" s="15">
        <v>1.38177574922577E-2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28.9</v>
      </c>
      <c r="M156" s="33">
        <v>28.42</v>
      </c>
      <c r="N156" s="34">
        <v>0.98339100346020702</v>
      </c>
      <c r="O156" s="34">
        <v>0.98299370828552601</v>
      </c>
      <c r="P156" s="34">
        <v>0.98516609779156605</v>
      </c>
      <c r="Q156" s="34">
        <v>0.98373243315204895</v>
      </c>
      <c r="R156" s="33">
        <v>28.4085181694517</v>
      </c>
      <c r="S156" s="33">
        <v>28.470836844930499</v>
      </c>
      <c r="T156" s="33">
        <v>28.4234520865596</v>
      </c>
      <c r="U156" s="15">
        <v>-4.0408692939330999E-4</v>
      </c>
      <c r="V156" s="15">
        <v>1.78717210998744E-3</v>
      </c>
      <c r="W156" s="15">
        <v>1.21459427150686E-4</v>
      </c>
      <c r="X156" s="34">
        <v>0.98339100346020702</v>
      </c>
      <c r="Y156" s="34">
        <v>0.98299370828552601</v>
      </c>
      <c r="Z156" s="34">
        <v>0.98516609779156605</v>
      </c>
      <c r="AA156" s="34">
        <v>0.98373243315204895</v>
      </c>
      <c r="AB156" s="33">
        <v>28.4085181694517</v>
      </c>
      <c r="AC156" s="33">
        <v>28.470836844930499</v>
      </c>
      <c r="AD156" s="33">
        <v>28.4234520865596</v>
      </c>
      <c r="AE156" s="15">
        <v>-4.0408692939330999E-4</v>
      </c>
      <c r="AF156" s="15">
        <v>1.78717210998744E-3</v>
      </c>
      <c r="AG156" s="15">
        <v>1.21459427150686E-4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2.8888986411675407E-2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2.7069266400091854E-2</v>
      </c>
      <c r="BE156" s="29">
        <f t="shared" si="62"/>
        <v>0</v>
      </c>
      <c r="BF156" s="29">
        <f t="shared" si="63"/>
        <v>5.5958252811767265E-2</v>
      </c>
      <c r="BH156" s="29"/>
    </row>
    <row r="157" spans="1:60" x14ac:dyDescent="0.25">
      <c r="A157" s="1">
        <v>46251</v>
      </c>
      <c r="B157" s="33">
        <v>28.05</v>
      </c>
      <c r="C157" s="33">
        <v>27.58</v>
      </c>
      <c r="D157" s="15">
        <v>-2.9852963149681E-2</v>
      </c>
      <c r="E157" s="15">
        <v>-3.00022503037989E-2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28.05</v>
      </c>
      <c r="M157" s="33">
        <v>27.58</v>
      </c>
      <c r="N157" s="34">
        <v>0.98324420677361801</v>
      </c>
      <c r="O157" s="34">
        <v>0.98299370828552601</v>
      </c>
      <c r="P157" s="34">
        <v>0.98459293667660897</v>
      </c>
      <c r="Q157" s="34">
        <v>0.98404151733460798</v>
      </c>
      <c r="R157" s="33">
        <v>27.572973517409</v>
      </c>
      <c r="S157" s="33">
        <v>27.6339090430534</v>
      </c>
      <c r="T157" s="33">
        <v>27.593694749914999</v>
      </c>
      <c r="U157" s="15">
        <v>-2.5479977527556201E-4</v>
      </c>
      <c r="V157" s="15">
        <v>1.95273477709324E-3</v>
      </c>
      <c r="W157" s="15">
        <v>4.96423168987216E-4</v>
      </c>
      <c r="X157" s="34">
        <v>0.98324420677361801</v>
      </c>
      <c r="Y157" s="34">
        <v>0.98299370828552601</v>
      </c>
      <c r="Z157" s="34">
        <v>0.98459293667660897</v>
      </c>
      <c r="AA157" s="34">
        <v>0.98404151733460798</v>
      </c>
      <c r="AB157" s="33">
        <v>27.572973517409</v>
      </c>
      <c r="AC157" s="33">
        <v>27.6339090430534</v>
      </c>
      <c r="AD157" s="33">
        <v>27.593694749914999</v>
      </c>
      <c r="AE157" s="15">
        <v>-2.5479977527556201E-4</v>
      </c>
      <c r="AF157" s="15">
        <v>1.95273477709324E-3</v>
      </c>
      <c r="AG157" s="15">
        <v>4.96423168987216E-4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2.8888986411675407E-2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2.7069266400091854E-2</v>
      </c>
      <c r="BE157" s="29">
        <f t="shared" si="62"/>
        <v>0</v>
      </c>
      <c r="BF157" s="29">
        <f t="shared" si="63"/>
        <v>5.5958252811767265E-2</v>
      </c>
      <c r="BH157" s="29"/>
    </row>
    <row r="158" spans="1:60" x14ac:dyDescent="0.25">
      <c r="A158" s="1">
        <v>46252</v>
      </c>
      <c r="B158" s="33">
        <v>27.8</v>
      </c>
      <c r="C158" s="33">
        <v>27.15</v>
      </c>
      <c r="D158" s="15">
        <v>-8.9526112721139296E-3</v>
      </c>
      <c r="E158" s="15">
        <v>-1.5713825985211299E-2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27.8</v>
      </c>
      <c r="M158" s="33">
        <v>27.15</v>
      </c>
      <c r="N158" s="34">
        <v>0.97661870503597104</v>
      </c>
      <c r="O158" s="34">
        <v>0.98299370828552601</v>
      </c>
      <c r="P158" s="34">
        <v>0.98360615853155797</v>
      </c>
      <c r="Q158" s="34">
        <v>0.98373226567051797</v>
      </c>
      <c r="R158" s="33">
        <v>27.327225090337599</v>
      </c>
      <c r="S158" s="33">
        <v>27.371683639609699</v>
      </c>
      <c r="T158" s="33">
        <v>27.356354181902098</v>
      </c>
      <c r="U158" s="15">
        <v>6.5064149378217997E-3</v>
      </c>
      <c r="V158" s="15">
        <v>8.1319888329693894E-3</v>
      </c>
      <c r="W158" s="15">
        <v>7.5717839099082003E-3</v>
      </c>
      <c r="X158" s="34">
        <v>0.97661870503597104</v>
      </c>
      <c r="Y158" s="34">
        <v>0.98299370828552601</v>
      </c>
      <c r="Z158" s="34">
        <v>0.98360615853155797</v>
      </c>
      <c r="AA158" s="34">
        <v>0.98373226567051797</v>
      </c>
      <c r="AB158" s="33">
        <v>27.327225090337599</v>
      </c>
      <c r="AC158" s="33">
        <v>27.371683639609699</v>
      </c>
      <c r="AD158" s="33">
        <v>27.356354181902098</v>
      </c>
      <c r="AE158" s="15">
        <v>6.5064149378217997E-3</v>
      </c>
      <c r="AF158" s="15">
        <v>8.1319888329693894E-3</v>
      </c>
      <c r="AG158" s="15">
        <v>7.5717839099082003E-3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2.8888986411675407E-2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2.7069266400091854E-2</v>
      </c>
      <c r="BE158" s="29">
        <f t="shared" si="62"/>
        <v>0</v>
      </c>
      <c r="BF158" s="29">
        <f t="shared" si="63"/>
        <v>5.5958252811767265E-2</v>
      </c>
      <c r="BH158" s="29"/>
    </row>
    <row r="159" spans="1:60" x14ac:dyDescent="0.25">
      <c r="A159" s="1">
        <v>46253</v>
      </c>
      <c r="B159" s="33">
        <v>29.2</v>
      </c>
      <c r="C159" s="33">
        <v>28.43</v>
      </c>
      <c r="D159" s="15">
        <v>4.9132688577644502E-2</v>
      </c>
      <c r="E159" s="15">
        <v>4.6067879282963901E-2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29.2</v>
      </c>
      <c r="M159" s="33">
        <v>28.43</v>
      </c>
      <c r="N159" s="34">
        <v>0.97363013698630096</v>
      </c>
      <c r="O159" s="34">
        <v>0.98299370828552601</v>
      </c>
      <c r="P159" s="34">
        <v>0.98204968808937199</v>
      </c>
      <c r="Q159" s="34">
        <v>0.98332455318897805</v>
      </c>
      <c r="R159" s="33">
        <v>28.703416281937301</v>
      </c>
      <c r="S159" s="33">
        <v>28.721299829121499</v>
      </c>
      <c r="T159" s="33">
        <v>28.724982157579099</v>
      </c>
      <c r="U159" s="15">
        <v>9.5712242325023903E-3</v>
      </c>
      <c r="V159" s="15">
        <v>1.0194076167119001E-2</v>
      </c>
      <c r="W159" s="15">
        <v>1.03222769256482E-2</v>
      </c>
      <c r="X159" s="34">
        <v>0.97363013698630096</v>
      </c>
      <c r="Y159" s="34">
        <v>0.98299370828552601</v>
      </c>
      <c r="Z159" s="34">
        <v>0.98204968808937199</v>
      </c>
      <c r="AA159" s="34">
        <v>0.98332455318897805</v>
      </c>
      <c r="AB159" s="33">
        <v>28.703416281937301</v>
      </c>
      <c r="AC159" s="33">
        <v>28.721299829121499</v>
      </c>
      <c r="AD159" s="33">
        <v>28.724982157579099</v>
      </c>
      <c r="AE159" s="15">
        <v>9.5712242325023903E-3</v>
      </c>
      <c r="AF159" s="15">
        <v>1.0194076167119001E-2</v>
      </c>
      <c r="AG159" s="15">
        <v>1.03222769256482E-2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2.8888986411675407E-2</v>
      </c>
      <c r="AT159" s="12"/>
      <c r="AU159">
        <f t="shared" si="50"/>
        <v>1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2.7069266400091854E-2</v>
      </c>
      <c r="BE159" s="29">
        <f t="shared" si="62"/>
        <v>0</v>
      </c>
      <c r="BF159" s="29">
        <f t="shared" si="63"/>
        <v>5.5958252811767265E-2</v>
      </c>
      <c r="BH159" s="29"/>
    </row>
    <row r="160" spans="1:60" x14ac:dyDescent="0.25">
      <c r="A160" s="1">
        <v>46254</v>
      </c>
      <c r="B160" s="33">
        <v>28.96</v>
      </c>
      <c r="C160" s="33">
        <v>28.41</v>
      </c>
      <c r="D160" s="15">
        <v>-8.2531417567204106E-3</v>
      </c>
      <c r="E160" s="15">
        <v>-7.0372979681183803E-4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28.96</v>
      </c>
      <c r="M160" s="33">
        <v>28.41</v>
      </c>
      <c r="N160" s="34">
        <v>0.98100828729281697</v>
      </c>
      <c r="O160" s="34">
        <v>0.98299370828552601</v>
      </c>
      <c r="P160" s="34">
        <v>0.98137343785289599</v>
      </c>
      <c r="Q160" s="34">
        <v>0.98342258660123805</v>
      </c>
      <c r="R160" s="33">
        <v>28.467497791948801</v>
      </c>
      <c r="S160" s="33">
        <v>28.4401589670682</v>
      </c>
      <c r="T160" s="33">
        <v>28.4770790603528</v>
      </c>
      <c r="U160" s="15">
        <v>2.0218122725938802E-3</v>
      </c>
      <c r="V160" s="15">
        <v>1.0609986126831801E-3</v>
      </c>
      <c r="W160" s="15">
        <v>2.3583243348137299E-3</v>
      </c>
      <c r="X160" s="34">
        <v>0.98100828729281697</v>
      </c>
      <c r="Y160" s="34">
        <v>0.98299370828552601</v>
      </c>
      <c r="Z160" s="34">
        <v>0.98137343785289599</v>
      </c>
      <c r="AA160" s="34">
        <v>0.98342258660123805</v>
      </c>
      <c r="AB160" s="33">
        <v>28.467497791948801</v>
      </c>
      <c r="AC160" s="33">
        <v>28.4401589670682</v>
      </c>
      <c r="AD160" s="33">
        <v>28.4770790603528</v>
      </c>
      <c r="AE160" s="15">
        <v>2.0218122725938802E-3</v>
      </c>
      <c r="AF160" s="15">
        <v>1.0609986126831801E-3</v>
      </c>
      <c r="AG160" s="15">
        <v>2.3583243348137299E-3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2.8888986411675407E-2</v>
      </c>
      <c r="AT160" s="12"/>
      <c r="AU160">
        <f t="shared" si="50"/>
        <v>0</v>
      </c>
      <c r="AV160">
        <f t="shared" si="51"/>
        <v>1</v>
      </c>
      <c r="AW160">
        <f t="shared" si="58"/>
        <v>1</v>
      </c>
      <c r="AX160">
        <f t="shared" si="45"/>
        <v>1</v>
      </c>
      <c r="AY160">
        <f t="shared" si="59"/>
        <v>1</v>
      </c>
      <c r="AZ160" s="28">
        <f t="shared" si="52"/>
        <v>8.2531417567204106E-3</v>
      </c>
      <c r="BA160" s="28">
        <f t="shared" si="53"/>
        <v>-7.0372979681183803E-4</v>
      </c>
      <c r="BB160" s="28">
        <f t="shared" si="60"/>
        <v>7.5494119599085726E-3</v>
      </c>
      <c r="BC160" s="29">
        <f t="shared" si="61"/>
        <v>3.4618678360000425E-2</v>
      </c>
      <c r="BE160" s="29">
        <f t="shared" si="62"/>
        <v>7.5494119599085726E-3</v>
      </c>
      <c r="BF160" s="29">
        <f t="shared" si="63"/>
        <v>6.350766477167584E-2</v>
      </c>
      <c r="BH160" s="29"/>
    </row>
    <row r="161" spans="1:60" x14ac:dyDescent="0.25">
      <c r="A161" s="1">
        <v>46255</v>
      </c>
      <c r="B161" s="33">
        <v>29.06</v>
      </c>
      <c r="C161" s="33">
        <v>28.44</v>
      </c>
      <c r="D161" s="15">
        <v>3.44709062462109E-3</v>
      </c>
      <c r="E161" s="15">
        <v>1.05540906894368E-3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29.06</v>
      </c>
      <c r="M161" s="33">
        <v>28.44</v>
      </c>
      <c r="N161" s="34">
        <v>0.97866483138334404</v>
      </c>
      <c r="O161" s="34">
        <v>0.98299370828552601</v>
      </c>
      <c r="P161" s="34">
        <v>0.98109814535461604</v>
      </c>
      <c r="Q161" s="34">
        <v>0.983535161753333</v>
      </c>
      <c r="R161" s="33">
        <v>28.565797162777301</v>
      </c>
      <c r="S161" s="33">
        <v>28.5187121040051</v>
      </c>
      <c r="T161" s="33">
        <v>28.578260366631898</v>
      </c>
      <c r="U161" s="15">
        <v>4.4134938282715504E-3</v>
      </c>
      <c r="V161" s="15">
        <v>2.76383194784021E-3</v>
      </c>
      <c r="W161" s="15">
        <v>4.8496968068860299E-3</v>
      </c>
      <c r="X161" s="34">
        <v>0.97866483138334404</v>
      </c>
      <c r="Y161" s="34">
        <v>0.98299370828552601</v>
      </c>
      <c r="Z161" s="34">
        <v>0.98109814535461604</v>
      </c>
      <c r="AA161" s="34">
        <v>0.983535161753333</v>
      </c>
      <c r="AB161" s="33">
        <v>28.565797162777301</v>
      </c>
      <c r="AC161" s="33">
        <v>28.5187121040051</v>
      </c>
      <c r="AD161" s="33">
        <v>28.578260366631898</v>
      </c>
      <c r="AE161" s="15">
        <v>4.4134938282715504E-3</v>
      </c>
      <c r="AF161" s="15">
        <v>2.76383194784021E-3</v>
      </c>
      <c r="AG161" s="15">
        <v>4.8496968068860299E-3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2.8888986411675407E-2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3.4618678360000425E-2</v>
      </c>
      <c r="BE161" s="29">
        <f t="shared" si="62"/>
        <v>0</v>
      </c>
      <c r="BF161" s="29">
        <f t="shared" si="63"/>
        <v>6.350766477167584E-2</v>
      </c>
      <c r="BH161" s="29"/>
    </row>
    <row r="162" spans="1:60" x14ac:dyDescent="0.25">
      <c r="A162" s="1">
        <v>46258</v>
      </c>
      <c r="B162" s="33">
        <v>29.35</v>
      </c>
      <c r="C162" s="33">
        <v>28.75</v>
      </c>
      <c r="D162" s="15">
        <v>9.9298881319686508E-3</v>
      </c>
      <c r="E162" s="15">
        <v>1.08411623083192E-2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29.35</v>
      </c>
      <c r="M162" s="33">
        <v>28.75</v>
      </c>
      <c r="N162" s="34">
        <v>0.97955706984667801</v>
      </c>
      <c r="O162" s="34">
        <v>0.98299370828552601</v>
      </c>
      <c r="P162" s="34">
        <v>0.98076236001013495</v>
      </c>
      <c r="Q162" s="34">
        <v>0.98346181581852798</v>
      </c>
      <c r="R162" s="33">
        <v>28.8508653381801</v>
      </c>
      <c r="S162" s="33">
        <v>28.795230566158001</v>
      </c>
      <c r="T162" s="33">
        <v>28.8667569974603</v>
      </c>
      <c r="U162" s="15">
        <v>3.50221965192094E-3</v>
      </c>
      <c r="V162" s="15">
        <v>1.5720008427261201E-3</v>
      </c>
      <c r="W162" s="15">
        <v>4.0528888942995001E-3</v>
      </c>
      <c r="X162" s="34">
        <v>0.97955706984667801</v>
      </c>
      <c r="Y162" s="34">
        <v>0.98299370828552601</v>
      </c>
      <c r="Z162" s="34">
        <v>0.98076236001013495</v>
      </c>
      <c r="AA162" s="34">
        <v>0.98346181581852798</v>
      </c>
      <c r="AB162" s="33">
        <v>28.8508653381801</v>
      </c>
      <c r="AC162" s="33">
        <v>28.795230566158001</v>
      </c>
      <c r="AD162" s="33">
        <v>28.8667569974603</v>
      </c>
      <c r="AE162" s="15">
        <v>3.50221965192094E-3</v>
      </c>
      <c r="AF162" s="15">
        <v>1.5720008427261201E-3</v>
      </c>
      <c r="AG162" s="15">
        <v>4.0528888942995001E-3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2.8888986411675407E-2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3.4618678360000425E-2</v>
      </c>
      <c r="BE162" s="29">
        <f t="shared" si="62"/>
        <v>0</v>
      </c>
      <c r="BF162" s="29">
        <f t="shared" si="63"/>
        <v>6.350766477167584E-2</v>
      </c>
      <c r="BH162" s="29"/>
    </row>
    <row r="163" spans="1:60" x14ac:dyDescent="0.25">
      <c r="A163" s="1">
        <v>46259</v>
      </c>
      <c r="B163" s="33">
        <v>28.92</v>
      </c>
      <c r="C163" s="33">
        <v>28.18</v>
      </c>
      <c r="D163" s="15">
        <v>-1.47591489835415E-2</v>
      </c>
      <c r="E163" s="15">
        <v>-2.00252607728253E-2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28.92</v>
      </c>
      <c r="M163" s="33">
        <v>28.18</v>
      </c>
      <c r="N163" s="34">
        <v>0.97441217150760695</v>
      </c>
      <c r="O163" s="34">
        <v>0.98299370828552601</v>
      </c>
      <c r="P163" s="34">
        <v>0.97954113435906598</v>
      </c>
      <c r="Q163" s="34">
        <v>0.98286501825056305</v>
      </c>
      <c r="R163" s="33">
        <v>28.4281780436174</v>
      </c>
      <c r="S163" s="33">
        <v>28.363647451493101</v>
      </c>
      <c r="T163" s="33">
        <v>28.441715713471801</v>
      </c>
      <c r="U163" s="15">
        <v>8.7683314412047107E-3</v>
      </c>
      <c r="V163" s="15">
        <v>6.4957994585277696E-3</v>
      </c>
      <c r="W163" s="15">
        <v>9.2444241227897898E-3</v>
      </c>
      <c r="X163" s="34">
        <v>0.97441217150760695</v>
      </c>
      <c r="Y163" s="34">
        <v>0.98299370828552601</v>
      </c>
      <c r="Z163" s="34">
        <v>0.97954113435906598</v>
      </c>
      <c r="AA163" s="34">
        <v>0.98286501825056305</v>
      </c>
      <c r="AB163" s="33">
        <v>28.4281780436174</v>
      </c>
      <c r="AC163" s="33">
        <v>28.363647451493101</v>
      </c>
      <c r="AD163" s="33">
        <v>28.441715713471801</v>
      </c>
      <c r="AE163" s="15">
        <v>8.7683314412047107E-3</v>
      </c>
      <c r="AF163" s="15">
        <v>6.4957994585277696E-3</v>
      </c>
      <c r="AG163" s="15">
        <v>9.2444241227897898E-3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2.8888986411675407E-2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3.4618678360000425E-2</v>
      </c>
      <c r="BE163" s="29">
        <f t="shared" si="62"/>
        <v>0</v>
      </c>
      <c r="BF163" s="29">
        <f t="shared" si="63"/>
        <v>6.350766477167584E-2</v>
      </c>
      <c r="BH163" s="29"/>
    </row>
    <row r="164" spans="1:60" x14ac:dyDescent="0.25">
      <c r="A164" s="1">
        <v>46260</v>
      </c>
      <c r="B164" s="33">
        <v>28.72</v>
      </c>
      <c r="C164" s="33">
        <v>28.07</v>
      </c>
      <c r="D164" s="15">
        <v>-6.9396531105405902E-3</v>
      </c>
      <c r="E164" s="15">
        <v>-3.91111609674298E-3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28.72</v>
      </c>
      <c r="M164" s="33">
        <v>28.07</v>
      </c>
      <c r="N164" s="34">
        <v>0.97736768802228402</v>
      </c>
      <c r="O164" s="34">
        <v>0.98299370828552601</v>
      </c>
      <c r="P164" s="34">
        <v>0.97896804400636395</v>
      </c>
      <c r="Q164" s="34">
        <v>0.98231927476416503</v>
      </c>
      <c r="R164" s="33">
        <v>28.231579301960299</v>
      </c>
      <c r="S164" s="33">
        <v>28.132421378792301</v>
      </c>
      <c r="T164" s="33">
        <v>28.2278833241561</v>
      </c>
      <c r="U164" s="15">
        <v>5.7397944274071699E-3</v>
      </c>
      <c r="V164" s="15">
        <v>2.2213065888498601E-3</v>
      </c>
      <c r="W164" s="15">
        <v>5.6088694190034602E-3</v>
      </c>
      <c r="X164" s="34">
        <v>0.97736768802228402</v>
      </c>
      <c r="Y164" s="34">
        <v>0.98299370828552601</v>
      </c>
      <c r="Z164" s="34">
        <v>0.97896804400636395</v>
      </c>
      <c r="AA164" s="34">
        <v>0.98231927476416503</v>
      </c>
      <c r="AB164" s="33">
        <v>28.231579301960299</v>
      </c>
      <c r="AC164" s="33">
        <v>28.132421378792301</v>
      </c>
      <c r="AD164" s="33">
        <v>28.2278833241561</v>
      </c>
      <c r="AE164" s="15">
        <v>5.7397944274071699E-3</v>
      </c>
      <c r="AF164" s="15">
        <v>2.2213065888498601E-3</v>
      </c>
      <c r="AG164" s="15">
        <v>5.6088694190034602E-3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2.8888986411675407E-2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3.4618678360000425E-2</v>
      </c>
      <c r="BE164" s="29">
        <f t="shared" si="62"/>
        <v>0</v>
      </c>
      <c r="BF164" s="29">
        <f t="shared" si="63"/>
        <v>6.350766477167584E-2</v>
      </c>
      <c r="BH164" s="29"/>
    </row>
    <row r="165" spans="1:60" x14ac:dyDescent="0.25">
      <c r="A165" s="1">
        <v>46261</v>
      </c>
      <c r="B165" s="33">
        <v>27.74</v>
      </c>
      <c r="C165" s="33">
        <v>27.28</v>
      </c>
      <c r="D165" s="15">
        <v>-3.4718329293337902E-2</v>
      </c>
      <c r="E165" s="15">
        <v>-2.85475573985297E-2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27.74</v>
      </c>
      <c r="M165" s="33">
        <v>27.28</v>
      </c>
      <c r="N165" s="34">
        <v>0.98341744772891104</v>
      </c>
      <c r="O165" s="34">
        <v>0.98299370828552601</v>
      </c>
      <c r="P165" s="34">
        <v>0.979131154803774</v>
      </c>
      <c r="Q165" s="34">
        <v>0.98214060932110003</v>
      </c>
      <c r="R165" s="33">
        <v>27.268245467840401</v>
      </c>
      <c r="S165" s="33">
        <v>27.156573540736499</v>
      </c>
      <c r="T165" s="33">
        <v>27.249536681957899</v>
      </c>
      <c r="U165" s="15">
        <v>-4.3097746740106602E-4</v>
      </c>
      <c r="V165" s="15">
        <v>-4.5346965373342998E-3</v>
      </c>
      <c r="W165" s="15">
        <v>-1.1173145075082801E-3</v>
      </c>
      <c r="X165" s="34">
        <v>0.98341744772891104</v>
      </c>
      <c r="Y165" s="34">
        <v>0.98299370828552601</v>
      </c>
      <c r="Z165" s="34">
        <v>0.979131154803774</v>
      </c>
      <c r="AA165" s="34">
        <v>0.98214060932110003</v>
      </c>
      <c r="AB165" s="33">
        <v>27.268245467840401</v>
      </c>
      <c r="AC165" s="33">
        <v>27.156573540736499</v>
      </c>
      <c r="AD165" s="33">
        <v>27.249536681957899</v>
      </c>
      <c r="AE165" s="15">
        <v>-4.3097746740106602E-4</v>
      </c>
      <c r="AF165" s="15">
        <v>-4.5346965373342998E-3</v>
      </c>
      <c r="AG165" s="15">
        <v>-1.1173145075082801E-3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2.8888986411675407E-2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3.4618678360000425E-2</v>
      </c>
      <c r="BE165" s="29">
        <f t="shared" si="62"/>
        <v>0</v>
      </c>
      <c r="BF165" s="29">
        <f t="shared" si="63"/>
        <v>6.350766477167584E-2</v>
      </c>
      <c r="BH165" s="29"/>
    </row>
    <row r="166" spans="1:60" x14ac:dyDescent="0.25">
      <c r="A166" s="1">
        <v>46262</v>
      </c>
      <c r="B166" s="33">
        <v>27.75</v>
      </c>
      <c r="C166" s="33">
        <v>27.22</v>
      </c>
      <c r="D166" s="15">
        <v>3.6042530575806898E-4</v>
      </c>
      <c r="E166" s="15">
        <v>-2.2018357519414402E-3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27.75</v>
      </c>
      <c r="M166" s="33">
        <v>27.22</v>
      </c>
      <c r="N166" s="34">
        <v>0.98090090090089999</v>
      </c>
      <c r="O166" s="34">
        <v>0.98299370828552601</v>
      </c>
      <c r="P166" s="34">
        <v>0.97888214454784295</v>
      </c>
      <c r="Q166" s="34">
        <v>0.98202412116970506</v>
      </c>
      <c r="R166" s="33">
        <v>27.2780754049233</v>
      </c>
      <c r="S166" s="33">
        <v>27.170889545804702</v>
      </c>
      <c r="T166" s="33">
        <v>27.254401908660501</v>
      </c>
      <c r="U166" s="15">
        <v>2.13128359029836E-3</v>
      </c>
      <c r="V166" s="15">
        <v>-1.80583432083145E-3</v>
      </c>
      <c r="W166" s="15">
        <v>1.26304877258321E-3</v>
      </c>
      <c r="X166" s="34">
        <v>0.98090090090089999</v>
      </c>
      <c r="Y166" s="34">
        <v>0.98299370828552601</v>
      </c>
      <c r="Z166" s="34">
        <v>0.97888214454784295</v>
      </c>
      <c r="AA166" s="34">
        <v>0.98202412116970506</v>
      </c>
      <c r="AB166" s="33">
        <v>27.2780754049233</v>
      </c>
      <c r="AC166" s="33">
        <v>27.170889545804702</v>
      </c>
      <c r="AD166" s="33">
        <v>27.254401908660501</v>
      </c>
      <c r="AE166" s="15">
        <v>2.13128359029836E-3</v>
      </c>
      <c r="AF166" s="15">
        <v>-1.80583432083145E-3</v>
      </c>
      <c r="AG166" s="15">
        <v>1.26304877258321E-3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2.8888986411675407E-2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3.4618678360000425E-2</v>
      </c>
      <c r="BE166" s="29">
        <f t="shared" si="62"/>
        <v>0</v>
      </c>
      <c r="BF166" s="29">
        <f t="shared" si="63"/>
        <v>6.350766477167584E-2</v>
      </c>
      <c r="BH166" s="29"/>
    </row>
    <row r="167" spans="1:60" x14ac:dyDescent="0.25">
      <c r="A167" s="1">
        <v>46265</v>
      </c>
      <c r="B167" s="33">
        <v>27.24</v>
      </c>
      <c r="C167" s="33">
        <v>26.57</v>
      </c>
      <c r="D167" s="15">
        <v>-1.8549358911131901E-2</v>
      </c>
      <c r="E167" s="15">
        <v>-2.41692374515977E-2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27.24</v>
      </c>
      <c r="M167" s="33">
        <v>26.57</v>
      </c>
      <c r="N167" s="34">
        <v>0.975403817914831</v>
      </c>
      <c r="O167" s="34">
        <v>0.98299370828552601</v>
      </c>
      <c r="P167" s="34">
        <v>0.97809810566196398</v>
      </c>
      <c r="Q167" s="34">
        <v>0.98134552116928697</v>
      </c>
      <c r="R167" s="33">
        <v>26.776748613697698</v>
      </c>
      <c r="S167" s="33">
        <v>26.664749617483199</v>
      </c>
      <c r="T167" s="33">
        <v>26.750337060662702</v>
      </c>
      <c r="U167" s="15">
        <v>7.75116213076421E-3</v>
      </c>
      <c r="V167" s="15">
        <v>3.5596943055091201E-3</v>
      </c>
      <c r="W167" s="15">
        <v>6.76431388951721E-3</v>
      </c>
      <c r="X167" s="34">
        <v>0.975403817914831</v>
      </c>
      <c r="Y167" s="34">
        <v>0.98299370828552601</v>
      </c>
      <c r="Z167" s="34">
        <v>0.97809810566196398</v>
      </c>
      <c r="AA167" s="34">
        <v>0.98134552116928697</v>
      </c>
      <c r="AB167" s="33">
        <v>26.776748613697698</v>
      </c>
      <c r="AC167" s="33">
        <v>26.664749617483199</v>
      </c>
      <c r="AD167" s="33">
        <v>26.750337060662702</v>
      </c>
      <c r="AE167" s="15">
        <v>7.75116213076421E-3</v>
      </c>
      <c r="AF167" s="15">
        <v>3.5596943055091201E-3</v>
      </c>
      <c r="AG167" s="15">
        <v>6.76431388951721E-3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2.8888986411675407E-2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3.4618678360000425E-2</v>
      </c>
      <c r="BE167" s="29">
        <f t="shared" si="62"/>
        <v>0</v>
      </c>
      <c r="BF167" s="29">
        <f t="shared" si="63"/>
        <v>6.350766477167584E-2</v>
      </c>
      <c r="BH167" s="29"/>
    </row>
    <row r="168" spans="1:60" x14ac:dyDescent="0.25">
      <c r="A168" s="1">
        <v>46266</v>
      </c>
      <c r="B168" s="33">
        <v>27.01</v>
      </c>
      <c r="C168" s="33">
        <v>26.36</v>
      </c>
      <c r="D168" s="15">
        <v>-8.4793134767873098E-3</v>
      </c>
      <c r="E168" s="15">
        <v>-7.9350501374156508E-3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27.01</v>
      </c>
      <c r="M168" s="33">
        <v>26.36</v>
      </c>
      <c r="N168" s="34">
        <v>0.97593483894853705</v>
      </c>
      <c r="O168" s="34">
        <v>0.98299370828552601</v>
      </c>
      <c r="P168" s="34">
        <v>0.978029719053221</v>
      </c>
      <c r="Q168" s="34">
        <v>0.98081793879238899</v>
      </c>
      <c r="R168" s="33">
        <v>26.550660060792001</v>
      </c>
      <c r="S168" s="33">
        <v>26.418429833929601</v>
      </c>
      <c r="T168" s="33">
        <v>26.506142526782401</v>
      </c>
      <c r="U168" s="15">
        <v>7.2068987913925702E-3</v>
      </c>
      <c r="V168" s="15">
        <v>2.2141567297283599E-3</v>
      </c>
      <c r="W168" s="15">
        <v>5.5287899614044197E-3</v>
      </c>
      <c r="X168" s="34">
        <v>0.97593483894853705</v>
      </c>
      <c r="Y168" s="34">
        <v>0.98299370828552601</v>
      </c>
      <c r="Z168" s="34">
        <v>0.978029719053221</v>
      </c>
      <c r="AA168" s="34">
        <v>0.98081793879238899</v>
      </c>
      <c r="AB168" s="33">
        <v>26.550660060792001</v>
      </c>
      <c r="AC168" s="33">
        <v>26.418429833929601</v>
      </c>
      <c r="AD168" s="33">
        <v>26.506142526782401</v>
      </c>
      <c r="AE168" s="15">
        <v>7.2068987913925702E-3</v>
      </c>
      <c r="AF168" s="15">
        <v>2.2141567297283599E-3</v>
      </c>
      <c r="AG168" s="15">
        <v>5.5287899614044197E-3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2.8888986411675407E-2</v>
      </c>
      <c r="AT168" s="12"/>
      <c r="AU168">
        <f t="shared" si="50"/>
        <v>0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3.4618678360000425E-2</v>
      </c>
      <c r="BE168" s="29">
        <f t="shared" si="62"/>
        <v>0</v>
      </c>
      <c r="BF168" s="29">
        <f t="shared" si="63"/>
        <v>6.350766477167584E-2</v>
      </c>
      <c r="BH168" s="29"/>
    </row>
    <row r="169" spans="1:60" x14ac:dyDescent="0.25">
      <c r="A169" s="1">
        <v>46267</v>
      </c>
      <c r="B169" s="33">
        <v>27.92</v>
      </c>
      <c r="C169" s="33">
        <v>27.38</v>
      </c>
      <c r="D169" s="15">
        <v>3.3136110089647501E-2</v>
      </c>
      <c r="E169" s="15">
        <v>3.7965110225996399E-2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27.92</v>
      </c>
      <c r="M169" s="33">
        <v>27.38</v>
      </c>
      <c r="N169" s="34">
        <v>0.98065902578796504</v>
      </c>
      <c r="O169" s="34">
        <v>0.98299370828552601</v>
      </c>
      <c r="P169" s="34">
        <v>0.97873260793338701</v>
      </c>
      <c r="Q169" s="34">
        <v>0.98039114801138005</v>
      </c>
      <c r="R169" s="33">
        <v>27.445184335331799</v>
      </c>
      <c r="S169" s="33">
        <v>27.306589755965899</v>
      </c>
      <c r="T169" s="33">
        <v>27.3844368510835</v>
      </c>
      <c r="U169" s="15">
        <v>2.3778986550437699E-3</v>
      </c>
      <c r="V169" s="15">
        <v>-2.6847637951628199E-3</v>
      </c>
      <c r="W169" s="15">
        <v>1.6203402603396901E-4</v>
      </c>
      <c r="X169" s="34">
        <v>0.98065902578796504</v>
      </c>
      <c r="Y169" s="34">
        <v>0.98299370828552601</v>
      </c>
      <c r="Z169" s="34">
        <v>0.97873260793338701</v>
      </c>
      <c r="AA169" s="34">
        <v>0.98039114801138005</v>
      </c>
      <c r="AB169" s="33">
        <v>27.445184335331799</v>
      </c>
      <c r="AC169" s="33">
        <v>27.306589755965899</v>
      </c>
      <c r="AD169" s="33">
        <v>27.3844368510835</v>
      </c>
      <c r="AE169" s="15">
        <v>2.3778986550437699E-3</v>
      </c>
      <c r="AF169" s="15">
        <v>-2.6847637951628199E-3</v>
      </c>
      <c r="AG169" s="15">
        <v>1.6203402603396901E-4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2.8888986411675407E-2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3.4618678360000425E-2</v>
      </c>
      <c r="BE169" s="29">
        <f t="shared" si="62"/>
        <v>0</v>
      </c>
      <c r="BF169" s="29">
        <f t="shared" si="63"/>
        <v>6.350766477167584E-2</v>
      </c>
      <c r="BH169" s="29"/>
    </row>
    <row r="170" spans="1:60" x14ac:dyDescent="0.25">
      <c r="A170" s="1">
        <v>46268</v>
      </c>
      <c r="B170" s="33">
        <v>27.92</v>
      </c>
      <c r="C170" s="33">
        <v>27.51</v>
      </c>
      <c r="D170" s="15">
        <v>0</v>
      </c>
      <c r="E170" s="15">
        <v>4.7367550761804999E-3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27.92</v>
      </c>
      <c r="M170" s="33">
        <v>27.51</v>
      </c>
      <c r="N170" s="34">
        <v>0.98531518624641801</v>
      </c>
      <c r="O170" s="34">
        <v>0.98299370828552601</v>
      </c>
      <c r="P170" s="34">
        <v>0.979163297828747</v>
      </c>
      <c r="Q170" s="34">
        <v>0.98026836784082205</v>
      </c>
      <c r="R170" s="33">
        <v>27.445184335331799</v>
      </c>
      <c r="S170" s="33">
        <v>27.3262144135001</v>
      </c>
      <c r="T170" s="33">
        <v>27.372520852477699</v>
      </c>
      <c r="U170" s="15">
        <v>-2.3588564211365101E-3</v>
      </c>
      <c r="V170" s="15">
        <v>-6.7030985494634498E-3</v>
      </c>
      <c r="W170" s="15">
        <v>-5.00995336741263E-3</v>
      </c>
      <c r="X170" s="34">
        <v>0.98531518624641801</v>
      </c>
      <c r="Y170" s="34">
        <v>0.98299370828552601</v>
      </c>
      <c r="Z170" s="34">
        <v>0.979163297828747</v>
      </c>
      <c r="AA170" s="34">
        <v>0.98026836784082205</v>
      </c>
      <c r="AB170" s="33">
        <v>27.445184335331799</v>
      </c>
      <c r="AC170" s="33">
        <v>27.3262144135001</v>
      </c>
      <c r="AD170" s="33">
        <v>27.372520852477699</v>
      </c>
      <c r="AE170" s="15">
        <v>-2.3588564211365101E-3</v>
      </c>
      <c r="AF170" s="15">
        <v>-6.7030985494634498E-3</v>
      </c>
      <c r="AG170" s="15">
        <v>-5.00995336741263E-3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2.8888986411675407E-2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3.4618678360000425E-2</v>
      </c>
      <c r="BE170" s="29">
        <f t="shared" si="62"/>
        <v>0</v>
      </c>
      <c r="BF170" s="29">
        <f t="shared" si="63"/>
        <v>6.350766477167584E-2</v>
      </c>
      <c r="BH170" s="29"/>
    </row>
    <row r="171" spans="1:60" x14ac:dyDescent="0.25">
      <c r="A171" s="1">
        <v>46269</v>
      </c>
      <c r="B171" s="33">
        <v>27.13</v>
      </c>
      <c r="C171" s="33">
        <v>26.73</v>
      </c>
      <c r="D171" s="15">
        <v>-2.8703151223331402E-2</v>
      </c>
      <c r="E171" s="15">
        <v>-2.8763044785655601E-2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27.13</v>
      </c>
      <c r="M171" s="33">
        <v>26.73</v>
      </c>
      <c r="N171" s="34">
        <v>0.98525617397714704</v>
      </c>
      <c r="O171" s="34">
        <v>0.98299370828552601</v>
      </c>
      <c r="P171" s="34">
        <v>0.97982243208812803</v>
      </c>
      <c r="Q171" s="34">
        <v>0.98046028872137203</v>
      </c>
      <c r="R171" s="33">
        <v>26.668619305786301</v>
      </c>
      <c r="S171" s="33">
        <v>26.564700270093901</v>
      </c>
      <c r="T171" s="33">
        <v>26.5946808195215</v>
      </c>
      <c r="U171" s="15">
        <v>-2.2989628588124598E-3</v>
      </c>
      <c r="V171" s="15">
        <v>-6.2032531990594804E-3</v>
      </c>
      <c r="W171" s="15">
        <v>-5.0753035505996203E-3</v>
      </c>
      <c r="X171" s="34">
        <v>0.98525617397714704</v>
      </c>
      <c r="Y171" s="34">
        <v>0.98299370828552601</v>
      </c>
      <c r="Z171" s="34">
        <v>0.97982243208812803</v>
      </c>
      <c r="AA171" s="34">
        <v>0.98046028872137203</v>
      </c>
      <c r="AB171" s="33">
        <v>26.668619305786301</v>
      </c>
      <c r="AC171" s="33">
        <v>26.564700270093901</v>
      </c>
      <c r="AD171" s="33">
        <v>26.5946808195215</v>
      </c>
      <c r="AE171" s="15">
        <v>-2.2989628588124598E-3</v>
      </c>
      <c r="AF171" s="15">
        <v>-6.2032531990594804E-3</v>
      </c>
      <c r="AG171" s="15">
        <v>-5.0753035505996203E-3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2.8888986411675407E-2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3.4618678360000425E-2</v>
      </c>
      <c r="BE171" s="29">
        <f t="shared" si="62"/>
        <v>0</v>
      </c>
      <c r="BF171" s="29">
        <f t="shared" si="63"/>
        <v>6.350766477167584E-2</v>
      </c>
      <c r="BH171" s="29"/>
    </row>
    <row r="172" spans="1:60" x14ac:dyDescent="0.25">
      <c r="A172" s="1">
        <v>46273</v>
      </c>
      <c r="B172" s="33">
        <v>26.78</v>
      </c>
      <c r="C172" s="33">
        <v>26.39</v>
      </c>
      <c r="D172" s="15">
        <v>-1.29847864078138E-2</v>
      </c>
      <c r="E172" s="15">
        <v>-1.2801379635594801E-2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26.78</v>
      </c>
      <c r="M172" s="33">
        <v>26.39</v>
      </c>
      <c r="N172" s="34">
        <v>0.98543689320388295</v>
      </c>
      <c r="O172" s="34">
        <v>0.98299370828552601</v>
      </c>
      <c r="P172" s="34">
        <v>0.98041041442384802</v>
      </c>
      <c r="Q172" s="34">
        <v>0.98058638721699198</v>
      </c>
      <c r="R172" s="33">
        <v>26.324571507886301</v>
      </c>
      <c r="S172" s="33">
        <v>26.239644731319999</v>
      </c>
      <c r="T172" s="33">
        <v>26.2567265319583</v>
      </c>
      <c r="U172" s="15">
        <v>-2.4823696310314401E-3</v>
      </c>
      <c r="V172" s="15">
        <v>-5.7137257337414003E-3</v>
      </c>
      <c r="W172" s="15">
        <v>-5.0629454672164896E-3</v>
      </c>
      <c r="X172" s="34">
        <v>0.98543689320388295</v>
      </c>
      <c r="Y172" s="34">
        <v>0.98299370828552601</v>
      </c>
      <c r="Z172" s="34">
        <v>0.98041041442384802</v>
      </c>
      <c r="AA172" s="34">
        <v>0.98058638721699198</v>
      </c>
      <c r="AB172" s="33">
        <v>26.324571507886301</v>
      </c>
      <c r="AC172" s="33">
        <v>26.239644731319999</v>
      </c>
      <c r="AD172" s="33">
        <v>26.2567265319583</v>
      </c>
      <c r="AE172" s="15">
        <v>-2.4823696310314401E-3</v>
      </c>
      <c r="AF172" s="15">
        <v>-5.7137257337414003E-3</v>
      </c>
      <c r="AG172" s="15">
        <v>-5.0629454672164896E-3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2.8888986411675407E-2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3.4618678360000425E-2</v>
      </c>
      <c r="BE172" s="29">
        <f t="shared" si="62"/>
        <v>0</v>
      </c>
      <c r="BF172" s="29">
        <f t="shared" si="63"/>
        <v>6.350766477167584E-2</v>
      </c>
      <c r="BH172" s="29"/>
    </row>
    <row r="173" spans="1:60" x14ac:dyDescent="0.25">
      <c r="A173" s="1">
        <v>46274</v>
      </c>
      <c r="B173" s="33">
        <v>26.56</v>
      </c>
      <c r="C173" s="33">
        <v>26.15</v>
      </c>
      <c r="D173" s="15">
        <v>-8.2490156547934193E-3</v>
      </c>
      <c r="E173" s="15">
        <v>-9.1359600043009106E-3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26.56</v>
      </c>
      <c r="M173" s="33">
        <v>26.15</v>
      </c>
      <c r="N173" s="34">
        <v>0.98456325301204795</v>
      </c>
      <c r="O173" s="34">
        <v>0.98299370828552601</v>
      </c>
      <c r="P173" s="34">
        <v>0.98142552257429205</v>
      </c>
      <c r="Q173" s="34">
        <v>0.98048332846667896</v>
      </c>
      <c r="R173" s="33">
        <v>26.108312892063498</v>
      </c>
      <c r="S173" s="33">
        <v>26.039700607097402</v>
      </c>
      <c r="T173" s="33">
        <v>26.044374444483299</v>
      </c>
      <c r="U173" s="15">
        <v>-1.5954252815238499E-3</v>
      </c>
      <c r="V173" s="15">
        <v>-4.2268706599534701E-3</v>
      </c>
      <c r="W173" s="15">
        <v>-4.0473978597239096E-3</v>
      </c>
      <c r="X173" s="34">
        <v>0.98456325301204795</v>
      </c>
      <c r="Y173" s="34">
        <v>0.98299370828552601</v>
      </c>
      <c r="Z173" s="34">
        <v>0.98142552257429205</v>
      </c>
      <c r="AA173" s="34">
        <v>0.98048332846667896</v>
      </c>
      <c r="AB173" s="33">
        <v>26.108312892063498</v>
      </c>
      <c r="AC173" s="33">
        <v>26.039700607097402</v>
      </c>
      <c r="AD173" s="33">
        <v>26.044374444483299</v>
      </c>
      <c r="AE173" s="15">
        <v>-1.5954252815238499E-3</v>
      </c>
      <c r="AF173" s="15">
        <v>-4.2268706599534701E-3</v>
      </c>
      <c r="AG173" s="15">
        <v>-4.0473978597239096E-3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2.8888986411675407E-2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3.4618678360000425E-2</v>
      </c>
      <c r="BE173" s="29">
        <f t="shared" si="62"/>
        <v>0</v>
      </c>
      <c r="BF173" s="29">
        <f t="shared" si="63"/>
        <v>6.350766477167584E-2</v>
      </c>
      <c r="BH173" s="29"/>
    </row>
    <row r="174" spans="1:60" x14ac:dyDescent="0.25">
      <c r="A174" s="1">
        <v>46275</v>
      </c>
      <c r="B174" s="33">
        <v>26.98</v>
      </c>
      <c r="C174" s="33">
        <v>26.59</v>
      </c>
      <c r="D174" s="15">
        <v>1.56895261713768E-2</v>
      </c>
      <c r="E174" s="15">
        <v>1.6686014743996402E-2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26.98</v>
      </c>
      <c r="M174" s="33">
        <v>26.59</v>
      </c>
      <c r="N174" s="34">
        <v>0.98554484803558096</v>
      </c>
      <c r="O174" s="34">
        <v>0.98299370828552601</v>
      </c>
      <c r="P174" s="34">
        <v>0.98224323857562201</v>
      </c>
      <c r="Q174" s="34">
        <v>0.98060564129099304</v>
      </c>
      <c r="R174" s="33">
        <v>26.521170249543399</v>
      </c>
      <c r="S174" s="33">
        <v>26.4788605990544</v>
      </c>
      <c r="T174" s="33">
        <v>26.453440202031</v>
      </c>
      <c r="U174" s="15">
        <v>-2.5919138541436902E-3</v>
      </c>
      <c r="V174" s="15">
        <v>-4.1885038484992601E-3</v>
      </c>
      <c r="W174" s="15">
        <v>-5.1489910592556597E-3</v>
      </c>
      <c r="X174" s="34">
        <v>0.98554484803558096</v>
      </c>
      <c r="Y174" s="34">
        <v>0.98299370828552601</v>
      </c>
      <c r="Z174" s="34">
        <v>0.98224323857562201</v>
      </c>
      <c r="AA174" s="34">
        <v>0.98060564129099304</v>
      </c>
      <c r="AB174" s="33">
        <v>26.521170249543399</v>
      </c>
      <c r="AC174" s="33">
        <v>26.4788605990544</v>
      </c>
      <c r="AD174" s="33">
        <v>26.453440202031</v>
      </c>
      <c r="AE174" s="15">
        <v>-2.5919138541436902E-3</v>
      </c>
      <c r="AF174" s="15">
        <v>-4.1885038484992601E-3</v>
      </c>
      <c r="AG174" s="15">
        <v>-5.1489910592556597E-3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2.8888986411675407E-2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3.4618678360000425E-2</v>
      </c>
      <c r="BE174" s="29">
        <f t="shared" si="62"/>
        <v>0</v>
      </c>
      <c r="BF174" s="29">
        <f t="shared" si="63"/>
        <v>6.350766477167584E-2</v>
      </c>
      <c r="BH174" s="29"/>
    </row>
    <row r="175" spans="1:60" x14ac:dyDescent="0.25">
      <c r="A175" s="1">
        <v>46276</v>
      </c>
      <c r="B175" s="33">
        <v>26.64</v>
      </c>
      <c r="C175" s="33">
        <v>26.22</v>
      </c>
      <c r="D175" s="15">
        <v>-1.26820051074214E-2</v>
      </c>
      <c r="E175" s="15">
        <v>-1.40127269193746E-2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26.64</v>
      </c>
      <c r="M175" s="33">
        <v>26.22</v>
      </c>
      <c r="N175" s="34">
        <v>0.98423423423423395</v>
      </c>
      <c r="O175" s="34">
        <v>0.98299370828552601</v>
      </c>
      <c r="P175" s="34">
        <v>0.982324917226154</v>
      </c>
      <c r="Q175" s="34">
        <v>0.98072803601496406</v>
      </c>
      <c r="R175" s="33">
        <v>26.1869523887264</v>
      </c>
      <c r="S175" s="33">
        <v>26.166959875654499</v>
      </c>
      <c r="T175" s="33">
        <v>26.123334283992001</v>
      </c>
      <c r="U175" s="15">
        <v>-1.2611920421903701E-3</v>
      </c>
      <c r="V175" s="15">
        <v>-2.0249368390524401E-3</v>
      </c>
      <c r="W175" s="15">
        <v>-3.6935295477180901E-3</v>
      </c>
      <c r="X175" s="34">
        <v>0.98423423423423395</v>
      </c>
      <c r="Y175" s="34">
        <v>0.98299370828552601</v>
      </c>
      <c r="Z175" s="34">
        <v>0.982324917226154</v>
      </c>
      <c r="AA175" s="34">
        <v>0.98072803601496406</v>
      </c>
      <c r="AB175" s="33">
        <v>26.1869523887264</v>
      </c>
      <c r="AC175" s="33">
        <v>26.166959875654499</v>
      </c>
      <c r="AD175" s="33">
        <v>26.123334283992001</v>
      </c>
      <c r="AE175" s="15">
        <v>-1.2611920421903701E-3</v>
      </c>
      <c r="AF175" s="15">
        <v>-2.0249368390524401E-3</v>
      </c>
      <c r="AG175" s="15">
        <v>-3.6935295477180901E-3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2.8888986411675407E-2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3.4618678360000425E-2</v>
      </c>
      <c r="BE175" s="29">
        <f t="shared" si="62"/>
        <v>0</v>
      </c>
      <c r="BF175" s="29">
        <f t="shared" si="63"/>
        <v>6.350766477167584E-2</v>
      </c>
      <c r="BH175" s="29"/>
    </row>
    <row r="176" spans="1:60" x14ac:dyDescent="0.25">
      <c r="A176" s="1">
        <v>46279</v>
      </c>
      <c r="B176" s="33">
        <v>26.75</v>
      </c>
      <c r="C176" s="33">
        <v>26.24</v>
      </c>
      <c r="D176" s="15">
        <v>4.1206276698272501E-3</v>
      </c>
      <c r="E176" s="15">
        <v>7.6248574033439495E-4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26.75</v>
      </c>
      <c r="M176" s="33">
        <v>26.24</v>
      </c>
      <c r="N176" s="34">
        <v>0.980934579439252</v>
      </c>
      <c r="O176" s="34">
        <v>0.98299370828552601</v>
      </c>
      <c r="P176" s="34">
        <v>0.98232828507999004</v>
      </c>
      <c r="Q176" s="34">
        <v>0.98060521481391605</v>
      </c>
      <c r="R176" s="33">
        <v>26.295081696637801</v>
      </c>
      <c r="S176" s="33">
        <v>26.277191535799599</v>
      </c>
      <c r="T176" s="33">
        <v>26.234474963400299</v>
      </c>
      <c r="U176" s="15">
        <v>2.0969498873021001E-3</v>
      </c>
      <c r="V176" s="15">
        <v>1.4163568511344901E-3</v>
      </c>
      <c r="W176" s="15">
        <v>-2.1057996764969401E-4</v>
      </c>
      <c r="X176" s="34">
        <v>0.980934579439252</v>
      </c>
      <c r="Y176" s="34">
        <v>0.98299370828552601</v>
      </c>
      <c r="Z176" s="34">
        <v>0.98232828507999004</v>
      </c>
      <c r="AA176" s="34">
        <v>0.98060521481391605</v>
      </c>
      <c r="AB176" s="33">
        <v>26.295081696637801</v>
      </c>
      <c r="AC176" s="33">
        <v>26.277191535799599</v>
      </c>
      <c r="AD176" s="33">
        <v>26.234474963400299</v>
      </c>
      <c r="AE176" s="15">
        <v>2.0969498873021001E-3</v>
      </c>
      <c r="AF176" s="15">
        <v>1.4163568511344901E-3</v>
      </c>
      <c r="AG176" s="15">
        <v>-2.1057996764969401E-4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2.8888986411675407E-2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3.4618678360000425E-2</v>
      </c>
      <c r="BE176" s="29">
        <f t="shared" si="62"/>
        <v>0</v>
      </c>
      <c r="BF176" s="29">
        <f t="shared" si="63"/>
        <v>6.350766477167584E-2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2026-09-22T19:37:50Z</dcterms:created>
  <dcterms:modified xsi:type="dcterms:W3CDTF">2026-09-22T20:06:24Z</dcterms:modified>
</cp:coreProperties>
</file>