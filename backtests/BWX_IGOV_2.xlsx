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5DAD7073-22FF-4438-9091-5D7DE773FA92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BWX_IGOV_2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F166" i="1"/>
  <c r="BD166" i="1" s="1"/>
  <c r="BE166" i="1"/>
  <c r="BC166" i="1"/>
  <c r="BB166" i="1"/>
  <c r="BF167" i="1" s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D162" i="1"/>
  <c r="BC162" i="1"/>
  <c r="BB162" i="1"/>
  <c r="BQ161" i="1"/>
  <c r="BO161" i="1"/>
  <c r="BN161" i="1"/>
  <c r="BE161" i="1"/>
  <c r="BC161" i="1"/>
  <c r="BB161" i="1"/>
  <c r="BF162" i="1" s="1"/>
  <c r="BH162" i="1" s="1"/>
  <c r="BQ160" i="1"/>
  <c r="BO160" i="1"/>
  <c r="BN160" i="1"/>
  <c r="BE160" i="1"/>
  <c r="BC160" i="1"/>
  <c r="BB160" i="1"/>
  <c r="BF161" i="1" s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R156" i="1"/>
  <c r="BQ156" i="1"/>
  <c r="BO156" i="1"/>
  <c r="BN156" i="1"/>
  <c r="BE156" i="1"/>
  <c r="BC156" i="1"/>
  <c r="BB156" i="1"/>
  <c r="BR155" i="1"/>
  <c r="BP155" i="1" s="1"/>
  <c r="BQ155" i="1"/>
  <c r="BO155" i="1"/>
  <c r="BN155" i="1"/>
  <c r="BE155" i="1"/>
  <c r="BC155" i="1"/>
  <c r="BB155" i="1"/>
  <c r="BS154" i="1"/>
  <c r="BQ154" i="1"/>
  <c r="BO154" i="1"/>
  <c r="BN154" i="1"/>
  <c r="BE154" i="1"/>
  <c r="BC154" i="1"/>
  <c r="BB154" i="1"/>
  <c r="BQ153" i="1"/>
  <c r="BO153" i="1"/>
  <c r="BN153" i="1"/>
  <c r="BR154" i="1" s="1"/>
  <c r="BT154" i="1" s="1"/>
  <c r="BE153" i="1"/>
  <c r="BC153" i="1"/>
  <c r="BB153" i="1"/>
  <c r="BQ152" i="1"/>
  <c r="BO152" i="1"/>
  <c r="BN152" i="1"/>
  <c r="BE152" i="1"/>
  <c r="BC152" i="1"/>
  <c r="BB152" i="1"/>
  <c r="BQ151" i="1"/>
  <c r="BO151" i="1"/>
  <c r="BN151" i="1"/>
  <c r="BR152" i="1" s="1"/>
  <c r="BF151" i="1"/>
  <c r="BE151" i="1"/>
  <c r="BC151" i="1"/>
  <c r="BB151" i="1"/>
  <c r="BF152" i="1" s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F147" i="1" s="1"/>
  <c r="BG147" i="1" s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F143" i="1" s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F137" i="1" s="1"/>
  <c r="BH137" i="1" s="1"/>
  <c r="BQ135" i="1"/>
  <c r="BO135" i="1"/>
  <c r="BN135" i="1"/>
  <c r="BE135" i="1"/>
  <c r="BC135" i="1"/>
  <c r="BB135" i="1"/>
  <c r="BF136" i="1" s="1"/>
  <c r="BD136" i="1" s="1"/>
  <c r="BQ134" i="1"/>
  <c r="BO134" i="1"/>
  <c r="BN134" i="1"/>
  <c r="BE134" i="1"/>
  <c r="BC134" i="1"/>
  <c r="BB134" i="1"/>
  <c r="BF135" i="1" s="1"/>
  <c r="BQ133" i="1"/>
  <c r="BO133" i="1"/>
  <c r="BN133" i="1"/>
  <c r="BE133" i="1"/>
  <c r="BC133" i="1"/>
  <c r="BB133" i="1"/>
  <c r="BF134" i="1" s="1"/>
  <c r="BD134" i="1" s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R128" i="1" s="1"/>
  <c r="BS128" i="1" s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F122" i="1" s="1"/>
  <c r="BQ120" i="1"/>
  <c r="BO120" i="1"/>
  <c r="BN120" i="1"/>
  <c r="BE120" i="1"/>
  <c r="BC120" i="1"/>
  <c r="BB120" i="1"/>
  <c r="BQ119" i="1"/>
  <c r="BO119" i="1"/>
  <c r="BN119" i="1"/>
  <c r="BR120" i="1" s="1"/>
  <c r="BE119" i="1"/>
  <c r="BC119" i="1"/>
  <c r="BB119" i="1"/>
  <c r="BF120" i="1" s="1"/>
  <c r="BD120" i="1" s="1"/>
  <c r="BQ118" i="1"/>
  <c r="BO118" i="1"/>
  <c r="BN118" i="1"/>
  <c r="BR119" i="1" s="1"/>
  <c r="BP119" i="1" s="1"/>
  <c r="BE118" i="1"/>
  <c r="BC118" i="1"/>
  <c r="BB118" i="1"/>
  <c r="BQ117" i="1"/>
  <c r="BO117" i="1"/>
  <c r="BN117" i="1"/>
  <c r="BR118" i="1" s="1"/>
  <c r="BS118" i="1" s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F114" i="1" s="1"/>
  <c r="BQ112" i="1"/>
  <c r="BO112" i="1"/>
  <c r="BN112" i="1"/>
  <c r="BE112" i="1"/>
  <c r="BC112" i="1"/>
  <c r="BB112" i="1"/>
  <c r="BQ111" i="1"/>
  <c r="BO111" i="1"/>
  <c r="BN111" i="1"/>
  <c r="BE111" i="1"/>
  <c r="BC111" i="1"/>
  <c r="BB111" i="1"/>
  <c r="BQ110" i="1"/>
  <c r="BO110" i="1"/>
  <c r="BN110" i="1"/>
  <c r="BE110" i="1"/>
  <c r="BC110" i="1"/>
  <c r="BB110" i="1"/>
  <c r="BF111" i="1" s="1"/>
  <c r="BQ109" i="1"/>
  <c r="BO109" i="1"/>
  <c r="BN109" i="1"/>
  <c r="BR110" i="1" s="1"/>
  <c r="BP110" i="1" s="1"/>
  <c r="BE109" i="1"/>
  <c r="BC109" i="1"/>
  <c r="BB109" i="1"/>
  <c r="BQ108" i="1"/>
  <c r="BO108" i="1"/>
  <c r="BN108" i="1"/>
  <c r="BR109" i="1" s="1"/>
  <c r="BP109" i="1" s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R106" i="1" s="1"/>
  <c r="BN105" i="1"/>
  <c r="BE105" i="1"/>
  <c r="BC105" i="1"/>
  <c r="BB105" i="1"/>
  <c r="BF106" i="1" s="1"/>
  <c r="BD106" i="1" s="1"/>
  <c r="BQ104" i="1"/>
  <c r="BO104" i="1"/>
  <c r="BN104" i="1"/>
  <c r="BE104" i="1"/>
  <c r="BC104" i="1"/>
  <c r="BB104" i="1"/>
  <c r="BQ103" i="1"/>
  <c r="BO103" i="1"/>
  <c r="BN103" i="1"/>
  <c r="BR104" i="1" s="1"/>
  <c r="BS104" i="1" s="1"/>
  <c r="BE103" i="1"/>
  <c r="BC103" i="1"/>
  <c r="BB103" i="1"/>
  <c r="BF104" i="1" s="1"/>
  <c r="BQ102" i="1"/>
  <c r="BO102" i="1"/>
  <c r="BN102" i="1"/>
  <c r="BE102" i="1"/>
  <c r="BC102" i="1"/>
  <c r="BB102" i="1"/>
  <c r="BF103" i="1" s="1"/>
  <c r="BD103" i="1" s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F101" i="1" s="1"/>
  <c r="BQ99" i="1"/>
  <c r="BO99" i="1"/>
  <c r="BN99" i="1"/>
  <c r="BR100" i="1" s="1"/>
  <c r="BT100" i="1" s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R97" i="1" s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R95" i="1" s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R92" i="1" s="1"/>
  <c r="BS92" i="1" s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R90" i="1" s="1"/>
  <c r="BE89" i="1"/>
  <c r="BC89" i="1"/>
  <c r="BB89" i="1"/>
  <c r="BQ88" i="1"/>
  <c r="BO88" i="1"/>
  <c r="BN88" i="1"/>
  <c r="BR89" i="1" s="1"/>
  <c r="BE88" i="1"/>
  <c r="BC88" i="1"/>
  <c r="BB88" i="1"/>
  <c r="BQ87" i="1"/>
  <c r="BO87" i="1"/>
  <c r="BR88" i="1" s="1"/>
  <c r="BN87" i="1"/>
  <c r="BE87" i="1"/>
  <c r="BC87" i="1"/>
  <c r="BB87" i="1"/>
  <c r="BF88" i="1" s="1"/>
  <c r="BQ86" i="1"/>
  <c r="BO86" i="1"/>
  <c r="BR87" i="1" s="1"/>
  <c r="BP87" i="1" s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R84" i="1" s="1"/>
  <c r="BT84" i="1" s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R80" i="1"/>
  <c r="BP80" i="1" s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R79" i="1" s="1"/>
  <c r="BP79" i="1" s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F74" i="1" s="1"/>
  <c r="BG74" i="1" s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R67" i="1" s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R63" i="1" s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F57" i="1" s="1"/>
  <c r="BD57" i="1" s="1"/>
  <c r="BQ55" i="1"/>
  <c r="BO55" i="1"/>
  <c r="BN55" i="1"/>
  <c r="BR56" i="1" s="1"/>
  <c r="BP56" i="1" s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R54" i="1" s="1"/>
  <c r="BE53" i="1"/>
  <c r="BC53" i="1"/>
  <c r="BB53" i="1"/>
  <c r="BQ52" i="1"/>
  <c r="BO52" i="1"/>
  <c r="BN52" i="1"/>
  <c r="BR53" i="1" s="1"/>
  <c r="BP53" i="1" s="1"/>
  <c r="BE52" i="1"/>
  <c r="BC52" i="1"/>
  <c r="BB52" i="1"/>
  <c r="BQ51" i="1"/>
  <c r="BO51" i="1"/>
  <c r="BN51" i="1"/>
  <c r="BE51" i="1"/>
  <c r="BC51" i="1"/>
  <c r="BB51" i="1"/>
  <c r="BR50" i="1"/>
  <c r="BT50" i="1" s="1"/>
  <c r="BQ50" i="1"/>
  <c r="BO50" i="1"/>
  <c r="BN50" i="1"/>
  <c r="BR51" i="1" s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R49" i="1" s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R43" i="1" s="1"/>
  <c r="BT43" i="1" s="1"/>
  <c r="BE42" i="1"/>
  <c r="BC42" i="1"/>
  <c r="BB42" i="1"/>
  <c r="BF43" i="1" s="1"/>
  <c r="BR41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Q37" i="1"/>
  <c r="BO37" i="1"/>
  <c r="BN37" i="1"/>
  <c r="BR38" i="1" s="1"/>
  <c r="BT38" i="1" s="1"/>
  <c r="BE37" i="1"/>
  <c r="BC37" i="1"/>
  <c r="BB37" i="1"/>
  <c r="BQ36" i="1"/>
  <c r="BO36" i="1"/>
  <c r="BN36" i="1"/>
  <c r="BR37" i="1" s="1"/>
  <c r="BE36" i="1"/>
  <c r="BC36" i="1"/>
  <c r="BB36" i="1"/>
  <c r="BF37" i="1" s="1"/>
  <c r="BD37" i="1" s="1"/>
  <c r="BQ35" i="1"/>
  <c r="BO35" i="1"/>
  <c r="BN35" i="1"/>
  <c r="BR36" i="1" s="1"/>
  <c r="BT36" i="1" s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R32" i="1" s="1"/>
  <c r="BS32" i="1" s="1"/>
  <c r="BE31" i="1"/>
  <c r="BC31" i="1"/>
  <c r="BB31" i="1"/>
  <c r="BQ30" i="1"/>
  <c r="BO30" i="1"/>
  <c r="BN30" i="1"/>
  <c r="BR31" i="1" s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F28" i="1" s="1"/>
  <c r="BH28" i="1" s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R24" i="1" s="1"/>
  <c r="BP24" i="1" s="1"/>
  <c r="BE23" i="1"/>
  <c r="BC23" i="1"/>
  <c r="BB23" i="1"/>
  <c r="BR22" i="1"/>
  <c r="BT22" i="1" s="1"/>
  <c r="BQ22" i="1"/>
  <c r="BP22" i="1"/>
  <c r="BO22" i="1"/>
  <c r="BN22" i="1"/>
  <c r="BF22" i="1"/>
  <c r="BE22" i="1"/>
  <c r="BD22" i="1"/>
  <c r="BC22" i="1"/>
  <c r="BB22" i="1"/>
  <c r="BQ21" i="1"/>
  <c r="BE21" i="1"/>
  <c r="BT20" i="1"/>
  <c r="BS20" i="1"/>
  <c r="BH20" i="1"/>
  <c r="BG20" i="1"/>
  <c r="CL18" i="1"/>
  <c r="CL19" i="1" s="1"/>
  <c r="CL20" i="1" s="1"/>
  <c r="CL21" i="1" s="1"/>
  <c r="CL22" i="1" s="1"/>
  <c r="CL17" i="1"/>
  <c r="CL16" i="1"/>
  <c r="CO14" i="1"/>
  <c r="CP14" i="1" s="1"/>
  <c r="CQ14" i="1" s="1"/>
  <c r="CR14" i="1" s="1"/>
  <c r="CS14" i="1" s="1"/>
  <c r="CT14" i="1" s="1"/>
  <c r="CN14" i="1"/>
  <c r="CL6" i="1"/>
  <c r="CL7" i="1" s="1"/>
  <c r="CL8" i="1" s="1"/>
  <c r="CL9" i="1" s="1"/>
  <c r="CL10" i="1" s="1"/>
  <c r="CL11" i="1" s="1"/>
  <c r="CL5" i="1"/>
  <c r="CN3" i="1"/>
  <c r="CO3" i="1" s="1"/>
  <c r="CP3" i="1" s="1"/>
  <c r="CQ3" i="1" s="1"/>
  <c r="CR3" i="1" s="1"/>
  <c r="CS3" i="1" s="1"/>
  <c r="CT3" i="1" s="1"/>
  <c r="BR164" i="1" l="1"/>
  <c r="BR26" i="1"/>
  <c r="BR59" i="1"/>
  <c r="BT59" i="1" s="1"/>
  <c r="BR73" i="1"/>
  <c r="BS73" i="1" s="1"/>
  <c r="BR124" i="1"/>
  <c r="BP124" i="1" s="1"/>
  <c r="BR145" i="1"/>
  <c r="BS145" i="1" s="1"/>
  <c r="BR101" i="1"/>
  <c r="BT101" i="1" s="1"/>
  <c r="BR108" i="1"/>
  <c r="BS108" i="1" s="1"/>
  <c r="BR81" i="1"/>
  <c r="BT81" i="1" s="1"/>
  <c r="BR151" i="1"/>
  <c r="BP151" i="1" s="1"/>
  <c r="BP84" i="1"/>
  <c r="BP50" i="1"/>
  <c r="BR158" i="1"/>
  <c r="BT158" i="1" s="1"/>
  <c r="BS119" i="1"/>
  <c r="BU119" i="1" s="1"/>
  <c r="BR30" i="1"/>
  <c r="BS30" i="1" s="1"/>
  <c r="BT119" i="1"/>
  <c r="BR28" i="1"/>
  <c r="BP28" i="1" s="1"/>
  <c r="BR44" i="1"/>
  <c r="BP44" i="1" s="1"/>
  <c r="BR55" i="1"/>
  <c r="BP55" i="1" s="1"/>
  <c r="BR76" i="1"/>
  <c r="BP76" i="1" s="1"/>
  <c r="BR42" i="1"/>
  <c r="BT42" i="1" s="1"/>
  <c r="BR96" i="1"/>
  <c r="BT96" i="1" s="1"/>
  <c r="BF156" i="1"/>
  <c r="BF32" i="1"/>
  <c r="BF66" i="1"/>
  <c r="BF35" i="1"/>
  <c r="BD35" i="1" s="1"/>
  <c r="BF123" i="1"/>
  <c r="BG123" i="1" s="1"/>
  <c r="BF138" i="1"/>
  <c r="BD138" i="1" s="1"/>
  <c r="BF31" i="1"/>
  <c r="BG31" i="1" s="1"/>
  <c r="BF40" i="1"/>
  <c r="BG40" i="1" s="1"/>
  <c r="BF51" i="1"/>
  <c r="BD51" i="1" s="1"/>
  <c r="BF119" i="1"/>
  <c r="BH119" i="1" s="1"/>
  <c r="BF148" i="1"/>
  <c r="BG148" i="1" s="1"/>
  <c r="BG162" i="1"/>
  <c r="BI162" i="1" s="1"/>
  <c r="BF94" i="1"/>
  <c r="BH94" i="1" s="1"/>
  <c r="BF130" i="1"/>
  <c r="BH130" i="1" s="1"/>
  <c r="BF47" i="1"/>
  <c r="BG47" i="1" s="1"/>
  <c r="BF49" i="1"/>
  <c r="BD49" i="1" s="1"/>
  <c r="BF34" i="1"/>
  <c r="BH34" i="1" s="1"/>
  <c r="BF113" i="1"/>
  <c r="BD113" i="1" s="1"/>
  <c r="BF61" i="1"/>
  <c r="BG61" i="1" s="1"/>
  <c r="BF117" i="1"/>
  <c r="BD117" i="1" s="1"/>
  <c r="BF146" i="1"/>
  <c r="BG146" i="1" s="1"/>
  <c r="BF155" i="1"/>
  <c r="BD155" i="1" s="1"/>
  <c r="BF157" i="1"/>
  <c r="BD157" i="1" s="1"/>
  <c r="BF158" i="1" s="1"/>
  <c r="BD158" i="1" s="1"/>
  <c r="BF133" i="1"/>
  <c r="BH133" i="1" s="1"/>
  <c r="BF142" i="1"/>
  <c r="BH142" i="1" s="1"/>
  <c r="BF58" i="1"/>
  <c r="BD58" i="1" s="1"/>
  <c r="BF59" i="1" s="1"/>
  <c r="BF118" i="1"/>
  <c r="BD118" i="1" s="1"/>
  <c r="BF75" i="1"/>
  <c r="BD75" i="1" s="1"/>
  <c r="BF76" i="1" s="1"/>
  <c r="BG76" i="1" s="1"/>
  <c r="BF23" i="1"/>
  <c r="BD23" i="1" s="1"/>
  <c r="BF24" i="1" s="1"/>
  <c r="BF36" i="1"/>
  <c r="BD36" i="1" s="1"/>
  <c r="BF87" i="1"/>
  <c r="BH87" i="1" s="1"/>
  <c r="BP59" i="1"/>
  <c r="BR60" i="1" s="1"/>
  <c r="BS60" i="1" s="1"/>
  <c r="BS101" i="1"/>
  <c r="BP101" i="1"/>
  <c r="BT97" i="1"/>
  <c r="BP97" i="1"/>
  <c r="BS44" i="1"/>
  <c r="BT120" i="1"/>
  <c r="BS120" i="1"/>
  <c r="BP120" i="1"/>
  <c r="BR121" i="1" s="1"/>
  <c r="BR71" i="1"/>
  <c r="BS71" i="1" s="1"/>
  <c r="BR85" i="1"/>
  <c r="BT85" i="1" s="1"/>
  <c r="BR111" i="1"/>
  <c r="BP111" i="1" s="1"/>
  <c r="BR112" i="1" s="1"/>
  <c r="BR65" i="1"/>
  <c r="BT65" i="1" s="1"/>
  <c r="BR125" i="1"/>
  <c r="BS125" i="1" s="1"/>
  <c r="BP154" i="1"/>
  <c r="BR46" i="1"/>
  <c r="BS46" i="1" s="1"/>
  <c r="BR74" i="1"/>
  <c r="BS74" i="1" s="1"/>
  <c r="BR78" i="1"/>
  <c r="BS78" i="1" s="1"/>
  <c r="BT104" i="1"/>
  <c r="BU104" i="1" s="1"/>
  <c r="BR123" i="1"/>
  <c r="BS123" i="1" s="1"/>
  <c r="BU154" i="1"/>
  <c r="BR82" i="1"/>
  <c r="BP82" i="1" s="1"/>
  <c r="BR165" i="1"/>
  <c r="BS165" i="1" s="1"/>
  <c r="BR58" i="1"/>
  <c r="BS58" i="1" s="1"/>
  <c r="BR70" i="1"/>
  <c r="BP70" i="1" s="1"/>
  <c r="BR102" i="1"/>
  <c r="BP102" i="1" s="1"/>
  <c r="BR45" i="1"/>
  <c r="BP45" i="1" s="1"/>
  <c r="BR68" i="1"/>
  <c r="BS68" i="1" s="1"/>
  <c r="BR27" i="1"/>
  <c r="BS27" i="1" s="1"/>
  <c r="BR23" i="1"/>
  <c r="BR29" i="1"/>
  <c r="BT29" i="1" s="1"/>
  <c r="BR75" i="1"/>
  <c r="BT75" i="1" s="1"/>
  <c r="BR77" i="1"/>
  <c r="BT77" i="1" s="1"/>
  <c r="BR91" i="1"/>
  <c r="BR93" i="1"/>
  <c r="BD152" i="1"/>
  <c r="BH152" i="1"/>
  <c r="BG152" i="1"/>
  <c r="BD43" i="1"/>
  <c r="BF44" i="1" s="1"/>
  <c r="BG43" i="1"/>
  <c r="BG103" i="1"/>
  <c r="BF116" i="1"/>
  <c r="BH116" i="1" s="1"/>
  <c r="BH117" i="1"/>
  <c r="BI147" i="1"/>
  <c r="BF140" i="1"/>
  <c r="BH140" i="1" s="1"/>
  <c r="BF62" i="1"/>
  <c r="BH62" i="1" s="1"/>
  <c r="BF115" i="1"/>
  <c r="BH115" i="1" s="1"/>
  <c r="BF131" i="1"/>
  <c r="BF153" i="1"/>
  <c r="BG153" i="1" s="1"/>
  <c r="BH37" i="1"/>
  <c r="BF149" i="1"/>
  <c r="BH149" i="1" s="1"/>
  <c r="BH103" i="1"/>
  <c r="BF128" i="1"/>
  <c r="BH128" i="1" s="1"/>
  <c r="BH147" i="1"/>
  <c r="BF154" i="1"/>
  <c r="BD154" i="1" s="1"/>
  <c r="BF129" i="1"/>
  <c r="BD129" i="1" s="1"/>
  <c r="BG134" i="1"/>
  <c r="BI134" i="1" s="1"/>
  <c r="BH134" i="1"/>
  <c r="BF139" i="1"/>
  <c r="BH139" i="1" s="1"/>
  <c r="BF159" i="1"/>
  <c r="BH159" i="1" s="1"/>
  <c r="BF95" i="1"/>
  <c r="BH95" i="1" s="1"/>
  <c r="BF121" i="1"/>
  <c r="BD121" i="1" s="1"/>
  <c r="BF132" i="1"/>
  <c r="BG132" i="1" s="1"/>
  <c r="BF163" i="1"/>
  <c r="BP49" i="1"/>
  <c r="BT49" i="1"/>
  <c r="BS49" i="1"/>
  <c r="BT51" i="1"/>
  <c r="BS51" i="1"/>
  <c r="BU51" i="1" s="1"/>
  <c r="BP51" i="1"/>
  <c r="BR52" i="1" s="1"/>
  <c r="BS55" i="1"/>
  <c r="BT24" i="1"/>
  <c r="BS24" i="1"/>
  <c r="BT30" i="1"/>
  <c r="BS43" i="1"/>
  <c r="BU43" i="1" s="1"/>
  <c r="BP43" i="1"/>
  <c r="BG23" i="1"/>
  <c r="BH22" i="1"/>
  <c r="BG22" i="1"/>
  <c r="BT124" i="1"/>
  <c r="BR25" i="1"/>
  <c r="BP42" i="1"/>
  <c r="BP96" i="1"/>
  <c r="BD32" i="1"/>
  <c r="BH32" i="1"/>
  <c r="BG32" i="1"/>
  <c r="BF33" i="1"/>
  <c r="BT26" i="1"/>
  <c r="BS26" i="1"/>
  <c r="BF50" i="1"/>
  <c r="BT56" i="1"/>
  <c r="BS56" i="1"/>
  <c r="BT78" i="1"/>
  <c r="BT106" i="1"/>
  <c r="BP106" i="1"/>
  <c r="BR34" i="1"/>
  <c r="BS106" i="1"/>
  <c r="BH40" i="1"/>
  <c r="BD40" i="1"/>
  <c r="BF41" i="1" s="1"/>
  <c r="BH49" i="1"/>
  <c r="BD123" i="1"/>
  <c r="BF124" i="1" s="1"/>
  <c r="BH123" i="1"/>
  <c r="BI123" i="1" s="1"/>
  <c r="BP68" i="1"/>
  <c r="BS97" i="1"/>
  <c r="BT164" i="1"/>
  <c r="BP164" i="1"/>
  <c r="BS23" i="1"/>
  <c r="BS41" i="1"/>
  <c r="BU41" i="1" s="1"/>
  <c r="BP41" i="1"/>
  <c r="BP46" i="1"/>
  <c r="BR47" i="1" s="1"/>
  <c r="BH57" i="1"/>
  <c r="BH61" i="1"/>
  <c r="BD66" i="1"/>
  <c r="BF67" i="1" s="1"/>
  <c r="BH66" i="1"/>
  <c r="BS164" i="1"/>
  <c r="BT41" i="1"/>
  <c r="BT54" i="1"/>
  <c r="BS54" i="1"/>
  <c r="BP54" i="1"/>
  <c r="BG66" i="1"/>
  <c r="BP36" i="1"/>
  <c r="BT45" i="1"/>
  <c r="BS45" i="1"/>
  <c r="BS50" i="1"/>
  <c r="BU50" i="1" s="1"/>
  <c r="BR64" i="1"/>
  <c r="BT67" i="1"/>
  <c r="BS67" i="1"/>
  <c r="BU67" i="1" s="1"/>
  <c r="BP67" i="1"/>
  <c r="BT90" i="1"/>
  <c r="BP90" i="1"/>
  <c r="BS90" i="1"/>
  <c r="BU90" i="1" s="1"/>
  <c r="BD146" i="1"/>
  <c r="BS29" i="1"/>
  <c r="BP29" i="1"/>
  <c r="BP38" i="1"/>
  <c r="BR39" i="1" s="1"/>
  <c r="BS39" i="1" s="1"/>
  <c r="BS38" i="1"/>
  <c r="BU38" i="1" s="1"/>
  <c r="BG57" i="1"/>
  <c r="BH114" i="1"/>
  <c r="BG114" i="1"/>
  <c r="BD114" i="1"/>
  <c r="BH120" i="1"/>
  <c r="BG120" i="1"/>
  <c r="BG161" i="1"/>
  <c r="BD161" i="1"/>
  <c r="BT37" i="1"/>
  <c r="BS37" i="1"/>
  <c r="BP37" i="1"/>
  <c r="BP65" i="1"/>
  <c r="BR66" i="1" s="1"/>
  <c r="BG35" i="1"/>
  <c r="BG137" i="1"/>
  <c r="BI137" i="1" s="1"/>
  <c r="BD137" i="1"/>
  <c r="BT28" i="1"/>
  <c r="BP32" i="1"/>
  <c r="BR33" i="1" s="1"/>
  <c r="BT32" i="1"/>
  <c r="BU32" i="1" s="1"/>
  <c r="BF39" i="1"/>
  <c r="BF60" i="1"/>
  <c r="BT31" i="1"/>
  <c r="BS31" i="1"/>
  <c r="BD47" i="1"/>
  <c r="BF48" i="1" s="1"/>
  <c r="BH101" i="1"/>
  <c r="BG101" i="1"/>
  <c r="BI101" i="1" s="1"/>
  <c r="BD101" i="1"/>
  <c r="BF102" i="1" s="1"/>
  <c r="BD102" i="1" s="1"/>
  <c r="BG104" i="1"/>
  <c r="BD104" i="1"/>
  <c r="BF105" i="1" s="1"/>
  <c r="BH104" i="1"/>
  <c r="BT123" i="1"/>
  <c r="BP123" i="1"/>
  <c r="BT125" i="1"/>
  <c r="BP31" i="1"/>
  <c r="BS36" i="1"/>
  <c r="BU36" i="1" s="1"/>
  <c r="BH43" i="1"/>
  <c r="BT53" i="1"/>
  <c r="BS53" i="1"/>
  <c r="BR57" i="1"/>
  <c r="BT63" i="1"/>
  <c r="BP63" i="1"/>
  <c r="BG119" i="1"/>
  <c r="BI119" i="1" s="1"/>
  <c r="BH122" i="1"/>
  <c r="BG122" i="1"/>
  <c r="BI122" i="1" s="1"/>
  <c r="BD122" i="1"/>
  <c r="BH161" i="1"/>
  <c r="BP26" i="1"/>
  <c r="BD34" i="1"/>
  <c r="BR48" i="1"/>
  <c r="BS63" i="1"/>
  <c r="BP73" i="1"/>
  <c r="BT73" i="1"/>
  <c r="BU73" i="1" s="1"/>
  <c r="BD74" i="1"/>
  <c r="BH74" i="1"/>
  <c r="BI74" i="1" s="1"/>
  <c r="BH143" i="1"/>
  <c r="BG143" i="1"/>
  <c r="BI143" i="1" s="1"/>
  <c r="BD143" i="1"/>
  <c r="BF144" i="1" s="1"/>
  <c r="BP152" i="1"/>
  <c r="BR153" i="1" s="1"/>
  <c r="BT152" i="1"/>
  <c r="BS152" i="1"/>
  <c r="BT156" i="1"/>
  <c r="BP156" i="1"/>
  <c r="BR157" i="1" s="1"/>
  <c r="BS156" i="1"/>
  <c r="BU156" i="1" s="1"/>
  <c r="BS88" i="1"/>
  <c r="BT88" i="1"/>
  <c r="BP88" i="1"/>
  <c r="BG133" i="1"/>
  <c r="BG37" i="1"/>
  <c r="BR86" i="1"/>
  <c r="BT92" i="1"/>
  <c r="BU92" i="1" s="1"/>
  <c r="BP92" i="1"/>
  <c r="BR107" i="1"/>
  <c r="BD135" i="1"/>
  <c r="BH135" i="1"/>
  <c r="BG135" i="1"/>
  <c r="BD28" i="1"/>
  <c r="BF29" i="1" s="1"/>
  <c r="BR69" i="1"/>
  <c r="BR72" i="1"/>
  <c r="BR83" i="1"/>
  <c r="BF107" i="1"/>
  <c r="BH113" i="1"/>
  <c r="BT128" i="1"/>
  <c r="BU128" i="1" s="1"/>
  <c r="BP128" i="1"/>
  <c r="BR129" i="1" s="1"/>
  <c r="BG155" i="1"/>
  <c r="BT74" i="1"/>
  <c r="BG87" i="1"/>
  <c r="BH88" i="1"/>
  <c r="BG88" i="1"/>
  <c r="BD88" i="1"/>
  <c r="BF89" i="1" s="1"/>
  <c r="BG89" i="1" s="1"/>
  <c r="BS95" i="1"/>
  <c r="BT95" i="1"/>
  <c r="BP95" i="1"/>
  <c r="BG151" i="1"/>
  <c r="BD151" i="1"/>
  <c r="BS22" i="1"/>
  <c r="BU22" i="1" s="1"/>
  <c r="BG28" i="1"/>
  <c r="BI28" i="1" s="1"/>
  <c r="BP81" i="1"/>
  <c r="BS110" i="1"/>
  <c r="BP118" i="1"/>
  <c r="BT118" i="1"/>
  <c r="BU118" i="1" s="1"/>
  <c r="BH151" i="1"/>
  <c r="BS155" i="1"/>
  <c r="BF38" i="1"/>
  <c r="BF52" i="1"/>
  <c r="BT79" i="1"/>
  <c r="BS79" i="1"/>
  <c r="BG106" i="1"/>
  <c r="BT110" i="1"/>
  <c r="BH148" i="1"/>
  <c r="BT155" i="1"/>
  <c r="BP74" i="1"/>
  <c r="BT80" i="1"/>
  <c r="BS80" i="1"/>
  <c r="BP89" i="1"/>
  <c r="BT89" i="1"/>
  <c r="BS89" i="1"/>
  <c r="BH106" i="1"/>
  <c r="BP108" i="1"/>
  <c r="BF112" i="1"/>
  <c r="BF160" i="1"/>
  <c r="BP100" i="1"/>
  <c r="BG111" i="1"/>
  <c r="BD111" i="1"/>
  <c r="BH131" i="1"/>
  <c r="BD131" i="1"/>
  <c r="BG167" i="1"/>
  <c r="BD167" i="1"/>
  <c r="BH167" i="1"/>
  <c r="BS84" i="1"/>
  <c r="BU84" i="1" s="1"/>
  <c r="BS87" i="1"/>
  <c r="BR98" i="1"/>
  <c r="BR99" i="1"/>
  <c r="BR103" i="1"/>
  <c r="BP104" i="1"/>
  <c r="BH111" i="1"/>
  <c r="BG131" i="1"/>
  <c r="BG138" i="1"/>
  <c r="BT87" i="1"/>
  <c r="BS100" i="1"/>
  <c r="BU100" i="1" s="1"/>
  <c r="BS109" i="1"/>
  <c r="BT109" i="1"/>
  <c r="BR105" i="1"/>
  <c r="BD147" i="1"/>
  <c r="BF150" i="1"/>
  <c r="BH136" i="1"/>
  <c r="BG136" i="1"/>
  <c r="BF141" i="1"/>
  <c r="BG156" i="1"/>
  <c r="BD156" i="1"/>
  <c r="BG166" i="1"/>
  <c r="BF126" i="1"/>
  <c r="BF127" i="1"/>
  <c r="BH156" i="1"/>
  <c r="BH166" i="1"/>
  <c r="BR144" i="1"/>
  <c r="BT157" i="1" l="1"/>
  <c r="BS157" i="1"/>
  <c r="BP157" i="1"/>
  <c r="BP158" i="1"/>
  <c r="BR159" i="1" s="1"/>
  <c r="BT159" i="1" s="1"/>
  <c r="BU159" i="1" s="1"/>
  <c r="BU87" i="1"/>
  <c r="BS158" i="1"/>
  <c r="BU158" i="1" s="1"/>
  <c r="BS28" i="1"/>
  <c r="BU28" i="1" s="1"/>
  <c r="BX28" i="1" s="1"/>
  <c r="BS42" i="1"/>
  <c r="BU42" i="1" s="1"/>
  <c r="BT55" i="1"/>
  <c r="BU79" i="1"/>
  <c r="BU53" i="1"/>
  <c r="BU101" i="1"/>
  <c r="BX101" i="1" s="1"/>
  <c r="BT108" i="1"/>
  <c r="BU108" i="1" s="1"/>
  <c r="BU31" i="1"/>
  <c r="BU54" i="1"/>
  <c r="BS124" i="1"/>
  <c r="BU124" i="1" s="1"/>
  <c r="BS81" i="1"/>
  <c r="BU81" i="1" s="1"/>
  <c r="BT145" i="1"/>
  <c r="BU145" i="1" s="1"/>
  <c r="BT151" i="1"/>
  <c r="BT39" i="1"/>
  <c r="BS59" i="1"/>
  <c r="BU59" i="1" s="1"/>
  <c r="BP39" i="1"/>
  <c r="BR40" i="1" s="1"/>
  <c r="BP145" i="1"/>
  <c r="BR146" i="1" s="1"/>
  <c r="BS146" i="1" s="1"/>
  <c r="BS151" i="1"/>
  <c r="BT27" i="1"/>
  <c r="BU27" i="1" s="1"/>
  <c r="BT58" i="1"/>
  <c r="BU58" i="1" s="1"/>
  <c r="BU26" i="1"/>
  <c r="BU49" i="1"/>
  <c r="BU30" i="1"/>
  <c r="BS159" i="1"/>
  <c r="BP159" i="1"/>
  <c r="BR160" i="1" s="1"/>
  <c r="BP47" i="1"/>
  <c r="BT47" i="1"/>
  <c r="BS47" i="1"/>
  <c r="BU47" i="1" s="1"/>
  <c r="BP121" i="1"/>
  <c r="BR122" i="1" s="1"/>
  <c r="BT121" i="1"/>
  <c r="BS121" i="1"/>
  <c r="BU121" i="1" s="1"/>
  <c r="BP66" i="1"/>
  <c r="BT66" i="1"/>
  <c r="BU66" i="1" s="1"/>
  <c r="BS66" i="1"/>
  <c r="BS52" i="1"/>
  <c r="BT52" i="1"/>
  <c r="BP52" i="1"/>
  <c r="BX119" i="1"/>
  <c r="BP58" i="1"/>
  <c r="BT146" i="1"/>
  <c r="BU146" i="1" s="1"/>
  <c r="BP30" i="1"/>
  <c r="BT70" i="1"/>
  <c r="BU164" i="1"/>
  <c r="BU55" i="1"/>
  <c r="BT111" i="1"/>
  <c r="BU123" i="1"/>
  <c r="BX123" i="1" s="1"/>
  <c r="BU63" i="1"/>
  <c r="BS76" i="1"/>
  <c r="BT76" i="1"/>
  <c r="BU45" i="1"/>
  <c r="BT44" i="1"/>
  <c r="BS111" i="1"/>
  <c r="BS77" i="1"/>
  <c r="BU77" i="1" s="1"/>
  <c r="BS96" i="1"/>
  <c r="BU96" i="1" s="1"/>
  <c r="BP77" i="1"/>
  <c r="BT46" i="1"/>
  <c r="BU46" i="1" s="1"/>
  <c r="BD133" i="1"/>
  <c r="BD119" i="1"/>
  <c r="BI103" i="1"/>
  <c r="BH31" i="1"/>
  <c r="BI31" i="1" s="1"/>
  <c r="BX31" i="1" s="1"/>
  <c r="BG117" i="1"/>
  <c r="BD31" i="1"/>
  <c r="BH146" i="1"/>
  <c r="BG157" i="1"/>
  <c r="BI157" i="1" s="1"/>
  <c r="BH138" i="1"/>
  <c r="BI138" i="1" s="1"/>
  <c r="BG142" i="1"/>
  <c r="BI61" i="1"/>
  <c r="BG34" i="1"/>
  <c r="BI34" i="1" s="1"/>
  <c r="BI43" i="1"/>
  <c r="BX43" i="1" s="1"/>
  <c r="BD148" i="1"/>
  <c r="BH35" i="1"/>
  <c r="BH51" i="1"/>
  <c r="BD87" i="1"/>
  <c r="BH132" i="1"/>
  <c r="BG118" i="1"/>
  <c r="BG116" i="1"/>
  <c r="BH155" i="1"/>
  <c r="BI155" i="1" s="1"/>
  <c r="BG154" i="1"/>
  <c r="BD142" i="1"/>
  <c r="BD116" i="1"/>
  <c r="BH154" i="1"/>
  <c r="BI154" i="1" s="1"/>
  <c r="BX154" i="1" s="1"/>
  <c r="BG49" i="1"/>
  <c r="BI49" i="1" s="1"/>
  <c r="BX49" i="1" s="1"/>
  <c r="BH47" i="1"/>
  <c r="BI47" i="1" s="1"/>
  <c r="BD130" i="1"/>
  <c r="BG130" i="1"/>
  <c r="BI130" i="1" s="1"/>
  <c r="BG113" i="1"/>
  <c r="BI113" i="1" s="1"/>
  <c r="BI152" i="1"/>
  <c r="BD94" i="1"/>
  <c r="BG94" i="1"/>
  <c r="BD61" i="1"/>
  <c r="BH118" i="1"/>
  <c r="BH157" i="1"/>
  <c r="BD149" i="1"/>
  <c r="BG51" i="1"/>
  <c r="BI51" i="1" s="1"/>
  <c r="BX51" i="1" s="1"/>
  <c r="BH23" i="1"/>
  <c r="BI23" i="1" s="1"/>
  <c r="BG129" i="1"/>
  <c r="BD115" i="1"/>
  <c r="BG58" i="1"/>
  <c r="BI58" i="1" s="1"/>
  <c r="BG102" i="1"/>
  <c r="BH129" i="1"/>
  <c r="BG115" i="1"/>
  <c r="BI115" i="1" s="1"/>
  <c r="BH58" i="1"/>
  <c r="BI117" i="1"/>
  <c r="BG36" i="1"/>
  <c r="BI37" i="1"/>
  <c r="BD140" i="1"/>
  <c r="BG158" i="1"/>
  <c r="BH158" i="1"/>
  <c r="BH36" i="1"/>
  <c r="BH41" i="1"/>
  <c r="BG41" i="1"/>
  <c r="BI41" i="1" s="1"/>
  <c r="BX41" i="1" s="1"/>
  <c r="BD41" i="1"/>
  <c r="BF42" i="1" s="1"/>
  <c r="BH44" i="1"/>
  <c r="BG44" i="1"/>
  <c r="BD44" i="1"/>
  <c r="BF45" i="1" s="1"/>
  <c r="BG67" i="1"/>
  <c r="BD67" i="1"/>
  <c r="BF68" i="1" s="1"/>
  <c r="BH68" i="1" s="1"/>
  <c r="BH67" i="1"/>
  <c r="BI67" i="1" s="1"/>
  <c r="BX67" i="1" s="1"/>
  <c r="BH102" i="1"/>
  <c r="BI102" i="1" s="1"/>
  <c r="BI35" i="1"/>
  <c r="BD132" i="1"/>
  <c r="BI111" i="1"/>
  <c r="BI40" i="1"/>
  <c r="BI66" i="1"/>
  <c r="BD89" i="1"/>
  <c r="BF90" i="1" s="1"/>
  <c r="BG121" i="1"/>
  <c r="BH121" i="1"/>
  <c r="BD95" i="1"/>
  <c r="BF96" i="1" s="1"/>
  <c r="BD96" i="1" s="1"/>
  <c r="BF97" i="1" s="1"/>
  <c r="BG95" i="1"/>
  <c r="BI95" i="1" s="1"/>
  <c r="BG128" i="1"/>
  <c r="BI128" i="1" s="1"/>
  <c r="BX128" i="1" s="1"/>
  <c r="BG75" i="1"/>
  <c r="BH75" i="1"/>
  <c r="BI114" i="1"/>
  <c r="BD128" i="1"/>
  <c r="BI87" i="1"/>
  <c r="BX87" i="1" s="1"/>
  <c r="BH89" i="1"/>
  <c r="BI89" i="1" s="1"/>
  <c r="BI148" i="1"/>
  <c r="BS160" i="1"/>
  <c r="BT160" i="1"/>
  <c r="BP160" i="1"/>
  <c r="BR161" i="1" s="1"/>
  <c r="BS161" i="1" s="1"/>
  <c r="BP85" i="1"/>
  <c r="BP125" i="1"/>
  <c r="BR126" i="1" s="1"/>
  <c r="BS126" i="1" s="1"/>
  <c r="BS65" i="1"/>
  <c r="BU65" i="1" s="1"/>
  <c r="BU29" i="1"/>
  <c r="BS85" i="1"/>
  <c r="BU85" i="1" s="1"/>
  <c r="BT102" i="1"/>
  <c r="BU152" i="1"/>
  <c r="BX152" i="1" s="1"/>
  <c r="BS70" i="1"/>
  <c r="BT23" i="1"/>
  <c r="BU23" i="1" s="1"/>
  <c r="BP23" i="1"/>
  <c r="BS82" i="1"/>
  <c r="BU82" i="1" s="1"/>
  <c r="BU97" i="1"/>
  <c r="BP78" i="1"/>
  <c r="BU120" i="1"/>
  <c r="BT93" i="1"/>
  <c r="BS93" i="1"/>
  <c r="BU93" i="1" s="1"/>
  <c r="BS91" i="1"/>
  <c r="BT91" i="1"/>
  <c r="BP91" i="1"/>
  <c r="BS102" i="1"/>
  <c r="BT82" i="1"/>
  <c r="BP71" i="1"/>
  <c r="BP165" i="1"/>
  <c r="BR166" i="1" s="1"/>
  <c r="BP166" i="1" s="1"/>
  <c r="BR167" i="1" s="1"/>
  <c r="BP60" i="1"/>
  <c r="BR61" i="1" s="1"/>
  <c r="BT61" i="1" s="1"/>
  <c r="BT60" i="1"/>
  <c r="BU60" i="1" s="1"/>
  <c r="BS75" i="1"/>
  <c r="BU75" i="1" s="1"/>
  <c r="BP93" i="1"/>
  <c r="BR94" i="1" s="1"/>
  <c r="BT71" i="1"/>
  <c r="BU71" i="1" s="1"/>
  <c r="BT165" i="1"/>
  <c r="BU165" i="1" s="1"/>
  <c r="BT68" i="1"/>
  <c r="BU68" i="1" s="1"/>
  <c r="BU80" i="1"/>
  <c r="BP75" i="1"/>
  <c r="BP27" i="1"/>
  <c r="BU44" i="1"/>
  <c r="BD139" i="1"/>
  <c r="BD62" i="1"/>
  <c r="BF63" i="1" s="1"/>
  <c r="BH153" i="1"/>
  <c r="BI153" i="1" s="1"/>
  <c r="BG139" i="1"/>
  <c r="BI139" i="1" s="1"/>
  <c r="BI94" i="1"/>
  <c r="BG62" i="1"/>
  <c r="BI62" i="1" s="1"/>
  <c r="BG149" i="1"/>
  <c r="BI149" i="1" s="1"/>
  <c r="BD76" i="1"/>
  <c r="BF77" i="1" s="1"/>
  <c r="BD77" i="1" s="1"/>
  <c r="BF78" i="1" s="1"/>
  <c r="BH163" i="1"/>
  <c r="BG163" i="1"/>
  <c r="BD163" i="1"/>
  <c r="BF164" i="1" s="1"/>
  <c r="BH164" i="1" s="1"/>
  <c r="BD159" i="1"/>
  <c r="BG159" i="1"/>
  <c r="BI159" i="1" s="1"/>
  <c r="BI131" i="1"/>
  <c r="BI57" i="1"/>
  <c r="BI132" i="1"/>
  <c r="BH76" i="1"/>
  <c r="BI76" i="1" s="1"/>
  <c r="BD153" i="1"/>
  <c r="BI136" i="1"/>
  <c r="BG140" i="1"/>
  <c r="BI140" i="1" s="1"/>
  <c r="BD29" i="1"/>
  <c r="BF30" i="1" s="1"/>
  <c r="BG29" i="1"/>
  <c r="BH29" i="1"/>
  <c r="BD48" i="1"/>
  <c r="BG48" i="1"/>
  <c r="BH48" i="1"/>
  <c r="BH144" i="1"/>
  <c r="BG144" i="1"/>
  <c r="BD144" i="1"/>
  <c r="BF145" i="1" s="1"/>
  <c r="BS144" i="1"/>
  <c r="BP144" i="1"/>
  <c r="BT144" i="1"/>
  <c r="BP103" i="1"/>
  <c r="BS103" i="1"/>
  <c r="BT103" i="1"/>
  <c r="BI106" i="1"/>
  <c r="BU110" i="1"/>
  <c r="BG107" i="1"/>
  <c r="BH107" i="1"/>
  <c r="BD107" i="1"/>
  <c r="BF108" i="1" s="1"/>
  <c r="BH39" i="1"/>
  <c r="BG39" i="1"/>
  <c r="BI39" i="1" s="1"/>
  <c r="BD39" i="1"/>
  <c r="BU89" i="1"/>
  <c r="BU74" i="1"/>
  <c r="BX74" i="1" s="1"/>
  <c r="BI135" i="1"/>
  <c r="BU88" i="1"/>
  <c r="BD24" i="1"/>
  <c r="BF25" i="1" s="1"/>
  <c r="BH24" i="1"/>
  <c r="BG24" i="1"/>
  <c r="BT57" i="1"/>
  <c r="BS57" i="1"/>
  <c r="BP57" i="1"/>
  <c r="BP33" i="1"/>
  <c r="BT33" i="1"/>
  <c r="BS33" i="1"/>
  <c r="BT98" i="1"/>
  <c r="BS98" i="1"/>
  <c r="BP98" i="1"/>
  <c r="BI161" i="1"/>
  <c r="BU78" i="1"/>
  <c r="BU151" i="1"/>
  <c r="BS129" i="1"/>
  <c r="BP129" i="1"/>
  <c r="BR130" i="1" s="1"/>
  <c r="BT129" i="1"/>
  <c r="BD126" i="1"/>
  <c r="BH126" i="1"/>
  <c r="BG126" i="1"/>
  <c r="BI104" i="1"/>
  <c r="BX104" i="1" s="1"/>
  <c r="BI142" i="1"/>
  <c r="BS64" i="1"/>
  <c r="BT64" i="1"/>
  <c r="BP64" i="1"/>
  <c r="BI166" i="1"/>
  <c r="BD112" i="1"/>
  <c r="BH112" i="1"/>
  <c r="BG112" i="1"/>
  <c r="BI112" i="1" s="1"/>
  <c r="BH52" i="1"/>
  <c r="BG52" i="1"/>
  <c r="BD52" i="1"/>
  <c r="BF53" i="1" s="1"/>
  <c r="BU95" i="1"/>
  <c r="BI120" i="1"/>
  <c r="BI146" i="1"/>
  <c r="BU56" i="1"/>
  <c r="BG124" i="1"/>
  <c r="BD124" i="1"/>
  <c r="BF125" i="1" s="1"/>
  <c r="BH124" i="1"/>
  <c r="BS34" i="1"/>
  <c r="BT34" i="1"/>
  <c r="BP34" i="1"/>
  <c r="BR35" i="1" s="1"/>
  <c r="BI116" i="1"/>
  <c r="BG127" i="1"/>
  <c r="BH127" i="1"/>
  <c r="BD127" i="1"/>
  <c r="BU106" i="1"/>
  <c r="BI156" i="1"/>
  <c r="BX156" i="1" s="1"/>
  <c r="BV22" i="1"/>
  <c r="BP86" i="1"/>
  <c r="BT86" i="1"/>
  <c r="BS86" i="1"/>
  <c r="BD50" i="1"/>
  <c r="BH50" i="1"/>
  <c r="BG50" i="1"/>
  <c r="BH33" i="1"/>
  <c r="BG33" i="1"/>
  <c r="BD33" i="1"/>
  <c r="BH141" i="1"/>
  <c r="BG141" i="1"/>
  <c r="BD141" i="1"/>
  <c r="BI167" i="1"/>
  <c r="BS83" i="1"/>
  <c r="BT83" i="1"/>
  <c r="BP83" i="1"/>
  <c r="BG60" i="1"/>
  <c r="BD60" i="1"/>
  <c r="BH60" i="1"/>
  <c r="BP25" i="1"/>
  <c r="BT25" i="1"/>
  <c r="BS25" i="1"/>
  <c r="BI32" i="1"/>
  <c r="BX32" i="1" s="1"/>
  <c r="BU155" i="1"/>
  <c r="BI133" i="1"/>
  <c r="BS48" i="1"/>
  <c r="BT48" i="1"/>
  <c r="BP48" i="1"/>
  <c r="BU109" i="1"/>
  <c r="BS166" i="1"/>
  <c r="BI151" i="1"/>
  <c r="BI88" i="1"/>
  <c r="BT72" i="1"/>
  <c r="BS72" i="1"/>
  <c r="BP72" i="1"/>
  <c r="BU37" i="1"/>
  <c r="BU39" i="1"/>
  <c r="BT99" i="1"/>
  <c r="BP99" i="1"/>
  <c r="BS99" i="1"/>
  <c r="BT40" i="1"/>
  <c r="BS40" i="1"/>
  <c r="BU40" i="1" s="1"/>
  <c r="BP40" i="1"/>
  <c r="BH150" i="1"/>
  <c r="BG150" i="1"/>
  <c r="BI150" i="1" s="1"/>
  <c r="BD150" i="1"/>
  <c r="BP105" i="1"/>
  <c r="BT105" i="1"/>
  <c r="BS105" i="1"/>
  <c r="BT107" i="1"/>
  <c r="BS107" i="1"/>
  <c r="BP107" i="1"/>
  <c r="BD59" i="1"/>
  <c r="BH59" i="1"/>
  <c r="BG59" i="1"/>
  <c r="BI59" i="1" s="1"/>
  <c r="BT153" i="1"/>
  <c r="BP153" i="1"/>
  <c r="BS153" i="1"/>
  <c r="BH38" i="1"/>
  <c r="BG38" i="1"/>
  <c r="BI38" i="1" s="1"/>
  <c r="BX38" i="1" s="1"/>
  <c r="BD38" i="1"/>
  <c r="BS112" i="1"/>
  <c r="BP112" i="1"/>
  <c r="BR113" i="1" s="1"/>
  <c r="BT112" i="1"/>
  <c r="BH105" i="1"/>
  <c r="BG105" i="1"/>
  <c r="BD105" i="1"/>
  <c r="BG160" i="1"/>
  <c r="BD160" i="1"/>
  <c r="BH160" i="1"/>
  <c r="BS69" i="1"/>
  <c r="BT69" i="1"/>
  <c r="BP69" i="1"/>
  <c r="BU125" i="1"/>
  <c r="BI121" i="1"/>
  <c r="BI118" i="1"/>
  <c r="BX118" i="1" s="1"/>
  <c r="BI22" i="1"/>
  <c r="BU24" i="1"/>
  <c r="BX59" i="1" l="1"/>
  <c r="BU86" i="1"/>
  <c r="BX47" i="1"/>
  <c r="BT126" i="1"/>
  <c r="BU126" i="1" s="1"/>
  <c r="BX58" i="1"/>
  <c r="BX121" i="1"/>
  <c r="BP146" i="1"/>
  <c r="BR147" i="1" s="1"/>
  <c r="BU25" i="1"/>
  <c r="BU153" i="1"/>
  <c r="BX153" i="1" s="1"/>
  <c r="BU91" i="1"/>
  <c r="BU52" i="1"/>
  <c r="BU157" i="1"/>
  <c r="BX157" i="1" s="1"/>
  <c r="BS167" i="1"/>
  <c r="BT167" i="1"/>
  <c r="BP167" i="1"/>
  <c r="BT166" i="1"/>
  <c r="BU166" i="1" s="1"/>
  <c r="BX166" i="1" s="1"/>
  <c r="BX146" i="1"/>
  <c r="BP161" i="1"/>
  <c r="BR162" i="1" s="1"/>
  <c r="BP162" i="1" s="1"/>
  <c r="BR163" i="1" s="1"/>
  <c r="BT161" i="1"/>
  <c r="BU161" i="1" s="1"/>
  <c r="BX161" i="1" s="1"/>
  <c r="BX89" i="1"/>
  <c r="BU70" i="1"/>
  <c r="BU72" i="1"/>
  <c r="BT113" i="1"/>
  <c r="BS113" i="1"/>
  <c r="BU113" i="1" s="1"/>
  <c r="BX113" i="1" s="1"/>
  <c r="BP113" i="1"/>
  <c r="BR114" i="1" s="1"/>
  <c r="BX39" i="1"/>
  <c r="BU111" i="1"/>
  <c r="BX111" i="1" s="1"/>
  <c r="BS122" i="1"/>
  <c r="BT122" i="1"/>
  <c r="BP122" i="1"/>
  <c r="BX88" i="1"/>
  <c r="BP126" i="1"/>
  <c r="BR127" i="1" s="1"/>
  <c r="BT127" i="1" s="1"/>
  <c r="BS94" i="1"/>
  <c r="BT94" i="1"/>
  <c r="BP94" i="1"/>
  <c r="BU102" i="1"/>
  <c r="BX159" i="1"/>
  <c r="BU76" i="1"/>
  <c r="BX76" i="1" s="1"/>
  <c r="BI141" i="1"/>
  <c r="BI24" i="1"/>
  <c r="BX24" i="1" s="1"/>
  <c r="BH96" i="1"/>
  <c r="BI44" i="1"/>
  <c r="BX44" i="1" s="1"/>
  <c r="BG68" i="1"/>
  <c r="BI158" i="1"/>
  <c r="BX158" i="1" s="1"/>
  <c r="BX155" i="1"/>
  <c r="BG96" i="1"/>
  <c r="BI36" i="1"/>
  <c r="BX36" i="1" s="1"/>
  <c r="BX66" i="1"/>
  <c r="BD68" i="1"/>
  <c r="BF69" i="1" s="1"/>
  <c r="BD69" i="1" s="1"/>
  <c r="BF70" i="1" s="1"/>
  <c r="BG77" i="1"/>
  <c r="BH77" i="1"/>
  <c r="BX37" i="1"/>
  <c r="BX23" i="1"/>
  <c r="BI129" i="1"/>
  <c r="BD164" i="1"/>
  <c r="BF165" i="1" s="1"/>
  <c r="BG165" i="1" s="1"/>
  <c r="BX40" i="1"/>
  <c r="BG164" i="1"/>
  <c r="BI164" i="1" s="1"/>
  <c r="BX164" i="1" s="1"/>
  <c r="BI33" i="1"/>
  <c r="BD45" i="1"/>
  <c r="BF46" i="1" s="1"/>
  <c r="BH45" i="1"/>
  <c r="BG45" i="1"/>
  <c r="BD53" i="1"/>
  <c r="BF54" i="1" s="1"/>
  <c r="BH53" i="1"/>
  <c r="BG53" i="1"/>
  <c r="BH97" i="1"/>
  <c r="BD97" i="1"/>
  <c r="BF98" i="1" s="1"/>
  <c r="BG97" i="1"/>
  <c r="BI75" i="1"/>
  <c r="BX75" i="1" s="1"/>
  <c r="BI50" i="1"/>
  <c r="BX50" i="1" s="1"/>
  <c r="BD42" i="1"/>
  <c r="BG42" i="1"/>
  <c r="BH42" i="1"/>
  <c r="BH63" i="1"/>
  <c r="BG63" i="1"/>
  <c r="BD63" i="1"/>
  <c r="BF64" i="1" s="1"/>
  <c r="BG90" i="1"/>
  <c r="BD90" i="1"/>
  <c r="BF91" i="1" s="1"/>
  <c r="BH90" i="1"/>
  <c r="BX95" i="1"/>
  <c r="BH25" i="1"/>
  <c r="BG25" i="1"/>
  <c r="BD25" i="1"/>
  <c r="BF26" i="1" s="1"/>
  <c r="BI163" i="1"/>
  <c r="BU69" i="1"/>
  <c r="BV23" i="1"/>
  <c r="BV24" i="1" s="1"/>
  <c r="BU99" i="1"/>
  <c r="BU144" i="1"/>
  <c r="BX106" i="1"/>
  <c r="BP61" i="1"/>
  <c r="BR62" i="1" s="1"/>
  <c r="BS61" i="1"/>
  <c r="BU61" i="1" s="1"/>
  <c r="BX61" i="1" s="1"/>
  <c r="BU107" i="1"/>
  <c r="BX120" i="1"/>
  <c r="BU98" i="1"/>
  <c r="BU57" i="1"/>
  <c r="BX57" i="1" s="1"/>
  <c r="BU160" i="1"/>
  <c r="BI68" i="1"/>
  <c r="BX68" i="1" s="1"/>
  <c r="BG78" i="1"/>
  <c r="BH78" i="1"/>
  <c r="BD78" i="1"/>
  <c r="BF79" i="1" s="1"/>
  <c r="BX102" i="1"/>
  <c r="BU34" i="1"/>
  <c r="BX34" i="1" s="1"/>
  <c r="BI107" i="1"/>
  <c r="BV25" i="1"/>
  <c r="BV26" i="1" s="1"/>
  <c r="BV27" i="1" s="1"/>
  <c r="BV28" i="1" s="1"/>
  <c r="BV29" i="1" s="1"/>
  <c r="BV30" i="1" s="1"/>
  <c r="BV31" i="1" s="1"/>
  <c r="BV32" i="1" s="1"/>
  <c r="BI126" i="1"/>
  <c r="BU64" i="1"/>
  <c r="BI29" i="1"/>
  <c r="BX29" i="1" s="1"/>
  <c r="BU112" i="1"/>
  <c r="BX112" i="1" s="1"/>
  <c r="BU105" i="1"/>
  <c r="BI52" i="1"/>
  <c r="BU33" i="1"/>
  <c r="BI144" i="1"/>
  <c r="BX144" i="1" s="1"/>
  <c r="BH30" i="1"/>
  <c r="BG30" i="1"/>
  <c r="BD30" i="1"/>
  <c r="BI124" i="1"/>
  <c r="BX124" i="1" s="1"/>
  <c r="BU129" i="1"/>
  <c r="BX129" i="1" s="1"/>
  <c r="BG145" i="1"/>
  <c r="BH145" i="1"/>
  <c r="BD145" i="1"/>
  <c r="BX22" i="1"/>
  <c r="BJ22" i="1"/>
  <c r="BJ23" i="1" s="1"/>
  <c r="BJ24" i="1" s="1"/>
  <c r="BI160" i="1"/>
  <c r="BX160" i="1" s="1"/>
  <c r="BU83" i="1"/>
  <c r="BT162" i="1"/>
  <c r="BI60" i="1"/>
  <c r="BX60" i="1" s="1"/>
  <c r="BG125" i="1"/>
  <c r="BD125" i="1"/>
  <c r="BH125" i="1"/>
  <c r="BS130" i="1"/>
  <c r="BT130" i="1"/>
  <c r="BP130" i="1"/>
  <c r="BR131" i="1" s="1"/>
  <c r="BU103" i="1"/>
  <c r="BX103" i="1" s="1"/>
  <c r="BI48" i="1"/>
  <c r="BX151" i="1"/>
  <c r="BI127" i="1"/>
  <c r="BU48" i="1"/>
  <c r="BI105" i="1"/>
  <c r="BP35" i="1"/>
  <c r="BT35" i="1"/>
  <c r="BS35" i="1"/>
  <c r="BH108" i="1"/>
  <c r="BG108" i="1"/>
  <c r="BD108" i="1"/>
  <c r="BF109" i="1" s="1"/>
  <c r="BI96" i="1"/>
  <c r="BX96" i="1" s="1"/>
  <c r="BX126" i="1" l="1"/>
  <c r="BP147" i="1"/>
  <c r="BR148" i="1" s="1"/>
  <c r="BT147" i="1"/>
  <c r="BS147" i="1"/>
  <c r="BU147" i="1" s="1"/>
  <c r="BX147" i="1" s="1"/>
  <c r="BX52" i="1"/>
  <c r="BU167" i="1"/>
  <c r="BX167" i="1" s="1"/>
  <c r="BX107" i="1"/>
  <c r="BU122" i="1"/>
  <c r="BX122" i="1" s="1"/>
  <c r="BS127" i="1"/>
  <c r="BU127" i="1" s="1"/>
  <c r="BX127" i="1" s="1"/>
  <c r="BP127" i="1"/>
  <c r="BS162" i="1"/>
  <c r="BU162" i="1" s="1"/>
  <c r="BX162" i="1" s="1"/>
  <c r="BP114" i="1"/>
  <c r="BR115" i="1" s="1"/>
  <c r="BS114" i="1"/>
  <c r="BT114" i="1"/>
  <c r="BS62" i="1"/>
  <c r="BP62" i="1"/>
  <c r="BT62" i="1"/>
  <c r="BU62" i="1" s="1"/>
  <c r="BX62" i="1" s="1"/>
  <c r="BU35" i="1"/>
  <c r="BX35" i="1" s="1"/>
  <c r="BP131" i="1"/>
  <c r="BR132" i="1" s="1"/>
  <c r="BT131" i="1"/>
  <c r="BS131" i="1"/>
  <c r="BU131" i="1" s="1"/>
  <c r="BX131" i="1" s="1"/>
  <c r="BU94" i="1"/>
  <c r="BX94" i="1" s="1"/>
  <c r="BH69" i="1"/>
  <c r="BI53" i="1"/>
  <c r="BX53" i="1" s="1"/>
  <c r="BI77" i="1"/>
  <c r="BX77" i="1" s="1"/>
  <c r="BX33" i="1"/>
  <c r="BG69" i="1"/>
  <c r="BI25" i="1"/>
  <c r="BX25" i="1" s="1"/>
  <c r="BI97" i="1"/>
  <c r="BX97" i="1" s="1"/>
  <c r="BH165" i="1"/>
  <c r="BI165" i="1" s="1"/>
  <c r="BX165" i="1" s="1"/>
  <c r="BD165" i="1"/>
  <c r="BI63" i="1"/>
  <c r="BX63" i="1" s="1"/>
  <c r="BI45" i="1"/>
  <c r="BX45" i="1" s="1"/>
  <c r="BJ25" i="1"/>
  <c r="BH54" i="1"/>
  <c r="BD54" i="1"/>
  <c r="BF55" i="1" s="1"/>
  <c r="BG54" i="1"/>
  <c r="BD46" i="1"/>
  <c r="BH46" i="1"/>
  <c r="BG46" i="1"/>
  <c r="BI46" i="1" s="1"/>
  <c r="BX46" i="1" s="1"/>
  <c r="BH79" i="1"/>
  <c r="BG79" i="1"/>
  <c r="BD79" i="1"/>
  <c r="BF80" i="1" s="1"/>
  <c r="BI42" i="1"/>
  <c r="BX42" i="1" s="1"/>
  <c r="BD26" i="1"/>
  <c r="BF27" i="1" s="1"/>
  <c r="BG26" i="1"/>
  <c r="BH26" i="1"/>
  <c r="BG64" i="1"/>
  <c r="BD64" i="1"/>
  <c r="BF65" i="1" s="1"/>
  <c r="BH64" i="1"/>
  <c r="BI64" i="1" s="1"/>
  <c r="BX64" i="1" s="1"/>
  <c r="BI108" i="1"/>
  <c r="BX108" i="1" s="1"/>
  <c r="BG98" i="1"/>
  <c r="BH98" i="1"/>
  <c r="BD98" i="1"/>
  <c r="BF99" i="1" s="1"/>
  <c r="BG70" i="1"/>
  <c r="BH70" i="1"/>
  <c r="BD70" i="1"/>
  <c r="BF71" i="1" s="1"/>
  <c r="BH91" i="1"/>
  <c r="BD91" i="1"/>
  <c r="BF92" i="1" s="1"/>
  <c r="BG91" i="1"/>
  <c r="BI91" i="1" s="1"/>
  <c r="BX91" i="1" s="1"/>
  <c r="BI90" i="1"/>
  <c r="BX90" i="1" s="1"/>
  <c r="BU130" i="1"/>
  <c r="BX130" i="1" s="1"/>
  <c r="BI125" i="1"/>
  <c r="BX125" i="1" s="1"/>
  <c r="BI78" i="1"/>
  <c r="BX78" i="1" s="1"/>
  <c r="BY22" i="1"/>
  <c r="BY23" i="1" s="1"/>
  <c r="BY24" i="1" s="1"/>
  <c r="BV33" i="1"/>
  <c r="BV34" i="1" s="1"/>
  <c r="BI145" i="1"/>
  <c r="BX145" i="1" s="1"/>
  <c r="BT163" i="1"/>
  <c r="BP163" i="1"/>
  <c r="BS163" i="1"/>
  <c r="BX48" i="1"/>
  <c r="BX105" i="1"/>
  <c r="BH109" i="1"/>
  <c r="BG109" i="1"/>
  <c r="BI109" i="1" s="1"/>
  <c r="BX109" i="1" s="1"/>
  <c r="BD109" i="1"/>
  <c r="BF110" i="1" s="1"/>
  <c r="BI30" i="1"/>
  <c r="BS148" i="1" l="1"/>
  <c r="BT148" i="1"/>
  <c r="BP148" i="1"/>
  <c r="BR149" i="1" s="1"/>
  <c r="BU114" i="1"/>
  <c r="BX114" i="1" s="1"/>
  <c r="BS132" i="1"/>
  <c r="BT132" i="1"/>
  <c r="BU132" i="1" s="1"/>
  <c r="BX132" i="1" s="1"/>
  <c r="BP132" i="1"/>
  <c r="BR133" i="1" s="1"/>
  <c r="BP115" i="1"/>
  <c r="BR116" i="1" s="1"/>
  <c r="BT115" i="1"/>
  <c r="BS115" i="1"/>
  <c r="BU115" i="1" s="1"/>
  <c r="BX115" i="1" s="1"/>
  <c r="BV35" i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Y25" i="1"/>
  <c r="BI54" i="1"/>
  <c r="BX54" i="1" s="1"/>
  <c r="BI69" i="1"/>
  <c r="BX69" i="1" s="1"/>
  <c r="BI70" i="1"/>
  <c r="BX70" i="1" s="1"/>
  <c r="BI26" i="1"/>
  <c r="BX26" i="1" s="1"/>
  <c r="BD27" i="1"/>
  <c r="BG27" i="1"/>
  <c r="BH27" i="1"/>
  <c r="BD71" i="1"/>
  <c r="BF72" i="1" s="1"/>
  <c r="BH71" i="1"/>
  <c r="BG71" i="1"/>
  <c r="BJ26" i="1"/>
  <c r="BD80" i="1"/>
  <c r="BF81" i="1" s="1"/>
  <c r="BH80" i="1"/>
  <c r="BG80" i="1"/>
  <c r="BI79" i="1"/>
  <c r="BX79" i="1" s="1"/>
  <c r="BH99" i="1"/>
  <c r="BD99" i="1"/>
  <c r="BF100" i="1" s="1"/>
  <c r="BG99" i="1"/>
  <c r="BD65" i="1"/>
  <c r="BG65" i="1"/>
  <c r="BH65" i="1"/>
  <c r="BH92" i="1"/>
  <c r="BG92" i="1"/>
  <c r="BD92" i="1"/>
  <c r="BF93" i="1" s="1"/>
  <c r="BH55" i="1"/>
  <c r="BD55" i="1"/>
  <c r="BF56" i="1" s="1"/>
  <c r="BG55" i="1"/>
  <c r="BI98" i="1"/>
  <c r="BX98" i="1" s="1"/>
  <c r="BU163" i="1"/>
  <c r="BX163" i="1" s="1"/>
  <c r="BX30" i="1"/>
  <c r="BH110" i="1"/>
  <c r="BD110" i="1"/>
  <c r="BG110" i="1"/>
  <c r="BI110" i="1" s="1"/>
  <c r="BX110" i="1" s="1"/>
  <c r="BT149" i="1" l="1"/>
  <c r="BS149" i="1"/>
  <c r="BU149" i="1" s="1"/>
  <c r="BX149" i="1" s="1"/>
  <c r="BP149" i="1"/>
  <c r="BR150" i="1" s="1"/>
  <c r="BY26" i="1"/>
  <c r="BU148" i="1"/>
  <c r="BX148" i="1" s="1"/>
  <c r="BT116" i="1"/>
  <c r="BP116" i="1"/>
  <c r="BR117" i="1" s="1"/>
  <c r="BS116" i="1"/>
  <c r="BU116" i="1" s="1"/>
  <c r="BT133" i="1"/>
  <c r="BS133" i="1"/>
  <c r="BU133" i="1" s="1"/>
  <c r="BX133" i="1" s="1"/>
  <c r="BP133" i="1"/>
  <c r="BR134" i="1" s="1"/>
  <c r="BI55" i="1"/>
  <c r="BX55" i="1" s="1"/>
  <c r="BI80" i="1"/>
  <c r="BX80" i="1" s="1"/>
  <c r="BI27" i="1"/>
  <c r="BX27" i="1" s="1"/>
  <c r="BY27" i="1" s="1"/>
  <c r="BY28" i="1" s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D56" i="1"/>
  <c r="BH56" i="1"/>
  <c r="BG56" i="1"/>
  <c r="BI56" i="1" s="1"/>
  <c r="BX56" i="1" s="1"/>
  <c r="BG93" i="1"/>
  <c r="BH93" i="1"/>
  <c r="BD93" i="1"/>
  <c r="BI92" i="1"/>
  <c r="BX92" i="1" s="1"/>
  <c r="BI71" i="1"/>
  <c r="BX71" i="1" s="1"/>
  <c r="BD100" i="1"/>
  <c r="BG100" i="1"/>
  <c r="BH100" i="1"/>
  <c r="BG81" i="1"/>
  <c r="BD81" i="1"/>
  <c r="BF82" i="1" s="1"/>
  <c r="BH81" i="1"/>
  <c r="BI65" i="1"/>
  <c r="BX65" i="1" s="1"/>
  <c r="BD72" i="1"/>
  <c r="BF73" i="1" s="1"/>
  <c r="BG72" i="1"/>
  <c r="BH72" i="1"/>
  <c r="BI99" i="1"/>
  <c r="BX99" i="1" s="1"/>
  <c r="BT150" i="1" l="1"/>
  <c r="BP150" i="1"/>
  <c r="BS150" i="1"/>
  <c r="BU150" i="1" s="1"/>
  <c r="BX150" i="1" s="1"/>
  <c r="BX116" i="1"/>
  <c r="BS134" i="1"/>
  <c r="BT134" i="1"/>
  <c r="BP134" i="1"/>
  <c r="BR135" i="1" s="1"/>
  <c r="BT117" i="1"/>
  <c r="BS117" i="1"/>
  <c r="BU117" i="1" s="1"/>
  <c r="BX117" i="1" s="1"/>
  <c r="BP117" i="1"/>
  <c r="BV116" i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Y56" i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J27" i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I100" i="1"/>
  <c r="BX100" i="1" s="1"/>
  <c r="BI93" i="1"/>
  <c r="BX93" i="1" s="1"/>
  <c r="BI72" i="1"/>
  <c r="BH73" i="1"/>
  <c r="BD73" i="1"/>
  <c r="BG73" i="1"/>
  <c r="BI73" i="1" s="1"/>
  <c r="BX73" i="1" s="1"/>
  <c r="BI81" i="1"/>
  <c r="BX81" i="1" s="1"/>
  <c r="BH82" i="1"/>
  <c r="BG82" i="1"/>
  <c r="BI82" i="1" s="1"/>
  <c r="BX82" i="1" s="1"/>
  <c r="BD82" i="1"/>
  <c r="BF83" i="1" s="1"/>
  <c r="BP135" i="1" l="1"/>
  <c r="BR136" i="1" s="1"/>
  <c r="BT135" i="1"/>
  <c r="BS135" i="1"/>
  <c r="BU135" i="1" s="1"/>
  <c r="BX135" i="1" s="1"/>
  <c r="BU134" i="1"/>
  <c r="BX134" i="1" s="1"/>
  <c r="BX72" i="1"/>
  <c r="BJ72" i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D83" i="1"/>
  <c r="BF84" i="1" s="1"/>
  <c r="BG83" i="1"/>
  <c r="BH83" i="1"/>
  <c r="BV134" i="1" l="1"/>
  <c r="BV135" i="1" s="1"/>
  <c r="BP136" i="1"/>
  <c r="BR137" i="1" s="1"/>
  <c r="BS136" i="1"/>
  <c r="BT136" i="1"/>
  <c r="BI83" i="1"/>
  <c r="BG84" i="1"/>
  <c r="BD84" i="1"/>
  <c r="BF85" i="1" s="1"/>
  <c r="BH84" i="1"/>
  <c r="BI84" i="1" s="1"/>
  <c r="BX84" i="1" s="1"/>
  <c r="BJ83" i="1"/>
  <c r="BY72" i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U136" i="1" l="1"/>
  <c r="BS137" i="1"/>
  <c r="BP137" i="1"/>
  <c r="BR138" i="1" s="1"/>
  <c r="BT137" i="1"/>
  <c r="BU137" i="1" s="1"/>
  <c r="BX137" i="1" s="1"/>
  <c r="BJ84" i="1"/>
  <c r="BH85" i="1"/>
  <c r="BG85" i="1"/>
  <c r="BD85" i="1"/>
  <c r="BF86" i="1" s="1"/>
  <c r="BX83" i="1"/>
  <c r="BP138" i="1" l="1"/>
  <c r="BR139" i="1" s="1"/>
  <c r="BT138" i="1"/>
  <c r="BS138" i="1"/>
  <c r="BX136" i="1"/>
  <c r="BV136" i="1"/>
  <c r="BV137" i="1" s="1"/>
  <c r="BI85" i="1"/>
  <c r="BX85" i="1" s="1"/>
  <c r="BH86" i="1"/>
  <c r="BG86" i="1"/>
  <c r="BI86" i="1" s="1"/>
  <c r="BD86" i="1"/>
  <c r="BJ85" i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Y83" i="1"/>
  <c r="BY84" i="1" s="1"/>
  <c r="BY85" i="1" s="1"/>
  <c r="BS139" i="1" l="1"/>
  <c r="BT139" i="1"/>
  <c r="BP139" i="1"/>
  <c r="BR140" i="1" s="1"/>
  <c r="BU138" i="1"/>
  <c r="BX86" i="1"/>
  <c r="BJ10" i="1"/>
  <c r="BJ9" i="1"/>
  <c r="BJ11" i="1" s="1"/>
  <c r="CL3" i="1" s="1"/>
  <c r="BU139" i="1" l="1"/>
  <c r="BX139" i="1" s="1"/>
  <c r="BX138" i="1"/>
  <c r="BT140" i="1"/>
  <c r="BS140" i="1"/>
  <c r="BU140" i="1" s="1"/>
  <c r="BX140" i="1" s="1"/>
  <c r="BP140" i="1"/>
  <c r="BR141" i="1" s="1"/>
  <c r="BV138" i="1"/>
  <c r="BV139" i="1" s="1"/>
  <c r="BV140" i="1" s="1"/>
  <c r="BY86" i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T141" i="1" l="1"/>
  <c r="BS141" i="1"/>
  <c r="BU141" i="1" s="1"/>
  <c r="BV141" i="1" s="1"/>
  <c r="BP141" i="1"/>
  <c r="BR142" i="1" s="1"/>
  <c r="BS142" i="1" l="1"/>
  <c r="BT142" i="1"/>
  <c r="BP142" i="1"/>
  <c r="BR143" i="1" s="1"/>
  <c r="BX141" i="1"/>
  <c r="BT143" i="1" l="1"/>
  <c r="BP143" i="1"/>
  <c r="BS143" i="1"/>
  <c r="BU143" i="1" s="1"/>
  <c r="BU142" i="1"/>
  <c r="BY141" i="1"/>
  <c r="BX142" i="1" l="1"/>
  <c r="BV142" i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X143" i="1"/>
  <c r="BV9" i="1"/>
  <c r="BV10" i="1"/>
  <c r="BV11" i="1" l="1"/>
  <c r="CL14" i="1" s="1"/>
  <c r="BY9" i="1"/>
  <c r="BY10" i="1"/>
  <c r="BY142" i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1" i="1" l="1"/>
</calcChain>
</file>

<file path=xl/sharedStrings.xml><?xml version="1.0" encoding="utf-8"?>
<sst xmlns="http://schemas.openxmlformats.org/spreadsheetml/2006/main" count="65" uniqueCount="50">
  <si>
    <t>date</t>
  </si>
  <si>
    <t>BWX</t>
  </si>
  <si>
    <t>IGOV</t>
  </si>
  <si>
    <t>BWX log rtn</t>
  </si>
  <si>
    <t>IGOV log rtn</t>
  </si>
  <si>
    <t>BWX div</t>
  </si>
  <si>
    <t>BWX div cumsum</t>
  </si>
  <si>
    <t>IGOV div</t>
  </si>
  <si>
    <t>IGOV div cumsum</t>
  </si>
  <si>
    <t>BWX div adjustment</t>
  </si>
  <si>
    <t>IGOV div adjustment</t>
  </si>
  <si>
    <t>BWX*</t>
  </si>
  <si>
    <t>IGOV*</t>
  </si>
  <si>
    <t>IGOV/BWX</t>
  </si>
  <si>
    <t>IGOV/BWX avg</t>
  </si>
  <si>
    <t>IGOV/BWX 10 dma</t>
  </si>
  <si>
    <t>IGOV/BWX 20 dma</t>
  </si>
  <si>
    <t>BWX x avg</t>
  </si>
  <si>
    <t>BWX x 10 dma</t>
  </si>
  <si>
    <t>BWX x 20 dma</t>
  </si>
  <si>
    <t>log diff BWX x avg / IGOV</t>
  </si>
  <si>
    <t>log diff BWX x 10 dma / IGOV</t>
  </si>
  <si>
    <t>log diff BWX x 20 dma / IGOV</t>
  </si>
  <si>
    <t>IGOV*/BWX*</t>
  </si>
  <si>
    <t>IGOV*/BWX* avg</t>
  </si>
  <si>
    <t>IGOV*/BWX* 10 dma</t>
  </si>
  <si>
    <t>IGOV*/BWX* 20 dma</t>
  </si>
  <si>
    <t>BWX* x avg</t>
  </si>
  <si>
    <t>BWX* x 10 dma</t>
  </si>
  <si>
    <t>BWX* x 20 dma</t>
  </si>
  <si>
    <t>log diff BWX* x avg / IGOV*</t>
  </si>
  <si>
    <t>log diff BWX* x 10 dma / IGOV*</t>
  </si>
  <si>
    <t>log diff BWX* x 20 dma / IGOV*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</si>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</sst>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70C0"/>
      <name val="Aptos Narrow"/>
      <family val="2"/>
    </font>
    <font>
      <b/>
      <sz val="11"/>
      <color rgb="FFC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0" fontId="19" fillId="0" borderId="0" xfId="0" applyNumberFormat="1" applyFont="1" applyAlignment="1">
      <alignment horizontal="right"/>
    </xf>
    <xf numFmtId="0" fontId="20" fillId="0" borderId="0" xfId="0" applyFont="1"/>
    <xf numFmtId="44" fontId="20" fillId="0" borderId="0" xfId="2" applyFont="1" applyFill="1" applyBorder="1"/>
    <xf numFmtId="43" fontId="21" fillId="0" borderId="0" xfId="1" applyFont="1" applyFill="1" applyBorder="1"/>
    <xf numFmtId="10" fontId="21" fillId="0" borderId="0" xfId="3" applyNumberFormat="1" applyFont="1" applyFill="1" applyBorder="1"/>
    <xf numFmtId="43" fontId="20" fillId="0" borderId="0" xfId="1" applyFont="1" applyFill="1" applyBorder="1"/>
    <xf numFmtId="43" fontId="20" fillId="0" borderId="10" xfId="1" applyFont="1" applyFill="1" applyBorder="1"/>
    <xf numFmtId="10" fontId="20" fillId="0" borderId="0" xfId="0" applyNumberFormat="1" applyFont="1"/>
    <xf numFmtId="44" fontId="22" fillId="0" borderId="0" xfId="2" applyFont="1" applyFill="1" applyBorder="1"/>
    <xf numFmtId="44" fontId="19" fillId="0" borderId="0" xfId="2" applyFont="1" applyFill="1" applyBorder="1" applyAlignment="1">
      <alignment horizontal="right"/>
    </xf>
    <xf numFmtId="10" fontId="19" fillId="33" borderId="0" xfId="2" applyNumberFormat="1" applyFont="1" applyFill="1" applyBorder="1" applyAlignment="1">
      <alignment horizontal="right"/>
    </xf>
    <xf numFmtId="0" fontId="23" fillId="0" borderId="0" xfId="0" applyFont="1"/>
    <xf numFmtId="10" fontId="20" fillId="0" borderId="0" xfId="3" applyNumberFormat="1" applyFont="1" applyFill="1" applyBorder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BWX_IGOV_2!$O$1</c:f>
              <c:strCache>
                <c:ptCount val="1"/>
                <c:pt idx="0">
                  <c:v> IGOV/BWX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BWX_IGOV_2!$O$2:$O$167</c:f>
              <c:numCache>
                <c:formatCode>_(* #,##0.0000_);_(* \(#,##0.0000\);_(* "-"??_);_(@_)</c:formatCode>
                <c:ptCount val="166"/>
                <c:pt idx="0">
                  <c:v>1.8787268979407299</c:v>
                </c:pt>
                <c:pt idx="1">
                  <c:v>1.8787268979407299</c:v>
                </c:pt>
                <c:pt idx="2">
                  <c:v>1.8787268979407299</c:v>
                </c:pt>
                <c:pt idx="3">
                  <c:v>1.8787268979407299</c:v>
                </c:pt>
                <c:pt idx="4">
                  <c:v>1.8787268979407299</c:v>
                </c:pt>
                <c:pt idx="5">
                  <c:v>1.8787268979407299</c:v>
                </c:pt>
                <c:pt idx="6">
                  <c:v>1.8787268979407299</c:v>
                </c:pt>
                <c:pt idx="7">
                  <c:v>1.8787268979407299</c:v>
                </c:pt>
                <c:pt idx="8">
                  <c:v>1.8787268979407299</c:v>
                </c:pt>
                <c:pt idx="9">
                  <c:v>1.8787268979407299</c:v>
                </c:pt>
                <c:pt idx="10">
                  <c:v>1.8787268979407299</c:v>
                </c:pt>
                <c:pt idx="11">
                  <c:v>1.8787268979407299</c:v>
                </c:pt>
                <c:pt idx="12">
                  <c:v>1.8787268979407299</c:v>
                </c:pt>
                <c:pt idx="13">
                  <c:v>1.8787268979407299</c:v>
                </c:pt>
                <c:pt idx="14">
                  <c:v>1.8787268979407299</c:v>
                </c:pt>
                <c:pt idx="15">
                  <c:v>1.8787268979407299</c:v>
                </c:pt>
                <c:pt idx="16">
                  <c:v>1.8787268979407299</c:v>
                </c:pt>
                <c:pt idx="17">
                  <c:v>1.8787268979407299</c:v>
                </c:pt>
                <c:pt idx="18">
                  <c:v>1.8787268979407299</c:v>
                </c:pt>
                <c:pt idx="19">
                  <c:v>1.8787268979407299</c:v>
                </c:pt>
                <c:pt idx="20">
                  <c:v>1.8787268979407299</c:v>
                </c:pt>
                <c:pt idx="21">
                  <c:v>1.8787268979407299</c:v>
                </c:pt>
                <c:pt idx="22">
                  <c:v>1.8787268979407299</c:v>
                </c:pt>
                <c:pt idx="23">
                  <c:v>1.8787268979407299</c:v>
                </c:pt>
                <c:pt idx="24">
                  <c:v>1.8787268979407299</c:v>
                </c:pt>
                <c:pt idx="25">
                  <c:v>1.8787268979407299</c:v>
                </c:pt>
                <c:pt idx="26">
                  <c:v>1.8787268979407299</c:v>
                </c:pt>
                <c:pt idx="27">
                  <c:v>1.8787268979407299</c:v>
                </c:pt>
                <c:pt idx="28">
                  <c:v>1.8787268979407299</c:v>
                </c:pt>
                <c:pt idx="29">
                  <c:v>1.8787268979407299</c:v>
                </c:pt>
                <c:pt idx="30">
                  <c:v>1.8787268979407299</c:v>
                </c:pt>
                <c:pt idx="31">
                  <c:v>1.8787268979407299</c:v>
                </c:pt>
                <c:pt idx="32">
                  <c:v>1.8787268979407299</c:v>
                </c:pt>
                <c:pt idx="33">
                  <c:v>1.8787268979407299</c:v>
                </c:pt>
                <c:pt idx="34">
                  <c:v>1.8787268979407299</c:v>
                </c:pt>
                <c:pt idx="35">
                  <c:v>1.8787268979407299</c:v>
                </c:pt>
                <c:pt idx="36">
                  <c:v>1.8787268979407299</c:v>
                </c:pt>
                <c:pt idx="37">
                  <c:v>1.8787268979407299</c:v>
                </c:pt>
                <c:pt idx="38">
                  <c:v>1.8787268979407299</c:v>
                </c:pt>
                <c:pt idx="39">
                  <c:v>1.8787268979407299</c:v>
                </c:pt>
                <c:pt idx="40">
                  <c:v>1.8787268979407299</c:v>
                </c:pt>
                <c:pt idx="41">
                  <c:v>1.8787268979407299</c:v>
                </c:pt>
                <c:pt idx="42">
                  <c:v>1.8787268979407299</c:v>
                </c:pt>
                <c:pt idx="43">
                  <c:v>1.8787268979407299</c:v>
                </c:pt>
                <c:pt idx="44">
                  <c:v>1.8787268979407299</c:v>
                </c:pt>
                <c:pt idx="45">
                  <c:v>1.8787268979407299</c:v>
                </c:pt>
                <c:pt idx="46">
                  <c:v>1.8787268979407299</c:v>
                </c:pt>
                <c:pt idx="47">
                  <c:v>1.8787268979407299</c:v>
                </c:pt>
                <c:pt idx="48">
                  <c:v>1.8787268979407299</c:v>
                </c:pt>
                <c:pt idx="49">
                  <c:v>1.8787268979407299</c:v>
                </c:pt>
                <c:pt idx="50">
                  <c:v>1.8787268979407299</c:v>
                </c:pt>
                <c:pt idx="51">
                  <c:v>1.8787268979407299</c:v>
                </c:pt>
                <c:pt idx="52">
                  <c:v>1.8787268979407299</c:v>
                </c:pt>
                <c:pt idx="53">
                  <c:v>1.8787268979407299</c:v>
                </c:pt>
                <c:pt idx="54">
                  <c:v>1.8787268979407299</c:v>
                </c:pt>
                <c:pt idx="55">
                  <c:v>1.8787268979407299</c:v>
                </c:pt>
                <c:pt idx="56">
                  <c:v>1.8787268979407299</c:v>
                </c:pt>
                <c:pt idx="57">
                  <c:v>1.8787268979407299</c:v>
                </c:pt>
                <c:pt idx="58">
                  <c:v>1.8787268979407299</c:v>
                </c:pt>
                <c:pt idx="59">
                  <c:v>1.8787268979407299</c:v>
                </c:pt>
                <c:pt idx="60">
                  <c:v>1.8787268979407299</c:v>
                </c:pt>
                <c:pt idx="61">
                  <c:v>1.8787268979407299</c:v>
                </c:pt>
                <c:pt idx="62">
                  <c:v>1.8787268979407299</c:v>
                </c:pt>
                <c:pt idx="63">
                  <c:v>1.8787268979407299</c:v>
                </c:pt>
                <c:pt idx="64">
                  <c:v>1.8787268979407299</c:v>
                </c:pt>
                <c:pt idx="65">
                  <c:v>1.8787268979407299</c:v>
                </c:pt>
                <c:pt idx="66">
                  <c:v>1.8787268979407299</c:v>
                </c:pt>
                <c:pt idx="67">
                  <c:v>1.8787268979407299</c:v>
                </c:pt>
                <c:pt idx="68">
                  <c:v>1.8787268979407299</c:v>
                </c:pt>
                <c:pt idx="69">
                  <c:v>1.8787268979407299</c:v>
                </c:pt>
                <c:pt idx="70">
                  <c:v>1.8787268979407299</c:v>
                </c:pt>
                <c:pt idx="71">
                  <c:v>1.8787268979407299</c:v>
                </c:pt>
                <c:pt idx="72">
                  <c:v>1.8787268979407299</c:v>
                </c:pt>
                <c:pt idx="73">
                  <c:v>1.8787268979407299</c:v>
                </c:pt>
                <c:pt idx="74">
                  <c:v>1.8787268979407299</c:v>
                </c:pt>
                <c:pt idx="75">
                  <c:v>1.8787268979407299</c:v>
                </c:pt>
                <c:pt idx="76">
                  <c:v>1.8787268979407299</c:v>
                </c:pt>
                <c:pt idx="77">
                  <c:v>1.8787268979407299</c:v>
                </c:pt>
                <c:pt idx="78">
                  <c:v>1.8787268979407299</c:v>
                </c:pt>
                <c:pt idx="79">
                  <c:v>1.8787268979407299</c:v>
                </c:pt>
                <c:pt idx="80">
                  <c:v>1.8787268979407299</c:v>
                </c:pt>
                <c:pt idx="81">
                  <c:v>1.8787268979407299</c:v>
                </c:pt>
                <c:pt idx="82">
                  <c:v>1.8787268979407299</c:v>
                </c:pt>
                <c:pt idx="83">
                  <c:v>1.8787268979407299</c:v>
                </c:pt>
                <c:pt idx="84">
                  <c:v>1.8787268979407299</c:v>
                </c:pt>
                <c:pt idx="85">
                  <c:v>1.8787268979407299</c:v>
                </c:pt>
                <c:pt idx="86">
                  <c:v>1.8787268979407299</c:v>
                </c:pt>
                <c:pt idx="87">
                  <c:v>1.8787268979407299</c:v>
                </c:pt>
                <c:pt idx="88">
                  <c:v>1.8787268979407299</c:v>
                </c:pt>
                <c:pt idx="89">
                  <c:v>1.8787268979407299</c:v>
                </c:pt>
                <c:pt idx="90">
                  <c:v>1.8787268979407299</c:v>
                </c:pt>
                <c:pt idx="91">
                  <c:v>1.8787268979407299</c:v>
                </c:pt>
                <c:pt idx="92">
                  <c:v>1.8787268979407299</c:v>
                </c:pt>
                <c:pt idx="93">
                  <c:v>1.8787268979407299</c:v>
                </c:pt>
                <c:pt idx="94">
                  <c:v>1.8787268979407299</c:v>
                </c:pt>
                <c:pt idx="95">
                  <c:v>1.8787268979407299</c:v>
                </c:pt>
                <c:pt idx="96">
                  <c:v>1.8787268979407299</c:v>
                </c:pt>
                <c:pt idx="97">
                  <c:v>1.8787268979407299</c:v>
                </c:pt>
                <c:pt idx="98">
                  <c:v>1.8787268979407299</c:v>
                </c:pt>
                <c:pt idx="99">
                  <c:v>1.8787268979407299</c:v>
                </c:pt>
                <c:pt idx="100">
                  <c:v>1.8787268979407299</c:v>
                </c:pt>
                <c:pt idx="101">
                  <c:v>1.8787268979407299</c:v>
                </c:pt>
                <c:pt idx="102">
                  <c:v>1.8787268979407299</c:v>
                </c:pt>
                <c:pt idx="103">
                  <c:v>1.8787268979407299</c:v>
                </c:pt>
                <c:pt idx="104">
                  <c:v>1.8787268979407299</c:v>
                </c:pt>
                <c:pt idx="105">
                  <c:v>1.8787268979407299</c:v>
                </c:pt>
                <c:pt idx="106">
                  <c:v>1.8787268979407299</c:v>
                </c:pt>
                <c:pt idx="107">
                  <c:v>1.8787268979407299</c:v>
                </c:pt>
                <c:pt idx="108">
                  <c:v>1.8787268979407299</c:v>
                </c:pt>
                <c:pt idx="109">
                  <c:v>1.8787268979407299</c:v>
                </c:pt>
                <c:pt idx="110">
                  <c:v>1.8787268979407299</c:v>
                </c:pt>
                <c:pt idx="111">
                  <c:v>1.8787268979407299</c:v>
                </c:pt>
                <c:pt idx="112">
                  <c:v>1.8787268979407299</c:v>
                </c:pt>
                <c:pt idx="113">
                  <c:v>1.8787268979407299</c:v>
                </c:pt>
                <c:pt idx="114">
                  <c:v>1.8787268979407299</c:v>
                </c:pt>
                <c:pt idx="115">
                  <c:v>1.8787268979407299</c:v>
                </c:pt>
                <c:pt idx="116">
                  <c:v>1.8787268979407299</c:v>
                </c:pt>
                <c:pt idx="117">
                  <c:v>1.8787268979407299</c:v>
                </c:pt>
                <c:pt idx="118">
                  <c:v>1.8787268979407299</c:v>
                </c:pt>
                <c:pt idx="119">
                  <c:v>1.8787268979407299</c:v>
                </c:pt>
                <c:pt idx="120">
                  <c:v>1.8787268979407299</c:v>
                </c:pt>
                <c:pt idx="121">
                  <c:v>1.8787268979407299</c:v>
                </c:pt>
                <c:pt idx="122">
                  <c:v>1.8787268979407299</c:v>
                </c:pt>
                <c:pt idx="123">
                  <c:v>1.8787268979407299</c:v>
                </c:pt>
                <c:pt idx="124">
                  <c:v>1.8787268979407299</c:v>
                </c:pt>
                <c:pt idx="125">
                  <c:v>1.8787268979407299</c:v>
                </c:pt>
                <c:pt idx="126">
                  <c:v>1.8787268979407299</c:v>
                </c:pt>
                <c:pt idx="127">
                  <c:v>1.8787268979407299</c:v>
                </c:pt>
                <c:pt idx="128">
                  <c:v>1.8787268979407299</c:v>
                </c:pt>
                <c:pt idx="129">
                  <c:v>1.8787268979407299</c:v>
                </c:pt>
                <c:pt idx="130">
                  <c:v>1.8787268979407299</c:v>
                </c:pt>
                <c:pt idx="131">
                  <c:v>1.8787268979407299</c:v>
                </c:pt>
                <c:pt idx="132">
                  <c:v>1.8787268979407299</c:v>
                </c:pt>
                <c:pt idx="133">
                  <c:v>1.8787268979407299</c:v>
                </c:pt>
                <c:pt idx="134">
                  <c:v>1.8787268979407299</c:v>
                </c:pt>
                <c:pt idx="135">
                  <c:v>1.8787268979407299</c:v>
                </c:pt>
                <c:pt idx="136">
                  <c:v>1.8787268979407299</c:v>
                </c:pt>
                <c:pt idx="137">
                  <c:v>1.8787268979407299</c:v>
                </c:pt>
                <c:pt idx="138">
                  <c:v>1.8787268979407299</c:v>
                </c:pt>
                <c:pt idx="139">
                  <c:v>1.8787268979407299</c:v>
                </c:pt>
                <c:pt idx="140">
                  <c:v>1.8787268979407299</c:v>
                </c:pt>
                <c:pt idx="141">
                  <c:v>1.8787268979407299</c:v>
                </c:pt>
                <c:pt idx="142">
                  <c:v>1.8787268979407299</c:v>
                </c:pt>
                <c:pt idx="143">
                  <c:v>1.8787268979407299</c:v>
                </c:pt>
                <c:pt idx="144">
                  <c:v>1.8787268979407299</c:v>
                </c:pt>
                <c:pt idx="145">
                  <c:v>1.8787268979407299</c:v>
                </c:pt>
                <c:pt idx="146">
                  <c:v>1.8787268979407299</c:v>
                </c:pt>
                <c:pt idx="147">
                  <c:v>1.8787268979407299</c:v>
                </c:pt>
                <c:pt idx="148">
                  <c:v>1.8787268979407299</c:v>
                </c:pt>
                <c:pt idx="149">
                  <c:v>1.8787268979407299</c:v>
                </c:pt>
                <c:pt idx="150">
                  <c:v>1.8787268979407299</c:v>
                </c:pt>
                <c:pt idx="151">
                  <c:v>1.8787268979407299</c:v>
                </c:pt>
                <c:pt idx="152">
                  <c:v>1.8787268979407299</c:v>
                </c:pt>
                <c:pt idx="153">
                  <c:v>1.8787268979407299</c:v>
                </c:pt>
                <c:pt idx="154">
                  <c:v>1.8787268979407299</c:v>
                </c:pt>
                <c:pt idx="155">
                  <c:v>1.8787268979407299</c:v>
                </c:pt>
                <c:pt idx="156">
                  <c:v>1.8787268979407299</c:v>
                </c:pt>
                <c:pt idx="157">
                  <c:v>1.8787268979407299</c:v>
                </c:pt>
                <c:pt idx="158">
                  <c:v>1.8787268979407299</c:v>
                </c:pt>
                <c:pt idx="159">
                  <c:v>1.8787268979407299</c:v>
                </c:pt>
                <c:pt idx="160">
                  <c:v>1.8787268979407299</c:v>
                </c:pt>
                <c:pt idx="161">
                  <c:v>1.8787268979407299</c:v>
                </c:pt>
                <c:pt idx="162">
                  <c:v>1.8787268979407299</c:v>
                </c:pt>
                <c:pt idx="163">
                  <c:v>1.8787268979407299</c:v>
                </c:pt>
                <c:pt idx="164">
                  <c:v>1.8787268979407299</c:v>
                </c:pt>
                <c:pt idx="165">
                  <c:v>1.8787268979407299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BWX_IGOV_2!$P$1</c:f>
              <c:strCache>
                <c:ptCount val="1"/>
                <c:pt idx="0">
                  <c:v> IGOV/BWX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BWX_IGOV_2!$P$2:$P$167</c:f>
              <c:numCache>
                <c:formatCode>_(* #,##0.0000_);_(* \(#,##0.0000\);_(* "-"??_);_(@_)</c:formatCode>
                <c:ptCount val="166"/>
                <c:pt idx="9">
                  <c:v>1.8557368508146399</c:v>
                </c:pt>
                <c:pt idx="10">
                  <c:v>1.85649367594041</c:v>
                </c:pt>
                <c:pt idx="11">
                  <c:v>1.85766731549372</c:v>
                </c:pt>
                <c:pt idx="12">
                  <c:v>1.85872791575648</c:v>
                </c:pt>
                <c:pt idx="13">
                  <c:v>1.8596879545903999</c:v>
                </c:pt>
                <c:pt idx="14">
                  <c:v>1.86065165877796</c:v>
                </c:pt>
                <c:pt idx="15">
                  <c:v>1.86100496675212</c:v>
                </c:pt>
                <c:pt idx="16">
                  <c:v>1.8614619724710699</c:v>
                </c:pt>
                <c:pt idx="17">
                  <c:v>1.8612976260107299</c:v>
                </c:pt>
                <c:pt idx="18">
                  <c:v>1.86170201378803</c:v>
                </c:pt>
                <c:pt idx="19">
                  <c:v>1.8613635206708801</c:v>
                </c:pt>
                <c:pt idx="20">
                  <c:v>1.8616264747445701</c:v>
                </c:pt>
                <c:pt idx="21">
                  <c:v>1.86184691661471</c:v>
                </c:pt>
                <c:pt idx="22">
                  <c:v>1.86203752669361</c:v>
                </c:pt>
                <c:pt idx="23">
                  <c:v>1.8619691680253601</c:v>
                </c:pt>
                <c:pt idx="24">
                  <c:v>1.8626109127483801</c:v>
                </c:pt>
                <c:pt idx="25">
                  <c:v>1.86371829143878</c:v>
                </c:pt>
                <c:pt idx="26">
                  <c:v>1.86408839807371</c:v>
                </c:pt>
                <c:pt idx="27">
                  <c:v>1.8648161851167</c:v>
                </c:pt>
                <c:pt idx="28">
                  <c:v>1.86458540845052</c:v>
                </c:pt>
                <c:pt idx="29">
                  <c:v>1.8649509230544099</c:v>
                </c:pt>
                <c:pt idx="30">
                  <c:v>1.8651369741687001</c:v>
                </c:pt>
                <c:pt idx="31">
                  <c:v>1.8645290331261499</c:v>
                </c:pt>
                <c:pt idx="32">
                  <c:v>1.8639933705973999</c:v>
                </c:pt>
                <c:pt idx="33">
                  <c:v>1.8642101542021301</c:v>
                </c:pt>
                <c:pt idx="34">
                  <c:v>1.86320773250556</c:v>
                </c:pt>
                <c:pt idx="35">
                  <c:v>1.8620800449642601</c:v>
                </c:pt>
                <c:pt idx="36">
                  <c:v>1.8617610470833199</c:v>
                </c:pt>
                <c:pt idx="37">
                  <c:v>1.8612749214925599</c:v>
                </c:pt>
                <c:pt idx="38">
                  <c:v>1.86183337182304</c:v>
                </c:pt>
                <c:pt idx="39">
                  <c:v>1.86280069003038</c:v>
                </c:pt>
                <c:pt idx="40">
                  <c:v>1.86386918013425</c:v>
                </c:pt>
                <c:pt idx="41">
                  <c:v>1.8648435582428899</c:v>
                </c:pt>
                <c:pt idx="42">
                  <c:v>1.86563855948946</c:v>
                </c:pt>
                <c:pt idx="43">
                  <c:v>1.8661894895581801</c:v>
                </c:pt>
                <c:pt idx="44">
                  <c:v>1.86712178949788</c:v>
                </c:pt>
                <c:pt idx="45">
                  <c:v>1.8681286742513501</c:v>
                </c:pt>
                <c:pt idx="46">
                  <c:v>1.8681917218159401</c:v>
                </c:pt>
                <c:pt idx="47">
                  <c:v>1.8688107012956301</c:v>
                </c:pt>
                <c:pt idx="48">
                  <c:v>1.8684425097170401</c:v>
                </c:pt>
                <c:pt idx="49">
                  <c:v>1.86811747496803</c:v>
                </c:pt>
                <c:pt idx="50">
                  <c:v>1.8677933838758001</c:v>
                </c:pt>
                <c:pt idx="51">
                  <c:v>1.86753109363388</c:v>
                </c:pt>
                <c:pt idx="52">
                  <c:v>1.8675429232868801</c:v>
                </c:pt>
                <c:pt idx="53">
                  <c:v>1.86728348254938</c:v>
                </c:pt>
                <c:pt idx="54">
                  <c:v>1.8671091464668499</c:v>
                </c:pt>
                <c:pt idx="55">
                  <c:v>1.8670470290114201</c:v>
                </c:pt>
                <c:pt idx="56">
                  <c:v>1.8677151467148301</c:v>
                </c:pt>
                <c:pt idx="57">
                  <c:v>1.8676424630519199</c:v>
                </c:pt>
                <c:pt idx="58">
                  <c:v>1.8679034493785101</c:v>
                </c:pt>
                <c:pt idx="59">
                  <c:v>1.86795297054881</c:v>
                </c:pt>
                <c:pt idx="60">
                  <c:v>1.86801086385736</c:v>
                </c:pt>
                <c:pt idx="61">
                  <c:v>1.8686423757799799</c:v>
                </c:pt>
                <c:pt idx="62">
                  <c:v>1.8690062969757699</c:v>
                </c:pt>
                <c:pt idx="63">
                  <c:v>1.8692445834170199</c:v>
                </c:pt>
                <c:pt idx="64">
                  <c:v>1.87013105516793</c:v>
                </c:pt>
                <c:pt idx="65">
                  <c:v>1.8706052145160601</c:v>
                </c:pt>
                <c:pt idx="66">
                  <c:v>1.87125038792632</c:v>
                </c:pt>
                <c:pt idx="67">
                  <c:v>1.8723301800249099</c:v>
                </c:pt>
                <c:pt idx="68">
                  <c:v>1.87347606336705</c:v>
                </c:pt>
                <c:pt idx="69">
                  <c:v>1.87431392669214</c:v>
                </c:pt>
                <c:pt idx="70">
                  <c:v>1.8751217160237099</c:v>
                </c:pt>
                <c:pt idx="71">
                  <c:v>1.87565589540689</c:v>
                </c:pt>
                <c:pt idx="72">
                  <c:v>1.87622843689913</c:v>
                </c:pt>
                <c:pt idx="73">
                  <c:v>1.8767468401007099</c:v>
                </c:pt>
                <c:pt idx="74">
                  <c:v>1.8771021235893799</c:v>
                </c:pt>
                <c:pt idx="75">
                  <c:v>1.8773268426905001</c:v>
                </c:pt>
                <c:pt idx="76">
                  <c:v>1.87752456205649</c:v>
                </c:pt>
                <c:pt idx="77">
                  <c:v>1.87779339381111</c:v>
                </c:pt>
                <c:pt idx="78">
                  <c:v>1.8780527072311499</c:v>
                </c:pt>
                <c:pt idx="79">
                  <c:v>1.87845462990192</c:v>
                </c:pt>
                <c:pt idx="80">
                  <c:v>1.8785289222308299</c:v>
                </c:pt>
                <c:pt idx="81">
                  <c:v>1.87861872914596</c:v>
                </c:pt>
                <c:pt idx="82">
                  <c:v>1.8788303076358599</c:v>
                </c:pt>
                <c:pt idx="83">
                  <c:v>1.8793736046346701</c:v>
                </c:pt>
                <c:pt idx="84">
                  <c:v>1.8803973134579399</c:v>
                </c:pt>
                <c:pt idx="85">
                  <c:v>1.88165606231372</c:v>
                </c:pt>
                <c:pt idx="86">
                  <c:v>1.88231490103744</c:v>
                </c:pt>
                <c:pt idx="87">
                  <c:v>1.88310453926879</c:v>
                </c:pt>
                <c:pt idx="88">
                  <c:v>1.8838763313147699</c:v>
                </c:pt>
                <c:pt idx="89">
                  <c:v>1.8842882644143599</c:v>
                </c:pt>
                <c:pt idx="90">
                  <c:v>1.8851280352845601</c:v>
                </c:pt>
                <c:pt idx="91">
                  <c:v>1.8853716747250699</c:v>
                </c:pt>
                <c:pt idx="92">
                  <c:v>1.8852805305595</c:v>
                </c:pt>
                <c:pt idx="93">
                  <c:v>1.8856123390716699</c:v>
                </c:pt>
                <c:pt idx="94">
                  <c:v>1.8855492968577101</c:v>
                </c:pt>
                <c:pt idx="95">
                  <c:v>1.8854415807372</c:v>
                </c:pt>
                <c:pt idx="96">
                  <c:v>1.8857494371746499</c:v>
                </c:pt>
                <c:pt idx="97">
                  <c:v>1.8858790875889899</c:v>
                </c:pt>
                <c:pt idx="98">
                  <c:v>1.88625045039522</c:v>
                </c:pt>
                <c:pt idx="99">
                  <c:v>1.8869691076120401</c:v>
                </c:pt>
                <c:pt idx="100">
                  <c:v>1.8878284472773501</c:v>
                </c:pt>
                <c:pt idx="101">
                  <c:v>1.88888411176236</c:v>
                </c:pt>
                <c:pt idx="102">
                  <c:v>1.89045618335911</c:v>
                </c:pt>
                <c:pt idx="103">
                  <c:v>1.89183612438409</c:v>
                </c:pt>
                <c:pt idx="104">
                  <c:v>1.8924615438625101</c:v>
                </c:pt>
                <c:pt idx="105">
                  <c:v>1.8931808339623999</c:v>
                </c:pt>
                <c:pt idx="106">
                  <c:v>1.89372207758157</c:v>
                </c:pt>
                <c:pt idx="107">
                  <c:v>1.89411154469625</c:v>
                </c:pt>
                <c:pt idx="108">
                  <c:v>1.8939356394634199</c:v>
                </c:pt>
                <c:pt idx="109">
                  <c:v>1.89395936996514</c:v>
                </c:pt>
                <c:pt idx="110">
                  <c:v>1.8934689077160201</c:v>
                </c:pt>
                <c:pt idx="111">
                  <c:v>1.8932205780154201</c:v>
                </c:pt>
                <c:pt idx="112">
                  <c:v>1.8926154940390301</c:v>
                </c:pt>
                <c:pt idx="113">
                  <c:v>1.8919086446653</c:v>
                </c:pt>
                <c:pt idx="114">
                  <c:v>1.89153311276796</c:v>
                </c:pt>
                <c:pt idx="115">
                  <c:v>1.89092982666849</c:v>
                </c:pt>
                <c:pt idx="116">
                  <c:v>1.8904135968572799</c:v>
                </c:pt>
                <c:pt idx="117">
                  <c:v>1.8898911816599</c:v>
                </c:pt>
                <c:pt idx="118">
                  <c:v>1.8901068869373101</c:v>
                </c:pt>
                <c:pt idx="119">
                  <c:v>1.89008683977551</c:v>
                </c:pt>
                <c:pt idx="120">
                  <c:v>1.8897979290072799</c:v>
                </c:pt>
                <c:pt idx="121">
                  <c:v>1.8899326538053201</c:v>
                </c:pt>
                <c:pt idx="122">
                  <c:v>1.8901854213329901</c:v>
                </c:pt>
                <c:pt idx="123">
                  <c:v>1.8905043964469701</c:v>
                </c:pt>
                <c:pt idx="124">
                  <c:v>1.89082295107285</c:v>
                </c:pt>
                <c:pt idx="125">
                  <c:v>1.8910685735823101</c:v>
                </c:pt>
                <c:pt idx="126">
                  <c:v>1.89130550598073</c:v>
                </c:pt>
                <c:pt idx="127">
                  <c:v>1.8916354444875101</c:v>
                </c:pt>
                <c:pt idx="128">
                  <c:v>1.89184367269842</c:v>
                </c:pt>
                <c:pt idx="129">
                  <c:v>1.8918909304660401</c:v>
                </c:pt>
                <c:pt idx="130">
                  <c:v>1.8922117570546999</c:v>
                </c:pt>
                <c:pt idx="131">
                  <c:v>1.8919467556971099</c:v>
                </c:pt>
                <c:pt idx="132">
                  <c:v>1.8919830001731299</c:v>
                </c:pt>
                <c:pt idx="133">
                  <c:v>1.8917514114746601</c:v>
                </c:pt>
                <c:pt idx="134">
                  <c:v>1.8915527040144799</c:v>
                </c:pt>
                <c:pt idx="135">
                  <c:v>1.8916108218837</c:v>
                </c:pt>
                <c:pt idx="136">
                  <c:v>1.8916116868177599</c:v>
                </c:pt>
                <c:pt idx="137">
                  <c:v>1.89145160532488</c:v>
                </c:pt>
                <c:pt idx="138">
                  <c:v>1.89099736364742</c:v>
                </c:pt>
                <c:pt idx="139">
                  <c:v>1.89080767735271</c:v>
                </c:pt>
                <c:pt idx="140">
                  <c:v>1.8907559908551299</c:v>
                </c:pt>
                <c:pt idx="141">
                  <c:v>1.8911601438758301</c:v>
                </c:pt>
                <c:pt idx="142">
                  <c:v>1.8910804341977101</c:v>
                </c:pt>
                <c:pt idx="143">
                  <c:v>1.89089405688962</c:v>
                </c:pt>
                <c:pt idx="144">
                  <c:v>1.8906060260569899</c:v>
                </c:pt>
                <c:pt idx="145">
                  <c:v>1.8909196894416</c:v>
                </c:pt>
                <c:pt idx="146">
                  <c:v>1.89094618318618</c:v>
                </c:pt>
                <c:pt idx="147">
                  <c:v>1.8912186483203799</c:v>
                </c:pt>
                <c:pt idx="148">
                  <c:v>1.89110646866846</c:v>
                </c:pt>
                <c:pt idx="149">
                  <c:v>1.8906292764018</c:v>
                </c:pt>
                <c:pt idx="150">
                  <c:v>1.8905284796170201</c:v>
                </c:pt>
                <c:pt idx="151">
                  <c:v>1.89006228671045</c:v>
                </c:pt>
                <c:pt idx="152">
                  <c:v>1.8894518854837701</c:v>
                </c:pt>
                <c:pt idx="153">
                  <c:v>1.88957367680944</c:v>
                </c:pt>
                <c:pt idx="154">
                  <c:v>1.88992589309586</c:v>
                </c:pt>
                <c:pt idx="155">
                  <c:v>1.8898340235506199</c:v>
                </c:pt>
                <c:pt idx="156">
                  <c:v>1.8898099733243201</c:v>
                </c:pt>
                <c:pt idx="157">
                  <c:v>1.8895258056086801</c:v>
                </c:pt>
                <c:pt idx="158">
                  <c:v>1.8897895784298799</c:v>
                </c:pt>
                <c:pt idx="159">
                  <c:v>1.89022923430923</c:v>
                </c:pt>
                <c:pt idx="160">
                  <c:v>1.8901269533732701</c:v>
                </c:pt>
                <c:pt idx="161">
                  <c:v>1.89050481131365</c:v>
                </c:pt>
                <c:pt idx="162">
                  <c:v>1.8910987966716599</c:v>
                </c:pt>
                <c:pt idx="163">
                  <c:v>1.8910015136751499</c:v>
                </c:pt>
                <c:pt idx="164">
                  <c:v>1.8908279683806699</c:v>
                </c:pt>
                <c:pt idx="165">
                  <c:v>1.8903482636768401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BWX_IGOV_2!$Q$1</c:f>
              <c:strCache>
                <c:ptCount val="1"/>
                <c:pt idx="0">
                  <c:v> IGOV/BWX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BWX_IGOV_2!$Q$2:$Q$167</c:f>
              <c:numCache>
                <c:formatCode>_(* #,##0.0000_);_(* \(#,##0.0000\);_(* "-"??_);_(@_)</c:formatCode>
                <c:ptCount val="166"/>
                <c:pt idx="19">
                  <c:v>1.85855018574276</c:v>
                </c:pt>
                <c:pt idx="20">
                  <c:v>1.85906007534249</c:v>
                </c:pt>
                <c:pt idx="21">
                  <c:v>1.8597571160542199</c:v>
                </c:pt>
                <c:pt idx="22">
                  <c:v>1.8603827212250501</c:v>
                </c:pt>
                <c:pt idx="23">
                  <c:v>1.8608285613078801</c:v>
                </c:pt>
                <c:pt idx="24">
                  <c:v>1.8616312857631701</c:v>
                </c:pt>
                <c:pt idx="25">
                  <c:v>1.8623616290954501</c:v>
                </c:pt>
                <c:pt idx="26">
                  <c:v>1.8627751852723899</c:v>
                </c:pt>
                <c:pt idx="27">
                  <c:v>1.8630569055637201</c:v>
                </c:pt>
                <c:pt idx="28">
                  <c:v>1.8631437111192699</c:v>
                </c:pt>
                <c:pt idx="29">
                  <c:v>1.86315722186264</c:v>
                </c:pt>
                <c:pt idx="30">
                  <c:v>1.86338172445663</c:v>
                </c:pt>
                <c:pt idx="31">
                  <c:v>1.8631879748704301</c:v>
                </c:pt>
                <c:pt idx="32">
                  <c:v>1.8630154486455099</c:v>
                </c:pt>
                <c:pt idx="33">
                  <c:v>1.86308966111374</c:v>
                </c:pt>
                <c:pt idx="34">
                  <c:v>1.86290932262697</c:v>
                </c:pt>
                <c:pt idx="35">
                  <c:v>1.8628991682015199</c:v>
                </c:pt>
                <c:pt idx="36">
                  <c:v>1.8629247225785099</c:v>
                </c:pt>
                <c:pt idx="37">
                  <c:v>1.86304555330463</c:v>
                </c:pt>
                <c:pt idx="38">
                  <c:v>1.8632093901367801</c:v>
                </c:pt>
                <c:pt idx="39">
                  <c:v>1.8638758065423899</c:v>
                </c:pt>
                <c:pt idx="40">
                  <c:v>1.8645030771514799</c:v>
                </c:pt>
                <c:pt idx="41">
                  <c:v>1.86468629568452</c:v>
                </c:pt>
                <c:pt idx="42">
                  <c:v>1.8648159650434299</c:v>
                </c:pt>
                <c:pt idx="43">
                  <c:v>1.86519982188016</c:v>
                </c:pt>
                <c:pt idx="44">
                  <c:v>1.8651647610017199</c:v>
                </c:pt>
                <c:pt idx="45">
                  <c:v>1.8651043596078001</c:v>
                </c:pt>
                <c:pt idx="46">
                  <c:v>1.8649763844496301</c:v>
                </c:pt>
                <c:pt idx="47">
                  <c:v>1.86504281139409</c:v>
                </c:pt>
                <c:pt idx="48">
                  <c:v>1.8651379407700399</c:v>
                </c:pt>
                <c:pt idx="49">
                  <c:v>1.8654590824992101</c:v>
                </c:pt>
                <c:pt idx="50">
                  <c:v>1.86583128200503</c:v>
                </c:pt>
                <c:pt idx="51">
                  <c:v>1.8661873259383801</c:v>
                </c:pt>
                <c:pt idx="52">
                  <c:v>1.8665907413881699</c:v>
                </c:pt>
                <c:pt idx="53">
                  <c:v>1.8667364860537801</c:v>
                </c:pt>
                <c:pt idx="54">
                  <c:v>1.86711546798237</c:v>
                </c:pt>
                <c:pt idx="55">
                  <c:v>1.86758785163139</c:v>
                </c:pt>
                <c:pt idx="56">
                  <c:v>1.8679534342653801</c:v>
                </c:pt>
                <c:pt idx="57">
                  <c:v>1.86822658217378</c:v>
                </c:pt>
                <c:pt idx="58">
                  <c:v>1.8681729795477799</c:v>
                </c:pt>
                <c:pt idx="59">
                  <c:v>1.86803522275842</c:v>
                </c:pt>
                <c:pt idx="60">
                  <c:v>1.8679021238665801</c:v>
                </c:pt>
                <c:pt idx="61">
                  <c:v>1.8680867347069301</c:v>
                </c:pt>
                <c:pt idx="62">
                  <c:v>1.8682746101313199</c:v>
                </c:pt>
                <c:pt idx="63">
                  <c:v>1.8682640329832001</c:v>
                </c:pt>
                <c:pt idx="64">
                  <c:v>1.8686201008173899</c:v>
                </c:pt>
                <c:pt idx="65">
                  <c:v>1.8688261217637401</c:v>
                </c:pt>
                <c:pt idx="66">
                  <c:v>1.8694827673205701</c:v>
                </c:pt>
                <c:pt idx="67">
                  <c:v>1.86998632153841</c:v>
                </c:pt>
                <c:pt idx="68">
                  <c:v>1.87068975637278</c:v>
                </c:pt>
                <c:pt idx="69">
                  <c:v>1.87113344862047</c:v>
                </c:pt>
                <c:pt idx="70">
                  <c:v>1.8715662899405401</c:v>
                </c:pt>
                <c:pt idx="71">
                  <c:v>1.8721491355934401</c:v>
                </c:pt>
                <c:pt idx="72">
                  <c:v>1.87261736693745</c:v>
                </c:pt>
                <c:pt idx="73">
                  <c:v>1.87299571175887</c:v>
                </c:pt>
                <c:pt idx="74">
                  <c:v>1.8736165893786501</c:v>
                </c:pt>
                <c:pt idx="75">
                  <c:v>1.87396602860328</c:v>
                </c:pt>
                <c:pt idx="76">
                  <c:v>1.8743874749914</c:v>
                </c:pt>
                <c:pt idx="77">
                  <c:v>1.87506178691801</c:v>
                </c:pt>
                <c:pt idx="78">
                  <c:v>1.8757643852990999</c:v>
                </c:pt>
                <c:pt idx="79">
                  <c:v>1.8763842782970299</c:v>
                </c:pt>
                <c:pt idx="80">
                  <c:v>1.8768253191272699</c:v>
                </c:pt>
                <c:pt idx="81">
                  <c:v>1.8771373122764301</c:v>
                </c:pt>
                <c:pt idx="82">
                  <c:v>1.8775293722674999</c:v>
                </c:pt>
                <c:pt idx="83">
                  <c:v>1.8780602223676901</c:v>
                </c:pt>
                <c:pt idx="84">
                  <c:v>1.8787497185236599</c:v>
                </c:pt>
                <c:pt idx="85">
                  <c:v>1.87949145250211</c:v>
                </c:pt>
                <c:pt idx="86">
                  <c:v>1.87991973154696</c:v>
                </c:pt>
                <c:pt idx="87">
                  <c:v>1.88044896653995</c:v>
                </c:pt>
                <c:pt idx="88">
                  <c:v>1.88096451927296</c:v>
                </c:pt>
                <c:pt idx="89">
                  <c:v>1.88137144715814</c:v>
                </c:pt>
                <c:pt idx="90">
                  <c:v>1.88182847875769</c:v>
                </c:pt>
                <c:pt idx="91">
                  <c:v>1.88199520193551</c:v>
                </c:pt>
                <c:pt idx="92">
                  <c:v>1.8820554190976799</c:v>
                </c:pt>
                <c:pt idx="93">
                  <c:v>1.88249297185317</c:v>
                </c:pt>
                <c:pt idx="94">
                  <c:v>1.8829733051578199</c:v>
                </c:pt>
                <c:pt idx="95">
                  <c:v>1.8835488215254601</c:v>
                </c:pt>
                <c:pt idx="96">
                  <c:v>1.88403216910604</c:v>
                </c:pt>
                <c:pt idx="97">
                  <c:v>1.8844918134288899</c:v>
                </c:pt>
                <c:pt idx="98">
                  <c:v>1.8850633908549901</c:v>
                </c:pt>
                <c:pt idx="99">
                  <c:v>1.8856286860132001</c:v>
                </c:pt>
                <c:pt idx="100">
                  <c:v>1.88647824128095</c:v>
                </c:pt>
                <c:pt idx="101">
                  <c:v>1.8871278932437101</c:v>
                </c:pt>
                <c:pt idx="102">
                  <c:v>1.88786835695931</c:v>
                </c:pt>
                <c:pt idx="103">
                  <c:v>1.8887242317278801</c:v>
                </c:pt>
                <c:pt idx="104">
                  <c:v>1.8890054203601101</c:v>
                </c:pt>
                <c:pt idx="105">
                  <c:v>1.8893112073498</c:v>
                </c:pt>
                <c:pt idx="106">
                  <c:v>1.8897357573781099</c:v>
                </c:pt>
                <c:pt idx="107">
                  <c:v>1.88999531614262</c:v>
                </c:pt>
                <c:pt idx="108">
                  <c:v>1.8900930449293201</c:v>
                </c:pt>
                <c:pt idx="109">
                  <c:v>1.8904642387885899</c:v>
                </c:pt>
                <c:pt idx="110">
                  <c:v>1.89064867749668</c:v>
                </c:pt>
                <c:pt idx="111">
                  <c:v>1.8910523448888901</c:v>
                </c:pt>
                <c:pt idx="112">
                  <c:v>1.8915358386990699</c:v>
                </c:pt>
                <c:pt idx="113">
                  <c:v>1.8918723845246901</c:v>
                </c:pt>
                <c:pt idx="114">
                  <c:v>1.89199732831524</c:v>
                </c:pt>
                <c:pt idx="115">
                  <c:v>1.8920553303154499</c:v>
                </c:pt>
                <c:pt idx="116">
                  <c:v>1.8920678372194299</c:v>
                </c:pt>
                <c:pt idx="117">
                  <c:v>1.8920013631780801</c:v>
                </c:pt>
                <c:pt idx="118">
                  <c:v>1.8920212632003699</c:v>
                </c:pt>
                <c:pt idx="119">
                  <c:v>1.89202310487032</c:v>
                </c:pt>
                <c:pt idx="120">
                  <c:v>1.8916334183616501</c:v>
                </c:pt>
                <c:pt idx="121">
                  <c:v>1.89157661591037</c:v>
                </c:pt>
                <c:pt idx="122">
                  <c:v>1.89140045768601</c:v>
                </c:pt>
                <c:pt idx="123">
                  <c:v>1.8912065205561399</c:v>
                </c:pt>
                <c:pt idx="124">
                  <c:v>1.8911780319203999</c:v>
                </c:pt>
                <c:pt idx="125">
                  <c:v>1.8909992001253999</c:v>
                </c:pt>
                <c:pt idx="126">
                  <c:v>1.8908595514190101</c:v>
                </c:pt>
                <c:pt idx="127">
                  <c:v>1.89076331307371</c:v>
                </c:pt>
                <c:pt idx="128">
                  <c:v>1.8909752798178601</c:v>
                </c:pt>
                <c:pt idx="129">
                  <c:v>1.8909888851207699</c:v>
                </c:pt>
                <c:pt idx="130">
                  <c:v>1.89100484303099</c:v>
                </c:pt>
                <c:pt idx="131">
                  <c:v>1.89093970475121</c:v>
                </c:pt>
                <c:pt idx="132">
                  <c:v>1.8910842107530601</c:v>
                </c:pt>
                <c:pt idx="133">
                  <c:v>1.89112790396081</c:v>
                </c:pt>
                <c:pt idx="134">
                  <c:v>1.89118782754367</c:v>
                </c:pt>
                <c:pt idx="135">
                  <c:v>1.8913396977329999</c:v>
                </c:pt>
                <c:pt idx="136">
                  <c:v>1.8914585963992501</c:v>
                </c:pt>
                <c:pt idx="137">
                  <c:v>1.89154352490619</c:v>
                </c:pt>
                <c:pt idx="138">
                  <c:v>1.89142051817292</c:v>
                </c:pt>
                <c:pt idx="139">
                  <c:v>1.8913493039093801</c:v>
                </c:pt>
                <c:pt idx="140">
                  <c:v>1.89148387395491</c:v>
                </c:pt>
                <c:pt idx="141">
                  <c:v>1.8915534497864701</c:v>
                </c:pt>
                <c:pt idx="142">
                  <c:v>1.89153171718542</c:v>
                </c:pt>
                <c:pt idx="143">
                  <c:v>1.8913227341821399</c:v>
                </c:pt>
                <c:pt idx="144">
                  <c:v>1.89107936503574</c:v>
                </c:pt>
                <c:pt idx="145">
                  <c:v>1.8912652556626499</c:v>
                </c:pt>
                <c:pt idx="146">
                  <c:v>1.8912789350019701</c:v>
                </c:pt>
                <c:pt idx="147">
                  <c:v>1.8913351268226299</c:v>
                </c:pt>
                <c:pt idx="148">
                  <c:v>1.89105191615794</c:v>
                </c:pt>
                <c:pt idx="149">
                  <c:v>1.89071847687725</c:v>
                </c:pt>
                <c:pt idx="150">
                  <c:v>1.8906422352360801</c:v>
                </c:pt>
                <c:pt idx="151">
                  <c:v>1.89061121529314</c:v>
                </c:pt>
                <c:pt idx="152">
                  <c:v>1.89026615984074</c:v>
                </c:pt>
                <c:pt idx="153">
                  <c:v>1.89023386684953</c:v>
                </c:pt>
                <c:pt idx="154">
                  <c:v>1.89026595957643</c:v>
                </c:pt>
                <c:pt idx="155">
                  <c:v>1.8903768564961101</c:v>
                </c:pt>
                <c:pt idx="156">
                  <c:v>1.8903780782552499</c:v>
                </c:pt>
                <c:pt idx="157">
                  <c:v>1.89037222696453</c:v>
                </c:pt>
                <c:pt idx="158">
                  <c:v>1.8904480235491701</c:v>
                </c:pt>
                <c:pt idx="159">
                  <c:v>1.89042925535552</c:v>
                </c:pt>
                <c:pt idx="160">
                  <c:v>1.89032771649515</c:v>
                </c:pt>
                <c:pt idx="161">
                  <c:v>1.89028354901205</c:v>
                </c:pt>
                <c:pt idx="162">
                  <c:v>1.89027534107771</c:v>
                </c:pt>
                <c:pt idx="163">
                  <c:v>1.8902875952422999</c:v>
                </c:pt>
                <c:pt idx="164">
                  <c:v>1.8903769307382701</c:v>
                </c:pt>
                <c:pt idx="165">
                  <c:v>1.89009114361373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BWX_IGOV_2!$AF$1</c:f>
              <c:strCache>
                <c:ptCount val="1"/>
                <c:pt idx="0">
                  <c:v>log diff BWX* x 10 dma / IGOV*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BWX_IGOV_2!$AF$2:$AF$167</c:f>
              <c:numCache>
                <c:formatCode>0.00%</c:formatCode>
                <c:ptCount val="166"/>
                <c:pt idx="10">
                  <c:v>-1.27372707828626E-3</c:v>
                </c:pt>
                <c:pt idx="11">
                  <c:v>-4.4405897075148202E-3</c:v>
                </c:pt>
                <c:pt idx="12">
                  <c:v>-4.0163545046395599E-3</c:v>
                </c:pt>
                <c:pt idx="13">
                  <c:v>-2.7024302198121498E-3</c:v>
                </c:pt>
                <c:pt idx="14">
                  <c:v>-8.7044773954220395E-4</c:v>
                </c:pt>
                <c:pt idx="15">
                  <c:v>7.4163335691231102E-4</c:v>
                </c:pt>
                <c:pt idx="16">
                  <c:v>-7.5641665722286304E-4</c:v>
                </c:pt>
                <c:pt idx="17">
                  <c:v>1.52027480764704E-3</c:v>
                </c:pt>
                <c:pt idx="18">
                  <c:v>-1.1390139299920299E-3</c:v>
                </c:pt>
                <c:pt idx="19">
                  <c:v>2.6203317895335202E-3</c:v>
                </c:pt>
                <c:pt idx="20">
                  <c:v>2.0260964081362299E-3</c:v>
                </c:pt>
                <c:pt idx="21">
                  <c:v>-1.3437166091273399E-3</c:v>
                </c:pt>
                <c:pt idx="22">
                  <c:v>-1.4375026728660101E-3</c:v>
                </c:pt>
                <c:pt idx="23">
                  <c:v>6.2693306747986998E-4</c:v>
                </c:pt>
                <c:pt idx="24">
                  <c:v>-2.0749807768820302E-3</c:v>
                </c:pt>
                <c:pt idx="25">
                  <c:v>-3.31282058034538E-3</c:v>
                </c:pt>
                <c:pt idx="26">
                  <c:v>-6.2837509192297696E-4</c:v>
                </c:pt>
                <c:pt idx="27">
                  <c:v>-4.9126803169855795E-4</c:v>
                </c:pt>
                <c:pt idx="28">
                  <c:v>2.3040066091468401E-3</c:v>
                </c:pt>
                <c:pt idx="29">
                  <c:v>2.34764876940472E-3</c:v>
                </c:pt>
                <c:pt idx="30">
                  <c:v>1.24736274641734E-3</c:v>
                </c:pt>
                <c:pt idx="31">
                  <c:v>2.2791353072550802E-3</c:v>
                </c:pt>
                <c:pt idx="32">
                  <c:v>1.5193448658680801E-3</c:v>
                </c:pt>
                <c:pt idx="33">
                  <c:v>-6.7126933089707705E-4</c:v>
                </c:pt>
                <c:pt idx="34">
                  <c:v>3.4897897329319002E-3</c:v>
                </c:pt>
                <c:pt idx="35">
                  <c:v>2.2225661181329102E-3</c:v>
                </c:pt>
                <c:pt idx="36">
                  <c:v>-4.5249973091731997E-4</c:v>
                </c:pt>
                <c:pt idx="37">
                  <c:v>3.7909580566453999E-4</c:v>
                </c:pt>
                <c:pt idx="38">
                  <c:v>-2.9101552582944498E-3</c:v>
                </c:pt>
                <c:pt idx="39">
                  <c:v>-2.6410058090709301E-3</c:v>
                </c:pt>
                <c:pt idx="40">
                  <c:v>-3.9353550122473704E-3</c:v>
                </c:pt>
                <c:pt idx="41">
                  <c:v>-2.1443341801260099E-3</c:v>
                </c:pt>
                <c:pt idx="42">
                  <c:v>-1.2542420934976001E-3</c:v>
                </c:pt>
                <c:pt idx="43">
                  <c:v>-1.60096372670378E-3</c:v>
                </c:pt>
                <c:pt idx="44">
                  <c:v>4.93663536485034E-4</c:v>
                </c:pt>
                <c:pt idx="45">
                  <c:v>-3.2232581854914398E-4</c:v>
                </c:pt>
                <c:pt idx="46">
                  <c:v>3.0391209166082999E-3</c:v>
                </c:pt>
                <c:pt idx="47">
                  <c:v>9.4237713734774005E-4</c:v>
                </c:pt>
                <c:pt idx="48">
                  <c:v>3.3757550305481398E-3</c:v>
                </c:pt>
                <c:pt idx="49">
                  <c:v>8.64284937902917E-4</c:v>
                </c:pt>
                <c:pt idx="50">
                  <c:v>-1.00500680561122E-3</c:v>
                </c:pt>
                <c:pt idx="51">
                  <c:v>-6.4492780327666001E-5</c:v>
                </c:pt>
                <c:pt idx="52">
                  <c:v>-1.1915416117736E-3</c:v>
                </c:pt>
                <c:pt idx="53">
                  <c:v>-2.8633916300235303E-4</c:v>
                </c:pt>
                <c:pt idx="54">
                  <c:v>1.0760543639002701E-3</c:v>
                </c:pt>
                <c:pt idx="55">
                  <c:v>-7.3283135638566596E-4</c:v>
                </c:pt>
                <c:pt idx="56">
                  <c:v>-1.70208962920366E-3</c:v>
                </c:pt>
                <c:pt idx="57">
                  <c:v>6.8350585999482497E-4</c:v>
                </c:pt>
                <c:pt idx="58">
                  <c:v>1.1288786772637399E-3</c:v>
                </c:pt>
                <c:pt idx="59">
                  <c:v>3.1394488189504302E-4</c:v>
                </c:pt>
                <c:pt idx="60">
                  <c:v>-1.4221608760853501E-3</c:v>
                </c:pt>
                <c:pt idx="61">
                  <c:v>-1.3154073882110399E-3</c:v>
                </c:pt>
                <c:pt idx="62">
                  <c:v>-6.7399678155736001E-4</c:v>
                </c:pt>
                <c:pt idx="63">
                  <c:v>8.4214832125982205E-4</c:v>
                </c:pt>
                <c:pt idx="64">
                  <c:v>-1.18167222715459E-3</c:v>
                </c:pt>
                <c:pt idx="65">
                  <c:v>-5.2493200218162097E-4</c:v>
                </c:pt>
                <c:pt idx="66">
                  <c:v>-2.2916613880934302E-3</c:v>
                </c:pt>
                <c:pt idx="67">
                  <c:v>-2.4674191853374899E-3</c:v>
                </c:pt>
                <c:pt idx="68">
                  <c:v>-1.9761578914501499E-3</c:v>
                </c:pt>
                <c:pt idx="69">
                  <c:v>-9.0894698655068901E-4</c:v>
                </c:pt>
                <c:pt idx="70">
                  <c:v>-2.1933626217493598E-3</c:v>
                </c:pt>
                <c:pt idx="71">
                  <c:v>-2.4547687386633102E-3</c:v>
                </c:pt>
                <c:pt idx="72">
                  <c:v>-1.91574436174615E-3</c:v>
                </c:pt>
                <c:pt idx="73">
                  <c:v>2.0774678488868901E-4</c:v>
                </c:pt>
                <c:pt idx="74">
                  <c:v>-5.0080417923974402E-4</c:v>
                </c:pt>
                <c:pt idx="75">
                  <c:v>8.6203591316387105E-4</c:v>
                </c:pt>
                <c:pt idx="76">
                  <c:v>-6.8120482015084603E-4</c:v>
                </c:pt>
                <c:pt idx="77">
                  <c:v>-1.30769470349446E-3</c:v>
                </c:pt>
                <c:pt idx="78">
                  <c:v>-9.7483658650018303E-4</c:v>
                </c:pt>
                <c:pt idx="79">
                  <c:v>-8.8894895449453503E-4</c:v>
                </c:pt>
                <c:pt idx="80">
                  <c:v>-4.4862176504235701E-4</c:v>
                </c:pt>
                <c:pt idx="81">
                  <c:v>-1.0878839914339701E-3</c:v>
                </c:pt>
                <c:pt idx="82">
                  <c:v>5.58818356432685E-4</c:v>
                </c:pt>
                <c:pt idx="83">
                  <c:v>5.5036674661385402E-4</c:v>
                </c:pt>
                <c:pt idx="84">
                  <c:v>-2.96134452780437E-3</c:v>
                </c:pt>
                <c:pt idx="85">
                  <c:v>-2.7709792204322499E-3</c:v>
                </c:pt>
                <c:pt idx="86">
                  <c:v>-7.7881158123056695E-4</c:v>
                </c:pt>
                <c:pt idx="87">
                  <c:v>-2.0476235010106099E-3</c:v>
                </c:pt>
                <c:pt idx="88">
                  <c:v>-1.51880059973875E-3</c:v>
                </c:pt>
                <c:pt idx="89">
                  <c:v>5.9133258698978596E-4</c:v>
                </c:pt>
                <c:pt idx="90">
                  <c:v>-1.4502999680891099E-3</c:v>
                </c:pt>
                <c:pt idx="91">
                  <c:v>1.39034892432322E-3</c:v>
                </c:pt>
                <c:pt idx="92">
                  <c:v>2.81613918081919E-3</c:v>
                </c:pt>
                <c:pt idx="93">
                  <c:v>5.2002027593553597E-4</c:v>
                </c:pt>
                <c:pt idx="94">
                  <c:v>-7.5618276182488702E-4</c:v>
                </c:pt>
                <c:pt idx="95">
                  <c:v>-7.23808297199875E-4</c:v>
                </c:pt>
                <c:pt idx="96">
                  <c:v>-1.48785987381328E-3</c:v>
                </c:pt>
                <c:pt idx="97">
                  <c:v>-1.78964887314769E-3</c:v>
                </c:pt>
                <c:pt idx="98">
                  <c:v>-2.7873292073225401E-3</c:v>
                </c:pt>
                <c:pt idx="99">
                  <c:v>-2.5989379348317098E-3</c:v>
                </c:pt>
                <c:pt idx="100">
                  <c:v>-5.0545820640378099E-3</c:v>
                </c:pt>
                <c:pt idx="101">
                  <c:v>-3.1014350906031101E-3</c:v>
                </c:pt>
                <c:pt idx="102">
                  <c:v>-1.7851635520120101E-3</c:v>
                </c:pt>
                <c:pt idx="103">
                  <c:v>-2.3161675710733302E-3</c:v>
                </c:pt>
                <c:pt idx="104">
                  <c:v>7.58905230299285E-4</c:v>
                </c:pt>
                <c:pt idx="105">
                  <c:v>5.3011841716623504E-4</c:v>
                </c:pt>
                <c:pt idx="106">
                  <c:v>1.03571017641015E-3</c:v>
                </c:pt>
                <c:pt idx="107">
                  <c:v>1.4743691651652299E-3</c:v>
                </c:pt>
                <c:pt idx="108">
                  <c:v>3.4082261005280601E-3</c:v>
                </c:pt>
                <c:pt idx="109">
                  <c:v>2.07254814954879E-3</c:v>
                </c:pt>
                <c:pt idx="110">
                  <c:v>1.6770936013748401E-3</c:v>
                </c:pt>
                <c:pt idx="111">
                  <c:v>1.4495136695981601E-3</c:v>
                </c:pt>
                <c:pt idx="112">
                  <c:v>1.6447742133170299E-3</c:v>
                </c:pt>
                <c:pt idx="113">
                  <c:v>6.5987159084061398E-4</c:v>
                </c:pt>
                <c:pt idx="114">
                  <c:v>1.1130941211356001E-3</c:v>
                </c:pt>
                <c:pt idx="115">
                  <c:v>1.79735783979728E-3</c:v>
                </c:pt>
                <c:pt idx="116">
                  <c:v>1.3031156798289101E-3</c:v>
                </c:pt>
                <c:pt idx="117">
                  <c:v>1.4321852851131101E-3</c:v>
                </c:pt>
                <c:pt idx="118">
                  <c:v>-7.6816163832154997E-4</c:v>
                </c:pt>
                <c:pt idx="119">
                  <c:v>-4.7745484303176298E-4</c:v>
                </c:pt>
                <c:pt idx="120">
                  <c:v>8.1619855870180397E-4</c:v>
                </c:pt>
                <c:pt idx="121">
                  <c:v>-1.3546685346809599E-3</c:v>
                </c:pt>
                <c:pt idx="122">
                  <c:v>-1.32060782561813E-3</c:v>
                </c:pt>
                <c:pt idx="123">
                  <c:v>-1.2633685222559099E-4</c:v>
                </c:pt>
                <c:pt idx="124">
                  <c:v>5.1311246745413695E-4</c:v>
                </c:pt>
                <c:pt idx="125">
                  <c:v>1.72301581288671E-3</c:v>
                </c:pt>
                <c:pt idx="126">
                  <c:v>1.54173528346329E-3</c:v>
                </c:pt>
                <c:pt idx="127">
                  <c:v>1.37270911175276E-3</c:v>
                </c:pt>
                <c:pt idx="128">
                  <c:v>4.4531820263926102E-5</c:v>
                </c:pt>
                <c:pt idx="129">
                  <c:v>9.4847128599906405E-4</c:v>
                </c:pt>
                <c:pt idx="130">
                  <c:v>7.2531090040906497E-4</c:v>
                </c:pt>
                <c:pt idx="131">
                  <c:v>1.7009333992457499E-3</c:v>
                </c:pt>
                <c:pt idx="132">
                  <c:v>-3.3961289159763799E-4</c:v>
                </c:pt>
                <c:pt idx="133">
                  <c:v>-5.6682658368207401E-5</c:v>
                </c:pt>
                <c:pt idx="134">
                  <c:v>4.0710990112148999E-4</c:v>
                </c:pt>
                <c:pt idx="135">
                  <c:v>2.1110588937873199E-4</c:v>
                </c:pt>
                <c:pt idx="136">
                  <c:v>3.9469127260178898E-4</c:v>
                </c:pt>
                <c:pt idx="137">
                  <c:v>1.12975225979469E-3</c:v>
                </c:pt>
                <c:pt idx="138">
                  <c:v>1.3720905158351401E-3</c:v>
                </c:pt>
                <c:pt idx="139">
                  <c:v>7.4370553972724401E-4</c:v>
                </c:pt>
                <c:pt idx="140">
                  <c:v>-2.3822577671105401E-4</c:v>
                </c:pt>
                <c:pt idx="141">
                  <c:v>-1.5934492822613599E-3</c:v>
                </c:pt>
                <c:pt idx="142">
                  <c:v>-4.9828312280053404E-4</c:v>
                </c:pt>
                <c:pt idx="143">
                  <c:v>2.9660675074335299E-4</c:v>
                </c:pt>
                <c:pt idx="144">
                  <c:v>1.34330057091584E-3</c:v>
                </c:pt>
                <c:pt idx="145">
                  <c:v>-5.7138348030412602E-5</c:v>
                </c:pt>
                <c:pt idx="146">
                  <c:v>1.4984284633313999E-3</c:v>
                </c:pt>
                <c:pt idx="147">
                  <c:v>7.5001288598439304E-4</c:v>
                </c:pt>
                <c:pt idx="148">
                  <c:v>3.0532259606273599E-3</c:v>
                </c:pt>
                <c:pt idx="149">
                  <c:v>4.3124377315271502E-3</c:v>
                </c:pt>
                <c:pt idx="150">
                  <c:v>1.1684950209953999E-3</c:v>
                </c:pt>
                <c:pt idx="151">
                  <c:v>1.52379430517022E-3</c:v>
                </c:pt>
                <c:pt idx="152">
                  <c:v>2.7555742571960498E-3</c:v>
                </c:pt>
                <c:pt idx="153">
                  <c:v>-6.3139173299280895E-4</c:v>
                </c:pt>
                <c:pt idx="154">
                  <c:v>-8.4928847912992304E-4</c:v>
                </c:pt>
                <c:pt idx="155">
                  <c:v>-1.80421905587128E-3</c:v>
                </c:pt>
                <c:pt idx="156">
                  <c:v>-5.4070442544341805E-4</c:v>
                </c:pt>
                <c:pt idx="157">
                  <c:v>1.02076107830064E-4</c:v>
                </c:pt>
                <c:pt idx="158">
                  <c:v>-6.0340004520069695E-4</c:v>
                </c:pt>
                <c:pt idx="159">
                  <c:v>1.6566385051044999E-4</c:v>
                </c:pt>
                <c:pt idx="160">
                  <c:v>4.29332816127251E-4</c:v>
                </c:pt>
                <c:pt idx="161">
                  <c:v>-1.58889780047336E-3</c:v>
                </c:pt>
                <c:pt idx="162">
                  <c:v>-7.8315365834731305E-4</c:v>
                </c:pt>
                <c:pt idx="163">
                  <c:v>3.2521109130375199E-4</c:v>
                </c:pt>
                <c:pt idx="164">
                  <c:v>6.4000882963733698E-4</c:v>
                </c:pt>
                <c:pt idx="165">
                  <c:v>1.2112516893112899E-3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1"/>
          <c:tx>
            <c:strRef>
              <c:f>BWX_IGOV_2!$AG$1</c:f>
              <c:strCache>
                <c:ptCount val="1"/>
                <c:pt idx="0">
                  <c:v>log diff BWX* x 20 dma / IGOV*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BWX_IGOV_2!$AG$2:$AG$167</c:f>
              <c:numCache>
                <c:formatCode>0.00%</c:formatCode>
                <c:ptCount val="166"/>
                <c:pt idx="20">
                  <c:v>5.1351537183144896E-4</c:v>
                </c:pt>
                <c:pt idx="21">
                  <c:v>-2.63913678965744E-3</c:v>
                </c:pt>
                <c:pt idx="22">
                  <c:v>-2.3920579370412501E-3</c:v>
                </c:pt>
                <c:pt idx="23">
                  <c:v>-8.9898490888209004E-6</c:v>
                </c:pt>
                <c:pt idx="24">
                  <c:v>-2.34997572785329E-3</c:v>
                </c:pt>
                <c:pt idx="25">
                  <c:v>-3.41663870211426E-3</c:v>
                </c:pt>
                <c:pt idx="26">
                  <c:v>-8.5055262192559899E-4</c:v>
                </c:pt>
                <c:pt idx="27">
                  <c:v>-6.0651935381712298E-4</c:v>
                </c:pt>
                <c:pt idx="28">
                  <c:v>2.03261923675602E-3</c:v>
                </c:pt>
                <c:pt idx="29">
                  <c:v>2.3297494081890198E-3</c:v>
                </c:pt>
                <c:pt idx="30">
                  <c:v>1.1231677616858201E-3</c:v>
                </c:pt>
                <c:pt idx="31">
                  <c:v>2.0900935369780301E-3</c:v>
                </c:pt>
                <c:pt idx="32">
                  <c:v>1.4671845244980299E-3</c:v>
                </c:pt>
                <c:pt idx="33">
                  <c:v>-6.1429798176544702E-4</c:v>
                </c:pt>
                <c:pt idx="34">
                  <c:v>3.3846430924754402E-3</c:v>
                </c:pt>
                <c:pt idx="35">
                  <c:v>2.4728503854505798E-3</c:v>
                </c:pt>
                <c:pt idx="36">
                  <c:v>3.1348454355136998E-4</c:v>
                </c:pt>
                <c:pt idx="37">
                  <c:v>1.24646988020579E-3</c:v>
                </c:pt>
                <c:pt idx="38">
                  <c:v>-1.8001665349528201E-3</c:v>
                </c:pt>
                <c:pt idx="39">
                  <c:v>-1.82616662384556E-3</c:v>
                </c:pt>
                <c:pt idx="40">
                  <c:v>-3.2733585723960499E-3</c:v>
                </c:pt>
                <c:pt idx="41">
                  <c:v>-1.6244659904343199E-3</c:v>
                </c:pt>
                <c:pt idx="42">
                  <c:v>-1.06589585504386E-3</c:v>
                </c:pt>
                <c:pt idx="43">
                  <c:v>-1.6751046440083501E-3</c:v>
                </c:pt>
                <c:pt idx="44">
                  <c:v>4.2478312572343999E-4</c:v>
                </c:pt>
                <c:pt idx="45">
                  <c:v>-8.1501258411907499E-4</c:v>
                </c:pt>
                <c:pt idx="46">
                  <c:v>2.0684179093255302E-3</c:v>
                </c:pt>
                <c:pt idx="47">
                  <c:v>-3.6505313353255897E-5</c:v>
                </c:pt>
                <c:pt idx="48">
                  <c:v>2.1970802108144801E-3</c:v>
                </c:pt>
                <c:pt idx="49">
                  <c:v>3.1341837544975401E-5</c:v>
                </c:pt>
                <c:pt idx="50">
                  <c:v>-1.57806842531883E-3</c:v>
                </c:pt>
                <c:pt idx="51">
                  <c:v>-3.5499600158163998E-4</c:v>
                </c:pt>
                <c:pt idx="52">
                  <c:v>-1.2378336501605799E-3</c:v>
                </c:pt>
                <c:pt idx="53">
                  <c:v>-2.14286872636704E-4</c:v>
                </c:pt>
                <c:pt idx="54">
                  <c:v>1.2750929647938601E-3</c:v>
                </c:pt>
                <c:pt idx="55">
                  <c:v>-3.2838804137051198E-4</c:v>
                </c:pt>
                <c:pt idx="56">
                  <c:v>-1.1013779945562301E-3</c:v>
                </c:pt>
                <c:pt idx="57">
                  <c:v>1.02983865550109E-3</c:v>
                </c:pt>
                <c:pt idx="58">
                  <c:v>1.56657429124907E-3</c:v>
                </c:pt>
                <c:pt idx="59">
                  <c:v>4.8698494034778302E-4</c:v>
                </c:pt>
                <c:pt idx="60">
                  <c:v>-1.3512924546139301E-3</c:v>
                </c:pt>
                <c:pt idx="61">
                  <c:v>-1.34770175517005E-3</c:v>
                </c:pt>
                <c:pt idx="62">
                  <c:v>-8.4709502331434998E-4</c:v>
                </c:pt>
                <c:pt idx="63">
                  <c:v>6.79116933116862E-4</c:v>
                </c:pt>
                <c:pt idx="64">
                  <c:v>-1.3776095331552E-3</c:v>
                </c:pt>
                <c:pt idx="65">
                  <c:v>-9.0225791886695697E-4</c:v>
                </c:pt>
                <c:pt idx="66">
                  <c:v>-2.7162490596486801E-3</c:v>
                </c:pt>
                <c:pt idx="67">
                  <c:v>-2.7871361615640598E-3</c:v>
                </c:pt>
                <c:pt idx="68">
                  <c:v>-2.50705476538589E-3</c:v>
                </c:pt>
                <c:pt idx="69">
                  <c:v>-1.5795950231563001E-3</c:v>
                </c:pt>
                <c:pt idx="70">
                  <c:v>-2.9818820646605902E-3</c:v>
                </c:pt>
                <c:pt idx="71">
                  <c:v>-3.3469614068788898E-3</c:v>
                </c:pt>
                <c:pt idx="72">
                  <c:v>-2.88839874031028E-3</c:v>
                </c:pt>
                <c:pt idx="73">
                  <c:v>-9.3272860787395795E-4</c:v>
                </c:pt>
                <c:pt idx="74">
                  <c:v>-1.82672310561138E-3</c:v>
                </c:pt>
                <c:pt idx="75">
                  <c:v>-4.3006078664415299E-4</c:v>
                </c:pt>
                <c:pt idx="76">
                  <c:v>-2.0057618268683902E-3</c:v>
                </c:pt>
                <c:pt idx="77">
                  <c:v>-2.6122500483818601E-3</c:v>
                </c:pt>
                <c:pt idx="78">
                  <c:v>-2.1625336268431801E-3</c:v>
                </c:pt>
                <c:pt idx="79">
                  <c:v>-1.93730132223976E-3</c:v>
                </c:pt>
                <c:pt idx="80">
                  <c:v>-1.47269568899573E-3</c:v>
                </c:pt>
                <c:pt idx="81">
                  <c:v>-2.0097355600414402E-3</c:v>
                </c:pt>
                <c:pt idx="82">
                  <c:v>-2.4069080733325499E-4</c:v>
                </c:pt>
                <c:pt idx="83">
                  <c:v>-4.6116331125627199E-5</c:v>
                </c:pt>
                <c:pt idx="84">
                  <c:v>-3.45480680069014E-3</c:v>
                </c:pt>
                <c:pt idx="85">
                  <c:v>-3.3383924957303E-3</c:v>
                </c:pt>
                <c:pt idx="86">
                  <c:v>-1.52469762181341E-3</c:v>
                </c:pt>
                <c:pt idx="87">
                  <c:v>-2.8209514754597301E-3</c:v>
                </c:pt>
                <c:pt idx="88">
                  <c:v>-2.3339533329905498E-3</c:v>
                </c:pt>
                <c:pt idx="89">
                  <c:v>-2.6377928669574902E-4</c:v>
                </c:pt>
                <c:pt idx="90">
                  <c:v>-2.2131479965738499E-3</c:v>
                </c:pt>
                <c:pt idx="91">
                  <c:v>5.1641360226082299E-4</c:v>
                </c:pt>
                <c:pt idx="92">
                  <c:v>2.0024999103180098E-3</c:v>
                </c:pt>
                <c:pt idx="93">
                  <c:v>-3.0595935142380598E-4</c:v>
                </c:pt>
                <c:pt idx="94">
                  <c:v>-1.62366326360903E-3</c:v>
                </c:pt>
                <c:pt idx="95">
                  <c:v>-1.3953743475536701E-3</c:v>
                </c:pt>
                <c:pt idx="96">
                  <c:v>-1.8859100363363701E-3</c:v>
                </c:pt>
                <c:pt idx="97">
                  <c:v>-2.1835265500935899E-3</c:v>
                </c:pt>
                <c:pt idx="98">
                  <c:v>-3.0933246575288701E-3</c:v>
                </c:pt>
                <c:pt idx="99">
                  <c:v>-2.89035155079863E-3</c:v>
                </c:pt>
                <c:pt idx="100">
                  <c:v>-5.5231609483182504E-3</c:v>
                </c:pt>
                <c:pt idx="101">
                  <c:v>-3.6712203072949102E-3</c:v>
                </c:pt>
                <c:pt idx="102">
                  <c:v>-2.6727462275425002E-3</c:v>
                </c:pt>
                <c:pt idx="103">
                  <c:v>-3.55308474573875E-3</c:v>
                </c:pt>
                <c:pt idx="104">
                  <c:v>-6.5916048662318304E-4</c:v>
                </c:pt>
                <c:pt idx="105">
                  <c:v>-9.7736701591606494E-4</c:v>
                </c:pt>
                <c:pt idx="106">
                  <c:v>-5.94834078910953E-4</c:v>
                </c:pt>
                <c:pt idx="107">
                  <c:v>-1.1787762356209401E-4</c:v>
                </c:pt>
                <c:pt idx="108">
                  <c:v>1.84631163432777E-3</c:v>
                </c:pt>
                <c:pt idx="109">
                  <c:v>7.5767362682970202E-4</c:v>
                </c:pt>
                <c:pt idx="110">
                  <c:v>6.5254032862248497E-4</c:v>
                </c:pt>
                <c:pt idx="111">
                  <c:v>8.8654432903680005E-4</c:v>
                </c:pt>
                <c:pt idx="112">
                  <c:v>1.53454694137387E-3</c:v>
                </c:pt>
                <c:pt idx="113">
                  <c:v>1.0285139435726701E-3</c:v>
                </c:pt>
                <c:pt idx="114">
                  <c:v>1.93333843780443E-3</c:v>
                </c:pt>
                <c:pt idx="115">
                  <c:v>2.7835050444393401E-3</c:v>
                </c:pt>
                <c:pt idx="116">
                  <c:v>2.5394999522669898E-3</c:v>
                </c:pt>
                <c:pt idx="117">
                  <c:v>2.8427155230942901E-3</c:v>
                </c:pt>
                <c:pt idx="118">
                  <c:v>7.7758201249179598E-4</c:v>
                </c:pt>
                <c:pt idx="119">
                  <c:v>8.6041576767489003E-4</c:v>
                </c:pt>
                <c:pt idx="120">
                  <c:v>2.0582433243803802E-3</c:v>
                </c:pt>
                <c:pt idx="121">
                  <c:v>-2.6599977150037899E-4</c:v>
                </c:pt>
                <c:pt idx="122">
                  <c:v>-4.3488133367142699E-4</c:v>
                </c:pt>
                <c:pt idx="123">
                  <c:v>5.3895064166922899E-4</c:v>
                </c:pt>
                <c:pt idx="124">
                  <c:v>1.0195984061806601E-3</c:v>
                </c:pt>
                <c:pt idx="125">
                  <c:v>2.15039698293024E-3</c:v>
                </c:pt>
                <c:pt idx="126">
                  <c:v>1.8461073439170999E-3</c:v>
                </c:pt>
                <c:pt idx="127">
                  <c:v>1.5824146260699399E-3</c:v>
                </c:pt>
                <c:pt idx="128">
                  <c:v>1.3333496929659799E-4</c:v>
                </c:pt>
                <c:pt idx="129">
                  <c:v>1.14120198495928E-3</c:v>
                </c:pt>
                <c:pt idx="130">
                  <c:v>1.00243235803645E-3</c:v>
                </c:pt>
                <c:pt idx="131">
                  <c:v>1.9201046752017801E-3</c:v>
                </c:pt>
                <c:pt idx="132">
                  <c:v>8.5791433323550997E-5</c:v>
                </c:pt>
                <c:pt idx="133">
                  <c:v>5.2027746159519705E-4</c:v>
                </c:pt>
                <c:pt idx="134">
                  <c:v>1.0180891484437599E-3</c:v>
                </c:pt>
                <c:pt idx="135">
                  <c:v>8.5726710631950495E-4</c:v>
                </c:pt>
                <c:pt idx="136">
                  <c:v>9.9086344073424796E-4</c:v>
                </c:pt>
                <c:pt idx="137">
                  <c:v>1.6858297655388799E-3</c:v>
                </c:pt>
                <c:pt idx="138">
                  <c:v>1.9536252173097401E-3</c:v>
                </c:pt>
                <c:pt idx="139">
                  <c:v>1.40026150771898E-3</c:v>
                </c:pt>
                <c:pt idx="140">
                  <c:v>3.8312418979932501E-4</c:v>
                </c:pt>
                <c:pt idx="141">
                  <c:v>-9.8131369121204608E-4</c:v>
                </c:pt>
                <c:pt idx="142">
                  <c:v>-1.64583985776519E-4</c:v>
                </c:pt>
                <c:pt idx="143">
                  <c:v>5.6403200582050197E-4</c:v>
                </c:pt>
                <c:pt idx="144">
                  <c:v>1.5939266924065499E-3</c:v>
                </c:pt>
                <c:pt idx="145">
                  <c:v>2.0953055236676201E-4</c:v>
                </c:pt>
                <c:pt idx="146">
                  <c:v>1.7893545208592101E-3</c:v>
                </c:pt>
                <c:pt idx="147">
                  <c:v>1.12294682549556E-3</c:v>
                </c:pt>
                <c:pt idx="148">
                  <c:v>3.4010241372674698E-3</c:v>
                </c:pt>
                <c:pt idx="149">
                  <c:v>4.6543428813413503E-3</c:v>
                </c:pt>
                <c:pt idx="150">
                  <c:v>1.6672798763266801E-3</c:v>
                </c:pt>
                <c:pt idx="151">
                  <c:v>2.1289140766429602E-3</c:v>
                </c:pt>
                <c:pt idx="152">
                  <c:v>3.6810516789156401E-3</c:v>
                </c:pt>
                <c:pt idx="153">
                  <c:v>5.2408526515187602E-4</c:v>
                </c:pt>
                <c:pt idx="154">
                  <c:v>3.3098276995521201E-4</c:v>
                </c:pt>
                <c:pt idx="155">
                  <c:v>-6.87514039121829E-4</c:v>
                </c:pt>
                <c:pt idx="156">
                  <c:v>5.8706364190070899E-4</c:v>
                </c:pt>
                <c:pt idx="157">
                  <c:v>1.15630070365571E-3</c:v>
                </c:pt>
                <c:pt idx="158">
                  <c:v>5.0561554264673197E-4</c:v>
                </c:pt>
                <c:pt idx="159">
                  <c:v>1.0838854944026099E-3</c:v>
                </c:pt>
                <c:pt idx="160">
                  <c:v>1.0197125422435199E-3</c:v>
                </c:pt>
                <c:pt idx="161">
                  <c:v>-1.09673346754741E-3</c:v>
                </c:pt>
                <c:pt idx="162">
                  <c:v>-6.1411227323557099E-4</c:v>
                </c:pt>
                <c:pt idx="163">
                  <c:v>7.9179725389295298E-5</c:v>
                </c:pt>
                <c:pt idx="164">
                  <c:v>3.4803489840447098E-4</c:v>
                </c:pt>
                <c:pt idx="165">
                  <c:v>9.5618849381678701E-4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BWX_IGOV_2!$Y$1</c:f>
              <c:strCache>
                <c:ptCount val="1"/>
                <c:pt idx="0">
                  <c:v> IGOV*/BWX*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BWX_IGOV_2!$Y$2:$Y$167</c:f>
              <c:numCache>
                <c:formatCode>_(* #,##0.0000_);_(* \(#,##0.0000\);_(* "-"??_);_(@_)</c:formatCode>
                <c:ptCount val="166"/>
                <c:pt idx="0">
                  <c:v>1.8658943630327001</c:v>
                </c:pt>
                <c:pt idx="1">
                  <c:v>1.8658943630327001</c:v>
                </c:pt>
                <c:pt idx="2">
                  <c:v>1.8658943630327001</c:v>
                </c:pt>
                <c:pt idx="3">
                  <c:v>1.8658943630327001</c:v>
                </c:pt>
                <c:pt idx="4">
                  <c:v>1.8658943630327001</c:v>
                </c:pt>
                <c:pt idx="5">
                  <c:v>1.8658943630327001</c:v>
                </c:pt>
                <c:pt idx="6">
                  <c:v>1.8658943630327001</c:v>
                </c:pt>
                <c:pt idx="7">
                  <c:v>1.8658943630327001</c:v>
                </c:pt>
                <c:pt idx="8">
                  <c:v>1.8658943630327001</c:v>
                </c:pt>
                <c:pt idx="9">
                  <c:v>1.8658943630327001</c:v>
                </c:pt>
                <c:pt idx="10">
                  <c:v>1.8658943630327001</c:v>
                </c:pt>
                <c:pt idx="11">
                  <c:v>1.8658943630327001</c:v>
                </c:pt>
                <c:pt idx="12">
                  <c:v>1.8658943630327001</c:v>
                </c:pt>
                <c:pt idx="13">
                  <c:v>1.8658943630327001</c:v>
                </c:pt>
                <c:pt idx="14">
                  <c:v>1.8658943630327001</c:v>
                </c:pt>
                <c:pt idx="15">
                  <c:v>1.8658943630327001</c:v>
                </c:pt>
                <c:pt idx="16">
                  <c:v>1.8658943630327001</c:v>
                </c:pt>
                <c:pt idx="17">
                  <c:v>1.8658943630327001</c:v>
                </c:pt>
                <c:pt idx="18">
                  <c:v>1.8658943630327001</c:v>
                </c:pt>
                <c:pt idx="19">
                  <c:v>1.8658943630327001</c:v>
                </c:pt>
                <c:pt idx="20">
                  <c:v>1.8658943630327001</c:v>
                </c:pt>
                <c:pt idx="21">
                  <c:v>1.8658943630327001</c:v>
                </c:pt>
                <c:pt idx="22">
                  <c:v>1.8658943630327001</c:v>
                </c:pt>
                <c:pt idx="23">
                  <c:v>1.8658943630327001</c:v>
                </c:pt>
                <c:pt idx="24">
                  <c:v>1.8658943630327001</c:v>
                </c:pt>
                <c:pt idx="25">
                  <c:v>1.8658943630327001</c:v>
                </c:pt>
                <c:pt idx="26">
                  <c:v>1.8658943630327001</c:v>
                </c:pt>
                <c:pt idx="27">
                  <c:v>1.8658943630327001</c:v>
                </c:pt>
                <c:pt idx="28">
                  <c:v>1.8658943630327001</c:v>
                </c:pt>
                <c:pt idx="29">
                  <c:v>1.8658943630327001</c:v>
                </c:pt>
                <c:pt idx="30">
                  <c:v>1.8658943630327001</c:v>
                </c:pt>
                <c:pt idx="31">
                  <c:v>1.8658943630327001</c:v>
                </c:pt>
                <c:pt idx="32">
                  <c:v>1.8658943630327001</c:v>
                </c:pt>
                <c:pt idx="33">
                  <c:v>1.8658943630327001</c:v>
                </c:pt>
                <c:pt idx="34">
                  <c:v>1.8658943630327001</c:v>
                </c:pt>
                <c:pt idx="35">
                  <c:v>1.8658943630327001</c:v>
                </c:pt>
                <c:pt idx="36">
                  <c:v>1.8658943630327001</c:v>
                </c:pt>
                <c:pt idx="37">
                  <c:v>1.8658943630327001</c:v>
                </c:pt>
                <c:pt idx="38">
                  <c:v>1.8658943630327001</c:v>
                </c:pt>
                <c:pt idx="39">
                  <c:v>1.8658943630327001</c:v>
                </c:pt>
                <c:pt idx="40">
                  <c:v>1.8658943630327001</c:v>
                </c:pt>
                <c:pt idx="41">
                  <c:v>1.8658943630327001</c:v>
                </c:pt>
                <c:pt idx="42">
                  <c:v>1.8658943630327001</c:v>
                </c:pt>
                <c:pt idx="43">
                  <c:v>1.8658943630327001</c:v>
                </c:pt>
                <c:pt idx="44">
                  <c:v>1.8658943630327001</c:v>
                </c:pt>
                <c:pt idx="45">
                  <c:v>1.8658943630327001</c:v>
                </c:pt>
                <c:pt idx="46">
                  <c:v>1.8658943630327001</c:v>
                </c:pt>
                <c:pt idx="47">
                  <c:v>1.8658943630327001</c:v>
                </c:pt>
                <c:pt idx="48">
                  <c:v>1.8658943630327001</c:v>
                </c:pt>
                <c:pt idx="49">
                  <c:v>1.8658943630327001</c:v>
                </c:pt>
                <c:pt idx="50">
                  <c:v>1.8658943630327001</c:v>
                </c:pt>
                <c:pt idx="51">
                  <c:v>1.8658943630327001</c:v>
                </c:pt>
                <c:pt idx="52">
                  <c:v>1.8658943630327001</c:v>
                </c:pt>
                <c:pt idx="53">
                  <c:v>1.8658943630327001</c:v>
                </c:pt>
                <c:pt idx="54">
                  <c:v>1.8658943630327001</c:v>
                </c:pt>
                <c:pt idx="55">
                  <c:v>1.8658943630327001</c:v>
                </c:pt>
                <c:pt idx="56">
                  <c:v>1.8658943630327001</c:v>
                </c:pt>
                <c:pt idx="57">
                  <c:v>1.8658943630327001</c:v>
                </c:pt>
                <c:pt idx="58">
                  <c:v>1.8658943630327001</c:v>
                </c:pt>
                <c:pt idx="59">
                  <c:v>1.8658943630327001</c:v>
                </c:pt>
                <c:pt idx="60">
                  <c:v>1.8658943630327001</c:v>
                </c:pt>
                <c:pt idx="61">
                  <c:v>1.8658943630327001</c:v>
                </c:pt>
                <c:pt idx="62">
                  <c:v>1.8658943630327001</c:v>
                </c:pt>
                <c:pt idx="63">
                  <c:v>1.8658943630327001</c:v>
                </c:pt>
                <c:pt idx="64">
                  <c:v>1.8658943630327001</c:v>
                </c:pt>
                <c:pt idx="65">
                  <c:v>1.8658943630327001</c:v>
                </c:pt>
                <c:pt idx="66">
                  <c:v>1.8658943630327001</c:v>
                </c:pt>
                <c:pt idx="67">
                  <c:v>1.8658943630327001</c:v>
                </c:pt>
                <c:pt idx="68">
                  <c:v>1.8658943630327001</c:v>
                </c:pt>
                <c:pt idx="69">
                  <c:v>1.8658943630327001</c:v>
                </c:pt>
                <c:pt idx="70">
                  <c:v>1.8658943630327001</c:v>
                </c:pt>
                <c:pt idx="71">
                  <c:v>1.8658943630327001</c:v>
                </c:pt>
                <c:pt idx="72">
                  <c:v>1.8658943630327001</c:v>
                </c:pt>
                <c:pt idx="73">
                  <c:v>1.8658943630327001</c:v>
                </c:pt>
                <c:pt idx="74">
                  <c:v>1.8658943630327001</c:v>
                </c:pt>
                <c:pt idx="75">
                  <c:v>1.8658943630327001</c:v>
                </c:pt>
                <c:pt idx="76">
                  <c:v>1.8658943630327001</c:v>
                </c:pt>
                <c:pt idx="77">
                  <c:v>1.8658943630327001</c:v>
                </c:pt>
                <c:pt idx="78">
                  <c:v>1.8658943630327001</c:v>
                </c:pt>
                <c:pt idx="79">
                  <c:v>1.8658943630327001</c:v>
                </c:pt>
                <c:pt idx="80">
                  <c:v>1.8658943630327001</c:v>
                </c:pt>
                <c:pt idx="81">
                  <c:v>1.8658943630327001</c:v>
                </c:pt>
                <c:pt idx="82">
                  <c:v>1.8658943630327001</c:v>
                </c:pt>
                <c:pt idx="83">
                  <c:v>1.8658943630327001</c:v>
                </c:pt>
                <c:pt idx="84">
                  <c:v>1.8658943630327001</c:v>
                </c:pt>
                <c:pt idx="85">
                  <c:v>1.8658943630327001</c:v>
                </c:pt>
                <c:pt idx="86">
                  <c:v>1.8658943630327001</c:v>
                </c:pt>
                <c:pt idx="87">
                  <c:v>1.8658943630327001</c:v>
                </c:pt>
                <c:pt idx="88">
                  <c:v>1.8658943630327001</c:v>
                </c:pt>
                <c:pt idx="89">
                  <c:v>1.8658943630327001</c:v>
                </c:pt>
                <c:pt idx="90">
                  <c:v>1.8658943630327001</c:v>
                </c:pt>
                <c:pt idx="91">
                  <c:v>1.8658943630327001</c:v>
                </c:pt>
                <c:pt idx="92">
                  <c:v>1.8658943630327001</c:v>
                </c:pt>
                <c:pt idx="93">
                  <c:v>1.8658943630327001</c:v>
                </c:pt>
                <c:pt idx="94">
                  <c:v>1.8658943630327001</c:v>
                </c:pt>
                <c:pt idx="95">
                  <c:v>1.8658943630327001</c:v>
                </c:pt>
                <c:pt idx="96">
                  <c:v>1.8658943630327001</c:v>
                </c:pt>
                <c:pt idx="97">
                  <c:v>1.8658943630327001</c:v>
                </c:pt>
                <c:pt idx="98">
                  <c:v>1.8658943630327001</c:v>
                </c:pt>
                <c:pt idx="99">
                  <c:v>1.8658943630327001</c:v>
                </c:pt>
                <c:pt idx="100">
                  <c:v>1.8658943630327001</c:v>
                </c:pt>
                <c:pt idx="101">
                  <c:v>1.8658943630327001</c:v>
                </c:pt>
                <c:pt idx="102">
                  <c:v>1.8658943630327001</c:v>
                </c:pt>
                <c:pt idx="103">
                  <c:v>1.8658943630327001</c:v>
                </c:pt>
                <c:pt idx="104">
                  <c:v>1.8658943630327001</c:v>
                </c:pt>
                <c:pt idx="105">
                  <c:v>1.8658943630327001</c:v>
                </c:pt>
                <c:pt idx="106">
                  <c:v>1.8658943630327001</c:v>
                </c:pt>
                <c:pt idx="107">
                  <c:v>1.8658943630327001</c:v>
                </c:pt>
                <c:pt idx="108">
                  <c:v>1.8658943630327001</c:v>
                </c:pt>
                <c:pt idx="109">
                  <c:v>1.8658943630327001</c:v>
                </c:pt>
                <c:pt idx="110">
                  <c:v>1.8658943630327001</c:v>
                </c:pt>
                <c:pt idx="111">
                  <c:v>1.8658943630327001</c:v>
                </c:pt>
                <c:pt idx="112">
                  <c:v>1.8658943630327001</c:v>
                </c:pt>
                <c:pt idx="113">
                  <c:v>1.8658943630327001</c:v>
                </c:pt>
                <c:pt idx="114">
                  <c:v>1.8658943630327001</c:v>
                </c:pt>
                <c:pt idx="115">
                  <c:v>1.8658943630327001</c:v>
                </c:pt>
                <c:pt idx="116">
                  <c:v>1.8658943630327001</c:v>
                </c:pt>
                <c:pt idx="117">
                  <c:v>1.8658943630327001</c:v>
                </c:pt>
                <c:pt idx="118">
                  <c:v>1.8658943630327001</c:v>
                </c:pt>
                <c:pt idx="119">
                  <c:v>1.8658943630327001</c:v>
                </c:pt>
                <c:pt idx="120">
                  <c:v>1.8658943630327001</c:v>
                </c:pt>
                <c:pt idx="121">
                  <c:v>1.8658943630327001</c:v>
                </c:pt>
                <c:pt idx="122">
                  <c:v>1.8658943630327001</c:v>
                </c:pt>
                <c:pt idx="123">
                  <c:v>1.8658943630327001</c:v>
                </c:pt>
                <c:pt idx="124">
                  <c:v>1.8658943630327001</c:v>
                </c:pt>
                <c:pt idx="125">
                  <c:v>1.8658943630327001</c:v>
                </c:pt>
                <c:pt idx="126">
                  <c:v>1.8658943630327001</c:v>
                </c:pt>
                <c:pt idx="127">
                  <c:v>1.8658943630327001</c:v>
                </c:pt>
                <c:pt idx="128">
                  <c:v>1.8658943630327001</c:v>
                </c:pt>
                <c:pt idx="129">
                  <c:v>1.8658943630327001</c:v>
                </c:pt>
                <c:pt idx="130">
                  <c:v>1.8658943630327001</c:v>
                </c:pt>
                <c:pt idx="131">
                  <c:v>1.8658943630327001</c:v>
                </c:pt>
                <c:pt idx="132">
                  <c:v>1.8658943630327001</c:v>
                </c:pt>
                <c:pt idx="133">
                  <c:v>1.8658943630327001</c:v>
                </c:pt>
                <c:pt idx="134">
                  <c:v>1.8658943630327001</c:v>
                </c:pt>
                <c:pt idx="135">
                  <c:v>1.8658943630327001</c:v>
                </c:pt>
                <c:pt idx="136">
                  <c:v>1.8658943630327001</c:v>
                </c:pt>
                <c:pt idx="137">
                  <c:v>1.8658943630327001</c:v>
                </c:pt>
                <c:pt idx="138">
                  <c:v>1.8658943630327001</c:v>
                </c:pt>
                <c:pt idx="139">
                  <c:v>1.8658943630327001</c:v>
                </c:pt>
                <c:pt idx="140">
                  <c:v>1.8658943630327001</c:v>
                </c:pt>
                <c:pt idx="141">
                  <c:v>1.8658943630327001</c:v>
                </c:pt>
                <c:pt idx="142">
                  <c:v>1.8658943630327001</c:v>
                </c:pt>
                <c:pt idx="143">
                  <c:v>1.8658943630327001</c:v>
                </c:pt>
                <c:pt idx="144">
                  <c:v>1.8658943630327001</c:v>
                </c:pt>
                <c:pt idx="145">
                  <c:v>1.8658943630327001</c:v>
                </c:pt>
                <c:pt idx="146">
                  <c:v>1.8658943630327001</c:v>
                </c:pt>
                <c:pt idx="147">
                  <c:v>1.8658943630327001</c:v>
                </c:pt>
                <c:pt idx="148">
                  <c:v>1.8658943630327001</c:v>
                </c:pt>
                <c:pt idx="149">
                  <c:v>1.8658943630327001</c:v>
                </c:pt>
                <c:pt idx="150">
                  <c:v>1.8658943630327001</c:v>
                </c:pt>
                <c:pt idx="151">
                  <c:v>1.8658943630327001</c:v>
                </c:pt>
                <c:pt idx="152">
                  <c:v>1.8658943630327001</c:v>
                </c:pt>
                <c:pt idx="153">
                  <c:v>1.8658943630327001</c:v>
                </c:pt>
                <c:pt idx="154">
                  <c:v>1.8658943630327001</c:v>
                </c:pt>
                <c:pt idx="155">
                  <c:v>1.8658943630327001</c:v>
                </c:pt>
                <c:pt idx="156">
                  <c:v>1.8658943630327001</c:v>
                </c:pt>
                <c:pt idx="157">
                  <c:v>1.8658943630327001</c:v>
                </c:pt>
                <c:pt idx="158">
                  <c:v>1.8658943630327001</c:v>
                </c:pt>
                <c:pt idx="159">
                  <c:v>1.8658943630327001</c:v>
                </c:pt>
                <c:pt idx="160">
                  <c:v>1.8658943630327001</c:v>
                </c:pt>
                <c:pt idx="161">
                  <c:v>1.8658943630327001</c:v>
                </c:pt>
                <c:pt idx="162">
                  <c:v>1.8658943630327001</c:v>
                </c:pt>
                <c:pt idx="163">
                  <c:v>1.8658943630327001</c:v>
                </c:pt>
                <c:pt idx="164">
                  <c:v>1.8658943630327001</c:v>
                </c:pt>
                <c:pt idx="165">
                  <c:v>1.8658943630327001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BWX_IGOV_2!$Z$1</c:f>
              <c:strCache>
                <c:ptCount val="1"/>
                <c:pt idx="0">
                  <c:v> IGOV*/BWX*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BWX_IGOV_2!$Z$2:$Z$167</c:f>
              <c:numCache>
                <c:formatCode>_(* #,##0.0000_);_(* \(#,##0.0000\);_(* "-"??_);_(@_)</c:formatCode>
                <c:ptCount val="166"/>
                <c:pt idx="9">
                  <c:v>1.8557368508146399</c:v>
                </c:pt>
                <c:pt idx="10">
                  <c:v>1.85649367594041</c:v>
                </c:pt>
                <c:pt idx="11">
                  <c:v>1.85766731549372</c:v>
                </c:pt>
                <c:pt idx="12">
                  <c:v>1.85872791575648</c:v>
                </c:pt>
                <c:pt idx="13">
                  <c:v>1.8596879545903999</c:v>
                </c:pt>
                <c:pt idx="14">
                  <c:v>1.86065165877796</c:v>
                </c:pt>
                <c:pt idx="15">
                  <c:v>1.86100496675212</c:v>
                </c:pt>
                <c:pt idx="16">
                  <c:v>1.8614619724710699</c:v>
                </c:pt>
                <c:pt idx="17">
                  <c:v>1.8612976260107299</c:v>
                </c:pt>
                <c:pt idx="18">
                  <c:v>1.86170201378803</c:v>
                </c:pt>
                <c:pt idx="19">
                  <c:v>1.8613635206708801</c:v>
                </c:pt>
                <c:pt idx="20">
                  <c:v>1.8613129184281101</c:v>
                </c:pt>
                <c:pt idx="21">
                  <c:v>1.8612188927193301</c:v>
                </c:pt>
                <c:pt idx="22">
                  <c:v>1.8610941881816201</c:v>
                </c:pt>
                <c:pt idx="23">
                  <c:v>1.86071118625506</c:v>
                </c:pt>
                <c:pt idx="24">
                  <c:v>1.8610380576713801</c:v>
                </c:pt>
                <c:pt idx="25">
                  <c:v>1.86183218940781</c:v>
                </c:pt>
                <c:pt idx="26">
                  <c:v>1.8618911185668801</c:v>
                </c:pt>
                <c:pt idx="27">
                  <c:v>1.86230830277582</c:v>
                </c:pt>
                <c:pt idx="28">
                  <c:v>1.86176866213111</c:v>
                </c:pt>
                <c:pt idx="29">
                  <c:v>1.8618259508456101</c:v>
                </c:pt>
                <c:pt idx="30">
                  <c:v>1.8620168498129399</c:v>
                </c:pt>
                <c:pt idx="31">
                  <c:v>1.8614130715375601</c:v>
                </c:pt>
                <c:pt idx="32">
                  <c:v>1.8608821482084601</c:v>
                </c:pt>
                <c:pt idx="33">
                  <c:v>1.8611025430396599</c:v>
                </c:pt>
                <c:pt idx="34">
                  <c:v>1.8601068301902</c:v>
                </c:pt>
                <c:pt idx="35">
                  <c:v>1.8589831946173501</c:v>
                </c:pt>
                <c:pt idx="36">
                  <c:v>1.85866540344988</c:v>
                </c:pt>
                <c:pt idx="37">
                  <c:v>1.8581808928363901</c:v>
                </c:pt>
                <c:pt idx="38">
                  <c:v>1.8587382820879299</c:v>
                </c:pt>
                <c:pt idx="39">
                  <c:v>1.8593633519809001</c:v>
                </c:pt>
                <c:pt idx="40">
                  <c:v>1.86008235172477</c:v>
                </c:pt>
                <c:pt idx="41">
                  <c:v>1.86071208928022</c:v>
                </c:pt>
                <c:pt idx="42">
                  <c:v>1.86115811391779</c:v>
                </c:pt>
                <c:pt idx="43">
                  <c:v>1.8613589565476301</c:v>
                </c:pt>
                <c:pt idx="44">
                  <c:v>1.8619410857588199</c:v>
                </c:pt>
                <c:pt idx="45">
                  <c:v>1.8625974981114599</c:v>
                </c:pt>
                <c:pt idx="46">
                  <c:v>1.8623095838856301</c:v>
                </c:pt>
                <c:pt idx="47">
                  <c:v>1.86256903267105</c:v>
                </c:pt>
                <c:pt idx="48">
                  <c:v>1.86183860194861</c:v>
                </c:pt>
                <c:pt idx="49">
                  <c:v>1.8614962448893499</c:v>
                </c:pt>
                <c:pt idx="50">
                  <c:v>1.86116354268129</c:v>
                </c:pt>
                <c:pt idx="51">
                  <c:v>1.8608843735542</c:v>
                </c:pt>
                <c:pt idx="52">
                  <c:v>1.86088994149188</c:v>
                </c:pt>
                <c:pt idx="53">
                  <c:v>1.86061821313993</c:v>
                </c:pt>
                <c:pt idx="54">
                  <c:v>1.8604358996728401</c:v>
                </c:pt>
                <c:pt idx="55">
                  <c:v>1.8603617447677001</c:v>
                </c:pt>
                <c:pt idx="56">
                  <c:v>1.8610202959140101</c:v>
                </c:pt>
                <c:pt idx="57">
                  <c:v>1.8609396258806801</c:v>
                </c:pt>
                <c:pt idx="58">
                  <c:v>1.8611944238321301</c:v>
                </c:pt>
                <c:pt idx="59">
                  <c:v>1.8612324303327401</c:v>
                </c:pt>
                <c:pt idx="60">
                  <c:v>1.86128375870157</c:v>
                </c:pt>
                <c:pt idx="61">
                  <c:v>1.8615287724954299</c:v>
                </c:pt>
                <c:pt idx="62">
                  <c:v>1.8614968568506001</c:v>
                </c:pt>
                <c:pt idx="63">
                  <c:v>1.86134755653632</c:v>
                </c:pt>
                <c:pt idx="64">
                  <c:v>1.86184067610656</c:v>
                </c:pt>
                <c:pt idx="65">
                  <c:v>1.86194252483647</c:v>
                </c:pt>
                <c:pt idx="66">
                  <c:v>1.86221086643569</c:v>
                </c:pt>
                <c:pt idx="67">
                  <c:v>1.8629171346740201</c:v>
                </c:pt>
                <c:pt idx="68">
                  <c:v>1.8636933503608899</c:v>
                </c:pt>
                <c:pt idx="69">
                  <c:v>1.86417114194553</c:v>
                </c:pt>
                <c:pt idx="70">
                  <c:v>1.86460945667195</c:v>
                </c:pt>
                <c:pt idx="71">
                  <c:v>1.8651553114858499</c:v>
                </c:pt>
                <c:pt idx="72">
                  <c:v>1.86575011521223</c:v>
                </c:pt>
                <c:pt idx="73">
                  <c:v>1.8662933843693601</c:v>
                </c:pt>
                <c:pt idx="74">
                  <c:v>1.86666137503597</c:v>
                </c:pt>
                <c:pt idx="75">
                  <c:v>1.86688484171932</c:v>
                </c:pt>
                <c:pt idx="76">
                  <c:v>1.8670791063561101</c:v>
                </c:pt>
                <c:pt idx="77">
                  <c:v>1.86735019418491</c:v>
                </c:pt>
                <c:pt idx="78">
                  <c:v>1.8676071191888699</c:v>
                </c:pt>
                <c:pt idx="79">
                  <c:v>1.86799511376859</c:v>
                </c:pt>
                <c:pt idx="80">
                  <c:v>1.8680520030082099</c:v>
                </c:pt>
                <c:pt idx="81">
                  <c:v>1.8681413098531301</c:v>
                </c:pt>
                <c:pt idx="82">
                  <c:v>1.86797788512879</c:v>
                </c:pt>
                <c:pt idx="83">
                  <c:v>1.86813663944787</c:v>
                </c:pt>
                <c:pt idx="84">
                  <c:v>1.86878151636295</c:v>
                </c:pt>
                <c:pt idx="85">
                  <c:v>1.8696729276672699</c:v>
                </c:pt>
                <c:pt idx="86">
                  <c:v>1.8699701888514</c:v>
                </c:pt>
                <c:pt idx="87">
                  <c:v>1.87039827221929</c:v>
                </c:pt>
                <c:pt idx="88">
                  <c:v>1.8708052471758101</c:v>
                </c:pt>
                <c:pt idx="89">
                  <c:v>1.8708483713125701</c:v>
                </c:pt>
                <c:pt idx="90">
                  <c:v>1.87132140192267</c:v>
                </c:pt>
                <c:pt idx="91">
                  <c:v>1.87118501066206</c:v>
                </c:pt>
                <c:pt idx="92">
                  <c:v>1.87106753629145</c:v>
                </c:pt>
                <c:pt idx="93">
                  <c:v>1.87138200640196</c:v>
                </c:pt>
                <c:pt idx="94">
                  <c:v>1.87129406772866</c:v>
                </c:pt>
                <c:pt idx="95">
                  <c:v>1.87116226411898</c:v>
                </c:pt>
                <c:pt idx="96">
                  <c:v>1.8714441386941301</c:v>
                </c:pt>
                <c:pt idx="97">
                  <c:v>1.87154346456858</c:v>
                </c:pt>
                <c:pt idx="98">
                  <c:v>1.8718960802372</c:v>
                </c:pt>
                <c:pt idx="99">
                  <c:v>1.87260288455723</c:v>
                </c:pt>
                <c:pt idx="100">
                  <c:v>1.8734557285675699</c:v>
                </c:pt>
                <c:pt idx="101">
                  <c:v>1.8745111015109801</c:v>
                </c:pt>
                <c:pt idx="102">
                  <c:v>1.8757048508023499</c:v>
                </c:pt>
                <c:pt idx="103">
                  <c:v>1.8767008044514999</c:v>
                </c:pt>
                <c:pt idx="104">
                  <c:v>1.87694875028139</c:v>
                </c:pt>
                <c:pt idx="105">
                  <c:v>1.87727924954797</c:v>
                </c:pt>
                <c:pt idx="106">
                  <c:v>1.8774180070813999</c:v>
                </c:pt>
                <c:pt idx="107">
                  <c:v>1.87740357448577</c:v>
                </c:pt>
                <c:pt idx="108">
                  <c:v>1.8768284245776099</c:v>
                </c:pt>
                <c:pt idx="109">
                  <c:v>1.8764459531917499</c:v>
                </c:pt>
                <c:pt idx="110">
                  <c:v>1.8755669075775601</c:v>
                </c:pt>
                <c:pt idx="111">
                  <c:v>1.87492441433797</c:v>
                </c:pt>
                <c:pt idx="112">
                  <c:v>1.8743226866059299</c:v>
                </c:pt>
                <c:pt idx="113">
                  <c:v>1.87362588156805</c:v>
                </c:pt>
                <c:pt idx="114">
                  <c:v>1.8732523228865701</c:v>
                </c:pt>
                <c:pt idx="115">
                  <c:v>1.87264576620887</c:v>
                </c:pt>
                <c:pt idx="116">
                  <c:v>1.87213288046739</c:v>
                </c:pt>
                <c:pt idx="117">
                  <c:v>1.8716130323687401</c:v>
                </c:pt>
                <c:pt idx="118">
                  <c:v>1.87181657595148</c:v>
                </c:pt>
                <c:pt idx="119">
                  <c:v>1.8717933621309499</c:v>
                </c:pt>
                <c:pt idx="120">
                  <c:v>1.8714898236600299</c:v>
                </c:pt>
                <c:pt idx="121">
                  <c:v>1.87160748095013</c:v>
                </c:pt>
                <c:pt idx="122">
                  <c:v>1.8718312460983</c:v>
                </c:pt>
                <c:pt idx="123">
                  <c:v>1.8717293920995699</c:v>
                </c:pt>
                <c:pt idx="124">
                  <c:v>1.8716521631890299</c:v>
                </c:pt>
                <c:pt idx="125">
                  <c:v>1.8715063243383501</c:v>
                </c:pt>
                <c:pt idx="126">
                  <c:v>1.8713479342044701</c:v>
                </c:pt>
                <c:pt idx="127">
                  <c:v>1.87128066637959</c:v>
                </c:pt>
                <c:pt idx="128">
                  <c:v>1.8710952714459701</c:v>
                </c:pt>
                <c:pt idx="129">
                  <c:v>1.87075636498905</c:v>
                </c:pt>
                <c:pt idx="130">
                  <c:v>1.87066973964642</c:v>
                </c:pt>
                <c:pt idx="131">
                  <c:v>1.8700161166001401</c:v>
                </c:pt>
                <c:pt idx="132">
                  <c:v>1.8696731698834299</c:v>
                </c:pt>
                <c:pt idx="133">
                  <c:v>1.86944431074623</c:v>
                </c:pt>
                <c:pt idx="134">
                  <c:v>1.86923572730492</c:v>
                </c:pt>
                <c:pt idx="135">
                  <c:v>1.86927683817468</c:v>
                </c:pt>
                <c:pt idx="136">
                  <c:v>1.86926843981487</c:v>
                </c:pt>
                <c:pt idx="137">
                  <c:v>1.8691061340025299</c:v>
                </c:pt>
                <c:pt idx="138">
                  <c:v>1.8686407313143101</c:v>
                </c:pt>
                <c:pt idx="139">
                  <c:v>1.86843374099781</c:v>
                </c:pt>
                <c:pt idx="140">
                  <c:v>1.8683816336111001</c:v>
                </c:pt>
                <c:pt idx="141">
                  <c:v>1.86876869547808</c:v>
                </c:pt>
                <c:pt idx="142">
                  <c:v>1.86867357521594</c:v>
                </c:pt>
                <c:pt idx="143">
                  <c:v>1.86850759974361</c:v>
                </c:pt>
                <c:pt idx="144">
                  <c:v>1.8682391918563801</c:v>
                </c:pt>
                <c:pt idx="145">
                  <c:v>1.8681896699287801</c:v>
                </c:pt>
                <c:pt idx="146">
                  <c:v>1.8678749920404401</c:v>
                </c:pt>
                <c:pt idx="147">
                  <c:v>1.8678066685325101</c:v>
                </c:pt>
                <c:pt idx="148">
                  <c:v>1.86736359053988</c:v>
                </c:pt>
                <c:pt idx="149">
                  <c:v>1.86657124160976</c:v>
                </c:pt>
                <c:pt idx="150">
                  <c:v>1.86612249491996</c:v>
                </c:pt>
                <c:pt idx="151">
                  <c:v>1.8653144844479399</c:v>
                </c:pt>
                <c:pt idx="152">
                  <c:v>1.86436262882826</c:v>
                </c:pt>
                <c:pt idx="153">
                  <c:v>1.86410470357502</c:v>
                </c:pt>
                <c:pt idx="154">
                  <c:v>1.8640736256961301</c:v>
                </c:pt>
                <c:pt idx="155">
                  <c:v>1.8639830172604901</c:v>
                </c:pt>
                <c:pt idx="156">
                  <c:v>1.8639428908642</c:v>
                </c:pt>
                <c:pt idx="157">
                  <c:v>1.86367069582275</c:v>
                </c:pt>
                <c:pt idx="158">
                  <c:v>1.8639390002481899</c:v>
                </c:pt>
                <c:pt idx="159">
                  <c:v>1.86436922008022</c:v>
                </c:pt>
                <c:pt idx="160">
                  <c:v>1.8642869721595301</c:v>
                </c:pt>
                <c:pt idx="161">
                  <c:v>1.8646840136247</c:v>
                </c:pt>
                <c:pt idx="162">
                  <c:v>1.8652803508745099</c:v>
                </c:pt>
                <c:pt idx="163">
                  <c:v>1.8651937204711699</c:v>
                </c:pt>
                <c:pt idx="164">
                  <c:v>1.8650249027958601</c:v>
                </c:pt>
                <c:pt idx="165">
                  <c:v>1.8645576425104899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BWX_IGOV_2!$AA$1</c:f>
              <c:strCache>
                <c:ptCount val="1"/>
                <c:pt idx="0">
                  <c:v> IGOV*/BWX*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BWX_IGOV_2!$AA$2:$AA$167</c:f>
              <c:numCache>
                <c:formatCode>_(* #,##0.0000_);_(* \(#,##0.0000\);_(* "-"??_);_(@_)</c:formatCode>
                <c:ptCount val="166"/>
                <c:pt idx="19">
                  <c:v>1.85855018574276</c:v>
                </c:pt>
                <c:pt idx="20">
                  <c:v>1.8589032971842601</c:v>
                </c:pt>
                <c:pt idx="21">
                  <c:v>1.85944310410653</c:v>
                </c:pt>
                <c:pt idx="22">
                  <c:v>1.85991105196905</c:v>
                </c:pt>
                <c:pt idx="23">
                  <c:v>1.8601995704227301</c:v>
                </c:pt>
                <c:pt idx="24">
                  <c:v>1.8608448582246699</c:v>
                </c:pt>
                <c:pt idx="25">
                  <c:v>1.8614185780799699</c:v>
                </c:pt>
                <c:pt idx="26">
                  <c:v>1.8616765455189801</c:v>
                </c:pt>
                <c:pt idx="27">
                  <c:v>1.8618029643932801</c:v>
                </c:pt>
                <c:pt idx="28">
                  <c:v>1.86173533795957</c:v>
                </c:pt>
                <c:pt idx="29">
                  <c:v>1.8615947357582401</c:v>
                </c:pt>
                <c:pt idx="30">
                  <c:v>1.8616648841205301</c:v>
                </c:pt>
                <c:pt idx="31">
                  <c:v>1.86131598212845</c:v>
                </c:pt>
                <c:pt idx="32">
                  <c:v>1.86098816819504</c:v>
                </c:pt>
                <c:pt idx="33">
                  <c:v>1.8609068646473601</c:v>
                </c:pt>
                <c:pt idx="34">
                  <c:v>1.86057244393079</c:v>
                </c:pt>
                <c:pt idx="35">
                  <c:v>1.86040769201258</c:v>
                </c:pt>
                <c:pt idx="36">
                  <c:v>1.8602782610083799</c:v>
                </c:pt>
                <c:pt idx="37">
                  <c:v>1.86024459780611</c:v>
                </c:pt>
                <c:pt idx="38">
                  <c:v>1.8602534721095201</c:v>
                </c:pt>
                <c:pt idx="39">
                  <c:v>1.8605946514132501</c:v>
                </c:pt>
                <c:pt idx="40">
                  <c:v>1.86104960076885</c:v>
                </c:pt>
                <c:pt idx="41">
                  <c:v>1.8610625804088901</c:v>
                </c:pt>
                <c:pt idx="42">
                  <c:v>1.86102013106313</c:v>
                </c:pt>
                <c:pt idx="43">
                  <c:v>1.86123074979365</c:v>
                </c:pt>
                <c:pt idx="44">
                  <c:v>1.86102395797451</c:v>
                </c:pt>
                <c:pt idx="45">
                  <c:v>1.86079034636441</c:v>
                </c:pt>
                <c:pt idx="46">
                  <c:v>1.86048749366776</c:v>
                </c:pt>
                <c:pt idx="47">
                  <c:v>1.8603749627537201</c:v>
                </c:pt>
                <c:pt idx="48">
                  <c:v>1.8602884420182699</c:v>
                </c:pt>
                <c:pt idx="49">
                  <c:v>1.8604297984351199</c:v>
                </c:pt>
                <c:pt idx="50">
                  <c:v>1.86062294720303</c:v>
                </c:pt>
                <c:pt idx="51">
                  <c:v>1.86079823141721</c:v>
                </c:pt>
                <c:pt idx="52">
                  <c:v>1.86102402770484</c:v>
                </c:pt>
                <c:pt idx="53">
                  <c:v>1.8609885848437799</c:v>
                </c:pt>
                <c:pt idx="54">
                  <c:v>1.86118849271583</c:v>
                </c:pt>
                <c:pt idx="55">
                  <c:v>1.8614796214395799</c:v>
                </c:pt>
                <c:pt idx="56">
                  <c:v>1.86166493989982</c:v>
                </c:pt>
                <c:pt idx="57">
                  <c:v>1.86175432927587</c:v>
                </c:pt>
                <c:pt idx="58">
                  <c:v>1.8615165128903699</c:v>
                </c:pt>
                <c:pt idx="59">
                  <c:v>1.86136433761104</c:v>
                </c:pt>
                <c:pt idx="60">
                  <c:v>1.8612236506914299</c:v>
                </c:pt>
                <c:pt idx="61">
                  <c:v>1.86120657302482</c:v>
                </c:pt>
                <c:pt idx="62">
                  <c:v>1.8611933991712399</c:v>
                </c:pt>
                <c:pt idx="63">
                  <c:v>1.86098288483813</c:v>
                </c:pt>
                <c:pt idx="64">
                  <c:v>1.8611382878897</c:v>
                </c:pt>
                <c:pt idx="65">
                  <c:v>1.8611521348020901</c:v>
                </c:pt>
                <c:pt idx="66">
                  <c:v>1.86161558117485</c:v>
                </c:pt>
                <c:pt idx="67">
                  <c:v>1.8619283802773501</c:v>
                </c:pt>
                <c:pt idx="68">
                  <c:v>1.8624438870965101</c:v>
                </c:pt>
                <c:pt idx="69">
                  <c:v>1.86270178613913</c:v>
                </c:pt>
                <c:pt idx="70">
                  <c:v>1.86294660768676</c:v>
                </c:pt>
                <c:pt idx="71">
                  <c:v>1.8633420419906399</c:v>
                </c:pt>
                <c:pt idx="72">
                  <c:v>1.86362348603142</c:v>
                </c:pt>
                <c:pt idx="73">
                  <c:v>1.8638204704528401</c:v>
                </c:pt>
                <c:pt idx="74">
                  <c:v>1.8642510255712701</c:v>
                </c:pt>
                <c:pt idx="75">
                  <c:v>1.8644136832778999</c:v>
                </c:pt>
                <c:pt idx="76">
                  <c:v>1.8646449863959</c:v>
                </c:pt>
                <c:pt idx="77">
                  <c:v>1.86513366442946</c:v>
                </c:pt>
                <c:pt idx="78">
                  <c:v>1.86565023477488</c:v>
                </c:pt>
                <c:pt idx="79">
                  <c:v>1.86608312785706</c:v>
                </c:pt>
                <c:pt idx="80">
                  <c:v>1.86633072984008</c:v>
                </c:pt>
                <c:pt idx="81">
                  <c:v>1.86664831066949</c:v>
                </c:pt>
                <c:pt idx="82">
                  <c:v>1.8668640001705099</c:v>
                </c:pt>
                <c:pt idx="83">
                  <c:v>1.8672150119086199</c:v>
                </c:pt>
                <c:pt idx="84">
                  <c:v>1.86772144569946</c:v>
                </c:pt>
                <c:pt idx="85">
                  <c:v>1.8682788846933001</c:v>
                </c:pt>
                <c:pt idx="86">
                  <c:v>1.86852464760375</c:v>
                </c:pt>
                <c:pt idx="87">
                  <c:v>1.8688742332021</c:v>
                </c:pt>
                <c:pt idx="88">
                  <c:v>1.8692061831823401</c:v>
                </c:pt>
                <c:pt idx="89">
                  <c:v>1.8694217425405799</c:v>
                </c:pt>
                <c:pt idx="90">
                  <c:v>1.86968670246544</c:v>
                </c:pt>
                <c:pt idx="91">
                  <c:v>1.8696631602575999</c:v>
                </c:pt>
                <c:pt idx="92">
                  <c:v>1.86952271071012</c:v>
                </c:pt>
                <c:pt idx="93">
                  <c:v>1.8697593229249101</c:v>
                </c:pt>
                <c:pt idx="94">
                  <c:v>1.87003779204581</c:v>
                </c:pt>
                <c:pt idx="95">
                  <c:v>1.8704175958931299</c:v>
                </c:pt>
                <c:pt idx="96">
                  <c:v>1.8707071637727599</c:v>
                </c:pt>
                <c:pt idx="97">
                  <c:v>1.8709708683939299</c:v>
                </c:pt>
                <c:pt idx="98">
                  <c:v>1.87135066370651</c:v>
                </c:pt>
                <c:pt idx="99">
                  <c:v>1.8717256279348999</c:v>
                </c:pt>
                <c:pt idx="100">
                  <c:v>1.87238856524512</c:v>
                </c:pt>
                <c:pt idx="101">
                  <c:v>1.8728480560865199</c:v>
                </c:pt>
                <c:pt idx="102">
                  <c:v>1.8733861935469001</c:v>
                </c:pt>
                <c:pt idx="103">
                  <c:v>1.87404140542673</c:v>
                </c:pt>
                <c:pt idx="104">
                  <c:v>1.87412140900502</c:v>
                </c:pt>
                <c:pt idx="105">
                  <c:v>1.8742207568334699</c:v>
                </c:pt>
                <c:pt idx="106">
                  <c:v>1.87443107288777</c:v>
                </c:pt>
                <c:pt idx="107">
                  <c:v>1.87447351952717</c:v>
                </c:pt>
                <c:pt idx="108">
                  <c:v>1.8743622524074</c:v>
                </c:pt>
                <c:pt idx="109">
                  <c:v>1.8745244188744901</c:v>
                </c:pt>
                <c:pt idx="110">
                  <c:v>1.8745113180725701</c:v>
                </c:pt>
                <c:pt idx="111">
                  <c:v>1.87471775792447</c:v>
                </c:pt>
                <c:pt idx="112">
                  <c:v>1.8750137687041399</c:v>
                </c:pt>
                <c:pt idx="113">
                  <c:v>1.87516334300978</c:v>
                </c:pt>
                <c:pt idx="114">
                  <c:v>1.8751005365839799</c:v>
                </c:pt>
                <c:pt idx="115">
                  <c:v>1.87496250787842</c:v>
                </c:pt>
                <c:pt idx="116">
                  <c:v>1.87477544377439</c:v>
                </c:pt>
                <c:pt idx="117">
                  <c:v>1.87450830342726</c:v>
                </c:pt>
                <c:pt idx="118">
                  <c:v>1.8743225002645401</c:v>
                </c:pt>
                <c:pt idx="119">
                  <c:v>1.8741196576613499</c:v>
                </c:pt>
                <c:pt idx="120">
                  <c:v>1.87352836561879</c:v>
                </c:pt>
                <c:pt idx="121">
                  <c:v>1.8732659476440501</c:v>
                </c:pt>
                <c:pt idx="122">
                  <c:v>1.8730769663521101</c:v>
                </c:pt>
                <c:pt idx="123">
                  <c:v>1.8726776368338101</c:v>
                </c:pt>
                <c:pt idx="124">
                  <c:v>1.8724522430377999</c:v>
                </c:pt>
                <c:pt idx="125">
                  <c:v>1.87207604527361</c:v>
                </c:pt>
                <c:pt idx="126">
                  <c:v>1.8717404073359301</c:v>
                </c:pt>
                <c:pt idx="127">
                  <c:v>1.8714468493741701</c:v>
                </c:pt>
                <c:pt idx="128">
                  <c:v>1.87145592369872</c:v>
                </c:pt>
                <c:pt idx="129">
                  <c:v>1.8712748635600001</c:v>
                </c:pt>
                <c:pt idx="130">
                  <c:v>1.8710797816532201</c:v>
                </c:pt>
                <c:pt idx="131">
                  <c:v>1.87081179877513</c:v>
                </c:pt>
                <c:pt idx="132">
                  <c:v>1.8707522079908701</c:v>
                </c:pt>
                <c:pt idx="133">
                  <c:v>1.8705868514229</c:v>
                </c:pt>
                <c:pt idx="134">
                  <c:v>1.8704439452469801</c:v>
                </c:pt>
                <c:pt idx="135">
                  <c:v>1.8703915812565099</c:v>
                </c:pt>
                <c:pt idx="136">
                  <c:v>1.8703081870096701</c:v>
                </c:pt>
                <c:pt idx="137">
                  <c:v>1.8701934001910601</c:v>
                </c:pt>
                <c:pt idx="138">
                  <c:v>1.8698680013801401</c:v>
                </c:pt>
                <c:pt idx="139">
                  <c:v>1.86959505299343</c:v>
                </c:pt>
                <c:pt idx="140">
                  <c:v>1.86952568662876</c:v>
                </c:pt>
                <c:pt idx="141">
                  <c:v>1.8693924060391101</c:v>
                </c:pt>
                <c:pt idx="142">
                  <c:v>1.86917337254969</c:v>
                </c:pt>
                <c:pt idx="143">
                  <c:v>1.8689759552449201</c:v>
                </c:pt>
                <c:pt idx="144">
                  <c:v>1.8687374595806501</c:v>
                </c:pt>
                <c:pt idx="145">
                  <c:v>1.8687332540517301</c:v>
                </c:pt>
                <c:pt idx="146">
                  <c:v>1.86857171592766</c:v>
                </c:pt>
                <c:pt idx="147">
                  <c:v>1.86845640126752</c:v>
                </c:pt>
                <c:pt idx="148">
                  <c:v>1.86800216092709</c:v>
                </c:pt>
                <c:pt idx="149">
                  <c:v>1.8675024913037801</c:v>
                </c:pt>
                <c:pt idx="150">
                  <c:v>1.8672520642655299</c:v>
                </c:pt>
                <c:pt idx="151">
                  <c:v>1.86704158996301</c:v>
                </c:pt>
                <c:pt idx="152">
                  <c:v>1.8665181020221</c:v>
                </c:pt>
                <c:pt idx="153">
                  <c:v>1.86630615165932</c:v>
                </c:pt>
                <c:pt idx="154">
                  <c:v>1.8661564087762601</c:v>
                </c:pt>
                <c:pt idx="155">
                  <c:v>1.86608634359464</c:v>
                </c:pt>
                <c:pt idx="156">
                  <c:v>1.86590894145232</c:v>
                </c:pt>
                <c:pt idx="157">
                  <c:v>1.8657386821776301</c:v>
                </c:pt>
                <c:pt idx="158">
                  <c:v>1.8656512953940301</c:v>
                </c:pt>
                <c:pt idx="159">
                  <c:v>1.86547023084499</c:v>
                </c:pt>
                <c:pt idx="160">
                  <c:v>1.8652047335397399</c:v>
                </c:pt>
                <c:pt idx="161">
                  <c:v>1.8649992490363201</c:v>
                </c:pt>
                <c:pt idx="162">
                  <c:v>1.86482148985139</c:v>
                </c:pt>
                <c:pt idx="163">
                  <c:v>1.86464921202309</c:v>
                </c:pt>
                <c:pt idx="164">
                  <c:v>1.864549264246</c:v>
                </c:pt>
                <c:pt idx="165">
                  <c:v>1.8642703298854899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BWX_IGOV_2!$U$1</c:f>
              <c:strCache>
                <c:ptCount val="1"/>
                <c:pt idx="0">
                  <c:v>log diff BWX x avg / IGOV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BWX_IGOV_2!$U$2:$U$167</c:f>
              <c:numCache>
                <c:formatCode>0.00%</c:formatCode>
                <c:ptCount val="166"/>
                <c:pt idx="1">
                  <c:v>1.37778741722071E-2</c:v>
                </c:pt>
                <c:pt idx="2">
                  <c:v>1.2959098636963399E-2</c:v>
                </c:pt>
                <c:pt idx="3">
                  <c:v>1.31640026706471E-2</c:v>
                </c:pt>
                <c:pt idx="4">
                  <c:v>1.45062264278957E-2</c:v>
                </c:pt>
                <c:pt idx="5">
                  <c:v>1.2311274813384799E-2</c:v>
                </c:pt>
                <c:pt idx="6">
                  <c:v>1.11781542659686E-2</c:v>
                </c:pt>
                <c:pt idx="7">
                  <c:v>9.8686129082788902E-3</c:v>
                </c:pt>
                <c:pt idx="8">
                  <c:v>1.03539557523212E-2</c:v>
                </c:pt>
                <c:pt idx="9">
                  <c:v>9.9022641596556108E-3</c:v>
                </c:pt>
                <c:pt idx="10">
                  <c:v>1.10387970802858E-2</c:v>
                </c:pt>
                <c:pt idx="11">
                  <c:v>7.4641876094768697E-3</c:v>
                </c:pt>
                <c:pt idx="12">
                  <c:v>7.2564418104048099E-3</c:v>
                </c:pt>
                <c:pt idx="13">
                  <c:v>7.9995977966221404E-3</c:v>
                </c:pt>
                <c:pt idx="14">
                  <c:v>9.3152104631178591E-3</c:v>
                </c:pt>
                <c:pt idx="15">
                  <c:v>1.04092183139758E-2</c:v>
                </c:pt>
                <c:pt idx="16">
                  <c:v>8.7213023284358499E-3</c:v>
                </c:pt>
                <c:pt idx="17">
                  <c:v>1.07524546233351E-2</c:v>
                </c:pt>
                <c:pt idx="18">
                  <c:v>8.1814586997207197E-3</c:v>
                </c:pt>
                <c:pt idx="19">
                  <c:v>1.1723566805488901E-2</c:v>
                </c:pt>
                <c:pt idx="20">
                  <c:v>9.6246218757545104E-3</c:v>
                </c:pt>
                <c:pt idx="21">
                  <c:v>6.2827371513825402E-3</c:v>
                </c:pt>
                <c:pt idx="22">
                  <c:v>6.2350042604622799E-3</c:v>
                </c:pt>
                <c:pt idx="23">
                  <c:v>8.3664437885323205E-3</c:v>
                </c:pt>
                <c:pt idx="24">
                  <c:v>5.8733236305242697E-3</c:v>
                </c:pt>
                <c:pt idx="25">
                  <c:v>4.4709058113038304E-3</c:v>
                </c:pt>
                <c:pt idx="26">
                  <c:v>6.7360319452662203E-3</c:v>
                </c:pt>
                <c:pt idx="27">
                  <c:v>6.8443921597543499E-3</c:v>
                </c:pt>
                <c:pt idx="28">
                  <c:v>9.4206845693225998E-3</c:v>
                </c:pt>
                <c:pt idx="29">
                  <c:v>9.7570146934424194E-3</c:v>
                </c:pt>
                <c:pt idx="30">
                  <c:v>8.6252399029372404E-3</c:v>
                </c:pt>
                <c:pt idx="31">
                  <c:v>9.5443651740831897E-3</c:v>
                </c:pt>
                <c:pt idx="32">
                  <c:v>9.1081601508088798E-3</c:v>
                </c:pt>
                <c:pt idx="33">
                  <c:v>7.2035401351743297E-3</c:v>
                </c:pt>
                <c:pt idx="34">
                  <c:v>1.1254851785299299E-2</c:v>
                </c:pt>
                <c:pt idx="35">
                  <c:v>1.05184543882672E-2</c:v>
                </c:pt>
                <c:pt idx="36">
                  <c:v>8.4469177679336403E-3</c:v>
                </c:pt>
                <c:pt idx="37">
                  <c:v>9.45308929134165E-3</c:v>
                </c:pt>
                <c:pt idx="38">
                  <c:v>6.4245488285823498E-3</c:v>
                </c:pt>
                <c:pt idx="39">
                  <c:v>4.5712052304089099E-3</c:v>
                </c:pt>
                <c:pt idx="40">
                  <c:v>2.9050554844775802E-3</c:v>
                </c:pt>
                <c:pt idx="41">
                  <c:v>4.3219139134484802E-3</c:v>
                </c:pt>
                <c:pt idx="42">
                  <c:v>4.8469383628367098E-3</c:v>
                </c:pt>
                <c:pt idx="43">
                  <c:v>4.2542283369700297E-3</c:v>
                </c:pt>
                <c:pt idx="44">
                  <c:v>6.2488335603468103E-3</c:v>
                </c:pt>
                <c:pt idx="45">
                  <c:v>5.1169991793576196E-3</c:v>
                </c:pt>
                <c:pt idx="46">
                  <c:v>8.1085417056286999E-3</c:v>
                </c:pt>
                <c:pt idx="47">
                  <c:v>6.1326404220976303E-3</c:v>
                </c:pt>
                <c:pt idx="48">
                  <c:v>8.39892091651772E-3</c:v>
                </c:pt>
                <c:pt idx="49">
                  <c:v>6.3107237874453596E-3</c:v>
                </c:pt>
                <c:pt idx="50">
                  <c:v>4.6366294320340498E-3</c:v>
                </c:pt>
                <c:pt idx="51">
                  <c:v>5.7250510381833802E-3</c:v>
                </c:pt>
                <c:pt idx="52">
                  <c:v>4.7836681039045903E-3</c:v>
                </c:pt>
                <c:pt idx="53">
                  <c:v>5.6420172849149398E-3</c:v>
                </c:pt>
                <c:pt idx="54">
                  <c:v>7.1830345152070398E-3</c:v>
                </c:pt>
                <c:pt idx="55">
                  <c:v>5.4493865111866803E-3</c:v>
                </c:pt>
                <c:pt idx="56">
                  <c:v>4.5297743265793897E-3</c:v>
                </c:pt>
                <c:pt idx="57">
                  <c:v>6.5219732856233803E-3</c:v>
                </c:pt>
                <c:pt idx="58">
                  <c:v>6.9990187486630101E-3</c:v>
                </c:pt>
                <c:pt idx="59">
                  <c:v>6.04550128698536E-3</c:v>
                </c:pt>
                <c:pt idx="60">
                  <c:v>4.32709343457135E-3</c:v>
                </c:pt>
                <c:pt idx="61">
                  <c:v>2.3500711796597502E-3</c:v>
                </c:pt>
                <c:pt idx="62">
                  <c:v>2.8392085417129598E-3</c:v>
                </c:pt>
                <c:pt idx="63">
                  <c:v>4.3673138760202297E-3</c:v>
                </c:pt>
                <c:pt idx="64">
                  <c:v>2.4418064317864E-3</c:v>
                </c:pt>
                <c:pt idx="65">
                  <c:v>2.91497667131646E-3</c:v>
                </c:pt>
                <c:pt idx="66">
                  <c:v>1.08602091090659E-3</c:v>
                </c:pt>
                <c:pt idx="67">
                  <c:v>7.5356816691040003E-4</c:v>
                </c:pt>
                <c:pt idx="68">
                  <c:v>8.75711517809266E-4</c:v>
                </c:pt>
                <c:pt idx="69">
                  <c:v>1.56875399547097E-3</c:v>
                </c:pt>
                <c:pt idx="70">
                  <c:v>1.8081799733788299E-5</c:v>
                </c:pt>
                <c:pt idx="71">
                  <c:v>-4.9587024439873295E-4</c:v>
                </c:pt>
                <c:pt idx="72">
                  <c:v>-2.1229284273266701E-4</c:v>
                </c:pt>
                <c:pt idx="73">
                  <c:v>1.59973751860536E-3</c:v>
                </c:pt>
                <c:pt idx="74">
                  <c:v>5.4789131217694402E-4</c:v>
                </c:pt>
                <c:pt idx="75">
                  <c:v>1.7160795129667701E-3</c:v>
                </c:pt>
                <c:pt idx="76">
                  <c:v>3.30205195472198E-5</c:v>
                </c:pt>
                <c:pt idx="77">
                  <c:v>-6.7741133767906195E-4</c:v>
                </c:pt>
                <c:pt idx="78">
                  <c:v>-5.04805760172765E-4</c:v>
                </c:pt>
                <c:pt idx="79">
                  <c:v>-5.7164770008079498E-4</c:v>
                </c:pt>
                <c:pt idx="80">
                  <c:v>-3.7728692901935901E-4</c:v>
                </c:pt>
                <c:pt idx="81">
                  <c:v>-9.7353922888133505E-4</c:v>
                </c:pt>
                <c:pt idx="82">
                  <c:v>-1.3376005202036299E-3</c:v>
                </c:pt>
                <c:pt idx="83">
                  <c:v>-1.2925416397473299E-3</c:v>
                </c:pt>
                <c:pt idx="84">
                  <c:v>-4.8892365612829298E-3</c:v>
                </c:pt>
                <c:pt idx="85">
                  <c:v>-4.9730159053953003E-3</c:v>
                </c:pt>
                <c:pt idx="86">
                  <c:v>-3.4677963259339699E-3</c:v>
                </c:pt>
                <c:pt idx="87">
                  <c:v>-4.8688184638564997E-3</c:v>
                </c:pt>
                <c:pt idx="88">
                  <c:v>-4.6023847004734598E-3</c:v>
                </c:pt>
                <c:pt idx="89">
                  <c:v>-2.7606154241844698E-3</c:v>
                </c:pt>
                <c:pt idx="90">
                  <c:v>-4.8355412755212096E-3</c:v>
                </c:pt>
                <c:pt idx="91">
                  <c:v>-2.26827146059953E-3</c:v>
                </c:pt>
                <c:pt idx="92">
                  <c:v>-8.5299368625157404E-4</c:v>
                </c:pt>
                <c:pt idx="93">
                  <c:v>-3.0548414378568098E-3</c:v>
                </c:pt>
                <c:pt idx="94">
                  <c:v>-4.5552592568527898E-3</c:v>
                </c:pt>
                <c:pt idx="95">
                  <c:v>-4.4023509420791501E-3</c:v>
                </c:pt>
                <c:pt idx="96">
                  <c:v>-5.0994357380474403E-3</c:v>
                </c:pt>
                <c:pt idx="97">
                  <c:v>-5.5553281553351102E-3</c:v>
                </c:pt>
                <c:pt idx="98">
                  <c:v>-6.5680476562191099E-3</c:v>
                </c:pt>
                <c:pt idx="99">
                  <c:v>-6.5680476562191099E-3</c:v>
                </c:pt>
                <c:pt idx="100">
                  <c:v>-9.3772008091377607E-3</c:v>
                </c:pt>
                <c:pt idx="101">
                  <c:v>-7.8589252600880198E-3</c:v>
                </c:pt>
                <c:pt idx="102">
                  <c:v>-9.1788521906536798E-3</c:v>
                </c:pt>
                <c:pt idx="103">
                  <c:v>-1.0350842731997999E-2</c:v>
                </c:pt>
                <c:pt idx="104">
                  <c:v>-7.8636045423537398E-3</c:v>
                </c:pt>
                <c:pt idx="105">
                  <c:v>-8.2068905139908391E-3</c:v>
                </c:pt>
                <c:pt idx="106">
                  <c:v>-7.96158858457135E-3</c:v>
                </c:pt>
                <c:pt idx="107">
                  <c:v>-7.6147590097649202E-3</c:v>
                </c:pt>
                <c:pt idx="108">
                  <c:v>-5.63744411408563E-3</c:v>
                </c:pt>
                <c:pt idx="109">
                  <c:v>-6.69352449044428E-3</c:v>
                </c:pt>
                <c:pt idx="110">
                  <c:v>-6.7876068853896998E-3</c:v>
                </c:pt>
                <c:pt idx="111">
                  <c:v>-6.5466139935136201E-3</c:v>
                </c:pt>
                <c:pt idx="112">
                  <c:v>-5.98246356737235E-3</c:v>
                </c:pt>
                <c:pt idx="113">
                  <c:v>-6.6202508030366704E-3</c:v>
                </c:pt>
                <c:pt idx="114">
                  <c:v>-5.8784283307858802E-3</c:v>
                </c:pt>
                <c:pt idx="115">
                  <c:v>-5.01691044637747E-3</c:v>
                </c:pt>
                <c:pt idx="116">
                  <c:v>-5.2318920743213999E-3</c:v>
                </c:pt>
                <c:pt idx="117">
                  <c:v>-4.8513508888607896E-3</c:v>
                </c:pt>
                <c:pt idx="118">
                  <c:v>-6.77848448175655E-3</c:v>
                </c:pt>
                <c:pt idx="119">
                  <c:v>-6.5875246286836598E-3</c:v>
                </c:pt>
                <c:pt idx="120">
                  <c:v>-5.2590410899970201E-3</c:v>
                </c:pt>
                <c:pt idx="121">
                  <c:v>-7.2587879269770603E-3</c:v>
                </c:pt>
                <c:pt idx="122">
                  <c:v>-7.3189643784706401E-3</c:v>
                </c:pt>
                <c:pt idx="123">
                  <c:v>-8.3054530178613695E-3</c:v>
                </c:pt>
                <c:pt idx="124">
                  <c:v>-7.5626587868899498E-3</c:v>
                </c:pt>
                <c:pt idx="125">
                  <c:v>-6.3169105063333097E-3</c:v>
                </c:pt>
                <c:pt idx="126">
                  <c:v>-6.4856576329362699E-3</c:v>
                </c:pt>
                <c:pt idx="127">
                  <c:v>-6.5975075624047303E-3</c:v>
                </c:pt>
                <c:pt idx="128">
                  <c:v>-7.8787388891093796E-3</c:v>
                </c:pt>
                <c:pt idx="129">
                  <c:v>-6.83738326557028E-3</c:v>
                </c:pt>
                <c:pt idx="130">
                  <c:v>-6.9563235194641301E-3</c:v>
                </c:pt>
                <c:pt idx="131">
                  <c:v>-5.8574713792212798E-3</c:v>
                </c:pt>
                <c:pt idx="132">
                  <c:v>-7.5104596272846103E-3</c:v>
                </c:pt>
                <c:pt idx="133">
                  <c:v>-7.0822112751172898E-3</c:v>
                </c:pt>
                <c:pt idx="134">
                  <c:v>-6.5124052861872204E-3</c:v>
                </c:pt>
                <c:pt idx="135">
                  <c:v>-6.6242623965418104E-3</c:v>
                </c:pt>
                <c:pt idx="136">
                  <c:v>-6.4902316909375996E-3</c:v>
                </c:pt>
                <c:pt idx="137">
                  <c:v>-5.7506778546908702E-3</c:v>
                </c:pt>
                <c:pt idx="138">
                  <c:v>-5.4770151197850604E-3</c:v>
                </c:pt>
                <c:pt idx="139">
                  <c:v>-5.8341066202863001E-3</c:v>
                </c:pt>
                <c:pt idx="140">
                  <c:v>-6.6830788546419599E-3</c:v>
                </c:pt>
                <c:pt idx="141">
                  <c:v>-7.9938308053321902E-3</c:v>
                </c:pt>
                <c:pt idx="142">
                  <c:v>-7.0892705425635002E-3</c:v>
                </c:pt>
                <c:pt idx="143">
                  <c:v>-6.0966863724441402E-3</c:v>
                </c:pt>
                <c:pt idx="144">
                  <c:v>-4.98807883405465E-3</c:v>
                </c:pt>
                <c:pt idx="145">
                  <c:v>-8.2814183981245997E-3</c:v>
                </c:pt>
                <c:pt idx="146">
                  <c:v>-6.6303292594378704E-3</c:v>
                </c:pt>
                <c:pt idx="147">
                  <c:v>-7.1915878960797297E-3</c:v>
                </c:pt>
                <c:pt idx="148">
                  <c:v>-4.8829955119194099E-3</c:v>
                </c:pt>
                <c:pt idx="149">
                  <c:v>-3.30571151045555E-3</c:v>
                </c:pt>
                <c:pt idx="150">
                  <c:v>-6.1499939872821201E-3</c:v>
                </c:pt>
                <c:pt idx="151">
                  <c:v>-5.5291230827281103E-3</c:v>
                </c:pt>
                <c:pt idx="152">
                  <c:v>-3.8579920671063198E-3</c:v>
                </c:pt>
                <c:pt idx="153">
                  <c:v>-6.7408038319677101E-3</c:v>
                </c:pt>
                <c:pt idx="154">
                  <c:v>-6.8517733464876296E-3</c:v>
                </c:pt>
                <c:pt idx="155">
                  <c:v>-7.7963347116782903E-3</c:v>
                </c:pt>
                <c:pt idx="156">
                  <c:v>-6.5031537125450302E-3</c:v>
                </c:pt>
                <c:pt idx="157">
                  <c:v>-5.6887431630083E-3</c:v>
                </c:pt>
                <c:pt idx="158">
                  <c:v>-6.2791790736582099E-3</c:v>
                </c:pt>
                <c:pt idx="159">
                  <c:v>-5.6354521992680196E-3</c:v>
                </c:pt>
                <c:pt idx="160">
                  <c:v>-5.6087692329309701E-3</c:v>
                </c:pt>
                <c:pt idx="161">
                  <c:v>-7.5272803436792803E-3</c:v>
                </c:pt>
                <c:pt idx="162">
                  <c:v>-7.0025064108012102E-3</c:v>
                </c:pt>
                <c:pt idx="163">
                  <c:v>-6.2263368558843797E-3</c:v>
                </c:pt>
                <c:pt idx="164">
                  <c:v>-5.9339210562588101E-3</c:v>
                </c:pt>
                <c:pt idx="165">
                  <c:v>-5.2595994416226397E-3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BWX_IGOV_2!$V$1</c:f>
              <c:strCache>
                <c:ptCount val="1"/>
                <c:pt idx="0">
                  <c:v>log diff BWX x 10 dma / IGOV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BWX_IGOV_2!$V$2:$V$167</c:f>
              <c:numCache>
                <c:formatCode>0.00%</c:formatCode>
                <c:ptCount val="166"/>
                <c:pt idx="10">
                  <c:v>-1.27372707828626E-3</c:v>
                </c:pt>
                <c:pt idx="11">
                  <c:v>-4.4405897075148202E-3</c:v>
                </c:pt>
                <c:pt idx="12">
                  <c:v>-4.0163545046395599E-3</c:v>
                </c:pt>
                <c:pt idx="13">
                  <c:v>-2.7024302198121498E-3</c:v>
                </c:pt>
                <c:pt idx="14">
                  <c:v>-8.7044773954220395E-4</c:v>
                </c:pt>
                <c:pt idx="15">
                  <c:v>7.4163335691231102E-4</c:v>
                </c:pt>
                <c:pt idx="16">
                  <c:v>-7.5641665722286304E-4</c:v>
                </c:pt>
                <c:pt idx="17">
                  <c:v>1.52027480764704E-3</c:v>
                </c:pt>
                <c:pt idx="18">
                  <c:v>-1.1390139299920299E-3</c:v>
                </c:pt>
                <c:pt idx="19">
                  <c:v>2.6203317895335202E-3</c:v>
                </c:pt>
                <c:pt idx="20">
                  <c:v>3.39551157499918E-4</c:v>
                </c:pt>
                <c:pt idx="21">
                  <c:v>-2.8610739478840798E-3</c:v>
                </c:pt>
                <c:pt idx="22">
                  <c:v>-2.7904002612711902E-3</c:v>
                </c:pt>
                <c:pt idx="23">
                  <c:v>-5.5658909306481195E-4</c:v>
                </c:pt>
                <c:pt idx="24">
                  <c:v>-3.0864216814567502E-3</c:v>
                </c:pt>
                <c:pt idx="25">
                  <c:v>-4.1442397254271802E-3</c:v>
                </c:pt>
                <c:pt idx="26">
                  <c:v>-1.28475991935192E-3</c:v>
                </c:pt>
                <c:pt idx="27">
                  <c:v>-9.7783434621163999E-4</c:v>
                </c:pt>
                <c:pt idx="28">
                  <c:v>1.9888070444028698E-3</c:v>
                </c:pt>
                <c:pt idx="29">
                  <c:v>2.20137647357605E-3</c:v>
                </c:pt>
                <c:pt idx="30">
                  <c:v>1.2656124321673401E-3</c:v>
                </c:pt>
                <c:pt idx="31">
                  <c:v>2.2844946632414702E-3</c:v>
                </c:pt>
                <c:pt idx="32">
                  <c:v>1.52228669667522E-3</c:v>
                </c:pt>
                <c:pt idx="33">
                  <c:v>-6.6966565838835399E-4</c:v>
                </c:pt>
                <c:pt idx="34">
                  <c:v>3.4979398601030199E-3</c:v>
                </c:pt>
                <c:pt idx="35">
                  <c:v>2.2236785845362599E-3</c:v>
                </c:pt>
                <c:pt idx="36">
                  <c:v>-4.5328110274725898E-4</c:v>
                </c:pt>
                <c:pt idx="37">
                  <c:v>3.81563087493768E-4</c:v>
                </c:pt>
                <c:pt idx="38">
                  <c:v>-2.9081220956644598E-3</c:v>
                </c:pt>
                <c:pt idx="39">
                  <c:v>-4.46147424009597E-3</c:v>
                </c:pt>
                <c:pt idx="40">
                  <c:v>-5.6082074672381696E-3</c:v>
                </c:pt>
                <c:pt idx="41">
                  <c:v>-3.6179201216336898E-3</c:v>
                </c:pt>
                <c:pt idx="42">
                  <c:v>-2.57026054362007E-3</c:v>
                </c:pt>
                <c:pt idx="43">
                  <c:v>-2.7367515267370402E-3</c:v>
                </c:pt>
                <c:pt idx="44">
                  <c:v>-4.4688614373572202E-4</c:v>
                </c:pt>
                <c:pt idx="45">
                  <c:v>-1.0792711676315999E-3</c:v>
                </c:pt>
                <c:pt idx="46">
                  <c:v>2.4513970679504601E-3</c:v>
                </c:pt>
                <c:pt idx="47">
                  <c:v>5.0924426308596095E-4</c:v>
                </c:pt>
                <c:pt idx="48">
                  <c:v>3.1067953403260701E-3</c:v>
                </c:pt>
                <c:pt idx="49">
                  <c:v>8.2155960616772596E-4</c:v>
                </c:pt>
                <c:pt idx="50">
                  <c:v>-1.02651014434607E-3</c:v>
                </c:pt>
                <c:pt idx="51">
                  <c:v>-1.11588980412248E-4</c:v>
                </c:pt>
                <c:pt idx="52">
                  <c:v>-1.19340964315603E-3</c:v>
                </c:pt>
                <c:pt idx="53">
                  <c:v>-3.2872610146460999E-4</c:v>
                </c:pt>
                <c:pt idx="54">
                  <c:v>1.0733605817411099E-3</c:v>
                </c:pt>
                <c:pt idx="55">
                  <c:v>-7.5365526008908102E-4</c:v>
                </c:pt>
                <c:pt idx="56">
                  <c:v>-1.7065373201478799E-3</c:v>
                </c:pt>
                <c:pt idx="57">
                  <c:v>6.43444908137547E-4</c:v>
                </c:pt>
                <c:pt idx="58">
                  <c:v>1.0815737958397801E-3</c:v>
                </c:pt>
                <c:pt idx="59">
                  <c:v>2.6778762545318199E-4</c:v>
                </c:pt>
                <c:pt idx="60">
                  <c:v>-1.4241089456178699E-3</c:v>
                </c:pt>
                <c:pt idx="61">
                  <c:v>-3.3701387653109799E-3</c:v>
                </c:pt>
                <c:pt idx="62">
                  <c:v>-2.54299201992519E-3</c:v>
                </c:pt>
                <c:pt idx="63">
                  <c:v>-8.2015399199064599E-4</c:v>
                </c:pt>
                <c:pt idx="64">
                  <c:v>-2.6181759093284098E-3</c:v>
                </c:pt>
                <c:pt idx="65">
                  <c:v>-1.6708774445613999E-3</c:v>
                </c:pt>
                <c:pt idx="66">
                  <c:v>-3.2463219620038398E-3</c:v>
                </c:pt>
                <c:pt idx="67">
                  <c:v>-3.2339332769317801E-3</c:v>
                </c:pt>
                <c:pt idx="68">
                  <c:v>-2.5349132653429002E-3</c:v>
                </c:pt>
                <c:pt idx="69">
                  <c:v>-1.23004876409979E-3</c:v>
                </c:pt>
                <c:pt idx="70">
                  <c:v>-2.3335970061100198E-3</c:v>
                </c:pt>
                <c:pt idx="71">
                  <c:v>-2.41666322045432E-3</c:v>
                </c:pt>
                <c:pt idx="72">
                  <c:v>-1.84824921042074E-3</c:v>
                </c:pt>
                <c:pt idx="73">
                  <c:v>2.6898325523095701E-4</c:v>
                </c:pt>
                <c:pt idx="74">
                  <c:v>-5.0660043060022405E-4</c:v>
                </c:pt>
                <c:pt idx="75">
                  <c:v>8.5087801237269597E-4</c:v>
                </c:pt>
                <c:pt idx="76">
                  <c:v>-7.1247217663977596E-4</c:v>
                </c:pt>
                <c:pt idx="77">
                  <c:v>-1.31758995090921E-3</c:v>
                </c:pt>
                <c:pt idx="78">
                  <c:v>-1.0018104753511099E-3</c:v>
                </c:pt>
                <c:pt idx="79">
                  <c:v>-9.30567193727825E-4</c:v>
                </c:pt>
                <c:pt idx="80">
                  <c:v>-5.2221899432664995E-4</c:v>
                </c:pt>
                <c:pt idx="81">
                  <c:v>-1.07892236995806E-3</c:v>
                </c:pt>
                <c:pt idx="82">
                  <c:v>-1.3951777598449999E-3</c:v>
                </c:pt>
                <c:pt idx="83">
                  <c:v>-1.2375007237976599E-3</c:v>
                </c:pt>
                <c:pt idx="84">
                  <c:v>-4.5450697675094099E-3</c:v>
                </c:pt>
                <c:pt idx="85">
                  <c:v>-4.0842899505074397E-3</c:v>
                </c:pt>
                <c:pt idx="86">
                  <c:v>-1.9098885296282501E-3</c:v>
                </c:pt>
                <c:pt idx="87">
                  <c:v>-2.9608342525855201E-3</c:v>
                </c:pt>
                <c:pt idx="88">
                  <c:v>-2.2749846682312601E-3</c:v>
                </c:pt>
                <c:pt idx="89">
                  <c:v>-2.3448481362440799E-5</c:v>
                </c:pt>
                <c:pt idx="90">
                  <c:v>-1.87973574047478E-3</c:v>
                </c:pt>
                <c:pt idx="91">
                  <c:v>1.1331048564019099E-3</c:v>
                </c:pt>
                <c:pt idx="92">
                  <c:v>2.67761719358578E-3</c:v>
                </c:pt>
                <c:pt idx="93">
                  <c:v>4.2742546294360098E-4</c:v>
                </c:pt>
                <c:pt idx="94">
                  <c:v>-8.9700829895938299E-4</c:v>
                </c:pt>
                <c:pt idx="95">
                  <c:v>-7.7753382768348995E-4</c:v>
                </c:pt>
                <c:pt idx="96">
                  <c:v>-1.53174743887949E-3</c:v>
                </c:pt>
                <c:pt idx="97">
                  <c:v>-1.8243723702892701E-3</c:v>
                </c:pt>
                <c:pt idx="98">
                  <c:v>-2.7683415085449198E-3</c:v>
                </c:pt>
                <c:pt idx="99">
                  <c:v>-2.5714432823858401E-3</c:v>
                </c:pt>
                <c:pt idx="100">
                  <c:v>-4.9996712256993496E-3</c:v>
                </c:pt>
                <c:pt idx="101">
                  <c:v>-3.0260919589484999E-3</c:v>
                </c:pt>
                <c:pt idx="102">
                  <c:v>-3.7869800450163402E-3</c:v>
                </c:pt>
                <c:pt idx="103">
                  <c:v>-4.1270414322422903E-3</c:v>
                </c:pt>
                <c:pt idx="104">
                  <c:v>-9.1011818712317396E-4</c:v>
                </c:pt>
                <c:pt idx="105">
                  <c:v>-9.2287017917053898E-4</c:v>
                </c:pt>
                <c:pt idx="106">
                  <c:v>-2.9755871014838602E-4</c:v>
                </c:pt>
                <c:pt idx="107">
                  <c:v>3.3512114151942603E-4</c:v>
                </c:pt>
                <c:pt idx="108">
                  <c:v>2.51807712647972E-3</c:v>
                </c:pt>
                <c:pt idx="109">
                  <c:v>1.36912291597876E-3</c:v>
                </c:pt>
                <c:pt idx="110">
                  <c:v>1.2875701722813301E-3</c:v>
                </c:pt>
                <c:pt idx="111">
                  <c:v>1.2695681916961199E-3</c:v>
                </c:pt>
                <c:pt idx="112">
                  <c:v>1.7025593549057001E-3</c:v>
                </c:pt>
                <c:pt idx="113">
                  <c:v>7.4511539347076896E-4</c:v>
                </c:pt>
                <c:pt idx="114">
                  <c:v>1.1133905683400099E-3</c:v>
                </c:pt>
                <c:pt idx="115">
                  <c:v>1.77639507649047E-3</c:v>
                </c:pt>
                <c:pt idx="116">
                  <c:v>1.2424222968854201E-3</c:v>
                </c:pt>
                <c:pt idx="117">
                  <c:v>1.3499230537999799E-3</c:v>
                </c:pt>
                <c:pt idx="118">
                  <c:v>-8.5359841325481796E-4</c:v>
                </c:pt>
                <c:pt idx="119">
                  <c:v>-5.4850872533988902E-4</c:v>
                </c:pt>
                <c:pt idx="120">
                  <c:v>7.6936839301658996E-4</c:v>
                </c:pt>
                <c:pt idx="121">
                  <c:v>-1.38324594467537E-3</c:v>
                </c:pt>
                <c:pt idx="122">
                  <c:v>-1.3721343532019799E-3</c:v>
                </c:pt>
                <c:pt idx="123">
                  <c:v>-2.2248877372237201E-3</c:v>
                </c:pt>
                <c:pt idx="124">
                  <c:v>-1.31335439772513E-3</c:v>
                </c:pt>
                <c:pt idx="125">
                  <c:v>1.00882139653654E-4</c:v>
                </c:pt>
                <c:pt idx="126">
                  <c:v>6.2029013555613499E-5</c:v>
                </c:pt>
                <c:pt idx="127">
                  <c:v>7.5461456347825307E-5</c:v>
                </c:pt>
                <c:pt idx="128">
                  <c:v>-1.0313349468759399E-3</c:v>
                </c:pt>
                <c:pt idx="129">
                  <c:v>1.2009302260256599E-4</c:v>
                </c:pt>
                <c:pt idx="130">
                  <c:v>2.61321991290378E-5</c:v>
                </c:pt>
                <c:pt idx="131">
                  <c:v>1.2945498168022199E-3</c:v>
                </c:pt>
                <c:pt idx="132">
                  <c:v>-4.9849670690081996E-4</c:v>
                </c:pt>
                <c:pt idx="133">
                  <c:v>-5.1091299313673899E-5</c:v>
                </c:pt>
                <c:pt idx="134">
                  <c:v>3.9630192298691303E-4</c:v>
                </c:pt>
                <c:pt idx="135">
                  <c:v>1.7940041002035301E-4</c:v>
                </c:pt>
                <c:pt idx="136">
                  <c:v>3.44155597304542E-4</c:v>
                </c:pt>
                <c:pt idx="137">
                  <c:v>1.0841666808094699E-3</c:v>
                </c:pt>
                <c:pt idx="138">
                  <c:v>1.27319879729093E-3</c:v>
                </c:pt>
                <c:pt idx="139">
                  <c:v>6.7592339299261397E-4</c:v>
                </c:pt>
                <c:pt idx="140">
                  <c:v>-2.7336405741105102E-4</c:v>
                </c:pt>
                <c:pt idx="141">
                  <c:v>-1.61145205325114E-3</c:v>
                </c:pt>
                <c:pt idx="142">
                  <c:v>-4.9316255491167705E-4</c:v>
                </c:pt>
                <c:pt idx="143">
                  <c:v>4.5727216623521E-4</c:v>
                </c:pt>
                <c:pt idx="144">
                  <c:v>1.46731885568964E-3</c:v>
                </c:pt>
                <c:pt idx="145">
                  <c:v>-1.97835752015511E-3</c:v>
                </c:pt>
                <c:pt idx="146">
                  <c:v>-1.6137587726676699E-4</c:v>
                </c:pt>
                <c:pt idx="147">
                  <c:v>-7.0862357567201605E-4</c:v>
                </c:pt>
                <c:pt idx="148">
                  <c:v>1.7440477404300199E-3</c:v>
                </c:pt>
                <c:pt idx="149">
                  <c:v>3.2620139156968402E-3</c:v>
                </c:pt>
                <c:pt idx="150">
                  <c:v>1.65364641524373E-4</c:v>
                </c:pt>
                <c:pt idx="151">
                  <c:v>7.3292024356797695E-4</c:v>
                </c:pt>
                <c:pt idx="152">
                  <c:v>2.15742688868849E-3</c:v>
                </c:pt>
                <c:pt idx="153">
                  <c:v>-1.0483900054977201E-3</c:v>
                </c:pt>
                <c:pt idx="154">
                  <c:v>-1.0949030490535101E-3</c:v>
                </c:pt>
                <c:pt idx="155">
                  <c:v>-1.8530819152252299E-3</c:v>
                </c:pt>
                <c:pt idx="156">
                  <c:v>-6.0851222860392297E-4</c:v>
                </c:pt>
                <c:pt idx="157">
                  <c:v>1.9317213491586101E-4</c:v>
                </c:pt>
                <c:pt idx="158">
                  <c:v>-5.4764348941810002E-4</c:v>
                </c:pt>
                <c:pt idx="159">
                  <c:v>2.3567100591583701E-4</c:v>
                </c:pt>
                <c:pt idx="160">
                  <c:v>4.9497497395281002E-4</c:v>
                </c:pt>
                <c:pt idx="161">
                  <c:v>-1.4776479352111101E-3</c:v>
                </c:pt>
                <c:pt idx="162">
                  <c:v>-7.5298257404482298E-4</c:v>
                </c:pt>
                <c:pt idx="163">
                  <c:v>3.37331679505903E-4</c:v>
                </c:pt>
                <c:pt idx="164">
                  <c:v>5.7830357836348596E-4</c:v>
                </c:pt>
                <c:pt idx="165">
                  <c:v>1.16084670566998E-3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BWX_IGOV_2!$W$1</c:f>
              <c:strCache>
                <c:ptCount val="1"/>
                <c:pt idx="0">
                  <c:v>log diff BWX x 20 dma / IGOV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BWX_IGOV_2!$W$2:$W$167</c:f>
              <c:numCache>
                <c:formatCode>0.00%</c:formatCode>
                <c:ptCount val="166"/>
                <c:pt idx="20">
                  <c:v>-1.17302987880476E-3</c:v>
                </c:pt>
                <c:pt idx="21">
                  <c:v>-4.2406041902424496E-3</c:v>
                </c:pt>
                <c:pt idx="22">
                  <c:v>-3.9134648118256503E-3</c:v>
                </c:pt>
                <c:pt idx="23">
                  <c:v>-1.4456910575742299E-3</c:v>
                </c:pt>
                <c:pt idx="24">
                  <c:v>-3.6991902690060399E-3</c:v>
                </c:pt>
                <c:pt idx="25">
                  <c:v>-4.6703209820081297E-3</c:v>
                </c:pt>
                <c:pt idx="26">
                  <c:v>-2.0129581503162699E-3</c:v>
                </c:pt>
                <c:pt idx="27">
                  <c:v>-1.68256250505116E-3</c:v>
                </c:pt>
                <c:pt idx="28">
                  <c:v>1.0449553408736301E-3</c:v>
                </c:pt>
                <c:pt idx="29">
                  <c:v>1.42787745748215E-3</c:v>
                </c:pt>
                <c:pt idx="30">
                  <c:v>3.0335422481592898E-4</c:v>
                </c:pt>
                <c:pt idx="31">
                  <c:v>1.3429680229808099E-3</c:v>
                </c:pt>
                <c:pt idx="32">
                  <c:v>8.0278019406476698E-4</c:v>
                </c:pt>
                <c:pt idx="33">
                  <c:v>-1.19444143529746E-3</c:v>
                </c:pt>
                <c:pt idx="34">
                  <c:v>2.8967040177195701E-3</c:v>
                </c:pt>
                <c:pt idx="35">
                  <c:v>2.06350654763208E-3</c:v>
                </c:pt>
                <c:pt idx="36">
                  <c:v>-1.34809301336635E-5</c:v>
                </c:pt>
                <c:pt idx="37">
                  <c:v>1.00640803013887E-3</c:v>
                </c:pt>
                <c:pt idx="38">
                  <c:v>-1.95727376912555E-3</c:v>
                </c:pt>
                <c:pt idx="39">
                  <c:v>-3.7226809084444099E-3</c:v>
                </c:pt>
                <c:pt idx="40">
                  <c:v>-5.0312233674215303E-3</c:v>
                </c:pt>
                <c:pt idx="41">
                  <c:v>-3.2778805657152602E-3</c:v>
                </c:pt>
                <c:pt idx="42">
                  <c:v>-2.65459426107065E-3</c:v>
                </c:pt>
                <c:pt idx="43">
                  <c:v>-3.17776720134425E-3</c:v>
                </c:pt>
                <c:pt idx="44">
                  <c:v>-9.7734148818329593E-4</c:v>
                </c:pt>
                <c:pt idx="45">
                  <c:v>-2.12797343045936E-3</c:v>
                </c:pt>
                <c:pt idx="46">
                  <c:v>8.3118462596784397E-4</c:v>
                </c:pt>
                <c:pt idx="47">
                  <c:v>-1.2133345599676601E-3</c:v>
                </c:pt>
                <c:pt idx="48">
                  <c:v>1.08856341574926E-3</c:v>
                </c:pt>
                <c:pt idx="49">
                  <c:v>-9.4862847669151598E-4</c:v>
                </c:pt>
                <c:pt idx="50">
                  <c:v>-2.4505564319504602E-3</c:v>
                </c:pt>
                <c:pt idx="51">
                  <c:v>-1.16263306062336E-3</c:v>
                </c:pt>
                <c:pt idx="52">
                  <c:v>-1.9132109792570401E-3</c:v>
                </c:pt>
                <c:pt idx="53">
                  <c:v>-8.3871422982523096E-4</c:v>
                </c:pt>
                <c:pt idx="54">
                  <c:v>7.8038062763794401E-4</c:v>
                </c:pt>
                <c:pt idx="55">
                  <c:v>-7.5026954221447104E-4</c:v>
                </c:pt>
                <c:pt idx="56">
                  <c:v>-1.4169118863210401E-3</c:v>
                </c:pt>
                <c:pt idx="57">
                  <c:v>7.7101915393051304E-4</c:v>
                </c:pt>
                <c:pt idx="58">
                  <c:v>1.39428236219513E-3</c:v>
                </c:pt>
                <c:pt idx="59">
                  <c:v>4.1207277318067398E-4</c:v>
                </c:pt>
                <c:pt idx="60">
                  <c:v>-1.3800765743311001E-3</c:v>
                </c:pt>
                <c:pt idx="61">
                  <c:v>-3.4283521076281498E-3</c:v>
                </c:pt>
                <c:pt idx="62">
                  <c:v>-2.84038637777876E-3</c:v>
                </c:pt>
                <c:pt idx="63">
                  <c:v>-1.21171506110951E-3</c:v>
                </c:pt>
                <c:pt idx="64">
                  <c:v>-3.14288397395532E-3</c:v>
                </c:pt>
                <c:pt idx="65">
                  <c:v>-2.4791443603068399E-3</c:v>
                </c:pt>
                <c:pt idx="66">
                  <c:v>-4.1978532118442302E-3</c:v>
                </c:pt>
                <c:pt idx="67">
                  <c:v>-4.1789997459621602E-3</c:v>
                </c:pt>
                <c:pt idx="68">
                  <c:v>-3.7875378319638599E-3</c:v>
                </c:pt>
                <c:pt idx="69">
                  <c:v>-2.71839497672082E-3</c:v>
                </c:pt>
                <c:pt idx="70">
                  <c:v>-4.0319141989116902E-3</c:v>
                </c:pt>
                <c:pt idx="71">
                  <c:v>-4.31456725983447E-3</c:v>
                </c:pt>
                <c:pt idx="72">
                  <c:v>-3.7196170152264201E-3</c:v>
                </c:pt>
                <c:pt idx="73">
                  <c:v>-1.65751426826088E-3</c:v>
                </c:pt>
                <c:pt idx="74">
                  <c:v>-2.50734023674317E-3</c:v>
                </c:pt>
                <c:pt idx="75">
                  <c:v>-1.0077178892816999E-3</c:v>
                </c:pt>
                <c:pt idx="76">
                  <c:v>-2.50428907909001E-3</c:v>
                </c:pt>
                <c:pt idx="77">
                  <c:v>-2.9898507956026199E-3</c:v>
                </c:pt>
                <c:pt idx="78">
                  <c:v>-2.4575593619757001E-3</c:v>
                </c:pt>
                <c:pt idx="79">
                  <c:v>-2.14976469808042E-3</c:v>
                </c:pt>
                <c:pt idx="80">
                  <c:v>-1.6249836483213001E-3</c:v>
                </c:pt>
                <c:pt idx="81">
                  <c:v>-1.9862153233954202E-3</c:v>
                </c:pt>
                <c:pt idx="82">
                  <c:v>-2.1840559138170102E-3</c:v>
                </c:pt>
                <c:pt idx="83">
                  <c:v>-1.93015825994395E-3</c:v>
                </c:pt>
                <c:pt idx="84">
                  <c:v>-5.2441545050918997E-3</c:v>
                </c:pt>
                <c:pt idx="85">
                  <c:v>-4.9608691456078198E-3</c:v>
                </c:pt>
                <c:pt idx="86">
                  <c:v>-3.0609255692926698E-3</c:v>
                </c:pt>
                <c:pt idx="87">
                  <c:v>-4.2341040233330003E-3</c:v>
                </c:pt>
                <c:pt idx="88">
                  <c:v>-3.6861898845008401E-3</c:v>
                </c:pt>
                <c:pt idx="89">
                  <c:v>-1.5702934811727999E-3</c:v>
                </c:pt>
                <c:pt idx="90">
                  <c:v>-3.4289027194249898E-3</c:v>
                </c:pt>
                <c:pt idx="91">
                  <c:v>-6.1873770318777695E-4</c:v>
                </c:pt>
                <c:pt idx="92">
                  <c:v>8.8513251973076597E-4</c:v>
                </c:pt>
                <c:pt idx="93">
                  <c:v>-1.2847192954567801E-3</c:v>
                </c:pt>
                <c:pt idx="94">
                  <c:v>-2.5526774874167499E-3</c:v>
                </c:pt>
                <c:pt idx="95">
                  <c:v>-2.1446436333751998E-3</c:v>
                </c:pt>
                <c:pt idx="96">
                  <c:v>-2.53613278818685E-3</c:v>
                </c:pt>
                <c:pt idx="97">
                  <c:v>-2.7354427540644101E-3</c:v>
                </c:pt>
                <c:pt idx="98">
                  <c:v>-3.5042236056230698E-3</c:v>
                </c:pt>
                <c:pt idx="99">
                  <c:v>-3.2009637250743298E-3</c:v>
                </c:pt>
                <c:pt idx="100">
                  <c:v>-5.71028058750765E-3</c:v>
                </c:pt>
                <c:pt idx="101">
                  <c:v>-3.7415643174023299E-3</c:v>
                </c:pt>
                <c:pt idx="102">
                  <c:v>-4.7171776412913702E-3</c:v>
                </c:pt>
                <c:pt idx="103">
                  <c:v>-5.49686913065654E-3</c:v>
                </c:pt>
                <c:pt idx="104">
                  <c:v>-2.55637856436544E-3</c:v>
                </c:pt>
                <c:pt idx="105">
                  <c:v>-2.75079806929051E-3</c:v>
                </c:pt>
                <c:pt idx="106">
                  <c:v>-2.3436319974548701E-3</c:v>
                </c:pt>
                <c:pt idx="107">
                  <c:v>-1.77211612789898E-3</c:v>
                </c:pt>
                <c:pt idx="108">
                  <c:v>3.4254121879970001E-4</c:v>
                </c:pt>
                <c:pt idx="109">
                  <c:v>-6.6183201349690498E-4</c:v>
                </c:pt>
                <c:pt idx="110">
                  <c:v>-5.5954449120306795E-4</c:v>
                </c:pt>
                <c:pt idx="111">
                  <c:v>-2.20993704431206E-4</c:v>
                </c:pt>
                <c:pt idx="112">
                  <c:v>5.5664128400166905E-4</c:v>
                </c:pt>
                <c:pt idx="113">
                  <c:v>1.7449584138797599E-4</c:v>
                </c:pt>
                <c:pt idx="114">
                  <c:v>1.0942244800655099E-3</c:v>
                </c:pt>
                <c:pt idx="115">
                  <c:v>2.0217825825947101E-3</c:v>
                </c:pt>
                <c:pt idx="116">
                  <c:v>1.8374569763554599E-3</c:v>
                </c:pt>
                <c:pt idx="117">
                  <c:v>2.2246083610220901E-3</c:v>
                </c:pt>
                <c:pt idx="118">
                  <c:v>2.6234113930712798E-4</c:v>
                </c:pt>
                <c:pt idx="119">
                  <c:v>4.6381891166979799E-4</c:v>
                </c:pt>
                <c:pt idx="120">
                  <c:v>1.79327583744169E-3</c:v>
                </c:pt>
                <c:pt idx="121">
                  <c:v>-4.1245508274571701E-4</c:v>
                </c:pt>
                <c:pt idx="122">
                  <c:v>-5.0266024042654503E-4</c:v>
                </c:pt>
                <c:pt idx="123">
                  <c:v>-1.5822809401289399E-3</c:v>
                </c:pt>
                <c:pt idx="124">
                  <c:v>-9.4202822677133004E-4</c:v>
                </c:pt>
                <c:pt idx="125">
                  <c:v>2.8865620433430098E-4</c:v>
                </c:pt>
                <c:pt idx="126">
                  <c:v>2.5343548849302701E-5</c:v>
                </c:pt>
                <c:pt idx="127">
                  <c:v>-1.6035826966803401E-4</c:v>
                </c:pt>
                <c:pt idx="128">
                  <c:v>-1.49248750384229E-3</c:v>
                </c:pt>
                <c:pt idx="129">
                  <c:v>-3.39031723630922E-4</c:v>
                </c:pt>
                <c:pt idx="130">
                  <c:v>-4.5077714313741303E-4</c:v>
                </c:pt>
                <c:pt idx="131">
                  <c:v>6.5651388482542903E-4</c:v>
                </c:pt>
                <c:pt idx="132">
                  <c:v>-1.03092134095488E-3</c:v>
                </c:pt>
                <c:pt idx="133">
                  <c:v>-5.2625570262237998E-4</c:v>
                </c:pt>
                <c:pt idx="134">
                  <c:v>6.6654864491358601E-5</c:v>
                </c:pt>
                <c:pt idx="135">
                  <c:v>-1.3516058294708E-5</c:v>
                </c:pt>
                <c:pt idx="136">
                  <c:v>2.00815551086586E-4</c:v>
                </c:pt>
                <c:pt idx="137">
                  <c:v>1.00323219789597E-3</c:v>
                </c:pt>
                <c:pt idx="138">
                  <c:v>1.32179499060706E-3</c:v>
                </c:pt>
                <c:pt idx="139">
                  <c:v>8.9967155646062703E-4</c:v>
                </c:pt>
                <c:pt idx="140">
                  <c:v>1.3047407289814201E-5</c:v>
                </c:pt>
                <c:pt idx="141">
                  <c:v>-1.22655678759508E-3</c:v>
                </c:pt>
                <c:pt idx="142">
                  <c:v>-2.8521347163030402E-4</c:v>
                </c:pt>
                <c:pt idx="143">
                  <c:v>6.9588134517670805E-4</c:v>
                </c:pt>
                <c:pt idx="144">
                  <c:v>1.6939993015944899E-3</c:v>
                </c:pt>
                <c:pt idx="145">
                  <c:v>-1.72802523057288E-3</c:v>
                </c:pt>
                <c:pt idx="146">
                  <c:v>2.13577685109931E-5</c:v>
                </c:pt>
                <c:pt idx="147">
                  <c:v>-5.3266799066476898E-4</c:v>
                </c:pt>
                <c:pt idx="148">
                  <c:v>1.80563496916987E-3</c:v>
                </c:pt>
                <c:pt idx="149">
                  <c:v>3.23316662535517E-3</c:v>
                </c:pt>
                <c:pt idx="150">
                  <c:v>2.1254383862217901E-4</c:v>
                </c:pt>
                <c:pt idx="151">
                  <c:v>7.9308976653740101E-4</c:v>
                </c:pt>
                <c:pt idx="152">
                  <c:v>2.4478135545854501E-3</c:v>
                </c:pt>
                <c:pt idx="153">
                  <c:v>-6.1752486698456904E-4</c:v>
                </c:pt>
                <c:pt idx="154">
                  <c:v>-7.4557836033498201E-4</c:v>
                </c:pt>
                <c:pt idx="155">
                  <c:v>-1.6731616917351601E-3</c:v>
                </c:pt>
                <c:pt idx="156">
                  <c:v>-3.2131505021993799E-4</c:v>
                </c:pt>
                <c:pt idx="157">
                  <c:v>4.9374180364817602E-4</c:v>
                </c:pt>
                <c:pt idx="158">
                  <c:v>-9.9789413618761003E-5</c:v>
                </c:pt>
                <c:pt idx="159">
                  <c:v>5.8403277323079196E-4</c:v>
                </c:pt>
                <c:pt idx="160">
                  <c:v>6.0078778249715505E-4</c:v>
                </c:pt>
                <c:pt idx="161">
                  <c:v>-1.3714368364973399E-3</c:v>
                </c:pt>
                <c:pt idx="162">
                  <c:v>-8.7002816388854099E-4</c:v>
                </c:pt>
                <c:pt idx="163">
                  <c:v>-9.8200789360923104E-5</c:v>
                </c:pt>
                <c:pt idx="164">
                  <c:v>2.0069772978946099E-4</c:v>
                </c:pt>
                <c:pt idx="165">
                  <c:v>9.2227849443659595E-4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BWX_IGOV_2!$BY$22:$BY$167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2.2651261339626198E-3</c:v>
                </c:pt>
                <c:pt idx="7">
                  <c:v>2.3734863484508395E-3</c:v>
                </c:pt>
                <c:pt idx="8">
                  <c:v>4.9497787580189013E-3</c:v>
                </c:pt>
                <c:pt idx="9">
                  <c:v>4.6134486338988614E-3</c:v>
                </c:pt>
                <c:pt idx="10">
                  <c:v>5.7452234244041306E-3</c:v>
                </c:pt>
                <c:pt idx="11">
                  <c:v>4.8260981532582611E-3</c:v>
                </c:pt>
                <c:pt idx="12">
                  <c:v>5.2623031765324652E-3</c:v>
                </c:pt>
                <c:pt idx="13">
                  <c:v>7.1669231921668679E-3</c:v>
                </c:pt>
                <c:pt idx="14">
                  <c:v>7.1669231921668679E-3</c:v>
                </c:pt>
                <c:pt idx="15">
                  <c:v>7.9033205891991878E-3</c:v>
                </c:pt>
                <c:pt idx="16">
                  <c:v>9.9748572095328964E-3</c:v>
                </c:pt>
                <c:pt idx="17">
                  <c:v>8.9686856861249057E-3</c:v>
                </c:pt>
                <c:pt idx="18">
                  <c:v>1.1997226148884117E-2</c:v>
                </c:pt>
                <c:pt idx="19">
                  <c:v>1.1997226148884117E-2</c:v>
                </c:pt>
                <c:pt idx="20">
                  <c:v>1.1997226148884117E-2</c:v>
                </c:pt>
                <c:pt idx="21">
                  <c:v>1.3414084577854906E-2</c:v>
                </c:pt>
                <c:pt idx="22">
                  <c:v>1.3939109027243086E-2</c:v>
                </c:pt>
                <c:pt idx="23">
                  <c:v>1.3346399001376507E-2</c:v>
                </c:pt>
                <c:pt idx="24">
                  <c:v>1.5341004224753232E-2</c:v>
                </c:pt>
                <c:pt idx="25">
                  <c:v>1.5341004224753232E-2</c:v>
                </c:pt>
                <c:pt idx="26">
                  <c:v>1.5341004224753232E-2</c:v>
                </c:pt>
                <c:pt idx="27">
                  <c:v>1.7316905508284304E-2</c:v>
                </c:pt>
                <c:pt idx="28">
                  <c:v>1.7316905508284304E-2</c:v>
                </c:pt>
                <c:pt idx="29">
                  <c:v>1.9405102637356845E-2</c:v>
                </c:pt>
                <c:pt idx="30">
                  <c:v>2.1079196992767956E-2</c:v>
                </c:pt>
                <c:pt idx="31">
                  <c:v>2.1079196992767956E-2</c:v>
                </c:pt>
                <c:pt idx="32">
                  <c:v>2.1079196992767956E-2</c:v>
                </c:pt>
                <c:pt idx="33">
                  <c:v>2.1079196992767956E-2</c:v>
                </c:pt>
                <c:pt idx="34">
                  <c:v>2.1079196992767956E-2</c:v>
                </c:pt>
                <c:pt idx="35">
                  <c:v>2.1079196992767956E-2</c:v>
                </c:pt>
                <c:pt idx="36">
                  <c:v>2.1079196992767956E-2</c:v>
                </c:pt>
                <c:pt idx="37">
                  <c:v>2.1079196992767956E-2</c:v>
                </c:pt>
                <c:pt idx="38">
                  <c:v>2.1079196992767956E-2</c:v>
                </c:pt>
                <c:pt idx="39">
                  <c:v>2.1079196992767956E-2</c:v>
                </c:pt>
                <c:pt idx="40">
                  <c:v>2.1079196992767956E-2</c:v>
                </c:pt>
                <c:pt idx="41">
                  <c:v>2.1079196992767956E-2</c:v>
                </c:pt>
                <c:pt idx="42">
                  <c:v>2.1079196992767956E-2</c:v>
                </c:pt>
                <c:pt idx="43">
                  <c:v>2.1079196992767956E-2</c:v>
                </c:pt>
                <c:pt idx="44">
                  <c:v>2.1079196992767956E-2</c:v>
                </c:pt>
                <c:pt idx="45">
                  <c:v>2.1079196992767956E-2</c:v>
                </c:pt>
                <c:pt idx="46">
                  <c:v>2.1079196992767956E-2</c:v>
                </c:pt>
                <c:pt idx="47">
                  <c:v>2.1079196992767956E-2</c:v>
                </c:pt>
                <c:pt idx="48">
                  <c:v>2.1079196992767956E-2</c:v>
                </c:pt>
                <c:pt idx="49">
                  <c:v>2.1079196992767956E-2</c:v>
                </c:pt>
                <c:pt idx="50">
                  <c:v>2.1079196992767956E-2</c:v>
                </c:pt>
                <c:pt idx="51">
                  <c:v>2.1079196992767956E-2</c:v>
                </c:pt>
                <c:pt idx="52">
                  <c:v>2.1362774394433924E-2</c:v>
                </c:pt>
                <c:pt idx="53">
                  <c:v>2.3174804755772108E-2</c:v>
                </c:pt>
                <c:pt idx="54">
                  <c:v>2.2122958549343576E-2</c:v>
                </c:pt>
                <c:pt idx="55">
                  <c:v>2.3291146750133246E-2</c:v>
                </c:pt>
                <c:pt idx="56">
                  <c:v>2.3291146750133246E-2</c:v>
                </c:pt>
                <c:pt idx="57">
                  <c:v>2.3291146750133246E-2</c:v>
                </c:pt>
                <c:pt idx="58">
                  <c:v>2.3291146750133246E-2</c:v>
                </c:pt>
                <c:pt idx="59">
                  <c:v>2.3291146750133246E-2</c:v>
                </c:pt>
                <c:pt idx="60">
                  <c:v>2.3291146750133246E-2</c:v>
                </c:pt>
                <c:pt idx="61">
                  <c:v>2.3291146750133246E-2</c:v>
                </c:pt>
                <c:pt idx="62">
                  <c:v>2.3291146750133246E-2</c:v>
                </c:pt>
                <c:pt idx="63">
                  <c:v>2.3291146750133246E-2</c:v>
                </c:pt>
                <c:pt idx="64">
                  <c:v>2.3291146750133246E-2</c:v>
                </c:pt>
                <c:pt idx="65">
                  <c:v>2.3207367406020918E-2</c:v>
                </c:pt>
                <c:pt idx="66">
                  <c:v>2.4712586985482097E-2</c:v>
                </c:pt>
                <c:pt idx="67">
                  <c:v>2.3311564847559706E-2</c:v>
                </c:pt>
                <c:pt idx="68">
                  <c:v>2.3577998610942705E-2</c:v>
                </c:pt>
                <c:pt idx="69">
                  <c:v>2.5419767887231826E-2</c:v>
                </c:pt>
                <c:pt idx="70">
                  <c:v>2.5419767887231826E-2</c:v>
                </c:pt>
                <c:pt idx="71">
                  <c:v>2.5419767887231826E-2</c:v>
                </c:pt>
                <c:pt idx="72">
                  <c:v>2.5419767887231826E-2</c:v>
                </c:pt>
                <c:pt idx="73">
                  <c:v>2.7621615638836975E-2</c:v>
                </c:pt>
                <c:pt idx="74">
                  <c:v>2.7621615638836975E-2</c:v>
                </c:pt>
                <c:pt idx="75">
                  <c:v>2.7621615638836975E-2</c:v>
                </c:pt>
                <c:pt idx="76">
                  <c:v>2.7621615638836975E-2</c:v>
                </c:pt>
                <c:pt idx="77">
                  <c:v>2.7621615638836975E-2</c:v>
                </c:pt>
                <c:pt idx="78">
                  <c:v>2.7621615638836975E-2</c:v>
                </c:pt>
                <c:pt idx="79">
                  <c:v>2.7621615638836975E-2</c:v>
                </c:pt>
                <c:pt idx="80">
                  <c:v>2.4812462485918375E-2</c:v>
                </c:pt>
                <c:pt idx="81">
                  <c:v>2.6330738034968146E-2</c:v>
                </c:pt>
                <c:pt idx="82">
                  <c:v>2.6330738034968146E-2</c:v>
                </c:pt>
                <c:pt idx="83">
                  <c:v>2.6330738034968146E-2</c:v>
                </c:pt>
                <c:pt idx="84">
                  <c:v>2.8817976224612445E-2</c:v>
                </c:pt>
                <c:pt idx="85">
                  <c:v>2.8474690252975315E-2</c:v>
                </c:pt>
                <c:pt idx="86">
                  <c:v>2.8719992182394644E-2</c:v>
                </c:pt>
                <c:pt idx="87">
                  <c:v>2.9066821757201045E-2</c:v>
                </c:pt>
                <c:pt idx="88">
                  <c:v>2.9066821757201045E-2</c:v>
                </c:pt>
                <c:pt idx="89">
                  <c:v>2.9066821757201045E-2</c:v>
                </c:pt>
                <c:pt idx="90">
                  <c:v>2.9066821757201045E-2</c:v>
                </c:pt>
                <c:pt idx="91">
                  <c:v>2.9066821757201045E-2</c:v>
                </c:pt>
                <c:pt idx="92">
                  <c:v>2.9066821757201045E-2</c:v>
                </c:pt>
                <c:pt idx="93">
                  <c:v>2.9066821757201045E-2</c:v>
                </c:pt>
                <c:pt idx="94">
                  <c:v>2.9066821757201045E-2</c:v>
                </c:pt>
                <c:pt idx="95">
                  <c:v>2.9066821757201045E-2</c:v>
                </c:pt>
                <c:pt idx="96">
                  <c:v>2.9281803385145015E-2</c:v>
                </c:pt>
                <c:pt idx="97">
                  <c:v>2.8901262199684377E-2</c:v>
                </c:pt>
                <c:pt idx="98">
                  <c:v>3.0828395792580107E-2</c:v>
                </c:pt>
                <c:pt idx="99">
                  <c:v>3.0637435939507303E-2</c:v>
                </c:pt>
                <c:pt idx="100">
                  <c:v>2.9308952400820844E-2</c:v>
                </c:pt>
                <c:pt idx="101">
                  <c:v>3.130869923780067E-2</c:v>
                </c:pt>
                <c:pt idx="102">
                  <c:v>3.130869923780067E-2</c:v>
                </c:pt>
                <c:pt idx="103">
                  <c:v>3.130869923780067E-2</c:v>
                </c:pt>
                <c:pt idx="104">
                  <c:v>3.130869923780067E-2</c:v>
                </c:pt>
                <c:pt idx="105">
                  <c:v>3.130869923780067E-2</c:v>
                </c:pt>
                <c:pt idx="106">
                  <c:v>3.1477446364403618E-2</c:v>
                </c:pt>
                <c:pt idx="107">
                  <c:v>3.1589296293872096E-2</c:v>
                </c:pt>
                <c:pt idx="108">
                  <c:v>3.2870527620576781E-2</c:v>
                </c:pt>
                <c:pt idx="109">
                  <c:v>3.1829171997037761E-2</c:v>
                </c:pt>
                <c:pt idx="110">
                  <c:v>3.1948112250931603E-2</c:v>
                </c:pt>
                <c:pt idx="111">
                  <c:v>3.0849260110688892E-2</c:v>
                </c:pt>
                <c:pt idx="112">
                  <c:v>3.2502248358752192E-2</c:v>
                </c:pt>
                <c:pt idx="113">
                  <c:v>3.2074000006584814E-2</c:v>
                </c:pt>
                <c:pt idx="114">
                  <c:v>3.1504194017654662E-2</c:v>
                </c:pt>
                <c:pt idx="115">
                  <c:v>3.1616051128009269E-2</c:v>
                </c:pt>
                <c:pt idx="116">
                  <c:v>3.1482020422404951E-2</c:v>
                </c:pt>
                <c:pt idx="117">
                  <c:v>3.0742466586158194E-2</c:v>
                </c:pt>
                <c:pt idx="118">
                  <c:v>3.0468803851252575E-2</c:v>
                </c:pt>
                <c:pt idx="119">
                  <c:v>3.0825895351753684E-2</c:v>
                </c:pt>
                <c:pt idx="120">
                  <c:v>3.1674867586109524E-2</c:v>
                </c:pt>
                <c:pt idx="121">
                  <c:v>3.2985619536799814E-2</c:v>
                </c:pt>
                <c:pt idx="122">
                  <c:v>3.2985619536799814E-2</c:v>
                </c:pt>
                <c:pt idx="123">
                  <c:v>3.2985619536799814E-2</c:v>
                </c:pt>
                <c:pt idx="124">
                  <c:v>3.2985619536799814E-2</c:v>
                </c:pt>
                <c:pt idx="125">
                  <c:v>3.2985619536799814E-2</c:v>
                </c:pt>
                <c:pt idx="126">
                  <c:v>3.2985619536799814E-2</c:v>
                </c:pt>
                <c:pt idx="127">
                  <c:v>3.2985619536799814E-2</c:v>
                </c:pt>
                <c:pt idx="128">
                  <c:v>3.2985619536799814E-2</c:v>
                </c:pt>
                <c:pt idx="129">
                  <c:v>3.1408335535336111E-2</c:v>
                </c:pt>
                <c:pt idx="130">
                  <c:v>3.4252618012162589E-2</c:v>
                </c:pt>
                <c:pt idx="131">
                  <c:v>3.3631747107608537E-2</c:v>
                </c:pt>
                <c:pt idx="132">
                  <c:v>3.1960616091986728E-2</c:v>
                </c:pt>
                <c:pt idx="133">
                  <c:v>3.4843427856848033E-2</c:v>
                </c:pt>
                <c:pt idx="134">
                  <c:v>3.4954397371367935E-2</c:v>
                </c:pt>
                <c:pt idx="135">
                  <c:v>3.5898958736558365E-2</c:v>
                </c:pt>
                <c:pt idx="136">
                  <c:v>3.5898958736558365E-2</c:v>
                </c:pt>
                <c:pt idx="137">
                  <c:v>3.5898958736558365E-2</c:v>
                </c:pt>
                <c:pt idx="138">
                  <c:v>3.5898958736558365E-2</c:v>
                </c:pt>
                <c:pt idx="139">
                  <c:v>3.5898958736558365E-2</c:v>
                </c:pt>
                <c:pt idx="140">
                  <c:v>3.5898958736558365E-2</c:v>
                </c:pt>
                <c:pt idx="141">
                  <c:v>3.5898958736558365E-2</c:v>
                </c:pt>
                <c:pt idx="142">
                  <c:v>3.5898958736558365E-2</c:v>
                </c:pt>
                <c:pt idx="143">
                  <c:v>3.5898958736558365E-2</c:v>
                </c:pt>
                <c:pt idx="144">
                  <c:v>3.5898958736558365E-2</c:v>
                </c:pt>
                <c:pt idx="145">
                  <c:v>3.5898958736558365E-2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BWX_IGOV_2!$BJ$22:$BJ$167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2.2651261339626198E-3</c:v>
                </c:pt>
                <c:pt idx="7">
                  <c:v>2.3734863484508395E-3</c:v>
                </c:pt>
                <c:pt idx="8">
                  <c:v>4.9497787580189013E-3</c:v>
                </c:pt>
                <c:pt idx="9">
                  <c:v>4.9497787580189013E-3</c:v>
                </c:pt>
                <c:pt idx="10">
                  <c:v>4.9497787580189013E-3</c:v>
                </c:pt>
                <c:pt idx="11">
                  <c:v>4.9497787580189013E-3</c:v>
                </c:pt>
                <c:pt idx="12">
                  <c:v>4.9497787580189013E-3</c:v>
                </c:pt>
                <c:pt idx="13">
                  <c:v>4.9497787580189013E-3</c:v>
                </c:pt>
                <c:pt idx="14">
                  <c:v>4.9497787580189013E-3</c:v>
                </c:pt>
                <c:pt idx="15">
                  <c:v>4.9497787580189013E-3</c:v>
                </c:pt>
                <c:pt idx="16">
                  <c:v>4.9497787580189013E-3</c:v>
                </c:pt>
                <c:pt idx="17">
                  <c:v>4.9497787580189013E-3</c:v>
                </c:pt>
                <c:pt idx="18">
                  <c:v>4.9497787580189013E-3</c:v>
                </c:pt>
                <c:pt idx="19">
                  <c:v>4.9497787580189013E-3</c:v>
                </c:pt>
                <c:pt idx="20">
                  <c:v>4.9497787580189013E-3</c:v>
                </c:pt>
                <c:pt idx="21">
                  <c:v>6.3666371869896916E-3</c:v>
                </c:pt>
                <c:pt idx="22">
                  <c:v>6.8916616363778717E-3</c:v>
                </c:pt>
                <c:pt idx="23">
                  <c:v>6.2989516105112914E-3</c:v>
                </c:pt>
                <c:pt idx="24">
                  <c:v>8.2935568338880165E-3</c:v>
                </c:pt>
                <c:pt idx="25">
                  <c:v>8.2935568338880165E-3</c:v>
                </c:pt>
                <c:pt idx="26">
                  <c:v>8.2935568338880165E-3</c:v>
                </c:pt>
                <c:pt idx="27">
                  <c:v>8.2935568338880165E-3</c:v>
                </c:pt>
                <c:pt idx="28">
                  <c:v>8.2935568338880165E-3</c:v>
                </c:pt>
                <c:pt idx="29">
                  <c:v>8.2935568338880165E-3</c:v>
                </c:pt>
                <c:pt idx="30">
                  <c:v>8.2935568338880165E-3</c:v>
                </c:pt>
                <c:pt idx="31">
                  <c:v>8.2935568338880165E-3</c:v>
                </c:pt>
                <c:pt idx="32">
                  <c:v>8.2935568338880165E-3</c:v>
                </c:pt>
                <c:pt idx="33">
                  <c:v>8.2935568338880165E-3</c:v>
                </c:pt>
                <c:pt idx="34">
                  <c:v>8.2935568338880165E-3</c:v>
                </c:pt>
                <c:pt idx="35">
                  <c:v>8.2935568338880165E-3</c:v>
                </c:pt>
                <c:pt idx="36">
                  <c:v>8.2935568338880165E-3</c:v>
                </c:pt>
                <c:pt idx="37">
                  <c:v>8.2935568338880165E-3</c:v>
                </c:pt>
                <c:pt idx="38">
                  <c:v>8.2935568338880165E-3</c:v>
                </c:pt>
                <c:pt idx="39">
                  <c:v>8.2935568338880165E-3</c:v>
                </c:pt>
                <c:pt idx="40">
                  <c:v>8.2935568338880165E-3</c:v>
                </c:pt>
                <c:pt idx="41">
                  <c:v>8.2935568338880165E-3</c:v>
                </c:pt>
                <c:pt idx="42">
                  <c:v>8.2935568338880165E-3</c:v>
                </c:pt>
                <c:pt idx="43">
                  <c:v>8.2935568338880165E-3</c:v>
                </c:pt>
                <c:pt idx="44">
                  <c:v>8.2935568338880165E-3</c:v>
                </c:pt>
                <c:pt idx="45">
                  <c:v>8.2935568338880165E-3</c:v>
                </c:pt>
                <c:pt idx="46">
                  <c:v>8.2935568338880165E-3</c:v>
                </c:pt>
                <c:pt idx="47">
                  <c:v>8.2935568338880165E-3</c:v>
                </c:pt>
                <c:pt idx="48">
                  <c:v>8.2935568338880165E-3</c:v>
                </c:pt>
                <c:pt idx="49">
                  <c:v>8.2935568338880165E-3</c:v>
                </c:pt>
                <c:pt idx="50">
                  <c:v>8.2935568338880165E-3</c:v>
                </c:pt>
                <c:pt idx="51">
                  <c:v>8.2935568338880165E-3</c:v>
                </c:pt>
                <c:pt idx="52">
                  <c:v>8.5771342355539862E-3</c:v>
                </c:pt>
                <c:pt idx="53">
                  <c:v>1.0389164596892169E-2</c:v>
                </c:pt>
                <c:pt idx="54">
                  <c:v>9.3373183904636378E-3</c:v>
                </c:pt>
                <c:pt idx="55">
                  <c:v>1.0505506591253308E-2</c:v>
                </c:pt>
                <c:pt idx="56">
                  <c:v>1.0505506591253308E-2</c:v>
                </c:pt>
                <c:pt idx="57">
                  <c:v>1.0505506591253308E-2</c:v>
                </c:pt>
                <c:pt idx="58">
                  <c:v>1.0505506591253308E-2</c:v>
                </c:pt>
                <c:pt idx="59">
                  <c:v>1.0505506591253308E-2</c:v>
                </c:pt>
                <c:pt idx="60">
                  <c:v>1.0505506591253308E-2</c:v>
                </c:pt>
                <c:pt idx="61">
                  <c:v>1.0505506591253308E-2</c:v>
                </c:pt>
                <c:pt idx="62">
                  <c:v>1.0505506591253308E-2</c:v>
                </c:pt>
                <c:pt idx="63">
                  <c:v>1.0505506591253308E-2</c:v>
                </c:pt>
                <c:pt idx="64">
                  <c:v>1.0505506591253308E-2</c:v>
                </c:pt>
                <c:pt idx="65">
                  <c:v>1.0421727247140978E-2</c:v>
                </c:pt>
                <c:pt idx="66">
                  <c:v>1.1926946826602159E-2</c:v>
                </c:pt>
                <c:pt idx="67">
                  <c:v>1.0525924688679768E-2</c:v>
                </c:pt>
                <c:pt idx="68">
                  <c:v>1.0792358452062768E-2</c:v>
                </c:pt>
                <c:pt idx="69">
                  <c:v>1.2634127728351888E-2</c:v>
                </c:pt>
                <c:pt idx="70">
                  <c:v>1.2634127728351888E-2</c:v>
                </c:pt>
                <c:pt idx="71">
                  <c:v>1.2634127728351888E-2</c:v>
                </c:pt>
                <c:pt idx="72">
                  <c:v>1.2634127728351888E-2</c:v>
                </c:pt>
                <c:pt idx="73">
                  <c:v>1.2634127728351888E-2</c:v>
                </c:pt>
                <c:pt idx="74">
                  <c:v>1.2634127728351888E-2</c:v>
                </c:pt>
                <c:pt idx="75">
                  <c:v>1.2634127728351888E-2</c:v>
                </c:pt>
                <c:pt idx="76">
                  <c:v>1.2634127728351888E-2</c:v>
                </c:pt>
                <c:pt idx="77">
                  <c:v>1.2634127728351888E-2</c:v>
                </c:pt>
                <c:pt idx="78">
                  <c:v>1.2634127728351888E-2</c:v>
                </c:pt>
                <c:pt idx="79">
                  <c:v>1.2634127728351888E-2</c:v>
                </c:pt>
                <c:pt idx="80">
                  <c:v>9.824974575433288E-3</c:v>
                </c:pt>
                <c:pt idx="81">
                  <c:v>1.1343250124483058E-2</c:v>
                </c:pt>
                <c:pt idx="82">
                  <c:v>1.1343250124483058E-2</c:v>
                </c:pt>
                <c:pt idx="83">
                  <c:v>1.1343250124483058E-2</c:v>
                </c:pt>
                <c:pt idx="84">
                  <c:v>1.3830488314127358E-2</c:v>
                </c:pt>
                <c:pt idx="85">
                  <c:v>1.3487202342490227E-2</c:v>
                </c:pt>
                <c:pt idx="86">
                  <c:v>1.3732504271909557E-2</c:v>
                </c:pt>
                <c:pt idx="87">
                  <c:v>1.4079333846715957E-2</c:v>
                </c:pt>
                <c:pt idx="88">
                  <c:v>1.4079333846715957E-2</c:v>
                </c:pt>
                <c:pt idx="89">
                  <c:v>1.4079333846715957E-2</c:v>
                </c:pt>
                <c:pt idx="90">
                  <c:v>1.4079333846715957E-2</c:v>
                </c:pt>
                <c:pt idx="91">
                  <c:v>1.4079333846715957E-2</c:v>
                </c:pt>
                <c:pt idx="92">
                  <c:v>1.4079333846715957E-2</c:v>
                </c:pt>
                <c:pt idx="93">
                  <c:v>1.4079333846715957E-2</c:v>
                </c:pt>
                <c:pt idx="94">
                  <c:v>1.4079333846715957E-2</c:v>
                </c:pt>
                <c:pt idx="95">
                  <c:v>1.4079333846715957E-2</c:v>
                </c:pt>
                <c:pt idx="96">
                  <c:v>1.4079333846715957E-2</c:v>
                </c:pt>
                <c:pt idx="97">
                  <c:v>1.4079333846715957E-2</c:v>
                </c:pt>
                <c:pt idx="98">
                  <c:v>1.4079333846715957E-2</c:v>
                </c:pt>
                <c:pt idx="99">
                  <c:v>1.4079333846715957E-2</c:v>
                </c:pt>
                <c:pt idx="100">
                  <c:v>1.4079333846715957E-2</c:v>
                </c:pt>
                <c:pt idx="101">
                  <c:v>1.4079333846715957E-2</c:v>
                </c:pt>
                <c:pt idx="102">
                  <c:v>1.4079333846715957E-2</c:v>
                </c:pt>
                <c:pt idx="103">
                  <c:v>1.4079333846715957E-2</c:v>
                </c:pt>
                <c:pt idx="104">
                  <c:v>1.4079333846715957E-2</c:v>
                </c:pt>
                <c:pt idx="105">
                  <c:v>1.4079333846715957E-2</c:v>
                </c:pt>
                <c:pt idx="106">
                  <c:v>1.4079333846715957E-2</c:v>
                </c:pt>
                <c:pt idx="107">
                  <c:v>1.4079333846715957E-2</c:v>
                </c:pt>
                <c:pt idx="108">
                  <c:v>1.4079333846715957E-2</c:v>
                </c:pt>
                <c:pt idx="109">
                  <c:v>1.4079333846715957E-2</c:v>
                </c:pt>
                <c:pt idx="110">
                  <c:v>1.4079333846715957E-2</c:v>
                </c:pt>
                <c:pt idx="111">
                  <c:v>1.4079333846715957E-2</c:v>
                </c:pt>
                <c:pt idx="112">
                  <c:v>1.4079333846715957E-2</c:v>
                </c:pt>
                <c:pt idx="113">
                  <c:v>1.4079333846715957E-2</c:v>
                </c:pt>
                <c:pt idx="114">
                  <c:v>1.4079333846715957E-2</c:v>
                </c:pt>
                <c:pt idx="115">
                  <c:v>1.4079333846715957E-2</c:v>
                </c:pt>
                <c:pt idx="116">
                  <c:v>1.4079333846715957E-2</c:v>
                </c:pt>
                <c:pt idx="117">
                  <c:v>1.4079333846715957E-2</c:v>
                </c:pt>
                <c:pt idx="118">
                  <c:v>1.4079333846715957E-2</c:v>
                </c:pt>
                <c:pt idx="119">
                  <c:v>1.4079333846715957E-2</c:v>
                </c:pt>
                <c:pt idx="120">
                  <c:v>1.4079333846715957E-2</c:v>
                </c:pt>
                <c:pt idx="121">
                  <c:v>1.4079333846715957E-2</c:v>
                </c:pt>
                <c:pt idx="122">
                  <c:v>1.4079333846715957E-2</c:v>
                </c:pt>
                <c:pt idx="123">
                  <c:v>1.4079333846715957E-2</c:v>
                </c:pt>
                <c:pt idx="124">
                  <c:v>1.4079333846715957E-2</c:v>
                </c:pt>
                <c:pt idx="125">
                  <c:v>1.4079333846715957E-2</c:v>
                </c:pt>
                <c:pt idx="126">
                  <c:v>1.4079333846715957E-2</c:v>
                </c:pt>
                <c:pt idx="127">
                  <c:v>1.4079333846715957E-2</c:v>
                </c:pt>
                <c:pt idx="128">
                  <c:v>1.4079333846715957E-2</c:v>
                </c:pt>
                <c:pt idx="129">
                  <c:v>1.4079333846715957E-2</c:v>
                </c:pt>
                <c:pt idx="130">
                  <c:v>1.4079333846715957E-2</c:v>
                </c:pt>
                <c:pt idx="131">
                  <c:v>1.4079333846715957E-2</c:v>
                </c:pt>
                <c:pt idx="132">
                  <c:v>1.4079333846715957E-2</c:v>
                </c:pt>
                <c:pt idx="133">
                  <c:v>1.4079333846715957E-2</c:v>
                </c:pt>
                <c:pt idx="134">
                  <c:v>1.4079333846715957E-2</c:v>
                </c:pt>
                <c:pt idx="135">
                  <c:v>1.4079333846715957E-2</c:v>
                </c:pt>
                <c:pt idx="136">
                  <c:v>1.4079333846715957E-2</c:v>
                </c:pt>
                <c:pt idx="137">
                  <c:v>1.4079333846715957E-2</c:v>
                </c:pt>
                <c:pt idx="138">
                  <c:v>1.4079333846715957E-2</c:v>
                </c:pt>
                <c:pt idx="139">
                  <c:v>1.4079333846715957E-2</c:v>
                </c:pt>
                <c:pt idx="140">
                  <c:v>1.4079333846715957E-2</c:v>
                </c:pt>
                <c:pt idx="141">
                  <c:v>1.4079333846715957E-2</c:v>
                </c:pt>
                <c:pt idx="142">
                  <c:v>1.4079333846715957E-2</c:v>
                </c:pt>
                <c:pt idx="143">
                  <c:v>1.4079333846715957E-2</c:v>
                </c:pt>
                <c:pt idx="144">
                  <c:v>1.4079333846715957E-2</c:v>
                </c:pt>
                <c:pt idx="145">
                  <c:v>1.4079333846715957E-2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BWX_IGOV_2!$BV$22:$BV$167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-3.363301241200399E-4</c:v>
                </c:pt>
                <c:pt idx="10">
                  <c:v>7.9544466638522908E-4</c:v>
                </c:pt>
                <c:pt idx="11">
                  <c:v>-1.2368060476064036E-4</c:v>
                </c:pt>
                <c:pt idx="12">
                  <c:v>3.1252441851356365E-4</c:v>
                </c:pt>
                <c:pt idx="13">
                  <c:v>2.2171444341479666E-3</c:v>
                </c:pt>
                <c:pt idx="14">
                  <c:v>2.2171444341479666E-3</c:v>
                </c:pt>
                <c:pt idx="15">
                  <c:v>2.9535418311802866E-3</c:v>
                </c:pt>
                <c:pt idx="16">
                  <c:v>5.0250784515139951E-3</c:v>
                </c:pt>
                <c:pt idx="17">
                  <c:v>4.0189069281060053E-3</c:v>
                </c:pt>
                <c:pt idx="18">
                  <c:v>7.0474473908652153E-3</c:v>
                </c:pt>
                <c:pt idx="19">
                  <c:v>7.0474473908652153E-3</c:v>
                </c:pt>
                <c:pt idx="20">
                  <c:v>7.0474473908652153E-3</c:v>
                </c:pt>
                <c:pt idx="21">
                  <c:v>7.0474473908652153E-3</c:v>
                </c:pt>
                <c:pt idx="22">
                  <c:v>7.0474473908652153E-3</c:v>
                </c:pt>
                <c:pt idx="23">
                  <c:v>7.0474473908652153E-3</c:v>
                </c:pt>
                <c:pt idx="24">
                  <c:v>7.0474473908652153E-3</c:v>
                </c:pt>
                <c:pt idx="25">
                  <c:v>7.0474473908652153E-3</c:v>
                </c:pt>
                <c:pt idx="26">
                  <c:v>7.0474473908652153E-3</c:v>
                </c:pt>
                <c:pt idx="27">
                  <c:v>9.0233486743962858E-3</c:v>
                </c:pt>
                <c:pt idx="28">
                  <c:v>9.0233486743962858E-3</c:v>
                </c:pt>
                <c:pt idx="29">
                  <c:v>1.1111545803468827E-2</c:v>
                </c:pt>
                <c:pt idx="30">
                  <c:v>1.2785640158879938E-2</c:v>
                </c:pt>
                <c:pt idx="31">
                  <c:v>1.2785640158879938E-2</c:v>
                </c:pt>
                <c:pt idx="32">
                  <c:v>1.2785640158879938E-2</c:v>
                </c:pt>
                <c:pt idx="33">
                  <c:v>1.2785640158879938E-2</c:v>
                </c:pt>
                <c:pt idx="34">
                  <c:v>1.2785640158879938E-2</c:v>
                </c:pt>
                <c:pt idx="35">
                  <c:v>1.2785640158879938E-2</c:v>
                </c:pt>
                <c:pt idx="36">
                  <c:v>1.2785640158879938E-2</c:v>
                </c:pt>
                <c:pt idx="37">
                  <c:v>1.2785640158879938E-2</c:v>
                </c:pt>
                <c:pt idx="38">
                  <c:v>1.2785640158879938E-2</c:v>
                </c:pt>
                <c:pt idx="39">
                  <c:v>1.2785640158879938E-2</c:v>
                </c:pt>
                <c:pt idx="40">
                  <c:v>1.2785640158879938E-2</c:v>
                </c:pt>
                <c:pt idx="41">
                  <c:v>1.2785640158879938E-2</c:v>
                </c:pt>
                <c:pt idx="42">
                  <c:v>1.2785640158879938E-2</c:v>
                </c:pt>
                <c:pt idx="43">
                  <c:v>1.2785640158879938E-2</c:v>
                </c:pt>
                <c:pt idx="44">
                  <c:v>1.2785640158879938E-2</c:v>
                </c:pt>
                <c:pt idx="45">
                  <c:v>1.2785640158879938E-2</c:v>
                </c:pt>
                <c:pt idx="46">
                  <c:v>1.2785640158879938E-2</c:v>
                </c:pt>
                <c:pt idx="47">
                  <c:v>1.2785640158879938E-2</c:v>
                </c:pt>
                <c:pt idx="48">
                  <c:v>1.2785640158879938E-2</c:v>
                </c:pt>
                <c:pt idx="49">
                  <c:v>1.2785640158879938E-2</c:v>
                </c:pt>
                <c:pt idx="50">
                  <c:v>1.2785640158879938E-2</c:v>
                </c:pt>
                <c:pt idx="51">
                  <c:v>1.2785640158879938E-2</c:v>
                </c:pt>
                <c:pt idx="52">
                  <c:v>1.2785640158879938E-2</c:v>
                </c:pt>
                <c:pt idx="53">
                  <c:v>1.2785640158879938E-2</c:v>
                </c:pt>
                <c:pt idx="54">
                  <c:v>1.2785640158879938E-2</c:v>
                </c:pt>
                <c:pt idx="55">
                  <c:v>1.2785640158879938E-2</c:v>
                </c:pt>
                <c:pt idx="56">
                  <c:v>1.2785640158879938E-2</c:v>
                </c:pt>
                <c:pt idx="57">
                  <c:v>1.2785640158879938E-2</c:v>
                </c:pt>
                <c:pt idx="58">
                  <c:v>1.2785640158879938E-2</c:v>
                </c:pt>
                <c:pt idx="59">
                  <c:v>1.2785640158879938E-2</c:v>
                </c:pt>
                <c:pt idx="60">
                  <c:v>1.2785640158879938E-2</c:v>
                </c:pt>
                <c:pt idx="61">
                  <c:v>1.2785640158879938E-2</c:v>
                </c:pt>
                <c:pt idx="62">
                  <c:v>1.2785640158879938E-2</c:v>
                </c:pt>
                <c:pt idx="63">
                  <c:v>1.2785640158879938E-2</c:v>
                </c:pt>
                <c:pt idx="64">
                  <c:v>1.2785640158879938E-2</c:v>
                </c:pt>
                <c:pt idx="65">
                  <c:v>1.2785640158879938E-2</c:v>
                </c:pt>
                <c:pt idx="66">
                  <c:v>1.2785640158879938E-2</c:v>
                </c:pt>
                <c:pt idx="67">
                  <c:v>1.2785640158879938E-2</c:v>
                </c:pt>
                <c:pt idx="68">
                  <c:v>1.2785640158879938E-2</c:v>
                </c:pt>
                <c:pt idx="69">
                  <c:v>1.2785640158879938E-2</c:v>
                </c:pt>
                <c:pt idx="70">
                  <c:v>1.2785640158879938E-2</c:v>
                </c:pt>
                <c:pt idx="71">
                  <c:v>1.2785640158879938E-2</c:v>
                </c:pt>
                <c:pt idx="72">
                  <c:v>1.2785640158879938E-2</c:v>
                </c:pt>
                <c:pt idx="73">
                  <c:v>1.4987487910485087E-2</c:v>
                </c:pt>
                <c:pt idx="74">
                  <c:v>1.4987487910485087E-2</c:v>
                </c:pt>
                <c:pt idx="75">
                  <c:v>1.4987487910485087E-2</c:v>
                </c:pt>
                <c:pt idx="76">
                  <c:v>1.4987487910485087E-2</c:v>
                </c:pt>
                <c:pt idx="77">
                  <c:v>1.4987487910485087E-2</c:v>
                </c:pt>
                <c:pt idx="78">
                  <c:v>1.4987487910485087E-2</c:v>
                </c:pt>
                <c:pt idx="79">
                  <c:v>1.4987487910485087E-2</c:v>
                </c:pt>
                <c:pt idx="80">
                  <c:v>1.4987487910485087E-2</c:v>
                </c:pt>
                <c:pt idx="81">
                  <c:v>1.4987487910485087E-2</c:v>
                </c:pt>
                <c:pt idx="82">
                  <c:v>1.4987487910485087E-2</c:v>
                </c:pt>
                <c:pt idx="83">
                  <c:v>1.4987487910485087E-2</c:v>
                </c:pt>
                <c:pt idx="84">
                  <c:v>1.4987487910485087E-2</c:v>
                </c:pt>
                <c:pt idx="85">
                  <c:v>1.4987487910485087E-2</c:v>
                </c:pt>
                <c:pt idx="86">
                  <c:v>1.4987487910485087E-2</c:v>
                </c:pt>
                <c:pt idx="87">
                  <c:v>1.4987487910485087E-2</c:v>
                </c:pt>
                <c:pt idx="88">
                  <c:v>1.4987487910485087E-2</c:v>
                </c:pt>
                <c:pt idx="89">
                  <c:v>1.4987487910485087E-2</c:v>
                </c:pt>
                <c:pt idx="90">
                  <c:v>1.4987487910485087E-2</c:v>
                </c:pt>
                <c:pt idx="91">
                  <c:v>1.4987487910485087E-2</c:v>
                </c:pt>
                <c:pt idx="92">
                  <c:v>1.4987487910485087E-2</c:v>
                </c:pt>
                <c:pt idx="93">
                  <c:v>1.4987487910485087E-2</c:v>
                </c:pt>
                <c:pt idx="94">
                  <c:v>1.4987487910485087E-2</c:v>
                </c:pt>
                <c:pt idx="95">
                  <c:v>1.4987487910485087E-2</c:v>
                </c:pt>
                <c:pt idx="96">
                  <c:v>1.5202469538429058E-2</c:v>
                </c:pt>
                <c:pt idx="97">
                  <c:v>1.4821928352968418E-2</c:v>
                </c:pt>
                <c:pt idx="98">
                  <c:v>1.674906194586415E-2</c:v>
                </c:pt>
                <c:pt idx="99">
                  <c:v>1.6558102092791346E-2</c:v>
                </c:pt>
                <c:pt idx="100">
                  <c:v>1.5229618554104887E-2</c:v>
                </c:pt>
                <c:pt idx="101">
                  <c:v>1.722936539108471E-2</c:v>
                </c:pt>
                <c:pt idx="102">
                  <c:v>1.722936539108471E-2</c:v>
                </c:pt>
                <c:pt idx="103">
                  <c:v>1.722936539108471E-2</c:v>
                </c:pt>
                <c:pt idx="104">
                  <c:v>1.722936539108471E-2</c:v>
                </c:pt>
                <c:pt idx="105">
                  <c:v>1.722936539108471E-2</c:v>
                </c:pt>
                <c:pt idx="106">
                  <c:v>1.739811251768766E-2</c:v>
                </c:pt>
                <c:pt idx="107">
                  <c:v>1.7509962447156139E-2</c:v>
                </c:pt>
                <c:pt idx="108">
                  <c:v>1.879119377386082E-2</c:v>
                </c:pt>
                <c:pt idx="109">
                  <c:v>1.7749838150321801E-2</c:v>
                </c:pt>
                <c:pt idx="110">
                  <c:v>1.7868778404215642E-2</c:v>
                </c:pt>
                <c:pt idx="111">
                  <c:v>1.6769926263972931E-2</c:v>
                </c:pt>
                <c:pt idx="112">
                  <c:v>1.8422914512036231E-2</c:v>
                </c:pt>
                <c:pt idx="113">
                  <c:v>1.799466615986885E-2</c:v>
                </c:pt>
                <c:pt idx="114">
                  <c:v>1.7424860170938701E-2</c:v>
                </c:pt>
                <c:pt idx="115">
                  <c:v>1.7536717281293312E-2</c:v>
                </c:pt>
                <c:pt idx="116">
                  <c:v>1.7402686575688994E-2</c:v>
                </c:pt>
                <c:pt idx="117">
                  <c:v>1.6663132739442237E-2</c:v>
                </c:pt>
                <c:pt idx="118">
                  <c:v>1.6389470004536617E-2</c:v>
                </c:pt>
                <c:pt idx="119">
                  <c:v>1.6746561505037727E-2</c:v>
                </c:pt>
                <c:pt idx="120">
                  <c:v>1.7595533739393567E-2</c:v>
                </c:pt>
                <c:pt idx="121">
                  <c:v>1.8906285690083856E-2</c:v>
                </c:pt>
                <c:pt idx="122">
                  <c:v>1.8906285690083856E-2</c:v>
                </c:pt>
                <c:pt idx="123">
                  <c:v>1.8906285690083856E-2</c:v>
                </c:pt>
                <c:pt idx="124">
                  <c:v>1.8906285690083856E-2</c:v>
                </c:pt>
                <c:pt idx="125">
                  <c:v>1.8906285690083856E-2</c:v>
                </c:pt>
                <c:pt idx="126">
                  <c:v>1.8906285690083856E-2</c:v>
                </c:pt>
                <c:pt idx="127">
                  <c:v>1.8906285690083856E-2</c:v>
                </c:pt>
                <c:pt idx="128">
                  <c:v>1.8906285690083856E-2</c:v>
                </c:pt>
                <c:pt idx="129">
                  <c:v>1.7329001688620158E-2</c:v>
                </c:pt>
                <c:pt idx="130">
                  <c:v>2.0173284165446639E-2</c:v>
                </c:pt>
                <c:pt idx="131">
                  <c:v>1.955241326089259E-2</c:v>
                </c:pt>
                <c:pt idx="132">
                  <c:v>1.7881282245270785E-2</c:v>
                </c:pt>
                <c:pt idx="133">
                  <c:v>2.076409401013209E-2</c:v>
                </c:pt>
                <c:pt idx="134">
                  <c:v>2.0875063524651991E-2</c:v>
                </c:pt>
                <c:pt idx="135">
                  <c:v>2.1819624889842421E-2</c:v>
                </c:pt>
                <c:pt idx="136">
                  <c:v>2.1819624889842421E-2</c:v>
                </c:pt>
                <c:pt idx="137">
                  <c:v>2.1819624889842421E-2</c:v>
                </c:pt>
                <c:pt idx="138">
                  <c:v>2.1819624889842421E-2</c:v>
                </c:pt>
                <c:pt idx="139">
                  <c:v>2.1819624889842421E-2</c:v>
                </c:pt>
                <c:pt idx="140">
                  <c:v>2.1819624889842421E-2</c:v>
                </c:pt>
                <c:pt idx="141">
                  <c:v>2.1819624889842421E-2</c:v>
                </c:pt>
                <c:pt idx="142">
                  <c:v>2.1819624889842421E-2</c:v>
                </c:pt>
                <c:pt idx="143">
                  <c:v>2.1819624889842421E-2</c:v>
                </c:pt>
                <c:pt idx="144">
                  <c:v>2.1819624889842421E-2</c:v>
                </c:pt>
                <c:pt idx="145">
                  <c:v>2.1819624889842421E-2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FALN_ANGL_2.xlsx" TargetMode="External"/><Relationship Id="rId1" Type="http://schemas.openxmlformats.org/officeDocument/2006/relationships/externalLinkPath" Target="FALN_ANGL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LN_ANGL_2"/>
    </sheetNames>
    <sheetDataSet>
      <sheetData sheetId="0">
        <row r="22">
          <cell r="BJ22">
            <v>0</v>
          </cell>
          <cell r="BV22">
            <v>0</v>
          </cell>
          <cell r="BY22">
            <v>0</v>
          </cell>
        </row>
        <row r="23">
          <cell r="BJ23">
            <v>0</v>
          </cell>
          <cell r="BV23">
            <v>0</v>
          </cell>
          <cell r="BY23">
            <v>0</v>
          </cell>
        </row>
        <row r="24">
          <cell r="BJ24">
            <v>0</v>
          </cell>
          <cell r="BV24">
            <v>0</v>
          </cell>
          <cell r="BY24">
            <v>0</v>
          </cell>
        </row>
        <row r="25">
          <cell r="BJ25">
            <v>0</v>
          </cell>
          <cell r="BV25">
            <v>0</v>
          </cell>
          <cell r="BY25">
            <v>0</v>
          </cell>
        </row>
        <row r="26">
          <cell r="BJ26">
            <v>0</v>
          </cell>
          <cell r="BV26">
            <v>0</v>
          </cell>
          <cell r="BY26">
            <v>0</v>
          </cell>
        </row>
        <row r="27">
          <cell r="BJ27">
            <v>0</v>
          </cell>
          <cell r="BV27">
            <v>0</v>
          </cell>
          <cell r="BY27">
            <v>0</v>
          </cell>
        </row>
        <row r="28">
          <cell r="BJ28">
            <v>0</v>
          </cell>
          <cell r="BV28">
            <v>0</v>
          </cell>
          <cell r="BY28">
            <v>0</v>
          </cell>
        </row>
        <row r="29">
          <cell r="BJ29">
            <v>0</v>
          </cell>
          <cell r="BV29">
            <v>0</v>
          </cell>
          <cell r="BY29">
            <v>0</v>
          </cell>
        </row>
        <row r="30">
          <cell r="BJ30">
            <v>-2.6040087919132005E-4</v>
          </cell>
          <cell r="BV30">
            <v>0</v>
          </cell>
          <cell r="BY30">
            <v>-2.6040087919132005E-4</v>
          </cell>
        </row>
        <row r="31">
          <cell r="BJ31">
            <v>-5.2016789432217012E-4</v>
          </cell>
          <cell r="BV31">
            <v>0</v>
          </cell>
          <cell r="BY31">
            <v>-5.2016789432217012E-4</v>
          </cell>
        </row>
        <row r="32">
          <cell r="BJ32">
            <v>-2.3471958188806712E-4</v>
          </cell>
          <cell r="BV32">
            <v>0</v>
          </cell>
          <cell r="BY32">
            <v>-2.3471958188806712E-4</v>
          </cell>
        </row>
        <row r="33">
          <cell r="BJ33">
            <v>5.9193914594596277E-4</v>
          </cell>
          <cell r="BV33">
            <v>0</v>
          </cell>
          <cell r="BY33">
            <v>5.9193914594596277E-4</v>
          </cell>
        </row>
        <row r="34">
          <cell r="BJ34">
            <v>-2.9914338157780124E-5</v>
          </cell>
          <cell r="BV34">
            <v>0</v>
          </cell>
          <cell r="BY34">
            <v>-2.9914338157780124E-5</v>
          </cell>
        </row>
        <row r="35">
          <cell r="BJ35">
            <v>-3.9164340703231313E-4</v>
          </cell>
          <cell r="BV35">
            <v>0</v>
          </cell>
          <cell r="BY35">
            <v>-3.9164340703231313E-4</v>
          </cell>
        </row>
        <row r="36">
          <cell r="BJ36">
            <v>-1.5778340041225315E-4</v>
          </cell>
          <cell r="BV36">
            <v>0</v>
          </cell>
          <cell r="BY36">
            <v>-1.5778340041225315E-4</v>
          </cell>
        </row>
        <row r="37">
          <cell r="BJ37">
            <v>-5.2016789432194417E-4</v>
          </cell>
          <cell r="BV37">
            <v>0</v>
          </cell>
          <cell r="BY37">
            <v>-5.2016789432194417E-4</v>
          </cell>
        </row>
        <row r="38">
          <cell r="BJ38">
            <v>2.2994819176723187E-4</v>
          </cell>
          <cell r="BV38">
            <v>0</v>
          </cell>
          <cell r="BY38">
            <v>2.2994819176723187E-4</v>
          </cell>
        </row>
        <row r="39">
          <cell r="BJ39">
            <v>9.5379911009030891E-4</v>
          </cell>
          <cell r="BV39">
            <v>0</v>
          </cell>
          <cell r="BY39">
            <v>9.5379911009030891E-4</v>
          </cell>
        </row>
        <row r="40">
          <cell r="BJ40">
            <v>1.1143531353690786E-3</v>
          </cell>
          <cell r="BV40">
            <v>0</v>
          </cell>
          <cell r="BY40">
            <v>1.1143531353690786E-3</v>
          </cell>
        </row>
        <row r="41">
          <cell r="BJ41">
            <v>1.1143531353690786E-3</v>
          </cell>
          <cell r="BV41">
            <v>0</v>
          </cell>
          <cell r="BY41">
            <v>1.1143531353690786E-3</v>
          </cell>
        </row>
        <row r="42">
          <cell r="BJ42">
            <v>2.1065230957730383E-3</v>
          </cell>
          <cell r="BV42">
            <v>0</v>
          </cell>
          <cell r="BY42">
            <v>2.1065230957730383E-3</v>
          </cell>
        </row>
        <row r="43">
          <cell r="BJ43">
            <v>2.7073408026283582E-3</v>
          </cell>
          <cell r="BV43">
            <v>0</v>
          </cell>
          <cell r="BY43">
            <v>2.7073408026283582E-3</v>
          </cell>
        </row>
        <row r="44">
          <cell r="BJ44">
            <v>3.7107729497802386E-3</v>
          </cell>
          <cell r="BV44">
            <v>0</v>
          </cell>
          <cell r="BY44">
            <v>3.7107729497802386E-3</v>
          </cell>
        </row>
        <row r="45">
          <cell r="BJ45">
            <v>3.7107729497802386E-3</v>
          </cell>
          <cell r="BV45">
            <v>0</v>
          </cell>
          <cell r="BY45">
            <v>3.7107729497802386E-3</v>
          </cell>
        </row>
        <row r="46">
          <cell r="BJ46">
            <v>3.7107729497802386E-3</v>
          </cell>
          <cell r="BV46">
            <v>0</v>
          </cell>
          <cell r="BY46">
            <v>3.7107729497802386E-3</v>
          </cell>
        </row>
        <row r="47">
          <cell r="BJ47">
            <v>3.7107729497802386E-3</v>
          </cell>
          <cell r="BV47">
            <v>0</v>
          </cell>
          <cell r="BY47">
            <v>3.7107729497802386E-3</v>
          </cell>
        </row>
        <row r="48">
          <cell r="BJ48">
            <v>3.7107729497802386E-3</v>
          </cell>
          <cell r="BV48">
            <v>0</v>
          </cell>
          <cell r="BY48">
            <v>3.7107729497802386E-3</v>
          </cell>
        </row>
        <row r="49">
          <cell r="BJ49">
            <v>3.7107729497802386E-3</v>
          </cell>
          <cell r="BV49">
            <v>0</v>
          </cell>
          <cell r="BY49">
            <v>3.7107729497802386E-3</v>
          </cell>
        </row>
        <row r="50">
          <cell r="BJ50">
            <v>3.7107729497802386E-3</v>
          </cell>
          <cell r="BV50">
            <v>0</v>
          </cell>
          <cell r="BY50">
            <v>3.7107729497802386E-3</v>
          </cell>
        </row>
        <row r="51">
          <cell r="BJ51">
            <v>3.7107729497802386E-3</v>
          </cell>
          <cell r="BV51">
            <v>0</v>
          </cell>
          <cell r="BY51">
            <v>3.7107729497802386E-3</v>
          </cell>
        </row>
        <row r="52">
          <cell r="BJ52">
            <v>3.7107729497802386E-3</v>
          </cell>
          <cell r="BV52">
            <v>0</v>
          </cell>
          <cell r="BY52">
            <v>3.7107729497802386E-3</v>
          </cell>
        </row>
        <row r="53">
          <cell r="BJ53">
            <v>3.7107729497802386E-3</v>
          </cell>
          <cell r="BV53">
            <v>0</v>
          </cell>
          <cell r="BY53">
            <v>3.7107729497802386E-3</v>
          </cell>
        </row>
        <row r="54">
          <cell r="BJ54">
            <v>3.7107729497802386E-3</v>
          </cell>
          <cell r="BV54">
            <v>0</v>
          </cell>
          <cell r="BY54">
            <v>3.7107729497802386E-3</v>
          </cell>
        </row>
        <row r="55">
          <cell r="BJ55">
            <v>3.7107729497802386E-3</v>
          </cell>
          <cell r="BV55">
            <v>0</v>
          </cell>
          <cell r="BY55">
            <v>3.7107729497802386E-3</v>
          </cell>
        </row>
        <row r="56">
          <cell r="BJ56">
            <v>3.7107729497802386E-3</v>
          </cell>
          <cell r="BV56">
            <v>0</v>
          </cell>
          <cell r="BY56">
            <v>3.7107729497802386E-3</v>
          </cell>
        </row>
        <row r="57">
          <cell r="BJ57">
            <v>3.7107729497802386E-3</v>
          </cell>
          <cell r="BV57">
            <v>0</v>
          </cell>
          <cell r="BY57">
            <v>3.7107729497802386E-3</v>
          </cell>
        </row>
        <row r="58">
          <cell r="BJ58">
            <v>3.7107729497802386E-3</v>
          </cell>
          <cell r="BV58">
            <v>3.8710795014635941E-4</v>
          </cell>
          <cell r="BY58">
            <v>4.0978808999265984E-3</v>
          </cell>
        </row>
        <row r="59">
          <cell r="BJ59">
            <v>3.7107729497802386E-3</v>
          </cell>
          <cell r="BV59">
            <v>2.0768065326453884E-4</v>
          </cell>
          <cell r="BY59">
            <v>3.9184536030447779E-3</v>
          </cell>
        </row>
        <row r="60">
          <cell r="BJ60">
            <v>3.7107729497802386E-3</v>
          </cell>
          <cell r="BV60">
            <v>1.6042761898009991E-3</v>
          </cell>
          <cell r="BY60">
            <v>5.3150491395812377E-3</v>
          </cell>
        </row>
        <row r="61">
          <cell r="BJ61">
            <v>3.7107729497802386E-3</v>
          </cell>
          <cell r="BV61">
            <v>1.6042761898009991E-3</v>
          </cell>
          <cell r="BY61">
            <v>5.3150491395812377E-3</v>
          </cell>
        </row>
        <row r="62">
          <cell r="BJ62">
            <v>3.7107729497802386E-3</v>
          </cell>
          <cell r="BV62">
            <v>1.6042761898009991E-3</v>
          </cell>
          <cell r="BY62">
            <v>5.3150491395812377E-3</v>
          </cell>
        </row>
        <row r="63">
          <cell r="BJ63">
            <v>3.7107729497802386E-3</v>
          </cell>
          <cell r="BV63">
            <v>1.6042761898009991E-3</v>
          </cell>
          <cell r="BY63">
            <v>5.3150491395812377E-3</v>
          </cell>
        </row>
        <row r="64">
          <cell r="BJ64">
            <v>3.7107729497802386E-3</v>
          </cell>
          <cell r="BV64">
            <v>1.6042761898009991E-3</v>
          </cell>
          <cell r="BY64">
            <v>5.3150491395812377E-3</v>
          </cell>
        </row>
        <row r="65">
          <cell r="BJ65">
            <v>3.7107729497802386E-3</v>
          </cell>
          <cell r="BV65">
            <v>1.6042761898009991E-3</v>
          </cell>
          <cell r="BY65">
            <v>5.3150491395812377E-3</v>
          </cell>
        </row>
        <row r="66">
          <cell r="BJ66">
            <v>3.4707697760538486E-3</v>
          </cell>
          <cell r="BV66">
            <v>1.6042761898009991E-3</v>
          </cell>
          <cell r="BY66">
            <v>5.0750459658548477E-3</v>
          </cell>
        </row>
        <row r="67">
          <cell r="BJ67">
            <v>3.9966226014583883E-3</v>
          </cell>
          <cell r="BV67">
            <v>1.6042761898009991E-3</v>
          </cell>
          <cell r="BY67">
            <v>5.6008987912593879E-3</v>
          </cell>
        </row>
        <row r="68">
          <cell r="BJ68">
            <v>4.1269171292597478E-3</v>
          </cell>
          <cell r="BV68">
            <v>1.6042761898009991E-3</v>
          </cell>
          <cell r="BY68">
            <v>5.7311933190607473E-3</v>
          </cell>
        </row>
        <row r="69">
          <cell r="BJ69">
            <v>2.8616555278629975E-3</v>
          </cell>
          <cell r="BV69">
            <v>1.6042761898009991E-3</v>
          </cell>
          <cell r="BY69">
            <v>4.465931717663997E-3</v>
          </cell>
        </row>
        <row r="70">
          <cell r="BJ70">
            <v>3.1260506080115374E-3</v>
          </cell>
          <cell r="BV70">
            <v>1.6042761898009991E-3</v>
          </cell>
          <cell r="BY70">
            <v>4.7303267978125365E-3</v>
          </cell>
        </row>
        <row r="71">
          <cell r="BJ71">
            <v>3.7816288779940472E-3</v>
          </cell>
          <cell r="BV71">
            <v>1.6042761898009991E-3</v>
          </cell>
          <cell r="BY71">
            <v>5.3859050677950463E-3</v>
          </cell>
        </row>
        <row r="72">
          <cell r="BJ72">
            <v>3.3624049916606124E-3</v>
          </cell>
          <cell r="BV72">
            <v>1.6042761898009991E-3</v>
          </cell>
          <cell r="BY72">
            <v>4.9666811814616111E-3</v>
          </cell>
        </row>
        <row r="73">
          <cell r="BJ73">
            <v>2.5217096695886324E-3</v>
          </cell>
          <cell r="BV73">
            <v>1.6042761898009991E-3</v>
          </cell>
          <cell r="BY73">
            <v>4.1259858593896311E-3</v>
          </cell>
        </row>
        <row r="74">
          <cell r="BJ74">
            <v>2.838635700054222E-3</v>
          </cell>
          <cell r="BV74">
            <v>1.6042761898009991E-3</v>
          </cell>
          <cell r="BY74">
            <v>4.4429118898552207E-3</v>
          </cell>
        </row>
        <row r="75">
          <cell r="BJ75">
            <v>3.1001978465147921E-3</v>
          </cell>
          <cell r="BV75">
            <v>1.6042761898009991E-3</v>
          </cell>
          <cell r="BY75">
            <v>4.7044740363157908E-3</v>
          </cell>
        </row>
        <row r="76">
          <cell r="BJ76">
            <v>2.8896949543297822E-3</v>
          </cell>
          <cell r="BV76">
            <v>1.6042761898009991E-3</v>
          </cell>
          <cell r="BY76">
            <v>4.4939711441307813E-3</v>
          </cell>
        </row>
        <row r="77">
          <cell r="BJ77">
            <v>3.0213990207517524E-3</v>
          </cell>
          <cell r="BV77">
            <v>1.6042761898009991E-3</v>
          </cell>
          <cell r="BY77">
            <v>4.6256752105527515E-3</v>
          </cell>
        </row>
        <row r="78">
          <cell r="BJ78">
            <v>2.5482232077986325E-3</v>
          </cell>
          <cell r="BV78">
            <v>1.6042761898009991E-3</v>
          </cell>
          <cell r="BY78">
            <v>4.1524993975996316E-3</v>
          </cell>
        </row>
        <row r="79">
          <cell r="BJ79">
            <v>3.2837877867525423E-3</v>
          </cell>
          <cell r="BV79">
            <v>1.6042761898009991E-3</v>
          </cell>
          <cell r="BY79">
            <v>4.8880639765535418E-3</v>
          </cell>
        </row>
        <row r="80">
          <cell r="BJ80">
            <v>3.6774565247412612E-3</v>
          </cell>
          <cell r="BV80">
            <v>1.6042761898009991E-3</v>
          </cell>
          <cell r="BY80">
            <v>5.2817327145422612E-3</v>
          </cell>
        </row>
        <row r="81">
          <cell r="BJ81">
            <v>3.9668479226001412E-3</v>
          </cell>
          <cell r="BV81">
            <v>1.6042761898009991E-3</v>
          </cell>
          <cell r="BY81">
            <v>5.5711241124011416E-3</v>
          </cell>
        </row>
        <row r="82">
          <cell r="BJ82">
            <v>3.9668479226001412E-3</v>
          </cell>
          <cell r="BV82">
            <v>1.6042761898009991E-3</v>
          </cell>
          <cell r="BY82">
            <v>5.5711241124011416E-3</v>
          </cell>
        </row>
        <row r="83">
          <cell r="BJ83">
            <v>3.9668479226001412E-3</v>
          </cell>
          <cell r="BV83">
            <v>1.6042761898009991E-3</v>
          </cell>
          <cell r="BY83">
            <v>5.5711241124011416E-3</v>
          </cell>
        </row>
        <row r="84">
          <cell r="BJ84">
            <v>3.9668479226001412E-3</v>
          </cell>
          <cell r="BV84">
            <v>1.6042761898009991E-3</v>
          </cell>
          <cell r="BY84">
            <v>5.5711241124011416E-3</v>
          </cell>
        </row>
        <row r="85">
          <cell r="BJ85">
            <v>3.9668479226001412E-3</v>
          </cell>
          <cell r="BV85">
            <v>1.6042761898009991E-3</v>
          </cell>
          <cell r="BY85">
            <v>5.5711241124011416E-3</v>
          </cell>
        </row>
        <row r="86">
          <cell r="BJ86">
            <v>3.9668479226001412E-3</v>
          </cell>
          <cell r="BV86">
            <v>1.6042761898009991E-3</v>
          </cell>
          <cell r="BY86">
            <v>5.5711241124011416E-3</v>
          </cell>
        </row>
        <row r="87">
          <cell r="BJ87">
            <v>3.9668479226001412E-3</v>
          </cell>
          <cell r="BV87">
            <v>1.6042761898009991E-3</v>
          </cell>
          <cell r="BY87">
            <v>5.5711241124011416E-3</v>
          </cell>
        </row>
        <row r="88">
          <cell r="BJ88">
            <v>3.9668479226001412E-3</v>
          </cell>
          <cell r="BV88">
            <v>1.6042761898009991E-3</v>
          </cell>
          <cell r="BY88">
            <v>5.5711241124011416E-3</v>
          </cell>
        </row>
        <row r="89">
          <cell r="BJ89">
            <v>3.9668479226001412E-3</v>
          </cell>
          <cell r="BV89">
            <v>1.6042761898009991E-3</v>
          </cell>
          <cell r="BY89">
            <v>5.5711241124011416E-3</v>
          </cell>
        </row>
        <row r="90">
          <cell r="BJ90">
            <v>3.9668479226001412E-3</v>
          </cell>
          <cell r="BV90">
            <v>1.6042761898009991E-3</v>
          </cell>
          <cell r="BY90">
            <v>5.5711241124011416E-3</v>
          </cell>
        </row>
        <row r="91">
          <cell r="BJ91">
            <v>3.9668479226001412E-3</v>
          </cell>
          <cell r="BV91">
            <v>1.6042761898009991E-3</v>
          </cell>
          <cell r="BY91">
            <v>5.5711241124011416E-3</v>
          </cell>
        </row>
        <row r="92">
          <cell r="BJ92">
            <v>3.9668479226001412E-3</v>
          </cell>
          <cell r="BV92">
            <v>1.6042761898009991E-3</v>
          </cell>
          <cell r="BY92">
            <v>5.5711241124011416E-3</v>
          </cell>
        </row>
        <row r="93">
          <cell r="BJ93">
            <v>3.9668479226001412E-3</v>
          </cell>
          <cell r="BV93">
            <v>1.6042761898009991E-3</v>
          </cell>
          <cell r="BY93">
            <v>5.5711241124011416E-3</v>
          </cell>
        </row>
        <row r="94">
          <cell r="BJ94">
            <v>3.9668479226001412E-3</v>
          </cell>
          <cell r="BV94">
            <v>1.6042761898009991E-3</v>
          </cell>
          <cell r="BY94">
            <v>5.5711241124011416E-3</v>
          </cell>
        </row>
        <row r="95">
          <cell r="BJ95">
            <v>3.9668479226001412E-3</v>
          </cell>
          <cell r="BV95">
            <v>1.6042761898009991E-3</v>
          </cell>
          <cell r="BY95">
            <v>5.5711241124011416E-3</v>
          </cell>
        </row>
        <row r="96">
          <cell r="BJ96">
            <v>3.9668479226001412E-3</v>
          </cell>
          <cell r="BV96">
            <v>1.6042761898009991E-3</v>
          </cell>
          <cell r="BY96">
            <v>5.5711241124011416E-3</v>
          </cell>
        </row>
        <row r="97">
          <cell r="BJ97">
            <v>3.9668479226001412E-3</v>
          </cell>
          <cell r="BV97">
            <v>1.6042761898009991E-3</v>
          </cell>
          <cell r="BY97">
            <v>5.5711241124011416E-3</v>
          </cell>
        </row>
        <row r="98">
          <cell r="BJ98">
            <v>3.9668479226001412E-3</v>
          </cell>
          <cell r="BV98">
            <v>2.5117649296086588E-3</v>
          </cell>
          <cell r="BY98">
            <v>6.4786128522088017E-3</v>
          </cell>
        </row>
        <row r="99">
          <cell r="BJ99">
            <v>3.9668479226001412E-3</v>
          </cell>
          <cell r="BV99">
            <v>2.0642312272304191E-3</v>
          </cell>
          <cell r="BY99">
            <v>6.031079149830562E-3</v>
          </cell>
        </row>
        <row r="100">
          <cell r="BJ100">
            <v>3.9668479226001412E-3</v>
          </cell>
          <cell r="BV100">
            <v>3.3369207376346193E-3</v>
          </cell>
          <cell r="BY100">
            <v>7.3037686602347622E-3</v>
          </cell>
        </row>
        <row r="101">
          <cell r="BJ101">
            <v>3.9668479226001412E-3</v>
          </cell>
          <cell r="BV101">
            <v>3.3369207376346193E-3</v>
          </cell>
          <cell r="BY101">
            <v>7.3037686602347622E-3</v>
          </cell>
        </row>
        <row r="102">
          <cell r="BJ102">
            <v>3.9668479226001412E-3</v>
          </cell>
          <cell r="BV102">
            <v>3.3369207376346193E-3</v>
          </cell>
          <cell r="BY102">
            <v>7.3037686602347622E-3</v>
          </cell>
        </row>
        <row r="103">
          <cell r="BJ103">
            <v>3.9668479226001412E-3</v>
          </cell>
          <cell r="BV103">
            <v>3.3369207376346193E-3</v>
          </cell>
          <cell r="BY103">
            <v>7.3037686602347622E-3</v>
          </cell>
        </row>
        <row r="104">
          <cell r="BJ104">
            <v>3.9668479226001412E-3</v>
          </cell>
          <cell r="BV104">
            <v>3.3369207376346193E-3</v>
          </cell>
          <cell r="BY104">
            <v>7.3037686602347622E-3</v>
          </cell>
        </row>
        <row r="105">
          <cell r="BJ105">
            <v>3.9668479226001412E-3</v>
          </cell>
          <cell r="BV105">
            <v>3.3369207376346193E-3</v>
          </cell>
          <cell r="BY105">
            <v>7.3037686602347622E-3</v>
          </cell>
        </row>
        <row r="106">
          <cell r="BJ106">
            <v>3.9668479226001412E-3</v>
          </cell>
          <cell r="BV106">
            <v>3.3369207376346193E-3</v>
          </cell>
          <cell r="BY106">
            <v>7.3037686602347622E-3</v>
          </cell>
        </row>
        <row r="107">
          <cell r="BJ107">
            <v>3.9668479226001412E-3</v>
          </cell>
          <cell r="BV107">
            <v>3.3369207376346193E-3</v>
          </cell>
          <cell r="BY107">
            <v>7.3037686602347622E-3</v>
          </cell>
        </row>
        <row r="108">
          <cell r="BJ108">
            <v>3.9668479226001412E-3</v>
          </cell>
          <cell r="BV108">
            <v>3.3369207376346193E-3</v>
          </cell>
          <cell r="BY108">
            <v>7.3037686602347622E-3</v>
          </cell>
        </row>
        <row r="109">
          <cell r="BJ109">
            <v>3.9668479226001412E-3</v>
          </cell>
          <cell r="BV109">
            <v>3.3369207376346193E-3</v>
          </cell>
          <cell r="BY109">
            <v>7.3037686602347622E-3</v>
          </cell>
        </row>
        <row r="110">
          <cell r="BJ110">
            <v>3.9668479226001412E-3</v>
          </cell>
          <cell r="BV110">
            <v>3.3369207376346193E-3</v>
          </cell>
          <cell r="BY110">
            <v>7.3037686602347622E-3</v>
          </cell>
        </row>
        <row r="111">
          <cell r="BJ111">
            <v>3.9668479226001412E-3</v>
          </cell>
          <cell r="BV111">
            <v>3.3369207376346193E-3</v>
          </cell>
          <cell r="BY111">
            <v>7.3037686602347622E-3</v>
          </cell>
        </row>
        <row r="112">
          <cell r="BJ112">
            <v>3.9668479226001412E-3</v>
          </cell>
          <cell r="BV112">
            <v>3.3369207376346193E-3</v>
          </cell>
          <cell r="BY112">
            <v>7.3037686602347622E-3</v>
          </cell>
        </row>
        <row r="113">
          <cell r="BJ113">
            <v>3.9668479226001412E-3</v>
          </cell>
          <cell r="BV113">
            <v>3.3369207376346193E-3</v>
          </cell>
          <cell r="BY113">
            <v>7.3037686602347622E-3</v>
          </cell>
        </row>
        <row r="114">
          <cell r="BJ114">
            <v>3.9668479226001412E-3</v>
          </cell>
          <cell r="BV114">
            <v>3.3369207376346193E-3</v>
          </cell>
          <cell r="BY114">
            <v>7.3037686602347622E-3</v>
          </cell>
        </row>
        <row r="115">
          <cell r="BJ115">
            <v>3.9668479226001412E-3</v>
          </cell>
          <cell r="BV115">
            <v>3.3369207376346193E-3</v>
          </cell>
          <cell r="BY115">
            <v>7.3037686602347622E-3</v>
          </cell>
        </row>
        <row r="116">
          <cell r="BJ116">
            <v>3.9668479226001412E-3</v>
          </cell>
          <cell r="BV116">
            <v>3.3369207376346193E-3</v>
          </cell>
          <cell r="BY116">
            <v>7.3037686602347622E-3</v>
          </cell>
        </row>
        <row r="117">
          <cell r="BJ117">
            <v>3.9668479226001412E-3</v>
          </cell>
          <cell r="BV117">
            <v>3.3369207376346193E-3</v>
          </cell>
          <cell r="BY117">
            <v>7.3037686602347622E-3</v>
          </cell>
        </row>
        <row r="118">
          <cell r="BJ118">
            <v>3.9668479226001412E-3</v>
          </cell>
          <cell r="BV118">
            <v>3.3369207376346193E-3</v>
          </cell>
          <cell r="BY118">
            <v>7.3037686602347622E-3</v>
          </cell>
        </row>
        <row r="119">
          <cell r="BJ119">
            <v>3.9668479226001412E-3</v>
          </cell>
          <cell r="BV119">
            <v>3.3369207376346193E-3</v>
          </cell>
          <cell r="BY119">
            <v>7.3037686602347622E-3</v>
          </cell>
        </row>
        <row r="120">
          <cell r="BJ120">
            <v>3.9668479226001412E-3</v>
          </cell>
          <cell r="BV120">
            <v>3.3369207376346193E-3</v>
          </cell>
          <cell r="BY120">
            <v>7.3037686602347622E-3</v>
          </cell>
        </row>
        <row r="121">
          <cell r="BJ121">
            <v>3.9668479226001412E-3</v>
          </cell>
          <cell r="BV121">
            <v>3.3369207376346193E-3</v>
          </cell>
          <cell r="BY121">
            <v>7.3037686602347622E-3</v>
          </cell>
        </row>
        <row r="122">
          <cell r="BJ122">
            <v>3.9668479226001412E-3</v>
          </cell>
          <cell r="BV122">
            <v>3.3369207376346193E-3</v>
          </cell>
          <cell r="BY122">
            <v>7.3037686602347622E-3</v>
          </cell>
        </row>
        <row r="123">
          <cell r="BJ123">
            <v>3.9668479226001412E-3</v>
          </cell>
          <cell r="BV123">
            <v>3.3369207376346193E-3</v>
          </cell>
          <cell r="BY123">
            <v>7.3037686602347622E-3</v>
          </cell>
        </row>
        <row r="124">
          <cell r="BJ124">
            <v>3.9668479226001412E-3</v>
          </cell>
          <cell r="BV124">
            <v>3.3369207376346193E-3</v>
          </cell>
          <cell r="BY124">
            <v>7.3037686602347622E-3</v>
          </cell>
        </row>
        <row r="125">
          <cell r="BJ125">
            <v>3.9668479226001412E-3</v>
          </cell>
          <cell r="BV125">
            <v>3.3369207376346193E-3</v>
          </cell>
          <cell r="BY125">
            <v>7.3037686602347622E-3</v>
          </cell>
        </row>
        <row r="126">
          <cell r="BJ126">
            <v>3.9668479226001412E-3</v>
          </cell>
          <cell r="BV126">
            <v>3.3369207376346193E-3</v>
          </cell>
          <cell r="BY126">
            <v>7.3037686602347622E-3</v>
          </cell>
        </row>
        <row r="127">
          <cell r="BJ127">
            <v>3.9668479226001412E-3</v>
          </cell>
          <cell r="BV127">
            <v>3.3369207376346193E-3</v>
          </cell>
          <cell r="BY127">
            <v>7.3037686602347622E-3</v>
          </cell>
        </row>
        <row r="128">
          <cell r="BJ128">
            <v>3.9668479226001412E-3</v>
          </cell>
          <cell r="BV128">
            <v>3.3369207376346193E-3</v>
          </cell>
          <cell r="BY128">
            <v>7.3037686602347622E-3</v>
          </cell>
        </row>
        <row r="129">
          <cell r="BJ129">
            <v>3.9668479226001412E-3</v>
          </cell>
          <cell r="BV129">
            <v>3.3369207376346193E-3</v>
          </cell>
          <cell r="BY129">
            <v>7.3037686602347622E-3</v>
          </cell>
        </row>
        <row r="130">
          <cell r="BJ130">
            <v>3.9668479226001412E-3</v>
          </cell>
          <cell r="BV130">
            <v>3.3369207376346193E-3</v>
          </cell>
          <cell r="BY130">
            <v>7.3037686602347622E-3</v>
          </cell>
        </row>
        <row r="131">
          <cell r="BJ131">
            <v>3.9668479226001412E-3</v>
          </cell>
          <cell r="BV131">
            <v>3.3369207376346193E-3</v>
          </cell>
          <cell r="BY131">
            <v>7.3037686602347622E-3</v>
          </cell>
        </row>
        <row r="132">
          <cell r="BJ132">
            <v>3.9668479226001412E-3</v>
          </cell>
          <cell r="BV132">
            <v>3.3369207376346193E-3</v>
          </cell>
          <cell r="BY132">
            <v>7.3037686602347622E-3</v>
          </cell>
        </row>
        <row r="133">
          <cell r="BJ133">
            <v>3.9668479226001412E-3</v>
          </cell>
          <cell r="BV133">
            <v>3.3369207376346193E-3</v>
          </cell>
          <cell r="BY133">
            <v>7.3037686602347622E-3</v>
          </cell>
        </row>
        <row r="134">
          <cell r="BJ134">
            <v>3.9668479226001412E-3</v>
          </cell>
          <cell r="BV134">
            <v>3.3369207376346193E-3</v>
          </cell>
          <cell r="BY134">
            <v>7.3037686602347622E-3</v>
          </cell>
        </row>
        <row r="135">
          <cell r="BJ135">
            <v>3.9668479226001412E-3</v>
          </cell>
          <cell r="BV135">
            <v>3.3369207376346193E-3</v>
          </cell>
          <cell r="BY135">
            <v>7.3037686602347622E-3</v>
          </cell>
        </row>
        <row r="136">
          <cell r="BJ136">
            <v>3.9668479226001412E-3</v>
          </cell>
          <cell r="BV136">
            <v>3.3369207376346193E-3</v>
          </cell>
          <cell r="BY136">
            <v>7.3037686602347622E-3</v>
          </cell>
        </row>
        <row r="137">
          <cell r="BJ137">
            <v>3.9668479226001412E-3</v>
          </cell>
          <cell r="BV137">
            <v>3.3369207376346193E-3</v>
          </cell>
          <cell r="BY137">
            <v>7.3037686602347622E-3</v>
          </cell>
        </row>
        <row r="138">
          <cell r="BJ138">
            <v>3.9668479226001412E-3</v>
          </cell>
          <cell r="BV138">
            <v>3.3369207376346193E-3</v>
          </cell>
          <cell r="BY138">
            <v>7.3037686602347622E-3</v>
          </cell>
        </row>
        <row r="139">
          <cell r="BJ139">
            <v>3.9668479226001412E-3</v>
          </cell>
          <cell r="BV139">
            <v>3.3369207376346193E-3</v>
          </cell>
          <cell r="BY139">
            <v>7.3037686602347622E-3</v>
          </cell>
        </row>
        <row r="140">
          <cell r="BJ140">
            <v>3.9668479226001412E-3</v>
          </cell>
          <cell r="BV140">
            <v>3.3369207376346193E-3</v>
          </cell>
          <cell r="BY140">
            <v>7.3037686602347622E-3</v>
          </cell>
        </row>
        <row r="141">
          <cell r="BJ141">
            <v>3.9668479226001412E-3</v>
          </cell>
          <cell r="BV141">
            <v>3.3369207376346193E-3</v>
          </cell>
          <cell r="BY141">
            <v>7.3037686602347622E-3</v>
          </cell>
        </row>
        <row r="142">
          <cell r="BJ142">
            <v>3.9668479226001412E-3</v>
          </cell>
          <cell r="BV142">
            <v>3.3369207376346193E-3</v>
          </cell>
          <cell r="BY142">
            <v>7.3037686602347622E-3</v>
          </cell>
        </row>
        <row r="143">
          <cell r="BJ143">
            <v>5.1577921844129515E-3</v>
          </cell>
          <cell r="BV143">
            <v>3.3369207376346193E-3</v>
          </cell>
          <cell r="BY143">
            <v>8.4947129220475717E-3</v>
          </cell>
        </row>
        <row r="144">
          <cell r="BJ144">
            <v>4.5827707983140519E-3</v>
          </cell>
          <cell r="BV144">
            <v>3.3369207376346193E-3</v>
          </cell>
          <cell r="BY144">
            <v>7.9196915359486721E-3</v>
          </cell>
        </row>
        <row r="145">
          <cell r="BJ145">
            <v>4.8120704869333824E-3</v>
          </cell>
          <cell r="BV145">
            <v>3.3369207376346193E-3</v>
          </cell>
          <cell r="BY145">
            <v>8.1489912245680026E-3</v>
          </cell>
        </row>
        <row r="146">
          <cell r="BJ146">
            <v>4.0439996059340941E-3</v>
          </cell>
          <cell r="BV146">
            <v>3.3369207376346193E-3</v>
          </cell>
          <cell r="BY146">
            <v>7.3809203435687143E-3</v>
          </cell>
        </row>
        <row r="147">
          <cell r="BJ147">
            <v>4.0439996059340941E-3</v>
          </cell>
          <cell r="BV147">
            <v>3.3369207376346193E-3</v>
          </cell>
          <cell r="BY147">
            <v>7.3809203435687143E-3</v>
          </cell>
        </row>
        <row r="148">
          <cell r="BJ148">
            <v>3.9786089309936943E-3</v>
          </cell>
          <cell r="BV148">
            <v>3.3369207376346193E-3</v>
          </cell>
          <cell r="BY148">
            <v>7.3155296686283145E-3</v>
          </cell>
        </row>
        <row r="149">
          <cell r="BJ149">
            <v>3.9786089309936943E-3</v>
          </cell>
          <cell r="BV149">
            <v>3.3369207376346193E-3</v>
          </cell>
          <cell r="BY149">
            <v>7.3155296686283145E-3</v>
          </cell>
        </row>
        <row r="150">
          <cell r="BJ150">
            <v>2.8142727371461554E-3</v>
          </cell>
          <cell r="BV150">
            <v>3.3369207376346193E-3</v>
          </cell>
          <cell r="BY150">
            <v>6.1511934747807756E-3</v>
          </cell>
        </row>
        <row r="151">
          <cell r="BJ151">
            <v>2.6247495065141852E-3</v>
          </cell>
          <cell r="BV151">
            <v>3.3369207376346193E-3</v>
          </cell>
          <cell r="BY151">
            <v>5.9616702441488059E-3</v>
          </cell>
        </row>
        <row r="152">
          <cell r="BJ152">
            <v>4.694429445040265E-3</v>
          </cell>
          <cell r="BV152">
            <v>3.3369207376346193E-3</v>
          </cell>
          <cell r="BY152">
            <v>8.0313501826748852E-3</v>
          </cell>
        </row>
        <row r="153">
          <cell r="BJ153">
            <v>5.064868419456036E-3</v>
          </cell>
          <cell r="BV153">
            <v>3.3369207376346193E-3</v>
          </cell>
          <cell r="BY153">
            <v>8.4017891570906562E-3</v>
          </cell>
        </row>
        <row r="154">
          <cell r="BJ154">
            <v>5.064868419456036E-3</v>
          </cell>
          <cell r="BV154">
            <v>3.3369207376346193E-3</v>
          </cell>
          <cell r="BY154">
            <v>8.4017891570906562E-3</v>
          </cell>
        </row>
        <row r="155">
          <cell r="BJ155">
            <v>6.6943044890263358E-3</v>
          </cell>
          <cell r="BV155">
            <v>3.3369207376346193E-3</v>
          </cell>
          <cell r="BY155">
            <v>1.0031225226660955E-2</v>
          </cell>
        </row>
        <row r="156">
          <cell r="BJ156">
            <v>6.6943044890263358E-3</v>
          </cell>
          <cell r="BV156">
            <v>3.3369207376346193E-3</v>
          </cell>
          <cell r="BY156">
            <v>1.0031225226660955E-2</v>
          </cell>
        </row>
        <row r="157">
          <cell r="BJ157">
            <v>6.6943044890263358E-3</v>
          </cell>
          <cell r="BV157">
            <v>3.3369207376346193E-3</v>
          </cell>
          <cell r="BY157">
            <v>1.0031225226660955E-2</v>
          </cell>
        </row>
        <row r="158">
          <cell r="BJ158">
            <v>6.6943044890263358E-3</v>
          </cell>
          <cell r="BV158">
            <v>3.3369207376346193E-3</v>
          </cell>
          <cell r="BY158">
            <v>1.0031225226660955E-2</v>
          </cell>
        </row>
        <row r="159">
          <cell r="BJ159">
            <v>7.2687856984058755E-3</v>
          </cell>
          <cell r="BV159">
            <v>3.3369207376346193E-3</v>
          </cell>
          <cell r="BY159">
            <v>1.0605706436040495E-2</v>
          </cell>
        </row>
        <row r="160">
          <cell r="BJ160">
            <v>7.4353197137455255E-3</v>
          </cell>
          <cell r="BV160">
            <v>3.3369207376346193E-3</v>
          </cell>
          <cell r="BY160">
            <v>1.0772240451380144E-2</v>
          </cell>
        </row>
        <row r="161">
          <cell r="BJ161">
            <v>7.0904326608355397E-3</v>
          </cell>
          <cell r="BV161">
            <v>3.3369207376346193E-3</v>
          </cell>
          <cell r="BY161">
            <v>1.0427353398470158E-2</v>
          </cell>
        </row>
        <row r="162">
          <cell r="BJ162">
            <v>7.1669788947980101E-3</v>
          </cell>
          <cell r="BV162">
            <v>3.3369207376346193E-3</v>
          </cell>
          <cell r="BY162">
            <v>1.0503899632432628E-2</v>
          </cell>
        </row>
        <row r="163">
          <cell r="BJ163">
            <v>7.7391019576433101E-3</v>
          </cell>
          <cell r="BV163">
            <v>3.3369207376346193E-3</v>
          </cell>
          <cell r="BY163">
            <v>1.1076022695277927E-2</v>
          </cell>
        </row>
        <row r="164">
          <cell r="BJ164">
            <v>7.7391019576433101E-3</v>
          </cell>
          <cell r="BV164">
            <v>3.3369207376346193E-3</v>
          </cell>
          <cell r="BY164">
            <v>1.1076022695277927E-2</v>
          </cell>
        </row>
        <row r="165">
          <cell r="BJ165">
            <v>7.7391019576433101E-3</v>
          </cell>
          <cell r="BV165">
            <v>3.3369207376346193E-3</v>
          </cell>
          <cell r="BY165">
            <v>1.1076022695277927E-2</v>
          </cell>
        </row>
        <row r="166">
          <cell r="BJ166">
            <v>7.7391019576433101E-3</v>
          </cell>
          <cell r="BV166">
            <v>3.3369207376346193E-3</v>
          </cell>
          <cell r="BY166">
            <v>1.1076022695277927E-2</v>
          </cell>
        </row>
        <row r="167">
          <cell r="BJ167">
            <v>7.7391019576433101E-3</v>
          </cell>
          <cell r="BV167">
            <v>3.3369207376346193E-3</v>
          </cell>
          <cell r="BY167">
            <v>1.1076022695277927E-2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CW167"/>
  <sheetViews>
    <sheetView tabSelected="1" topLeftCell="BF1" workbookViewId="0">
      <selection activeCell="BV14" sqref="BV14"/>
    </sheetView>
  </sheetViews>
  <sheetFormatPr defaultRowHeight="14.4" x14ac:dyDescent="0.3"/>
  <cols>
    <col min="1" max="1" width="9.33203125" bestFit="1" customWidth="1"/>
    <col min="2" max="3" width="10.6640625" style="6" bestFit="1" customWidth="1"/>
    <col min="4" max="5" width="10.6640625" style="7" customWidth="1"/>
    <col min="6" max="6" width="8.6640625" style="6" bestFit="1" customWidth="1"/>
    <col min="7" max="7" width="16.21875" style="6" bestFit="1" customWidth="1"/>
    <col min="8" max="8" width="9.33203125" style="6" bestFit="1" customWidth="1"/>
    <col min="9" max="9" width="17" style="6" bestFit="1" customWidth="1"/>
    <col min="10" max="10" width="18.6640625" style="6" bestFit="1" customWidth="1"/>
    <col min="11" max="11" width="19.44140625" style="6" bestFit="1" customWidth="1"/>
    <col min="12" max="13" width="10.6640625" style="6" bestFit="1" customWidth="1"/>
    <col min="14" max="14" width="10.44140625" style="8" bestFit="1" customWidth="1"/>
    <col min="15" max="15" width="13.6640625" style="8" bestFit="1" customWidth="1"/>
    <col min="16" max="17" width="17" style="8" bestFit="1" customWidth="1"/>
    <col min="18" max="18" width="10.6640625" style="6" bestFit="1" customWidth="1"/>
    <col min="19" max="20" width="13.44140625" style="6" bestFit="1" customWidth="1"/>
    <col min="21" max="21" width="20.21875" style="7" bestFit="1" customWidth="1"/>
    <col min="22" max="23" width="23.6640625" style="7" bestFit="1" customWidth="1"/>
    <col min="24" max="24" width="12.44140625" style="8" bestFit="1" customWidth="1"/>
    <col min="25" max="25" width="15.6640625" style="8" bestFit="1" customWidth="1"/>
    <col min="26" max="27" width="19.109375" style="8" bestFit="1" customWidth="1"/>
    <col min="28" max="28" width="11" style="6" bestFit="1" customWidth="1"/>
    <col min="29" max="30" width="14.44140625" style="6" bestFit="1" customWidth="1"/>
    <col min="31" max="31" width="22.33203125" style="7" bestFit="1" customWidth="1"/>
    <col min="32" max="33" width="25.77734375" style="7" bestFit="1" customWidth="1"/>
    <col min="51" max="51" width="8.88671875" style="12"/>
    <col min="52" max="53" width="8.88671875" style="13"/>
    <col min="54" max="57" width="8.88671875" style="12"/>
    <col min="58" max="58" width="13.5546875" style="12" bestFit="1" customWidth="1"/>
    <col min="59" max="59" width="9.77734375" style="12" bestFit="1" customWidth="1"/>
    <col min="60" max="60" width="10.5546875" style="12" bestFit="1" customWidth="1"/>
    <col min="61" max="61" width="9.77734375" style="12" customWidth="1"/>
    <col min="62" max="63" width="8.88671875" style="12"/>
    <col min="64" max="65" width="8.88671875" style="13"/>
    <col min="66" max="69" width="8.88671875" style="12"/>
    <col min="70" max="70" width="13.5546875" style="12" bestFit="1" customWidth="1"/>
    <col min="71" max="71" width="12.33203125" style="12" bestFit="1" customWidth="1"/>
    <col min="72" max="72" width="10.109375" style="12" bestFit="1" customWidth="1"/>
    <col min="73" max="73" width="9.77734375" style="12" customWidth="1"/>
    <col min="74" max="101" width="8.88671875" style="12"/>
  </cols>
  <sheetData>
    <row r="1" spans="1:101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Y1" s="9"/>
      <c r="AZ1" s="9"/>
      <c r="BA1" s="9"/>
      <c r="BB1" s="9"/>
      <c r="BC1" s="9"/>
      <c r="BD1" s="9"/>
      <c r="BE1" s="9"/>
      <c r="BF1" s="9"/>
      <c r="BG1" s="10"/>
      <c r="BH1" s="10"/>
      <c r="BI1" s="10"/>
      <c r="BJ1" s="11">
        <f>BJ167</f>
        <v>1.4079333846715957E-2</v>
      </c>
      <c r="BK1" s="9"/>
      <c r="BL1" s="9"/>
      <c r="BM1" s="9"/>
      <c r="BN1" s="9"/>
      <c r="BO1" s="9"/>
      <c r="BP1" s="9"/>
      <c r="BQ1" s="9"/>
      <c r="BR1" s="9"/>
      <c r="BS1" s="10"/>
      <c r="BT1" s="10"/>
      <c r="BU1" s="10"/>
      <c r="BV1" s="11">
        <f>BV167</f>
        <v>2.1819624889842421E-2</v>
      </c>
      <c r="BW1" s="9"/>
      <c r="BX1" s="9"/>
      <c r="BY1" s="11">
        <f>BY167</f>
        <v>3.5898958736558365E-2</v>
      </c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</row>
    <row r="2" spans="1:101" x14ac:dyDescent="0.3">
      <c r="A2" s="1">
        <v>46024</v>
      </c>
      <c r="B2" s="6">
        <v>22.48</v>
      </c>
      <c r="C2" s="6">
        <v>41.6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22.48</v>
      </c>
      <c r="M2" s="6">
        <v>41.6</v>
      </c>
      <c r="N2" s="8">
        <v>1.85053380782918</v>
      </c>
      <c r="O2" s="8">
        <v>1.8787268979407299</v>
      </c>
      <c r="X2" s="8">
        <v>1.85053380782918</v>
      </c>
      <c r="Y2" s="8">
        <v>1.8658943630327001</v>
      </c>
    </row>
    <row r="3" spans="1:101" x14ac:dyDescent="0.3">
      <c r="A3" s="1">
        <v>46027</v>
      </c>
      <c r="B3" s="6">
        <v>22.52</v>
      </c>
      <c r="C3" s="6">
        <v>41.73</v>
      </c>
      <c r="D3" s="7">
        <v>1.7777782459993501E-3</v>
      </c>
      <c r="E3" s="7">
        <v>3.1201273362434501E-3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22.52</v>
      </c>
      <c r="M3" s="6">
        <v>41.73</v>
      </c>
      <c r="N3" s="8">
        <v>1.8530195381882699</v>
      </c>
      <c r="O3" s="8">
        <v>1.8787268979407299</v>
      </c>
      <c r="R3" s="6">
        <v>42.308929741625199</v>
      </c>
      <c r="U3" s="7">
        <v>1.37778741722071E-2</v>
      </c>
      <c r="X3" s="8">
        <v>1.8530195381882699</v>
      </c>
      <c r="Y3" s="8">
        <v>1.8658943630327001</v>
      </c>
      <c r="AB3" s="6">
        <v>42.019941055496503</v>
      </c>
      <c r="AE3" s="7">
        <v>6.9239980398371004E-3</v>
      </c>
      <c r="CL3" s="14">
        <f>BJ11</f>
        <v>2.6817223695447647</v>
      </c>
      <c r="CM3" s="15">
        <v>0</v>
      </c>
      <c r="CN3" s="15">
        <f>CM3-0.0005</f>
        <v>-5.0000000000000001E-4</v>
      </c>
      <c r="CO3" s="15">
        <f t="shared" ref="CO3:CT3" si="0">CN3-0.0005</f>
        <v>-1E-3</v>
      </c>
      <c r="CP3" s="15">
        <f t="shared" si="0"/>
        <v>-1.5E-3</v>
      </c>
      <c r="CQ3" s="15">
        <f t="shared" si="0"/>
        <v>-2E-3</v>
      </c>
      <c r="CR3" s="15">
        <f t="shared" si="0"/>
        <v>-2.5000000000000001E-3</v>
      </c>
      <c r="CS3" s="15">
        <f t="shared" si="0"/>
        <v>-3.0000000000000001E-3</v>
      </c>
      <c r="CT3" s="15">
        <f t="shared" si="0"/>
        <v>-3.5000000000000001E-3</v>
      </c>
      <c r="CU3" s="12" t="s">
        <v>33</v>
      </c>
    </row>
    <row r="4" spans="1:101" ht="15" thickBot="1" x14ac:dyDescent="0.35">
      <c r="A4" s="1">
        <v>46028</v>
      </c>
      <c r="B4" s="6">
        <v>22.48</v>
      </c>
      <c r="C4" s="6">
        <v>41.69</v>
      </c>
      <c r="D4" s="7">
        <v>-1.77777824599927E-3</v>
      </c>
      <c r="E4" s="7">
        <v>-9.5900271075565705E-4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22.48</v>
      </c>
      <c r="M4" s="6">
        <v>41.69</v>
      </c>
      <c r="N4" s="8">
        <v>1.85453736654804</v>
      </c>
      <c r="O4" s="8">
        <v>1.8787268979407299</v>
      </c>
      <c r="R4" s="6">
        <v>42.233780665707599</v>
      </c>
      <c r="U4" s="7">
        <v>1.2959098636963399E-2</v>
      </c>
      <c r="X4" s="8">
        <v>1.85453736654804</v>
      </c>
      <c r="Y4" s="8">
        <v>1.8658943630327001</v>
      </c>
      <c r="AB4" s="6">
        <v>41.945305280975198</v>
      </c>
      <c r="AE4" s="7">
        <v>6.1052225045933502E-3</v>
      </c>
      <c r="CL4" s="15">
        <v>0</v>
      </c>
      <c r="CM4" s="16">
        <f t="dataTable" ref="CM4:CT11" dt2D="1" dtr="1" r1="BA20" r2="BA21"/>
        <v>1.9677115560116205</v>
      </c>
      <c r="CN4" s="16">
        <v>2.5598363730463967</v>
      </c>
      <c r="CO4" s="16">
        <v>1.5536882046112643</v>
      </c>
      <c r="CP4" s="16">
        <v>1.1032709449280258</v>
      </c>
      <c r="CQ4" s="16">
        <v>1.1752239370178821</v>
      </c>
      <c r="CR4" s="16">
        <v>1.3279305624416533</v>
      </c>
      <c r="CS4" s="16">
        <v>2.2359139990786212</v>
      </c>
      <c r="CT4" s="16">
        <v>2.3138621392085477</v>
      </c>
      <c r="CV4" s="12" t="s">
        <v>34</v>
      </c>
      <c r="CW4" s="12" t="s">
        <v>35</v>
      </c>
    </row>
    <row r="5" spans="1:101" ht="15" thickBot="1" x14ac:dyDescent="0.35">
      <c r="A5" s="1">
        <v>46029</v>
      </c>
      <c r="B5" s="6">
        <v>22.49</v>
      </c>
      <c r="C5" s="6">
        <v>41.7</v>
      </c>
      <c r="D5" s="7">
        <v>4.44740945733835E-4</v>
      </c>
      <c r="E5" s="7">
        <v>2.3983691205041501E-4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22.49</v>
      </c>
      <c r="M5" s="6">
        <v>41.7</v>
      </c>
      <c r="N5" s="8">
        <v>1.8541574032903501</v>
      </c>
      <c r="O5" s="8">
        <v>1.8787268979407299</v>
      </c>
      <c r="R5" s="6">
        <v>42.252567934687001</v>
      </c>
      <c r="U5" s="7">
        <v>1.31640026706471E-2</v>
      </c>
      <c r="X5" s="8">
        <v>1.8541574032903501</v>
      </c>
      <c r="Y5" s="8">
        <v>1.8658943630327001</v>
      </c>
      <c r="AB5" s="6">
        <v>41.963964224605498</v>
      </c>
      <c r="AE5" s="7">
        <v>6.31012653827714E-3</v>
      </c>
      <c r="CL5" s="15">
        <f>CL4-0.0005</f>
        <v>-5.0000000000000001E-4</v>
      </c>
      <c r="CM5" s="16">
        <v>1.9677115560116205</v>
      </c>
      <c r="CN5" s="16">
        <v>3.1493506070398039</v>
      </c>
      <c r="CO5" s="16">
        <v>2.2690104006713305</v>
      </c>
      <c r="CP5" s="16">
        <v>1.6917548460835976</v>
      </c>
      <c r="CQ5" s="16">
        <v>2.0046359833801328</v>
      </c>
      <c r="CR5" s="16">
        <v>2.2730254805044963</v>
      </c>
      <c r="CS5" s="17">
        <v>2.6817223695447647</v>
      </c>
      <c r="CT5" s="16">
        <v>1.8921688929329097</v>
      </c>
      <c r="CV5" s="12" t="s">
        <v>36</v>
      </c>
      <c r="CW5" s="12" t="s">
        <v>37</v>
      </c>
    </row>
    <row r="6" spans="1:101" x14ac:dyDescent="0.3">
      <c r="A6" s="1">
        <v>46030</v>
      </c>
      <c r="B6" s="6">
        <v>22.45</v>
      </c>
      <c r="C6" s="6">
        <v>41.57</v>
      </c>
      <c r="D6" s="7">
        <v>-1.78015178296094E-3</v>
      </c>
      <c r="E6" s="7">
        <v>-3.12237554020973E-3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22.45</v>
      </c>
      <c r="M6" s="6">
        <v>41.57</v>
      </c>
      <c r="N6" s="8">
        <v>1.85167037861915</v>
      </c>
      <c r="O6" s="8">
        <v>1.8787268979407299</v>
      </c>
      <c r="R6" s="6">
        <v>42.1774188587694</v>
      </c>
      <c r="U6" s="7">
        <v>1.45062264278957E-2</v>
      </c>
      <c r="X6" s="8">
        <v>1.85167037861915</v>
      </c>
      <c r="Y6" s="8">
        <v>1.8658943630327001</v>
      </c>
      <c r="AB6" s="6">
        <v>41.8893284500842</v>
      </c>
      <c r="AE6" s="7">
        <v>7.6523502955256799E-3</v>
      </c>
      <c r="CL6" s="15">
        <f t="shared" ref="CL6:CL11" si="1">CL5-0.0005</f>
        <v>-1E-3</v>
      </c>
      <c r="CM6" s="16">
        <v>1.9677115560116205</v>
      </c>
      <c r="CN6" s="16">
        <v>3.1493506070398039</v>
      </c>
      <c r="CO6" s="16">
        <v>2.1149957322242008</v>
      </c>
      <c r="CP6" s="16">
        <v>1.4842011328003384</v>
      </c>
      <c r="CQ6" s="16">
        <v>1.6301286658390539</v>
      </c>
      <c r="CR6" s="16">
        <v>1.8994184124676909</v>
      </c>
      <c r="CS6" s="16">
        <v>2.3316914811878062</v>
      </c>
      <c r="CT6" s="16">
        <v>1.8114467752994121</v>
      </c>
    </row>
    <row r="7" spans="1:101" x14ac:dyDescent="0.3">
      <c r="A7" s="1">
        <v>46031</v>
      </c>
      <c r="B7" s="6">
        <v>22.39</v>
      </c>
      <c r="C7" s="6">
        <v>41.55</v>
      </c>
      <c r="D7" s="7">
        <v>-2.6761835775998299E-3</v>
      </c>
      <c r="E7" s="7">
        <v>-4.8123196308891199E-4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22.39</v>
      </c>
      <c r="M7" s="6">
        <v>41.55</v>
      </c>
      <c r="N7" s="8">
        <v>1.85573916927199</v>
      </c>
      <c r="O7" s="8">
        <v>1.8787268979407299</v>
      </c>
      <c r="R7" s="6">
        <v>42.064695244892903</v>
      </c>
      <c r="U7" s="7">
        <v>1.2311274813384799E-2</v>
      </c>
      <c r="X7" s="8">
        <v>1.85573916927199</v>
      </c>
      <c r="Y7" s="8">
        <v>1.8658943630327001</v>
      </c>
      <c r="AB7" s="6">
        <v>41.777374788302197</v>
      </c>
      <c r="AE7" s="7">
        <v>5.4573986810150703E-3</v>
      </c>
      <c r="CL7" s="15">
        <f t="shared" si="1"/>
        <v>-1.5E-3</v>
      </c>
      <c r="CM7" s="16">
        <v>1.9677115560116205</v>
      </c>
      <c r="CN7" s="16">
        <v>3.1493506070398039</v>
      </c>
      <c r="CO7" s="16">
        <v>2.1149957322242008</v>
      </c>
      <c r="CP7" s="16">
        <v>1.812532662064706</v>
      </c>
      <c r="CQ7" s="16">
        <v>1.5543500967174702</v>
      </c>
      <c r="CR7" s="16">
        <v>1.8369381204672668</v>
      </c>
      <c r="CS7" s="16">
        <v>2.1546715052372427</v>
      </c>
      <c r="CT7" s="16">
        <v>1.8114467752994121</v>
      </c>
    </row>
    <row r="8" spans="1:101" x14ac:dyDescent="0.3">
      <c r="A8" s="1">
        <v>46034</v>
      </c>
      <c r="B8" s="6">
        <v>22.44</v>
      </c>
      <c r="C8" s="6">
        <v>41.69</v>
      </c>
      <c r="D8" s="7">
        <v>2.2306500438321599E-3</v>
      </c>
      <c r="E8" s="7">
        <v>3.3637705912484398E-3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22.44</v>
      </c>
      <c r="M8" s="6">
        <v>41.69</v>
      </c>
      <c r="N8" s="8">
        <v>1.8578431372549</v>
      </c>
      <c r="O8" s="8">
        <v>1.8787268979407299</v>
      </c>
      <c r="R8" s="6">
        <v>42.158631589789998</v>
      </c>
      <c r="U8" s="7">
        <v>1.11781542659686E-2</v>
      </c>
      <c r="X8" s="8">
        <v>1.8578431372549</v>
      </c>
      <c r="Y8" s="8">
        <v>1.8658943630327001</v>
      </c>
      <c r="AB8" s="6">
        <v>41.870669506453901</v>
      </c>
      <c r="AE8" s="7">
        <v>4.32427813359877E-3</v>
      </c>
      <c r="CL8" s="15">
        <f t="shared" si="1"/>
        <v>-2E-3</v>
      </c>
      <c r="CM8" s="16">
        <v>1.9677115560116205</v>
      </c>
      <c r="CN8" s="16">
        <v>3.1493506070398039</v>
      </c>
      <c r="CO8" s="16">
        <v>2.1149957322242008</v>
      </c>
      <c r="CP8" s="16">
        <v>1.812532662064706</v>
      </c>
      <c r="CQ8" s="16">
        <v>2.0506406487383981</v>
      </c>
      <c r="CR8" s="16">
        <v>2.423216930430578</v>
      </c>
      <c r="CS8" s="16">
        <v>2.0526791101939543</v>
      </c>
      <c r="CT8" s="16">
        <v>1.8114467752994121</v>
      </c>
    </row>
    <row r="9" spans="1:101" x14ac:dyDescent="0.3">
      <c r="A9" s="1">
        <v>46035</v>
      </c>
      <c r="B9" s="6">
        <v>22.33</v>
      </c>
      <c r="C9" s="6">
        <v>41.54</v>
      </c>
      <c r="D9" s="7">
        <v>-4.9140148024291496E-3</v>
      </c>
      <c r="E9" s="7">
        <v>-3.6044734447392298E-3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22.33</v>
      </c>
      <c r="M9" s="6">
        <v>41.54</v>
      </c>
      <c r="N9" s="8">
        <v>1.8602776533811001</v>
      </c>
      <c r="O9" s="8">
        <v>1.8787268979407299</v>
      </c>
      <c r="R9" s="6">
        <v>41.951971631016498</v>
      </c>
      <c r="U9" s="7">
        <v>9.8686129082788902E-3</v>
      </c>
      <c r="X9" s="8">
        <v>1.8602776533811001</v>
      </c>
      <c r="Y9" s="8">
        <v>1.8658943630327001</v>
      </c>
      <c r="AB9" s="6">
        <v>41.6654211265203</v>
      </c>
      <c r="AE9" s="7">
        <v>3.0147367759088199E-3</v>
      </c>
      <c r="BJ9" s="18">
        <f>AVERAGE(BI22:BI200)</f>
        <v>9.6433793470657238E-5</v>
      </c>
      <c r="BV9" s="18">
        <f>AVERAGE(BU22:BU200)</f>
        <v>1.4944948554686591E-4</v>
      </c>
      <c r="BY9" s="18">
        <f>AVERAGE(BX22:BX200)</f>
        <v>2.4588327901752302E-4</v>
      </c>
      <c r="CL9" s="15">
        <f t="shared" si="1"/>
        <v>-2.5000000000000001E-3</v>
      </c>
      <c r="CM9" s="16">
        <v>1.9677115560116205</v>
      </c>
      <c r="CN9" s="16">
        <v>3.1493506070398039</v>
      </c>
      <c r="CO9" s="16">
        <v>2.1149957322242008</v>
      </c>
      <c r="CP9" s="16">
        <v>1.812532662064706</v>
      </c>
      <c r="CQ9" s="16">
        <v>2.0506406487383981</v>
      </c>
      <c r="CR9" s="16">
        <v>1.780115584339838</v>
      </c>
      <c r="CS9" s="16">
        <v>2.0526791101939543</v>
      </c>
      <c r="CT9" s="16">
        <v>1.8114467752994121</v>
      </c>
    </row>
    <row r="10" spans="1:101" x14ac:dyDescent="0.3">
      <c r="A10" s="1">
        <v>46036</v>
      </c>
      <c r="B10" s="6">
        <v>22.4</v>
      </c>
      <c r="C10" s="6">
        <v>41.65</v>
      </c>
      <c r="D10" s="7">
        <v>3.12989300892756E-3</v>
      </c>
      <c r="E10" s="7">
        <v>2.64455016488536E-3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22.4</v>
      </c>
      <c r="M10" s="6">
        <v>41.65</v>
      </c>
      <c r="N10" s="8">
        <v>1.859375</v>
      </c>
      <c r="O10" s="8">
        <v>1.8787268979407299</v>
      </c>
      <c r="R10" s="6">
        <v>42.083482513872298</v>
      </c>
      <c r="U10" s="7">
        <v>1.03539557523212E-2</v>
      </c>
      <c r="X10" s="8">
        <v>1.859375</v>
      </c>
      <c r="Y10" s="8">
        <v>1.8658943630327001</v>
      </c>
      <c r="AB10" s="6">
        <v>41.796033731932503</v>
      </c>
      <c r="AE10" s="7">
        <v>3.5000796199510299E-3</v>
      </c>
      <c r="AZ10" s="19"/>
      <c r="BJ10" s="18">
        <f>STDEV(BI22:BI200)</f>
        <v>5.7084172113439449E-4</v>
      </c>
      <c r="BL10" s="19"/>
      <c r="BV10" s="18">
        <f>STDEV(BU22:BU200)</f>
        <v>7.2802575487324538E-4</v>
      </c>
      <c r="BY10" s="18">
        <f>STDEV(BX22:BX200)</f>
        <v>9.0931788872593863E-4</v>
      </c>
      <c r="CL10" s="15">
        <f t="shared" si="1"/>
        <v>-3.0000000000000001E-3</v>
      </c>
      <c r="CM10" s="16">
        <v>1.9677115560116205</v>
      </c>
      <c r="CN10" s="16">
        <v>3.1493506070398039</v>
      </c>
      <c r="CO10" s="16">
        <v>2.1149957322242008</v>
      </c>
      <c r="CP10" s="16">
        <v>1.812532662064706</v>
      </c>
      <c r="CQ10" s="16">
        <v>2.0506406487383981</v>
      </c>
      <c r="CR10" s="16">
        <v>1.780115584339838</v>
      </c>
      <c r="CS10" s="16">
        <v>2.9498843722416361</v>
      </c>
      <c r="CT10" s="16">
        <v>1.8114467752994121</v>
      </c>
    </row>
    <row r="11" spans="1:101" x14ac:dyDescent="0.3">
      <c r="A11" s="1">
        <v>46037</v>
      </c>
      <c r="B11" s="6">
        <v>22.32</v>
      </c>
      <c r="C11" s="6">
        <v>41.52</v>
      </c>
      <c r="D11" s="7">
        <v>-3.5778213478838499E-3</v>
      </c>
      <c r="E11" s="7">
        <v>-3.1261297552183901E-3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22.32</v>
      </c>
      <c r="M11" s="6">
        <v>41.52</v>
      </c>
      <c r="N11" s="8">
        <v>1.8602150537634401</v>
      </c>
      <c r="O11" s="8">
        <v>1.8787268979407299</v>
      </c>
      <c r="P11" s="8">
        <v>1.8557368508146399</v>
      </c>
      <c r="R11" s="6">
        <v>41.933184362037103</v>
      </c>
      <c r="U11" s="7">
        <v>9.9022641596556108E-3</v>
      </c>
      <c r="X11" s="8">
        <v>1.8602150537634401</v>
      </c>
      <c r="Y11" s="8">
        <v>1.8658943630327001</v>
      </c>
      <c r="Z11" s="8">
        <v>1.8557368508146399</v>
      </c>
      <c r="AB11" s="6">
        <v>41.646762182889901</v>
      </c>
      <c r="AE11" s="7">
        <v>3.0483880272853801E-3</v>
      </c>
      <c r="BJ11" s="12">
        <f>SQRT(252)*BJ9/BJ10</f>
        <v>2.6817223695447647</v>
      </c>
      <c r="BV11" s="12">
        <f>SQRT(252)*BV9/BV10</f>
        <v>3.2587267937442035</v>
      </c>
      <c r="BY11" s="12">
        <f>SQRT(252)*BY9/BY10</f>
        <v>4.292531902617446</v>
      </c>
      <c r="CL11" s="15">
        <f t="shared" si="1"/>
        <v>-3.5000000000000001E-3</v>
      </c>
      <c r="CM11" s="16">
        <v>1.9677115560116205</v>
      </c>
      <c r="CN11" s="16">
        <v>3.1493506070398039</v>
      </c>
      <c r="CO11" s="16">
        <v>2.1149957322242008</v>
      </c>
      <c r="CP11" s="16">
        <v>1.812532662064706</v>
      </c>
      <c r="CQ11" s="16">
        <v>2.0506406487383981</v>
      </c>
      <c r="CR11" s="16">
        <v>1.780115584339838</v>
      </c>
      <c r="CS11" s="16">
        <v>2.9498843722416361</v>
      </c>
      <c r="CT11" s="16">
        <v>1.8114467752994121</v>
      </c>
    </row>
    <row r="12" spans="1:101" x14ac:dyDescent="0.3">
      <c r="A12" s="1">
        <v>46038</v>
      </c>
      <c r="B12" s="6">
        <v>22.34</v>
      </c>
      <c r="C12" s="6">
        <v>41.51</v>
      </c>
      <c r="D12" s="7">
        <v>8.9565612794438598E-4</v>
      </c>
      <c r="E12" s="7">
        <v>-2.40876792685949E-4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22.34</v>
      </c>
      <c r="M12" s="6">
        <v>41.51</v>
      </c>
      <c r="N12" s="8">
        <v>1.85810205908683</v>
      </c>
      <c r="O12" s="8">
        <v>1.8787268979407299</v>
      </c>
      <c r="P12" s="8">
        <v>1.85649367594041</v>
      </c>
      <c r="R12" s="6">
        <v>41.9707588999959</v>
      </c>
      <c r="S12" s="6">
        <v>41.457161247199103</v>
      </c>
      <c r="U12" s="7">
        <v>1.10387970802858E-2</v>
      </c>
      <c r="V12" s="7">
        <v>-1.27372707828626E-3</v>
      </c>
      <c r="X12" s="8">
        <v>1.85810205908683</v>
      </c>
      <c r="Y12" s="8">
        <v>1.8658943630327001</v>
      </c>
      <c r="Z12" s="8">
        <v>1.85649367594041</v>
      </c>
      <c r="AB12" s="6">
        <v>41.6840800701506</v>
      </c>
      <c r="AC12" s="6">
        <v>41.457161247199103</v>
      </c>
      <c r="AE12" s="7">
        <v>4.1849209479159896E-3</v>
      </c>
      <c r="AF12" s="7">
        <v>-1.27372707828626E-3</v>
      </c>
      <c r="CL12" s="12" t="s">
        <v>38</v>
      </c>
    </row>
    <row r="13" spans="1:101" x14ac:dyDescent="0.3">
      <c r="A13" s="1">
        <v>46042</v>
      </c>
      <c r="B13" s="6">
        <v>22.33</v>
      </c>
      <c r="C13" s="6">
        <v>41.64</v>
      </c>
      <c r="D13" s="7">
        <v>-4.4772778898822499E-4</v>
      </c>
      <c r="E13" s="7">
        <v>3.1268816818209098E-3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22.33</v>
      </c>
      <c r="M13" s="6">
        <v>41.64</v>
      </c>
      <c r="N13" s="8">
        <v>1.8647559337214501</v>
      </c>
      <c r="O13" s="8">
        <v>1.8787268979407299</v>
      </c>
      <c r="P13" s="8">
        <v>1.85766731549372</v>
      </c>
      <c r="R13" s="6">
        <v>41.951971631016498</v>
      </c>
      <c r="S13" s="6">
        <v>41.4555037837493</v>
      </c>
      <c r="U13" s="7">
        <v>7.4641876094768697E-3</v>
      </c>
      <c r="V13" s="7">
        <v>-4.4405897075148202E-3</v>
      </c>
      <c r="X13" s="8">
        <v>1.8647559337214501</v>
      </c>
      <c r="Y13" s="8">
        <v>1.8658943630327001</v>
      </c>
      <c r="Z13" s="8">
        <v>1.85766731549372</v>
      </c>
      <c r="AB13" s="6">
        <v>41.6654211265203</v>
      </c>
      <c r="AC13" s="6">
        <v>41.4555037837493</v>
      </c>
      <c r="AE13" s="7">
        <v>6.1031147710703703E-4</v>
      </c>
      <c r="AF13" s="7">
        <v>-4.4405897075148202E-3</v>
      </c>
    </row>
    <row r="14" spans="1:101" ht="15" thickBot="1" x14ac:dyDescent="0.35">
      <c r="A14" s="1">
        <v>46043</v>
      </c>
      <c r="B14" s="6">
        <v>22.32</v>
      </c>
      <c r="C14" s="6">
        <v>41.63</v>
      </c>
      <c r="D14" s="7">
        <v>-4.4792833895625802E-4</v>
      </c>
      <c r="E14" s="7">
        <v>-2.4018253988405001E-4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22.32</v>
      </c>
      <c r="M14" s="6">
        <v>41.63</v>
      </c>
      <c r="N14" s="8">
        <v>1.8651433691756201</v>
      </c>
      <c r="O14" s="8">
        <v>1.8787268979407299</v>
      </c>
      <c r="P14" s="8">
        <v>1.85872791575648</v>
      </c>
      <c r="R14" s="6">
        <v>41.933184362037103</v>
      </c>
      <c r="S14" s="6">
        <v>41.463134481819999</v>
      </c>
      <c r="U14" s="7">
        <v>7.2564418104048099E-3</v>
      </c>
      <c r="V14" s="7">
        <v>-4.0163545046395599E-3</v>
      </c>
      <c r="X14" s="8">
        <v>1.8651433691756201</v>
      </c>
      <c r="Y14" s="8">
        <v>1.8658943630327001</v>
      </c>
      <c r="Z14" s="8">
        <v>1.85872791575648</v>
      </c>
      <c r="AB14" s="6">
        <v>41.646762182889901</v>
      </c>
      <c r="AC14" s="6">
        <v>41.463134481819999</v>
      </c>
      <c r="AE14" s="7">
        <v>4.0256567803455501E-4</v>
      </c>
      <c r="AF14" s="7">
        <v>-4.0163545046395599E-3</v>
      </c>
      <c r="CL14" s="14">
        <f>BV11</f>
        <v>3.2587267937442035</v>
      </c>
      <c r="CM14" s="15">
        <v>0</v>
      </c>
      <c r="CN14" s="15">
        <f>CM14+0.0005</f>
        <v>5.0000000000000001E-4</v>
      </c>
      <c r="CO14" s="15">
        <f t="shared" ref="CO14:CT14" si="2">CN14+0.0005</f>
        <v>1E-3</v>
      </c>
      <c r="CP14" s="15">
        <f t="shared" si="2"/>
        <v>1.5E-3</v>
      </c>
      <c r="CQ14" s="15">
        <f t="shared" si="2"/>
        <v>2E-3</v>
      </c>
      <c r="CR14" s="15">
        <f t="shared" si="2"/>
        <v>2.5000000000000001E-3</v>
      </c>
      <c r="CS14" s="15">
        <f t="shared" si="2"/>
        <v>3.0000000000000001E-3</v>
      </c>
      <c r="CT14" s="15">
        <f t="shared" si="2"/>
        <v>3.5000000000000001E-3</v>
      </c>
      <c r="CU14" s="12" t="s">
        <v>33</v>
      </c>
    </row>
    <row r="15" spans="1:101" ht="15" thickBot="1" x14ac:dyDescent="0.35">
      <c r="A15" s="1">
        <v>46044</v>
      </c>
      <c r="B15" s="6">
        <v>22.46</v>
      </c>
      <c r="C15" s="6">
        <v>41.86</v>
      </c>
      <c r="D15" s="7">
        <v>6.25281179718685E-3</v>
      </c>
      <c r="E15" s="7">
        <v>5.50965581096947E-3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22.46</v>
      </c>
      <c r="M15" s="6">
        <v>41.86</v>
      </c>
      <c r="N15" s="8">
        <v>1.86375779162956</v>
      </c>
      <c r="O15" s="8">
        <v>1.8787268979407299</v>
      </c>
      <c r="P15" s="8">
        <v>1.8596879545903999</v>
      </c>
      <c r="R15" s="6">
        <v>42.196206127748802</v>
      </c>
      <c r="S15" s="6">
        <v>41.747028987890602</v>
      </c>
      <c r="U15" s="7">
        <v>7.9995977966221404E-3</v>
      </c>
      <c r="V15" s="7">
        <v>-2.7024302198121498E-3</v>
      </c>
      <c r="X15" s="8">
        <v>1.86375779162956</v>
      </c>
      <c r="Y15" s="8">
        <v>1.8658943630327001</v>
      </c>
      <c r="Z15" s="8">
        <v>1.8596879545903999</v>
      </c>
      <c r="AB15" s="6">
        <v>41.9079873937145</v>
      </c>
      <c r="AC15" s="6">
        <v>41.747028987890602</v>
      </c>
      <c r="AE15" s="7">
        <v>1.1457216642522001E-3</v>
      </c>
      <c r="AF15" s="7">
        <v>-2.7024302198121498E-3</v>
      </c>
      <c r="CL15" s="15">
        <v>0</v>
      </c>
      <c r="CM15" s="16">
        <f t="dataTable" ref="CM15:CT22" dt2D="1" dtr="1" r1="BM20" r2="BM21"/>
        <v>2.8052186240159154</v>
      </c>
      <c r="CN15" s="16">
        <v>3.0448741945569138</v>
      </c>
      <c r="CO15" s="16">
        <v>3.1687686852751664</v>
      </c>
      <c r="CP15" s="16">
        <v>3.0623490034397052</v>
      </c>
      <c r="CQ15" s="17">
        <v>3.2587267937442035</v>
      </c>
      <c r="CR15" s="16">
        <v>1.9067822281440869</v>
      </c>
      <c r="CS15" s="16">
        <v>1.6538954565445492</v>
      </c>
      <c r="CT15" s="16">
        <v>1.3034913937719601</v>
      </c>
      <c r="CV15" s="12" t="s">
        <v>34</v>
      </c>
      <c r="CW15" s="12" t="s">
        <v>39</v>
      </c>
    </row>
    <row r="16" spans="1:101" x14ac:dyDescent="0.3">
      <c r="A16" s="1">
        <v>46045</v>
      </c>
      <c r="B16" s="6">
        <v>22.64</v>
      </c>
      <c r="C16" s="6">
        <v>42.14</v>
      </c>
      <c r="D16" s="7">
        <v>7.9823040246850899E-3</v>
      </c>
      <c r="E16" s="7">
        <v>6.6666913581892896E-3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22.64</v>
      </c>
      <c r="M16" s="6">
        <v>42.14</v>
      </c>
      <c r="N16" s="8">
        <v>1.86130742049469</v>
      </c>
      <c r="O16" s="8">
        <v>1.8787268979407299</v>
      </c>
      <c r="P16" s="8">
        <v>1.86065165877796</v>
      </c>
      <c r="R16" s="6">
        <v>42.534376969378101</v>
      </c>
      <c r="S16" s="6">
        <v>42.103335291926797</v>
      </c>
      <c r="U16" s="7">
        <v>9.3152104631178591E-3</v>
      </c>
      <c r="V16" s="7">
        <v>-8.7044773954220395E-4</v>
      </c>
      <c r="X16" s="8">
        <v>1.86130742049469</v>
      </c>
      <c r="Y16" s="8">
        <v>1.8658943630327001</v>
      </c>
      <c r="Z16" s="8">
        <v>1.86065165877796</v>
      </c>
      <c r="AB16" s="6">
        <v>42.243848379060402</v>
      </c>
      <c r="AC16" s="6">
        <v>42.103335291926797</v>
      </c>
      <c r="AE16" s="7">
        <v>2.4613343307477698E-3</v>
      </c>
      <c r="AF16" s="7">
        <v>-8.7044773954220395E-4</v>
      </c>
      <c r="CL16" s="15">
        <f>CL15+0.0005</f>
        <v>5.0000000000000001E-4</v>
      </c>
      <c r="CM16" s="16">
        <v>2.8052186240159154</v>
      </c>
      <c r="CN16" s="16">
        <v>2.7776051411591269</v>
      </c>
      <c r="CO16" s="16">
        <v>2.9835430470355684</v>
      </c>
      <c r="CP16" s="16">
        <v>2.8824372186562859</v>
      </c>
      <c r="CQ16" s="16">
        <v>2.9995040744630606</v>
      </c>
      <c r="CR16" s="16">
        <v>1.5256204908686331</v>
      </c>
      <c r="CS16" s="16">
        <v>1.2090631283876712</v>
      </c>
      <c r="CT16" s="16">
        <v>1.0512498145018458</v>
      </c>
      <c r="CV16" s="12" t="s">
        <v>36</v>
      </c>
      <c r="CW16" s="12" t="s">
        <v>40</v>
      </c>
    </row>
    <row r="17" spans="1:98" x14ac:dyDescent="0.3">
      <c r="A17" s="1">
        <v>46048</v>
      </c>
      <c r="B17" s="6">
        <v>22.81</v>
      </c>
      <c r="C17" s="6">
        <v>42.41</v>
      </c>
      <c r="D17" s="7">
        <v>7.4807829613143103E-3</v>
      </c>
      <c r="E17" s="7">
        <v>6.3867751104562404E-3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22.81</v>
      </c>
      <c r="M17" s="6">
        <v>42.41</v>
      </c>
      <c r="N17" s="8">
        <v>1.85927224901359</v>
      </c>
      <c r="O17" s="8">
        <v>1.8787268979407299</v>
      </c>
      <c r="P17" s="8">
        <v>1.86100496675212</v>
      </c>
      <c r="R17" s="6">
        <v>42.853760542027999</v>
      </c>
      <c r="S17" s="6">
        <v>42.441464336725303</v>
      </c>
      <c r="U17" s="7">
        <v>1.04092183139758E-2</v>
      </c>
      <c r="V17" s="7">
        <v>7.4163335691231102E-4</v>
      </c>
      <c r="X17" s="8">
        <v>1.85927224901359</v>
      </c>
      <c r="Y17" s="8">
        <v>1.8658943630327001</v>
      </c>
      <c r="Z17" s="8">
        <v>1.86100496675212</v>
      </c>
      <c r="AB17" s="6">
        <v>42.561050420775999</v>
      </c>
      <c r="AC17" s="6">
        <v>42.441464336725303</v>
      </c>
      <c r="AE17" s="7">
        <v>3.5553421816060401E-3</v>
      </c>
      <c r="AF17" s="7">
        <v>7.4163335691231102E-4</v>
      </c>
      <c r="CL17" s="15">
        <f t="shared" ref="CL17:CL23" si="3">CL16+0.0005</f>
        <v>1E-3</v>
      </c>
      <c r="CM17" s="16">
        <v>2.8052186240159154</v>
      </c>
      <c r="CN17" s="16">
        <v>2.7776051411591269</v>
      </c>
      <c r="CO17" s="16">
        <v>3.5805998912518975</v>
      </c>
      <c r="CP17" s="16">
        <v>3.2842046515319834</v>
      </c>
      <c r="CQ17" s="16">
        <v>3.3121050505968026</v>
      </c>
      <c r="CR17" s="16">
        <v>1.5231918073611703</v>
      </c>
      <c r="CS17" s="16">
        <v>1.1810883410037083</v>
      </c>
      <c r="CT17" s="16">
        <v>1.0185352789491762</v>
      </c>
    </row>
    <row r="18" spans="1:98" x14ac:dyDescent="0.3">
      <c r="A18" s="1">
        <v>46049</v>
      </c>
      <c r="B18" s="6">
        <v>23.04</v>
      </c>
      <c r="C18" s="6">
        <v>42.91</v>
      </c>
      <c r="D18" s="7">
        <v>1.00327995313939E-2</v>
      </c>
      <c r="E18" s="7">
        <v>1.1720715516934E-2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23.04</v>
      </c>
      <c r="M18" s="6">
        <v>42.91</v>
      </c>
      <c r="N18" s="8">
        <v>1.86241319444444</v>
      </c>
      <c r="O18" s="8">
        <v>1.8787268979407299</v>
      </c>
      <c r="P18" s="8">
        <v>1.8614619724710699</v>
      </c>
      <c r="R18" s="6">
        <v>43.2858677285544</v>
      </c>
      <c r="S18" s="6">
        <v>42.877554433968797</v>
      </c>
      <c r="U18" s="7">
        <v>8.7213023284358499E-3</v>
      </c>
      <c r="V18" s="7">
        <v>-7.5641665722286304E-4</v>
      </c>
      <c r="X18" s="8">
        <v>1.86241319444444</v>
      </c>
      <c r="Y18" s="8">
        <v>1.8658943630327001</v>
      </c>
      <c r="Z18" s="8">
        <v>1.8614619724710699</v>
      </c>
      <c r="AB18" s="6">
        <v>42.990206124273499</v>
      </c>
      <c r="AC18" s="6">
        <v>42.877554433968797</v>
      </c>
      <c r="AE18" s="7">
        <v>1.86742619606573E-3</v>
      </c>
      <c r="AF18" s="7">
        <v>-7.5641665722286304E-4</v>
      </c>
      <c r="CL18" s="15">
        <f t="shared" si="3"/>
        <v>1.5E-3</v>
      </c>
      <c r="CM18" s="16">
        <v>2.8052186240159154</v>
      </c>
      <c r="CN18" s="16">
        <v>2.7776051411591269</v>
      </c>
      <c r="CO18" s="16">
        <v>3.5805998912518975</v>
      </c>
      <c r="CP18" s="16">
        <v>3.8282663867724129</v>
      </c>
      <c r="CQ18" s="16">
        <v>3.2676877973159564</v>
      </c>
      <c r="CR18" s="16">
        <v>1.5231918073611703</v>
      </c>
      <c r="CS18" s="16">
        <v>1.1810883410037083</v>
      </c>
      <c r="CT18" s="16">
        <v>1.0185352789491762</v>
      </c>
    </row>
    <row r="19" spans="1:98" x14ac:dyDescent="0.3">
      <c r="A19" s="1">
        <v>46050</v>
      </c>
      <c r="B19" s="6">
        <v>22.99</v>
      </c>
      <c r="C19" s="6">
        <v>42.73</v>
      </c>
      <c r="D19" s="7">
        <v>-2.17249705260037E-3</v>
      </c>
      <c r="E19" s="7">
        <v>-4.2036493474997801E-3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22.99</v>
      </c>
      <c r="M19" s="6">
        <v>42.73</v>
      </c>
      <c r="N19" s="8">
        <v>1.85863418877772</v>
      </c>
      <c r="O19" s="8">
        <v>1.8787268979407299</v>
      </c>
      <c r="P19" s="8">
        <v>1.8612976260107299</v>
      </c>
      <c r="R19" s="6">
        <v>43.191931383657398</v>
      </c>
      <c r="S19" s="6">
        <v>42.795010747109998</v>
      </c>
      <c r="U19" s="7">
        <v>1.07524546233351E-2</v>
      </c>
      <c r="V19" s="7">
        <v>1.52027480764704E-3</v>
      </c>
      <c r="X19" s="8">
        <v>1.85863418877772</v>
      </c>
      <c r="Y19" s="8">
        <v>1.8658943630327001</v>
      </c>
      <c r="Z19" s="8">
        <v>1.8612976260107299</v>
      </c>
      <c r="AB19" s="6">
        <v>42.896911406121802</v>
      </c>
      <c r="AC19" s="6">
        <v>42.795010747109998</v>
      </c>
      <c r="AE19" s="7">
        <v>3.89857849096506E-3</v>
      </c>
      <c r="AF19" s="7">
        <v>1.52027480764704E-3</v>
      </c>
      <c r="BX19" s="10" t="s">
        <v>41</v>
      </c>
      <c r="BY19" s="10" t="s">
        <v>41</v>
      </c>
      <c r="CL19" s="15">
        <f t="shared" si="3"/>
        <v>2E-3</v>
      </c>
      <c r="CM19" s="16">
        <v>2.8052186240159154</v>
      </c>
      <c r="CN19" s="16">
        <v>2.7776051411591269</v>
      </c>
      <c r="CO19" s="16">
        <v>3.5805998912518975</v>
      </c>
      <c r="CP19" s="16">
        <v>3.8282663867724129</v>
      </c>
      <c r="CQ19" s="16">
        <v>3.1842491795186159</v>
      </c>
      <c r="CR19" s="16">
        <v>2.1927077626460787</v>
      </c>
      <c r="CS19" s="16">
        <v>1.8835693426978777</v>
      </c>
      <c r="CT19" s="16">
        <v>1.8643679612581745</v>
      </c>
    </row>
    <row r="20" spans="1:98" x14ac:dyDescent="0.3">
      <c r="A20" s="1">
        <v>46051</v>
      </c>
      <c r="B20" s="6">
        <v>22.99</v>
      </c>
      <c r="C20" s="6">
        <v>42.84</v>
      </c>
      <c r="D20" s="7">
        <v>0</v>
      </c>
      <c r="E20" s="7">
        <v>2.5709959236145598E-3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22.99</v>
      </c>
      <c r="M20" s="6">
        <v>42.84</v>
      </c>
      <c r="N20" s="8">
        <v>1.8634188777729399</v>
      </c>
      <c r="O20" s="8">
        <v>1.8787268979407299</v>
      </c>
      <c r="P20" s="8">
        <v>1.86170201378803</v>
      </c>
      <c r="R20" s="6">
        <v>43.191931383657398</v>
      </c>
      <c r="S20" s="6">
        <v>42.791232421986798</v>
      </c>
      <c r="U20" s="7">
        <v>8.1814586997207197E-3</v>
      </c>
      <c r="V20" s="7">
        <v>-1.1390139299920299E-3</v>
      </c>
      <c r="X20" s="8">
        <v>1.8634188777729399</v>
      </c>
      <c r="Y20" s="8">
        <v>1.8658943630327001</v>
      </c>
      <c r="Z20" s="8">
        <v>1.86170201378803</v>
      </c>
      <c r="AB20" s="6">
        <v>42.896911406121802</v>
      </c>
      <c r="AC20" s="6">
        <v>42.791232421986798</v>
      </c>
      <c r="AE20" s="7">
        <v>1.32758256735052E-3</v>
      </c>
      <c r="AF20" s="7">
        <v>-1.1390139299920299E-3</v>
      </c>
      <c r="AZ20" s="20" t="s">
        <v>42</v>
      </c>
      <c r="BA20" s="21">
        <v>-3.0000000000000001E-3</v>
      </c>
      <c r="BB20" s="10" t="s">
        <v>43</v>
      </c>
      <c r="BC20" s="10" t="s">
        <v>44</v>
      </c>
      <c r="BD20" s="10" t="s">
        <v>45</v>
      </c>
      <c r="BE20" s="10" t="s">
        <v>46</v>
      </c>
      <c r="BF20" s="10" t="s">
        <v>47</v>
      </c>
      <c r="BG20" s="10" t="str">
        <f>D1</f>
        <v>BWX log rtn</v>
      </c>
      <c r="BH20" s="10" t="str">
        <f>E1</f>
        <v>IGOV log rtn</v>
      </c>
      <c r="BI20" s="10" t="s">
        <v>48</v>
      </c>
      <c r="BJ20" s="10" t="s">
        <v>49</v>
      </c>
      <c r="BL20" s="20" t="s">
        <v>42</v>
      </c>
      <c r="BM20" s="21">
        <v>2E-3</v>
      </c>
      <c r="BN20" s="10" t="s">
        <v>44</v>
      </c>
      <c r="BO20" s="10" t="s">
        <v>43</v>
      </c>
      <c r="BP20" s="10" t="s">
        <v>45</v>
      </c>
      <c r="BQ20" s="10" t="s">
        <v>46</v>
      </c>
      <c r="BR20" s="10" t="s">
        <v>47</v>
      </c>
      <c r="BS20" s="11" t="str">
        <f>D1</f>
        <v>BWX log rtn</v>
      </c>
      <c r="BT20" s="11" t="str">
        <f>E1</f>
        <v>IGOV log rtn</v>
      </c>
      <c r="BU20" s="10" t="s">
        <v>48</v>
      </c>
      <c r="BV20" s="10" t="s">
        <v>49</v>
      </c>
      <c r="BX20" s="10" t="s">
        <v>48</v>
      </c>
      <c r="BY20" s="10" t="s">
        <v>49</v>
      </c>
      <c r="CL20" s="15">
        <f t="shared" si="3"/>
        <v>2.5000000000000001E-3</v>
      </c>
      <c r="CM20" s="16">
        <v>2.8052186240159154</v>
      </c>
      <c r="CN20" s="16">
        <v>2.7776051411591269</v>
      </c>
      <c r="CO20" s="16">
        <v>3.5805998912518975</v>
      </c>
      <c r="CP20" s="16">
        <v>3.8282663867724129</v>
      </c>
      <c r="CQ20" s="16">
        <v>3.1842491795186159</v>
      </c>
      <c r="CR20" s="16">
        <v>1.8135706641979739</v>
      </c>
      <c r="CS20" s="16">
        <v>1.4574540722284366</v>
      </c>
      <c r="CT20" s="16">
        <v>1.8643679612581745</v>
      </c>
    </row>
    <row r="21" spans="1:98" x14ac:dyDescent="0.3">
      <c r="A21" s="1">
        <v>46052</v>
      </c>
      <c r="B21" s="6">
        <v>22.84</v>
      </c>
      <c r="C21" s="6">
        <v>42.41</v>
      </c>
      <c r="D21" s="7">
        <v>-6.5459539872806498E-3</v>
      </c>
      <c r="E21" s="7">
        <v>-1.00880620930488E-2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22.84</v>
      </c>
      <c r="M21" s="6">
        <v>42.41</v>
      </c>
      <c r="N21" s="8">
        <v>1.8568301225919399</v>
      </c>
      <c r="O21" s="8">
        <v>1.8787268979407299</v>
      </c>
      <c r="P21" s="8">
        <v>1.8613635206708801</v>
      </c>
      <c r="Q21" s="8">
        <v>1.85855018574276</v>
      </c>
      <c r="R21" s="6">
        <v>42.910122348966297</v>
      </c>
      <c r="S21" s="6">
        <v>42.521273994918602</v>
      </c>
      <c r="U21" s="7">
        <v>1.1723566805488901E-2</v>
      </c>
      <c r="V21" s="7">
        <v>2.6203317895335202E-3</v>
      </c>
      <c r="X21" s="8">
        <v>1.8568301225919399</v>
      </c>
      <c r="Y21" s="8">
        <v>1.8658943630327001</v>
      </c>
      <c r="Z21" s="8">
        <v>1.8613635206708801</v>
      </c>
      <c r="AA21" s="8">
        <v>1.85855018574276</v>
      </c>
      <c r="AB21" s="6">
        <v>42.617027251666897</v>
      </c>
      <c r="AC21" s="6">
        <v>42.521273994918602</v>
      </c>
      <c r="AE21" s="7">
        <v>4.8696906731189003E-3</v>
      </c>
      <c r="AF21" s="7">
        <v>2.6203317895335202E-3</v>
      </c>
      <c r="BA21" s="21">
        <v>-5.0000000000000001E-4</v>
      </c>
      <c r="BE21" s="12">
        <f>IF(F22+H22&gt;0,0,1)</f>
        <v>0</v>
      </c>
      <c r="BF21" s="22">
        <v>0</v>
      </c>
      <c r="BM21" s="21">
        <v>0</v>
      </c>
      <c r="BQ21" s="12">
        <f>IF(F22+H22&gt;0,0,1)</f>
        <v>0</v>
      </c>
      <c r="BR21" s="22">
        <v>0</v>
      </c>
      <c r="CL21" s="15">
        <f t="shared" si="3"/>
        <v>3.0000000000000001E-3</v>
      </c>
      <c r="CM21" s="16">
        <v>2.8052186240159154</v>
      </c>
      <c r="CN21" s="16">
        <v>2.7776051411591269</v>
      </c>
      <c r="CO21" s="16">
        <v>3.5805998912518975</v>
      </c>
      <c r="CP21" s="16">
        <v>3.8282663867724129</v>
      </c>
      <c r="CQ21" s="16">
        <v>3.1842491795186159</v>
      </c>
      <c r="CR21" s="16">
        <v>1.8135706641979739</v>
      </c>
      <c r="CS21" s="16">
        <v>1.4574540722284366</v>
      </c>
      <c r="CT21" s="16">
        <v>1.8643679612581745</v>
      </c>
    </row>
    <row r="22" spans="1:98" x14ac:dyDescent="0.3">
      <c r="A22" s="1">
        <v>46055</v>
      </c>
      <c r="B22" s="6">
        <v>22.69</v>
      </c>
      <c r="C22" s="6">
        <v>42.22</v>
      </c>
      <c r="D22" s="7">
        <v>-6.5890859960589998E-3</v>
      </c>
      <c r="E22" s="7">
        <v>-4.4901410663246797E-3</v>
      </c>
      <c r="F22" s="6">
        <v>3.8300000000000001E-2</v>
      </c>
      <c r="G22" s="6">
        <v>3.8300000000000001E-2</v>
      </c>
      <c r="H22" s="6">
        <v>0</v>
      </c>
      <c r="I22" s="6">
        <v>0</v>
      </c>
      <c r="J22" s="6">
        <v>3.8300000000000001E-2</v>
      </c>
      <c r="K22" s="6">
        <v>0</v>
      </c>
      <c r="L22" s="6">
        <v>22.728300000000001</v>
      </c>
      <c r="M22" s="6">
        <v>42.22</v>
      </c>
      <c r="N22" s="8">
        <v>1.8607315998237099</v>
      </c>
      <c r="O22" s="8">
        <v>1.8787268979407299</v>
      </c>
      <c r="P22" s="8">
        <v>1.8616264747445701</v>
      </c>
      <c r="Q22" s="8">
        <v>1.85906007534249</v>
      </c>
      <c r="R22" s="6">
        <v>42.628313314275204</v>
      </c>
      <c r="S22" s="6">
        <v>42.2343382840223</v>
      </c>
      <c r="T22" s="6">
        <v>42.170503714503297</v>
      </c>
      <c r="U22" s="7">
        <v>9.6246218757545104E-3</v>
      </c>
      <c r="V22" s="7">
        <v>3.39551157499918E-4</v>
      </c>
      <c r="W22" s="7">
        <v>-1.17302987880476E-3</v>
      </c>
      <c r="X22" s="8">
        <v>1.85759603665914</v>
      </c>
      <c r="Y22" s="8">
        <v>1.8658943630327001</v>
      </c>
      <c r="Z22" s="8">
        <v>1.8613129184281101</v>
      </c>
      <c r="AA22" s="8">
        <v>1.8589032971842601</v>
      </c>
      <c r="AB22" s="6">
        <v>42.4086068513162</v>
      </c>
      <c r="AC22" s="6">
        <v>42.305628506863997</v>
      </c>
      <c r="AD22" s="6">
        <v>42.241686186617201</v>
      </c>
      <c r="AE22" s="7">
        <v>4.4572909940208301E-3</v>
      </c>
      <c r="AF22" s="7">
        <v>2.0260964081362299E-3</v>
      </c>
      <c r="AG22" s="7">
        <v>5.1351537183144896E-4</v>
      </c>
      <c r="AZ22" s="23"/>
      <c r="BB22" s="12">
        <f>IF($AG22&lt;BA$20,1,0)</f>
        <v>0</v>
      </c>
      <c r="BC22" s="12">
        <f>IF($AG22&gt;BA$21,1,0)</f>
        <v>1</v>
      </c>
      <c r="BD22" s="12">
        <f>BF21</f>
        <v>0</v>
      </c>
      <c r="BE22" s="12">
        <f t="shared" ref="BE22:BE85" si="4">IF(F23+H23&gt;0,0,1)</f>
        <v>1</v>
      </c>
      <c r="BF22" s="12">
        <f>IF(BB21,1,IF(BC21,0,BD21))*BE21</f>
        <v>0</v>
      </c>
      <c r="BG22" s="23">
        <f>BF22*D22</f>
        <v>0</v>
      </c>
      <c r="BH22" s="23">
        <f>-BF22*$E22</f>
        <v>0</v>
      </c>
      <c r="BI22" s="23">
        <f>BG22+BH22</f>
        <v>0</v>
      </c>
      <c r="BJ22" s="18">
        <f>BJ21+BI22</f>
        <v>0</v>
      </c>
      <c r="BL22" s="23"/>
      <c r="BN22" s="12">
        <f>IF($AG22&gt;BM$20,1,0)</f>
        <v>0</v>
      </c>
      <c r="BO22" s="12">
        <f>IF($AG22&lt;BM$21,1,0)</f>
        <v>0</v>
      </c>
      <c r="BP22" s="12">
        <f>BR21</f>
        <v>0</v>
      </c>
      <c r="BQ22" s="12">
        <f t="shared" ref="BQ22:BQ85" si="5">IF(F23+H23&gt;0,0,1)</f>
        <v>1</v>
      </c>
      <c r="BR22" s="12">
        <f>IF(BN21,1,IF(BO21,0,BP21))*BQ21</f>
        <v>0</v>
      </c>
      <c r="BS22" s="23">
        <f>-BR22*D22</f>
        <v>0</v>
      </c>
      <c r="BT22" s="23">
        <f>BR22*$E22</f>
        <v>0</v>
      </c>
      <c r="BU22" s="23">
        <f>BS22+BT22</f>
        <v>0</v>
      </c>
      <c r="BV22" s="18">
        <f>BV21+BU22</f>
        <v>0</v>
      </c>
      <c r="BX22" s="18">
        <f>BI22+BU22</f>
        <v>0</v>
      </c>
      <c r="BY22" s="18">
        <f>BY21+BX22</f>
        <v>0</v>
      </c>
      <c r="CL22" s="15">
        <f t="shared" si="3"/>
        <v>3.5000000000000001E-3</v>
      </c>
      <c r="CM22" s="16">
        <v>2.8052186240159154</v>
      </c>
      <c r="CN22" s="16">
        <v>2.7776051411591269</v>
      </c>
      <c r="CO22" s="16">
        <v>3.5805998912518975</v>
      </c>
      <c r="CP22" s="16">
        <v>3.8282663867724129</v>
      </c>
      <c r="CQ22" s="16">
        <v>3.1842491795186159</v>
      </c>
      <c r="CR22" s="16">
        <v>1.8135706641979739</v>
      </c>
      <c r="CS22" s="16">
        <v>1.4574540722284366</v>
      </c>
      <c r="CT22" s="16">
        <v>1.8643679612581745</v>
      </c>
    </row>
    <row r="23" spans="1:98" x14ac:dyDescent="0.3">
      <c r="A23" s="1">
        <v>46056</v>
      </c>
      <c r="B23" s="6">
        <v>22.7</v>
      </c>
      <c r="C23" s="6">
        <v>42.38</v>
      </c>
      <c r="D23" s="7">
        <v>4.4062569560662503E-4</v>
      </c>
      <c r="E23" s="7">
        <v>3.7825104199785101E-3</v>
      </c>
      <c r="F23" s="6">
        <v>0</v>
      </c>
      <c r="G23" s="6">
        <v>3.8300000000000001E-2</v>
      </c>
      <c r="H23" s="6">
        <v>0</v>
      </c>
      <c r="I23" s="6">
        <v>0</v>
      </c>
      <c r="J23" s="6">
        <v>3.8300000000000001E-2</v>
      </c>
      <c r="K23" s="6">
        <v>0</v>
      </c>
      <c r="L23" s="6">
        <v>22.738299999999999</v>
      </c>
      <c r="M23" s="6">
        <v>42.38</v>
      </c>
      <c r="N23" s="8">
        <v>1.8669603524228999</v>
      </c>
      <c r="O23" s="8">
        <v>1.8787268979407299</v>
      </c>
      <c r="P23" s="8">
        <v>1.86184691661471</v>
      </c>
      <c r="Q23" s="8">
        <v>1.8597571160542199</v>
      </c>
      <c r="R23" s="6">
        <v>42.647100583254598</v>
      </c>
      <c r="S23" s="6">
        <v>42.258920976701702</v>
      </c>
      <c r="T23" s="6">
        <v>42.200663710274497</v>
      </c>
      <c r="U23" s="7">
        <v>6.2827371513825402E-3</v>
      </c>
      <c r="V23" s="7">
        <v>-2.8610739478840798E-3</v>
      </c>
      <c r="W23" s="7">
        <v>-4.2406041902424496E-3</v>
      </c>
      <c r="X23" s="8">
        <v>1.86381567663369</v>
      </c>
      <c r="Y23" s="8">
        <v>1.8658943630327001</v>
      </c>
      <c r="Z23" s="8">
        <v>1.8612188927193301</v>
      </c>
      <c r="AA23" s="8">
        <v>1.85944310410653</v>
      </c>
      <c r="AB23" s="6">
        <v>42.4272657949465</v>
      </c>
      <c r="AC23" s="6">
        <v>42.323091533093901</v>
      </c>
      <c r="AD23" s="6">
        <v>42.268300842364901</v>
      </c>
      <c r="AE23" s="7">
        <v>1.11466392407253E-3</v>
      </c>
      <c r="AF23" s="7">
        <v>-1.3437166091273399E-3</v>
      </c>
      <c r="AG23" s="7">
        <v>-2.63913678965744E-3</v>
      </c>
      <c r="AZ23" s="23"/>
      <c r="BB23" s="12">
        <f t="shared" ref="BB23:BB86" si="6">IF($AG23&lt;BA$20,1,0)</f>
        <v>0</v>
      </c>
      <c r="BC23" s="12">
        <f t="shared" ref="BC23:BC86" si="7">IF($AG23&gt;BA$21,1,0)</f>
        <v>0</v>
      </c>
      <c r="BD23" s="12">
        <f t="shared" ref="BD23:BD86" si="8">BF23</f>
        <v>0</v>
      </c>
      <c r="BE23" s="12">
        <f t="shared" si="4"/>
        <v>1</v>
      </c>
      <c r="BF23" s="12">
        <f t="shared" ref="BF23:BF86" si="9">IF(BB22,1,IF(BC22,0,BD22))*BE22</f>
        <v>0</v>
      </c>
      <c r="BG23" s="23">
        <f t="shared" ref="BG23:BG86" si="10">BF23*D23</f>
        <v>0</v>
      </c>
      <c r="BH23" s="23">
        <f t="shared" ref="BH23:BH86" si="11">-BF23*$E23</f>
        <v>0</v>
      </c>
      <c r="BI23" s="23">
        <f t="shared" ref="BI23:BI86" si="12">BG23+BH23</f>
        <v>0</v>
      </c>
      <c r="BJ23" s="18">
        <f t="shared" ref="BJ23:BJ86" si="13">BJ22+BI23</f>
        <v>0</v>
      </c>
      <c r="BL23" s="23"/>
      <c r="BN23" s="12">
        <f t="shared" ref="BN23:BN86" si="14">IF($AG23&gt;BM$20,1,0)</f>
        <v>0</v>
      </c>
      <c r="BO23" s="12">
        <f t="shared" ref="BO23:BO86" si="15">IF($AG23&lt;BM$21,1,0)</f>
        <v>1</v>
      </c>
      <c r="BP23" s="12">
        <f t="shared" ref="BP23:BP86" si="16">BR23</f>
        <v>0</v>
      </c>
      <c r="BQ23" s="12">
        <f t="shared" si="5"/>
        <v>1</v>
      </c>
      <c r="BR23" s="12">
        <f t="shared" ref="BR23:BR86" si="17">IF(BN22,1,IF(BO22,0,BP22))*BQ22</f>
        <v>0</v>
      </c>
      <c r="BS23" s="23">
        <f t="shared" ref="BS23:BS86" si="18">-BR23*D23</f>
        <v>0</v>
      </c>
      <c r="BT23" s="23">
        <f t="shared" ref="BT23:BT86" si="19">BR23*$E23</f>
        <v>0</v>
      </c>
      <c r="BU23" s="23">
        <f t="shared" ref="BU23:BU86" si="20">BS23+BT23</f>
        <v>0</v>
      </c>
      <c r="BV23" s="18">
        <f t="shared" ref="BV23:BV86" si="21">BV22+BU23</f>
        <v>0</v>
      </c>
      <c r="BX23" s="18">
        <f t="shared" ref="BX23:BX86" si="22">BI23+BU23</f>
        <v>0</v>
      </c>
      <c r="BY23" s="18">
        <f t="shared" ref="BY23:BY86" si="23">BY22+BX23</f>
        <v>0</v>
      </c>
      <c r="CL23" s="12" t="s">
        <v>38</v>
      </c>
    </row>
    <row r="24" spans="1:98" x14ac:dyDescent="0.3">
      <c r="A24" s="1">
        <v>46057</v>
      </c>
      <c r="B24" s="6">
        <v>22.64</v>
      </c>
      <c r="C24" s="6">
        <v>42.27</v>
      </c>
      <c r="D24" s="7">
        <v>-2.6466711523747601E-3</v>
      </c>
      <c r="E24" s="7">
        <v>-2.59893826145444E-3</v>
      </c>
      <c r="F24" s="6">
        <v>0</v>
      </c>
      <c r="G24" s="6">
        <v>3.8300000000000001E-2</v>
      </c>
      <c r="H24" s="6">
        <v>0</v>
      </c>
      <c r="I24" s="6">
        <v>0</v>
      </c>
      <c r="J24" s="6">
        <v>3.8300000000000001E-2</v>
      </c>
      <c r="K24" s="6">
        <v>0</v>
      </c>
      <c r="L24" s="6">
        <v>22.6783</v>
      </c>
      <c r="M24" s="6">
        <v>42.27</v>
      </c>
      <c r="N24" s="8">
        <v>1.86704946996466</v>
      </c>
      <c r="O24" s="8">
        <v>1.8787268979407299</v>
      </c>
      <c r="P24" s="8">
        <v>1.86203752669361</v>
      </c>
      <c r="Q24" s="8">
        <v>1.8603827212250501</v>
      </c>
      <c r="R24" s="6">
        <v>42.534376969378101</v>
      </c>
      <c r="S24" s="6">
        <v>42.152214192157103</v>
      </c>
      <c r="T24" s="6">
        <v>42.104901107467498</v>
      </c>
      <c r="U24" s="7">
        <v>6.2350042604622799E-3</v>
      </c>
      <c r="V24" s="7">
        <v>-2.7904002612711902E-3</v>
      </c>
      <c r="W24" s="7">
        <v>-3.9134648118256503E-3</v>
      </c>
      <c r="X24" s="8">
        <v>1.86389632379852</v>
      </c>
      <c r="Y24" s="8">
        <v>1.8658943630327001</v>
      </c>
      <c r="Z24" s="8">
        <v>1.8610941881816201</v>
      </c>
      <c r="AA24" s="8">
        <v>1.85991105196905</v>
      </c>
      <c r="AB24" s="6">
        <v>42.315312133164497</v>
      </c>
      <c r="AC24" s="6">
        <v>42.209280414756897</v>
      </c>
      <c r="AD24" s="6">
        <v>42.1690085478591</v>
      </c>
      <c r="AE24" s="7">
        <v>1.07139493503766E-3</v>
      </c>
      <c r="AF24" s="7">
        <v>-1.4375026728660101E-3</v>
      </c>
      <c r="AG24" s="7">
        <v>-2.3920579370412501E-3</v>
      </c>
      <c r="AZ24" s="23"/>
      <c r="BB24" s="12">
        <f t="shared" si="6"/>
        <v>0</v>
      </c>
      <c r="BC24" s="12">
        <f t="shared" si="7"/>
        <v>0</v>
      </c>
      <c r="BD24" s="12">
        <f t="shared" si="8"/>
        <v>0</v>
      </c>
      <c r="BE24" s="12">
        <f t="shared" si="4"/>
        <v>1</v>
      </c>
      <c r="BF24" s="12">
        <f t="shared" si="9"/>
        <v>0</v>
      </c>
      <c r="BG24" s="23">
        <f t="shared" si="10"/>
        <v>0</v>
      </c>
      <c r="BH24" s="23">
        <f t="shared" si="11"/>
        <v>0</v>
      </c>
      <c r="BI24" s="23">
        <f t="shared" si="12"/>
        <v>0</v>
      </c>
      <c r="BJ24" s="18">
        <f t="shared" si="13"/>
        <v>0</v>
      </c>
      <c r="BL24" s="23"/>
      <c r="BN24" s="12">
        <f t="shared" si="14"/>
        <v>0</v>
      </c>
      <c r="BO24" s="12">
        <f t="shared" si="15"/>
        <v>1</v>
      </c>
      <c r="BP24" s="12">
        <f t="shared" si="16"/>
        <v>0</v>
      </c>
      <c r="BQ24" s="12">
        <f t="shared" si="5"/>
        <v>1</v>
      </c>
      <c r="BR24" s="12">
        <f t="shared" si="17"/>
        <v>0</v>
      </c>
      <c r="BS24" s="23">
        <f t="shared" si="18"/>
        <v>0</v>
      </c>
      <c r="BT24" s="23">
        <f t="shared" si="19"/>
        <v>0</v>
      </c>
      <c r="BU24" s="23">
        <f t="shared" si="20"/>
        <v>0</v>
      </c>
      <c r="BV24" s="18">
        <f t="shared" si="21"/>
        <v>0</v>
      </c>
      <c r="BX24" s="18">
        <f t="shared" si="22"/>
        <v>0</v>
      </c>
      <c r="BY24" s="18">
        <f t="shared" si="23"/>
        <v>0</v>
      </c>
    </row>
    <row r="25" spans="1:98" x14ac:dyDescent="0.3">
      <c r="A25" s="1">
        <v>46058</v>
      </c>
      <c r="B25" s="6">
        <v>22.64</v>
      </c>
      <c r="C25" s="6">
        <v>42.18</v>
      </c>
      <c r="D25" s="7">
        <v>0</v>
      </c>
      <c r="E25" s="7">
        <v>-2.13143952807009E-3</v>
      </c>
      <c r="F25" s="6">
        <v>0</v>
      </c>
      <c r="G25" s="6">
        <v>3.8300000000000001E-2</v>
      </c>
      <c r="H25" s="6">
        <v>0</v>
      </c>
      <c r="I25" s="6">
        <v>0</v>
      </c>
      <c r="J25" s="6">
        <v>3.8300000000000001E-2</v>
      </c>
      <c r="K25" s="6">
        <v>0</v>
      </c>
      <c r="L25" s="6">
        <v>22.6783</v>
      </c>
      <c r="M25" s="6">
        <v>42.18</v>
      </c>
      <c r="N25" s="8">
        <v>1.8630742049469899</v>
      </c>
      <c r="O25" s="8">
        <v>1.8787268979407299</v>
      </c>
      <c r="P25" s="8">
        <v>1.8619691680253601</v>
      </c>
      <c r="Q25" s="8">
        <v>1.8608285613078801</v>
      </c>
      <c r="R25" s="6">
        <v>42.534376969378101</v>
      </c>
      <c r="S25" s="6">
        <v>42.156529604343497</v>
      </c>
      <c r="T25" s="6">
        <v>42.1190648085352</v>
      </c>
      <c r="U25" s="7">
        <v>8.3664437885323205E-3</v>
      </c>
      <c r="V25" s="7">
        <v>-5.5658909306481195E-4</v>
      </c>
      <c r="W25" s="7">
        <v>-1.4456910575742299E-3</v>
      </c>
      <c r="X25" s="8">
        <v>1.8599277723638801</v>
      </c>
      <c r="Y25" s="8">
        <v>1.8658943630327001</v>
      </c>
      <c r="Z25" s="8">
        <v>1.86071118625506</v>
      </c>
      <c r="AA25" s="8">
        <v>1.8601995704227301</v>
      </c>
      <c r="AB25" s="6">
        <v>42.315312133164497</v>
      </c>
      <c r="AC25" s="6">
        <v>42.206452327839401</v>
      </c>
      <c r="AD25" s="6">
        <v>42.179620809869803</v>
      </c>
      <c r="AE25" s="7">
        <v>3.2028344631076901E-3</v>
      </c>
      <c r="AF25" s="7">
        <v>6.2693306747986998E-4</v>
      </c>
      <c r="AG25" s="7">
        <v>-8.9898490888209004E-6</v>
      </c>
      <c r="AZ25" s="23"/>
      <c r="BB25" s="12">
        <f t="shared" si="6"/>
        <v>0</v>
      </c>
      <c r="BC25" s="12">
        <f t="shared" si="7"/>
        <v>1</v>
      </c>
      <c r="BD25" s="12">
        <f t="shared" si="8"/>
        <v>0</v>
      </c>
      <c r="BE25" s="12">
        <f t="shared" si="4"/>
        <v>1</v>
      </c>
      <c r="BF25" s="12">
        <f t="shared" si="9"/>
        <v>0</v>
      </c>
      <c r="BG25" s="23">
        <f t="shared" si="10"/>
        <v>0</v>
      </c>
      <c r="BH25" s="23">
        <f t="shared" si="11"/>
        <v>0</v>
      </c>
      <c r="BI25" s="23">
        <f t="shared" si="12"/>
        <v>0</v>
      </c>
      <c r="BJ25" s="18">
        <f t="shared" si="13"/>
        <v>0</v>
      </c>
      <c r="BL25" s="23"/>
      <c r="BN25" s="12">
        <f t="shared" si="14"/>
        <v>0</v>
      </c>
      <c r="BO25" s="12">
        <f t="shared" si="15"/>
        <v>1</v>
      </c>
      <c r="BP25" s="12">
        <f t="shared" si="16"/>
        <v>0</v>
      </c>
      <c r="BQ25" s="12">
        <f t="shared" si="5"/>
        <v>1</v>
      </c>
      <c r="BR25" s="12">
        <f t="shared" si="17"/>
        <v>0</v>
      </c>
      <c r="BS25" s="23">
        <f t="shared" si="18"/>
        <v>0</v>
      </c>
      <c r="BT25" s="23">
        <f t="shared" si="19"/>
        <v>0</v>
      </c>
      <c r="BU25" s="23">
        <f t="shared" si="20"/>
        <v>0</v>
      </c>
      <c r="BV25" s="18">
        <f t="shared" si="21"/>
        <v>0</v>
      </c>
      <c r="BX25" s="18">
        <f t="shared" si="22"/>
        <v>0</v>
      </c>
      <c r="BY25" s="18">
        <f t="shared" si="23"/>
        <v>0</v>
      </c>
      <c r="CL25" s="15"/>
      <c r="CM25" s="15"/>
      <c r="CN25" s="15"/>
      <c r="CO25" s="15"/>
      <c r="CP25" s="15"/>
      <c r="CQ25" s="15"/>
      <c r="CR25" s="15"/>
      <c r="CS25" s="15"/>
      <c r="CT25" s="15"/>
    </row>
    <row r="26" spans="1:98" x14ac:dyDescent="0.3">
      <c r="A26" s="1">
        <v>46059</v>
      </c>
      <c r="B26" s="6">
        <v>22.68</v>
      </c>
      <c r="C26" s="6">
        <v>42.36</v>
      </c>
      <c r="D26" s="7">
        <v>1.7652255245691399E-3</v>
      </c>
      <c r="E26" s="7">
        <v>4.2583456825772397E-3</v>
      </c>
      <c r="F26" s="6">
        <v>0</v>
      </c>
      <c r="G26" s="6">
        <v>3.8300000000000001E-2</v>
      </c>
      <c r="H26" s="6">
        <v>0</v>
      </c>
      <c r="I26" s="6">
        <v>0</v>
      </c>
      <c r="J26" s="6">
        <v>3.8300000000000001E-2</v>
      </c>
      <c r="K26" s="6">
        <v>0</v>
      </c>
      <c r="L26" s="6">
        <v>22.718299999999999</v>
      </c>
      <c r="M26" s="6">
        <v>42.36</v>
      </c>
      <c r="N26" s="8">
        <v>1.8677248677248599</v>
      </c>
      <c r="O26" s="8">
        <v>1.8787268979407299</v>
      </c>
      <c r="P26" s="8">
        <v>1.8626109127483801</v>
      </c>
      <c r="Q26" s="8">
        <v>1.8616312857631701</v>
      </c>
      <c r="R26" s="6">
        <v>42.609526045295702</v>
      </c>
      <c r="S26" s="6">
        <v>42.229460730815198</v>
      </c>
      <c r="T26" s="6">
        <v>42.203591770462801</v>
      </c>
      <c r="U26" s="7">
        <v>5.8733236305242697E-3</v>
      </c>
      <c r="V26" s="7">
        <v>-3.0864216814567502E-3</v>
      </c>
      <c r="W26" s="7">
        <v>-3.6991902690060399E-3</v>
      </c>
      <c r="X26" s="8">
        <v>1.8645761346579599</v>
      </c>
      <c r="Y26" s="8">
        <v>1.8658943630327001</v>
      </c>
      <c r="Z26" s="8">
        <v>1.8610380576713801</v>
      </c>
      <c r="AA26" s="8">
        <v>1.8608448582246699</v>
      </c>
      <c r="AB26" s="6">
        <v>42.389947907685901</v>
      </c>
      <c r="AC26" s="6">
        <v>42.272194942698299</v>
      </c>
      <c r="AD26" s="6">
        <v>42.260571900734703</v>
      </c>
      <c r="AE26" s="7">
        <v>7.0673574844072997E-4</v>
      </c>
      <c r="AF26" s="7">
        <v>-2.0749807768820302E-3</v>
      </c>
      <c r="AG26" s="7">
        <v>-2.34997572785329E-3</v>
      </c>
      <c r="AZ26" s="23"/>
      <c r="BB26" s="12">
        <f t="shared" si="6"/>
        <v>0</v>
      </c>
      <c r="BC26" s="12">
        <f t="shared" si="7"/>
        <v>0</v>
      </c>
      <c r="BD26" s="12">
        <f t="shared" si="8"/>
        <v>0</v>
      </c>
      <c r="BE26" s="12">
        <f t="shared" si="4"/>
        <v>1</v>
      </c>
      <c r="BF26" s="12">
        <f t="shared" si="9"/>
        <v>0</v>
      </c>
      <c r="BG26" s="23">
        <f t="shared" si="10"/>
        <v>0</v>
      </c>
      <c r="BH26" s="23">
        <f t="shared" si="11"/>
        <v>0</v>
      </c>
      <c r="BI26" s="23">
        <f t="shared" si="12"/>
        <v>0</v>
      </c>
      <c r="BJ26" s="18">
        <f t="shared" si="13"/>
        <v>0</v>
      </c>
      <c r="BL26" s="23"/>
      <c r="BN26" s="12">
        <f t="shared" si="14"/>
        <v>0</v>
      </c>
      <c r="BO26" s="12">
        <f t="shared" si="15"/>
        <v>1</v>
      </c>
      <c r="BP26" s="12">
        <f t="shared" si="16"/>
        <v>0</v>
      </c>
      <c r="BQ26" s="12">
        <f t="shared" si="5"/>
        <v>1</v>
      </c>
      <c r="BR26" s="12">
        <f t="shared" si="17"/>
        <v>0</v>
      </c>
      <c r="BS26" s="23">
        <f t="shared" si="18"/>
        <v>0</v>
      </c>
      <c r="BT26" s="23">
        <f t="shared" si="19"/>
        <v>0</v>
      </c>
      <c r="BU26" s="23">
        <f t="shared" si="20"/>
        <v>0</v>
      </c>
      <c r="BV26" s="18">
        <f t="shared" si="21"/>
        <v>0</v>
      </c>
      <c r="BX26" s="18">
        <f t="shared" si="22"/>
        <v>0</v>
      </c>
      <c r="BY26" s="18">
        <f t="shared" si="23"/>
        <v>0</v>
      </c>
      <c r="CL26" s="15"/>
      <c r="CM26" s="16"/>
      <c r="CN26" s="16"/>
      <c r="CO26" s="16"/>
      <c r="CP26" s="16"/>
      <c r="CQ26" s="16"/>
      <c r="CR26" s="16"/>
      <c r="CS26" s="16"/>
      <c r="CT26" s="16"/>
    </row>
    <row r="27" spans="1:98" x14ac:dyDescent="0.3">
      <c r="A27" s="1">
        <v>46062</v>
      </c>
      <c r="B27" s="6">
        <v>22.83</v>
      </c>
      <c r="C27" s="6">
        <v>42.7</v>
      </c>
      <c r="D27" s="7">
        <v>6.5919816821527399E-3</v>
      </c>
      <c r="E27" s="7">
        <v>7.9943995013733102E-3</v>
      </c>
      <c r="F27" s="6">
        <v>0</v>
      </c>
      <c r="G27" s="6">
        <v>3.8300000000000001E-2</v>
      </c>
      <c r="H27" s="6">
        <v>0</v>
      </c>
      <c r="I27" s="6">
        <v>0</v>
      </c>
      <c r="J27" s="6">
        <v>3.8300000000000001E-2</v>
      </c>
      <c r="K27" s="6">
        <v>0</v>
      </c>
      <c r="L27" s="6">
        <v>22.868299999999898</v>
      </c>
      <c r="M27" s="6">
        <v>42.7</v>
      </c>
      <c r="N27" s="8">
        <v>1.87034603591765</v>
      </c>
      <c r="O27" s="8">
        <v>1.8787268979407299</v>
      </c>
      <c r="P27" s="8">
        <v>1.86371829143878</v>
      </c>
      <c r="Q27" s="8">
        <v>1.8623616290954501</v>
      </c>
      <c r="R27" s="6">
        <v>42.891335079986902</v>
      </c>
      <c r="S27" s="6">
        <v>42.523407138045499</v>
      </c>
      <c r="T27" s="6">
        <v>42.501042253973097</v>
      </c>
      <c r="U27" s="7">
        <v>4.4709058113038304E-3</v>
      </c>
      <c r="V27" s="7">
        <v>-4.1442397254271802E-3</v>
      </c>
      <c r="W27" s="7">
        <v>-4.6703209820081297E-3</v>
      </c>
      <c r="X27" s="8">
        <v>1.8672135663779099</v>
      </c>
      <c r="Y27" s="8">
        <v>1.8658943630327001</v>
      </c>
      <c r="Z27" s="8">
        <v>1.86183218940781</v>
      </c>
      <c r="AA27" s="8">
        <v>1.8614185780799699</v>
      </c>
      <c r="AB27" s="6">
        <v>42.669832062140799</v>
      </c>
      <c r="AC27" s="6">
        <v>42.558776614246497</v>
      </c>
      <c r="AD27" s="6">
        <v>42.554358471339299</v>
      </c>
      <c r="AE27" s="7">
        <v>-7.0675877851085597E-4</v>
      </c>
      <c r="AF27" s="7">
        <v>-3.31282058034538E-3</v>
      </c>
      <c r="AG27" s="7">
        <v>-3.41663870211426E-3</v>
      </c>
      <c r="AZ27" s="23"/>
      <c r="BB27" s="12">
        <f t="shared" si="6"/>
        <v>1</v>
      </c>
      <c r="BC27" s="12">
        <f t="shared" si="7"/>
        <v>0</v>
      </c>
      <c r="BD27" s="12">
        <f t="shared" si="8"/>
        <v>0</v>
      </c>
      <c r="BE27" s="12">
        <f t="shared" si="4"/>
        <v>1</v>
      </c>
      <c r="BF27" s="12">
        <f t="shared" si="9"/>
        <v>0</v>
      </c>
      <c r="BG27" s="23">
        <f t="shared" si="10"/>
        <v>0</v>
      </c>
      <c r="BH27" s="23">
        <f t="shared" si="11"/>
        <v>0</v>
      </c>
      <c r="BI27" s="23">
        <f t="shared" si="12"/>
        <v>0</v>
      </c>
      <c r="BJ27" s="18">
        <f t="shared" si="13"/>
        <v>0</v>
      </c>
      <c r="BL27" s="23"/>
      <c r="BN27" s="12">
        <f t="shared" si="14"/>
        <v>0</v>
      </c>
      <c r="BO27" s="12">
        <f t="shared" si="15"/>
        <v>1</v>
      </c>
      <c r="BP27" s="12">
        <f t="shared" si="16"/>
        <v>0</v>
      </c>
      <c r="BQ27" s="12">
        <f t="shared" si="5"/>
        <v>1</v>
      </c>
      <c r="BR27" s="12">
        <f t="shared" si="17"/>
        <v>0</v>
      </c>
      <c r="BS27" s="23">
        <f t="shared" si="18"/>
        <v>0</v>
      </c>
      <c r="BT27" s="23">
        <f t="shared" si="19"/>
        <v>0</v>
      </c>
      <c r="BU27" s="23">
        <f t="shared" si="20"/>
        <v>0</v>
      </c>
      <c r="BV27" s="18">
        <f t="shared" si="21"/>
        <v>0</v>
      </c>
      <c r="BX27" s="18">
        <f t="shared" si="22"/>
        <v>0</v>
      </c>
      <c r="BY27" s="18">
        <f t="shared" si="23"/>
        <v>0</v>
      </c>
      <c r="CL27" s="15"/>
      <c r="CM27" s="16"/>
      <c r="CN27" s="16"/>
      <c r="CO27" s="16"/>
      <c r="CP27" s="16"/>
      <c r="CQ27" s="16"/>
      <c r="CR27" s="16"/>
      <c r="CS27" s="16"/>
      <c r="CT27" s="16"/>
    </row>
    <row r="28" spans="1:98" ht="15" thickBot="1" x14ac:dyDescent="0.35">
      <c r="A28" s="1">
        <v>46063</v>
      </c>
      <c r="B28" s="6">
        <v>22.93</v>
      </c>
      <c r="C28" s="6">
        <v>42.79</v>
      </c>
      <c r="D28" s="7">
        <v>4.3706363281090597E-3</v>
      </c>
      <c r="E28" s="7">
        <v>2.1055101941464399E-3</v>
      </c>
      <c r="F28" s="6">
        <v>0</v>
      </c>
      <c r="G28" s="6">
        <v>3.8300000000000001E-2</v>
      </c>
      <c r="H28" s="6">
        <v>0</v>
      </c>
      <c r="I28" s="6">
        <v>0</v>
      </c>
      <c r="J28" s="6">
        <v>3.8300000000000001E-2</v>
      </c>
      <c r="K28" s="6">
        <v>0</v>
      </c>
      <c r="L28" s="6">
        <v>22.968299999999999</v>
      </c>
      <c r="M28" s="6">
        <v>42.79</v>
      </c>
      <c r="N28" s="8">
        <v>1.86611426079372</v>
      </c>
      <c r="O28" s="8">
        <v>1.8787268979407299</v>
      </c>
      <c r="P28" s="8">
        <v>1.86408839807371</v>
      </c>
      <c r="Q28" s="8">
        <v>1.8627751852723899</v>
      </c>
      <c r="R28" s="6">
        <v>43.079207769780901</v>
      </c>
      <c r="S28" s="6">
        <v>42.735060422691298</v>
      </c>
      <c r="T28" s="6">
        <v>42.703952155158703</v>
      </c>
      <c r="U28" s="7">
        <v>6.7360319452662203E-3</v>
      </c>
      <c r="V28" s="7">
        <v>-1.28475991935192E-3</v>
      </c>
      <c r="W28" s="7">
        <v>-2.0129581503162699E-3</v>
      </c>
      <c r="X28" s="8">
        <v>1.8630024860351</v>
      </c>
      <c r="Y28" s="8">
        <v>1.8658943630327001</v>
      </c>
      <c r="Z28" s="8">
        <v>1.8618911185668801</v>
      </c>
      <c r="AA28" s="8">
        <v>1.8616765455189801</v>
      </c>
      <c r="AB28" s="6">
        <v>42.856421498444</v>
      </c>
      <c r="AC28" s="6">
        <v>42.763120275975602</v>
      </c>
      <c r="AD28" s="6">
        <v>42.753620326914103</v>
      </c>
      <c r="AE28" s="7">
        <v>1.5510633275361799E-3</v>
      </c>
      <c r="AF28" s="7">
        <v>-6.2837509192297696E-4</v>
      </c>
      <c r="AG28" s="7">
        <v>-8.5055262192559899E-4</v>
      </c>
      <c r="AZ28" s="23"/>
      <c r="BB28" s="12">
        <f t="shared" si="6"/>
        <v>0</v>
      </c>
      <c r="BC28" s="12">
        <f t="shared" si="7"/>
        <v>0</v>
      </c>
      <c r="BD28" s="12">
        <f t="shared" si="8"/>
        <v>1</v>
      </c>
      <c r="BE28" s="12">
        <f t="shared" si="4"/>
        <v>1</v>
      </c>
      <c r="BF28" s="12">
        <f t="shared" si="9"/>
        <v>1</v>
      </c>
      <c r="BG28" s="23">
        <f t="shared" si="10"/>
        <v>4.3706363281090597E-3</v>
      </c>
      <c r="BH28" s="23">
        <f t="shared" si="11"/>
        <v>-2.1055101941464399E-3</v>
      </c>
      <c r="BI28" s="23">
        <f t="shared" si="12"/>
        <v>2.2651261339626198E-3</v>
      </c>
      <c r="BJ28" s="18">
        <f t="shared" si="13"/>
        <v>2.2651261339626198E-3</v>
      </c>
      <c r="BL28" s="23"/>
      <c r="BN28" s="12">
        <f t="shared" si="14"/>
        <v>0</v>
      </c>
      <c r="BO28" s="12">
        <f t="shared" si="15"/>
        <v>1</v>
      </c>
      <c r="BP28" s="12">
        <f t="shared" si="16"/>
        <v>0</v>
      </c>
      <c r="BQ28" s="12">
        <f t="shared" si="5"/>
        <v>1</v>
      </c>
      <c r="BR28" s="12">
        <f t="shared" si="17"/>
        <v>0</v>
      </c>
      <c r="BS28" s="23">
        <f t="shared" si="18"/>
        <v>0</v>
      </c>
      <c r="BT28" s="23">
        <f t="shared" si="19"/>
        <v>0</v>
      </c>
      <c r="BU28" s="23">
        <f t="shared" si="20"/>
        <v>0</v>
      </c>
      <c r="BV28" s="18">
        <f t="shared" si="21"/>
        <v>0</v>
      </c>
      <c r="BX28" s="18">
        <f t="shared" si="22"/>
        <v>2.2651261339626198E-3</v>
      </c>
      <c r="BY28" s="18">
        <f t="shared" si="23"/>
        <v>2.2651261339626198E-3</v>
      </c>
      <c r="CL28" s="15"/>
      <c r="CM28" s="16"/>
      <c r="CN28" s="16"/>
      <c r="CO28" s="16"/>
      <c r="CP28" s="16"/>
      <c r="CQ28" s="16"/>
      <c r="CR28" s="16"/>
      <c r="CS28" s="16"/>
      <c r="CT28" s="16"/>
    </row>
    <row r="29" spans="1:98" ht="15" thickBot="1" x14ac:dyDescent="0.35">
      <c r="A29" s="1">
        <v>46064</v>
      </c>
      <c r="B29" s="6">
        <v>22.97</v>
      </c>
      <c r="C29" s="6">
        <v>42.86</v>
      </c>
      <c r="D29" s="7">
        <v>1.7429198311938101E-3</v>
      </c>
      <c r="E29" s="7">
        <v>1.6345596167055901E-3</v>
      </c>
      <c r="F29" s="6">
        <v>0</v>
      </c>
      <c r="G29" s="6">
        <v>3.8300000000000001E-2</v>
      </c>
      <c r="H29" s="6">
        <v>0</v>
      </c>
      <c r="I29" s="6">
        <v>0</v>
      </c>
      <c r="J29" s="6">
        <v>3.8300000000000001E-2</v>
      </c>
      <c r="K29" s="6">
        <v>0</v>
      </c>
      <c r="L29" s="6">
        <v>23.008299999999998</v>
      </c>
      <c r="M29" s="6">
        <v>42.86</v>
      </c>
      <c r="N29" s="8">
        <v>1.8659120592076599</v>
      </c>
      <c r="O29" s="8">
        <v>1.8787268979407299</v>
      </c>
      <c r="P29" s="8">
        <v>1.8648161851167</v>
      </c>
      <c r="Q29" s="8">
        <v>1.8630569055637201</v>
      </c>
      <c r="R29" s="6">
        <v>43.154356845698601</v>
      </c>
      <c r="S29" s="6">
        <v>42.818110503753203</v>
      </c>
      <c r="T29" s="6">
        <v>42.7879460057069</v>
      </c>
      <c r="U29" s="7">
        <v>6.8443921597543499E-3</v>
      </c>
      <c r="V29" s="7">
        <v>-9.7783434621163999E-4</v>
      </c>
      <c r="W29" s="7">
        <v>-1.68256250505116E-3</v>
      </c>
      <c r="X29" s="8">
        <v>1.8628060308671199</v>
      </c>
      <c r="Y29" s="8">
        <v>1.8658943630327001</v>
      </c>
      <c r="Z29" s="8">
        <v>1.86230830277582</v>
      </c>
      <c r="AA29" s="8">
        <v>1.8618029643932801</v>
      </c>
      <c r="AB29" s="6">
        <v>42.931057272965297</v>
      </c>
      <c r="AC29" s="6">
        <v>42.838949423322397</v>
      </c>
      <c r="AD29" s="6">
        <v>42.834012462264297</v>
      </c>
      <c r="AE29" s="7">
        <v>1.65651972298397E-3</v>
      </c>
      <c r="AF29" s="7">
        <v>-4.9126803169855795E-4</v>
      </c>
      <c r="AG29" s="7">
        <v>-6.0651935381712298E-4</v>
      </c>
      <c r="AZ29" s="23"/>
      <c r="BB29" s="12">
        <f t="shared" si="6"/>
        <v>0</v>
      </c>
      <c r="BC29" s="12">
        <f t="shared" si="7"/>
        <v>0</v>
      </c>
      <c r="BD29" s="12">
        <f t="shared" si="8"/>
        <v>1</v>
      </c>
      <c r="BE29" s="12">
        <f t="shared" si="4"/>
        <v>1</v>
      </c>
      <c r="BF29" s="12">
        <f t="shared" si="9"/>
        <v>1</v>
      </c>
      <c r="BG29" s="23">
        <f t="shared" si="10"/>
        <v>1.7429198311938101E-3</v>
      </c>
      <c r="BH29" s="23">
        <f t="shared" si="11"/>
        <v>-1.6345596167055901E-3</v>
      </c>
      <c r="BI29" s="23">
        <f t="shared" si="12"/>
        <v>1.0836021448821999E-4</v>
      </c>
      <c r="BJ29" s="18">
        <f t="shared" si="13"/>
        <v>2.3734863484508395E-3</v>
      </c>
      <c r="BL29" s="23"/>
      <c r="BN29" s="12">
        <f t="shared" si="14"/>
        <v>0</v>
      </c>
      <c r="BO29" s="12">
        <f t="shared" si="15"/>
        <v>1</v>
      </c>
      <c r="BP29" s="12">
        <f t="shared" si="16"/>
        <v>0</v>
      </c>
      <c r="BQ29" s="12">
        <f t="shared" si="5"/>
        <v>1</v>
      </c>
      <c r="BR29" s="12">
        <f t="shared" si="17"/>
        <v>0</v>
      </c>
      <c r="BS29" s="23">
        <f t="shared" si="18"/>
        <v>0</v>
      </c>
      <c r="BT29" s="23">
        <f t="shared" si="19"/>
        <v>0</v>
      </c>
      <c r="BU29" s="23">
        <f t="shared" si="20"/>
        <v>0</v>
      </c>
      <c r="BV29" s="18">
        <f t="shared" si="21"/>
        <v>0</v>
      </c>
      <c r="BX29" s="18">
        <f t="shared" si="22"/>
        <v>1.0836021448821999E-4</v>
      </c>
      <c r="BY29" s="18">
        <f t="shared" si="23"/>
        <v>2.3734863484508395E-3</v>
      </c>
      <c r="CL29" s="15"/>
      <c r="CM29" s="16"/>
      <c r="CN29" s="16"/>
      <c r="CO29" s="16"/>
      <c r="CP29" s="16"/>
      <c r="CQ29" s="17"/>
      <c r="CR29" s="16"/>
      <c r="CS29" s="16"/>
      <c r="CT29" s="16"/>
    </row>
    <row r="30" spans="1:98" x14ac:dyDescent="0.3">
      <c r="A30" s="1">
        <v>46065</v>
      </c>
      <c r="B30" s="6">
        <v>23.04</v>
      </c>
      <c r="C30" s="6">
        <v>42.88</v>
      </c>
      <c r="D30" s="7">
        <v>3.0428191266836501E-3</v>
      </c>
      <c r="E30" s="7">
        <v>4.6652671711558798E-4</v>
      </c>
      <c r="F30" s="6">
        <v>0</v>
      </c>
      <c r="G30" s="6">
        <v>3.8300000000000001E-2</v>
      </c>
      <c r="H30" s="6">
        <v>0</v>
      </c>
      <c r="I30" s="6">
        <v>0</v>
      </c>
      <c r="J30" s="6">
        <v>3.8300000000000001E-2</v>
      </c>
      <c r="K30" s="6">
        <v>0</v>
      </c>
      <c r="L30" s="6">
        <v>23.078299999999999</v>
      </c>
      <c r="M30" s="6">
        <v>42.88</v>
      </c>
      <c r="N30" s="8">
        <v>1.8611111111111101</v>
      </c>
      <c r="O30" s="8">
        <v>1.8787268979407299</v>
      </c>
      <c r="P30" s="8">
        <v>1.86458540845052</v>
      </c>
      <c r="Q30" s="8">
        <v>1.8631437111192699</v>
      </c>
      <c r="R30" s="6">
        <v>43.2858677285544</v>
      </c>
      <c r="S30" s="6">
        <v>42.965364905088897</v>
      </c>
      <c r="T30" s="6">
        <v>42.924831104188101</v>
      </c>
      <c r="U30" s="7">
        <v>9.4206845693225998E-3</v>
      </c>
      <c r="V30" s="7">
        <v>1.9888070444028698E-3</v>
      </c>
      <c r="W30" s="7">
        <v>1.0449553408736301E-3</v>
      </c>
      <c r="X30" s="8">
        <v>1.85802247132587</v>
      </c>
      <c r="Y30" s="8">
        <v>1.8658943630327001</v>
      </c>
      <c r="Z30" s="8">
        <v>1.86176866213111</v>
      </c>
      <c r="AA30" s="8">
        <v>1.86173533795957</v>
      </c>
      <c r="AB30" s="6">
        <v>43.0616698783776</v>
      </c>
      <c r="AC30" s="6">
        <v>42.978909703951203</v>
      </c>
      <c r="AD30" s="6">
        <v>42.967247353157397</v>
      </c>
      <c r="AE30" s="7">
        <v>4.2277546906081603E-3</v>
      </c>
      <c r="AF30" s="7">
        <v>2.3040066091468401E-3</v>
      </c>
      <c r="AG30" s="7">
        <v>2.03261923675602E-3</v>
      </c>
      <c r="AZ30" s="23"/>
      <c r="BB30" s="12">
        <f t="shared" si="6"/>
        <v>0</v>
      </c>
      <c r="BC30" s="12">
        <f t="shared" si="7"/>
        <v>1</v>
      </c>
      <c r="BD30" s="12">
        <f t="shared" si="8"/>
        <v>1</v>
      </c>
      <c r="BE30" s="12">
        <f t="shared" si="4"/>
        <v>1</v>
      </c>
      <c r="BF30" s="12">
        <f t="shared" si="9"/>
        <v>1</v>
      </c>
      <c r="BG30" s="23">
        <f t="shared" si="10"/>
        <v>3.0428191266836501E-3</v>
      </c>
      <c r="BH30" s="23">
        <f t="shared" si="11"/>
        <v>-4.6652671711558798E-4</v>
      </c>
      <c r="BI30" s="23">
        <f t="shared" si="12"/>
        <v>2.5762924095680622E-3</v>
      </c>
      <c r="BJ30" s="18">
        <f t="shared" si="13"/>
        <v>4.9497787580189013E-3</v>
      </c>
      <c r="BL30" s="23"/>
      <c r="BN30" s="12">
        <f t="shared" si="14"/>
        <v>1</v>
      </c>
      <c r="BO30" s="12">
        <f t="shared" si="15"/>
        <v>0</v>
      </c>
      <c r="BP30" s="12">
        <f t="shared" si="16"/>
        <v>0</v>
      </c>
      <c r="BQ30" s="12">
        <f t="shared" si="5"/>
        <v>1</v>
      </c>
      <c r="BR30" s="12">
        <f t="shared" si="17"/>
        <v>0</v>
      </c>
      <c r="BS30" s="23">
        <f t="shared" si="18"/>
        <v>0</v>
      </c>
      <c r="BT30" s="23">
        <f t="shared" si="19"/>
        <v>0</v>
      </c>
      <c r="BU30" s="23">
        <f t="shared" si="20"/>
        <v>0</v>
      </c>
      <c r="BV30" s="18">
        <f t="shared" si="21"/>
        <v>0</v>
      </c>
      <c r="BX30" s="18">
        <f t="shared" si="22"/>
        <v>2.5762924095680622E-3</v>
      </c>
      <c r="BY30" s="18">
        <f t="shared" si="23"/>
        <v>4.9497787580189013E-3</v>
      </c>
      <c r="CL30" s="15"/>
      <c r="CM30" s="16"/>
      <c r="CN30" s="16"/>
      <c r="CO30" s="16"/>
      <c r="CP30" s="16"/>
      <c r="CQ30" s="16"/>
      <c r="CR30" s="16"/>
      <c r="CS30" s="16"/>
      <c r="CT30" s="16"/>
    </row>
    <row r="31" spans="1:98" x14ac:dyDescent="0.3">
      <c r="A31" s="1">
        <v>46066</v>
      </c>
      <c r="B31" s="6">
        <v>23.08</v>
      </c>
      <c r="C31" s="6">
        <v>42.94</v>
      </c>
      <c r="D31" s="7">
        <v>1.73460581220837E-3</v>
      </c>
      <c r="E31" s="7">
        <v>1.3982756880883301E-3</v>
      </c>
      <c r="F31" s="6">
        <v>0</v>
      </c>
      <c r="G31" s="6">
        <v>3.8300000000000001E-2</v>
      </c>
      <c r="H31" s="6">
        <v>0</v>
      </c>
      <c r="I31" s="6">
        <v>0</v>
      </c>
      <c r="J31" s="6">
        <v>3.8300000000000001E-2</v>
      </c>
      <c r="K31" s="6">
        <v>0</v>
      </c>
      <c r="L31" s="6">
        <v>23.118299999999898</v>
      </c>
      <c r="M31" s="6">
        <v>42.94</v>
      </c>
      <c r="N31" s="8">
        <v>1.86048526863084</v>
      </c>
      <c r="O31" s="8">
        <v>1.8787268979407299</v>
      </c>
      <c r="P31" s="8">
        <v>1.8649509230544099</v>
      </c>
      <c r="Q31" s="8">
        <v>1.86315722186264</v>
      </c>
      <c r="R31" s="6">
        <v>43.361016804472001</v>
      </c>
      <c r="S31" s="6">
        <v>43.034631227037998</v>
      </c>
      <c r="T31" s="6">
        <v>43.001356852632902</v>
      </c>
      <c r="U31" s="7">
        <v>9.7570146934424194E-3</v>
      </c>
      <c r="V31" s="7">
        <v>2.20137647357605E-3</v>
      </c>
      <c r="W31" s="7">
        <v>1.42787745748215E-3</v>
      </c>
      <c r="X31" s="8">
        <v>1.8574030097368699</v>
      </c>
      <c r="Y31" s="8">
        <v>1.8658943630327001</v>
      </c>
      <c r="Z31" s="8">
        <v>1.8618259508456101</v>
      </c>
      <c r="AA31" s="8">
        <v>1.8615947357582401</v>
      </c>
      <c r="AB31" s="6">
        <v>43.136305652898898</v>
      </c>
      <c r="AC31" s="6">
        <v>43.040926461745798</v>
      </c>
      <c r="AD31" s="6">
        <v>43.040156063550803</v>
      </c>
      <c r="AE31" s="7">
        <v>4.5612086101659401E-3</v>
      </c>
      <c r="AF31" s="7">
        <v>2.34764876940472E-3</v>
      </c>
      <c r="AG31" s="7">
        <v>2.3297494081890198E-3</v>
      </c>
      <c r="AZ31" s="23"/>
      <c r="BB31" s="12">
        <f t="shared" si="6"/>
        <v>0</v>
      </c>
      <c r="BC31" s="12">
        <f t="shared" si="7"/>
        <v>1</v>
      </c>
      <c r="BD31" s="12">
        <f t="shared" si="8"/>
        <v>0</v>
      </c>
      <c r="BE31" s="12">
        <f t="shared" si="4"/>
        <v>1</v>
      </c>
      <c r="BF31" s="12">
        <f t="shared" si="9"/>
        <v>0</v>
      </c>
      <c r="BG31" s="23">
        <f t="shared" si="10"/>
        <v>0</v>
      </c>
      <c r="BH31" s="23">
        <f t="shared" si="11"/>
        <v>0</v>
      </c>
      <c r="BI31" s="23">
        <f t="shared" si="12"/>
        <v>0</v>
      </c>
      <c r="BJ31" s="18">
        <f t="shared" si="13"/>
        <v>4.9497787580189013E-3</v>
      </c>
      <c r="BL31" s="23"/>
      <c r="BN31" s="12">
        <f t="shared" si="14"/>
        <v>1</v>
      </c>
      <c r="BO31" s="12">
        <f t="shared" si="15"/>
        <v>0</v>
      </c>
      <c r="BP31" s="12">
        <f t="shared" si="16"/>
        <v>1</v>
      </c>
      <c r="BQ31" s="12">
        <f t="shared" si="5"/>
        <v>1</v>
      </c>
      <c r="BR31" s="12">
        <f t="shared" si="17"/>
        <v>1</v>
      </c>
      <c r="BS31" s="23">
        <f t="shared" si="18"/>
        <v>-1.73460581220837E-3</v>
      </c>
      <c r="BT31" s="23">
        <f t="shared" si="19"/>
        <v>1.3982756880883301E-3</v>
      </c>
      <c r="BU31" s="23">
        <f t="shared" si="20"/>
        <v>-3.363301241200399E-4</v>
      </c>
      <c r="BV31" s="18">
        <f t="shared" si="21"/>
        <v>-3.363301241200399E-4</v>
      </c>
      <c r="BX31" s="18">
        <f t="shared" si="22"/>
        <v>-3.363301241200399E-4</v>
      </c>
      <c r="BY31" s="18">
        <f t="shared" si="23"/>
        <v>4.6134486338988614E-3</v>
      </c>
      <c r="CL31" s="15"/>
      <c r="CM31" s="16"/>
      <c r="CN31" s="16"/>
      <c r="CO31" s="16"/>
      <c r="CP31" s="16"/>
      <c r="CQ31" s="16"/>
      <c r="CR31" s="16"/>
      <c r="CS31" s="16"/>
      <c r="CT31" s="16"/>
    </row>
    <row r="32" spans="1:98" x14ac:dyDescent="0.3">
      <c r="A32" s="1">
        <v>46070</v>
      </c>
      <c r="B32" s="6">
        <v>23.07</v>
      </c>
      <c r="C32" s="6">
        <v>42.97</v>
      </c>
      <c r="D32" s="7">
        <v>-4.33369454236399E-4</v>
      </c>
      <c r="E32" s="7">
        <v>6.9840533626886999E-4</v>
      </c>
      <c r="F32" s="6">
        <v>0</v>
      </c>
      <c r="G32" s="6">
        <v>3.8300000000000001E-2</v>
      </c>
      <c r="H32" s="6">
        <v>0</v>
      </c>
      <c r="I32" s="6">
        <v>0</v>
      </c>
      <c r="J32" s="6">
        <v>3.8300000000000001E-2</v>
      </c>
      <c r="K32" s="6">
        <v>0</v>
      </c>
      <c r="L32" s="6">
        <v>23.1083</v>
      </c>
      <c r="M32" s="6">
        <v>42.97</v>
      </c>
      <c r="N32" s="8">
        <v>1.8625921109666199</v>
      </c>
      <c r="O32" s="8">
        <v>1.8787268979407299</v>
      </c>
      <c r="P32" s="8">
        <v>1.8651369741687001</v>
      </c>
      <c r="Q32" s="8">
        <v>1.86338172445663</v>
      </c>
      <c r="R32" s="6">
        <v>43.342229535492599</v>
      </c>
      <c r="S32" s="6">
        <v>43.0244177948653</v>
      </c>
      <c r="T32" s="6">
        <v>42.983037108371299</v>
      </c>
      <c r="U32" s="7">
        <v>8.6252399029372404E-3</v>
      </c>
      <c r="V32" s="7">
        <v>1.2656124321673401E-3</v>
      </c>
      <c r="W32" s="7">
        <v>3.0335422481592898E-4</v>
      </c>
      <c r="X32" s="8">
        <v>1.8595050263325299</v>
      </c>
      <c r="Y32" s="8">
        <v>1.8658943630327001</v>
      </c>
      <c r="Z32" s="8">
        <v>1.8620168498129399</v>
      </c>
      <c r="AA32" s="8">
        <v>1.8616648841205301</v>
      </c>
      <c r="AB32" s="6">
        <v>43.117646709268598</v>
      </c>
      <c r="AC32" s="6">
        <v>43.0236326199256</v>
      </c>
      <c r="AD32" s="6">
        <v>43.018289632322201</v>
      </c>
      <c r="AE32" s="7">
        <v>3.43015193652916E-3</v>
      </c>
      <c r="AF32" s="7">
        <v>1.24736274641734E-3</v>
      </c>
      <c r="AG32" s="7">
        <v>1.1231677616858201E-3</v>
      </c>
      <c r="AZ32" s="23"/>
      <c r="BB32" s="12">
        <f t="shared" si="6"/>
        <v>0</v>
      </c>
      <c r="BC32" s="12">
        <f t="shared" si="7"/>
        <v>1</v>
      </c>
      <c r="BD32" s="12">
        <f t="shared" si="8"/>
        <v>0</v>
      </c>
      <c r="BE32" s="12">
        <f t="shared" si="4"/>
        <v>1</v>
      </c>
      <c r="BF32" s="12">
        <f t="shared" si="9"/>
        <v>0</v>
      </c>
      <c r="BG32" s="23">
        <f t="shared" si="10"/>
        <v>0</v>
      </c>
      <c r="BH32" s="23">
        <f t="shared" si="11"/>
        <v>0</v>
      </c>
      <c r="BI32" s="23">
        <f t="shared" si="12"/>
        <v>0</v>
      </c>
      <c r="BJ32" s="18">
        <f t="shared" si="13"/>
        <v>4.9497787580189013E-3</v>
      </c>
      <c r="BL32" s="23"/>
      <c r="BN32" s="12">
        <f t="shared" si="14"/>
        <v>0</v>
      </c>
      <c r="BO32" s="12">
        <f t="shared" si="15"/>
        <v>0</v>
      </c>
      <c r="BP32" s="12">
        <f t="shared" si="16"/>
        <v>1</v>
      </c>
      <c r="BQ32" s="12">
        <f t="shared" si="5"/>
        <v>1</v>
      </c>
      <c r="BR32" s="12">
        <f t="shared" si="17"/>
        <v>1</v>
      </c>
      <c r="BS32" s="23">
        <f t="shared" si="18"/>
        <v>4.33369454236399E-4</v>
      </c>
      <c r="BT32" s="23">
        <f t="shared" si="19"/>
        <v>6.9840533626886999E-4</v>
      </c>
      <c r="BU32" s="23">
        <f t="shared" si="20"/>
        <v>1.131774790505269E-3</v>
      </c>
      <c r="BV32" s="18">
        <f t="shared" si="21"/>
        <v>7.9544466638522908E-4</v>
      </c>
      <c r="BX32" s="18">
        <f t="shared" si="22"/>
        <v>1.131774790505269E-3</v>
      </c>
      <c r="BY32" s="18">
        <f t="shared" si="23"/>
        <v>5.7452234244041306E-3</v>
      </c>
      <c r="CL32" s="15"/>
      <c r="CM32" s="16"/>
      <c r="CN32" s="16"/>
      <c r="CO32" s="16"/>
      <c r="CP32" s="16"/>
      <c r="CQ32" s="16"/>
      <c r="CR32" s="16"/>
      <c r="CS32" s="16"/>
      <c r="CT32" s="16"/>
    </row>
    <row r="33" spans="1:98" x14ac:dyDescent="0.3">
      <c r="A33" s="1">
        <v>46071</v>
      </c>
      <c r="B33" s="6">
        <v>22.93</v>
      </c>
      <c r="C33" s="6">
        <v>42.67</v>
      </c>
      <c r="D33" s="7">
        <v>-6.0869753158491902E-3</v>
      </c>
      <c r="E33" s="7">
        <v>-7.0061005869950597E-3</v>
      </c>
      <c r="F33" s="6">
        <v>0</v>
      </c>
      <c r="G33" s="6">
        <v>3.8300000000000001E-2</v>
      </c>
      <c r="H33" s="6">
        <v>0</v>
      </c>
      <c r="I33" s="6">
        <v>0</v>
      </c>
      <c r="J33" s="6">
        <v>3.8300000000000001E-2</v>
      </c>
      <c r="K33" s="6">
        <v>0</v>
      </c>
      <c r="L33" s="6">
        <v>22.968299999999999</v>
      </c>
      <c r="M33" s="6">
        <v>42.67</v>
      </c>
      <c r="N33" s="8">
        <v>1.86088094199738</v>
      </c>
      <c r="O33" s="8">
        <v>1.8787268979407299</v>
      </c>
      <c r="P33" s="8">
        <v>1.8645290331261499</v>
      </c>
      <c r="Q33" s="8">
        <v>1.8631879748704301</v>
      </c>
      <c r="R33" s="6">
        <v>43.079207769780901</v>
      </c>
      <c r="S33" s="6">
        <v>42.767590817688401</v>
      </c>
      <c r="T33" s="6">
        <v>42.727342941790702</v>
      </c>
      <c r="U33" s="7">
        <v>9.5443651740831897E-3</v>
      </c>
      <c r="V33" s="7">
        <v>2.2844946632414702E-3</v>
      </c>
      <c r="W33" s="7">
        <v>1.3429680229808099E-3</v>
      </c>
      <c r="X33" s="8">
        <v>1.85777789387982</v>
      </c>
      <c r="Y33" s="8">
        <v>1.8658943630327001</v>
      </c>
      <c r="Z33" s="8">
        <v>1.8614130715375601</v>
      </c>
      <c r="AA33" s="8">
        <v>1.86131598212845</v>
      </c>
      <c r="AB33" s="6">
        <v>42.856421498444</v>
      </c>
      <c r="AC33" s="6">
        <v>42.767361611558698</v>
      </c>
      <c r="AD33" s="6">
        <v>42.759277557945602</v>
      </c>
      <c r="AE33" s="7">
        <v>4.35939655635296E-3</v>
      </c>
      <c r="AF33" s="7">
        <v>2.2791353072550802E-3</v>
      </c>
      <c r="AG33" s="7">
        <v>2.0900935369780301E-3</v>
      </c>
      <c r="AZ33" s="23"/>
      <c r="BB33" s="12">
        <f t="shared" si="6"/>
        <v>0</v>
      </c>
      <c r="BC33" s="12">
        <f t="shared" si="7"/>
        <v>1</v>
      </c>
      <c r="BD33" s="12">
        <f t="shared" si="8"/>
        <v>0</v>
      </c>
      <c r="BE33" s="12">
        <f t="shared" si="4"/>
        <v>1</v>
      </c>
      <c r="BF33" s="12">
        <f t="shared" si="9"/>
        <v>0</v>
      </c>
      <c r="BG33" s="23">
        <f t="shared" si="10"/>
        <v>0</v>
      </c>
      <c r="BH33" s="23">
        <f t="shared" si="11"/>
        <v>0</v>
      </c>
      <c r="BI33" s="23">
        <f t="shared" si="12"/>
        <v>0</v>
      </c>
      <c r="BJ33" s="18">
        <f t="shared" si="13"/>
        <v>4.9497787580189013E-3</v>
      </c>
      <c r="BL33" s="23"/>
      <c r="BN33" s="12">
        <f t="shared" si="14"/>
        <v>1</v>
      </c>
      <c r="BO33" s="12">
        <f t="shared" si="15"/>
        <v>0</v>
      </c>
      <c r="BP33" s="12">
        <f t="shared" si="16"/>
        <v>1</v>
      </c>
      <c r="BQ33" s="12">
        <f t="shared" si="5"/>
        <v>1</v>
      </c>
      <c r="BR33" s="12">
        <f t="shared" si="17"/>
        <v>1</v>
      </c>
      <c r="BS33" s="23">
        <f t="shared" si="18"/>
        <v>6.0869753158491902E-3</v>
      </c>
      <c r="BT33" s="23">
        <f t="shared" si="19"/>
        <v>-7.0061005869950597E-3</v>
      </c>
      <c r="BU33" s="23">
        <f t="shared" si="20"/>
        <v>-9.1912527114586945E-4</v>
      </c>
      <c r="BV33" s="18">
        <f t="shared" si="21"/>
        <v>-1.2368060476064036E-4</v>
      </c>
      <c r="BX33" s="18">
        <f t="shared" si="22"/>
        <v>-9.1912527114586945E-4</v>
      </c>
      <c r="BY33" s="18">
        <f t="shared" si="23"/>
        <v>4.8260981532582611E-3</v>
      </c>
      <c r="CL33" s="15"/>
      <c r="CM33" s="16"/>
      <c r="CN33" s="16"/>
      <c r="CO33" s="16"/>
      <c r="CP33" s="16"/>
      <c r="CQ33" s="16"/>
      <c r="CR33" s="16"/>
      <c r="CS33" s="16"/>
      <c r="CT33" s="16"/>
    </row>
    <row r="34" spans="1:98" x14ac:dyDescent="0.3">
      <c r="A34" s="1">
        <v>46072</v>
      </c>
      <c r="B34" s="6">
        <v>22.92</v>
      </c>
      <c r="C34" s="6">
        <v>42.67</v>
      </c>
      <c r="D34" s="7">
        <v>-4.3620502327420402E-4</v>
      </c>
      <c r="E34" s="7">
        <v>0</v>
      </c>
      <c r="F34" s="6">
        <v>0</v>
      </c>
      <c r="G34" s="6">
        <v>3.8300000000000001E-2</v>
      </c>
      <c r="H34" s="6">
        <v>0</v>
      </c>
      <c r="I34" s="6">
        <v>0</v>
      </c>
      <c r="J34" s="6">
        <v>3.8300000000000001E-2</v>
      </c>
      <c r="K34" s="6">
        <v>0</v>
      </c>
      <c r="L34" s="6">
        <v>22.958300000000001</v>
      </c>
      <c r="M34" s="6">
        <v>42.67</v>
      </c>
      <c r="N34" s="8">
        <v>1.8616928446771299</v>
      </c>
      <c r="O34" s="8">
        <v>1.8787268979407299</v>
      </c>
      <c r="P34" s="8">
        <v>1.8639933705973999</v>
      </c>
      <c r="Q34" s="8">
        <v>1.8630154486455099</v>
      </c>
      <c r="R34" s="6">
        <v>43.060420500801499</v>
      </c>
      <c r="S34" s="6">
        <v>42.735005439251402</v>
      </c>
      <c r="T34" s="6">
        <v>42.7042683840303</v>
      </c>
      <c r="U34" s="7">
        <v>9.1081601508088798E-3</v>
      </c>
      <c r="V34" s="7">
        <v>1.52228669667522E-3</v>
      </c>
      <c r="W34" s="7">
        <v>8.0278019406476698E-4</v>
      </c>
      <c r="X34" s="8">
        <v>1.8585870905075701</v>
      </c>
      <c r="Y34" s="8">
        <v>1.8658943630327001</v>
      </c>
      <c r="Z34" s="8">
        <v>1.8608821482084601</v>
      </c>
      <c r="AA34" s="8">
        <v>1.86098816819504</v>
      </c>
      <c r="AB34" s="6">
        <v>42.8377625548137</v>
      </c>
      <c r="AC34" s="6">
        <v>42.734879720280802</v>
      </c>
      <c r="AD34" s="6">
        <v>42.732650712499598</v>
      </c>
      <c r="AE34" s="7">
        <v>3.9239190701887399E-3</v>
      </c>
      <c r="AF34" s="7">
        <v>1.5193448658680801E-3</v>
      </c>
      <c r="AG34" s="7">
        <v>1.4671845244980299E-3</v>
      </c>
      <c r="AZ34" s="23"/>
      <c r="BB34" s="12">
        <f t="shared" si="6"/>
        <v>0</v>
      </c>
      <c r="BC34" s="12">
        <f t="shared" si="7"/>
        <v>1</v>
      </c>
      <c r="BD34" s="12">
        <f t="shared" si="8"/>
        <v>0</v>
      </c>
      <c r="BE34" s="12">
        <f t="shared" si="4"/>
        <v>1</v>
      </c>
      <c r="BF34" s="12">
        <f t="shared" si="9"/>
        <v>0</v>
      </c>
      <c r="BG34" s="23">
        <f t="shared" si="10"/>
        <v>0</v>
      </c>
      <c r="BH34" s="23">
        <f t="shared" si="11"/>
        <v>0</v>
      </c>
      <c r="BI34" s="23">
        <f t="shared" si="12"/>
        <v>0</v>
      </c>
      <c r="BJ34" s="18">
        <f t="shared" si="13"/>
        <v>4.9497787580189013E-3</v>
      </c>
      <c r="BL34" s="23"/>
      <c r="BN34" s="12">
        <f t="shared" si="14"/>
        <v>0</v>
      </c>
      <c r="BO34" s="12">
        <f t="shared" si="15"/>
        <v>0</v>
      </c>
      <c r="BP34" s="12">
        <f t="shared" si="16"/>
        <v>1</v>
      </c>
      <c r="BQ34" s="12">
        <f t="shared" si="5"/>
        <v>1</v>
      </c>
      <c r="BR34" s="12">
        <f t="shared" si="17"/>
        <v>1</v>
      </c>
      <c r="BS34" s="23">
        <f t="shared" si="18"/>
        <v>4.3620502327420402E-4</v>
      </c>
      <c r="BT34" s="23">
        <f t="shared" si="19"/>
        <v>0</v>
      </c>
      <c r="BU34" s="23">
        <f t="shared" si="20"/>
        <v>4.3620502327420402E-4</v>
      </c>
      <c r="BV34" s="18">
        <f t="shared" si="21"/>
        <v>3.1252441851356365E-4</v>
      </c>
      <c r="BX34" s="18">
        <f t="shared" si="22"/>
        <v>4.3620502327420402E-4</v>
      </c>
      <c r="BY34" s="18">
        <f t="shared" si="23"/>
        <v>5.2623031765324652E-3</v>
      </c>
    </row>
    <row r="35" spans="1:98" x14ac:dyDescent="0.3">
      <c r="A35" s="1">
        <v>46073</v>
      </c>
      <c r="B35" s="6">
        <v>22.93</v>
      </c>
      <c r="C35" s="6">
        <v>42.77</v>
      </c>
      <c r="D35" s="7">
        <v>4.3620502327419702E-4</v>
      </c>
      <c r="E35" s="7">
        <v>2.3408250389085998E-3</v>
      </c>
      <c r="F35" s="6">
        <v>0</v>
      </c>
      <c r="G35" s="6">
        <v>3.8300000000000001E-2</v>
      </c>
      <c r="H35" s="6">
        <v>0</v>
      </c>
      <c r="I35" s="6">
        <v>0</v>
      </c>
      <c r="J35" s="6">
        <v>3.8300000000000001E-2</v>
      </c>
      <c r="K35" s="6">
        <v>0</v>
      </c>
      <c r="L35" s="6">
        <v>22.968299999999999</v>
      </c>
      <c r="M35" s="6">
        <v>42.77</v>
      </c>
      <c r="N35" s="8">
        <v>1.86524204099433</v>
      </c>
      <c r="O35" s="8">
        <v>1.8787268979407299</v>
      </c>
      <c r="P35" s="8">
        <v>1.8642101542021301</v>
      </c>
      <c r="Q35" s="8">
        <v>1.86308966111374</v>
      </c>
      <c r="R35" s="6">
        <v>43.079207769780901</v>
      </c>
      <c r="S35" s="6">
        <v>42.741367987798299</v>
      </c>
      <c r="T35" s="6">
        <v>42.718944237441498</v>
      </c>
      <c r="U35" s="7">
        <v>7.2035401351743297E-3</v>
      </c>
      <c r="V35" s="7">
        <v>-6.6966565838835399E-4</v>
      </c>
      <c r="W35" s="7">
        <v>-1.19444143529746E-3</v>
      </c>
      <c r="X35" s="8">
        <v>1.8621317206758801</v>
      </c>
      <c r="Y35" s="8">
        <v>1.8658943630327001</v>
      </c>
      <c r="Z35" s="8">
        <v>1.8611025430396599</v>
      </c>
      <c r="AA35" s="8">
        <v>1.8609068646473601</v>
      </c>
      <c r="AB35" s="6">
        <v>42.856421498444</v>
      </c>
      <c r="AC35" s="6">
        <v>42.741299444696502</v>
      </c>
      <c r="AD35" s="6">
        <v>42.743734543554297</v>
      </c>
      <c r="AE35" s="7">
        <v>2.0185715174442999E-3</v>
      </c>
      <c r="AF35" s="7">
        <v>-6.7126933089707705E-4</v>
      </c>
      <c r="AG35" s="7">
        <v>-6.1429798176544702E-4</v>
      </c>
      <c r="AZ35" s="23"/>
      <c r="BB35" s="12">
        <f t="shared" si="6"/>
        <v>0</v>
      </c>
      <c r="BC35" s="12">
        <f t="shared" si="7"/>
        <v>0</v>
      </c>
      <c r="BD35" s="12">
        <f t="shared" si="8"/>
        <v>0</v>
      </c>
      <c r="BE35" s="12">
        <f t="shared" si="4"/>
        <v>1</v>
      </c>
      <c r="BF35" s="12">
        <f t="shared" si="9"/>
        <v>0</v>
      </c>
      <c r="BG35" s="23">
        <f t="shared" si="10"/>
        <v>0</v>
      </c>
      <c r="BH35" s="23">
        <f t="shared" si="11"/>
        <v>0</v>
      </c>
      <c r="BI35" s="23">
        <f t="shared" si="12"/>
        <v>0</v>
      </c>
      <c r="BJ35" s="18">
        <f t="shared" si="13"/>
        <v>4.9497787580189013E-3</v>
      </c>
      <c r="BL35" s="23"/>
      <c r="BN35" s="12">
        <f t="shared" si="14"/>
        <v>0</v>
      </c>
      <c r="BO35" s="12">
        <f t="shared" si="15"/>
        <v>1</v>
      </c>
      <c r="BP35" s="12">
        <f t="shared" si="16"/>
        <v>1</v>
      </c>
      <c r="BQ35" s="12">
        <f t="shared" si="5"/>
        <v>1</v>
      </c>
      <c r="BR35" s="12">
        <f t="shared" si="17"/>
        <v>1</v>
      </c>
      <c r="BS35" s="23">
        <f t="shared" si="18"/>
        <v>-4.3620502327419702E-4</v>
      </c>
      <c r="BT35" s="23">
        <f t="shared" si="19"/>
        <v>2.3408250389085998E-3</v>
      </c>
      <c r="BU35" s="23">
        <f t="shared" si="20"/>
        <v>1.9046200156344027E-3</v>
      </c>
      <c r="BV35" s="18">
        <f t="shared" si="21"/>
        <v>2.2171444341479666E-3</v>
      </c>
      <c r="BX35" s="18">
        <f t="shared" si="22"/>
        <v>1.9046200156344027E-3</v>
      </c>
      <c r="BY35" s="18">
        <f t="shared" si="23"/>
        <v>7.1669231921668679E-3</v>
      </c>
    </row>
    <row r="36" spans="1:98" x14ac:dyDescent="0.3">
      <c r="A36" s="1">
        <v>46076</v>
      </c>
      <c r="B36" s="6">
        <v>23.05</v>
      </c>
      <c r="C36" s="6">
        <v>42.82</v>
      </c>
      <c r="D36" s="7">
        <v>5.21967257284448E-3</v>
      </c>
      <c r="E36" s="7">
        <v>1.1683609227194E-3</v>
      </c>
      <c r="F36" s="6">
        <v>0</v>
      </c>
      <c r="G36" s="6">
        <v>3.8300000000000001E-2</v>
      </c>
      <c r="H36" s="6">
        <v>0</v>
      </c>
      <c r="I36" s="6">
        <v>0</v>
      </c>
      <c r="J36" s="6">
        <v>3.8300000000000001E-2</v>
      </c>
      <c r="K36" s="6">
        <v>0</v>
      </c>
      <c r="L36" s="6">
        <v>23.0883</v>
      </c>
      <c r="M36" s="6">
        <v>42.82</v>
      </c>
      <c r="N36" s="8">
        <v>1.85770065075921</v>
      </c>
      <c r="O36" s="8">
        <v>1.8787268979407299</v>
      </c>
      <c r="P36" s="8">
        <v>1.86320773250556</v>
      </c>
      <c r="Q36" s="8">
        <v>1.86290932262697</v>
      </c>
      <c r="R36" s="6">
        <v>43.304654997533802</v>
      </c>
      <c r="S36" s="6">
        <v>42.9700440543591</v>
      </c>
      <c r="T36" s="6">
        <v>42.944216688671901</v>
      </c>
      <c r="U36" s="7">
        <v>1.1254851785299299E-2</v>
      </c>
      <c r="V36" s="7">
        <v>3.4979398601030199E-3</v>
      </c>
      <c r="W36" s="7">
        <v>2.8967040177195701E-3</v>
      </c>
      <c r="X36" s="8">
        <v>1.8546190061632899</v>
      </c>
      <c r="Y36" s="8">
        <v>1.8658943630327001</v>
      </c>
      <c r="Z36" s="8">
        <v>1.8601068301902</v>
      </c>
      <c r="AA36" s="8">
        <v>1.86057244393079</v>
      </c>
      <c r="AB36" s="6">
        <v>43.080328822007999</v>
      </c>
      <c r="AC36" s="6">
        <v>42.969693844462697</v>
      </c>
      <c r="AD36" s="6">
        <v>42.965175963037701</v>
      </c>
      <c r="AE36" s="7">
        <v>6.0612019203624204E-3</v>
      </c>
      <c r="AF36" s="7">
        <v>3.4897897329319002E-3</v>
      </c>
      <c r="AG36" s="7">
        <v>3.3846430924754402E-3</v>
      </c>
      <c r="AZ36" s="23"/>
      <c r="BB36" s="12">
        <f t="shared" si="6"/>
        <v>0</v>
      </c>
      <c r="BC36" s="12">
        <f t="shared" si="7"/>
        <v>1</v>
      </c>
      <c r="BD36" s="12">
        <f t="shared" si="8"/>
        <v>0</v>
      </c>
      <c r="BE36" s="12">
        <f t="shared" si="4"/>
        <v>1</v>
      </c>
      <c r="BF36" s="12">
        <f t="shared" si="9"/>
        <v>0</v>
      </c>
      <c r="BG36" s="23">
        <f t="shared" si="10"/>
        <v>0</v>
      </c>
      <c r="BH36" s="23">
        <f t="shared" si="11"/>
        <v>0</v>
      </c>
      <c r="BI36" s="23">
        <f t="shared" si="12"/>
        <v>0</v>
      </c>
      <c r="BJ36" s="18">
        <f t="shared" si="13"/>
        <v>4.9497787580189013E-3</v>
      </c>
      <c r="BL36" s="23"/>
      <c r="BN36" s="12">
        <f t="shared" si="14"/>
        <v>1</v>
      </c>
      <c r="BO36" s="12">
        <f t="shared" si="15"/>
        <v>0</v>
      </c>
      <c r="BP36" s="12">
        <f t="shared" si="16"/>
        <v>0</v>
      </c>
      <c r="BQ36" s="12">
        <f t="shared" si="5"/>
        <v>1</v>
      </c>
      <c r="BR36" s="12">
        <f t="shared" si="17"/>
        <v>0</v>
      </c>
      <c r="BS36" s="23">
        <f t="shared" si="18"/>
        <v>0</v>
      </c>
      <c r="BT36" s="23">
        <f t="shared" si="19"/>
        <v>0</v>
      </c>
      <c r="BU36" s="23">
        <f t="shared" si="20"/>
        <v>0</v>
      </c>
      <c r="BV36" s="18">
        <f t="shared" si="21"/>
        <v>2.2171444341479666E-3</v>
      </c>
      <c r="BX36" s="18">
        <f t="shared" si="22"/>
        <v>0</v>
      </c>
      <c r="BY36" s="18">
        <f t="shared" si="23"/>
        <v>7.1669231921668679E-3</v>
      </c>
    </row>
    <row r="37" spans="1:98" x14ac:dyDescent="0.3">
      <c r="A37" s="1">
        <v>46077</v>
      </c>
      <c r="B37" s="6">
        <v>22.99</v>
      </c>
      <c r="C37" s="6">
        <v>42.74</v>
      </c>
      <c r="D37" s="7">
        <v>-2.6064306675674699E-3</v>
      </c>
      <c r="E37" s="7">
        <v>-1.8700332705351499E-3</v>
      </c>
      <c r="F37" s="6">
        <v>0</v>
      </c>
      <c r="G37" s="6">
        <v>3.8300000000000001E-2</v>
      </c>
      <c r="H37" s="6">
        <v>0</v>
      </c>
      <c r="I37" s="6">
        <v>0</v>
      </c>
      <c r="J37" s="6">
        <v>3.8300000000000001E-2</v>
      </c>
      <c r="K37" s="6">
        <v>0</v>
      </c>
      <c r="L37" s="6">
        <v>23.028299999999899</v>
      </c>
      <c r="M37" s="6">
        <v>42.74</v>
      </c>
      <c r="N37" s="8">
        <v>1.8590691605045599</v>
      </c>
      <c r="O37" s="8">
        <v>1.8787268979407299</v>
      </c>
      <c r="P37" s="8">
        <v>1.8620800449642601</v>
      </c>
      <c r="Q37" s="8">
        <v>1.8628991682015199</v>
      </c>
      <c r="R37" s="6">
        <v>43.191931383657398</v>
      </c>
      <c r="S37" s="6">
        <v>42.835145770303001</v>
      </c>
      <c r="T37" s="6">
        <v>42.828285327194102</v>
      </c>
      <c r="U37" s="7">
        <v>1.05184543882672E-2</v>
      </c>
      <c r="V37" s="7">
        <v>2.2236785845362599E-3</v>
      </c>
      <c r="W37" s="7">
        <v>2.06350654763208E-3</v>
      </c>
      <c r="X37" s="8">
        <v>1.8559772106495001</v>
      </c>
      <c r="Y37" s="8">
        <v>1.8658943630327001</v>
      </c>
      <c r="Z37" s="8">
        <v>1.8589831946173501</v>
      </c>
      <c r="AA37" s="8">
        <v>1.86040769201258</v>
      </c>
      <c r="AB37" s="6">
        <v>42.968375160226003</v>
      </c>
      <c r="AC37" s="6">
        <v>42.835098117668899</v>
      </c>
      <c r="AD37" s="6">
        <v>42.845820410571399</v>
      </c>
      <c r="AE37" s="7">
        <v>5.32913382806277E-3</v>
      </c>
      <c r="AF37" s="7">
        <v>2.2225661181329102E-3</v>
      </c>
      <c r="AG37" s="7">
        <v>2.4728503854505798E-3</v>
      </c>
      <c r="AZ37" s="23"/>
      <c r="BB37" s="12">
        <f t="shared" si="6"/>
        <v>0</v>
      </c>
      <c r="BC37" s="12">
        <f t="shared" si="7"/>
        <v>1</v>
      </c>
      <c r="BD37" s="12">
        <f t="shared" si="8"/>
        <v>0</v>
      </c>
      <c r="BE37" s="12">
        <f t="shared" si="4"/>
        <v>1</v>
      </c>
      <c r="BF37" s="12">
        <f t="shared" si="9"/>
        <v>0</v>
      </c>
      <c r="BG37" s="23">
        <f t="shared" si="10"/>
        <v>0</v>
      </c>
      <c r="BH37" s="23">
        <f t="shared" si="11"/>
        <v>0</v>
      </c>
      <c r="BI37" s="23">
        <f t="shared" si="12"/>
        <v>0</v>
      </c>
      <c r="BJ37" s="18">
        <f t="shared" si="13"/>
        <v>4.9497787580189013E-3</v>
      </c>
      <c r="BL37" s="23"/>
      <c r="BN37" s="12">
        <f t="shared" si="14"/>
        <v>1</v>
      </c>
      <c r="BO37" s="12">
        <f t="shared" si="15"/>
        <v>0</v>
      </c>
      <c r="BP37" s="12">
        <f t="shared" si="16"/>
        <v>1</v>
      </c>
      <c r="BQ37" s="12">
        <f t="shared" si="5"/>
        <v>1</v>
      </c>
      <c r="BR37" s="12">
        <f t="shared" si="17"/>
        <v>1</v>
      </c>
      <c r="BS37" s="23">
        <f t="shared" si="18"/>
        <v>2.6064306675674699E-3</v>
      </c>
      <c r="BT37" s="23">
        <f t="shared" si="19"/>
        <v>-1.8700332705351499E-3</v>
      </c>
      <c r="BU37" s="23">
        <f t="shared" si="20"/>
        <v>7.3639739703231996E-4</v>
      </c>
      <c r="BV37" s="18">
        <f t="shared" si="21"/>
        <v>2.9535418311802866E-3</v>
      </c>
      <c r="BX37" s="18">
        <f t="shared" si="22"/>
        <v>7.3639739703231996E-4</v>
      </c>
      <c r="BY37" s="18">
        <f t="shared" si="23"/>
        <v>7.9033205891991878E-3</v>
      </c>
    </row>
    <row r="38" spans="1:98" x14ac:dyDescent="0.3">
      <c r="A38" s="1">
        <v>46078</v>
      </c>
      <c r="B38" s="6">
        <v>22.98</v>
      </c>
      <c r="C38" s="6">
        <v>42.81</v>
      </c>
      <c r="D38" s="7">
        <v>-4.3506635448050898E-4</v>
      </c>
      <c r="E38" s="7">
        <v>1.6364702658532E-3</v>
      </c>
      <c r="F38" s="6">
        <v>0</v>
      </c>
      <c r="G38" s="6">
        <v>3.8300000000000001E-2</v>
      </c>
      <c r="H38" s="6">
        <v>0</v>
      </c>
      <c r="I38" s="6">
        <v>0</v>
      </c>
      <c r="J38" s="6">
        <v>3.8300000000000001E-2</v>
      </c>
      <c r="K38" s="6">
        <v>0</v>
      </c>
      <c r="L38" s="6">
        <v>23.0183</v>
      </c>
      <c r="M38" s="6">
        <v>42.81</v>
      </c>
      <c r="N38" s="8">
        <v>1.8629242819843299</v>
      </c>
      <c r="O38" s="8">
        <v>1.8787268979407299</v>
      </c>
      <c r="P38" s="8">
        <v>1.8617610470833199</v>
      </c>
      <c r="Q38" s="8">
        <v>1.8629247225785099</v>
      </c>
      <c r="R38" s="6">
        <v>43.173144114678003</v>
      </c>
      <c r="S38" s="6">
        <v>42.7905994332787</v>
      </c>
      <c r="T38" s="6">
        <v>42.809422885270997</v>
      </c>
      <c r="U38" s="7">
        <v>8.4469177679336403E-3</v>
      </c>
      <c r="V38" s="7">
        <v>-4.5328110274725898E-4</v>
      </c>
      <c r="W38" s="7">
        <v>-1.34809301336635E-5</v>
      </c>
      <c r="X38" s="8">
        <v>1.8598245743604001</v>
      </c>
      <c r="Y38" s="8">
        <v>1.8658943630327001</v>
      </c>
      <c r="Z38" s="8">
        <v>1.85866540344988</v>
      </c>
      <c r="AA38" s="8">
        <v>1.8602782610083799</v>
      </c>
      <c r="AB38" s="6">
        <v>42.949716216595696</v>
      </c>
      <c r="AC38" s="6">
        <v>42.790632868660701</v>
      </c>
      <c r="AD38" s="6">
        <v>42.823422377053298</v>
      </c>
      <c r="AE38" s="7">
        <v>3.2583209546245798E-3</v>
      </c>
      <c r="AF38" s="7">
        <v>-4.5249973091731997E-4</v>
      </c>
      <c r="AG38" s="7">
        <v>3.1348454355136998E-4</v>
      </c>
      <c r="AZ38" s="23"/>
      <c r="BB38" s="12">
        <f t="shared" si="6"/>
        <v>0</v>
      </c>
      <c r="BC38" s="12">
        <f t="shared" si="7"/>
        <v>1</v>
      </c>
      <c r="BD38" s="12">
        <f t="shared" si="8"/>
        <v>0</v>
      </c>
      <c r="BE38" s="12">
        <f t="shared" si="4"/>
        <v>1</v>
      </c>
      <c r="BF38" s="12">
        <f t="shared" si="9"/>
        <v>0</v>
      </c>
      <c r="BG38" s="23">
        <f t="shared" si="10"/>
        <v>0</v>
      </c>
      <c r="BH38" s="23">
        <f t="shared" si="11"/>
        <v>0</v>
      </c>
      <c r="BI38" s="23">
        <f t="shared" si="12"/>
        <v>0</v>
      </c>
      <c r="BJ38" s="18">
        <f t="shared" si="13"/>
        <v>4.9497787580189013E-3</v>
      </c>
      <c r="BL38" s="23"/>
      <c r="BN38" s="12">
        <f t="shared" si="14"/>
        <v>0</v>
      </c>
      <c r="BO38" s="12">
        <f t="shared" si="15"/>
        <v>0</v>
      </c>
      <c r="BP38" s="12">
        <f t="shared" si="16"/>
        <v>1</v>
      </c>
      <c r="BQ38" s="12">
        <f t="shared" si="5"/>
        <v>1</v>
      </c>
      <c r="BR38" s="12">
        <f t="shared" si="17"/>
        <v>1</v>
      </c>
      <c r="BS38" s="23">
        <f t="shared" si="18"/>
        <v>4.3506635448050898E-4</v>
      </c>
      <c r="BT38" s="23">
        <f t="shared" si="19"/>
        <v>1.6364702658532E-3</v>
      </c>
      <c r="BU38" s="23">
        <f t="shared" si="20"/>
        <v>2.071536620333709E-3</v>
      </c>
      <c r="BV38" s="18">
        <f t="shared" si="21"/>
        <v>5.0250784515139951E-3</v>
      </c>
      <c r="BX38" s="18">
        <f t="shared" si="22"/>
        <v>2.071536620333709E-3</v>
      </c>
      <c r="BY38" s="18">
        <f t="shared" si="23"/>
        <v>9.9748572095328964E-3</v>
      </c>
    </row>
    <row r="39" spans="1:98" x14ac:dyDescent="0.3">
      <c r="A39" s="1">
        <v>46079</v>
      </c>
      <c r="B39" s="6">
        <v>23.03</v>
      </c>
      <c r="C39" s="6">
        <v>42.86</v>
      </c>
      <c r="D39" s="7">
        <v>2.1734414119842301E-3</v>
      </c>
      <c r="E39" s="7">
        <v>1.16726988857624E-3</v>
      </c>
      <c r="F39" s="6">
        <v>0</v>
      </c>
      <c r="G39" s="6">
        <v>3.8300000000000001E-2</v>
      </c>
      <c r="H39" s="6">
        <v>0</v>
      </c>
      <c r="I39" s="6">
        <v>0</v>
      </c>
      <c r="J39" s="6">
        <v>3.8300000000000001E-2</v>
      </c>
      <c r="K39" s="6">
        <v>0</v>
      </c>
      <c r="L39" s="6">
        <v>23.068300000000001</v>
      </c>
      <c r="M39" s="6">
        <v>42.86</v>
      </c>
      <c r="N39" s="8">
        <v>1.8610508033000399</v>
      </c>
      <c r="O39" s="8">
        <v>1.8787268979407299</v>
      </c>
      <c r="P39" s="8">
        <v>1.8612749214925599</v>
      </c>
      <c r="Q39" s="8">
        <v>1.86304555330463</v>
      </c>
      <c r="R39" s="6">
        <v>43.267080459574998</v>
      </c>
      <c r="S39" s="6">
        <v>42.876356914328902</v>
      </c>
      <c r="T39" s="6">
        <v>42.903156360983203</v>
      </c>
      <c r="U39" s="7">
        <v>9.45308929134165E-3</v>
      </c>
      <c r="V39" s="7">
        <v>3.81563087493768E-4</v>
      </c>
      <c r="W39" s="7">
        <v>1.00640803013887E-3</v>
      </c>
      <c r="X39" s="8">
        <v>1.8579609247322</v>
      </c>
      <c r="Y39" s="8">
        <v>1.8658943630327001</v>
      </c>
      <c r="Z39" s="8">
        <v>1.8581808928363901</v>
      </c>
      <c r="AA39" s="8">
        <v>1.86024459780611</v>
      </c>
      <c r="AB39" s="6">
        <v>43.043010934747301</v>
      </c>
      <c r="AC39" s="6">
        <v>42.876251126402998</v>
      </c>
      <c r="AD39" s="6">
        <v>42.913457008419698</v>
      </c>
      <c r="AE39" s="7">
        <v>4.2608800235903596E-3</v>
      </c>
      <c r="AF39" s="7">
        <v>3.7909580566453999E-4</v>
      </c>
      <c r="AG39" s="7">
        <v>1.24646988020579E-3</v>
      </c>
      <c r="AZ39" s="23"/>
      <c r="BB39" s="12">
        <f t="shared" si="6"/>
        <v>0</v>
      </c>
      <c r="BC39" s="12">
        <f t="shared" si="7"/>
        <v>1</v>
      </c>
      <c r="BD39" s="12">
        <f t="shared" si="8"/>
        <v>0</v>
      </c>
      <c r="BE39" s="12">
        <f t="shared" si="4"/>
        <v>1</v>
      </c>
      <c r="BF39" s="12">
        <f t="shared" si="9"/>
        <v>0</v>
      </c>
      <c r="BG39" s="23">
        <f t="shared" si="10"/>
        <v>0</v>
      </c>
      <c r="BH39" s="23">
        <f t="shared" si="11"/>
        <v>0</v>
      </c>
      <c r="BI39" s="23">
        <f t="shared" si="12"/>
        <v>0</v>
      </c>
      <c r="BJ39" s="18">
        <f t="shared" si="13"/>
        <v>4.9497787580189013E-3</v>
      </c>
      <c r="BL39" s="23"/>
      <c r="BN39" s="12">
        <f t="shared" si="14"/>
        <v>0</v>
      </c>
      <c r="BO39" s="12">
        <f t="shared" si="15"/>
        <v>0</v>
      </c>
      <c r="BP39" s="12">
        <f t="shared" si="16"/>
        <v>1</v>
      </c>
      <c r="BQ39" s="12">
        <f t="shared" si="5"/>
        <v>1</v>
      </c>
      <c r="BR39" s="12">
        <f t="shared" si="17"/>
        <v>1</v>
      </c>
      <c r="BS39" s="23">
        <f t="shared" si="18"/>
        <v>-2.1734414119842301E-3</v>
      </c>
      <c r="BT39" s="23">
        <f t="shared" si="19"/>
        <v>1.16726988857624E-3</v>
      </c>
      <c r="BU39" s="23">
        <f t="shared" si="20"/>
        <v>-1.0061715234079901E-3</v>
      </c>
      <c r="BV39" s="18">
        <f t="shared" si="21"/>
        <v>4.0189069281060053E-3</v>
      </c>
      <c r="BX39" s="18">
        <f t="shared" si="22"/>
        <v>-1.0061715234079901E-3</v>
      </c>
      <c r="BY39" s="18">
        <f t="shared" si="23"/>
        <v>8.9686856861249057E-3</v>
      </c>
    </row>
    <row r="40" spans="1:98" x14ac:dyDescent="0.3">
      <c r="A40" s="1">
        <v>46080</v>
      </c>
      <c r="B40" s="6">
        <v>23.03</v>
      </c>
      <c r="C40" s="6">
        <v>42.99</v>
      </c>
      <c r="D40" s="7">
        <v>0</v>
      </c>
      <c r="E40" s="7">
        <v>3.02854046275921E-3</v>
      </c>
      <c r="F40" s="6">
        <v>0</v>
      </c>
      <c r="G40" s="6">
        <v>3.8300000000000001E-2</v>
      </c>
      <c r="H40" s="6">
        <v>0</v>
      </c>
      <c r="I40" s="6">
        <v>0</v>
      </c>
      <c r="J40" s="6">
        <v>3.8300000000000001E-2</v>
      </c>
      <c r="K40" s="6">
        <v>0</v>
      </c>
      <c r="L40" s="6">
        <v>23.068300000000001</v>
      </c>
      <c r="M40" s="6">
        <v>42.99</v>
      </c>
      <c r="N40" s="8">
        <v>1.8666956144159701</v>
      </c>
      <c r="O40" s="8">
        <v>1.8787268979407299</v>
      </c>
      <c r="P40" s="8">
        <v>1.86183337182304</v>
      </c>
      <c r="Q40" s="8">
        <v>1.8632093901367801</v>
      </c>
      <c r="R40" s="6">
        <v>43.267080459574998</v>
      </c>
      <c r="S40" s="6">
        <v>42.865161441973598</v>
      </c>
      <c r="T40" s="6">
        <v>42.905939092605699</v>
      </c>
      <c r="U40" s="7">
        <v>6.4245488285823498E-3</v>
      </c>
      <c r="V40" s="7">
        <v>-2.9081220956644598E-3</v>
      </c>
      <c r="W40" s="7">
        <v>-1.95727376912555E-3</v>
      </c>
      <c r="X40" s="8">
        <v>1.86359636384128</v>
      </c>
      <c r="Y40" s="8">
        <v>1.8658943630327001</v>
      </c>
      <c r="Z40" s="8">
        <v>1.8587382820879299</v>
      </c>
      <c r="AA40" s="8">
        <v>1.8602534721095201</v>
      </c>
      <c r="AB40" s="6">
        <v>43.043010934747301</v>
      </c>
      <c r="AC40" s="6">
        <v>42.865074290217798</v>
      </c>
      <c r="AD40" s="6">
        <v>42.912680455570701</v>
      </c>
      <c r="AE40" s="7">
        <v>1.2323395608310899E-3</v>
      </c>
      <c r="AF40" s="7">
        <v>-2.9101552582944498E-3</v>
      </c>
      <c r="AG40" s="7">
        <v>-1.8001665349528201E-3</v>
      </c>
      <c r="AZ40" s="23"/>
      <c r="BB40" s="12">
        <f t="shared" si="6"/>
        <v>0</v>
      </c>
      <c r="BC40" s="12">
        <f t="shared" si="7"/>
        <v>0</v>
      </c>
      <c r="BD40" s="12">
        <f t="shared" si="8"/>
        <v>0</v>
      </c>
      <c r="BE40" s="12">
        <f t="shared" si="4"/>
        <v>0</v>
      </c>
      <c r="BF40" s="12">
        <f t="shared" si="9"/>
        <v>0</v>
      </c>
      <c r="BG40" s="23">
        <f t="shared" si="10"/>
        <v>0</v>
      </c>
      <c r="BH40" s="23">
        <f t="shared" si="11"/>
        <v>0</v>
      </c>
      <c r="BI40" s="23">
        <f t="shared" si="12"/>
        <v>0</v>
      </c>
      <c r="BJ40" s="18">
        <f t="shared" si="13"/>
        <v>4.9497787580189013E-3</v>
      </c>
      <c r="BL40" s="23"/>
      <c r="BN40" s="12">
        <f t="shared" si="14"/>
        <v>0</v>
      </c>
      <c r="BO40" s="12">
        <f t="shared" si="15"/>
        <v>1</v>
      </c>
      <c r="BP40" s="12">
        <f t="shared" si="16"/>
        <v>1</v>
      </c>
      <c r="BQ40" s="12">
        <f t="shared" si="5"/>
        <v>0</v>
      </c>
      <c r="BR40" s="12">
        <f t="shared" si="17"/>
        <v>1</v>
      </c>
      <c r="BS40" s="23">
        <f t="shared" si="18"/>
        <v>0</v>
      </c>
      <c r="BT40" s="23">
        <f t="shared" si="19"/>
        <v>3.02854046275921E-3</v>
      </c>
      <c r="BU40" s="23">
        <f t="shared" si="20"/>
        <v>3.02854046275921E-3</v>
      </c>
      <c r="BV40" s="18">
        <f t="shared" si="21"/>
        <v>7.0474473908652153E-3</v>
      </c>
      <c r="BX40" s="18">
        <f t="shared" si="22"/>
        <v>3.02854046275921E-3</v>
      </c>
      <c r="BY40" s="18">
        <f t="shared" si="23"/>
        <v>1.1997226148884117E-2</v>
      </c>
    </row>
    <row r="41" spans="1:98" x14ac:dyDescent="0.3">
      <c r="A41" s="1">
        <v>46083</v>
      </c>
      <c r="B41" s="6">
        <v>22.72</v>
      </c>
      <c r="C41" s="6">
        <v>42.49</v>
      </c>
      <c r="D41" s="7">
        <v>-1.35521199796432E-2</v>
      </c>
      <c r="E41" s="7">
        <v>-1.16987763814699E-2</v>
      </c>
      <c r="F41" s="6">
        <v>4.1000000000000002E-2</v>
      </c>
      <c r="G41" s="6">
        <v>7.9299999999999995E-2</v>
      </c>
      <c r="H41" s="6">
        <v>0</v>
      </c>
      <c r="I41" s="6">
        <v>0</v>
      </c>
      <c r="J41" s="6">
        <v>7.9299999999999995E-2</v>
      </c>
      <c r="K41" s="6">
        <v>0</v>
      </c>
      <c r="L41" s="6">
        <v>22.799299999999999</v>
      </c>
      <c r="M41" s="6">
        <v>42.49</v>
      </c>
      <c r="N41" s="8">
        <v>1.8701584507042199</v>
      </c>
      <c r="O41" s="8">
        <v>1.8787268979407299</v>
      </c>
      <c r="P41" s="8">
        <v>1.86280069003038</v>
      </c>
      <c r="Q41" s="8">
        <v>1.8638758065423899</v>
      </c>
      <c r="R41" s="6">
        <v>42.684675121213402</v>
      </c>
      <c r="S41" s="6">
        <v>42.300854207819597</v>
      </c>
      <c r="T41" s="6">
        <v>42.332117343907697</v>
      </c>
      <c r="U41" s="7">
        <v>4.5712052304089099E-3</v>
      </c>
      <c r="V41" s="7">
        <v>-4.46147424009597E-3</v>
      </c>
      <c r="W41" s="7">
        <v>-3.7226809084444099E-3</v>
      </c>
      <c r="X41" s="8">
        <v>1.8636537086664899</v>
      </c>
      <c r="Y41" s="8">
        <v>1.8658943630327001</v>
      </c>
      <c r="Z41" s="8">
        <v>1.8593633519809001</v>
      </c>
      <c r="AA41" s="8">
        <v>1.8605946514132501</v>
      </c>
      <c r="AB41" s="6">
        <v>42.541085351091503</v>
      </c>
      <c r="AC41" s="6">
        <v>42.377931714807502</v>
      </c>
      <c r="AD41" s="6">
        <v>42.412476986666697</v>
      </c>
      <c r="AE41" s="7">
        <v>1.2015689797887799E-3</v>
      </c>
      <c r="AF41" s="7">
        <v>-2.6410058090709301E-3</v>
      </c>
      <c r="AG41" s="7">
        <v>-1.82616662384556E-3</v>
      </c>
      <c r="AZ41" s="23"/>
      <c r="BB41" s="12">
        <f t="shared" si="6"/>
        <v>0</v>
      </c>
      <c r="BC41" s="12">
        <f t="shared" si="7"/>
        <v>0</v>
      </c>
      <c r="BD41" s="12">
        <f t="shared" si="8"/>
        <v>0</v>
      </c>
      <c r="BE41" s="12">
        <f t="shared" si="4"/>
        <v>1</v>
      </c>
      <c r="BF41" s="12">
        <f t="shared" si="9"/>
        <v>0</v>
      </c>
      <c r="BG41" s="23">
        <f t="shared" si="10"/>
        <v>0</v>
      </c>
      <c r="BH41" s="23">
        <f t="shared" si="11"/>
        <v>0</v>
      </c>
      <c r="BI41" s="23">
        <f t="shared" si="12"/>
        <v>0</v>
      </c>
      <c r="BJ41" s="18">
        <f t="shared" si="13"/>
        <v>4.9497787580189013E-3</v>
      </c>
      <c r="BL41" s="23"/>
      <c r="BN41" s="12">
        <f t="shared" si="14"/>
        <v>0</v>
      </c>
      <c r="BO41" s="12">
        <f t="shared" si="15"/>
        <v>1</v>
      </c>
      <c r="BP41" s="12">
        <f t="shared" si="16"/>
        <v>0</v>
      </c>
      <c r="BQ41" s="12">
        <f t="shared" si="5"/>
        <v>1</v>
      </c>
      <c r="BR41" s="12">
        <f t="shared" si="17"/>
        <v>0</v>
      </c>
      <c r="BS41" s="23">
        <f t="shared" si="18"/>
        <v>0</v>
      </c>
      <c r="BT41" s="23">
        <f t="shared" si="19"/>
        <v>0</v>
      </c>
      <c r="BU41" s="23">
        <f t="shared" si="20"/>
        <v>0</v>
      </c>
      <c r="BV41" s="18">
        <f t="shared" si="21"/>
        <v>7.0474473908652153E-3</v>
      </c>
      <c r="BX41" s="18">
        <f t="shared" si="22"/>
        <v>0</v>
      </c>
      <c r="BY41" s="18">
        <f t="shared" si="23"/>
        <v>1.1997226148884117E-2</v>
      </c>
    </row>
    <row r="42" spans="1:98" x14ac:dyDescent="0.3">
      <c r="A42" s="1">
        <v>46084</v>
      </c>
      <c r="B42" s="6">
        <v>22.49</v>
      </c>
      <c r="C42" s="6">
        <v>42.13</v>
      </c>
      <c r="D42" s="7">
        <v>-1.01748278817263E-2</v>
      </c>
      <c r="E42" s="7">
        <v>-8.5086781357950302E-3</v>
      </c>
      <c r="F42" s="6">
        <v>0</v>
      </c>
      <c r="G42" s="6">
        <v>7.9299999999999995E-2</v>
      </c>
      <c r="H42" s="6">
        <v>0</v>
      </c>
      <c r="I42" s="6">
        <v>0</v>
      </c>
      <c r="J42" s="6">
        <v>7.9299999999999995E-2</v>
      </c>
      <c r="K42" s="6">
        <v>0</v>
      </c>
      <c r="L42" s="6">
        <v>22.569299999999998</v>
      </c>
      <c r="M42" s="6">
        <v>42.13</v>
      </c>
      <c r="N42" s="8">
        <v>1.8732770120053299</v>
      </c>
      <c r="O42" s="8">
        <v>1.8787268979407299</v>
      </c>
      <c r="P42" s="8">
        <v>1.86386918013425</v>
      </c>
      <c r="Q42" s="8">
        <v>1.8645030771514799</v>
      </c>
      <c r="R42" s="6">
        <v>42.252567934687001</v>
      </c>
      <c r="S42" s="6">
        <v>41.894387518783297</v>
      </c>
      <c r="T42" s="6">
        <v>41.918566889138503</v>
      </c>
      <c r="U42" s="7">
        <v>2.9050554844775802E-3</v>
      </c>
      <c r="V42" s="7">
        <v>-5.6082074672381696E-3</v>
      </c>
      <c r="W42" s="7">
        <v>-5.0312233674215303E-3</v>
      </c>
      <c r="X42" s="8">
        <v>1.8666950237712201</v>
      </c>
      <c r="Y42" s="8">
        <v>1.8658943630327001</v>
      </c>
      <c r="Z42" s="8">
        <v>1.86008235172477</v>
      </c>
      <c r="AA42" s="8">
        <v>1.86104960076885</v>
      </c>
      <c r="AB42" s="6">
        <v>42.111929647594003</v>
      </c>
      <c r="AC42" s="6">
        <v>41.964529299862498</v>
      </c>
      <c r="AD42" s="6">
        <v>41.992318866141098</v>
      </c>
      <c r="AE42" s="7">
        <v>-4.2901089181424698E-4</v>
      </c>
      <c r="AF42" s="7">
        <v>-3.9353550122473704E-3</v>
      </c>
      <c r="AG42" s="7">
        <v>-3.2733585723960499E-3</v>
      </c>
      <c r="AZ42" s="23"/>
      <c r="BB42" s="12">
        <f t="shared" si="6"/>
        <v>1</v>
      </c>
      <c r="BC42" s="12">
        <f t="shared" si="7"/>
        <v>0</v>
      </c>
      <c r="BD42" s="12">
        <f t="shared" si="8"/>
        <v>0</v>
      </c>
      <c r="BE42" s="12">
        <f t="shared" si="4"/>
        <v>1</v>
      </c>
      <c r="BF42" s="12">
        <f t="shared" si="9"/>
        <v>0</v>
      </c>
      <c r="BG42" s="23">
        <f t="shared" si="10"/>
        <v>0</v>
      </c>
      <c r="BH42" s="23">
        <f t="shared" si="11"/>
        <v>0</v>
      </c>
      <c r="BI42" s="23">
        <f t="shared" si="12"/>
        <v>0</v>
      </c>
      <c r="BJ42" s="18">
        <f t="shared" si="13"/>
        <v>4.9497787580189013E-3</v>
      </c>
      <c r="BL42" s="23"/>
      <c r="BN42" s="12">
        <f t="shared" si="14"/>
        <v>0</v>
      </c>
      <c r="BO42" s="12">
        <f t="shared" si="15"/>
        <v>1</v>
      </c>
      <c r="BP42" s="12">
        <f t="shared" si="16"/>
        <v>0</v>
      </c>
      <c r="BQ42" s="12">
        <f t="shared" si="5"/>
        <v>1</v>
      </c>
      <c r="BR42" s="12">
        <f t="shared" si="17"/>
        <v>0</v>
      </c>
      <c r="BS42" s="23">
        <f t="shared" si="18"/>
        <v>0</v>
      </c>
      <c r="BT42" s="23">
        <f t="shared" si="19"/>
        <v>0</v>
      </c>
      <c r="BU42" s="23">
        <f t="shared" si="20"/>
        <v>0</v>
      </c>
      <c r="BV42" s="18">
        <f t="shared" si="21"/>
        <v>7.0474473908652153E-3</v>
      </c>
      <c r="BX42" s="18">
        <f t="shared" si="22"/>
        <v>0</v>
      </c>
      <c r="BY42" s="18">
        <f t="shared" si="23"/>
        <v>1.1997226148884117E-2</v>
      </c>
    </row>
    <row r="43" spans="1:98" x14ac:dyDescent="0.3">
      <c r="A43" s="1">
        <v>46085</v>
      </c>
      <c r="B43" s="6">
        <v>22.57</v>
      </c>
      <c r="C43" s="6">
        <v>42.22</v>
      </c>
      <c r="D43" s="7">
        <v>3.5508248582200902E-3</v>
      </c>
      <c r="E43" s="7">
        <v>2.1339664292492999E-3</v>
      </c>
      <c r="F43" s="6">
        <v>0</v>
      </c>
      <c r="G43" s="6">
        <v>7.9299999999999995E-2</v>
      </c>
      <c r="H43" s="6">
        <v>0</v>
      </c>
      <c r="I43" s="6">
        <v>0</v>
      </c>
      <c r="J43" s="6">
        <v>7.9299999999999995E-2</v>
      </c>
      <c r="K43" s="6">
        <v>0</v>
      </c>
      <c r="L43" s="6">
        <v>22.6493</v>
      </c>
      <c r="M43" s="6">
        <v>42.22</v>
      </c>
      <c r="N43" s="8">
        <v>1.8706247230837301</v>
      </c>
      <c r="O43" s="8">
        <v>1.8787268979407299</v>
      </c>
      <c r="P43" s="8">
        <v>1.8648435582428899</v>
      </c>
      <c r="Q43" s="8">
        <v>1.86468629568452</v>
      </c>
      <c r="R43" s="6">
        <v>42.402866086522302</v>
      </c>
      <c r="S43" s="6">
        <v>42.067527395630101</v>
      </c>
      <c r="T43" s="6">
        <v>42.0818344513089</v>
      </c>
      <c r="U43" s="7">
        <v>4.3219139134484802E-3</v>
      </c>
      <c r="V43" s="7">
        <v>-3.6179201216336898E-3</v>
      </c>
      <c r="W43" s="7">
        <v>-3.2778805657152602E-3</v>
      </c>
      <c r="X43" s="8">
        <v>1.8640752694343701</v>
      </c>
      <c r="Y43" s="8">
        <v>1.8658943630327001</v>
      </c>
      <c r="Z43" s="8">
        <v>1.86071208928022</v>
      </c>
      <c r="AA43" s="8">
        <v>1.8610625804088901</v>
      </c>
      <c r="AB43" s="6">
        <v>42.261201196636598</v>
      </c>
      <c r="AC43" s="6">
        <v>42.129563208919798</v>
      </c>
      <c r="AD43" s="6">
        <v>42.1514707226941</v>
      </c>
      <c r="AE43" s="7">
        <v>9.7539332584282404E-4</v>
      </c>
      <c r="AF43" s="7">
        <v>-2.1443341801260099E-3</v>
      </c>
      <c r="AG43" s="7">
        <v>-1.6244659904343199E-3</v>
      </c>
      <c r="AZ43" s="23"/>
      <c r="BB43" s="12">
        <f t="shared" si="6"/>
        <v>0</v>
      </c>
      <c r="BC43" s="12">
        <f t="shared" si="7"/>
        <v>0</v>
      </c>
      <c r="BD43" s="12">
        <f t="shared" si="8"/>
        <v>1</v>
      </c>
      <c r="BE43" s="12">
        <f t="shared" si="4"/>
        <v>1</v>
      </c>
      <c r="BF43" s="12">
        <f t="shared" si="9"/>
        <v>1</v>
      </c>
      <c r="BG43" s="23">
        <f t="shared" si="10"/>
        <v>3.5508248582200902E-3</v>
      </c>
      <c r="BH43" s="23">
        <f t="shared" si="11"/>
        <v>-2.1339664292492999E-3</v>
      </c>
      <c r="BI43" s="23">
        <f t="shared" si="12"/>
        <v>1.4168584289707903E-3</v>
      </c>
      <c r="BJ43" s="18">
        <f t="shared" si="13"/>
        <v>6.3666371869896916E-3</v>
      </c>
      <c r="BL43" s="23"/>
      <c r="BN43" s="12">
        <f t="shared" si="14"/>
        <v>0</v>
      </c>
      <c r="BO43" s="12">
        <f t="shared" si="15"/>
        <v>1</v>
      </c>
      <c r="BP43" s="12">
        <f t="shared" si="16"/>
        <v>0</v>
      </c>
      <c r="BQ43" s="12">
        <f t="shared" si="5"/>
        <v>1</v>
      </c>
      <c r="BR43" s="12">
        <f t="shared" si="17"/>
        <v>0</v>
      </c>
      <c r="BS43" s="23">
        <f t="shared" si="18"/>
        <v>0</v>
      </c>
      <c r="BT43" s="23">
        <f t="shared" si="19"/>
        <v>0</v>
      </c>
      <c r="BU43" s="23">
        <f t="shared" si="20"/>
        <v>0</v>
      </c>
      <c r="BV43" s="18">
        <f t="shared" si="21"/>
        <v>7.0474473908652153E-3</v>
      </c>
      <c r="BX43" s="18">
        <f t="shared" si="22"/>
        <v>1.4168584289707903E-3</v>
      </c>
      <c r="BY43" s="18">
        <f t="shared" si="23"/>
        <v>1.3414084577854906E-2</v>
      </c>
    </row>
    <row r="44" spans="1:98" x14ac:dyDescent="0.3">
      <c r="A44" s="1">
        <v>46086</v>
      </c>
      <c r="B44" s="6">
        <v>22.4</v>
      </c>
      <c r="C44" s="6">
        <v>41.88</v>
      </c>
      <c r="D44" s="7">
        <v>-7.5606319684501898E-3</v>
      </c>
      <c r="E44" s="7">
        <v>-8.0856564178383699E-3</v>
      </c>
      <c r="F44" s="6">
        <v>0</v>
      </c>
      <c r="G44" s="6">
        <v>7.9299999999999995E-2</v>
      </c>
      <c r="H44" s="6">
        <v>0</v>
      </c>
      <c r="I44" s="6">
        <v>0</v>
      </c>
      <c r="J44" s="6">
        <v>7.9299999999999995E-2</v>
      </c>
      <c r="K44" s="6">
        <v>0</v>
      </c>
      <c r="L44" s="6">
        <v>22.479299999999999</v>
      </c>
      <c r="M44" s="6">
        <v>41.88</v>
      </c>
      <c r="N44" s="8">
        <v>1.8696428571428501</v>
      </c>
      <c r="O44" s="8">
        <v>1.8787268979407299</v>
      </c>
      <c r="P44" s="8">
        <v>1.86563855948946</v>
      </c>
      <c r="Q44" s="8">
        <v>1.8648159650434299</v>
      </c>
      <c r="R44" s="6">
        <v>42.083482513872298</v>
      </c>
      <c r="S44" s="6">
        <v>41.772495704640697</v>
      </c>
      <c r="T44" s="6">
        <v>41.768973023333203</v>
      </c>
      <c r="U44" s="7">
        <v>4.8469383628367098E-3</v>
      </c>
      <c r="V44" s="7">
        <v>-2.57026054362007E-3</v>
      </c>
      <c r="W44" s="7">
        <v>-2.65459426107065E-3</v>
      </c>
      <c r="X44" s="8">
        <v>1.8630473368832601</v>
      </c>
      <c r="Y44" s="8">
        <v>1.8658943630327001</v>
      </c>
      <c r="Z44" s="8">
        <v>1.86115811391779</v>
      </c>
      <c r="AA44" s="8">
        <v>1.86102013106313</v>
      </c>
      <c r="AB44" s="6">
        <v>41.943999154921002</v>
      </c>
      <c r="AC44" s="6">
        <v>41.827505268556898</v>
      </c>
      <c r="AD44" s="6">
        <v>41.835384063785597</v>
      </c>
      <c r="AE44" s="7">
        <v>1.5269891201048001E-3</v>
      </c>
      <c r="AF44" s="7">
        <v>-1.2542420934976001E-3</v>
      </c>
      <c r="AG44" s="7">
        <v>-1.06589585504386E-3</v>
      </c>
      <c r="AZ44" s="23"/>
      <c r="BB44" s="12">
        <f t="shared" si="6"/>
        <v>0</v>
      </c>
      <c r="BC44" s="12">
        <f t="shared" si="7"/>
        <v>0</v>
      </c>
      <c r="BD44" s="12">
        <f t="shared" si="8"/>
        <v>1</v>
      </c>
      <c r="BE44" s="12">
        <f t="shared" si="4"/>
        <v>1</v>
      </c>
      <c r="BF44" s="12">
        <f t="shared" si="9"/>
        <v>1</v>
      </c>
      <c r="BG44" s="23">
        <f t="shared" si="10"/>
        <v>-7.5606319684501898E-3</v>
      </c>
      <c r="BH44" s="23">
        <f t="shared" si="11"/>
        <v>8.0856564178383699E-3</v>
      </c>
      <c r="BI44" s="23">
        <f t="shared" si="12"/>
        <v>5.2502444938818012E-4</v>
      </c>
      <c r="BJ44" s="18">
        <f t="shared" si="13"/>
        <v>6.8916616363778717E-3</v>
      </c>
      <c r="BL44" s="23"/>
      <c r="BN44" s="12">
        <f t="shared" si="14"/>
        <v>0</v>
      </c>
      <c r="BO44" s="12">
        <f t="shared" si="15"/>
        <v>1</v>
      </c>
      <c r="BP44" s="12">
        <f t="shared" si="16"/>
        <v>0</v>
      </c>
      <c r="BQ44" s="12">
        <f t="shared" si="5"/>
        <v>1</v>
      </c>
      <c r="BR44" s="12">
        <f t="shared" si="17"/>
        <v>0</v>
      </c>
      <c r="BS44" s="23">
        <f t="shared" si="18"/>
        <v>0</v>
      </c>
      <c r="BT44" s="23">
        <f t="shared" si="19"/>
        <v>0</v>
      </c>
      <c r="BU44" s="23">
        <f t="shared" si="20"/>
        <v>0</v>
      </c>
      <c r="BV44" s="18">
        <f t="shared" si="21"/>
        <v>7.0474473908652153E-3</v>
      </c>
      <c r="BX44" s="18">
        <f t="shared" si="22"/>
        <v>5.2502444938818012E-4</v>
      </c>
      <c r="BY44" s="18">
        <f t="shared" si="23"/>
        <v>1.3939109027243086E-2</v>
      </c>
    </row>
    <row r="45" spans="1:98" x14ac:dyDescent="0.3">
      <c r="A45" s="1">
        <v>46087</v>
      </c>
      <c r="B45" s="6">
        <v>22.36</v>
      </c>
      <c r="C45" s="6">
        <v>41.83</v>
      </c>
      <c r="D45" s="7">
        <v>-1.78731057409575E-3</v>
      </c>
      <c r="E45" s="7">
        <v>-1.19460054822917E-3</v>
      </c>
      <c r="F45" s="6">
        <v>0</v>
      </c>
      <c r="G45" s="6">
        <v>7.9299999999999995E-2</v>
      </c>
      <c r="H45" s="6">
        <v>0</v>
      </c>
      <c r="I45" s="6">
        <v>0</v>
      </c>
      <c r="J45" s="6">
        <v>7.9299999999999995E-2</v>
      </c>
      <c r="K45" s="6">
        <v>0</v>
      </c>
      <c r="L45" s="6">
        <v>22.439299999999999</v>
      </c>
      <c r="M45" s="6">
        <v>41.83</v>
      </c>
      <c r="N45" s="8">
        <v>1.87075134168157</v>
      </c>
      <c r="O45" s="8">
        <v>1.8787268979407299</v>
      </c>
      <c r="P45" s="8">
        <v>1.8661894895581801</v>
      </c>
      <c r="Q45" s="8">
        <v>1.86519982188016</v>
      </c>
      <c r="R45" s="6">
        <v>42.008333437954697</v>
      </c>
      <c r="S45" s="6">
        <v>41.715678190184398</v>
      </c>
      <c r="T45" s="6">
        <v>41.697284978371101</v>
      </c>
      <c r="U45" s="7">
        <v>4.2542283369700297E-3</v>
      </c>
      <c r="V45" s="7">
        <v>-2.7367515267370402E-3</v>
      </c>
      <c r="W45" s="7">
        <v>-3.17776720134425E-3</v>
      </c>
      <c r="X45" s="8">
        <v>1.86414014697428</v>
      </c>
      <c r="Y45" s="8">
        <v>1.8658943630327001</v>
      </c>
      <c r="Z45" s="8">
        <v>1.8613589565476301</v>
      </c>
      <c r="AA45" s="8">
        <v>1.86123074979365</v>
      </c>
      <c r="AB45" s="6">
        <v>41.869363380399697</v>
      </c>
      <c r="AC45" s="6">
        <v>41.763085265635503</v>
      </c>
      <c r="AD45" s="6">
        <v>41.759989026964902</v>
      </c>
      <c r="AE45" s="7">
        <v>9.4058978974490199E-4</v>
      </c>
      <c r="AF45" s="7">
        <v>-1.60096372670378E-3</v>
      </c>
      <c r="AG45" s="7">
        <v>-1.6751046440083501E-3</v>
      </c>
      <c r="AZ45" s="23"/>
      <c r="BB45" s="12">
        <f t="shared" si="6"/>
        <v>0</v>
      </c>
      <c r="BC45" s="12">
        <f t="shared" si="7"/>
        <v>0</v>
      </c>
      <c r="BD45" s="12">
        <f t="shared" si="8"/>
        <v>1</v>
      </c>
      <c r="BE45" s="12">
        <f t="shared" si="4"/>
        <v>1</v>
      </c>
      <c r="BF45" s="12">
        <f t="shared" si="9"/>
        <v>1</v>
      </c>
      <c r="BG45" s="23">
        <f t="shared" si="10"/>
        <v>-1.78731057409575E-3</v>
      </c>
      <c r="BH45" s="23">
        <f t="shared" si="11"/>
        <v>1.19460054822917E-3</v>
      </c>
      <c r="BI45" s="23">
        <f t="shared" si="12"/>
        <v>-5.9271002586657991E-4</v>
      </c>
      <c r="BJ45" s="18">
        <f t="shared" si="13"/>
        <v>6.2989516105112914E-3</v>
      </c>
      <c r="BL45" s="23"/>
      <c r="BN45" s="12">
        <f t="shared" si="14"/>
        <v>0</v>
      </c>
      <c r="BO45" s="12">
        <f t="shared" si="15"/>
        <v>1</v>
      </c>
      <c r="BP45" s="12">
        <f t="shared" si="16"/>
        <v>0</v>
      </c>
      <c r="BQ45" s="12">
        <f t="shared" si="5"/>
        <v>1</v>
      </c>
      <c r="BR45" s="12">
        <f t="shared" si="17"/>
        <v>0</v>
      </c>
      <c r="BS45" s="23">
        <f t="shared" si="18"/>
        <v>0</v>
      </c>
      <c r="BT45" s="23">
        <f t="shared" si="19"/>
        <v>0</v>
      </c>
      <c r="BU45" s="23">
        <f t="shared" si="20"/>
        <v>0</v>
      </c>
      <c r="BV45" s="18">
        <f t="shared" si="21"/>
        <v>7.0474473908652153E-3</v>
      </c>
      <c r="BX45" s="18">
        <f t="shared" si="22"/>
        <v>-5.9271002586657991E-4</v>
      </c>
      <c r="BY45" s="18">
        <f t="shared" si="23"/>
        <v>1.3346399001376507E-2</v>
      </c>
    </row>
    <row r="46" spans="1:98" x14ac:dyDescent="0.3">
      <c r="A46" s="1">
        <v>46090</v>
      </c>
      <c r="B46" s="6">
        <v>22.41</v>
      </c>
      <c r="C46" s="6">
        <v>41.84</v>
      </c>
      <c r="D46" s="7">
        <v>2.2336395259372E-3</v>
      </c>
      <c r="E46" s="7">
        <v>2.3903430256047499E-4</v>
      </c>
      <c r="F46" s="6">
        <v>0</v>
      </c>
      <c r="G46" s="6">
        <v>7.9299999999999995E-2</v>
      </c>
      <c r="H46" s="6">
        <v>0</v>
      </c>
      <c r="I46" s="6">
        <v>0</v>
      </c>
      <c r="J46" s="6">
        <v>7.9299999999999995E-2</v>
      </c>
      <c r="K46" s="6">
        <v>0</v>
      </c>
      <c r="L46" s="6">
        <v>22.4893</v>
      </c>
      <c r="M46" s="6">
        <v>41.84</v>
      </c>
      <c r="N46" s="8">
        <v>1.8670236501561801</v>
      </c>
      <c r="O46" s="8">
        <v>1.8787268979407299</v>
      </c>
      <c r="P46" s="8">
        <v>1.86712178949788</v>
      </c>
      <c r="Q46" s="8">
        <v>1.8651647610017199</v>
      </c>
      <c r="R46" s="6">
        <v>42.102269782851799</v>
      </c>
      <c r="S46" s="6">
        <v>41.821306460998898</v>
      </c>
      <c r="T46" s="6">
        <v>41.7991280083343</v>
      </c>
      <c r="U46" s="7">
        <v>6.2488335603468103E-3</v>
      </c>
      <c r="V46" s="7">
        <v>-4.4688614373572202E-4</v>
      </c>
      <c r="W46" s="7">
        <v>-9.7734148818329593E-4</v>
      </c>
      <c r="X46" s="8">
        <v>1.86044029827518</v>
      </c>
      <c r="Y46" s="8">
        <v>1.8658943630327001</v>
      </c>
      <c r="Z46" s="8">
        <v>1.8619410857588199</v>
      </c>
      <c r="AA46" s="8">
        <v>1.86102395797451</v>
      </c>
      <c r="AB46" s="6">
        <v>41.962658098551401</v>
      </c>
      <c r="AC46" s="6">
        <v>41.860659981486698</v>
      </c>
      <c r="AD46" s="6">
        <v>41.857776701334302</v>
      </c>
      <c r="AE46" s="7">
        <v>2.92731015755454E-3</v>
      </c>
      <c r="AF46" s="7">
        <v>4.93663536485034E-4</v>
      </c>
      <c r="AG46" s="7">
        <v>4.2478312572343999E-4</v>
      </c>
      <c r="AZ46" s="23"/>
      <c r="BB46" s="12">
        <f t="shared" si="6"/>
        <v>0</v>
      </c>
      <c r="BC46" s="12">
        <f t="shared" si="7"/>
        <v>1</v>
      </c>
      <c r="BD46" s="12">
        <f t="shared" si="8"/>
        <v>1</v>
      </c>
      <c r="BE46" s="12">
        <f t="shared" si="4"/>
        <v>1</v>
      </c>
      <c r="BF46" s="12">
        <f t="shared" si="9"/>
        <v>1</v>
      </c>
      <c r="BG46" s="23">
        <f t="shared" si="10"/>
        <v>2.2336395259372E-3</v>
      </c>
      <c r="BH46" s="23">
        <f t="shared" si="11"/>
        <v>-2.3903430256047499E-4</v>
      </c>
      <c r="BI46" s="23">
        <f t="shared" si="12"/>
        <v>1.9946052233767251E-3</v>
      </c>
      <c r="BJ46" s="18">
        <f t="shared" si="13"/>
        <v>8.2935568338880165E-3</v>
      </c>
      <c r="BL46" s="23"/>
      <c r="BN46" s="12">
        <f t="shared" si="14"/>
        <v>0</v>
      </c>
      <c r="BO46" s="12">
        <f t="shared" si="15"/>
        <v>0</v>
      </c>
      <c r="BP46" s="12">
        <f t="shared" si="16"/>
        <v>0</v>
      </c>
      <c r="BQ46" s="12">
        <f t="shared" si="5"/>
        <v>1</v>
      </c>
      <c r="BR46" s="12">
        <f t="shared" si="17"/>
        <v>0</v>
      </c>
      <c r="BS46" s="23">
        <f t="shared" si="18"/>
        <v>0</v>
      </c>
      <c r="BT46" s="23">
        <f t="shared" si="19"/>
        <v>0</v>
      </c>
      <c r="BU46" s="23">
        <f t="shared" si="20"/>
        <v>0</v>
      </c>
      <c r="BV46" s="18">
        <f t="shared" si="21"/>
        <v>7.0474473908652153E-3</v>
      </c>
      <c r="BX46" s="18">
        <f t="shared" si="22"/>
        <v>1.9946052233767251E-3</v>
      </c>
      <c r="BY46" s="18">
        <f t="shared" si="23"/>
        <v>1.5341004224753232E-2</v>
      </c>
    </row>
    <row r="47" spans="1:98" x14ac:dyDescent="0.3">
      <c r="A47" s="1">
        <v>46091</v>
      </c>
      <c r="B47" s="6">
        <v>22.39</v>
      </c>
      <c r="C47" s="6">
        <v>41.85</v>
      </c>
      <c r="D47" s="7">
        <v>-8.9285720217210701E-4</v>
      </c>
      <c r="E47" s="7">
        <v>2.3897717881686301E-4</v>
      </c>
      <c r="F47" s="6">
        <v>0</v>
      </c>
      <c r="G47" s="6">
        <v>7.9299999999999995E-2</v>
      </c>
      <c r="H47" s="6">
        <v>0</v>
      </c>
      <c r="I47" s="6">
        <v>0</v>
      </c>
      <c r="J47" s="6">
        <v>7.9299999999999995E-2</v>
      </c>
      <c r="K47" s="6">
        <v>0</v>
      </c>
      <c r="L47" s="6">
        <v>22.4693</v>
      </c>
      <c r="M47" s="6">
        <v>41.85</v>
      </c>
      <c r="N47" s="8">
        <v>1.8691380080393001</v>
      </c>
      <c r="O47" s="8">
        <v>1.8787268979407299</v>
      </c>
      <c r="P47" s="8">
        <v>1.8681286742513501</v>
      </c>
      <c r="Q47" s="8">
        <v>1.8651043596078001</v>
      </c>
      <c r="R47" s="6">
        <v>42.064695244892903</v>
      </c>
      <c r="S47" s="6">
        <v>41.804856866857598</v>
      </c>
      <c r="T47" s="6">
        <v>41.761038998828603</v>
      </c>
      <c r="U47" s="7">
        <v>5.1169991793576196E-3</v>
      </c>
      <c r="V47" s="7">
        <v>-1.0792711676315999E-3</v>
      </c>
      <c r="W47" s="7">
        <v>-2.12797343045936E-3</v>
      </c>
      <c r="X47" s="8">
        <v>1.86254133417596</v>
      </c>
      <c r="Y47" s="8">
        <v>1.8658943630327001</v>
      </c>
      <c r="Z47" s="8">
        <v>1.8625974981114599</v>
      </c>
      <c r="AA47" s="8">
        <v>1.86079034636441</v>
      </c>
      <c r="AB47" s="6">
        <v>41.925340211290703</v>
      </c>
      <c r="AC47" s="6">
        <v>41.836512838240701</v>
      </c>
      <c r="AD47" s="6">
        <v>41.815905618916602</v>
      </c>
      <c r="AE47" s="7">
        <v>1.7986255003331899E-3</v>
      </c>
      <c r="AF47" s="7">
        <v>-3.2232581854914398E-4</v>
      </c>
      <c r="AG47" s="7">
        <v>-8.1501258411907499E-4</v>
      </c>
      <c r="AZ47" s="23"/>
      <c r="BB47" s="12">
        <f t="shared" si="6"/>
        <v>0</v>
      </c>
      <c r="BC47" s="12">
        <f t="shared" si="7"/>
        <v>0</v>
      </c>
      <c r="BD47" s="12">
        <f t="shared" si="8"/>
        <v>0</v>
      </c>
      <c r="BE47" s="12">
        <f t="shared" si="4"/>
        <v>1</v>
      </c>
      <c r="BF47" s="12">
        <f t="shared" si="9"/>
        <v>0</v>
      </c>
      <c r="BG47" s="23">
        <f t="shared" si="10"/>
        <v>0</v>
      </c>
      <c r="BH47" s="23">
        <f t="shared" si="11"/>
        <v>0</v>
      </c>
      <c r="BI47" s="23">
        <f t="shared" si="12"/>
        <v>0</v>
      </c>
      <c r="BJ47" s="18">
        <f t="shared" si="13"/>
        <v>8.2935568338880165E-3</v>
      </c>
      <c r="BL47" s="23"/>
      <c r="BN47" s="12">
        <f t="shared" si="14"/>
        <v>0</v>
      </c>
      <c r="BO47" s="12">
        <f t="shared" si="15"/>
        <v>1</v>
      </c>
      <c r="BP47" s="12">
        <f t="shared" si="16"/>
        <v>0</v>
      </c>
      <c r="BQ47" s="12">
        <f t="shared" si="5"/>
        <v>1</v>
      </c>
      <c r="BR47" s="12">
        <f t="shared" si="17"/>
        <v>0</v>
      </c>
      <c r="BS47" s="23">
        <f t="shared" si="18"/>
        <v>0</v>
      </c>
      <c r="BT47" s="23">
        <f t="shared" si="19"/>
        <v>0</v>
      </c>
      <c r="BU47" s="23">
        <f t="shared" si="20"/>
        <v>0</v>
      </c>
      <c r="BV47" s="18">
        <f t="shared" si="21"/>
        <v>7.0474473908652153E-3</v>
      </c>
      <c r="BX47" s="18">
        <f t="shared" si="22"/>
        <v>0</v>
      </c>
      <c r="BY47" s="18">
        <f t="shared" si="23"/>
        <v>1.5341004224753232E-2</v>
      </c>
    </row>
    <row r="48" spans="1:98" x14ac:dyDescent="0.3">
      <c r="A48" s="1">
        <v>46092</v>
      </c>
      <c r="B48" s="6">
        <v>22.28</v>
      </c>
      <c r="C48" s="6">
        <v>41.52</v>
      </c>
      <c r="D48" s="7">
        <v>-4.9250155515801102E-3</v>
      </c>
      <c r="E48" s="7">
        <v>-7.9165580778511307E-3</v>
      </c>
      <c r="F48" s="6">
        <v>0</v>
      </c>
      <c r="G48" s="6">
        <v>7.9299999999999995E-2</v>
      </c>
      <c r="H48" s="6">
        <v>0</v>
      </c>
      <c r="I48" s="6">
        <v>0</v>
      </c>
      <c r="J48" s="6">
        <v>7.9299999999999995E-2</v>
      </c>
      <c r="K48" s="6">
        <v>0</v>
      </c>
      <c r="L48" s="6">
        <v>22.359300000000001</v>
      </c>
      <c r="M48" s="6">
        <v>41.52</v>
      </c>
      <c r="N48" s="8">
        <v>1.8635547576301601</v>
      </c>
      <c r="O48" s="8">
        <v>1.8787268979407299</v>
      </c>
      <c r="P48" s="8">
        <v>1.8681917218159401</v>
      </c>
      <c r="Q48" s="8">
        <v>1.8649763844496301</v>
      </c>
      <c r="R48" s="6">
        <v>41.858035286119502</v>
      </c>
      <c r="S48" s="6">
        <v>41.621906862320202</v>
      </c>
      <c r="T48" s="6">
        <v>41.554525132061897</v>
      </c>
      <c r="U48" s="7">
        <v>8.1085417056286999E-3</v>
      </c>
      <c r="V48" s="7">
        <v>2.4513970679504601E-3</v>
      </c>
      <c r="W48" s="7">
        <v>8.3118462596784397E-4</v>
      </c>
      <c r="X48" s="8">
        <v>1.85694543210207</v>
      </c>
      <c r="Y48" s="8">
        <v>1.8658943630327001</v>
      </c>
      <c r="Z48" s="8">
        <v>1.8623095838856301</v>
      </c>
      <c r="AA48" s="8">
        <v>1.86048749366776</v>
      </c>
      <c r="AB48" s="6">
        <v>41.720091831357102</v>
      </c>
      <c r="AC48" s="6">
        <v>41.646376239523697</v>
      </c>
      <c r="AD48" s="6">
        <v>41.605969591465801</v>
      </c>
      <c r="AE48" s="7">
        <v>4.8075924076348897E-3</v>
      </c>
      <c r="AF48" s="7">
        <v>3.0391209166082999E-3</v>
      </c>
      <c r="AG48" s="7">
        <v>2.0684179093255302E-3</v>
      </c>
      <c r="AZ48" s="23"/>
      <c r="BB48" s="12">
        <f t="shared" si="6"/>
        <v>0</v>
      </c>
      <c r="BC48" s="12">
        <f t="shared" si="7"/>
        <v>1</v>
      </c>
      <c r="BD48" s="12">
        <f t="shared" si="8"/>
        <v>0</v>
      </c>
      <c r="BE48" s="12">
        <f t="shared" si="4"/>
        <v>1</v>
      </c>
      <c r="BF48" s="12">
        <f t="shared" si="9"/>
        <v>0</v>
      </c>
      <c r="BG48" s="23">
        <f t="shared" si="10"/>
        <v>0</v>
      </c>
      <c r="BH48" s="23">
        <f t="shared" si="11"/>
        <v>0</v>
      </c>
      <c r="BI48" s="23">
        <f t="shared" si="12"/>
        <v>0</v>
      </c>
      <c r="BJ48" s="18">
        <f t="shared" si="13"/>
        <v>8.2935568338880165E-3</v>
      </c>
      <c r="BL48" s="23"/>
      <c r="BN48" s="12">
        <f t="shared" si="14"/>
        <v>1</v>
      </c>
      <c r="BO48" s="12">
        <f t="shared" si="15"/>
        <v>0</v>
      </c>
      <c r="BP48" s="12">
        <f t="shared" si="16"/>
        <v>0</v>
      </c>
      <c r="BQ48" s="12">
        <f t="shared" si="5"/>
        <v>1</v>
      </c>
      <c r="BR48" s="12">
        <f t="shared" si="17"/>
        <v>0</v>
      </c>
      <c r="BS48" s="23">
        <f t="shared" si="18"/>
        <v>0</v>
      </c>
      <c r="BT48" s="23">
        <f t="shared" si="19"/>
        <v>0</v>
      </c>
      <c r="BU48" s="23">
        <f t="shared" si="20"/>
        <v>0</v>
      </c>
      <c r="BV48" s="18">
        <f t="shared" si="21"/>
        <v>7.0474473908652153E-3</v>
      </c>
      <c r="BX48" s="18">
        <f t="shared" si="22"/>
        <v>0</v>
      </c>
      <c r="BY48" s="18">
        <f t="shared" si="23"/>
        <v>1.5341004224753232E-2</v>
      </c>
    </row>
    <row r="49" spans="1:77" x14ac:dyDescent="0.3">
      <c r="A49" s="1">
        <v>46093</v>
      </c>
      <c r="B49" s="6">
        <v>22.07</v>
      </c>
      <c r="C49" s="6">
        <v>41.21</v>
      </c>
      <c r="D49" s="7">
        <v>-9.4701947904383202E-3</v>
      </c>
      <c r="E49" s="7">
        <v>-7.4942935069072496E-3</v>
      </c>
      <c r="F49" s="6">
        <v>0</v>
      </c>
      <c r="G49" s="6">
        <v>7.9299999999999995E-2</v>
      </c>
      <c r="H49" s="6">
        <v>0</v>
      </c>
      <c r="I49" s="6">
        <v>0</v>
      </c>
      <c r="J49" s="6">
        <v>7.9299999999999995E-2</v>
      </c>
      <c r="K49" s="6">
        <v>0</v>
      </c>
      <c r="L49" s="6">
        <v>22.1493</v>
      </c>
      <c r="M49" s="6">
        <v>41.21</v>
      </c>
      <c r="N49" s="8">
        <v>1.86724059809696</v>
      </c>
      <c r="O49" s="8">
        <v>1.8787268979407299</v>
      </c>
      <c r="P49" s="8">
        <v>1.8688107012956301</v>
      </c>
      <c r="Q49" s="8">
        <v>1.86504281139409</v>
      </c>
      <c r="R49" s="6">
        <v>41.463502637551898</v>
      </c>
      <c r="S49" s="6">
        <v>41.230991300477797</v>
      </c>
      <c r="T49" s="6">
        <v>41.160028804803297</v>
      </c>
      <c r="U49" s="7">
        <v>6.1326404220976303E-3</v>
      </c>
      <c r="V49" s="7">
        <v>5.0924426308596095E-4</v>
      </c>
      <c r="W49" s="7">
        <v>-1.2133345599676601E-3</v>
      </c>
      <c r="X49" s="8">
        <v>1.8605554125863999</v>
      </c>
      <c r="Y49" s="8">
        <v>1.8658943630327001</v>
      </c>
      <c r="Z49" s="8">
        <v>1.86256903267105</v>
      </c>
      <c r="AA49" s="8">
        <v>1.8603749627537201</v>
      </c>
      <c r="AB49" s="6">
        <v>41.328254015120201</v>
      </c>
      <c r="AC49" s="6">
        <v>41.248853666358102</v>
      </c>
      <c r="AD49" s="6">
        <v>41.208495643495297</v>
      </c>
      <c r="AE49" s="7">
        <v>2.8654373040476401E-3</v>
      </c>
      <c r="AF49" s="7">
        <v>9.4237713734774005E-4</v>
      </c>
      <c r="AG49" s="7">
        <v>-3.6505313353255897E-5</v>
      </c>
      <c r="AZ49" s="23"/>
      <c r="BB49" s="12">
        <f t="shared" si="6"/>
        <v>0</v>
      </c>
      <c r="BC49" s="12">
        <f t="shared" si="7"/>
        <v>1</v>
      </c>
      <c r="BD49" s="12">
        <f t="shared" si="8"/>
        <v>0</v>
      </c>
      <c r="BE49" s="12">
        <f t="shared" si="4"/>
        <v>1</v>
      </c>
      <c r="BF49" s="12">
        <f t="shared" si="9"/>
        <v>0</v>
      </c>
      <c r="BG49" s="23">
        <f t="shared" si="10"/>
        <v>0</v>
      </c>
      <c r="BH49" s="23">
        <f t="shared" si="11"/>
        <v>0</v>
      </c>
      <c r="BI49" s="23">
        <f t="shared" si="12"/>
        <v>0</v>
      </c>
      <c r="BJ49" s="18">
        <f t="shared" si="13"/>
        <v>8.2935568338880165E-3</v>
      </c>
      <c r="BL49" s="23"/>
      <c r="BN49" s="12">
        <f t="shared" si="14"/>
        <v>0</v>
      </c>
      <c r="BO49" s="12">
        <f t="shared" si="15"/>
        <v>1</v>
      </c>
      <c r="BP49" s="12">
        <f t="shared" si="16"/>
        <v>1</v>
      </c>
      <c r="BQ49" s="12">
        <f t="shared" si="5"/>
        <v>1</v>
      </c>
      <c r="BR49" s="12">
        <f t="shared" si="17"/>
        <v>1</v>
      </c>
      <c r="BS49" s="23">
        <f t="shared" si="18"/>
        <v>9.4701947904383202E-3</v>
      </c>
      <c r="BT49" s="23">
        <f t="shared" si="19"/>
        <v>-7.4942935069072496E-3</v>
      </c>
      <c r="BU49" s="23">
        <f t="shared" si="20"/>
        <v>1.9759012835310705E-3</v>
      </c>
      <c r="BV49" s="18">
        <f t="shared" si="21"/>
        <v>9.0233486743962858E-3</v>
      </c>
      <c r="BX49" s="18">
        <f t="shared" si="22"/>
        <v>1.9759012835310705E-3</v>
      </c>
      <c r="BY49" s="18">
        <f t="shared" si="23"/>
        <v>1.7316905508284304E-2</v>
      </c>
    </row>
    <row r="50" spans="1:77" x14ac:dyDescent="0.3">
      <c r="A50" s="1">
        <v>46094</v>
      </c>
      <c r="B50" s="6">
        <v>21.9</v>
      </c>
      <c r="C50" s="6">
        <v>40.799999999999997</v>
      </c>
      <c r="D50" s="7">
        <v>-7.7325834461899204E-3</v>
      </c>
      <c r="E50" s="7">
        <v>-9.9988639406100692E-3</v>
      </c>
      <c r="F50" s="6">
        <v>0</v>
      </c>
      <c r="G50" s="6">
        <v>7.9299999999999995E-2</v>
      </c>
      <c r="H50" s="6">
        <v>0</v>
      </c>
      <c r="I50" s="6">
        <v>0</v>
      </c>
      <c r="J50" s="6">
        <v>7.9299999999999995E-2</v>
      </c>
      <c r="K50" s="6">
        <v>0</v>
      </c>
      <c r="L50" s="6">
        <v>21.979299999999999</v>
      </c>
      <c r="M50" s="6">
        <v>40.799999999999997</v>
      </c>
      <c r="N50" s="8">
        <v>1.86301369863013</v>
      </c>
      <c r="O50" s="8">
        <v>1.8787268979407299</v>
      </c>
      <c r="P50" s="8">
        <v>1.8684425097170401</v>
      </c>
      <c r="Q50" s="8">
        <v>1.8651379407700399</v>
      </c>
      <c r="R50" s="6">
        <v>41.144119064902</v>
      </c>
      <c r="S50" s="6">
        <v>40.926954358374303</v>
      </c>
      <c r="T50" s="6">
        <v>40.844437569530697</v>
      </c>
      <c r="U50" s="7">
        <v>8.39892091651772E-3</v>
      </c>
      <c r="V50" s="7">
        <v>3.1067953403260701E-3</v>
      </c>
      <c r="W50" s="7">
        <v>1.08856341574926E-3</v>
      </c>
      <c r="X50" s="8">
        <v>1.8562920566169001</v>
      </c>
      <c r="Y50" s="8">
        <v>1.8658943630327001</v>
      </c>
      <c r="Z50" s="8">
        <v>1.86183860194861</v>
      </c>
      <c r="AA50" s="8">
        <v>1.8602884420182699</v>
      </c>
      <c r="AB50" s="6">
        <v>41.011051973404697</v>
      </c>
      <c r="AC50" s="6">
        <v>40.9379635397869</v>
      </c>
      <c r="AD50" s="6">
        <v>40.889739418852898</v>
      </c>
      <c r="AE50" s="7">
        <v>5.1595092962791701E-3</v>
      </c>
      <c r="AF50" s="7">
        <v>3.3757550305481398E-3</v>
      </c>
      <c r="AG50" s="7">
        <v>2.1970802108144801E-3</v>
      </c>
      <c r="AZ50" s="23"/>
      <c r="BB50" s="12">
        <f t="shared" si="6"/>
        <v>0</v>
      </c>
      <c r="BC50" s="12">
        <f t="shared" si="7"/>
        <v>1</v>
      </c>
      <c r="BD50" s="12">
        <f t="shared" si="8"/>
        <v>0</v>
      </c>
      <c r="BE50" s="12">
        <f t="shared" si="4"/>
        <v>1</v>
      </c>
      <c r="BF50" s="12">
        <f t="shared" si="9"/>
        <v>0</v>
      </c>
      <c r="BG50" s="23">
        <f t="shared" si="10"/>
        <v>0</v>
      </c>
      <c r="BH50" s="23">
        <f t="shared" si="11"/>
        <v>0</v>
      </c>
      <c r="BI50" s="23">
        <f t="shared" si="12"/>
        <v>0</v>
      </c>
      <c r="BJ50" s="18">
        <f t="shared" si="13"/>
        <v>8.2935568338880165E-3</v>
      </c>
      <c r="BL50" s="23"/>
      <c r="BN50" s="12">
        <f t="shared" si="14"/>
        <v>1</v>
      </c>
      <c r="BO50" s="12">
        <f t="shared" si="15"/>
        <v>0</v>
      </c>
      <c r="BP50" s="12">
        <f t="shared" si="16"/>
        <v>0</v>
      </c>
      <c r="BQ50" s="12">
        <f t="shared" si="5"/>
        <v>1</v>
      </c>
      <c r="BR50" s="12">
        <f t="shared" si="17"/>
        <v>0</v>
      </c>
      <c r="BS50" s="23">
        <f t="shared" si="18"/>
        <v>0</v>
      </c>
      <c r="BT50" s="23">
        <f t="shared" si="19"/>
        <v>0</v>
      </c>
      <c r="BU50" s="23">
        <f t="shared" si="20"/>
        <v>0</v>
      </c>
      <c r="BV50" s="18">
        <f t="shared" si="21"/>
        <v>9.0233486743962858E-3</v>
      </c>
      <c r="BX50" s="18">
        <f t="shared" si="22"/>
        <v>0</v>
      </c>
      <c r="BY50" s="18">
        <f t="shared" si="23"/>
        <v>1.7316905508284304E-2</v>
      </c>
    </row>
    <row r="51" spans="1:77" x14ac:dyDescent="0.3">
      <c r="A51" s="1">
        <v>46097</v>
      </c>
      <c r="B51" s="6">
        <v>22.09</v>
      </c>
      <c r="C51" s="6">
        <v>41.24</v>
      </c>
      <c r="D51" s="7">
        <v>8.6383806095707595E-3</v>
      </c>
      <c r="E51" s="7">
        <v>1.07265777386433E-2</v>
      </c>
      <c r="F51" s="6">
        <v>0</v>
      </c>
      <c r="G51" s="6">
        <v>7.9299999999999995E-2</v>
      </c>
      <c r="H51" s="6">
        <v>0</v>
      </c>
      <c r="I51" s="6">
        <v>0</v>
      </c>
      <c r="J51" s="6">
        <v>7.9299999999999995E-2</v>
      </c>
      <c r="K51" s="6">
        <v>0</v>
      </c>
      <c r="L51" s="6">
        <v>22.1693</v>
      </c>
      <c r="M51" s="6">
        <v>41.24</v>
      </c>
      <c r="N51" s="8">
        <v>1.8669081032141199</v>
      </c>
      <c r="O51" s="8">
        <v>1.8787268979407299</v>
      </c>
      <c r="P51" s="8">
        <v>1.86811747496803</v>
      </c>
      <c r="Q51" s="8">
        <v>1.8654590824992101</v>
      </c>
      <c r="R51" s="6">
        <v>41.501077175510702</v>
      </c>
      <c r="S51" s="6">
        <v>41.273895039649503</v>
      </c>
      <c r="T51" s="6">
        <v>41.200897111610303</v>
      </c>
      <c r="U51" s="7">
        <v>6.3107237874453596E-3</v>
      </c>
      <c r="V51" s="7">
        <v>8.2155960616772596E-4</v>
      </c>
      <c r="W51" s="7">
        <v>-9.4862847669151598E-4</v>
      </c>
      <c r="X51" s="8">
        <v>1.86023013807382</v>
      </c>
      <c r="Y51" s="8">
        <v>1.8658943630327001</v>
      </c>
      <c r="Z51" s="8">
        <v>1.8614962448893499</v>
      </c>
      <c r="AA51" s="8">
        <v>1.8604297984351199</v>
      </c>
      <c r="AB51" s="6">
        <v>41.3655719023809</v>
      </c>
      <c r="AC51" s="6">
        <v>41.275658518179497</v>
      </c>
      <c r="AD51" s="6">
        <v>41.241292557635802</v>
      </c>
      <c r="AE51" s="7">
        <v>3.04027915342536E-3</v>
      </c>
      <c r="AF51" s="7">
        <v>8.64284937902917E-4</v>
      </c>
      <c r="AG51" s="7">
        <v>3.1341837544975401E-5</v>
      </c>
      <c r="AZ51" s="23"/>
      <c r="BB51" s="12">
        <f t="shared" si="6"/>
        <v>0</v>
      </c>
      <c r="BC51" s="12">
        <f t="shared" si="7"/>
        <v>1</v>
      </c>
      <c r="BD51" s="12">
        <f t="shared" si="8"/>
        <v>0</v>
      </c>
      <c r="BE51" s="12">
        <f t="shared" si="4"/>
        <v>1</v>
      </c>
      <c r="BF51" s="12">
        <f t="shared" si="9"/>
        <v>0</v>
      </c>
      <c r="BG51" s="23">
        <f t="shared" si="10"/>
        <v>0</v>
      </c>
      <c r="BH51" s="23">
        <f t="shared" si="11"/>
        <v>0</v>
      </c>
      <c r="BI51" s="23">
        <f t="shared" si="12"/>
        <v>0</v>
      </c>
      <c r="BJ51" s="18">
        <f t="shared" si="13"/>
        <v>8.2935568338880165E-3</v>
      </c>
      <c r="BL51" s="23"/>
      <c r="BN51" s="12">
        <f t="shared" si="14"/>
        <v>0</v>
      </c>
      <c r="BO51" s="12">
        <f t="shared" si="15"/>
        <v>0</v>
      </c>
      <c r="BP51" s="12">
        <f t="shared" si="16"/>
        <v>1</v>
      </c>
      <c r="BQ51" s="12">
        <f t="shared" si="5"/>
        <v>1</v>
      </c>
      <c r="BR51" s="12">
        <f t="shared" si="17"/>
        <v>1</v>
      </c>
      <c r="BS51" s="23">
        <f t="shared" si="18"/>
        <v>-8.6383806095707595E-3</v>
      </c>
      <c r="BT51" s="23">
        <f t="shared" si="19"/>
        <v>1.07265777386433E-2</v>
      </c>
      <c r="BU51" s="23">
        <f t="shared" si="20"/>
        <v>2.0881971290725408E-3</v>
      </c>
      <c r="BV51" s="18">
        <f t="shared" si="21"/>
        <v>1.1111545803468827E-2</v>
      </c>
      <c r="BX51" s="18">
        <f t="shared" si="22"/>
        <v>2.0881971290725408E-3</v>
      </c>
      <c r="BY51" s="18">
        <f t="shared" si="23"/>
        <v>1.9405102637356845E-2</v>
      </c>
    </row>
    <row r="52" spans="1:77" x14ac:dyDescent="0.3">
      <c r="A52" s="1">
        <v>46098</v>
      </c>
      <c r="B52" s="6">
        <v>22.16</v>
      </c>
      <c r="C52" s="6">
        <v>41.44</v>
      </c>
      <c r="D52" s="7">
        <v>3.1638444470573398E-3</v>
      </c>
      <c r="E52" s="7">
        <v>4.8379388024684502E-3</v>
      </c>
      <c r="F52" s="6">
        <v>0</v>
      </c>
      <c r="G52" s="6">
        <v>7.9299999999999995E-2</v>
      </c>
      <c r="H52" s="6">
        <v>0</v>
      </c>
      <c r="I52" s="6">
        <v>0</v>
      </c>
      <c r="J52" s="6">
        <v>7.9299999999999995E-2</v>
      </c>
      <c r="K52" s="6">
        <v>0</v>
      </c>
      <c r="L52" s="6">
        <v>22.2393</v>
      </c>
      <c r="M52" s="6">
        <v>41.44</v>
      </c>
      <c r="N52" s="8">
        <v>1.87003610108303</v>
      </c>
      <c r="O52" s="8">
        <v>1.8787268979407299</v>
      </c>
      <c r="P52" s="8">
        <v>1.8677933838758001</v>
      </c>
      <c r="Q52" s="8">
        <v>1.86583128200503</v>
      </c>
      <c r="R52" s="6">
        <v>41.632588058366601</v>
      </c>
      <c r="S52" s="6">
        <v>41.397483245291703</v>
      </c>
      <c r="T52" s="6">
        <v>41.3385732681825</v>
      </c>
      <c r="U52" s="7">
        <v>4.6366294320340498E-3</v>
      </c>
      <c r="V52" s="7">
        <v>-1.02651014434607E-3</v>
      </c>
      <c r="W52" s="7">
        <v>-2.4505564319504602E-3</v>
      </c>
      <c r="X52" s="8">
        <v>1.8633680016906999</v>
      </c>
      <c r="Y52" s="8">
        <v>1.8658943630327001</v>
      </c>
      <c r="Z52" s="8">
        <v>1.86116354268129</v>
      </c>
      <c r="AA52" s="8">
        <v>1.86062294720303</v>
      </c>
      <c r="AB52" s="6">
        <v>41.496184507793203</v>
      </c>
      <c r="AC52" s="6">
        <v>41.398373438967702</v>
      </c>
      <c r="AD52" s="6">
        <v>41.374656416338297</v>
      </c>
      <c r="AE52" s="7">
        <v>1.35488548747633E-3</v>
      </c>
      <c r="AF52" s="7">
        <v>-1.00500680561122E-3</v>
      </c>
      <c r="AG52" s="7">
        <v>-1.57806842531883E-3</v>
      </c>
      <c r="AZ52" s="23"/>
      <c r="BB52" s="12">
        <f t="shared" si="6"/>
        <v>0</v>
      </c>
      <c r="BC52" s="12">
        <f t="shared" si="7"/>
        <v>0</v>
      </c>
      <c r="BD52" s="12">
        <f t="shared" si="8"/>
        <v>0</v>
      </c>
      <c r="BE52" s="12">
        <f t="shared" si="4"/>
        <v>1</v>
      </c>
      <c r="BF52" s="12">
        <f t="shared" si="9"/>
        <v>0</v>
      </c>
      <c r="BG52" s="23">
        <f t="shared" si="10"/>
        <v>0</v>
      </c>
      <c r="BH52" s="23">
        <f t="shared" si="11"/>
        <v>0</v>
      </c>
      <c r="BI52" s="23">
        <f t="shared" si="12"/>
        <v>0</v>
      </c>
      <c r="BJ52" s="18">
        <f t="shared" si="13"/>
        <v>8.2935568338880165E-3</v>
      </c>
      <c r="BL52" s="23"/>
      <c r="BN52" s="12">
        <f t="shared" si="14"/>
        <v>0</v>
      </c>
      <c r="BO52" s="12">
        <f t="shared" si="15"/>
        <v>1</v>
      </c>
      <c r="BP52" s="12">
        <f t="shared" si="16"/>
        <v>1</v>
      </c>
      <c r="BQ52" s="12">
        <f t="shared" si="5"/>
        <v>1</v>
      </c>
      <c r="BR52" s="12">
        <f t="shared" si="17"/>
        <v>1</v>
      </c>
      <c r="BS52" s="23">
        <f t="shared" si="18"/>
        <v>-3.1638444470573398E-3</v>
      </c>
      <c r="BT52" s="23">
        <f t="shared" si="19"/>
        <v>4.8379388024684502E-3</v>
      </c>
      <c r="BU52" s="23">
        <f t="shared" si="20"/>
        <v>1.6740943554111104E-3</v>
      </c>
      <c r="BV52" s="18">
        <f t="shared" si="21"/>
        <v>1.2785640158879938E-2</v>
      </c>
      <c r="BX52" s="18">
        <f t="shared" si="22"/>
        <v>1.6740943554111104E-3</v>
      </c>
      <c r="BY52" s="18">
        <f t="shared" si="23"/>
        <v>2.1079196992767956E-2</v>
      </c>
    </row>
    <row r="53" spans="1:77" x14ac:dyDescent="0.3">
      <c r="A53" s="1">
        <v>46099</v>
      </c>
      <c r="B53" s="6">
        <v>21.97</v>
      </c>
      <c r="C53" s="6">
        <v>41.04</v>
      </c>
      <c r="D53" s="7">
        <v>-8.6109754825642298E-3</v>
      </c>
      <c r="E53" s="7">
        <v>-9.6993970887135003E-3</v>
      </c>
      <c r="F53" s="6">
        <v>0</v>
      </c>
      <c r="G53" s="6">
        <v>7.9299999999999995E-2</v>
      </c>
      <c r="H53" s="6">
        <v>0</v>
      </c>
      <c r="I53" s="6">
        <v>0</v>
      </c>
      <c r="J53" s="6">
        <v>7.9299999999999995E-2</v>
      </c>
      <c r="K53" s="6">
        <v>0</v>
      </c>
      <c r="L53" s="6">
        <v>22.049299999999999</v>
      </c>
      <c r="M53" s="6">
        <v>41.04</v>
      </c>
      <c r="N53" s="8">
        <v>1.8680018206645399</v>
      </c>
      <c r="O53" s="8">
        <v>1.8787268979407299</v>
      </c>
      <c r="P53" s="8">
        <v>1.86753109363388</v>
      </c>
      <c r="Q53" s="8">
        <v>1.8661873259383801</v>
      </c>
      <c r="R53" s="6">
        <v>41.2756299477578</v>
      </c>
      <c r="S53" s="6">
        <v>41.035420643751401</v>
      </c>
      <c r="T53" s="6">
        <v>40.992313265650502</v>
      </c>
      <c r="U53" s="7">
        <v>5.7250510381833802E-3</v>
      </c>
      <c r="V53" s="7">
        <v>-1.11588980412248E-4</v>
      </c>
      <c r="W53" s="7">
        <v>-1.16263306062336E-3</v>
      </c>
      <c r="X53" s="8">
        <v>1.86128357816347</v>
      </c>
      <c r="Y53" s="8">
        <v>1.8658943630327001</v>
      </c>
      <c r="Z53" s="8">
        <v>1.8608843735542</v>
      </c>
      <c r="AA53" s="8">
        <v>1.86079823141721</v>
      </c>
      <c r="AB53" s="6">
        <v>41.141664578817</v>
      </c>
      <c r="AC53" s="6">
        <v>41.037353301642703</v>
      </c>
      <c r="AD53" s="6">
        <v>41.025433549763797</v>
      </c>
      <c r="AE53" s="7">
        <v>2.47414386648754E-3</v>
      </c>
      <c r="AF53" s="7">
        <v>-6.4492780327666001E-5</v>
      </c>
      <c r="AG53" s="7">
        <v>-3.5499600158163998E-4</v>
      </c>
      <c r="AZ53" s="23"/>
      <c r="BB53" s="12">
        <f t="shared" si="6"/>
        <v>0</v>
      </c>
      <c r="BC53" s="12">
        <f t="shared" si="7"/>
        <v>1</v>
      </c>
      <c r="BD53" s="12">
        <f t="shared" si="8"/>
        <v>0</v>
      </c>
      <c r="BE53" s="12">
        <f t="shared" si="4"/>
        <v>1</v>
      </c>
      <c r="BF53" s="12">
        <f t="shared" si="9"/>
        <v>0</v>
      </c>
      <c r="BG53" s="23">
        <f t="shared" si="10"/>
        <v>0</v>
      </c>
      <c r="BH53" s="23">
        <f t="shared" si="11"/>
        <v>0</v>
      </c>
      <c r="BI53" s="23">
        <f t="shared" si="12"/>
        <v>0</v>
      </c>
      <c r="BJ53" s="18">
        <f t="shared" si="13"/>
        <v>8.2935568338880165E-3</v>
      </c>
      <c r="BL53" s="23"/>
      <c r="BN53" s="12">
        <f t="shared" si="14"/>
        <v>0</v>
      </c>
      <c r="BO53" s="12">
        <f t="shared" si="15"/>
        <v>1</v>
      </c>
      <c r="BP53" s="12">
        <f t="shared" si="16"/>
        <v>0</v>
      </c>
      <c r="BQ53" s="12">
        <f t="shared" si="5"/>
        <v>1</v>
      </c>
      <c r="BR53" s="12">
        <f t="shared" si="17"/>
        <v>0</v>
      </c>
      <c r="BS53" s="23">
        <f t="shared" si="18"/>
        <v>0</v>
      </c>
      <c r="BT53" s="23">
        <f t="shared" si="19"/>
        <v>0</v>
      </c>
      <c r="BU53" s="23">
        <f t="shared" si="20"/>
        <v>0</v>
      </c>
      <c r="BV53" s="18">
        <f t="shared" si="21"/>
        <v>1.2785640158879938E-2</v>
      </c>
      <c r="BX53" s="18">
        <f t="shared" si="22"/>
        <v>0</v>
      </c>
      <c r="BY53" s="18">
        <f t="shared" si="23"/>
        <v>2.1079196992767956E-2</v>
      </c>
    </row>
    <row r="54" spans="1:77" x14ac:dyDescent="0.3">
      <c r="A54" s="1">
        <v>46100</v>
      </c>
      <c r="B54" s="6">
        <v>22.19</v>
      </c>
      <c r="C54" s="6">
        <v>41.49</v>
      </c>
      <c r="D54" s="7">
        <v>9.9638505479837693E-3</v>
      </c>
      <c r="E54" s="7">
        <v>1.0905233482262499E-2</v>
      </c>
      <c r="F54" s="6">
        <v>0</v>
      </c>
      <c r="G54" s="6">
        <v>7.9299999999999995E-2</v>
      </c>
      <c r="H54" s="6">
        <v>0</v>
      </c>
      <c r="I54" s="6">
        <v>0</v>
      </c>
      <c r="J54" s="6">
        <v>7.9299999999999995E-2</v>
      </c>
      <c r="K54" s="6">
        <v>0</v>
      </c>
      <c r="L54" s="6">
        <v>22.269300000000001</v>
      </c>
      <c r="M54" s="6">
        <v>41.49</v>
      </c>
      <c r="N54" s="8">
        <v>1.86976115367282</v>
      </c>
      <c r="O54" s="8">
        <v>1.8787268979407299</v>
      </c>
      <c r="P54" s="8">
        <v>1.8675429232868801</v>
      </c>
      <c r="Q54" s="8">
        <v>1.8665907413881699</v>
      </c>
      <c r="R54" s="6">
        <v>41.688949865304799</v>
      </c>
      <c r="S54" s="6">
        <v>41.440514967735901</v>
      </c>
      <c r="T54" s="6">
        <v>41.410696762572798</v>
      </c>
      <c r="U54" s="7">
        <v>4.7836681039045903E-3</v>
      </c>
      <c r="V54" s="7">
        <v>-1.19340964315603E-3</v>
      </c>
      <c r="W54" s="7">
        <v>-1.9132109792570401E-3</v>
      </c>
      <c r="X54" s="8">
        <v>1.8631030162600499</v>
      </c>
      <c r="Y54" s="8">
        <v>1.8658943630327001</v>
      </c>
      <c r="Z54" s="8">
        <v>1.86088994149188</v>
      </c>
      <c r="AA54" s="8">
        <v>1.86102402770484</v>
      </c>
      <c r="AB54" s="6">
        <v>41.552161338684201</v>
      </c>
      <c r="AC54" s="6">
        <v>41.440592379990697</v>
      </c>
      <c r="AD54" s="6">
        <v>41.438674054899401</v>
      </c>
      <c r="AE54" s="7">
        <v>1.49710338200328E-3</v>
      </c>
      <c r="AF54" s="7">
        <v>-1.1915416117736E-3</v>
      </c>
      <c r="AG54" s="7">
        <v>-1.2378336501605799E-3</v>
      </c>
      <c r="AZ54" s="23"/>
      <c r="BB54" s="12">
        <f t="shared" si="6"/>
        <v>0</v>
      </c>
      <c r="BC54" s="12">
        <f t="shared" si="7"/>
        <v>0</v>
      </c>
      <c r="BD54" s="12">
        <f t="shared" si="8"/>
        <v>0</v>
      </c>
      <c r="BE54" s="12">
        <f t="shared" si="4"/>
        <v>1</v>
      </c>
      <c r="BF54" s="12">
        <f t="shared" si="9"/>
        <v>0</v>
      </c>
      <c r="BG54" s="23">
        <f t="shared" si="10"/>
        <v>0</v>
      </c>
      <c r="BH54" s="23">
        <f t="shared" si="11"/>
        <v>0</v>
      </c>
      <c r="BI54" s="23">
        <f t="shared" si="12"/>
        <v>0</v>
      </c>
      <c r="BJ54" s="18">
        <f t="shared" si="13"/>
        <v>8.2935568338880165E-3</v>
      </c>
      <c r="BL54" s="23"/>
      <c r="BN54" s="12">
        <f t="shared" si="14"/>
        <v>0</v>
      </c>
      <c r="BO54" s="12">
        <f t="shared" si="15"/>
        <v>1</v>
      </c>
      <c r="BP54" s="12">
        <f t="shared" si="16"/>
        <v>0</v>
      </c>
      <c r="BQ54" s="12">
        <f t="shared" si="5"/>
        <v>1</v>
      </c>
      <c r="BR54" s="12">
        <f t="shared" si="17"/>
        <v>0</v>
      </c>
      <c r="BS54" s="23">
        <f t="shared" si="18"/>
        <v>0</v>
      </c>
      <c r="BT54" s="23">
        <f t="shared" si="19"/>
        <v>0</v>
      </c>
      <c r="BU54" s="23">
        <f t="shared" si="20"/>
        <v>0</v>
      </c>
      <c r="BV54" s="18">
        <f t="shared" si="21"/>
        <v>1.2785640158879938E-2</v>
      </c>
      <c r="BX54" s="18">
        <f t="shared" si="22"/>
        <v>0</v>
      </c>
      <c r="BY54" s="18">
        <f t="shared" si="23"/>
        <v>2.1079196992767956E-2</v>
      </c>
    </row>
    <row r="55" spans="1:77" x14ac:dyDescent="0.3">
      <c r="A55" s="1">
        <v>46101</v>
      </c>
      <c r="B55" s="6">
        <v>21.92</v>
      </c>
      <c r="C55" s="6">
        <v>40.950000000000003</v>
      </c>
      <c r="D55" s="7">
        <v>-1.2242274864687701E-2</v>
      </c>
      <c r="E55" s="7">
        <v>-1.3100624045697999E-2</v>
      </c>
      <c r="F55" s="6">
        <v>0</v>
      </c>
      <c r="G55" s="6">
        <v>7.9299999999999995E-2</v>
      </c>
      <c r="H55" s="6">
        <v>0</v>
      </c>
      <c r="I55" s="6">
        <v>0</v>
      </c>
      <c r="J55" s="6">
        <v>7.9299999999999995E-2</v>
      </c>
      <c r="K55" s="6">
        <v>0</v>
      </c>
      <c r="L55" s="6">
        <v>21.999300000000002</v>
      </c>
      <c r="M55" s="6">
        <v>40.950000000000003</v>
      </c>
      <c r="N55" s="8">
        <v>1.86815693430656</v>
      </c>
      <c r="O55" s="8">
        <v>1.8787268979407299</v>
      </c>
      <c r="P55" s="8">
        <v>1.86728348254938</v>
      </c>
      <c r="Q55" s="8">
        <v>1.8667364860537801</v>
      </c>
      <c r="R55" s="6">
        <v>41.181693602860797</v>
      </c>
      <c r="S55" s="6">
        <v>40.936540878448497</v>
      </c>
      <c r="T55" s="6">
        <v>40.915669051228697</v>
      </c>
      <c r="U55" s="7">
        <v>5.6420172849149398E-3</v>
      </c>
      <c r="V55" s="7">
        <v>-3.2872610146460999E-4</v>
      </c>
      <c r="W55" s="7">
        <v>-8.3871422982523096E-4</v>
      </c>
      <c r="X55" s="8">
        <v>1.8614228634547401</v>
      </c>
      <c r="Y55" s="8">
        <v>1.8658943630327001</v>
      </c>
      <c r="Z55" s="8">
        <v>1.86061821313993</v>
      </c>
      <c r="AA55" s="8">
        <v>1.8609885848437799</v>
      </c>
      <c r="AB55" s="6">
        <v>41.048369860665296</v>
      </c>
      <c r="AC55" s="6">
        <v>40.938276089862399</v>
      </c>
      <c r="AD55" s="6">
        <v>40.9412258926871</v>
      </c>
      <c r="AE55" s="7">
        <v>2.3993137430187101E-3</v>
      </c>
      <c r="AF55" s="7">
        <v>-2.8633916300235303E-4</v>
      </c>
      <c r="AG55" s="7">
        <v>-2.14286872636704E-4</v>
      </c>
      <c r="AZ55" s="23"/>
      <c r="BB55" s="12">
        <f t="shared" si="6"/>
        <v>0</v>
      </c>
      <c r="BC55" s="12">
        <f t="shared" si="7"/>
        <v>1</v>
      </c>
      <c r="BD55" s="12">
        <f t="shared" si="8"/>
        <v>0</v>
      </c>
      <c r="BE55" s="12">
        <f t="shared" si="4"/>
        <v>1</v>
      </c>
      <c r="BF55" s="12">
        <f t="shared" si="9"/>
        <v>0</v>
      </c>
      <c r="BG55" s="23">
        <f t="shared" si="10"/>
        <v>0</v>
      </c>
      <c r="BH55" s="23">
        <f t="shared" si="11"/>
        <v>0</v>
      </c>
      <c r="BI55" s="23">
        <f t="shared" si="12"/>
        <v>0</v>
      </c>
      <c r="BJ55" s="18">
        <f t="shared" si="13"/>
        <v>8.2935568338880165E-3</v>
      </c>
      <c r="BL55" s="23"/>
      <c r="BN55" s="12">
        <f t="shared" si="14"/>
        <v>0</v>
      </c>
      <c r="BO55" s="12">
        <f t="shared" si="15"/>
        <v>1</v>
      </c>
      <c r="BP55" s="12">
        <f t="shared" si="16"/>
        <v>0</v>
      </c>
      <c r="BQ55" s="12">
        <f t="shared" si="5"/>
        <v>1</v>
      </c>
      <c r="BR55" s="12">
        <f t="shared" si="17"/>
        <v>0</v>
      </c>
      <c r="BS55" s="23">
        <f t="shared" si="18"/>
        <v>0</v>
      </c>
      <c r="BT55" s="23">
        <f t="shared" si="19"/>
        <v>0</v>
      </c>
      <c r="BU55" s="23">
        <f t="shared" si="20"/>
        <v>0</v>
      </c>
      <c r="BV55" s="18">
        <f t="shared" si="21"/>
        <v>1.2785640158879938E-2</v>
      </c>
      <c r="BX55" s="18">
        <f t="shared" si="22"/>
        <v>0</v>
      </c>
      <c r="BY55" s="18">
        <f t="shared" si="23"/>
        <v>2.1079196992767956E-2</v>
      </c>
    </row>
    <row r="56" spans="1:77" x14ac:dyDescent="0.3">
      <c r="A56" s="1">
        <v>46104</v>
      </c>
      <c r="B56" s="6">
        <v>22.12</v>
      </c>
      <c r="C56" s="6">
        <v>41.26</v>
      </c>
      <c r="D56" s="7">
        <v>9.0827145743192193E-3</v>
      </c>
      <c r="E56" s="7">
        <v>7.5416973440272997E-3</v>
      </c>
      <c r="F56" s="6">
        <v>0</v>
      </c>
      <c r="G56" s="6">
        <v>7.9299999999999995E-2</v>
      </c>
      <c r="H56" s="6">
        <v>0</v>
      </c>
      <c r="I56" s="6">
        <v>0</v>
      </c>
      <c r="J56" s="6">
        <v>7.9299999999999995E-2</v>
      </c>
      <c r="K56" s="6">
        <v>0</v>
      </c>
      <c r="L56" s="6">
        <v>22.199300000000001</v>
      </c>
      <c r="M56" s="6">
        <v>41.26</v>
      </c>
      <c r="N56" s="8">
        <v>1.8652802893309199</v>
      </c>
      <c r="O56" s="8">
        <v>1.8787268979407299</v>
      </c>
      <c r="P56" s="8">
        <v>1.8671091464668499</v>
      </c>
      <c r="Q56" s="8">
        <v>1.86711546798237</v>
      </c>
      <c r="R56" s="6">
        <v>41.5574389824489</v>
      </c>
      <c r="S56" s="6">
        <v>41.304310633992301</v>
      </c>
      <c r="T56" s="6">
        <v>41.292211071509698</v>
      </c>
      <c r="U56" s="7">
        <v>7.1830345152070398E-3</v>
      </c>
      <c r="V56" s="7">
        <v>1.0733605817411099E-3</v>
      </c>
      <c r="W56" s="7">
        <v>7.8038062763794401E-4</v>
      </c>
      <c r="X56" s="8">
        <v>1.8586171636042499</v>
      </c>
      <c r="Y56" s="8">
        <v>1.8658943630327001</v>
      </c>
      <c r="Z56" s="8">
        <v>1.8604358996728401</v>
      </c>
      <c r="AA56" s="8">
        <v>1.86118849271583</v>
      </c>
      <c r="AB56" s="6">
        <v>41.421548733271898</v>
      </c>
      <c r="AC56" s="6">
        <v>41.304421898957301</v>
      </c>
      <c r="AD56" s="6">
        <v>41.312643891522598</v>
      </c>
      <c r="AE56" s="7">
        <v>3.9077385782758604E-3</v>
      </c>
      <c r="AF56" s="7">
        <v>1.0760543639002701E-3</v>
      </c>
      <c r="AG56" s="7">
        <v>1.2750929647938601E-3</v>
      </c>
      <c r="AZ56" s="23"/>
      <c r="BB56" s="12">
        <f t="shared" si="6"/>
        <v>0</v>
      </c>
      <c r="BC56" s="12">
        <f t="shared" si="7"/>
        <v>1</v>
      </c>
      <c r="BD56" s="12">
        <f t="shared" si="8"/>
        <v>0</v>
      </c>
      <c r="BE56" s="12">
        <f t="shared" si="4"/>
        <v>1</v>
      </c>
      <c r="BF56" s="12">
        <f t="shared" si="9"/>
        <v>0</v>
      </c>
      <c r="BG56" s="23">
        <f t="shared" si="10"/>
        <v>0</v>
      </c>
      <c r="BH56" s="23">
        <f t="shared" si="11"/>
        <v>0</v>
      </c>
      <c r="BI56" s="23">
        <f t="shared" si="12"/>
        <v>0</v>
      </c>
      <c r="BJ56" s="18">
        <f t="shared" si="13"/>
        <v>8.2935568338880165E-3</v>
      </c>
      <c r="BL56" s="23"/>
      <c r="BN56" s="12">
        <f t="shared" si="14"/>
        <v>0</v>
      </c>
      <c r="BO56" s="12">
        <f t="shared" si="15"/>
        <v>0</v>
      </c>
      <c r="BP56" s="12">
        <f t="shared" si="16"/>
        <v>0</v>
      </c>
      <c r="BQ56" s="12">
        <f t="shared" si="5"/>
        <v>1</v>
      </c>
      <c r="BR56" s="12">
        <f t="shared" si="17"/>
        <v>0</v>
      </c>
      <c r="BS56" s="23">
        <f t="shared" si="18"/>
        <v>0</v>
      </c>
      <c r="BT56" s="23">
        <f t="shared" si="19"/>
        <v>0</v>
      </c>
      <c r="BU56" s="23">
        <f t="shared" si="20"/>
        <v>0</v>
      </c>
      <c r="BV56" s="18">
        <f t="shared" si="21"/>
        <v>1.2785640158879938E-2</v>
      </c>
      <c r="BX56" s="18">
        <f t="shared" si="22"/>
        <v>0</v>
      </c>
      <c r="BY56" s="18">
        <f t="shared" si="23"/>
        <v>2.1079196992767956E-2</v>
      </c>
    </row>
    <row r="57" spans="1:77" x14ac:dyDescent="0.3">
      <c r="A57" s="1">
        <v>46105</v>
      </c>
      <c r="B57" s="6">
        <v>21.98</v>
      </c>
      <c r="C57" s="6">
        <v>41.07</v>
      </c>
      <c r="D57" s="7">
        <v>-6.34922767865878E-3</v>
      </c>
      <c r="E57" s="7">
        <v>-4.6155796746385298E-3</v>
      </c>
      <c r="F57" s="6">
        <v>0</v>
      </c>
      <c r="G57" s="6">
        <v>7.9299999999999995E-2</v>
      </c>
      <c r="H57" s="6">
        <v>0</v>
      </c>
      <c r="I57" s="6">
        <v>0</v>
      </c>
      <c r="J57" s="6">
        <v>7.9299999999999995E-2</v>
      </c>
      <c r="K57" s="6">
        <v>0</v>
      </c>
      <c r="L57" s="6">
        <v>22.0593</v>
      </c>
      <c r="M57" s="6">
        <v>41.07</v>
      </c>
      <c r="N57" s="8">
        <v>1.86851683348498</v>
      </c>
      <c r="O57" s="8">
        <v>1.8787268979407299</v>
      </c>
      <c r="P57" s="8">
        <v>1.8670470290114201</v>
      </c>
      <c r="Q57" s="8">
        <v>1.86758785163139</v>
      </c>
      <c r="R57" s="6">
        <v>41.294417216737202</v>
      </c>
      <c r="S57" s="6">
        <v>41.039059039341502</v>
      </c>
      <c r="T57" s="6">
        <v>41.039197986252503</v>
      </c>
      <c r="U57" s="7">
        <v>5.4493865111866803E-3</v>
      </c>
      <c r="V57" s="7">
        <v>-7.5365526008908102E-4</v>
      </c>
      <c r="W57" s="7">
        <v>-7.5026954221447104E-4</v>
      </c>
      <c r="X57" s="8">
        <v>1.8617997851246399</v>
      </c>
      <c r="Y57" s="8">
        <v>1.8658943630327001</v>
      </c>
      <c r="Z57" s="8">
        <v>1.8603617447677001</v>
      </c>
      <c r="AA57" s="8">
        <v>1.8614796214395799</v>
      </c>
      <c r="AB57" s="6">
        <v>41.1603235224473</v>
      </c>
      <c r="AC57" s="6">
        <v>41.039913641653101</v>
      </c>
      <c r="AD57" s="6">
        <v>41.056515317366298</v>
      </c>
      <c r="AE57" s="7">
        <v>2.1968430842594501E-3</v>
      </c>
      <c r="AF57" s="7">
        <v>-7.3283135638566596E-4</v>
      </c>
      <c r="AG57" s="7">
        <v>-3.2838804137051198E-4</v>
      </c>
      <c r="AZ57" s="23"/>
      <c r="BB57" s="12">
        <f t="shared" si="6"/>
        <v>0</v>
      </c>
      <c r="BC57" s="12">
        <f t="shared" si="7"/>
        <v>1</v>
      </c>
      <c r="BD57" s="12">
        <f t="shared" si="8"/>
        <v>0</v>
      </c>
      <c r="BE57" s="12">
        <f t="shared" si="4"/>
        <v>1</v>
      </c>
      <c r="BF57" s="12">
        <f t="shared" si="9"/>
        <v>0</v>
      </c>
      <c r="BG57" s="23">
        <f t="shared" si="10"/>
        <v>0</v>
      </c>
      <c r="BH57" s="23">
        <f t="shared" si="11"/>
        <v>0</v>
      </c>
      <c r="BI57" s="23">
        <f t="shared" si="12"/>
        <v>0</v>
      </c>
      <c r="BJ57" s="18">
        <f t="shared" si="13"/>
        <v>8.2935568338880165E-3</v>
      </c>
      <c r="BL57" s="23"/>
      <c r="BN57" s="12">
        <f t="shared" si="14"/>
        <v>0</v>
      </c>
      <c r="BO57" s="12">
        <f t="shared" si="15"/>
        <v>1</v>
      </c>
      <c r="BP57" s="12">
        <f t="shared" si="16"/>
        <v>0</v>
      </c>
      <c r="BQ57" s="12">
        <f t="shared" si="5"/>
        <v>1</v>
      </c>
      <c r="BR57" s="12">
        <f t="shared" si="17"/>
        <v>0</v>
      </c>
      <c r="BS57" s="23">
        <f t="shared" si="18"/>
        <v>0</v>
      </c>
      <c r="BT57" s="23">
        <f t="shared" si="19"/>
        <v>0</v>
      </c>
      <c r="BU57" s="23">
        <f t="shared" si="20"/>
        <v>0</v>
      </c>
      <c r="BV57" s="18">
        <f t="shared" si="21"/>
        <v>1.2785640158879938E-2</v>
      </c>
      <c r="BX57" s="18">
        <f t="shared" si="22"/>
        <v>0</v>
      </c>
      <c r="BY57" s="18">
        <f t="shared" si="23"/>
        <v>2.1079196992767956E-2</v>
      </c>
    </row>
    <row r="58" spans="1:77" x14ac:dyDescent="0.3">
      <c r="A58" s="1">
        <v>46106</v>
      </c>
      <c r="B58" s="6">
        <v>22.04</v>
      </c>
      <c r="C58" s="6">
        <v>41.22</v>
      </c>
      <c r="D58" s="7">
        <v>2.7260353092384E-3</v>
      </c>
      <c r="E58" s="7">
        <v>3.6456474938456299E-3</v>
      </c>
      <c r="F58" s="6">
        <v>0</v>
      </c>
      <c r="G58" s="6">
        <v>7.9299999999999995E-2</v>
      </c>
      <c r="H58" s="6">
        <v>0</v>
      </c>
      <c r="I58" s="6">
        <v>0</v>
      </c>
      <c r="J58" s="6">
        <v>7.9299999999999995E-2</v>
      </c>
      <c r="K58" s="6">
        <v>0</v>
      </c>
      <c r="L58" s="6">
        <v>22.119299999999999</v>
      </c>
      <c r="M58" s="6">
        <v>41.22</v>
      </c>
      <c r="N58" s="8">
        <v>1.8702359346642401</v>
      </c>
      <c r="O58" s="8">
        <v>1.8787268979407299</v>
      </c>
      <c r="P58" s="8">
        <v>1.8677151467148301</v>
      </c>
      <c r="Q58" s="8">
        <v>1.8679534342653801</v>
      </c>
      <c r="R58" s="6">
        <v>41.407140830613699</v>
      </c>
      <c r="S58" s="6">
        <v>41.149716519411797</v>
      </c>
      <c r="T58" s="6">
        <v>41.161636249955798</v>
      </c>
      <c r="U58" s="7">
        <v>4.5297743265793897E-3</v>
      </c>
      <c r="V58" s="7">
        <v>-1.7065373201478799E-3</v>
      </c>
      <c r="W58" s="7">
        <v>-1.4169118863210401E-3</v>
      </c>
      <c r="X58" s="8">
        <v>1.8635309435651199</v>
      </c>
      <c r="Y58" s="8">
        <v>1.8658943630327001</v>
      </c>
      <c r="Z58" s="8">
        <v>1.8610202959140101</v>
      </c>
      <c r="AA58" s="8">
        <v>1.86166493989982</v>
      </c>
      <c r="AB58" s="6">
        <v>41.272277184229303</v>
      </c>
      <c r="AC58" s="6">
        <v>41.149899541040298</v>
      </c>
      <c r="AD58" s="6">
        <v>41.174626190508697</v>
      </c>
      <c r="AE58" s="7">
        <v>1.2674444932777699E-3</v>
      </c>
      <c r="AF58" s="7">
        <v>-1.70208962920366E-3</v>
      </c>
      <c r="AG58" s="7">
        <v>-1.1013779945562301E-3</v>
      </c>
      <c r="AZ58" s="23"/>
      <c r="BB58" s="12">
        <f t="shared" si="6"/>
        <v>0</v>
      </c>
      <c r="BC58" s="12">
        <f t="shared" si="7"/>
        <v>0</v>
      </c>
      <c r="BD58" s="12">
        <f t="shared" si="8"/>
        <v>0</v>
      </c>
      <c r="BE58" s="12">
        <f t="shared" si="4"/>
        <v>1</v>
      </c>
      <c r="BF58" s="12">
        <f t="shared" si="9"/>
        <v>0</v>
      </c>
      <c r="BG58" s="23">
        <f t="shared" si="10"/>
        <v>0</v>
      </c>
      <c r="BH58" s="23">
        <f t="shared" si="11"/>
        <v>0</v>
      </c>
      <c r="BI58" s="23">
        <f t="shared" si="12"/>
        <v>0</v>
      </c>
      <c r="BJ58" s="18">
        <f t="shared" si="13"/>
        <v>8.2935568338880165E-3</v>
      </c>
      <c r="BL58" s="23"/>
      <c r="BN58" s="12">
        <f t="shared" si="14"/>
        <v>0</v>
      </c>
      <c r="BO58" s="12">
        <f t="shared" si="15"/>
        <v>1</v>
      </c>
      <c r="BP58" s="12">
        <f t="shared" si="16"/>
        <v>0</v>
      </c>
      <c r="BQ58" s="12">
        <f t="shared" si="5"/>
        <v>1</v>
      </c>
      <c r="BR58" s="12">
        <f t="shared" si="17"/>
        <v>0</v>
      </c>
      <c r="BS58" s="23">
        <f t="shared" si="18"/>
        <v>0</v>
      </c>
      <c r="BT58" s="23">
        <f t="shared" si="19"/>
        <v>0</v>
      </c>
      <c r="BU58" s="23">
        <f t="shared" si="20"/>
        <v>0</v>
      </c>
      <c r="BV58" s="18">
        <f t="shared" si="21"/>
        <v>1.2785640158879938E-2</v>
      </c>
      <c r="BX58" s="18">
        <f t="shared" si="22"/>
        <v>0</v>
      </c>
      <c r="BY58" s="18">
        <f t="shared" si="23"/>
        <v>2.1079196992767956E-2</v>
      </c>
    </row>
    <row r="59" spans="1:77" x14ac:dyDescent="0.3">
      <c r="A59" s="1">
        <v>46107</v>
      </c>
      <c r="B59" s="6">
        <v>21.8</v>
      </c>
      <c r="C59" s="6">
        <v>40.69</v>
      </c>
      <c r="D59" s="7">
        <v>-1.0949014489670301E-2</v>
      </c>
      <c r="E59" s="7">
        <v>-1.29412134487143E-2</v>
      </c>
      <c r="F59" s="6">
        <v>0</v>
      </c>
      <c r="G59" s="6">
        <v>7.9299999999999995E-2</v>
      </c>
      <c r="H59" s="6">
        <v>0</v>
      </c>
      <c r="I59" s="6">
        <v>0</v>
      </c>
      <c r="J59" s="6">
        <v>7.9299999999999995E-2</v>
      </c>
      <c r="K59" s="6">
        <v>0</v>
      </c>
      <c r="L59" s="6">
        <v>21.879300000000001</v>
      </c>
      <c r="M59" s="6">
        <v>40.69</v>
      </c>
      <c r="N59" s="8">
        <v>1.86651376146788</v>
      </c>
      <c r="O59" s="8">
        <v>1.8787268979407299</v>
      </c>
      <c r="P59" s="8">
        <v>1.8676424630519199</v>
      </c>
      <c r="Q59" s="8">
        <v>1.86822658217378</v>
      </c>
      <c r="R59" s="6">
        <v>40.956246375107902</v>
      </c>
      <c r="S59" s="6">
        <v>40.716190198383401</v>
      </c>
      <c r="T59" s="6">
        <v>40.721384866985403</v>
      </c>
      <c r="U59" s="7">
        <v>6.5219732856233803E-3</v>
      </c>
      <c r="V59" s="7">
        <v>6.43444908137547E-4</v>
      </c>
      <c r="W59" s="7">
        <v>7.7101915393051304E-4</v>
      </c>
      <c r="X59" s="8">
        <v>1.85974871225313</v>
      </c>
      <c r="Y59" s="8">
        <v>1.8658943630327001</v>
      </c>
      <c r="Z59" s="8">
        <v>1.8609396258806801</v>
      </c>
      <c r="AA59" s="8">
        <v>1.86175432927587</v>
      </c>
      <c r="AB59" s="6">
        <v>40.824462537101397</v>
      </c>
      <c r="AC59" s="6">
        <v>40.717821360391397</v>
      </c>
      <c r="AD59" s="6">
        <v>40.731925719550198</v>
      </c>
      <c r="AE59" s="7">
        <v>3.2991117128277599E-3</v>
      </c>
      <c r="AF59" s="7">
        <v>6.8350585999482497E-4</v>
      </c>
      <c r="AG59" s="7">
        <v>1.02983865550109E-3</v>
      </c>
      <c r="AZ59" s="23"/>
      <c r="BB59" s="12">
        <f t="shared" si="6"/>
        <v>0</v>
      </c>
      <c r="BC59" s="12">
        <f t="shared" si="7"/>
        <v>1</v>
      </c>
      <c r="BD59" s="12">
        <f t="shared" si="8"/>
        <v>0</v>
      </c>
      <c r="BE59" s="12">
        <f t="shared" si="4"/>
        <v>1</v>
      </c>
      <c r="BF59" s="12">
        <f t="shared" si="9"/>
        <v>0</v>
      </c>
      <c r="BG59" s="23">
        <f t="shared" si="10"/>
        <v>0</v>
      </c>
      <c r="BH59" s="23">
        <f t="shared" si="11"/>
        <v>0</v>
      </c>
      <c r="BI59" s="23">
        <f t="shared" si="12"/>
        <v>0</v>
      </c>
      <c r="BJ59" s="18">
        <f t="shared" si="13"/>
        <v>8.2935568338880165E-3</v>
      </c>
      <c r="BL59" s="23"/>
      <c r="BN59" s="12">
        <f t="shared" si="14"/>
        <v>0</v>
      </c>
      <c r="BO59" s="12">
        <f t="shared" si="15"/>
        <v>0</v>
      </c>
      <c r="BP59" s="12">
        <f t="shared" si="16"/>
        <v>0</v>
      </c>
      <c r="BQ59" s="12">
        <f t="shared" si="5"/>
        <v>1</v>
      </c>
      <c r="BR59" s="12">
        <f t="shared" si="17"/>
        <v>0</v>
      </c>
      <c r="BS59" s="23">
        <f t="shared" si="18"/>
        <v>0</v>
      </c>
      <c r="BT59" s="23">
        <f t="shared" si="19"/>
        <v>0</v>
      </c>
      <c r="BU59" s="23">
        <f t="shared" si="20"/>
        <v>0</v>
      </c>
      <c r="BV59" s="18">
        <f t="shared" si="21"/>
        <v>1.2785640158879938E-2</v>
      </c>
      <c r="BX59" s="18">
        <f t="shared" si="22"/>
        <v>0</v>
      </c>
      <c r="BY59" s="18">
        <f t="shared" si="23"/>
        <v>2.1079196992767956E-2</v>
      </c>
    </row>
    <row r="60" spans="1:77" x14ac:dyDescent="0.3">
      <c r="A60" s="1">
        <v>46108</v>
      </c>
      <c r="B60" s="6">
        <v>21.73</v>
      </c>
      <c r="C60" s="6">
        <v>40.54</v>
      </c>
      <c r="D60" s="7">
        <v>-3.2161755267050601E-3</v>
      </c>
      <c r="E60" s="7">
        <v>-3.6932209897445499E-3</v>
      </c>
      <c r="F60" s="6">
        <v>0</v>
      </c>
      <c r="G60" s="6">
        <v>7.9299999999999995E-2</v>
      </c>
      <c r="H60" s="6">
        <v>0</v>
      </c>
      <c r="I60" s="6">
        <v>0</v>
      </c>
      <c r="J60" s="6">
        <v>7.9299999999999995E-2</v>
      </c>
      <c r="K60" s="6">
        <v>0</v>
      </c>
      <c r="L60" s="6">
        <v>21.8093</v>
      </c>
      <c r="M60" s="6">
        <v>40.54</v>
      </c>
      <c r="N60" s="8">
        <v>1.86562356189599</v>
      </c>
      <c r="O60" s="8">
        <v>1.8787268979407299</v>
      </c>
      <c r="P60" s="8">
        <v>1.8679034493785101</v>
      </c>
      <c r="Q60" s="8">
        <v>1.8681729795477799</v>
      </c>
      <c r="R60" s="6">
        <v>40.824735492252103</v>
      </c>
      <c r="S60" s="6">
        <v>40.583870722118398</v>
      </c>
      <c r="T60" s="6">
        <v>40.596563630636197</v>
      </c>
      <c r="U60" s="7">
        <v>6.9990187486630101E-3</v>
      </c>
      <c r="V60" s="7">
        <v>1.0815737958397801E-3</v>
      </c>
      <c r="W60" s="7">
        <v>1.39428236219513E-3</v>
      </c>
      <c r="X60" s="8">
        <v>1.8588400361313699</v>
      </c>
      <c r="Y60" s="8">
        <v>1.8658943630327001</v>
      </c>
      <c r="Z60" s="8">
        <v>1.8611944238321301</v>
      </c>
      <c r="AA60" s="8">
        <v>1.8615165128903699</v>
      </c>
      <c r="AB60" s="6">
        <v>40.693849931689101</v>
      </c>
      <c r="AC60" s="6">
        <v>40.585790582719603</v>
      </c>
      <c r="AD60" s="6">
        <v>40.603558693476202</v>
      </c>
      <c r="AE60" s="7">
        <v>3.7878326773282101E-3</v>
      </c>
      <c r="AF60" s="7">
        <v>1.1288786772637399E-3</v>
      </c>
      <c r="AG60" s="7">
        <v>1.56657429124907E-3</v>
      </c>
      <c r="AZ60" s="23"/>
      <c r="BB60" s="12">
        <f t="shared" si="6"/>
        <v>0</v>
      </c>
      <c r="BC60" s="12">
        <f t="shared" si="7"/>
        <v>1</v>
      </c>
      <c r="BD60" s="12">
        <f t="shared" si="8"/>
        <v>0</v>
      </c>
      <c r="BE60" s="12">
        <f t="shared" si="4"/>
        <v>1</v>
      </c>
      <c r="BF60" s="12">
        <f t="shared" si="9"/>
        <v>0</v>
      </c>
      <c r="BG60" s="23">
        <f t="shared" si="10"/>
        <v>0</v>
      </c>
      <c r="BH60" s="23">
        <f t="shared" si="11"/>
        <v>0</v>
      </c>
      <c r="BI60" s="23">
        <f t="shared" si="12"/>
        <v>0</v>
      </c>
      <c r="BJ60" s="18">
        <f t="shared" si="13"/>
        <v>8.2935568338880165E-3</v>
      </c>
      <c r="BL60" s="23"/>
      <c r="BN60" s="12">
        <f t="shared" si="14"/>
        <v>0</v>
      </c>
      <c r="BO60" s="12">
        <f t="shared" si="15"/>
        <v>0</v>
      </c>
      <c r="BP60" s="12">
        <f t="shared" si="16"/>
        <v>0</v>
      </c>
      <c r="BQ60" s="12">
        <f t="shared" si="5"/>
        <v>1</v>
      </c>
      <c r="BR60" s="12">
        <f t="shared" si="17"/>
        <v>0</v>
      </c>
      <c r="BS60" s="23">
        <f t="shared" si="18"/>
        <v>0</v>
      </c>
      <c r="BT60" s="23">
        <f t="shared" si="19"/>
        <v>0</v>
      </c>
      <c r="BU60" s="23">
        <f t="shared" si="20"/>
        <v>0</v>
      </c>
      <c r="BV60" s="18">
        <f t="shared" si="21"/>
        <v>1.2785640158879938E-2</v>
      </c>
      <c r="BX60" s="18">
        <f t="shared" si="22"/>
        <v>0</v>
      </c>
      <c r="BY60" s="18">
        <f t="shared" si="23"/>
        <v>2.1079196992767956E-2</v>
      </c>
    </row>
    <row r="61" spans="1:77" x14ac:dyDescent="0.3">
      <c r="A61" s="1">
        <v>46111</v>
      </c>
      <c r="B61" s="6">
        <v>21.72</v>
      </c>
      <c r="C61" s="6">
        <v>40.56</v>
      </c>
      <c r="D61" s="7">
        <v>-4.60299202603675E-4</v>
      </c>
      <c r="E61" s="7">
        <v>4.9321825907374999E-4</v>
      </c>
      <c r="F61" s="6">
        <v>0</v>
      </c>
      <c r="G61" s="6">
        <v>7.9299999999999995E-2</v>
      </c>
      <c r="H61" s="6">
        <v>0</v>
      </c>
      <c r="I61" s="6">
        <v>0</v>
      </c>
      <c r="J61" s="6">
        <v>7.9299999999999995E-2</v>
      </c>
      <c r="K61" s="6">
        <v>0</v>
      </c>
      <c r="L61" s="6">
        <v>21.799299999999999</v>
      </c>
      <c r="M61" s="6">
        <v>40.56</v>
      </c>
      <c r="N61" s="8">
        <v>1.8674033149171201</v>
      </c>
      <c r="O61" s="8">
        <v>1.8787268979407299</v>
      </c>
      <c r="P61" s="8">
        <v>1.86795297054881</v>
      </c>
      <c r="Q61" s="8">
        <v>1.86803522275842</v>
      </c>
      <c r="R61" s="6">
        <v>40.805948223272601</v>
      </c>
      <c r="S61" s="6">
        <v>40.570862920501298</v>
      </c>
      <c r="T61" s="6">
        <v>40.576717115777697</v>
      </c>
      <c r="U61" s="7">
        <v>6.04550128698536E-3</v>
      </c>
      <c r="V61" s="7">
        <v>2.6778762545318199E-4</v>
      </c>
      <c r="W61" s="7">
        <v>4.1207277318067398E-4</v>
      </c>
      <c r="X61" s="8">
        <v>1.8606102030799101</v>
      </c>
      <c r="Y61" s="8">
        <v>1.8658943630327001</v>
      </c>
      <c r="Z61" s="8">
        <v>1.8612324303327401</v>
      </c>
      <c r="AA61" s="8">
        <v>1.86136433761104</v>
      </c>
      <c r="AB61" s="6">
        <v>40.675190988058802</v>
      </c>
      <c r="AC61" s="6">
        <v>40.572735603443803</v>
      </c>
      <c r="AD61" s="6">
        <v>40.5797569194511</v>
      </c>
      <c r="AE61" s="7">
        <v>2.8359892766409698E-3</v>
      </c>
      <c r="AF61" s="7">
        <v>3.1394488189504302E-4</v>
      </c>
      <c r="AG61" s="7">
        <v>4.8698494034778302E-4</v>
      </c>
      <c r="AZ61" s="23"/>
      <c r="BB61" s="12">
        <f t="shared" si="6"/>
        <v>0</v>
      </c>
      <c r="BC61" s="12">
        <f t="shared" si="7"/>
        <v>1</v>
      </c>
      <c r="BD61" s="12">
        <f t="shared" si="8"/>
        <v>0</v>
      </c>
      <c r="BE61" s="12">
        <f t="shared" si="4"/>
        <v>1</v>
      </c>
      <c r="BF61" s="12">
        <f t="shared" si="9"/>
        <v>0</v>
      </c>
      <c r="BG61" s="23">
        <f t="shared" si="10"/>
        <v>0</v>
      </c>
      <c r="BH61" s="23">
        <f t="shared" si="11"/>
        <v>0</v>
      </c>
      <c r="BI61" s="23">
        <f t="shared" si="12"/>
        <v>0</v>
      </c>
      <c r="BJ61" s="18">
        <f t="shared" si="13"/>
        <v>8.2935568338880165E-3</v>
      </c>
      <c r="BL61" s="23"/>
      <c r="BN61" s="12">
        <f t="shared" si="14"/>
        <v>0</v>
      </c>
      <c r="BO61" s="12">
        <f t="shared" si="15"/>
        <v>0</v>
      </c>
      <c r="BP61" s="12">
        <f t="shared" si="16"/>
        <v>0</v>
      </c>
      <c r="BQ61" s="12">
        <f t="shared" si="5"/>
        <v>1</v>
      </c>
      <c r="BR61" s="12">
        <f t="shared" si="17"/>
        <v>0</v>
      </c>
      <c r="BS61" s="23">
        <f t="shared" si="18"/>
        <v>0</v>
      </c>
      <c r="BT61" s="23">
        <f t="shared" si="19"/>
        <v>0</v>
      </c>
      <c r="BU61" s="23">
        <f t="shared" si="20"/>
        <v>0</v>
      </c>
      <c r="BV61" s="18">
        <f t="shared" si="21"/>
        <v>1.2785640158879938E-2</v>
      </c>
      <c r="BX61" s="18">
        <f t="shared" si="22"/>
        <v>0</v>
      </c>
      <c r="BY61" s="18">
        <f t="shared" si="23"/>
        <v>2.1079196992767956E-2</v>
      </c>
    </row>
    <row r="62" spans="1:77" x14ac:dyDescent="0.3">
      <c r="A62" s="1">
        <v>46112</v>
      </c>
      <c r="B62" s="6">
        <v>21.95</v>
      </c>
      <c r="C62" s="6">
        <v>41.06</v>
      </c>
      <c r="D62" s="7">
        <v>1.05336444554456E-2</v>
      </c>
      <c r="E62" s="7">
        <v>1.2252052307859701E-2</v>
      </c>
      <c r="F62" s="6">
        <v>0</v>
      </c>
      <c r="G62" s="6">
        <v>7.9299999999999995E-2</v>
      </c>
      <c r="H62" s="6">
        <v>0</v>
      </c>
      <c r="I62" s="6">
        <v>0</v>
      </c>
      <c r="J62" s="6">
        <v>7.9299999999999995E-2</v>
      </c>
      <c r="K62" s="6">
        <v>0</v>
      </c>
      <c r="L62" s="6">
        <v>22.029299999999999</v>
      </c>
      <c r="M62" s="6">
        <v>41.06</v>
      </c>
      <c r="N62" s="8">
        <v>1.8706150341685599</v>
      </c>
      <c r="O62" s="8">
        <v>1.8787268979407299</v>
      </c>
      <c r="P62" s="8">
        <v>1.86801086385736</v>
      </c>
      <c r="Q62" s="8">
        <v>1.8679021238665801</v>
      </c>
      <c r="R62" s="6">
        <v>41.238055409799003</v>
      </c>
      <c r="S62" s="6">
        <v>41.001567703546399</v>
      </c>
      <c r="T62" s="6">
        <v>41.003373139547399</v>
      </c>
      <c r="U62" s="7">
        <v>4.32709343457135E-3</v>
      </c>
      <c r="V62" s="7">
        <v>-1.4241089456178699E-3</v>
      </c>
      <c r="W62" s="7">
        <v>-1.3800765743311001E-3</v>
      </c>
      <c r="X62" s="8">
        <v>1.8638812853790101</v>
      </c>
      <c r="Y62" s="8">
        <v>1.8658943630327001</v>
      </c>
      <c r="Z62" s="8">
        <v>1.86128375870157</v>
      </c>
      <c r="AA62" s="8">
        <v>1.8612236506914299</v>
      </c>
      <c r="AB62" s="6">
        <v>41.104346691556302</v>
      </c>
      <c r="AC62" s="6">
        <v>41.001647577528999</v>
      </c>
      <c r="AD62" s="6">
        <v>41.004553402535002</v>
      </c>
      <c r="AE62" s="7">
        <v>1.0794632379676401E-3</v>
      </c>
      <c r="AF62" s="7">
        <v>-1.4221608760853501E-3</v>
      </c>
      <c r="AG62" s="7">
        <v>-1.3512924546139301E-3</v>
      </c>
      <c r="AZ62" s="23"/>
      <c r="BB62" s="12">
        <f t="shared" si="6"/>
        <v>0</v>
      </c>
      <c r="BC62" s="12">
        <f t="shared" si="7"/>
        <v>0</v>
      </c>
      <c r="BD62" s="12">
        <f t="shared" si="8"/>
        <v>0</v>
      </c>
      <c r="BE62" s="12">
        <f t="shared" si="4"/>
        <v>0</v>
      </c>
      <c r="BF62" s="12">
        <f t="shared" si="9"/>
        <v>0</v>
      </c>
      <c r="BG62" s="23">
        <f t="shared" si="10"/>
        <v>0</v>
      </c>
      <c r="BH62" s="23">
        <f t="shared" si="11"/>
        <v>0</v>
      </c>
      <c r="BI62" s="23">
        <f t="shared" si="12"/>
        <v>0</v>
      </c>
      <c r="BJ62" s="18">
        <f t="shared" si="13"/>
        <v>8.2935568338880165E-3</v>
      </c>
      <c r="BL62" s="23"/>
      <c r="BN62" s="12">
        <f t="shared" si="14"/>
        <v>0</v>
      </c>
      <c r="BO62" s="12">
        <f t="shared" si="15"/>
        <v>1</v>
      </c>
      <c r="BP62" s="12">
        <f t="shared" si="16"/>
        <v>0</v>
      </c>
      <c r="BQ62" s="12">
        <f t="shared" si="5"/>
        <v>0</v>
      </c>
      <c r="BR62" s="12">
        <f t="shared" si="17"/>
        <v>0</v>
      </c>
      <c r="BS62" s="23">
        <f t="shared" si="18"/>
        <v>0</v>
      </c>
      <c r="BT62" s="23">
        <f t="shared" si="19"/>
        <v>0</v>
      </c>
      <c r="BU62" s="23">
        <f t="shared" si="20"/>
        <v>0</v>
      </c>
      <c r="BV62" s="18">
        <f t="shared" si="21"/>
        <v>1.2785640158879938E-2</v>
      </c>
      <c r="BX62" s="18">
        <f t="shared" si="22"/>
        <v>0</v>
      </c>
      <c r="BY62" s="18">
        <f t="shared" si="23"/>
        <v>2.1079196992767956E-2</v>
      </c>
    </row>
    <row r="63" spans="1:77" x14ac:dyDescent="0.3">
      <c r="A63" s="1">
        <v>46113</v>
      </c>
      <c r="B63" s="6">
        <v>21.96</v>
      </c>
      <c r="C63" s="6">
        <v>41.16</v>
      </c>
      <c r="D63" s="7">
        <v>4.5547712014959099E-4</v>
      </c>
      <c r="E63" s="7">
        <v>2.4324993750611899E-3</v>
      </c>
      <c r="F63" s="6">
        <v>4.5400000000000003E-2</v>
      </c>
      <c r="G63" s="6">
        <v>0.12470000000000001</v>
      </c>
      <c r="H63" s="6">
        <v>0</v>
      </c>
      <c r="I63" s="6">
        <v>0</v>
      </c>
      <c r="J63" s="6">
        <v>0.12470000000000001</v>
      </c>
      <c r="K63" s="6">
        <v>0</v>
      </c>
      <c r="L63" s="6">
        <v>22.084700000000002</v>
      </c>
      <c r="M63" s="6">
        <v>41.16</v>
      </c>
      <c r="N63" s="8">
        <v>1.87431693989071</v>
      </c>
      <c r="O63" s="8">
        <v>1.8787268979407299</v>
      </c>
      <c r="P63" s="8">
        <v>1.8686423757799799</v>
      </c>
      <c r="Q63" s="8">
        <v>1.8680867347069301</v>
      </c>
      <c r="R63" s="6">
        <v>41.256842678778398</v>
      </c>
      <c r="S63" s="6">
        <v>41.021518570307698</v>
      </c>
      <c r="T63" s="6">
        <v>41.019130640110198</v>
      </c>
      <c r="U63" s="7">
        <v>2.3500711796597502E-3</v>
      </c>
      <c r="V63" s="7">
        <v>-3.3701387653109799E-3</v>
      </c>
      <c r="W63" s="7">
        <v>-3.4283521076281498E-3</v>
      </c>
      <c r="X63" s="8">
        <v>1.8637337161020899</v>
      </c>
      <c r="Y63" s="8">
        <v>1.8658943630327001</v>
      </c>
      <c r="Z63" s="8">
        <v>1.8615287724954299</v>
      </c>
      <c r="AA63" s="8">
        <v>1.86120657302482</v>
      </c>
      <c r="AB63" s="6">
        <v>41.207717239268298</v>
      </c>
      <c r="AC63" s="6">
        <v>41.105893425796602</v>
      </c>
      <c r="AD63" s="6">
        <v>41.104565958425098</v>
      </c>
      <c r="AE63" s="7">
        <v>1.1586394817261799E-3</v>
      </c>
      <c r="AF63" s="7">
        <v>-1.3154073882110399E-3</v>
      </c>
      <c r="AG63" s="7">
        <v>-1.34770175517005E-3</v>
      </c>
      <c r="AZ63" s="23"/>
      <c r="BB63" s="12">
        <f t="shared" si="6"/>
        <v>0</v>
      </c>
      <c r="BC63" s="12">
        <f t="shared" si="7"/>
        <v>0</v>
      </c>
      <c r="BD63" s="12">
        <f t="shared" si="8"/>
        <v>0</v>
      </c>
      <c r="BE63" s="12">
        <f t="shared" si="4"/>
        <v>1</v>
      </c>
      <c r="BF63" s="12">
        <f t="shared" si="9"/>
        <v>0</v>
      </c>
      <c r="BG63" s="23">
        <f t="shared" si="10"/>
        <v>0</v>
      </c>
      <c r="BH63" s="23">
        <f t="shared" si="11"/>
        <v>0</v>
      </c>
      <c r="BI63" s="23">
        <f t="shared" si="12"/>
        <v>0</v>
      </c>
      <c r="BJ63" s="18">
        <f t="shared" si="13"/>
        <v>8.2935568338880165E-3</v>
      </c>
      <c r="BL63" s="23"/>
      <c r="BN63" s="12">
        <f t="shared" si="14"/>
        <v>0</v>
      </c>
      <c r="BO63" s="12">
        <f t="shared" si="15"/>
        <v>1</v>
      </c>
      <c r="BP63" s="12">
        <f t="shared" si="16"/>
        <v>0</v>
      </c>
      <c r="BQ63" s="12">
        <f t="shared" si="5"/>
        <v>1</v>
      </c>
      <c r="BR63" s="12">
        <f t="shared" si="17"/>
        <v>0</v>
      </c>
      <c r="BS63" s="23">
        <f t="shared" si="18"/>
        <v>0</v>
      </c>
      <c r="BT63" s="23">
        <f t="shared" si="19"/>
        <v>0</v>
      </c>
      <c r="BU63" s="23">
        <f t="shared" si="20"/>
        <v>0</v>
      </c>
      <c r="BV63" s="18">
        <f t="shared" si="21"/>
        <v>1.2785640158879938E-2</v>
      </c>
      <c r="BX63" s="18">
        <f t="shared" si="22"/>
        <v>0</v>
      </c>
      <c r="BY63" s="18">
        <f t="shared" si="23"/>
        <v>2.1079196992767956E-2</v>
      </c>
    </row>
    <row r="64" spans="1:77" x14ac:dyDescent="0.3">
      <c r="A64" s="1">
        <v>46114</v>
      </c>
      <c r="B64" s="6">
        <v>21.88</v>
      </c>
      <c r="C64" s="6">
        <v>40.99</v>
      </c>
      <c r="D64" s="7">
        <v>-3.6496390875494999E-3</v>
      </c>
      <c r="E64" s="7">
        <v>-4.1387764496025803E-3</v>
      </c>
      <c r="F64" s="6">
        <v>0</v>
      </c>
      <c r="G64" s="6">
        <v>0.12470000000000001</v>
      </c>
      <c r="H64" s="6">
        <v>0</v>
      </c>
      <c r="I64" s="6">
        <v>0</v>
      </c>
      <c r="J64" s="6">
        <v>0.12470000000000001</v>
      </c>
      <c r="K64" s="6">
        <v>0</v>
      </c>
      <c r="L64" s="6">
        <v>22.0047</v>
      </c>
      <c r="M64" s="6">
        <v>40.99</v>
      </c>
      <c r="N64" s="8">
        <v>1.8734003656307101</v>
      </c>
      <c r="O64" s="8">
        <v>1.8787268979407299</v>
      </c>
      <c r="P64" s="8">
        <v>1.8690062969757699</v>
      </c>
      <c r="Q64" s="8">
        <v>1.8682746101313199</v>
      </c>
      <c r="R64" s="6">
        <v>41.106544526943203</v>
      </c>
      <c r="S64" s="6">
        <v>40.885895182066001</v>
      </c>
      <c r="T64" s="6">
        <v>40.873737755387701</v>
      </c>
      <c r="U64" s="7">
        <v>2.8392085417129598E-3</v>
      </c>
      <c r="V64" s="7">
        <v>-2.54299201992519E-3</v>
      </c>
      <c r="W64" s="7">
        <v>-2.84038637777876E-3</v>
      </c>
      <c r="X64" s="8">
        <v>1.8627838598117601</v>
      </c>
      <c r="Y64" s="8">
        <v>1.8658943630327001</v>
      </c>
      <c r="Z64" s="8">
        <v>1.8614968568506001</v>
      </c>
      <c r="AA64" s="8">
        <v>1.8611933991712399</v>
      </c>
      <c r="AB64" s="6">
        <v>41.058445690225703</v>
      </c>
      <c r="AC64" s="6">
        <v>40.962382180130298</v>
      </c>
      <c r="AD64" s="6">
        <v>40.955292277439298</v>
      </c>
      <c r="AE64" s="7">
        <v>1.66842176051628E-3</v>
      </c>
      <c r="AF64" s="7">
        <v>-6.7399678155736001E-4</v>
      </c>
      <c r="AG64" s="7">
        <v>-8.4709502331434998E-4</v>
      </c>
      <c r="AZ64" s="23"/>
      <c r="BB64" s="12">
        <f t="shared" si="6"/>
        <v>0</v>
      </c>
      <c r="BC64" s="12">
        <f t="shared" si="7"/>
        <v>0</v>
      </c>
      <c r="BD64" s="12">
        <f t="shared" si="8"/>
        <v>0</v>
      </c>
      <c r="BE64" s="12">
        <f t="shared" si="4"/>
        <v>1</v>
      </c>
      <c r="BF64" s="12">
        <f t="shared" si="9"/>
        <v>0</v>
      </c>
      <c r="BG64" s="23">
        <f t="shared" si="10"/>
        <v>0</v>
      </c>
      <c r="BH64" s="23">
        <f t="shared" si="11"/>
        <v>0</v>
      </c>
      <c r="BI64" s="23">
        <f t="shared" si="12"/>
        <v>0</v>
      </c>
      <c r="BJ64" s="18">
        <f t="shared" si="13"/>
        <v>8.2935568338880165E-3</v>
      </c>
      <c r="BL64" s="23"/>
      <c r="BN64" s="12">
        <f t="shared" si="14"/>
        <v>0</v>
      </c>
      <c r="BO64" s="12">
        <f t="shared" si="15"/>
        <v>1</v>
      </c>
      <c r="BP64" s="12">
        <f t="shared" si="16"/>
        <v>0</v>
      </c>
      <c r="BQ64" s="12">
        <f t="shared" si="5"/>
        <v>1</v>
      </c>
      <c r="BR64" s="12">
        <f t="shared" si="17"/>
        <v>0</v>
      </c>
      <c r="BS64" s="23">
        <f t="shared" si="18"/>
        <v>0</v>
      </c>
      <c r="BT64" s="23">
        <f t="shared" si="19"/>
        <v>0</v>
      </c>
      <c r="BU64" s="23">
        <f t="shared" si="20"/>
        <v>0</v>
      </c>
      <c r="BV64" s="18">
        <f t="shared" si="21"/>
        <v>1.2785640158879938E-2</v>
      </c>
      <c r="BX64" s="18">
        <f t="shared" si="22"/>
        <v>0</v>
      </c>
      <c r="BY64" s="18">
        <f t="shared" si="23"/>
        <v>2.1079196992767956E-2</v>
      </c>
    </row>
    <row r="65" spans="1:77" x14ac:dyDescent="0.3">
      <c r="A65" s="1">
        <v>46118</v>
      </c>
      <c r="B65" s="6">
        <v>21.86</v>
      </c>
      <c r="C65" s="6">
        <v>40.89</v>
      </c>
      <c r="D65" s="7">
        <v>-9.1449480538793003E-4</v>
      </c>
      <c r="E65" s="7">
        <v>-2.44260013969533E-3</v>
      </c>
      <c r="F65" s="6">
        <v>0</v>
      </c>
      <c r="G65" s="6">
        <v>0.12470000000000001</v>
      </c>
      <c r="H65" s="6">
        <v>0</v>
      </c>
      <c r="I65" s="6">
        <v>0</v>
      </c>
      <c r="J65" s="6">
        <v>0.12470000000000001</v>
      </c>
      <c r="K65" s="6">
        <v>0</v>
      </c>
      <c r="L65" s="6">
        <v>21.9847</v>
      </c>
      <c r="M65" s="6">
        <v>40.89</v>
      </c>
      <c r="N65" s="8">
        <v>1.8705397987191199</v>
      </c>
      <c r="O65" s="8">
        <v>1.8787268979407299</v>
      </c>
      <c r="P65" s="8">
        <v>1.8692445834170199</v>
      </c>
      <c r="Q65" s="8">
        <v>1.8682640329832001</v>
      </c>
      <c r="R65" s="6">
        <v>41.0689699889843</v>
      </c>
      <c r="S65" s="6">
        <v>40.856477651890302</v>
      </c>
      <c r="T65" s="6">
        <v>40.840482977470799</v>
      </c>
      <c r="U65" s="7">
        <v>4.3673138760202297E-3</v>
      </c>
      <c r="V65" s="7">
        <v>-8.2015399199064599E-4</v>
      </c>
      <c r="W65" s="7">
        <v>-1.21171506110951E-3</v>
      </c>
      <c r="X65" s="8">
        <v>1.8599298603119401</v>
      </c>
      <c r="Y65" s="8">
        <v>1.8658943630327001</v>
      </c>
      <c r="Z65" s="8">
        <v>1.86134755653632</v>
      </c>
      <c r="AA65" s="8">
        <v>1.86098288483813</v>
      </c>
      <c r="AB65" s="6">
        <v>41.021127802965097</v>
      </c>
      <c r="AC65" s="6">
        <v>40.924449948803499</v>
      </c>
      <c r="AD65" s="6">
        <v>40.917778522760102</v>
      </c>
      <c r="AE65" s="7">
        <v>3.2017118674277198E-3</v>
      </c>
      <c r="AF65" s="7">
        <v>8.4214832125982205E-4</v>
      </c>
      <c r="AG65" s="7">
        <v>6.79116933116862E-4</v>
      </c>
      <c r="AZ65" s="23"/>
      <c r="BB65" s="12">
        <f t="shared" si="6"/>
        <v>0</v>
      </c>
      <c r="BC65" s="12">
        <f t="shared" si="7"/>
        <v>1</v>
      </c>
      <c r="BD65" s="12">
        <f t="shared" si="8"/>
        <v>0</v>
      </c>
      <c r="BE65" s="12">
        <f t="shared" si="4"/>
        <v>1</v>
      </c>
      <c r="BF65" s="12">
        <f t="shared" si="9"/>
        <v>0</v>
      </c>
      <c r="BG65" s="23">
        <f t="shared" si="10"/>
        <v>0</v>
      </c>
      <c r="BH65" s="23">
        <f t="shared" si="11"/>
        <v>0</v>
      </c>
      <c r="BI65" s="23">
        <f t="shared" si="12"/>
        <v>0</v>
      </c>
      <c r="BJ65" s="18">
        <f t="shared" si="13"/>
        <v>8.2935568338880165E-3</v>
      </c>
      <c r="BL65" s="23"/>
      <c r="BN65" s="12">
        <f t="shared" si="14"/>
        <v>0</v>
      </c>
      <c r="BO65" s="12">
        <f t="shared" si="15"/>
        <v>0</v>
      </c>
      <c r="BP65" s="12">
        <f t="shared" si="16"/>
        <v>0</v>
      </c>
      <c r="BQ65" s="12">
        <f t="shared" si="5"/>
        <v>1</v>
      </c>
      <c r="BR65" s="12">
        <f t="shared" si="17"/>
        <v>0</v>
      </c>
      <c r="BS65" s="23">
        <f t="shared" si="18"/>
        <v>0</v>
      </c>
      <c r="BT65" s="23">
        <f t="shared" si="19"/>
        <v>0</v>
      </c>
      <c r="BU65" s="23">
        <f t="shared" si="20"/>
        <v>0</v>
      </c>
      <c r="BV65" s="18">
        <f t="shared" si="21"/>
        <v>1.2785640158879938E-2</v>
      </c>
      <c r="BX65" s="18">
        <f t="shared" si="22"/>
        <v>0</v>
      </c>
      <c r="BY65" s="18">
        <f t="shared" si="23"/>
        <v>2.1079196992767956E-2</v>
      </c>
    </row>
    <row r="66" spans="1:77" x14ac:dyDescent="0.3">
      <c r="A66" s="1">
        <v>46119</v>
      </c>
      <c r="B66" s="6">
        <v>21.93</v>
      </c>
      <c r="C66" s="6">
        <v>41.1</v>
      </c>
      <c r="D66" s="7">
        <v>3.1970796814044101E-3</v>
      </c>
      <c r="E66" s="7">
        <v>5.1225871256379198E-3</v>
      </c>
      <c r="F66" s="6">
        <v>0</v>
      </c>
      <c r="G66" s="6">
        <v>0.12470000000000001</v>
      </c>
      <c r="H66" s="6">
        <v>0</v>
      </c>
      <c r="I66" s="6">
        <v>0</v>
      </c>
      <c r="J66" s="6">
        <v>0.12470000000000001</v>
      </c>
      <c r="K66" s="6">
        <v>0</v>
      </c>
      <c r="L66" s="6">
        <v>22.0547</v>
      </c>
      <c r="M66" s="6">
        <v>41.1</v>
      </c>
      <c r="N66" s="8">
        <v>1.8741450068399399</v>
      </c>
      <c r="O66" s="8">
        <v>1.8787268979407299</v>
      </c>
      <c r="P66" s="8">
        <v>1.87013105516793</v>
      </c>
      <c r="Q66" s="8">
        <v>1.8686201008173899</v>
      </c>
      <c r="R66" s="6">
        <v>41.200480871840199</v>
      </c>
      <c r="S66" s="6">
        <v>40.992533714335401</v>
      </c>
      <c r="T66" s="6">
        <v>40.9710302433217</v>
      </c>
      <c r="U66" s="7">
        <v>2.4418064317864E-3</v>
      </c>
      <c r="V66" s="7">
        <v>-2.6181759093284098E-3</v>
      </c>
      <c r="W66" s="7">
        <v>-3.14288397395532E-3</v>
      </c>
      <c r="X66" s="8">
        <v>1.86354835930663</v>
      </c>
      <c r="Y66" s="8">
        <v>1.8658943630327001</v>
      </c>
      <c r="Z66" s="8">
        <v>1.86184067610656</v>
      </c>
      <c r="AA66" s="8">
        <v>1.8611382878897</v>
      </c>
      <c r="AB66" s="6">
        <v>41.1517404083774</v>
      </c>
      <c r="AC66" s="6">
        <v>41.051461955141697</v>
      </c>
      <c r="AD66" s="6">
        <v>41.0434192302395</v>
      </c>
      <c r="AE66" s="7">
        <v>1.2580989762678799E-3</v>
      </c>
      <c r="AF66" s="7">
        <v>-1.18167222715459E-3</v>
      </c>
      <c r="AG66" s="7">
        <v>-1.3776095331552E-3</v>
      </c>
      <c r="AZ66" s="23"/>
      <c r="BB66" s="12">
        <f t="shared" si="6"/>
        <v>0</v>
      </c>
      <c r="BC66" s="12">
        <f t="shared" si="7"/>
        <v>0</v>
      </c>
      <c r="BD66" s="12">
        <f t="shared" si="8"/>
        <v>0</v>
      </c>
      <c r="BE66" s="12">
        <f t="shared" si="4"/>
        <v>1</v>
      </c>
      <c r="BF66" s="12">
        <f t="shared" si="9"/>
        <v>0</v>
      </c>
      <c r="BG66" s="23">
        <f t="shared" si="10"/>
        <v>0</v>
      </c>
      <c r="BH66" s="23">
        <f t="shared" si="11"/>
        <v>0</v>
      </c>
      <c r="BI66" s="23">
        <f t="shared" si="12"/>
        <v>0</v>
      </c>
      <c r="BJ66" s="18">
        <f t="shared" si="13"/>
        <v>8.2935568338880165E-3</v>
      </c>
      <c r="BL66" s="23"/>
      <c r="BN66" s="12">
        <f t="shared" si="14"/>
        <v>0</v>
      </c>
      <c r="BO66" s="12">
        <f t="shared" si="15"/>
        <v>1</v>
      </c>
      <c r="BP66" s="12">
        <f t="shared" si="16"/>
        <v>0</v>
      </c>
      <c r="BQ66" s="12">
        <f t="shared" si="5"/>
        <v>1</v>
      </c>
      <c r="BR66" s="12">
        <f t="shared" si="17"/>
        <v>0</v>
      </c>
      <c r="BS66" s="23">
        <f t="shared" si="18"/>
        <v>0</v>
      </c>
      <c r="BT66" s="23">
        <f t="shared" si="19"/>
        <v>0</v>
      </c>
      <c r="BU66" s="23">
        <f t="shared" si="20"/>
        <v>0</v>
      </c>
      <c r="BV66" s="18">
        <f t="shared" si="21"/>
        <v>1.2785640158879938E-2</v>
      </c>
      <c r="BX66" s="18">
        <f t="shared" si="22"/>
        <v>0</v>
      </c>
      <c r="BY66" s="18">
        <f t="shared" si="23"/>
        <v>2.1079196992767956E-2</v>
      </c>
    </row>
    <row r="67" spans="1:77" x14ac:dyDescent="0.3">
      <c r="A67" s="1">
        <v>46120</v>
      </c>
      <c r="B67" s="6">
        <v>22.25</v>
      </c>
      <c r="C67" s="6">
        <v>41.68</v>
      </c>
      <c r="D67" s="7">
        <v>1.44864461824523E-2</v>
      </c>
      <c r="E67" s="7">
        <v>1.4013275942922499E-2</v>
      </c>
      <c r="F67" s="6">
        <v>0</v>
      </c>
      <c r="G67" s="6">
        <v>0.12470000000000001</v>
      </c>
      <c r="H67" s="6">
        <v>0</v>
      </c>
      <c r="I67" s="6">
        <v>0</v>
      </c>
      <c r="J67" s="6">
        <v>0.12470000000000001</v>
      </c>
      <c r="K67" s="6">
        <v>0</v>
      </c>
      <c r="L67" s="6">
        <v>22.374700000000001</v>
      </c>
      <c r="M67" s="6">
        <v>41.68</v>
      </c>
      <c r="N67" s="8">
        <v>1.87325842696629</v>
      </c>
      <c r="O67" s="8">
        <v>1.8787268979407299</v>
      </c>
      <c r="P67" s="8">
        <v>1.8706052145160601</v>
      </c>
      <c r="Q67" s="8">
        <v>1.8688261217637401</v>
      </c>
      <c r="R67" s="6">
        <v>41.801673479181197</v>
      </c>
      <c r="S67" s="6">
        <v>41.610415977486397</v>
      </c>
      <c r="T67" s="6">
        <v>41.576797243187002</v>
      </c>
      <c r="U67" s="7">
        <v>2.91497667131646E-3</v>
      </c>
      <c r="V67" s="7">
        <v>-1.6708774445613999E-3</v>
      </c>
      <c r="W67" s="7">
        <v>-2.4791443603068399E-3</v>
      </c>
      <c r="X67" s="8">
        <v>1.8628182724237601</v>
      </c>
      <c r="Y67" s="8">
        <v>1.8658943630327001</v>
      </c>
      <c r="Z67" s="8">
        <v>1.86194252483647</v>
      </c>
      <c r="AA67" s="8">
        <v>1.8611521348020901</v>
      </c>
      <c r="AB67" s="6">
        <v>41.748826604547801</v>
      </c>
      <c r="AC67" s="6">
        <v>41.6581265756815</v>
      </c>
      <c r="AD67" s="6">
        <v>41.6424108500457</v>
      </c>
      <c r="AE67" s="7">
        <v>1.6499481765016001E-3</v>
      </c>
      <c r="AF67" s="7">
        <v>-5.2493200218162097E-4</v>
      </c>
      <c r="AG67" s="7">
        <v>-9.0225791886695697E-4</v>
      </c>
      <c r="AZ67" s="23"/>
      <c r="BB67" s="12">
        <f t="shared" si="6"/>
        <v>0</v>
      </c>
      <c r="BC67" s="12">
        <f t="shared" si="7"/>
        <v>0</v>
      </c>
      <c r="BD67" s="12">
        <f t="shared" si="8"/>
        <v>0</v>
      </c>
      <c r="BE67" s="12">
        <f t="shared" si="4"/>
        <v>1</v>
      </c>
      <c r="BF67" s="12">
        <f t="shared" si="9"/>
        <v>0</v>
      </c>
      <c r="BG67" s="23">
        <f t="shared" si="10"/>
        <v>0</v>
      </c>
      <c r="BH67" s="23">
        <f t="shared" si="11"/>
        <v>0</v>
      </c>
      <c r="BI67" s="23">
        <f t="shared" si="12"/>
        <v>0</v>
      </c>
      <c r="BJ67" s="18">
        <f t="shared" si="13"/>
        <v>8.2935568338880165E-3</v>
      </c>
      <c r="BL67" s="23"/>
      <c r="BN67" s="12">
        <f t="shared" si="14"/>
        <v>0</v>
      </c>
      <c r="BO67" s="12">
        <f t="shared" si="15"/>
        <v>1</v>
      </c>
      <c r="BP67" s="12">
        <f t="shared" si="16"/>
        <v>0</v>
      </c>
      <c r="BQ67" s="12">
        <f t="shared" si="5"/>
        <v>1</v>
      </c>
      <c r="BR67" s="12">
        <f t="shared" si="17"/>
        <v>0</v>
      </c>
      <c r="BS67" s="23">
        <f t="shared" si="18"/>
        <v>0</v>
      </c>
      <c r="BT67" s="23">
        <f t="shared" si="19"/>
        <v>0</v>
      </c>
      <c r="BU67" s="23">
        <f t="shared" si="20"/>
        <v>0</v>
      </c>
      <c r="BV67" s="18">
        <f t="shared" si="21"/>
        <v>1.2785640158879938E-2</v>
      </c>
      <c r="BX67" s="18">
        <f t="shared" si="22"/>
        <v>0</v>
      </c>
      <c r="BY67" s="18">
        <f t="shared" si="23"/>
        <v>2.1079196992767956E-2</v>
      </c>
    </row>
    <row r="68" spans="1:77" x14ac:dyDescent="0.3">
      <c r="A68" s="1">
        <v>46121</v>
      </c>
      <c r="B68" s="6">
        <v>22.22</v>
      </c>
      <c r="C68" s="6">
        <v>41.7</v>
      </c>
      <c r="D68" s="7">
        <v>-1.3492244007653801E-3</v>
      </c>
      <c r="E68" s="7">
        <v>4.7973135964446601E-4</v>
      </c>
      <c r="F68" s="6">
        <v>0</v>
      </c>
      <c r="G68" s="6">
        <v>0.12470000000000001</v>
      </c>
      <c r="H68" s="6">
        <v>0</v>
      </c>
      <c r="I68" s="6">
        <v>0</v>
      </c>
      <c r="J68" s="6">
        <v>0.12470000000000001</v>
      </c>
      <c r="K68" s="6">
        <v>0</v>
      </c>
      <c r="L68" s="6">
        <v>22.3447</v>
      </c>
      <c r="M68" s="6">
        <v>41.7</v>
      </c>
      <c r="N68" s="8">
        <v>1.8766876687668701</v>
      </c>
      <c r="O68" s="8">
        <v>1.8787268979407299</v>
      </c>
      <c r="P68" s="8">
        <v>1.87125038792632</v>
      </c>
      <c r="Q68" s="8">
        <v>1.8694827673205701</v>
      </c>
      <c r="R68" s="6">
        <v>41.745311672242998</v>
      </c>
      <c r="S68" s="6">
        <v>41.564847866546799</v>
      </c>
      <c r="T68" s="6">
        <v>41.525316425590297</v>
      </c>
      <c r="U68" s="7">
        <v>1.08602091090659E-3</v>
      </c>
      <c r="V68" s="7">
        <v>-3.2463219620038398E-3</v>
      </c>
      <c r="W68" s="7">
        <v>-4.1978532118442302E-3</v>
      </c>
      <c r="X68" s="8">
        <v>1.8662143595573</v>
      </c>
      <c r="Y68" s="8">
        <v>1.8658943630327001</v>
      </c>
      <c r="Z68" s="8">
        <v>1.86221086643569</v>
      </c>
      <c r="AA68" s="8">
        <v>1.86161558117485</v>
      </c>
      <c r="AB68" s="6">
        <v>41.692849773656803</v>
      </c>
      <c r="AC68" s="6">
        <v>41.604547134713599</v>
      </c>
      <c r="AD68" s="6">
        <v>41.586886106512303</v>
      </c>
      <c r="AE68" s="7">
        <v>-1.71482959991185E-4</v>
      </c>
      <c r="AF68" s="7">
        <v>-2.2916613880934302E-3</v>
      </c>
      <c r="AG68" s="7">
        <v>-2.7162490596486801E-3</v>
      </c>
      <c r="AZ68" s="23"/>
      <c r="BB68" s="12">
        <f t="shared" si="6"/>
        <v>0</v>
      </c>
      <c r="BC68" s="12">
        <f t="shared" si="7"/>
        <v>0</v>
      </c>
      <c r="BD68" s="12">
        <f t="shared" si="8"/>
        <v>0</v>
      </c>
      <c r="BE68" s="12">
        <f t="shared" si="4"/>
        <v>1</v>
      </c>
      <c r="BF68" s="12">
        <f t="shared" si="9"/>
        <v>0</v>
      </c>
      <c r="BG68" s="23">
        <f t="shared" si="10"/>
        <v>0</v>
      </c>
      <c r="BH68" s="23">
        <f t="shared" si="11"/>
        <v>0</v>
      </c>
      <c r="BI68" s="23">
        <f t="shared" si="12"/>
        <v>0</v>
      </c>
      <c r="BJ68" s="18">
        <f t="shared" si="13"/>
        <v>8.2935568338880165E-3</v>
      </c>
      <c r="BL68" s="23"/>
      <c r="BN68" s="12">
        <f t="shared" si="14"/>
        <v>0</v>
      </c>
      <c r="BO68" s="12">
        <f t="shared" si="15"/>
        <v>1</v>
      </c>
      <c r="BP68" s="12">
        <f t="shared" si="16"/>
        <v>0</v>
      </c>
      <c r="BQ68" s="12">
        <f t="shared" si="5"/>
        <v>1</v>
      </c>
      <c r="BR68" s="12">
        <f t="shared" si="17"/>
        <v>0</v>
      </c>
      <c r="BS68" s="23">
        <f t="shared" si="18"/>
        <v>0</v>
      </c>
      <c r="BT68" s="23">
        <f t="shared" si="19"/>
        <v>0</v>
      </c>
      <c r="BU68" s="23">
        <f t="shared" si="20"/>
        <v>0</v>
      </c>
      <c r="BV68" s="18">
        <f t="shared" si="21"/>
        <v>1.2785640158879938E-2</v>
      </c>
      <c r="BX68" s="18">
        <f t="shared" si="22"/>
        <v>0</v>
      </c>
      <c r="BY68" s="18">
        <f t="shared" si="23"/>
        <v>2.1079196992767956E-2</v>
      </c>
    </row>
    <row r="69" spans="1:77" x14ac:dyDescent="0.3">
      <c r="A69" s="1">
        <v>46122</v>
      </c>
      <c r="B69" s="6">
        <v>22.17</v>
      </c>
      <c r="C69" s="6">
        <v>41.62</v>
      </c>
      <c r="D69" s="7">
        <v>-2.2527605832637402E-3</v>
      </c>
      <c r="E69" s="7">
        <v>-1.92030783926756E-3</v>
      </c>
      <c r="F69" s="6">
        <v>0</v>
      </c>
      <c r="G69" s="6">
        <v>0.12470000000000001</v>
      </c>
      <c r="H69" s="6">
        <v>0</v>
      </c>
      <c r="I69" s="6">
        <v>0</v>
      </c>
      <c r="J69" s="6">
        <v>0.12470000000000001</v>
      </c>
      <c r="K69" s="6">
        <v>0</v>
      </c>
      <c r="L69" s="6">
        <v>22.294699999999999</v>
      </c>
      <c r="M69" s="6">
        <v>41.62</v>
      </c>
      <c r="N69" s="8">
        <v>1.8773116824537599</v>
      </c>
      <c r="O69" s="8">
        <v>1.8787268979407299</v>
      </c>
      <c r="P69" s="8">
        <v>1.8723301800249099</v>
      </c>
      <c r="Q69" s="8">
        <v>1.86998632153841</v>
      </c>
      <c r="R69" s="6">
        <v>41.651375327346003</v>
      </c>
      <c r="S69" s="6">
        <v>41.485621100326597</v>
      </c>
      <c r="T69" s="6">
        <v>41.446432951497201</v>
      </c>
      <c r="U69" s="7">
        <v>7.5356816691040003E-4</v>
      </c>
      <c r="V69" s="7">
        <v>-3.2339332769317801E-3</v>
      </c>
      <c r="W69" s="7">
        <v>-4.1789997459621602E-3</v>
      </c>
      <c r="X69" s="8">
        <v>1.86681139463639</v>
      </c>
      <c r="Y69" s="8">
        <v>1.8658943630327001</v>
      </c>
      <c r="Z69" s="8">
        <v>1.8629171346740201</v>
      </c>
      <c r="AA69" s="8">
        <v>1.8619283802773501</v>
      </c>
      <c r="AB69" s="6">
        <v>41.599555055505199</v>
      </c>
      <c r="AC69" s="6">
        <v>41.517432603923801</v>
      </c>
      <c r="AD69" s="6">
        <v>41.504160897619002</v>
      </c>
      <c r="AE69" s="7">
        <v>-4.9134953659476198E-4</v>
      </c>
      <c r="AF69" s="7">
        <v>-2.4674191853374899E-3</v>
      </c>
      <c r="AG69" s="7">
        <v>-2.7871361615640598E-3</v>
      </c>
      <c r="AZ69" s="23"/>
      <c r="BB69" s="12">
        <f t="shared" si="6"/>
        <v>0</v>
      </c>
      <c r="BC69" s="12">
        <f t="shared" si="7"/>
        <v>0</v>
      </c>
      <c r="BD69" s="12">
        <f t="shared" si="8"/>
        <v>0</v>
      </c>
      <c r="BE69" s="12">
        <f t="shared" si="4"/>
        <v>1</v>
      </c>
      <c r="BF69" s="12">
        <f t="shared" si="9"/>
        <v>0</v>
      </c>
      <c r="BG69" s="23">
        <f t="shared" si="10"/>
        <v>0</v>
      </c>
      <c r="BH69" s="23">
        <f t="shared" si="11"/>
        <v>0</v>
      </c>
      <c r="BI69" s="23">
        <f t="shared" si="12"/>
        <v>0</v>
      </c>
      <c r="BJ69" s="18">
        <f t="shared" si="13"/>
        <v>8.2935568338880165E-3</v>
      </c>
      <c r="BL69" s="23"/>
      <c r="BN69" s="12">
        <f t="shared" si="14"/>
        <v>0</v>
      </c>
      <c r="BO69" s="12">
        <f t="shared" si="15"/>
        <v>1</v>
      </c>
      <c r="BP69" s="12">
        <f t="shared" si="16"/>
        <v>0</v>
      </c>
      <c r="BQ69" s="12">
        <f t="shared" si="5"/>
        <v>1</v>
      </c>
      <c r="BR69" s="12">
        <f t="shared" si="17"/>
        <v>0</v>
      </c>
      <c r="BS69" s="23">
        <f t="shared" si="18"/>
        <v>0</v>
      </c>
      <c r="BT69" s="23">
        <f t="shared" si="19"/>
        <v>0</v>
      </c>
      <c r="BU69" s="23">
        <f t="shared" si="20"/>
        <v>0</v>
      </c>
      <c r="BV69" s="18">
        <f t="shared" si="21"/>
        <v>1.2785640158879938E-2</v>
      </c>
      <c r="BX69" s="18">
        <f t="shared" si="22"/>
        <v>0</v>
      </c>
      <c r="BY69" s="18">
        <f t="shared" si="23"/>
        <v>2.1079196992767956E-2</v>
      </c>
    </row>
    <row r="70" spans="1:77" x14ac:dyDescent="0.3">
      <c r="A70" s="1">
        <v>46125</v>
      </c>
      <c r="B70" s="6">
        <v>22.21</v>
      </c>
      <c r="C70" s="6">
        <v>41.69</v>
      </c>
      <c r="D70" s="7">
        <v>1.8026142781158701E-3</v>
      </c>
      <c r="E70" s="7">
        <v>1.6804709272172E-3</v>
      </c>
      <c r="F70" s="6">
        <v>0</v>
      </c>
      <c r="G70" s="6">
        <v>0.12470000000000001</v>
      </c>
      <c r="H70" s="6">
        <v>0</v>
      </c>
      <c r="I70" s="6">
        <v>0</v>
      </c>
      <c r="J70" s="6">
        <v>0.12470000000000001</v>
      </c>
      <c r="K70" s="6">
        <v>0</v>
      </c>
      <c r="L70" s="6">
        <v>22.334700000000002</v>
      </c>
      <c r="M70" s="6">
        <v>41.69</v>
      </c>
      <c r="N70" s="8">
        <v>1.87708239531742</v>
      </c>
      <c r="O70" s="8">
        <v>1.8787268979407299</v>
      </c>
      <c r="P70" s="8">
        <v>1.87347606336705</v>
      </c>
      <c r="Q70" s="8">
        <v>1.87068975637278</v>
      </c>
      <c r="R70" s="6">
        <v>41.726524403263603</v>
      </c>
      <c r="S70" s="6">
        <v>41.584453298353203</v>
      </c>
      <c r="T70" s="6">
        <v>41.532396201368201</v>
      </c>
      <c r="U70" s="7">
        <v>8.75711517809266E-4</v>
      </c>
      <c r="V70" s="7">
        <v>-2.5349132653429002E-3</v>
      </c>
      <c r="W70" s="7">
        <v>-3.7875378319638599E-3</v>
      </c>
      <c r="X70" s="8">
        <v>1.86660219300012</v>
      </c>
      <c r="Y70" s="8">
        <v>1.8658943630327001</v>
      </c>
      <c r="Z70" s="8">
        <v>1.8636933503608899</v>
      </c>
      <c r="AA70" s="8">
        <v>1.8624438870965101</v>
      </c>
      <c r="AB70" s="6">
        <v>41.674190830026497</v>
      </c>
      <c r="AC70" s="6">
        <v>41.607695327803803</v>
      </c>
      <c r="AD70" s="6">
        <v>41.585611794980601</v>
      </c>
      <c r="AE70" s="7">
        <v>-3.7927964046784298E-4</v>
      </c>
      <c r="AF70" s="7">
        <v>-1.9761578914501499E-3</v>
      </c>
      <c r="AG70" s="7">
        <v>-2.50705476538589E-3</v>
      </c>
      <c r="AZ70" s="23"/>
      <c r="BB70" s="12">
        <f t="shared" si="6"/>
        <v>0</v>
      </c>
      <c r="BC70" s="12">
        <f t="shared" si="7"/>
        <v>0</v>
      </c>
      <c r="BD70" s="12">
        <f t="shared" si="8"/>
        <v>0</v>
      </c>
      <c r="BE70" s="12">
        <f t="shared" si="4"/>
        <v>1</v>
      </c>
      <c r="BF70" s="12">
        <f t="shared" si="9"/>
        <v>0</v>
      </c>
      <c r="BG70" s="23">
        <f t="shared" si="10"/>
        <v>0</v>
      </c>
      <c r="BH70" s="23">
        <f t="shared" si="11"/>
        <v>0</v>
      </c>
      <c r="BI70" s="23">
        <f t="shared" si="12"/>
        <v>0</v>
      </c>
      <c r="BJ70" s="18">
        <f t="shared" si="13"/>
        <v>8.2935568338880165E-3</v>
      </c>
      <c r="BL70" s="23"/>
      <c r="BN70" s="12">
        <f t="shared" si="14"/>
        <v>0</v>
      </c>
      <c r="BO70" s="12">
        <f t="shared" si="15"/>
        <v>1</v>
      </c>
      <c r="BP70" s="12">
        <f t="shared" si="16"/>
        <v>0</v>
      </c>
      <c r="BQ70" s="12">
        <f t="shared" si="5"/>
        <v>1</v>
      </c>
      <c r="BR70" s="12">
        <f t="shared" si="17"/>
        <v>0</v>
      </c>
      <c r="BS70" s="23">
        <f t="shared" si="18"/>
        <v>0</v>
      </c>
      <c r="BT70" s="23">
        <f t="shared" si="19"/>
        <v>0</v>
      </c>
      <c r="BU70" s="23">
        <f t="shared" si="20"/>
        <v>0</v>
      </c>
      <c r="BV70" s="18">
        <f t="shared" si="21"/>
        <v>1.2785640158879938E-2</v>
      </c>
      <c r="BX70" s="18">
        <f t="shared" si="22"/>
        <v>0</v>
      </c>
      <c r="BY70" s="18">
        <f t="shared" si="23"/>
        <v>2.1079196992767956E-2</v>
      </c>
    </row>
    <row r="71" spans="1:77" x14ac:dyDescent="0.3">
      <c r="A71" s="1">
        <v>46126</v>
      </c>
      <c r="B71" s="6">
        <v>22.38</v>
      </c>
      <c r="C71" s="6">
        <v>41.98</v>
      </c>
      <c r="D71" s="7">
        <v>7.6250649774430596E-3</v>
      </c>
      <c r="E71" s="7">
        <v>6.9320224997813703E-3</v>
      </c>
      <c r="F71" s="6">
        <v>0</v>
      </c>
      <c r="G71" s="6">
        <v>0.12470000000000001</v>
      </c>
      <c r="H71" s="6">
        <v>0</v>
      </c>
      <c r="I71" s="6">
        <v>0</v>
      </c>
      <c r="J71" s="6">
        <v>0.12470000000000001</v>
      </c>
      <c r="K71" s="6">
        <v>0</v>
      </c>
      <c r="L71" s="6">
        <v>22.5047</v>
      </c>
      <c r="M71" s="6">
        <v>41.98</v>
      </c>
      <c r="N71" s="8">
        <v>1.875781948168</v>
      </c>
      <c r="O71" s="8">
        <v>1.8787268979407299</v>
      </c>
      <c r="P71" s="8">
        <v>1.87431392669214</v>
      </c>
      <c r="Q71" s="8">
        <v>1.87113344862047</v>
      </c>
      <c r="R71" s="6">
        <v>42.045907975913501</v>
      </c>
      <c r="S71" s="6">
        <v>41.928394298154601</v>
      </c>
      <c r="T71" s="6">
        <v>41.8660367476228</v>
      </c>
      <c r="U71" s="7">
        <v>1.56875399547097E-3</v>
      </c>
      <c r="V71" s="7">
        <v>-1.23004876409979E-3</v>
      </c>
      <c r="W71" s="7">
        <v>-2.71839497672082E-3</v>
      </c>
      <c r="X71" s="8">
        <v>1.86538811892626</v>
      </c>
      <c r="Y71" s="8">
        <v>1.8658943630327001</v>
      </c>
      <c r="Z71" s="8">
        <v>1.86417114194553</v>
      </c>
      <c r="AA71" s="8">
        <v>1.86270178613913</v>
      </c>
      <c r="AB71" s="6">
        <v>41.9913928717421</v>
      </c>
      <c r="AC71" s="6">
        <v>41.9418597418668</v>
      </c>
      <c r="AD71" s="6">
        <v>41.913740945940901</v>
      </c>
      <c r="AE71" s="7">
        <v>2.7135126433897299E-4</v>
      </c>
      <c r="AF71" s="7">
        <v>-9.0894698655068901E-4</v>
      </c>
      <c r="AG71" s="7">
        <v>-1.5795950231563001E-3</v>
      </c>
      <c r="AZ71" s="23"/>
      <c r="BB71" s="12">
        <f t="shared" si="6"/>
        <v>0</v>
      </c>
      <c r="BC71" s="12">
        <f t="shared" si="7"/>
        <v>0</v>
      </c>
      <c r="BD71" s="12">
        <f t="shared" si="8"/>
        <v>0</v>
      </c>
      <c r="BE71" s="12">
        <f t="shared" si="4"/>
        <v>1</v>
      </c>
      <c r="BF71" s="12">
        <f t="shared" si="9"/>
        <v>0</v>
      </c>
      <c r="BG71" s="23">
        <f t="shared" si="10"/>
        <v>0</v>
      </c>
      <c r="BH71" s="23">
        <f t="shared" si="11"/>
        <v>0</v>
      </c>
      <c r="BI71" s="23">
        <f t="shared" si="12"/>
        <v>0</v>
      </c>
      <c r="BJ71" s="18">
        <f t="shared" si="13"/>
        <v>8.2935568338880165E-3</v>
      </c>
      <c r="BL71" s="23"/>
      <c r="BN71" s="12">
        <f t="shared" si="14"/>
        <v>0</v>
      </c>
      <c r="BO71" s="12">
        <f t="shared" si="15"/>
        <v>1</v>
      </c>
      <c r="BP71" s="12">
        <f t="shared" si="16"/>
        <v>0</v>
      </c>
      <c r="BQ71" s="12">
        <f t="shared" si="5"/>
        <v>1</v>
      </c>
      <c r="BR71" s="12">
        <f t="shared" si="17"/>
        <v>0</v>
      </c>
      <c r="BS71" s="23">
        <f t="shared" si="18"/>
        <v>0</v>
      </c>
      <c r="BT71" s="23">
        <f t="shared" si="19"/>
        <v>0</v>
      </c>
      <c r="BU71" s="23">
        <f t="shared" si="20"/>
        <v>0</v>
      </c>
      <c r="BV71" s="18">
        <f t="shared" si="21"/>
        <v>1.2785640158879938E-2</v>
      </c>
      <c r="BX71" s="18">
        <f t="shared" si="22"/>
        <v>0</v>
      </c>
      <c r="BY71" s="18">
        <f t="shared" si="23"/>
        <v>2.1079196992767956E-2</v>
      </c>
    </row>
    <row r="72" spans="1:77" x14ac:dyDescent="0.3">
      <c r="A72" s="1">
        <v>46127</v>
      </c>
      <c r="B72" s="6">
        <v>22.34</v>
      </c>
      <c r="C72" s="6">
        <v>41.97</v>
      </c>
      <c r="D72" s="7">
        <v>-1.78890924272448E-3</v>
      </c>
      <c r="E72" s="7">
        <v>-2.38237046987417E-4</v>
      </c>
      <c r="F72" s="6">
        <v>0</v>
      </c>
      <c r="G72" s="6">
        <v>0.12470000000000001</v>
      </c>
      <c r="H72" s="6">
        <v>0</v>
      </c>
      <c r="I72" s="6">
        <v>0</v>
      </c>
      <c r="J72" s="6">
        <v>0.12470000000000001</v>
      </c>
      <c r="K72" s="6">
        <v>0</v>
      </c>
      <c r="L72" s="6">
        <v>22.464700000000001</v>
      </c>
      <c r="M72" s="6">
        <v>41.97</v>
      </c>
      <c r="N72" s="8">
        <v>1.87869292748433</v>
      </c>
      <c r="O72" s="8">
        <v>1.8787268979407299</v>
      </c>
      <c r="P72" s="8">
        <v>1.8751217160237099</v>
      </c>
      <c r="Q72" s="8">
        <v>1.8715662899405401</v>
      </c>
      <c r="R72" s="6">
        <v>41.9707588999959</v>
      </c>
      <c r="S72" s="6">
        <v>41.872173122302399</v>
      </c>
      <c r="T72" s="6">
        <v>41.801121242181402</v>
      </c>
      <c r="U72" s="7">
        <v>1.8081799733788299E-5</v>
      </c>
      <c r="V72" s="7">
        <v>-2.3335970061100198E-3</v>
      </c>
      <c r="W72" s="7">
        <v>-4.0319141989116902E-3</v>
      </c>
      <c r="X72" s="8">
        <v>1.8682644326432101</v>
      </c>
      <c r="Y72" s="8">
        <v>1.8658943630327001</v>
      </c>
      <c r="Z72" s="8">
        <v>1.86460945667195</v>
      </c>
      <c r="AA72" s="8">
        <v>1.86294660768676</v>
      </c>
      <c r="AB72" s="6">
        <v>41.916757097220803</v>
      </c>
      <c r="AC72" s="6">
        <v>41.878045452463702</v>
      </c>
      <c r="AD72" s="6">
        <v>41.845036815079801</v>
      </c>
      <c r="AE72" s="7">
        <v>-1.2693996471220799E-3</v>
      </c>
      <c r="AF72" s="7">
        <v>-2.1933626217493598E-3</v>
      </c>
      <c r="AG72" s="7">
        <v>-2.9818820646605902E-3</v>
      </c>
      <c r="AZ72" s="23"/>
      <c r="BB72" s="12">
        <f t="shared" si="6"/>
        <v>0</v>
      </c>
      <c r="BC72" s="12">
        <f t="shared" si="7"/>
        <v>0</v>
      </c>
      <c r="BD72" s="12">
        <f t="shared" si="8"/>
        <v>0</v>
      </c>
      <c r="BE72" s="12">
        <f t="shared" si="4"/>
        <v>1</v>
      </c>
      <c r="BF72" s="12">
        <f t="shared" si="9"/>
        <v>0</v>
      </c>
      <c r="BG72" s="23">
        <f t="shared" si="10"/>
        <v>0</v>
      </c>
      <c r="BH72" s="23">
        <f t="shared" si="11"/>
        <v>0</v>
      </c>
      <c r="BI72" s="23">
        <f t="shared" si="12"/>
        <v>0</v>
      </c>
      <c r="BJ72" s="18">
        <f t="shared" si="13"/>
        <v>8.2935568338880165E-3</v>
      </c>
      <c r="BL72" s="23"/>
      <c r="BN72" s="12">
        <f t="shared" si="14"/>
        <v>0</v>
      </c>
      <c r="BO72" s="12">
        <f t="shared" si="15"/>
        <v>1</v>
      </c>
      <c r="BP72" s="12">
        <f t="shared" si="16"/>
        <v>0</v>
      </c>
      <c r="BQ72" s="12">
        <f t="shared" si="5"/>
        <v>1</v>
      </c>
      <c r="BR72" s="12">
        <f t="shared" si="17"/>
        <v>0</v>
      </c>
      <c r="BS72" s="23">
        <f t="shared" si="18"/>
        <v>0</v>
      </c>
      <c r="BT72" s="23">
        <f t="shared" si="19"/>
        <v>0</v>
      </c>
      <c r="BU72" s="23">
        <f t="shared" si="20"/>
        <v>0</v>
      </c>
      <c r="BV72" s="18">
        <f t="shared" si="21"/>
        <v>1.2785640158879938E-2</v>
      </c>
      <c r="BX72" s="18">
        <f t="shared" si="22"/>
        <v>0</v>
      </c>
      <c r="BY72" s="18">
        <f t="shared" si="23"/>
        <v>2.1079196992767956E-2</v>
      </c>
    </row>
    <row r="73" spans="1:77" x14ac:dyDescent="0.3">
      <c r="A73" s="1">
        <v>46128</v>
      </c>
      <c r="B73" s="6">
        <v>22.27</v>
      </c>
      <c r="C73" s="6">
        <v>41.86</v>
      </c>
      <c r="D73" s="7">
        <v>-3.13831237177842E-3</v>
      </c>
      <c r="E73" s="7">
        <v>-2.62436032764576E-3</v>
      </c>
      <c r="F73" s="6">
        <v>0</v>
      </c>
      <c r="G73" s="6">
        <v>0.12470000000000001</v>
      </c>
      <c r="H73" s="6">
        <v>0</v>
      </c>
      <c r="I73" s="6">
        <v>0</v>
      </c>
      <c r="J73" s="6">
        <v>0.12470000000000001</v>
      </c>
      <c r="K73" s="6">
        <v>0</v>
      </c>
      <c r="L73" s="6">
        <v>22.3947</v>
      </c>
      <c r="M73" s="6">
        <v>41.86</v>
      </c>
      <c r="N73" s="8">
        <v>1.8796587337224899</v>
      </c>
      <c r="O73" s="8">
        <v>1.8787268979407299</v>
      </c>
      <c r="P73" s="8">
        <v>1.87565589540689</v>
      </c>
      <c r="Q73" s="8">
        <v>1.8721491355934401</v>
      </c>
      <c r="R73" s="6">
        <v>41.839248017140001</v>
      </c>
      <c r="S73" s="6">
        <v>41.758960615848203</v>
      </c>
      <c r="T73" s="6">
        <v>41.679781276975802</v>
      </c>
      <c r="U73" s="7">
        <v>-4.9587024439873295E-4</v>
      </c>
      <c r="V73" s="7">
        <v>-2.41666322045432E-3</v>
      </c>
      <c r="W73" s="7">
        <v>-4.31456725983447E-3</v>
      </c>
      <c r="X73" s="8">
        <v>1.8691922642410901</v>
      </c>
      <c r="Y73" s="8">
        <v>1.8658943630327001</v>
      </c>
      <c r="Z73" s="8">
        <v>1.8651553114858499</v>
      </c>
      <c r="AA73" s="8">
        <v>1.8633420419906399</v>
      </c>
      <c r="AB73" s="6">
        <v>41.7861444918085</v>
      </c>
      <c r="AC73" s="6">
        <v>41.757369399331303</v>
      </c>
      <c r="AD73" s="6">
        <v>41.720130395162698</v>
      </c>
      <c r="AE73" s="7">
        <v>-1.7659039237940301E-3</v>
      </c>
      <c r="AF73" s="7">
        <v>-2.4547687386633102E-3</v>
      </c>
      <c r="AG73" s="7">
        <v>-3.3469614068788898E-3</v>
      </c>
      <c r="AZ73" s="23"/>
      <c r="BB73" s="12">
        <f t="shared" si="6"/>
        <v>1</v>
      </c>
      <c r="BC73" s="12">
        <f t="shared" si="7"/>
        <v>0</v>
      </c>
      <c r="BD73" s="12">
        <f t="shared" si="8"/>
        <v>0</v>
      </c>
      <c r="BE73" s="12">
        <f t="shared" si="4"/>
        <v>1</v>
      </c>
      <c r="BF73" s="12">
        <f t="shared" si="9"/>
        <v>0</v>
      </c>
      <c r="BG73" s="23">
        <f t="shared" si="10"/>
        <v>0</v>
      </c>
      <c r="BH73" s="23">
        <f t="shared" si="11"/>
        <v>0</v>
      </c>
      <c r="BI73" s="23">
        <f t="shared" si="12"/>
        <v>0</v>
      </c>
      <c r="BJ73" s="18">
        <f t="shared" si="13"/>
        <v>8.2935568338880165E-3</v>
      </c>
      <c r="BL73" s="23"/>
      <c r="BN73" s="12">
        <f t="shared" si="14"/>
        <v>0</v>
      </c>
      <c r="BO73" s="12">
        <f t="shared" si="15"/>
        <v>1</v>
      </c>
      <c r="BP73" s="12">
        <f t="shared" si="16"/>
        <v>0</v>
      </c>
      <c r="BQ73" s="12">
        <f t="shared" si="5"/>
        <v>1</v>
      </c>
      <c r="BR73" s="12">
        <f t="shared" si="17"/>
        <v>0</v>
      </c>
      <c r="BS73" s="23">
        <f t="shared" si="18"/>
        <v>0</v>
      </c>
      <c r="BT73" s="23">
        <f t="shared" si="19"/>
        <v>0</v>
      </c>
      <c r="BU73" s="23">
        <f t="shared" si="20"/>
        <v>0</v>
      </c>
      <c r="BV73" s="18">
        <f t="shared" si="21"/>
        <v>1.2785640158879938E-2</v>
      </c>
      <c r="BX73" s="18">
        <f t="shared" si="22"/>
        <v>0</v>
      </c>
      <c r="BY73" s="18">
        <f t="shared" si="23"/>
        <v>2.1079196992767956E-2</v>
      </c>
    </row>
    <row r="74" spans="1:77" x14ac:dyDescent="0.3">
      <c r="A74" s="1">
        <v>46129</v>
      </c>
      <c r="B74" s="6">
        <v>22.42</v>
      </c>
      <c r="C74" s="6">
        <v>42.13</v>
      </c>
      <c r="D74" s="7">
        <v>6.7129363747376299E-3</v>
      </c>
      <c r="E74" s="7">
        <v>6.4293589730716602E-3</v>
      </c>
      <c r="F74" s="6">
        <v>0</v>
      </c>
      <c r="G74" s="6">
        <v>0.12470000000000001</v>
      </c>
      <c r="H74" s="6">
        <v>0</v>
      </c>
      <c r="I74" s="6">
        <v>0</v>
      </c>
      <c r="J74" s="6">
        <v>0.12470000000000001</v>
      </c>
      <c r="K74" s="6">
        <v>0</v>
      </c>
      <c r="L74" s="6">
        <v>22.544699999999999</v>
      </c>
      <c r="M74" s="6">
        <v>42.13</v>
      </c>
      <c r="N74" s="8">
        <v>1.8791257805530699</v>
      </c>
      <c r="O74" s="8">
        <v>1.8787268979407299</v>
      </c>
      <c r="P74" s="8">
        <v>1.87622843689913</v>
      </c>
      <c r="Q74" s="8">
        <v>1.87261736693745</v>
      </c>
      <c r="R74" s="6">
        <v>42.121057051831201</v>
      </c>
      <c r="S74" s="6">
        <v>42.0522051750226</v>
      </c>
      <c r="T74" s="6">
        <v>41.973583620004902</v>
      </c>
      <c r="U74" s="7">
        <v>-2.1229284273266701E-4</v>
      </c>
      <c r="V74" s="7">
        <v>-1.84824921042074E-3</v>
      </c>
      <c r="W74" s="7">
        <v>-3.7196170152264201E-3</v>
      </c>
      <c r="X74" s="8">
        <v>1.86873189707558</v>
      </c>
      <c r="Y74" s="8">
        <v>1.8658943630327001</v>
      </c>
      <c r="Z74" s="8">
        <v>1.86575011521223</v>
      </c>
      <c r="AA74" s="8">
        <v>1.86362348603142</v>
      </c>
      <c r="AB74" s="6">
        <v>42.066028646263398</v>
      </c>
      <c r="AC74" s="6">
        <v>42.049366950855003</v>
      </c>
      <c r="AD74" s="6">
        <v>42.008487334066402</v>
      </c>
      <c r="AE74" s="7">
        <v>-1.51958155449779E-3</v>
      </c>
      <c r="AF74" s="7">
        <v>-1.91574436174615E-3</v>
      </c>
      <c r="AG74" s="7">
        <v>-2.88839874031028E-3</v>
      </c>
      <c r="AZ74" s="23"/>
      <c r="BB74" s="12">
        <f t="shared" si="6"/>
        <v>0</v>
      </c>
      <c r="BC74" s="12">
        <f t="shared" si="7"/>
        <v>0</v>
      </c>
      <c r="BD74" s="12">
        <f t="shared" si="8"/>
        <v>1</v>
      </c>
      <c r="BE74" s="12">
        <f t="shared" si="4"/>
        <v>1</v>
      </c>
      <c r="BF74" s="12">
        <f t="shared" si="9"/>
        <v>1</v>
      </c>
      <c r="BG74" s="23">
        <f t="shared" si="10"/>
        <v>6.7129363747376299E-3</v>
      </c>
      <c r="BH74" s="23">
        <f t="shared" si="11"/>
        <v>-6.4293589730716602E-3</v>
      </c>
      <c r="BI74" s="23">
        <f t="shared" si="12"/>
        <v>2.8357740166596972E-4</v>
      </c>
      <c r="BJ74" s="18">
        <f t="shared" si="13"/>
        <v>8.5771342355539862E-3</v>
      </c>
      <c r="BL74" s="23"/>
      <c r="BN74" s="12">
        <f t="shared" si="14"/>
        <v>0</v>
      </c>
      <c r="BO74" s="12">
        <f t="shared" si="15"/>
        <v>1</v>
      </c>
      <c r="BP74" s="12">
        <f t="shared" si="16"/>
        <v>0</v>
      </c>
      <c r="BQ74" s="12">
        <f t="shared" si="5"/>
        <v>1</v>
      </c>
      <c r="BR74" s="12">
        <f t="shared" si="17"/>
        <v>0</v>
      </c>
      <c r="BS74" s="23">
        <f t="shared" si="18"/>
        <v>0</v>
      </c>
      <c r="BT74" s="23">
        <f t="shared" si="19"/>
        <v>0</v>
      </c>
      <c r="BU74" s="23">
        <f t="shared" si="20"/>
        <v>0</v>
      </c>
      <c r="BV74" s="18">
        <f t="shared" si="21"/>
        <v>1.2785640158879938E-2</v>
      </c>
      <c r="BX74" s="18">
        <f t="shared" si="22"/>
        <v>2.8357740166596972E-4</v>
      </c>
      <c r="BY74" s="18">
        <f t="shared" si="23"/>
        <v>2.1362774394433924E-2</v>
      </c>
    </row>
    <row r="75" spans="1:77" x14ac:dyDescent="0.3">
      <c r="A75" s="1">
        <v>46132</v>
      </c>
      <c r="B75" s="6">
        <v>22.45</v>
      </c>
      <c r="C75" s="6">
        <v>42.11</v>
      </c>
      <c r="D75" s="7">
        <v>1.33719654424933E-3</v>
      </c>
      <c r="E75" s="7">
        <v>-4.7483381708885298E-4</v>
      </c>
      <c r="F75" s="6">
        <v>0</v>
      </c>
      <c r="G75" s="6">
        <v>0.12470000000000001</v>
      </c>
      <c r="H75" s="6">
        <v>0</v>
      </c>
      <c r="I75" s="6">
        <v>0</v>
      </c>
      <c r="J75" s="6">
        <v>0.12470000000000001</v>
      </c>
      <c r="K75" s="6">
        <v>0</v>
      </c>
      <c r="L75" s="6">
        <v>22.5747</v>
      </c>
      <c r="M75" s="6">
        <v>42.11</v>
      </c>
      <c r="N75" s="8">
        <v>1.87572383073496</v>
      </c>
      <c r="O75" s="8">
        <v>1.8787268979407299</v>
      </c>
      <c r="P75" s="8">
        <v>1.8767468401007099</v>
      </c>
      <c r="Q75" s="8">
        <v>1.87299571175887</v>
      </c>
      <c r="R75" s="6">
        <v>42.1774188587694</v>
      </c>
      <c r="S75" s="6">
        <v>42.121328408385502</v>
      </c>
      <c r="T75" s="6">
        <v>42.040259887745798</v>
      </c>
      <c r="U75" s="7">
        <v>1.59973751860536E-3</v>
      </c>
      <c r="V75" s="7">
        <v>2.6898325523095701E-4</v>
      </c>
      <c r="W75" s="7">
        <v>-1.65751426826088E-3</v>
      </c>
      <c r="X75" s="8">
        <v>1.8653625518832999</v>
      </c>
      <c r="Y75" s="8">
        <v>1.8658943630327001</v>
      </c>
      <c r="Z75" s="8">
        <v>1.8662933843693601</v>
      </c>
      <c r="AA75" s="8">
        <v>1.8638204704528401</v>
      </c>
      <c r="AB75" s="6">
        <v>42.122005477154403</v>
      </c>
      <c r="AC75" s="6">
        <v>42.1187491258815</v>
      </c>
      <c r="AD75" s="6">
        <v>42.070741110113403</v>
      </c>
      <c r="AE75" s="7">
        <v>2.8505737617644402E-4</v>
      </c>
      <c r="AF75" s="7">
        <v>2.0774678488868901E-4</v>
      </c>
      <c r="AG75" s="7">
        <v>-9.3272860787395795E-4</v>
      </c>
      <c r="AZ75" s="23"/>
      <c r="BB75" s="12">
        <f t="shared" si="6"/>
        <v>0</v>
      </c>
      <c r="BC75" s="12">
        <f t="shared" si="7"/>
        <v>0</v>
      </c>
      <c r="BD75" s="12">
        <f t="shared" si="8"/>
        <v>1</v>
      </c>
      <c r="BE75" s="12">
        <f t="shared" si="4"/>
        <v>1</v>
      </c>
      <c r="BF75" s="12">
        <f t="shared" si="9"/>
        <v>1</v>
      </c>
      <c r="BG75" s="23">
        <f t="shared" si="10"/>
        <v>1.33719654424933E-3</v>
      </c>
      <c r="BH75" s="23">
        <f t="shared" si="11"/>
        <v>4.7483381708885298E-4</v>
      </c>
      <c r="BI75" s="23">
        <f t="shared" si="12"/>
        <v>1.812030361338183E-3</v>
      </c>
      <c r="BJ75" s="18">
        <f t="shared" si="13"/>
        <v>1.0389164596892169E-2</v>
      </c>
      <c r="BL75" s="23"/>
      <c r="BN75" s="12">
        <f t="shared" si="14"/>
        <v>0</v>
      </c>
      <c r="BO75" s="12">
        <f t="shared" si="15"/>
        <v>1</v>
      </c>
      <c r="BP75" s="12">
        <f t="shared" si="16"/>
        <v>0</v>
      </c>
      <c r="BQ75" s="12">
        <f t="shared" si="5"/>
        <v>1</v>
      </c>
      <c r="BR75" s="12">
        <f t="shared" si="17"/>
        <v>0</v>
      </c>
      <c r="BS75" s="23">
        <f t="shared" si="18"/>
        <v>0</v>
      </c>
      <c r="BT75" s="23">
        <f t="shared" si="19"/>
        <v>0</v>
      </c>
      <c r="BU75" s="23">
        <f t="shared" si="20"/>
        <v>0</v>
      </c>
      <c r="BV75" s="18">
        <f t="shared" si="21"/>
        <v>1.2785640158879938E-2</v>
      </c>
      <c r="BX75" s="18">
        <f t="shared" si="22"/>
        <v>1.812030361338183E-3</v>
      </c>
      <c r="BY75" s="18">
        <f t="shared" si="23"/>
        <v>2.3174804755772108E-2</v>
      </c>
    </row>
    <row r="76" spans="1:77" x14ac:dyDescent="0.3">
      <c r="A76" s="1">
        <v>46133</v>
      </c>
      <c r="B76" s="6">
        <v>22.24</v>
      </c>
      <c r="C76" s="6">
        <v>41.76</v>
      </c>
      <c r="D76" s="7">
        <v>-9.3981448058816607E-3</v>
      </c>
      <c r="E76" s="7">
        <v>-8.3462985994531298E-3</v>
      </c>
      <c r="F76" s="6">
        <v>0</v>
      </c>
      <c r="G76" s="6">
        <v>0.12470000000000001</v>
      </c>
      <c r="H76" s="6">
        <v>0</v>
      </c>
      <c r="I76" s="6">
        <v>0</v>
      </c>
      <c r="J76" s="6">
        <v>0.12470000000000001</v>
      </c>
      <c r="K76" s="6">
        <v>0</v>
      </c>
      <c r="L76" s="6">
        <v>22.364699999999999</v>
      </c>
      <c r="M76" s="6">
        <v>41.76</v>
      </c>
      <c r="N76" s="8">
        <v>1.8776978417266099</v>
      </c>
      <c r="O76" s="8">
        <v>1.8787268979407299</v>
      </c>
      <c r="P76" s="8">
        <v>1.8771021235893799</v>
      </c>
      <c r="Q76" s="8">
        <v>1.8736165893786501</v>
      </c>
      <c r="R76" s="6">
        <v>41.782886210201802</v>
      </c>
      <c r="S76" s="6">
        <v>41.738849723839898</v>
      </c>
      <c r="T76" s="6">
        <v>41.655424629517299</v>
      </c>
      <c r="U76" s="7">
        <v>5.4789131217694402E-4</v>
      </c>
      <c r="V76" s="7">
        <v>-5.0660043060022405E-4</v>
      </c>
      <c r="W76" s="7">
        <v>-2.50734023674317E-3</v>
      </c>
      <c r="X76" s="8">
        <v>1.86722826597271</v>
      </c>
      <c r="Y76" s="8">
        <v>1.8658943630327001</v>
      </c>
      <c r="Z76" s="8">
        <v>1.86666137503597</v>
      </c>
      <c r="AA76" s="8">
        <v>1.8642510255712701</v>
      </c>
      <c r="AB76" s="6">
        <v>41.730167660917502</v>
      </c>
      <c r="AC76" s="6">
        <v>41.739091653405602</v>
      </c>
      <c r="AD76" s="6">
        <v>41.683785675536797</v>
      </c>
      <c r="AE76" s="7">
        <v>-7.1463122395986896E-4</v>
      </c>
      <c r="AF76" s="7">
        <v>-5.0080417923974402E-4</v>
      </c>
      <c r="AG76" s="7">
        <v>-1.82672310561138E-3</v>
      </c>
      <c r="AZ76" s="23"/>
      <c r="BB76" s="12">
        <f t="shared" si="6"/>
        <v>0</v>
      </c>
      <c r="BC76" s="12">
        <f t="shared" si="7"/>
        <v>0</v>
      </c>
      <c r="BD76" s="12">
        <f t="shared" si="8"/>
        <v>1</v>
      </c>
      <c r="BE76" s="12">
        <f t="shared" si="4"/>
        <v>1</v>
      </c>
      <c r="BF76" s="12">
        <f t="shared" si="9"/>
        <v>1</v>
      </c>
      <c r="BG76" s="23">
        <f t="shared" si="10"/>
        <v>-9.3981448058816607E-3</v>
      </c>
      <c r="BH76" s="23">
        <f t="shared" si="11"/>
        <v>8.3462985994531298E-3</v>
      </c>
      <c r="BI76" s="23">
        <f t="shared" si="12"/>
        <v>-1.0518462064285309E-3</v>
      </c>
      <c r="BJ76" s="18">
        <f t="shared" si="13"/>
        <v>9.3373183904636378E-3</v>
      </c>
      <c r="BL76" s="23"/>
      <c r="BN76" s="12">
        <f t="shared" si="14"/>
        <v>0</v>
      </c>
      <c r="BO76" s="12">
        <f t="shared" si="15"/>
        <v>1</v>
      </c>
      <c r="BP76" s="12">
        <f t="shared" si="16"/>
        <v>0</v>
      </c>
      <c r="BQ76" s="12">
        <f t="shared" si="5"/>
        <v>1</v>
      </c>
      <c r="BR76" s="12">
        <f t="shared" si="17"/>
        <v>0</v>
      </c>
      <c r="BS76" s="23">
        <f t="shared" si="18"/>
        <v>0</v>
      </c>
      <c r="BT76" s="23">
        <f t="shared" si="19"/>
        <v>0</v>
      </c>
      <c r="BU76" s="23">
        <f t="shared" si="20"/>
        <v>0</v>
      </c>
      <c r="BV76" s="18">
        <f t="shared" si="21"/>
        <v>1.2785640158879938E-2</v>
      </c>
      <c r="BX76" s="18">
        <f t="shared" si="22"/>
        <v>-1.0518462064285309E-3</v>
      </c>
      <c r="BY76" s="18">
        <f t="shared" si="23"/>
        <v>2.2122958549343576E-2</v>
      </c>
    </row>
    <row r="77" spans="1:77" x14ac:dyDescent="0.3">
      <c r="A77" s="1">
        <v>46134</v>
      </c>
      <c r="B77" s="6">
        <v>22.25</v>
      </c>
      <c r="C77" s="6">
        <v>41.73</v>
      </c>
      <c r="D77" s="7">
        <v>4.4953922986764499E-4</v>
      </c>
      <c r="E77" s="7">
        <v>-7.1864897092202497E-4</v>
      </c>
      <c r="F77" s="6">
        <v>0</v>
      </c>
      <c r="G77" s="6">
        <v>0.12470000000000001</v>
      </c>
      <c r="H77" s="6">
        <v>0</v>
      </c>
      <c r="I77" s="6">
        <v>0</v>
      </c>
      <c r="J77" s="6">
        <v>0.12470000000000001</v>
      </c>
      <c r="K77" s="6">
        <v>0</v>
      </c>
      <c r="L77" s="6">
        <v>22.374700000000001</v>
      </c>
      <c r="M77" s="6">
        <v>41.73</v>
      </c>
      <c r="N77" s="8">
        <v>1.87550561797752</v>
      </c>
      <c r="O77" s="8">
        <v>1.8787268979407299</v>
      </c>
      <c r="P77" s="8">
        <v>1.8773268426905001</v>
      </c>
      <c r="Q77" s="8">
        <v>1.87396602860328</v>
      </c>
      <c r="R77" s="6">
        <v>41.801673479181197</v>
      </c>
      <c r="S77" s="6">
        <v>41.7655222498638</v>
      </c>
      <c r="T77" s="6">
        <v>41.687969113675102</v>
      </c>
      <c r="U77" s="7">
        <v>1.7160795129667701E-3</v>
      </c>
      <c r="V77" s="7">
        <v>8.5087801237269597E-4</v>
      </c>
      <c r="W77" s="7">
        <v>-1.0077178892816999E-3</v>
      </c>
      <c r="X77" s="8">
        <v>1.8650529392572801</v>
      </c>
      <c r="Y77" s="8">
        <v>1.8658943630327001</v>
      </c>
      <c r="Z77" s="8">
        <v>1.86688484171932</v>
      </c>
      <c r="AA77" s="8">
        <v>1.8644136832778999</v>
      </c>
      <c r="AB77" s="6">
        <v>41.748826604547801</v>
      </c>
      <c r="AC77" s="6">
        <v>41.765988268017402</v>
      </c>
      <c r="AD77" s="6">
        <v>41.712057421849501</v>
      </c>
      <c r="AE77" s="7">
        <v>4.5105101815179599E-4</v>
      </c>
      <c r="AF77" s="7">
        <v>8.6203591316387105E-4</v>
      </c>
      <c r="AG77" s="7">
        <v>-4.3006078664415299E-4</v>
      </c>
      <c r="AZ77" s="23"/>
      <c r="BB77" s="12">
        <f t="shared" si="6"/>
        <v>0</v>
      </c>
      <c r="BC77" s="12">
        <f t="shared" si="7"/>
        <v>1</v>
      </c>
      <c r="BD77" s="12">
        <f t="shared" si="8"/>
        <v>1</v>
      </c>
      <c r="BE77" s="12">
        <f t="shared" si="4"/>
        <v>1</v>
      </c>
      <c r="BF77" s="12">
        <f t="shared" si="9"/>
        <v>1</v>
      </c>
      <c r="BG77" s="23">
        <f t="shared" si="10"/>
        <v>4.4953922986764499E-4</v>
      </c>
      <c r="BH77" s="23">
        <f t="shared" si="11"/>
        <v>7.1864897092202497E-4</v>
      </c>
      <c r="BI77" s="23">
        <f t="shared" si="12"/>
        <v>1.16818820078967E-3</v>
      </c>
      <c r="BJ77" s="18">
        <f t="shared" si="13"/>
        <v>1.0505506591253308E-2</v>
      </c>
      <c r="BL77" s="23"/>
      <c r="BN77" s="12">
        <f t="shared" si="14"/>
        <v>0</v>
      </c>
      <c r="BO77" s="12">
        <f t="shared" si="15"/>
        <v>1</v>
      </c>
      <c r="BP77" s="12">
        <f t="shared" si="16"/>
        <v>0</v>
      </c>
      <c r="BQ77" s="12">
        <f t="shared" si="5"/>
        <v>1</v>
      </c>
      <c r="BR77" s="12">
        <f t="shared" si="17"/>
        <v>0</v>
      </c>
      <c r="BS77" s="23">
        <f t="shared" si="18"/>
        <v>0</v>
      </c>
      <c r="BT77" s="23">
        <f t="shared" si="19"/>
        <v>0</v>
      </c>
      <c r="BU77" s="23">
        <f t="shared" si="20"/>
        <v>0</v>
      </c>
      <c r="BV77" s="18">
        <f t="shared" si="21"/>
        <v>1.2785640158879938E-2</v>
      </c>
      <c r="BX77" s="18">
        <f t="shared" si="22"/>
        <v>1.16818820078967E-3</v>
      </c>
      <c r="BY77" s="18">
        <f t="shared" si="23"/>
        <v>2.3291146750133246E-2</v>
      </c>
    </row>
    <row r="78" spans="1:77" x14ac:dyDescent="0.3">
      <c r="A78" s="1">
        <v>46135</v>
      </c>
      <c r="B78" s="6">
        <v>22.17</v>
      </c>
      <c r="C78" s="6">
        <v>41.65</v>
      </c>
      <c r="D78" s="7">
        <v>-3.6019849840290899E-3</v>
      </c>
      <c r="E78" s="7">
        <v>-1.9189259906095401E-3</v>
      </c>
      <c r="F78" s="6">
        <v>0</v>
      </c>
      <c r="G78" s="6">
        <v>0.12470000000000001</v>
      </c>
      <c r="H78" s="6">
        <v>0</v>
      </c>
      <c r="I78" s="6">
        <v>0</v>
      </c>
      <c r="J78" s="6">
        <v>0.12470000000000001</v>
      </c>
      <c r="K78" s="6">
        <v>0</v>
      </c>
      <c r="L78" s="6">
        <v>22.294699999999999</v>
      </c>
      <c r="M78" s="6">
        <v>41.65</v>
      </c>
      <c r="N78" s="8">
        <v>1.8786648624266999</v>
      </c>
      <c r="O78" s="8">
        <v>1.8787268979407299</v>
      </c>
      <c r="P78" s="8">
        <v>1.87752456205649</v>
      </c>
      <c r="Q78" s="8">
        <v>1.8743874749914</v>
      </c>
      <c r="R78" s="6">
        <v>41.651375327346003</v>
      </c>
      <c r="S78" s="6">
        <v>41.620336102448597</v>
      </c>
      <c r="T78" s="6">
        <v>41.545826854134802</v>
      </c>
      <c r="U78" s="7">
        <v>3.30205195472198E-5</v>
      </c>
      <c r="V78" s="7">
        <v>-7.1247217663977596E-4</v>
      </c>
      <c r="W78" s="7">
        <v>-2.50428907909001E-3</v>
      </c>
      <c r="X78" s="8">
        <v>1.86815700592517</v>
      </c>
      <c r="Y78" s="8">
        <v>1.8658943630327001</v>
      </c>
      <c r="Z78" s="8">
        <v>1.8670791063561101</v>
      </c>
      <c r="AA78" s="8">
        <v>1.8646449863959</v>
      </c>
      <c r="AB78" s="6">
        <v>41.599555055505199</v>
      </c>
      <c r="AC78" s="6">
        <v>41.621637480679901</v>
      </c>
      <c r="AD78" s="6">
        <v>41.566543744575803</v>
      </c>
      <c r="AE78" s="7">
        <v>-1.21189718395811E-3</v>
      </c>
      <c r="AF78" s="7">
        <v>-6.8120482015084603E-4</v>
      </c>
      <c r="AG78" s="7">
        <v>-2.0057618268683902E-3</v>
      </c>
      <c r="AZ78" s="23"/>
      <c r="BB78" s="12">
        <f t="shared" si="6"/>
        <v>0</v>
      </c>
      <c r="BC78" s="12">
        <f t="shared" si="7"/>
        <v>0</v>
      </c>
      <c r="BD78" s="12">
        <f t="shared" si="8"/>
        <v>0</v>
      </c>
      <c r="BE78" s="12">
        <f t="shared" si="4"/>
        <v>1</v>
      </c>
      <c r="BF78" s="12">
        <f t="shared" si="9"/>
        <v>0</v>
      </c>
      <c r="BG78" s="23">
        <f t="shared" si="10"/>
        <v>0</v>
      </c>
      <c r="BH78" s="23">
        <f t="shared" si="11"/>
        <v>0</v>
      </c>
      <c r="BI78" s="23">
        <f t="shared" si="12"/>
        <v>0</v>
      </c>
      <c r="BJ78" s="18">
        <f t="shared" si="13"/>
        <v>1.0505506591253308E-2</v>
      </c>
      <c r="BL78" s="23"/>
      <c r="BN78" s="12">
        <f t="shared" si="14"/>
        <v>0</v>
      </c>
      <c r="BO78" s="12">
        <f t="shared" si="15"/>
        <v>1</v>
      </c>
      <c r="BP78" s="12">
        <f t="shared" si="16"/>
        <v>0</v>
      </c>
      <c r="BQ78" s="12">
        <f t="shared" si="5"/>
        <v>1</v>
      </c>
      <c r="BR78" s="12">
        <f t="shared" si="17"/>
        <v>0</v>
      </c>
      <c r="BS78" s="23">
        <f t="shared" si="18"/>
        <v>0</v>
      </c>
      <c r="BT78" s="23">
        <f t="shared" si="19"/>
        <v>0</v>
      </c>
      <c r="BU78" s="23">
        <f t="shared" si="20"/>
        <v>0</v>
      </c>
      <c r="BV78" s="18">
        <f t="shared" si="21"/>
        <v>1.2785640158879938E-2</v>
      </c>
      <c r="BX78" s="18">
        <f t="shared" si="22"/>
        <v>0</v>
      </c>
      <c r="BY78" s="18">
        <f t="shared" si="23"/>
        <v>2.3291146750133246E-2</v>
      </c>
    </row>
    <row r="79" spans="1:77" x14ac:dyDescent="0.3">
      <c r="A79" s="1">
        <v>46136</v>
      </c>
      <c r="B79" s="6">
        <v>22.25</v>
      </c>
      <c r="C79" s="6">
        <v>41.83</v>
      </c>
      <c r="D79" s="7">
        <v>3.6019849840291402E-3</v>
      </c>
      <c r="E79" s="7">
        <v>4.3124168412552802E-3</v>
      </c>
      <c r="F79" s="6">
        <v>0</v>
      </c>
      <c r="G79" s="6">
        <v>0.12470000000000001</v>
      </c>
      <c r="H79" s="6">
        <v>0</v>
      </c>
      <c r="I79" s="6">
        <v>0</v>
      </c>
      <c r="J79" s="6">
        <v>0.12470000000000001</v>
      </c>
      <c r="K79" s="6">
        <v>0</v>
      </c>
      <c r="L79" s="6">
        <v>22.374700000000001</v>
      </c>
      <c r="M79" s="6">
        <v>41.83</v>
      </c>
      <c r="N79" s="8">
        <v>1.88</v>
      </c>
      <c r="O79" s="8">
        <v>1.8787268979407299</v>
      </c>
      <c r="P79" s="8">
        <v>1.87779339381111</v>
      </c>
      <c r="Q79" s="8">
        <v>1.87506178691801</v>
      </c>
      <c r="R79" s="6">
        <v>41.801673479181197</v>
      </c>
      <c r="S79" s="6">
        <v>41.7749215057569</v>
      </c>
      <c r="T79" s="6">
        <v>41.705121318558803</v>
      </c>
      <c r="U79" s="7">
        <v>-6.7741133767906195E-4</v>
      </c>
      <c r="V79" s="7">
        <v>-1.31758995090921E-3</v>
      </c>
      <c r="W79" s="7">
        <v>-2.9898507956026199E-3</v>
      </c>
      <c r="X79" s="8">
        <v>1.8695222729243199</v>
      </c>
      <c r="Y79" s="8">
        <v>1.8658943630327001</v>
      </c>
      <c r="Z79" s="8">
        <v>1.86735019418491</v>
      </c>
      <c r="AA79" s="8">
        <v>1.86513366442946</v>
      </c>
      <c r="AB79" s="6">
        <v>41.748826604547801</v>
      </c>
      <c r="AC79" s="6">
        <v>41.7753348809862</v>
      </c>
      <c r="AD79" s="6">
        <v>41.720872177112398</v>
      </c>
      <c r="AE79" s="7">
        <v>-1.9424398324940099E-3</v>
      </c>
      <c r="AF79" s="7">
        <v>-1.30769470349446E-3</v>
      </c>
      <c r="AG79" s="7">
        <v>-2.6122500483818601E-3</v>
      </c>
      <c r="AZ79" s="23"/>
      <c r="BB79" s="12">
        <f t="shared" si="6"/>
        <v>0</v>
      </c>
      <c r="BC79" s="12">
        <f t="shared" si="7"/>
        <v>0</v>
      </c>
      <c r="BD79" s="12">
        <f t="shared" si="8"/>
        <v>0</v>
      </c>
      <c r="BE79" s="12">
        <f t="shared" si="4"/>
        <v>1</v>
      </c>
      <c r="BF79" s="12">
        <f t="shared" si="9"/>
        <v>0</v>
      </c>
      <c r="BG79" s="23">
        <f t="shared" si="10"/>
        <v>0</v>
      </c>
      <c r="BH79" s="23">
        <f t="shared" si="11"/>
        <v>0</v>
      </c>
      <c r="BI79" s="23">
        <f t="shared" si="12"/>
        <v>0</v>
      </c>
      <c r="BJ79" s="18">
        <f t="shared" si="13"/>
        <v>1.0505506591253308E-2</v>
      </c>
      <c r="BL79" s="23"/>
      <c r="BN79" s="12">
        <f t="shared" si="14"/>
        <v>0</v>
      </c>
      <c r="BO79" s="12">
        <f t="shared" si="15"/>
        <v>1</v>
      </c>
      <c r="BP79" s="12">
        <f t="shared" si="16"/>
        <v>0</v>
      </c>
      <c r="BQ79" s="12">
        <f t="shared" si="5"/>
        <v>1</v>
      </c>
      <c r="BR79" s="12">
        <f t="shared" si="17"/>
        <v>0</v>
      </c>
      <c r="BS79" s="23">
        <f t="shared" si="18"/>
        <v>0</v>
      </c>
      <c r="BT79" s="23">
        <f t="shared" si="19"/>
        <v>0</v>
      </c>
      <c r="BU79" s="23">
        <f t="shared" si="20"/>
        <v>0</v>
      </c>
      <c r="BV79" s="18">
        <f t="shared" si="21"/>
        <v>1.2785640158879938E-2</v>
      </c>
      <c r="BX79" s="18">
        <f t="shared" si="22"/>
        <v>0</v>
      </c>
      <c r="BY79" s="18">
        <f t="shared" si="23"/>
        <v>2.3291146750133246E-2</v>
      </c>
    </row>
    <row r="80" spans="1:77" x14ac:dyDescent="0.3">
      <c r="A80" s="1">
        <v>46139</v>
      </c>
      <c r="B80" s="6">
        <v>22.19</v>
      </c>
      <c r="C80" s="6">
        <v>41.71</v>
      </c>
      <c r="D80" s="7">
        <v>-2.7002716677466398E-3</v>
      </c>
      <c r="E80" s="7">
        <v>-2.8728772452531401E-3</v>
      </c>
      <c r="F80" s="6">
        <v>0</v>
      </c>
      <c r="G80" s="6">
        <v>0.12470000000000001</v>
      </c>
      <c r="H80" s="6">
        <v>0</v>
      </c>
      <c r="I80" s="6">
        <v>0</v>
      </c>
      <c r="J80" s="6">
        <v>0.12470000000000001</v>
      </c>
      <c r="K80" s="6">
        <v>0</v>
      </c>
      <c r="L80" s="6">
        <v>22.314699999999998</v>
      </c>
      <c r="M80" s="6">
        <v>41.71</v>
      </c>
      <c r="N80" s="8">
        <v>1.8796755295178</v>
      </c>
      <c r="O80" s="8">
        <v>1.8787268979407299</v>
      </c>
      <c r="P80" s="8">
        <v>1.8780527072311499</v>
      </c>
      <c r="Q80" s="8">
        <v>1.8757643852990999</v>
      </c>
      <c r="R80" s="6">
        <v>41.688949865304799</v>
      </c>
      <c r="S80" s="6">
        <v>41.6682354086686</v>
      </c>
      <c r="T80" s="6">
        <v>41.607621051710701</v>
      </c>
      <c r="U80" s="7">
        <v>-5.04805760172765E-4</v>
      </c>
      <c r="V80" s="7">
        <v>-1.0018104753511099E-3</v>
      </c>
      <c r="W80" s="7">
        <v>-2.4575593619757001E-3</v>
      </c>
      <c r="X80" s="8">
        <v>1.8691714430397799</v>
      </c>
      <c r="Y80" s="8">
        <v>1.8658943630327001</v>
      </c>
      <c r="Z80" s="8">
        <v>1.8676071191888699</v>
      </c>
      <c r="AA80" s="8">
        <v>1.86565023477488</v>
      </c>
      <c r="AB80" s="6">
        <v>41.636872942765898</v>
      </c>
      <c r="AC80" s="6">
        <v>41.669359378178001</v>
      </c>
      <c r="AD80" s="6">
        <v>41.619898181644203</v>
      </c>
      <c r="AE80" s="7">
        <v>-1.75476471801668E-3</v>
      </c>
      <c r="AF80" s="7">
        <v>-9.7483658650018303E-4</v>
      </c>
      <c r="AG80" s="7">
        <v>-2.1625336268431801E-3</v>
      </c>
      <c r="AZ80" s="23"/>
      <c r="BB80" s="12">
        <f t="shared" si="6"/>
        <v>0</v>
      </c>
      <c r="BC80" s="12">
        <f t="shared" si="7"/>
        <v>0</v>
      </c>
      <c r="BD80" s="12">
        <f t="shared" si="8"/>
        <v>0</v>
      </c>
      <c r="BE80" s="12">
        <f t="shared" si="4"/>
        <v>1</v>
      </c>
      <c r="BF80" s="12">
        <f t="shared" si="9"/>
        <v>0</v>
      </c>
      <c r="BG80" s="23">
        <f t="shared" si="10"/>
        <v>0</v>
      </c>
      <c r="BH80" s="23">
        <f t="shared" si="11"/>
        <v>0</v>
      </c>
      <c r="BI80" s="23">
        <f t="shared" si="12"/>
        <v>0</v>
      </c>
      <c r="BJ80" s="18">
        <f t="shared" si="13"/>
        <v>1.0505506591253308E-2</v>
      </c>
      <c r="BL80" s="23"/>
      <c r="BN80" s="12">
        <f t="shared" si="14"/>
        <v>0</v>
      </c>
      <c r="BO80" s="12">
        <f t="shared" si="15"/>
        <v>1</v>
      </c>
      <c r="BP80" s="12">
        <f t="shared" si="16"/>
        <v>0</v>
      </c>
      <c r="BQ80" s="12">
        <f t="shared" si="5"/>
        <v>1</v>
      </c>
      <c r="BR80" s="12">
        <f t="shared" si="17"/>
        <v>0</v>
      </c>
      <c r="BS80" s="23">
        <f t="shared" si="18"/>
        <v>0</v>
      </c>
      <c r="BT80" s="23">
        <f t="shared" si="19"/>
        <v>0</v>
      </c>
      <c r="BU80" s="23">
        <f t="shared" si="20"/>
        <v>0</v>
      </c>
      <c r="BV80" s="18">
        <f t="shared" si="21"/>
        <v>1.2785640158879938E-2</v>
      </c>
      <c r="BX80" s="18">
        <f t="shared" si="22"/>
        <v>0</v>
      </c>
      <c r="BY80" s="18">
        <f t="shared" si="23"/>
        <v>2.3291146750133246E-2</v>
      </c>
    </row>
    <row r="81" spans="1:77" x14ac:dyDescent="0.3">
      <c r="A81" s="1">
        <v>46140</v>
      </c>
      <c r="B81" s="6">
        <v>22.13</v>
      </c>
      <c r="C81" s="6">
        <v>41.6</v>
      </c>
      <c r="D81" s="7">
        <v>-2.7075828815443801E-3</v>
      </c>
      <c r="E81" s="7">
        <v>-2.6407409416362802E-3</v>
      </c>
      <c r="F81" s="6">
        <v>0</v>
      </c>
      <c r="G81" s="6">
        <v>0.12470000000000001</v>
      </c>
      <c r="H81" s="6">
        <v>0</v>
      </c>
      <c r="I81" s="6">
        <v>0</v>
      </c>
      <c r="J81" s="6">
        <v>0.12470000000000001</v>
      </c>
      <c r="K81" s="6">
        <v>0</v>
      </c>
      <c r="L81" s="6">
        <v>22.2547</v>
      </c>
      <c r="M81" s="6">
        <v>41.6</v>
      </c>
      <c r="N81" s="8">
        <v>1.87980117487573</v>
      </c>
      <c r="O81" s="8">
        <v>1.8787268979407299</v>
      </c>
      <c r="P81" s="8">
        <v>1.87845462990192</v>
      </c>
      <c r="Q81" s="8">
        <v>1.8763842782970299</v>
      </c>
      <c r="R81" s="6">
        <v>41.576226251428302</v>
      </c>
      <c r="S81" s="6">
        <v>41.561306411025399</v>
      </c>
      <c r="T81" s="6">
        <v>41.510665846669099</v>
      </c>
      <c r="U81" s="7">
        <v>-5.7164770008079498E-4</v>
      </c>
      <c r="V81" s="7">
        <v>-9.30567193727825E-4</v>
      </c>
      <c r="W81" s="7">
        <v>-2.14976469808042E-3</v>
      </c>
      <c r="X81" s="8">
        <v>1.8692680647233999</v>
      </c>
      <c r="Y81" s="8">
        <v>1.8658943630327001</v>
      </c>
      <c r="Z81" s="8">
        <v>1.86799511376859</v>
      </c>
      <c r="AA81" s="8">
        <v>1.86608312785706</v>
      </c>
      <c r="AB81" s="6">
        <v>41.524919280983902</v>
      </c>
      <c r="AC81" s="6">
        <v>41.563036155412597</v>
      </c>
      <c r="AD81" s="6">
        <v>41.5194862798446</v>
      </c>
      <c r="AE81" s="7">
        <v>-1.80645563527668E-3</v>
      </c>
      <c r="AF81" s="7">
        <v>-8.8894895449453503E-4</v>
      </c>
      <c r="AG81" s="7">
        <v>-1.93730132223976E-3</v>
      </c>
      <c r="AZ81" s="23"/>
      <c r="BB81" s="12">
        <f t="shared" si="6"/>
        <v>0</v>
      </c>
      <c r="BC81" s="12">
        <f t="shared" si="7"/>
        <v>0</v>
      </c>
      <c r="BD81" s="12">
        <f t="shared" si="8"/>
        <v>0</v>
      </c>
      <c r="BE81" s="12">
        <f t="shared" si="4"/>
        <v>1</v>
      </c>
      <c r="BF81" s="12">
        <f t="shared" si="9"/>
        <v>0</v>
      </c>
      <c r="BG81" s="23">
        <f t="shared" si="10"/>
        <v>0</v>
      </c>
      <c r="BH81" s="23">
        <f t="shared" si="11"/>
        <v>0</v>
      </c>
      <c r="BI81" s="23">
        <f t="shared" si="12"/>
        <v>0</v>
      </c>
      <c r="BJ81" s="18">
        <f t="shared" si="13"/>
        <v>1.0505506591253308E-2</v>
      </c>
      <c r="BL81" s="23"/>
      <c r="BN81" s="12">
        <f t="shared" si="14"/>
        <v>0</v>
      </c>
      <c r="BO81" s="12">
        <f t="shared" si="15"/>
        <v>1</v>
      </c>
      <c r="BP81" s="12">
        <f t="shared" si="16"/>
        <v>0</v>
      </c>
      <c r="BQ81" s="12">
        <f t="shared" si="5"/>
        <v>1</v>
      </c>
      <c r="BR81" s="12">
        <f t="shared" si="17"/>
        <v>0</v>
      </c>
      <c r="BS81" s="23">
        <f t="shared" si="18"/>
        <v>0</v>
      </c>
      <c r="BT81" s="23">
        <f t="shared" si="19"/>
        <v>0</v>
      </c>
      <c r="BU81" s="23">
        <f t="shared" si="20"/>
        <v>0</v>
      </c>
      <c r="BV81" s="18">
        <f t="shared" si="21"/>
        <v>1.2785640158879938E-2</v>
      </c>
      <c r="BX81" s="18">
        <f t="shared" si="22"/>
        <v>0</v>
      </c>
      <c r="BY81" s="18">
        <f t="shared" si="23"/>
        <v>2.3291146750133246E-2</v>
      </c>
    </row>
    <row r="82" spans="1:77" x14ac:dyDescent="0.3">
      <c r="A82" s="1">
        <v>46141</v>
      </c>
      <c r="B82" s="6">
        <v>21.98</v>
      </c>
      <c r="C82" s="6">
        <v>41.31</v>
      </c>
      <c r="D82" s="7">
        <v>-6.8012050874829101E-3</v>
      </c>
      <c r="E82" s="7">
        <v>-6.9955658585444599E-3</v>
      </c>
      <c r="F82" s="6">
        <v>0</v>
      </c>
      <c r="G82" s="6">
        <v>0.12470000000000001</v>
      </c>
      <c r="H82" s="6">
        <v>0</v>
      </c>
      <c r="I82" s="6">
        <v>0</v>
      </c>
      <c r="J82" s="6">
        <v>0.12470000000000001</v>
      </c>
      <c r="K82" s="6">
        <v>0</v>
      </c>
      <c r="L82" s="6">
        <v>22.104700000000001</v>
      </c>
      <c r="M82" s="6">
        <v>41.31</v>
      </c>
      <c r="N82" s="8">
        <v>1.8794358507734299</v>
      </c>
      <c r="O82" s="8">
        <v>1.8787268979407299</v>
      </c>
      <c r="P82" s="8">
        <v>1.8785289222308299</v>
      </c>
      <c r="Q82" s="8">
        <v>1.8768253191272699</v>
      </c>
      <c r="R82" s="6">
        <v>41.294417216737202</v>
      </c>
      <c r="S82" s="6">
        <v>41.288432765244302</v>
      </c>
      <c r="T82" s="6">
        <v>41.242926436968801</v>
      </c>
      <c r="U82" s="7">
        <v>-3.7728692901935901E-4</v>
      </c>
      <c r="V82" s="7">
        <v>-5.2221899432664995E-4</v>
      </c>
      <c r="W82" s="7">
        <v>-1.6249836483213001E-3</v>
      </c>
      <c r="X82" s="8">
        <v>1.86883332503947</v>
      </c>
      <c r="Y82" s="8">
        <v>1.8658943630327001</v>
      </c>
      <c r="Z82" s="8">
        <v>1.8680520030082099</v>
      </c>
      <c r="AA82" s="8">
        <v>1.86633072984008</v>
      </c>
      <c r="AB82" s="6">
        <v>41.245035126528997</v>
      </c>
      <c r="AC82" s="6">
        <v>41.291471591320501</v>
      </c>
      <c r="AD82" s="6">
        <v>41.2492077163419</v>
      </c>
      <c r="AE82" s="7">
        <v>-1.5738564408909099E-3</v>
      </c>
      <c r="AF82" s="7">
        <v>-4.4862176504235701E-4</v>
      </c>
      <c r="AG82" s="7">
        <v>-1.47269568899573E-3</v>
      </c>
      <c r="AZ82" s="23"/>
      <c r="BB82" s="12">
        <f t="shared" si="6"/>
        <v>0</v>
      </c>
      <c r="BC82" s="12">
        <f t="shared" si="7"/>
        <v>0</v>
      </c>
      <c r="BD82" s="12">
        <f t="shared" si="8"/>
        <v>0</v>
      </c>
      <c r="BE82" s="12">
        <f t="shared" si="4"/>
        <v>1</v>
      </c>
      <c r="BF82" s="12">
        <f t="shared" si="9"/>
        <v>0</v>
      </c>
      <c r="BG82" s="23">
        <f t="shared" si="10"/>
        <v>0</v>
      </c>
      <c r="BH82" s="23">
        <f t="shared" si="11"/>
        <v>0</v>
      </c>
      <c r="BI82" s="23">
        <f t="shared" si="12"/>
        <v>0</v>
      </c>
      <c r="BJ82" s="18">
        <f t="shared" si="13"/>
        <v>1.0505506591253308E-2</v>
      </c>
      <c r="BL82" s="23"/>
      <c r="BN82" s="12">
        <f t="shared" si="14"/>
        <v>0</v>
      </c>
      <c r="BO82" s="12">
        <f t="shared" si="15"/>
        <v>1</v>
      </c>
      <c r="BP82" s="12">
        <f t="shared" si="16"/>
        <v>0</v>
      </c>
      <c r="BQ82" s="12">
        <f t="shared" si="5"/>
        <v>1</v>
      </c>
      <c r="BR82" s="12">
        <f t="shared" si="17"/>
        <v>0</v>
      </c>
      <c r="BS82" s="23">
        <f t="shared" si="18"/>
        <v>0</v>
      </c>
      <c r="BT82" s="23">
        <f t="shared" si="19"/>
        <v>0</v>
      </c>
      <c r="BU82" s="23">
        <f t="shared" si="20"/>
        <v>0</v>
      </c>
      <c r="BV82" s="18">
        <f t="shared" si="21"/>
        <v>1.2785640158879938E-2</v>
      </c>
      <c r="BX82" s="18">
        <f t="shared" si="22"/>
        <v>0</v>
      </c>
      <c r="BY82" s="18">
        <f t="shared" si="23"/>
        <v>2.3291146750133246E-2</v>
      </c>
    </row>
    <row r="83" spans="1:77" x14ac:dyDescent="0.3">
      <c r="A83" s="1">
        <v>46142</v>
      </c>
      <c r="B83" s="6">
        <v>22.27</v>
      </c>
      <c r="C83" s="6">
        <v>41.88</v>
      </c>
      <c r="D83" s="7">
        <v>1.31075322938008E-2</v>
      </c>
      <c r="E83" s="7">
        <v>1.3703784593663001E-2</v>
      </c>
      <c r="F83" s="6">
        <v>0</v>
      </c>
      <c r="G83" s="6">
        <v>0.12470000000000001</v>
      </c>
      <c r="H83" s="6">
        <v>0</v>
      </c>
      <c r="I83" s="6">
        <v>0</v>
      </c>
      <c r="J83" s="6">
        <v>0.12470000000000001</v>
      </c>
      <c r="K83" s="6">
        <v>0</v>
      </c>
      <c r="L83" s="6">
        <v>22.3947</v>
      </c>
      <c r="M83" s="6">
        <v>41.88</v>
      </c>
      <c r="N83" s="8">
        <v>1.88055680287382</v>
      </c>
      <c r="O83" s="8">
        <v>1.8787268979407299</v>
      </c>
      <c r="P83" s="8">
        <v>1.87861872914596</v>
      </c>
      <c r="Q83" s="8">
        <v>1.8771373122764301</v>
      </c>
      <c r="R83" s="6">
        <v>41.839248017140001</v>
      </c>
      <c r="S83" s="6">
        <v>41.8348390980807</v>
      </c>
      <c r="T83" s="6">
        <v>41.796899856964401</v>
      </c>
      <c r="U83" s="7">
        <v>-9.7353922888133505E-4</v>
      </c>
      <c r="V83" s="7">
        <v>-1.07892236995806E-3</v>
      </c>
      <c r="W83" s="7">
        <v>-1.9862153233954202E-3</v>
      </c>
      <c r="X83" s="8">
        <v>1.87008533269032</v>
      </c>
      <c r="Y83" s="8">
        <v>1.8658943630327001</v>
      </c>
      <c r="Z83" s="8">
        <v>1.8681413098531301</v>
      </c>
      <c r="AA83" s="8">
        <v>1.86664831066949</v>
      </c>
      <c r="AB83" s="6">
        <v>41.7861444918085</v>
      </c>
      <c r="AC83" s="6">
        <v>41.834464191767999</v>
      </c>
      <c r="AD83" s="6">
        <v>41.795916795549701</v>
      </c>
      <c r="AE83" s="7">
        <v>-2.24357290827655E-3</v>
      </c>
      <c r="AF83" s="7">
        <v>-1.0878839914339701E-3</v>
      </c>
      <c r="AG83" s="7">
        <v>-2.0097355600414402E-3</v>
      </c>
      <c r="AZ83" s="23"/>
      <c r="BB83" s="12">
        <f t="shared" si="6"/>
        <v>0</v>
      </c>
      <c r="BC83" s="12">
        <f t="shared" si="7"/>
        <v>0</v>
      </c>
      <c r="BD83" s="12">
        <f t="shared" si="8"/>
        <v>0</v>
      </c>
      <c r="BE83" s="12">
        <f t="shared" si="4"/>
        <v>0</v>
      </c>
      <c r="BF83" s="12">
        <f t="shared" si="9"/>
        <v>0</v>
      </c>
      <c r="BG83" s="23">
        <f t="shared" si="10"/>
        <v>0</v>
      </c>
      <c r="BH83" s="23">
        <f t="shared" si="11"/>
        <v>0</v>
      </c>
      <c r="BI83" s="23">
        <f t="shared" si="12"/>
        <v>0</v>
      </c>
      <c r="BJ83" s="18">
        <f t="shared" si="13"/>
        <v>1.0505506591253308E-2</v>
      </c>
      <c r="BL83" s="23"/>
      <c r="BN83" s="12">
        <f t="shared" si="14"/>
        <v>0</v>
      </c>
      <c r="BO83" s="12">
        <f t="shared" si="15"/>
        <v>1</v>
      </c>
      <c r="BP83" s="12">
        <f t="shared" si="16"/>
        <v>0</v>
      </c>
      <c r="BQ83" s="12">
        <f t="shared" si="5"/>
        <v>0</v>
      </c>
      <c r="BR83" s="12">
        <f t="shared" si="17"/>
        <v>0</v>
      </c>
      <c r="BS83" s="23">
        <f t="shared" si="18"/>
        <v>0</v>
      </c>
      <c r="BT83" s="23">
        <f t="shared" si="19"/>
        <v>0</v>
      </c>
      <c r="BU83" s="23">
        <f t="shared" si="20"/>
        <v>0</v>
      </c>
      <c r="BV83" s="18">
        <f t="shared" si="21"/>
        <v>1.2785640158879938E-2</v>
      </c>
      <c r="BX83" s="18">
        <f t="shared" si="22"/>
        <v>0</v>
      </c>
      <c r="BY83" s="18">
        <f t="shared" si="23"/>
        <v>2.3291146750133246E-2</v>
      </c>
    </row>
    <row r="84" spans="1:77" x14ac:dyDescent="0.3">
      <c r="A84" s="1">
        <v>46143</v>
      </c>
      <c r="B84" s="6">
        <v>22.23</v>
      </c>
      <c r="C84" s="6">
        <v>41.82</v>
      </c>
      <c r="D84" s="7">
        <v>-1.7977532931709799E-3</v>
      </c>
      <c r="E84" s="7">
        <v>-1.4336920018486899E-3</v>
      </c>
      <c r="F84" s="6">
        <v>4.3700000000000003E-2</v>
      </c>
      <c r="G84" s="6">
        <v>0.16839999999999999</v>
      </c>
      <c r="H84" s="6">
        <v>0</v>
      </c>
      <c r="I84" s="6">
        <v>0</v>
      </c>
      <c r="J84" s="6">
        <v>0.16839999999999999</v>
      </c>
      <c r="K84" s="6">
        <v>0</v>
      </c>
      <c r="L84" s="6">
        <v>22.398399999999999</v>
      </c>
      <c r="M84" s="6">
        <v>41.82</v>
      </c>
      <c r="N84" s="8">
        <v>1.88124156545209</v>
      </c>
      <c r="O84" s="8">
        <v>1.8787268979407299</v>
      </c>
      <c r="P84" s="8">
        <v>1.8788303076358599</v>
      </c>
      <c r="Q84" s="8">
        <v>1.8775293722674999</v>
      </c>
      <c r="R84" s="6">
        <v>41.7640989412224</v>
      </c>
      <c r="S84" s="6">
        <v>41.761694348914801</v>
      </c>
      <c r="T84" s="6">
        <v>41.728762451905098</v>
      </c>
      <c r="U84" s="7">
        <v>-1.3376005202036299E-3</v>
      </c>
      <c r="V84" s="7">
        <v>-1.3951777598449999E-3</v>
      </c>
      <c r="W84" s="7">
        <v>-2.1840559138170102E-3</v>
      </c>
      <c r="X84" s="8">
        <v>1.8670976498321299</v>
      </c>
      <c r="Y84" s="8">
        <v>1.8658943630327001</v>
      </c>
      <c r="Z84" s="8">
        <v>1.86797788512879</v>
      </c>
      <c r="AA84" s="8">
        <v>1.8668640001705099</v>
      </c>
      <c r="AB84" s="6">
        <v>41.793048300951703</v>
      </c>
      <c r="AC84" s="6">
        <v>41.843376314614503</v>
      </c>
      <c r="AD84" s="6">
        <v>41.8099355216996</v>
      </c>
      <c r="AE84" s="7">
        <v>-6.4467689025520805E-4</v>
      </c>
      <c r="AF84" s="7">
        <v>5.58818356432685E-4</v>
      </c>
      <c r="AG84" s="7">
        <v>-2.4069080733325499E-4</v>
      </c>
      <c r="AZ84" s="23"/>
      <c r="BB84" s="12">
        <f t="shared" si="6"/>
        <v>0</v>
      </c>
      <c r="BC84" s="12">
        <f t="shared" si="7"/>
        <v>1</v>
      </c>
      <c r="BD84" s="12">
        <f t="shared" si="8"/>
        <v>0</v>
      </c>
      <c r="BE84" s="12">
        <f t="shared" si="4"/>
        <v>1</v>
      </c>
      <c r="BF84" s="12">
        <f t="shared" si="9"/>
        <v>0</v>
      </c>
      <c r="BG84" s="23">
        <f t="shared" si="10"/>
        <v>0</v>
      </c>
      <c r="BH84" s="23">
        <f t="shared" si="11"/>
        <v>0</v>
      </c>
      <c r="BI84" s="23">
        <f t="shared" si="12"/>
        <v>0</v>
      </c>
      <c r="BJ84" s="18">
        <f t="shared" si="13"/>
        <v>1.0505506591253308E-2</v>
      </c>
      <c r="BL84" s="23"/>
      <c r="BN84" s="12">
        <f t="shared" si="14"/>
        <v>0</v>
      </c>
      <c r="BO84" s="12">
        <f t="shared" si="15"/>
        <v>1</v>
      </c>
      <c r="BP84" s="12">
        <f t="shared" si="16"/>
        <v>0</v>
      </c>
      <c r="BQ84" s="12">
        <f t="shared" si="5"/>
        <v>1</v>
      </c>
      <c r="BR84" s="12">
        <f t="shared" si="17"/>
        <v>0</v>
      </c>
      <c r="BS84" s="23">
        <f t="shared" si="18"/>
        <v>0</v>
      </c>
      <c r="BT84" s="23">
        <f t="shared" si="19"/>
        <v>0</v>
      </c>
      <c r="BU84" s="23">
        <f t="shared" si="20"/>
        <v>0</v>
      </c>
      <c r="BV84" s="18">
        <f t="shared" si="21"/>
        <v>1.2785640158879938E-2</v>
      </c>
      <c r="BX84" s="18">
        <f t="shared" si="22"/>
        <v>0</v>
      </c>
      <c r="BY84" s="18">
        <f t="shared" si="23"/>
        <v>2.3291146750133246E-2</v>
      </c>
    </row>
    <row r="85" spans="1:77" x14ac:dyDescent="0.3">
      <c r="A85" s="1">
        <v>46146</v>
      </c>
      <c r="B85" s="6">
        <v>22.13</v>
      </c>
      <c r="C85" s="6">
        <v>41.63</v>
      </c>
      <c r="D85" s="7">
        <v>-4.5085739131469601E-3</v>
      </c>
      <c r="E85" s="7">
        <v>-4.5536327936034201E-3</v>
      </c>
      <c r="F85" s="6">
        <v>0</v>
      </c>
      <c r="G85" s="6">
        <v>0.16839999999999999</v>
      </c>
      <c r="H85" s="6">
        <v>0</v>
      </c>
      <c r="I85" s="6">
        <v>0</v>
      </c>
      <c r="J85" s="6">
        <v>0.16839999999999999</v>
      </c>
      <c r="K85" s="6">
        <v>0</v>
      </c>
      <c r="L85" s="6">
        <v>22.298399999999901</v>
      </c>
      <c r="M85" s="6">
        <v>41.63</v>
      </c>
      <c r="N85" s="8">
        <v>1.881156800723</v>
      </c>
      <c r="O85" s="8">
        <v>1.8787268979407299</v>
      </c>
      <c r="P85" s="8">
        <v>1.8793736046346701</v>
      </c>
      <c r="Q85" s="8">
        <v>1.8780602223676901</v>
      </c>
      <c r="R85" s="6">
        <v>41.576226251428302</v>
      </c>
      <c r="S85" s="6">
        <v>41.578514707981697</v>
      </c>
      <c r="T85" s="6">
        <v>41.5497250082798</v>
      </c>
      <c r="U85" s="7">
        <v>-1.2925416397473299E-3</v>
      </c>
      <c r="V85" s="7">
        <v>-1.2375007237976599E-3</v>
      </c>
      <c r="W85" s="7">
        <v>-1.93015825994395E-3</v>
      </c>
      <c r="X85" s="8">
        <v>1.8669500950740801</v>
      </c>
      <c r="Y85" s="8">
        <v>1.8658943630327001</v>
      </c>
      <c r="Z85" s="8">
        <v>1.86813663944787</v>
      </c>
      <c r="AA85" s="8">
        <v>1.8672150119086199</v>
      </c>
      <c r="AB85" s="6">
        <v>41.606458864648403</v>
      </c>
      <c r="AC85" s="6">
        <v>41.652918073755799</v>
      </c>
      <c r="AD85" s="6">
        <v>41.628080221402101</v>
      </c>
      <c r="AE85" s="7">
        <v>-5.6564482200017498E-4</v>
      </c>
      <c r="AF85" s="7">
        <v>5.5036674661385402E-4</v>
      </c>
      <c r="AG85" s="7">
        <v>-4.6116331125627199E-5</v>
      </c>
      <c r="AZ85" s="23"/>
      <c r="BB85" s="12">
        <f t="shared" si="6"/>
        <v>0</v>
      </c>
      <c r="BC85" s="12">
        <f t="shared" si="7"/>
        <v>1</v>
      </c>
      <c r="BD85" s="12">
        <f t="shared" si="8"/>
        <v>0</v>
      </c>
      <c r="BE85" s="12">
        <f t="shared" si="4"/>
        <v>1</v>
      </c>
      <c r="BF85" s="12">
        <f t="shared" si="9"/>
        <v>0</v>
      </c>
      <c r="BG85" s="23">
        <f t="shared" si="10"/>
        <v>0</v>
      </c>
      <c r="BH85" s="23">
        <f t="shared" si="11"/>
        <v>0</v>
      </c>
      <c r="BI85" s="23">
        <f t="shared" si="12"/>
        <v>0</v>
      </c>
      <c r="BJ85" s="18">
        <f t="shared" si="13"/>
        <v>1.0505506591253308E-2</v>
      </c>
      <c r="BL85" s="23"/>
      <c r="BN85" s="12">
        <f t="shared" si="14"/>
        <v>0</v>
      </c>
      <c r="BO85" s="12">
        <f t="shared" si="15"/>
        <v>1</v>
      </c>
      <c r="BP85" s="12">
        <f t="shared" si="16"/>
        <v>0</v>
      </c>
      <c r="BQ85" s="12">
        <f t="shared" si="5"/>
        <v>1</v>
      </c>
      <c r="BR85" s="12">
        <f t="shared" si="17"/>
        <v>0</v>
      </c>
      <c r="BS85" s="23">
        <f t="shared" si="18"/>
        <v>0</v>
      </c>
      <c r="BT85" s="23">
        <f t="shared" si="19"/>
        <v>0</v>
      </c>
      <c r="BU85" s="23">
        <f t="shared" si="20"/>
        <v>0</v>
      </c>
      <c r="BV85" s="18">
        <f t="shared" si="21"/>
        <v>1.2785640158879938E-2</v>
      </c>
      <c r="BX85" s="18">
        <f t="shared" si="22"/>
        <v>0</v>
      </c>
      <c r="BY85" s="18">
        <f t="shared" si="23"/>
        <v>2.3291146750133246E-2</v>
      </c>
    </row>
    <row r="86" spans="1:77" x14ac:dyDescent="0.3">
      <c r="A86" s="1">
        <v>46147</v>
      </c>
      <c r="B86" s="6">
        <v>22.13</v>
      </c>
      <c r="C86" s="6">
        <v>41.78</v>
      </c>
      <c r="D86" s="7">
        <v>0</v>
      </c>
      <c r="E86" s="7">
        <v>3.5966949215356799E-3</v>
      </c>
      <c r="F86" s="6">
        <v>0</v>
      </c>
      <c r="G86" s="6">
        <v>0.16839999999999999</v>
      </c>
      <c r="H86" s="6">
        <v>0</v>
      </c>
      <c r="I86" s="6">
        <v>0</v>
      </c>
      <c r="J86" s="6">
        <v>0.16839999999999999</v>
      </c>
      <c r="K86" s="6">
        <v>0</v>
      </c>
      <c r="L86" s="6">
        <v>22.298399999999901</v>
      </c>
      <c r="M86" s="6">
        <v>41.78</v>
      </c>
      <c r="N86" s="8">
        <v>1.88793492995933</v>
      </c>
      <c r="O86" s="8">
        <v>1.8787268979407299</v>
      </c>
      <c r="P86" s="8">
        <v>1.8803973134579399</v>
      </c>
      <c r="Q86" s="8">
        <v>1.8787497185236599</v>
      </c>
      <c r="R86" s="6">
        <v>41.576226251428302</v>
      </c>
      <c r="S86" s="6">
        <v>41.590537870565299</v>
      </c>
      <c r="T86" s="6">
        <v>41.561472720997102</v>
      </c>
      <c r="U86" s="7">
        <v>-4.8892365612829298E-3</v>
      </c>
      <c r="V86" s="7">
        <v>-4.5450697675094099E-3</v>
      </c>
      <c r="W86" s="7">
        <v>-5.2441545050918997E-3</v>
      </c>
      <c r="X86" s="8">
        <v>1.8736770351235901</v>
      </c>
      <c r="Y86" s="8">
        <v>1.8658943630327001</v>
      </c>
      <c r="Z86" s="8">
        <v>1.86878151636295</v>
      </c>
      <c r="AA86" s="8">
        <v>1.86772144569946</v>
      </c>
      <c r="AB86" s="6">
        <v>41.606458864648403</v>
      </c>
      <c r="AC86" s="6">
        <v>41.656458041064397</v>
      </c>
      <c r="AD86" s="6">
        <v>41.6359072215431</v>
      </c>
      <c r="AE86" s="7">
        <v>-4.16233974353578E-3</v>
      </c>
      <c r="AF86" s="7">
        <v>-2.96134452780437E-3</v>
      </c>
      <c r="AG86" s="7">
        <v>-3.45480680069014E-3</v>
      </c>
      <c r="AZ86" s="23"/>
      <c r="BB86" s="12">
        <f t="shared" si="6"/>
        <v>1</v>
      </c>
      <c r="BC86" s="12">
        <f t="shared" si="7"/>
        <v>0</v>
      </c>
      <c r="BD86" s="12">
        <f t="shared" si="8"/>
        <v>0</v>
      </c>
      <c r="BE86" s="12">
        <f t="shared" ref="BE86:BE149" si="24">IF(F87+H87&gt;0,0,1)</f>
        <v>1</v>
      </c>
      <c r="BF86" s="12">
        <f t="shared" si="9"/>
        <v>0</v>
      </c>
      <c r="BG86" s="23">
        <f t="shared" si="10"/>
        <v>0</v>
      </c>
      <c r="BH86" s="23">
        <f t="shared" si="11"/>
        <v>0</v>
      </c>
      <c r="BI86" s="23">
        <f t="shared" si="12"/>
        <v>0</v>
      </c>
      <c r="BJ86" s="18">
        <f t="shared" si="13"/>
        <v>1.0505506591253308E-2</v>
      </c>
      <c r="BL86" s="23"/>
      <c r="BN86" s="12">
        <f t="shared" si="14"/>
        <v>0</v>
      </c>
      <c r="BO86" s="12">
        <f t="shared" si="15"/>
        <v>1</v>
      </c>
      <c r="BP86" s="12">
        <f t="shared" si="16"/>
        <v>0</v>
      </c>
      <c r="BQ86" s="12">
        <f t="shared" ref="BQ86:BQ149" si="25">IF(F87+H87&gt;0,0,1)</f>
        <v>1</v>
      </c>
      <c r="BR86" s="12">
        <f t="shared" si="17"/>
        <v>0</v>
      </c>
      <c r="BS86" s="23">
        <f t="shared" si="18"/>
        <v>0</v>
      </c>
      <c r="BT86" s="23">
        <f t="shared" si="19"/>
        <v>0</v>
      </c>
      <c r="BU86" s="23">
        <f t="shared" si="20"/>
        <v>0</v>
      </c>
      <c r="BV86" s="18">
        <f t="shared" si="21"/>
        <v>1.2785640158879938E-2</v>
      </c>
      <c r="BX86" s="18">
        <f t="shared" si="22"/>
        <v>0</v>
      </c>
      <c r="BY86" s="18">
        <f t="shared" si="23"/>
        <v>2.3291146750133246E-2</v>
      </c>
    </row>
    <row r="87" spans="1:77" x14ac:dyDescent="0.3">
      <c r="A87" s="1">
        <v>46148</v>
      </c>
      <c r="B87" s="6">
        <v>22.34</v>
      </c>
      <c r="C87" s="6">
        <v>42.18</v>
      </c>
      <c r="D87" s="7">
        <v>9.4446395780964296E-3</v>
      </c>
      <c r="E87" s="7">
        <v>9.5284189222087593E-3</v>
      </c>
      <c r="F87" s="6">
        <v>0</v>
      </c>
      <c r="G87" s="6">
        <v>0.16839999999999999</v>
      </c>
      <c r="H87" s="6">
        <v>0</v>
      </c>
      <c r="I87" s="6">
        <v>0</v>
      </c>
      <c r="J87" s="6">
        <v>0.16839999999999999</v>
      </c>
      <c r="K87" s="6">
        <v>0</v>
      </c>
      <c r="L87" s="6">
        <v>22.508399999999899</v>
      </c>
      <c r="M87" s="6">
        <v>42.18</v>
      </c>
      <c r="N87" s="8">
        <v>1.8880931065353601</v>
      </c>
      <c r="O87" s="8">
        <v>1.8787268979407299</v>
      </c>
      <c r="P87" s="8">
        <v>1.88165606231372</v>
      </c>
      <c r="Q87" s="8">
        <v>1.87949145250211</v>
      </c>
      <c r="R87" s="6">
        <v>41.9707588999959</v>
      </c>
      <c r="S87" s="6">
        <v>42.008075982650404</v>
      </c>
      <c r="T87" s="6">
        <v>41.971268711818603</v>
      </c>
      <c r="U87" s="7">
        <v>-4.9730159053953003E-3</v>
      </c>
      <c r="V87" s="7">
        <v>-4.0842899505074397E-3</v>
      </c>
      <c r="W87" s="7">
        <v>-4.9608691456078198E-3</v>
      </c>
      <c r="X87" s="8">
        <v>1.8739670523004699</v>
      </c>
      <c r="Y87" s="8">
        <v>1.8658943630327001</v>
      </c>
      <c r="Z87" s="8">
        <v>1.8696729276672699</v>
      </c>
      <c r="AA87" s="8">
        <v>1.8682788846933001</v>
      </c>
      <c r="AB87" s="6">
        <v>41.998296680885304</v>
      </c>
      <c r="AC87" s="6">
        <v>42.063281882904</v>
      </c>
      <c r="AD87" s="6">
        <v>42.039421388381903</v>
      </c>
      <c r="AE87" s="7">
        <v>-4.3171128066611299E-3</v>
      </c>
      <c r="AF87" s="7">
        <v>-2.7709792204322499E-3</v>
      </c>
      <c r="AG87" s="7">
        <v>-3.3383924957303E-3</v>
      </c>
      <c r="AZ87" s="23"/>
      <c r="BB87" s="12">
        <f t="shared" ref="BB87:BB150" si="26">IF($AG87&lt;BA$20,1,0)</f>
        <v>1</v>
      </c>
      <c r="BC87" s="12">
        <f t="shared" ref="BC87:BC150" si="27">IF($AG87&gt;BA$21,1,0)</f>
        <v>0</v>
      </c>
      <c r="BD87" s="12">
        <f t="shared" ref="BD87:BD150" si="28">BF87</f>
        <v>1</v>
      </c>
      <c r="BE87" s="12">
        <f t="shared" si="24"/>
        <v>1</v>
      </c>
      <c r="BF87" s="12">
        <f t="shared" ref="BF87:BF150" si="29">IF(BB86,1,IF(BC86,0,BD86))*BE86</f>
        <v>1</v>
      </c>
      <c r="BG87" s="23">
        <f t="shared" ref="BG87:BG150" si="30">BF87*D87</f>
        <v>9.4446395780964296E-3</v>
      </c>
      <c r="BH87" s="23">
        <f t="shared" ref="BH87:BH150" si="31">-BF87*$E87</f>
        <v>-9.5284189222087593E-3</v>
      </c>
      <c r="BI87" s="23">
        <f t="shared" ref="BI87:BI150" si="32">BG87+BH87</f>
        <v>-8.3779344112329748E-5</v>
      </c>
      <c r="BJ87" s="18">
        <f t="shared" ref="BJ87:BJ150" si="33">BJ86+BI87</f>
        <v>1.0421727247140978E-2</v>
      </c>
      <c r="BL87" s="23"/>
      <c r="BN87" s="12">
        <f t="shared" ref="BN87:BN150" si="34">IF($AG87&gt;BM$20,1,0)</f>
        <v>0</v>
      </c>
      <c r="BO87" s="12">
        <f t="shared" ref="BO87:BO150" si="35">IF($AG87&lt;BM$21,1,0)</f>
        <v>1</v>
      </c>
      <c r="BP87" s="12">
        <f t="shared" ref="BP87:BP150" si="36">BR87</f>
        <v>0</v>
      </c>
      <c r="BQ87" s="12">
        <f t="shared" si="25"/>
        <v>1</v>
      </c>
      <c r="BR87" s="12">
        <f t="shared" ref="BR87:BR150" si="37">IF(BN86,1,IF(BO86,0,BP86))*BQ86</f>
        <v>0</v>
      </c>
      <c r="BS87" s="23">
        <f t="shared" ref="BS87:BS150" si="38">-BR87*D87</f>
        <v>0</v>
      </c>
      <c r="BT87" s="23">
        <f t="shared" ref="BT87:BT150" si="39">BR87*$E87</f>
        <v>0</v>
      </c>
      <c r="BU87" s="23">
        <f t="shared" ref="BU87:BU150" si="40">BS87+BT87</f>
        <v>0</v>
      </c>
      <c r="BV87" s="18">
        <f t="shared" ref="BV87:BV150" si="41">BV86+BU87</f>
        <v>1.2785640158879938E-2</v>
      </c>
      <c r="BX87" s="18">
        <f t="shared" ref="BX87:BX150" si="42">BI87+BU87</f>
        <v>-8.3779344112329748E-5</v>
      </c>
      <c r="BY87" s="18">
        <f t="shared" ref="BY87:BY150" si="43">BY86+BX87</f>
        <v>2.3207367406020918E-2</v>
      </c>
    </row>
    <row r="88" spans="1:77" x14ac:dyDescent="0.3">
      <c r="A88" s="1">
        <v>46149</v>
      </c>
      <c r="B88" s="6">
        <v>22.31</v>
      </c>
      <c r="C88" s="6">
        <v>42.06</v>
      </c>
      <c r="D88" s="7">
        <v>-1.34378519661353E-3</v>
      </c>
      <c r="E88" s="7">
        <v>-2.8490047760747102E-3</v>
      </c>
      <c r="F88" s="6">
        <v>0</v>
      </c>
      <c r="G88" s="6">
        <v>0.16839999999999999</v>
      </c>
      <c r="H88" s="6">
        <v>0</v>
      </c>
      <c r="I88" s="6">
        <v>0</v>
      </c>
      <c r="J88" s="6">
        <v>0.16839999999999999</v>
      </c>
      <c r="K88" s="6">
        <v>0</v>
      </c>
      <c r="L88" s="6">
        <v>22.478399999999901</v>
      </c>
      <c r="M88" s="6">
        <v>42.06</v>
      </c>
      <c r="N88" s="8">
        <v>1.8852532496638199</v>
      </c>
      <c r="O88" s="8">
        <v>1.8787268979407299</v>
      </c>
      <c r="P88" s="8">
        <v>1.88231490103744</v>
      </c>
      <c r="Q88" s="8">
        <v>1.87991973154696</v>
      </c>
      <c r="R88" s="6">
        <v>41.914397093057701</v>
      </c>
      <c r="S88" s="6">
        <v>41.979746750219199</v>
      </c>
      <c r="T88" s="6">
        <v>41.931454305322198</v>
      </c>
      <c r="U88" s="7">
        <v>-3.4677963259339699E-3</v>
      </c>
      <c r="V88" s="7">
        <v>-1.9098885296282501E-3</v>
      </c>
      <c r="W88" s="7">
        <v>-3.0609255692926698E-3</v>
      </c>
      <c r="X88" s="8">
        <v>1.8711296177663801</v>
      </c>
      <c r="Y88" s="8">
        <v>1.8658943630327001</v>
      </c>
      <c r="Z88" s="8">
        <v>1.8699701888514</v>
      </c>
      <c r="AA88" s="8">
        <v>1.86852464760375</v>
      </c>
      <c r="AB88" s="6">
        <v>41.942319849994298</v>
      </c>
      <c r="AC88" s="6">
        <v>42.027255937276102</v>
      </c>
      <c r="AD88" s="6">
        <v>41.995920081689903</v>
      </c>
      <c r="AE88" s="7">
        <v>-2.80183278749532E-3</v>
      </c>
      <c r="AF88" s="7">
        <v>-7.7881158123056695E-4</v>
      </c>
      <c r="AG88" s="7">
        <v>-1.52469762181341E-3</v>
      </c>
      <c r="AZ88" s="23"/>
      <c r="BB88" s="12">
        <f t="shared" si="26"/>
        <v>0</v>
      </c>
      <c r="BC88" s="12">
        <f t="shared" si="27"/>
        <v>0</v>
      </c>
      <c r="BD88" s="12">
        <f t="shared" si="28"/>
        <v>1</v>
      </c>
      <c r="BE88" s="12">
        <f t="shared" si="24"/>
        <v>1</v>
      </c>
      <c r="BF88" s="12">
        <f t="shared" si="29"/>
        <v>1</v>
      </c>
      <c r="BG88" s="23">
        <f t="shared" si="30"/>
        <v>-1.34378519661353E-3</v>
      </c>
      <c r="BH88" s="23">
        <f t="shared" si="31"/>
        <v>2.8490047760747102E-3</v>
      </c>
      <c r="BI88" s="23">
        <f t="shared" si="32"/>
        <v>1.5052195794611801E-3</v>
      </c>
      <c r="BJ88" s="18">
        <f t="shared" si="33"/>
        <v>1.1926946826602159E-2</v>
      </c>
      <c r="BL88" s="23"/>
      <c r="BN88" s="12">
        <f t="shared" si="34"/>
        <v>0</v>
      </c>
      <c r="BO88" s="12">
        <f t="shared" si="35"/>
        <v>1</v>
      </c>
      <c r="BP88" s="12">
        <f t="shared" si="36"/>
        <v>0</v>
      </c>
      <c r="BQ88" s="12">
        <f t="shared" si="25"/>
        <v>1</v>
      </c>
      <c r="BR88" s="12">
        <f t="shared" si="37"/>
        <v>0</v>
      </c>
      <c r="BS88" s="23">
        <f t="shared" si="38"/>
        <v>0</v>
      </c>
      <c r="BT88" s="23">
        <f t="shared" si="39"/>
        <v>0</v>
      </c>
      <c r="BU88" s="23">
        <f t="shared" si="40"/>
        <v>0</v>
      </c>
      <c r="BV88" s="18">
        <f t="shared" si="41"/>
        <v>1.2785640158879938E-2</v>
      </c>
      <c r="BX88" s="18">
        <f t="shared" si="42"/>
        <v>1.5052195794611801E-3</v>
      </c>
      <c r="BY88" s="18">
        <f t="shared" si="43"/>
        <v>2.4712586985482097E-2</v>
      </c>
    </row>
    <row r="89" spans="1:77" x14ac:dyDescent="0.3">
      <c r="A89" s="1">
        <v>46150</v>
      </c>
      <c r="B89" s="6">
        <v>22.39</v>
      </c>
      <c r="C89" s="6">
        <v>42.27</v>
      </c>
      <c r="D89" s="7">
        <v>3.5794221662223602E-3</v>
      </c>
      <c r="E89" s="7">
        <v>4.9804443041447499E-3</v>
      </c>
      <c r="F89" s="6">
        <v>0</v>
      </c>
      <c r="G89" s="6">
        <v>0.16839999999999999</v>
      </c>
      <c r="H89" s="6">
        <v>0</v>
      </c>
      <c r="I89" s="6">
        <v>0</v>
      </c>
      <c r="J89" s="6">
        <v>0.16839999999999999</v>
      </c>
      <c r="K89" s="6">
        <v>0</v>
      </c>
      <c r="L89" s="6">
        <v>22.558399999999999</v>
      </c>
      <c r="M89" s="6">
        <v>42.27</v>
      </c>
      <c r="N89" s="8">
        <v>1.88789638231353</v>
      </c>
      <c r="O89" s="8">
        <v>1.8787268979407299</v>
      </c>
      <c r="P89" s="8">
        <v>1.88310453926879</v>
      </c>
      <c r="Q89" s="8">
        <v>1.88044896653995</v>
      </c>
      <c r="R89" s="6">
        <v>42.064695244892903</v>
      </c>
      <c r="S89" s="6">
        <v>42.145030634228199</v>
      </c>
      <c r="T89" s="6">
        <v>42.091402789336499</v>
      </c>
      <c r="U89" s="7">
        <v>-4.8688184638564997E-3</v>
      </c>
      <c r="V89" s="7">
        <v>-2.9608342525855201E-3</v>
      </c>
      <c r="W89" s="7">
        <v>-4.2341040233330003E-3</v>
      </c>
      <c r="X89" s="8">
        <v>1.8738031066033001</v>
      </c>
      <c r="Y89" s="8">
        <v>1.8658943630327001</v>
      </c>
      <c r="Z89" s="8">
        <v>1.87039827221929</v>
      </c>
      <c r="AA89" s="8">
        <v>1.8688742332021</v>
      </c>
      <c r="AB89" s="6">
        <v>42.091591399036901</v>
      </c>
      <c r="AC89" s="6">
        <v>42.1835355081854</v>
      </c>
      <c r="AD89" s="6">
        <v>42.150926410504603</v>
      </c>
      <c r="AE89" s="7">
        <v>-4.2296230779304096E-3</v>
      </c>
      <c r="AF89" s="7">
        <v>-2.0476235010106099E-3</v>
      </c>
      <c r="AG89" s="7">
        <v>-2.8209514754597301E-3</v>
      </c>
      <c r="AZ89" s="23"/>
      <c r="BB89" s="12">
        <f t="shared" si="26"/>
        <v>0</v>
      </c>
      <c r="BC89" s="12">
        <f t="shared" si="27"/>
        <v>0</v>
      </c>
      <c r="BD89" s="12">
        <f t="shared" si="28"/>
        <v>1</v>
      </c>
      <c r="BE89" s="12">
        <f t="shared" si="24"/>
        <v>1</v>
      </c>
      <c r="BF89" s="12">
        <f t="shared" si="29"/>
        <v>1</v>
      </c>
      <c r="BG89" s="23">
        <f t="shared" si="30"/>
        <v>3.5794221662223602E-3</v>
      </c>
      <c r="BH89" s="23">
        <f t="shared" si="31"/>
        <v>-4.9804443041447499E-3</v>
      </c>
      <c r="BI89" s="23">
        <f t="shared" si="32"/>
        <v>-1.4010221379223897E-3</v>
      </c>
      <c r="BJ89" s="18">
        <f t="shared" si="33"/>
        <v>1.0525924688679768E-2</v>
      </c>
      <c r="BL89" s="23"/>
      <c r="BN89" s="12">
        <f t="shared" si="34"/>
        <v>0</v>
      </c>
      <c r="BO89" s="12">
        <f t="shared" si="35"/>
        <v>1</v>
      </c>
      <c r="BP89" s="12">
        <f t="shared" si="36"/>
        <v>0</v>
      </c>
      <c r="BQ89" s="12">
        <f t="shared" si="25"/>
        <v>1</v>
      </c>
      <c r="BR89" s="12">
        <f t="shared" si="37"/>
        <v>0</v>
      </c>
      <c r="BS89" s="23">
        <f t="shared" si="38"/>
        <v>0</v>
      </c>
      <c r="BT89" s="23">
        <f t="shared" si="39"/>
        <v>0</v>
      </c>
      <c r="BU89" s="23">
        <f t="shared" si="40"/>
        <v>0</v>
      </c>
      <c r="BV89" s="18">
        <f t="shared" si="41"/>
        <v>1.2785640158879938E-2</v>
      </c>
      <c r="BX89" s="18">
        <f t="shared" si="42"/>
        <v>-1.4010221379223897E-3</v>
      </c>
      <c r="BY89" s="18">
        <f t="shared" si="43"/>
        <v>2.3311564847559706E-2</v>
      </c>
    </row>
    <row r="90" spans="1:77" x14ac:dyDescent="0.3">
      <c r="A90" s="1">
        <v>46153</v>
      </c>
      <c r="B90" s="6">
        <v>22.29</v>
      </c>
      <c r="C90" s="6">
        <v>42.07</v>
      </c>
      <c r="D90" s="7">
        <v>-4.4762832128860796E-3</v>
      </c>
      <c r="E90" s="7">
        <v>-4.7427169762690796E-3</v>
      </c>
      <c r="F90" s="6">
        <v>0</v>
      </c>
      <c r="G90" s="6">
        <v>0.16839999999999999</v>
      </c>
      <c r="H90" s="6">
        <v>0</v>
      </c>
      <c r="I90" s="6">
        <v>0</v>
      </c>
      <c r="J90" s="6">
        <v>0.16839999999999999</v>
      </c>
      <c r="K90" s="6">
        <v>0</v>
      </c>
      <c r="L90" s="6">
        <v>22.458399999999902</v>
      </c>
      <c r="M90" s="6">
        <v>42.07</v>
      </c>
      <c r="N90" s="8">
        <v>1.88739344997756</v>
      </c>
      <c r="O90" s="8">
        <v>1.8787268979407299</v>
      </c>
      <c r="P90" s="8">
        <v>1.8838763313147699</v>
      </c>
      <c r="Q90" s="8">
        <v>1.88096451927296</v>
      </c>
      <c r="R90" s="6">
        <v>41.876822555098897</v>
      </c>
      <c r="S90" s="6">
        <v>41.974400180301402</v>
      </c>
      <c r="T90" s="6">
        <v>41.915207464175502</v>
      </c>
      <c r="U90" s="7">
        <v>-4.6023847004734598E-3</v>
      </c>
      <c r="V90" s="7">
        <v>-2.2749846682312601E-3</v>
      </c>
      <c r="W90" s="7">
        <v>-3.6861898845008401E-3</v>
      </c>
      <c r="X90" s="8">
        <v>1.8732411926049899</v>
      </c>
      <c r="Y90" s="8">
        <v>1.8658943630327001</v>
      </c>
      <c r="Z90" s="8">
        <v>1.8708052471758101</v>
      </c>
      <c r="AA90" s="8">
        <v>1.8692061831823401</v>
      </c>
      <c r="AB90" s="6">
        <v>41.905001962733699</v>
      </c>
      <c r="AC90" s="6">
        <v>42.006152556809802</v>
      </c>
      <c r="AD90" s="6">
        <v>41.9719250789461</v>
      </c>
      <c r="AE90" s="7">
        <v>-3.9296992138639804E-3</v>
      </c>
      <c r="AF90" s="7">
        <v>-1.51880059973875E-3</v>
      </c>
      <c r="AG90" s="7">
        <v>-2.3339533329905498E-3</v>
      </c>
      <c r="AZ90" s="23"/>
      <c r="BB90" s="12">
        <f t="shared" si="26"/>
        <v>0</v>
      </c>
      <c r="BC90" s="12">
        <f t="shared" si="27"/>
        <v>0</v>
      </c>
      <c r="BD90" s="12">
        <f t="shared" si="28"/>
        <v>1</v>
      </c>
      <c r="BE90" s="12">
        <f t="shared" si="24"/>
        <v>1</v>
      </c>
      <c r="BF90" s="12">
        <f t="shared" si="29"/>
        <v>1</v>
      </c>
      <c r="BG90" s="23">
        <f t="shared" si="30"/>
        <v>-4.4762832128860796E-3</v>
      </c>
      <c r="BH90" s="23">
        <f t="shared" si="31"/>
        <v>4.7427169762690796E-3</v>
      </c>
      <c r="BI90" s="23">
        <f t="shared" si="32"/>
        <v>2.6643376338299999E-4</v>
      </c>
      <c r="BJ90" s="18">
        <f t="shared" si="33"/>
        <v>1.0792358452062768E-2</v>
      </c>
      <c r="BL90" s="23"/>
      <c r="BN90" s="12">
        <f t="shared" si="34"/>
        <v>0</v>
      </c>
      <c r="BO90" s="12">
        <f t="shared" si="35"/>
        <v>1</v>
      </c>
      <c r="BP90" s="12">
        <f t="shared" si="36"/>
        <v>0</v>
      </c>
      <c r="BQ90" s="12">
        <f t="shared" si="25"/>
        <v>1</v>
      </c>
      <c r="BR90" s="12">
        <f t="shared" si="37"/>
        <v>0</v>
      </c>
      <c r="BS90" s="23">
        <f t="shared" si="38"/>
        <v>0</v>
      </c>
      <c r="BT90" s="23">
        <f t="shared" si="39"/>
        <v>0</v>
      </c>
      <c r="BU90" s="23">
        <f t="shared" si="40"/>
        <v>0</v>
      </c>
      <c r="BV90" s="18">
        <f t="shared" si="41"/>
        <v>1.2785640158879938E-2</v>
      </c>
      <c r="BX90" s="18">
        <f t="shared" si="42"/>
        <v>2.6643376338299999E-4</v>
      </c>
      <c r="BY90" s="18">
        <f t="shared" si="43"/>
        <v>2.3577998610942705E-2</v>
      </c>
    </row>
    <row r="91" spans="1:77" x14ac:dyDescent="0.3">
      <c r="A91" s="1">
        <v>46154</v>
      </c>
      <c r="B91" s="6">
        <v>22.14</v>
      </c>
      <c r="C91" s="6">
        <v>41.71</v>
      </c>
      <c r="D91" s="7">
        <v>-6.75222011728655E-3</v>
      </c>
      <c r="E91" s="7">
        <v>-8.5939893935756701E-3</v>
      </c>
      <c r="F91" s="6">
        <v>0</v>
      </c>
      <c r="G91" s="6">
        <v>0.16839999999999999</v>
      </c>
      <c r="H91" s="6">
        <v>0</v>
      </c>
      <c r="I91" s="6">
        <v>0</v>
      </c>
      <c r="J91" s="6">
        <v>0.16839999999999999</v>
      </c>
      <c r="K91" s="6">
        <v>0</v>
      </c>
      <c r="L91" s="6">
        <v>22.308399999999999</v>
      </c>
      <c r="M91" s="6">
        <v>41.71</v>
      </c>
      <c r="N91" s="8">
        <v>1.8839205058717201</v>
      </c>
      <c r="O91" s="8">
        <v>1.8787268979407299</v>
      </c>
      <c r="P91" s="8">
        <v>1.8842882644143599</v>
      </c>
      <c r="Q91" s="8">
        <v>1.88137144715814</v>
      </c>
      <c r="R91" s="6">
        <v>41.595013520407797</v>
      </c>
      <c r="S91" s="6">
        <v>41.709021975309</v>
      </c>
      <c r="T91" s="6">
        <v>41.644554456703297</v>
      </c>
      <c r="U91" s="7">
        <v>-2.7606154241844698E-3</v>
      </c>
      <c r="V91" s="7">
        <v>-2.3448481362440799E-5</v>
      </c>
      <c r="W91" s="7">
        <v>-1.5702934811727999E-3</v>
      </c>
      <c r="X91" s="8">
        <v>1.8696993060909699</v>
      </c>
      <c r="Y91" s="8">
        <v>1.8658943630327001</v>
      </c>
      <c r="Z91" s="8">
        <v>1.8708483713125701</v>
      </c>
      <c r="AA91" s="8">
        <v>1.8694217425405799</v>
      </c>
      <c r="AB91" s="6">
        <v>41.625117808278702</v>
      </c>
      <c r="AC91" s="6">
        <v>41.734671776097002</v>
      </c>
      <c r="AD91" s="6">
        <v>41.698999216905001</v>
      </c>
      <c r="AE91" s="7">
        <v>-2.0371296833311E-3</v>
      </c>
      <c r="AF91" s="7">
        <v>5.9133258698978596E-4</v>
      </c>
      <c r="AG91" s="7">
        <v>-2.6377928669574902E-4</v>
      </c>
      <c r="AZ91" s="23"/>
      <c r="BB91" s="12">
        <f t="shared" si="26"/>
        <v>0</v>
      </c>
      <c r="BC91" s="12">
        <f t="shared" si="27"/>
        <v>1</v>
      </c>
      <c r="BD91" s="12">
        <f t="shared" si="28"/>
        <v>1</v>
      </c>
      <c r="BE91" s="12">
        <f t="shared" si="24"/>
        <v>1</v>
      </c>
      <c r="BF91" s="12">
        <f t="shared" si="29"/>
        <v>1</v>
      </c>
      <c r="BG91" s="23">
        <f t="shared" si="30"/>
        <v>-6.75222011728655E-3</v>
      </c>
      <c r="BH91" s="23">
        <f t="shared" si="31"/>
        <v>8.5939893935756701E-3</v>
      </c>
      <c r="BI91" s="23">
        <f t="shared" si="32"/>
        <v>1.8417692762891201E-3</v>
      </c>
      <c r="BJ91" s="18">
        <f t="shared" si="33"/>
        <v>1.2634127728351888E-2</v>
      </c>
      <c r="BL91" s="23"/>
      <c r="BN91" s="12">
        <f t="shared" si="34"/>
        <v>0</v>
      </c>
      <c r="BO91" s="12">
        <f t="shared" si="35"/>
        <v>1</v>
      </c>
      <c r="BP91" s="12">
        <f t="shared" si="36"/>
        <v>0</v>
      </c>
      <c r="BQ91" s="12">
        <f t="shared" si="25"/>
        <v>1</v>
      </c>
      <c r="BR91" s="12">
        <f t="shared" si="37"/>
        <v>0</v>
      </c>
      <c r="BS91" s="23">
        <f t="shared" si="38"/>
        <v>0</v>
      </c>
      <c r="BT91" s="23">
        <f t="shared" si="39"/>
        <v>0</v>
      </c>
      <c r="BU91" s="23">
        <f t="shared" si="40"/>
        <v>0</v>
      </c>
      <c r="BV91" s="18">
        <f t="shared" si="41"/>
        <v>1.2785640158879938E-2</v>
      </c>
      <c r="BX91" s="18">
        <f t="shared" si="42"/>
        <v>1.8417692762891201E-3</v>
      </c>
      <c r="BY91" s="18">
        <f t="shared" si="43"/>
        <v>2.5419767887231826E-2</v>
      </c>
    </row>
    <row r="92" spans="1:77" x14ac:dyDescent="0.3">
      <c r="A92" s="1">
        <v>46155</v>
      </c>
      <c r="B92" s="6">
        <v>22.11</v>
      </c>
      <c r="C92" s="6">
        <v>41.74</v>
      </c>
      <c r="D92" s="7">
        <v>-1.35593241113595E-3</v>
      </c>
      <c r="E92" s="7">
        <v>7.1899344020074296E-4</v>
      </c>
      <c r="F92" s="6">
        <v>0</v>
      </c>
      <c r="G92" s="6">
        <v>0.16839999999999999</v>
      </c>
      <c r="H92" s="6">
        <v>0</v>
      </c>
      <c r="I92" s="6">
        <v>0</v>
      </c>
      <c r="J92" s="6">
        <v>0.16839999999999999</v>
      </c>
      <c r="K92" s="6">
        <v>0</v>
      </c>
      <c r="L92" s="6">
        <v>22.278399999999898</v>
      </c>
      <c r="M92" s="6">
        <v>41.74</v>
      </c>
      <c r="N92" s="8">
        <v>1.8878335594753499</v>
      </c>
      <c r="O92" s="8">
        <v>1.8787268979407299</v>
      </c>
      <c r="P92" s="8">
        <v>1.8851280352845601</v>
      </c>
      <c r="Q92" s="8">
        <v>1.88182847875769</v>
      </c>
      <c r="R92" s="6">
        <v>41.538651713469498</v>
      </c>
      <c r="S92" s="6">
        <v>41.661613526201698</v>
      </c>
      <c r="T92" s="6">
        <v>41.597122696666602</v>
      </c>
      <c r="U92" s="7">
        <v>-4.8355412755212096E-3</v>
      </c>
      <c r="V92" s="7">
        <v>-1.87973574047478E-3</v>
      </c>
      <c r="W92" s="7">
        <v>-3.4289027194249898E-3</v>
      </c>
      <c r="X92" s="8">
        <v>1.87356363114047</v>
      </c>
      <c r="Y92" s="8">
        <v>1.8658943630327001</v>
      </c>
      <c r="Z92" s="8">
        <v>1.87132140192267</v>
      </c>
      <c r="AA92" s="8">
        <v>1.86968670246544</v>
      </c>
      <c r="AB92" s="6">
        <v>41.569140977387796</v>
      </c>
      <c r="AC92" s="6">
        <v>41.679508355449997</v>
      </c>
      <c r="AD92" s="6">
        <v>41.647725349016099</v>
      </c>
      <c r="AE92" s="7">
        <v>-4.1018130823182201E-3</v>
      </c>
      <c r="AF92" s="7">
        <v>-1.4502999680891099E-3</v>
      </c>
      <c r="AG92" s="7">
        <v>-2.2131479965738499E-3</v>
      </c>
      <c r="AZ92" s="23"/>
      <c r="BB92" s="12">
        <f t="shared" si="26"/>
        <v>0</v>
      </c>
      <c r="BC92" s="12">
        <f t="shared" si="27"/>
        <v>0</v>
      </c>
      <c r="BD92" s="12">
        <f t="shared" si="28"/>
        <v>0</v>
      </c>
      <c r="BE92" s="12">
        <f t="shared" si="24"/>
        <v>1</v>
      </c>
      <c r="BF92" s="12">
        <f t="shared" si="29"/>
        <v>0</v>
      </c>
      <c r="BG92" s="23">
        <f t="shared" si="30"/>
        <v>0</v>
      </c>
      <c r="BH92" s="23">
        <f t="shared" si="31"/>
        <v>0</v>
      </c>
      <c r="BI92" s="23">
        <f t="shared" si="32"/>
        <v>0</v>
      </c>
      <c r="BJ92" s="18">
        <f t="shared" si="33"/>
        <v>1.2634127728351888E-2</v>
      </c>
      <c r="BL92" s="23"/>
      <c r="BN92" s="12">
        <f t="shared" si="34"/>
        <v>0</v>
      </c>
      <c r="BO92" s="12">
        <f t="shared" si="35"/>
        <v>1</v>
      </c>
      <c r="BP92" s="12">
        <f t="shared" si="36"/>
        <v>0</v>
      </c>
      <c r="BQ92" s="12">
        <f t="shared" si="25"/>
        <v>1</v>
      </c>
      <c r="BR92" s="12">
        <f t="shared" si="37"/>
        <v>0</v>
      </c>
      <c r="BS92" s="23">
        <f t="shared" si="38"/>
        <v>0</v>
      </c>
      <c r="BT92" s="23">
        <f t="shared" si="39"/>
        <v>0</v>
      </c>
      <c r="BU92" s="23">
        <f t="shared" si="40"/>
        <v>0</v>
      </c>
      <c r="BV92" s="18">
        <f t="shared" si="41"/>
        <v>1.2785640158879938E-2</v>
      </c>
      <c r="BX92" s="18">
        <f t="shared" si="42"/>
        <v>0</v>
      </c>
      <c r="BY92" s="18">
        <f t="shared" si="43"/>
        <v>2.5419767887231826E-2</v>
      </c>
    </row>
    <row r="93" spans="1:77" x14ac:dyDescent="0.3">
      <c r="A93" s="1">
        <v>46156</v>
      </c>
      <c r="B93" s="6">
        <v>22.05</v>
      </c>
      <c r="C93" s="6">
        <v>41.52</v>
      </c>
      <c r="D93" s="7">
        <v>-2.7173929764999099E-3</v>
      </c>
      <c r="E93" s="7">
        <v>-5.2846627914214803E-3</v>
      </c>
      <c r="F93" s="6">
        <v>0</v>
      </c>
      <c r="G93" s="6">
        <v>0.16839999999999999</v>
      </c>
      <c r="H93" s="6">
        <v>0</v>
      </c>
      <c r="I93" s="6">
        <v>0</v>
      </c>
      <c r="J93" s="6">
        <v>0.16839999999999999</v>
      </c>
      <c r="K93" s="6">
        <v>0</v>
      </c>
      <c r="L93" s="6">
        <v>22.218399999999999</v>
      </c>
      <c r="M93" s="6">
        <v>41.52</v>
      </c>
      <c r="N93" s="8">
        <v>1.88299319727891</v>
      </c>
      <c r="O93" s="8">
        <v>1.8787268979407299</v>
      </c>
      <c r="P93" s="8">
        <v>1.8853716747250699</v>
      </c>
      <c r="Q93" s="8">
        <v>1.88199520193551</v>
      </c>
      <c r="R93" s="6">
        <v>41.425928099593101</v>
      </c>
      <c r="S93" s="6">
        <v>41.567073178024501</v>
      </c>
      <c r="T93" s="6">
        <v>41.494317956607198</v>
      </c>
      <c r="U93" s="7">
        <v>-2.26827146059953E-3</v>
      </c>
      <c r="V93" s="7">
        <v>1.1331048564019099E-3</v>
      </c>
      <c r="W93" s="7">
        <v>-6.1873770318777695E-4</v>
      </c>
      <c r="X93" s="8">
        <v>1.8687214200842499</v>
      </c>
      <c r="Y93" s="8">
        <v>1.8658943630327001</v>
      </c>
      <c r="Z93" s="8">
        <v>1.87118501066206</v>
      </c>
      <c r="AA93" s="8">
        <v>1.8696631602575999</v>
      </c>
      <c r="AB93" s="6">
        <v>41.4571873156058</v>
      </c>
      <c r="AC93" s="6">
        <v>41.577767436478702</v>
      </c>
      <c r="AD93" s="6">
        <v>41.541447030058201</v>
      </c>
      <c r="AE93" s="7">
        <v>-1.5139750677037201E-3</v>
      </c>
      <c r="AF93" s="7">
        <v>1.39034892432322E-3</v>
      </c>
      <c r="AG93" s="7">
        <v>5.1641360226082299E-4</v>
      </c>
      <c r="AZ93" s="23"/>
      <c r="BB93" s="12">
        <f t="shared" si="26"/>
        <v>0</v>
      </c>
      <c r="BC93" s="12">
        <f t="shared" si="27"/>
        <v>1</v>
      </c>
      <c r="BD93" s="12">
        <f t="shared" si="28"/>
        <v>0</v>
      </c>
      <c r="BE93" s="12">
        <f t="shared" si="24"/>
        <v>1</v>
      </c>
      <c r="BF93" s="12">
        <f t="shared" si="29"/>
        <v>0</v>
      </c>
      <c r="BG93" s="23">
        <f t="shared" si="30"/>
        <v>0</v>
      </c>
      <c r="BH93" s="23">
        <f t="shared" si="31"/>
        <v>0</v>
      </c>
      <c r="BI93" s="23">
        <f t="shared" si="32"/>
        <v>0</v>
      </c>
      <c r="BJ93" s="18">
        <f t="shared" si="33"/>
        <v>1.2634127728351888E-2</v>
      </c>
      <c r="BL93" s="23"/>
      <c r="BN93" s="12">
        <f t="shared" si="34"/>
        <v>0</v>
      </c>
      <c r="BO93" s="12">
        <f t="shared" si="35"/>
        <v>0</v>
      </c>
      <c r="BP93" s="12">
        <f t="shared" si="36"/>
        <v>0</v>
      </c>
      <c r="BQ93" s="12">
        <f t="shared" si="25"/>
        <v>1</v>
      </c>
      <c r="BR93" s="12">
        <f t="shared" si="37"/>
        <v>0</v>
      </c>
      <c r="BS93" s="23">
        <f t="shared" si="38"/>
        <v>0</v>
      </c>
      <c r="BT93" s="23">
        <f t="shared" si="39"/>
        <v>0</v>
      </c>
      <c r="BU93" s="23">
        <f t="shared" si="40"/>
        <v>0</v>
      </c>
      <c r="BV93" s="18">
        <f t="shared" si="41"/>
        <v>1.2785640158879938E-2</v>
      </c>
      <c r="BX93" s="18">
        <f t="shared" si="42"/>
        <v>0</v>
      </c>
      <c r="BY93" s="18">
        <f t="shared" si="43"/>
        <v>2.5419767887231826E-2</v>
      </c>
    </row>
    <row r="94" spans="1:77" x14ac:dyDescent="0.3">
      <c r="A94" s="1">
        <v>46157</v>
      </c>
      <c r="B94" s="6">
        <v>21.81</v>
      </c>
      <c r="C94" s="6">
        <v>41.01</v>
      </c>
      <c r="D94" s="7">
        <v>-1.09440216793173E-2</v>
      </c>
      <c r="E94" s="7">
        <v>-1.2359299453665399E-2</v>
      </c>
      <c r="F94" s="6">
        <v>0</v>
      </c>
      <c r="G94" s="6">
        <v>0.16839999999999999</v>
      </c>
      <c r="H94" s="6">
        <v>0</v>
      </c>
      <c r="I94" s="6">
        <v>0</v>
      </c>
      <c r="J94" s="6">
        <v>0.16839999999999999</v>
      </c>
      <c r="K94" s="6">
        <v>0</v>
      </c>
      <c r="L94" s="6">
        <v>21.978399999999901</v>
      </c>
      <c r="M94" s="6">
        <v>41.01</v>
      </c>
      <c r="N94" s="8">
        <v>1.8803301237964201</v>
      </c>
      <c r="O94" s="8">
        <v>1.8787268979407299</v>
      </c>
      <c r="P94" s="8">
        <v>1.8852805305595</v>
      </c>
      <c r="Q94" s="8">
        <v>1.8820554190976799</v>
      </c>
      <c r="R94" s="6">
        <v>40.975033644087297</v>
      </c>
      <c r="S94" s="6">
        <v>41.119956225753697</v>
      </c>
      <c r="T94" s="6">
        <v>41.046315354213597</v>
      </c>
      <c r="U94" s="7">
        <v>-8.5299368625157404E-4</v>
      </c>
      <c r="V94" s="7">
        <v>2.67761719358578E-3</v>
      </c>
      <c r="W94" s="7">
        <v>8.8513251973076597E-4</v>
      </c>
      <c r="X94" s="8">
        <v>1.8659229061260101</v>
      </c>
      <c r="Y94" s="8">
        <v>1.8658943630327001</v>
      </c>
      <c r="Z94" s="8">
        <v>1.87106753629145</v>
      </c>
      <c r="AA94" s="8">
        <v>1.86952271071012</v>
      </c>
      <c r="AB94" s="6">
        <v>41.009372668477901</v>
      </c>
      <c r="AC94" s="6">
        <v>41.125652638335197</v>
      </c>
      <c r="AD94" s="6">
        <v>41.0922048014057</v>
      </c>
      <c r="AE94" s="7">
        <v>-1.5297154845407099E-5</v>
      </c>
      <c r="AF94" s="7">
        <v>2.81613918081919E-3</v>
      </c>
      <c r="AG94" s="7">
        <v>2.0024999103180098E-3</v>
      </c>
      <c r="AZ94" s="23"/>
      <c r="BB94" s="12">
        <f t="shared" si="26"/>
        <v>0</v>
      </c>
      <c r="BC94" s="12">
        <f t="shared" si="27"/>
        <v>1</v>
      </c>
      <c r="BD94" s="12">
        <f t="shared" si="28"/>
        <v>0</v>
      </c>
      <c r="BE94" s="12">
        <f t="shared" si="24"/>
        <v>1</v>
      </c>
      <c r="BF94" s="12">
        <f t="shared" si="29"/>
        <v>0</v>
      </c>
      <c r="BG94" s="23">
        <f t="shared" si="30"/>
        <v>0</v>
      </c>
      <c r="BH94" s="23">
        <f t="shared" si="31"/>
        <v>0</v>
      </c>
      <c r="BI94" s="23">
        <f t="shared" si="32"/>
        <v>0</v>
      </c>
      <c r="BJ94" s="18">
        <f t="shared" si="33"/>
        <v>1.2634127728351888E-2</v>
      </c>
      <c r="BL94" s="23"/>
      <c r="BN94" s="12">
        <f t="shared" si="34"/>
        <v>1</v>
      </c>
      <c r="BO94" s="12">
        <f t="shared" si="35"/>
        <v>0</v>
      </c>
      <c r="BP94" s="12">
        <f t="shared" si="36"/>
        <v>0</v>
      </c>
      <c r="BQ94" s="12">
        <f t="shared" si="25"/>
        <v>1</v>
      </c>
      <c r="BR94" s="12">
        <f t="shared" si="37"/>
        <v>0</v>
      </c>
      <c r="BS94" s="23">
        <f t="shared" si="38"/>
        <v>0</v>
      </c>
      <c r="BT94" s="23">
        <f t="shared" si="39"/>
        <v>0</v>
      </c>
      <c r="BU94" s="23">
        <f t="shared" si="40"/>
        <v>0</v>
      </c>
      <c r="BV94" s="18">
        <f t="shared" si="41"/>
        <v>1.2785640158879938E-2</v>
      </c>
      <c r="BX94" s="18">
        <f t="shared" si="42"/>
        <v>0</v>
      </c>
      <c r="BY94" s="18">
        <f t="shared" si="43"/>
        <v>2.5419767887231826E-2</v>
      </c>
    </row>
    <row r="95" spans="1:77" x14ac:dyDescent="0.3">
      <c r="A95" s="1">
        <v>46160</v>
      </c>
      <c r="B95" s="6">
        <v>21.9</v>
      </c>
      <c r="C95" s="6">
        <v>41.27</v>
      </c>
      <c r="D95" s="7">
        <v>4.1180566089175398E-3</v>
      </c>
      <c r="E95" s="7">
        <v>6.3199043605226901E-3</v>
      </c>
      <c r="F95" s="6">
        <v>0</v>
      </c>
      <c r="G95" s="6">
        <v>0.16839999999999999</v>
      </c>
      <c r="H95" s="6">
        <v>0</v>
      </c>
      <c r="I95" s="6">
        <v>0</v>
      </c>
      <c r="J95" s="6">
        <v>0.16839999999999999</v>
      </c>
      <c r="K95" s="6">
        <v>0</v>
      </c>
      <c r="L95" s="6">
        <v>22.068399999999901</v>
      </c>
      <c r="M95" s="6">
        <v>41.27</v>
      </c>
      <c r="N95" s="8">
        <v>1.88447488584474</v>
      </c>
      <c r="O95" s="8">
        <v>1.8787268979407299</v>
      </c>
      <c r="P95" s="8">
        <v>1.8856123390716699</v>
      </c>
      <c r="Q95" s="8">
        <v>1.88249297185317</v>
      </c>
      <c r="R95" s="6">
        <v>41.144119064902</v>
      </c>
      <c r="S95" s="6">
        <v>41.287643619253103</v>
      </c>
      <c r="T95" s="6">
        <v>41.217013678239297</v>
      </c>
      <c r="U95" s="7">
        <v>-3.0548414378568098E-3</v>
      </c>
      <c r="V95" s="7">
        <v>4.2742546294360098E-4</v>
      </c>
      <c r="W95" s="7">
        <v>-1.2847192954567801E-3</v>
      </c>
      <c r="X95" s="8">
        <v>1.8700947961791501</v>
      </c>
      <c r="Y95" s="8">
        <v>1.8658943630327001</v>
      </c>
      <c r="Z95" s="8">
        <v>1.87138200640196</v>
      </c>
      <c r="AA95" s="8">
        <v>1.8697593229249101</v>
      </c>
      <c r="AB95" s="6">
        <v>41.177303161150903</v>
      </c>
      <c r="AC95" s="6">
        <v>41.291466817894303</v>
      </c>
      <c r="AD95" s="6">
        <v>41.257374989035299</v>
      </c>
      <c r="AE95" s="7">
        <v>-2.2486333537644898E-3</v>
      </c>
      <c r="AF95" s="7">
        <v>5.2002027593553597E-4</v>
      </c>
      <c r="AG95" s="7">
        <v>-3.0595935142380598E-4</v>
      </c>
      <c r="AZ95" s="23"/>
      <c r="BB95" s="12">
        <f t="shared" si="26"/>
        <v>0</v>
      </c>
      <c r="BC95" s="12">
        <f t="shared" si="27"/>
        <v>1</v>
      </c>
      <c r="BD95" s="12">
        <f t="shared" si="28"/>
        <v>0</v>
      </c>
      <c r="BE95" s="12">
        <f t="shared" si="24"/>
        <v>1</v>
      </c>
      <c r="BF95" s="12">
        <f t="shared" si="29"/>
        <v>0</v>
      </c>
      <c r="BG95" s="23">
        <f t="shared" si="30"/>
        <v>0</v>
      </c>
      <c r="BH95" s="23">
        <f t="shared" si="31"/>
        <v>0</v>
      </c>
      <c r="BI95" s="23">
        <f t="shared" si="32"/>
        <v>0</v>
      </c>
      <c r="BJ95" s="18">
        <f t="shared" si="33"/>
        <v>1.2634127728351888E-2</v>
      </c>
      <c r="BL95" s="23"/>
      <c r="BN95" s="12">
        <f t="shared" si="34"/>
        <v>0</v>
      </c>
      <c r="BO95" s="12">
        <f t="shared" si="35"/>
        <v>1</v>
      </c>
      <c r="BP95" s="12">
        <f t="shared" si="36"/>
        <v>1</v>
      </c>
      <c r="BQ95" s="12">
        <f t="shared" si="25"/>
        <v>1</v>
      </c>
      <c r="BR95" s="12">
        <f t="shared" si="37"/>
        <v>1</v>
      </c>
      <c r="BS95" s="23">
        <f t="shared" si="38"/>
        <v>-4.1180566089175398E-3</v>
      </c>
      <c r="BT95" s="23">
        <f t="shared" si="39"/>
        <v>6.3199043605226901E-3</v>
      </c>
      <c r="BU95" s="23">
        <f t="shared" si="40"/>
        <v>2.2018477516051503E-3</v>
      </c>
      <c r="BV95" s="18">
        <f t="shared" si="41"/>
        <v>1.4987487910485087E-2</v>
      </c>
      <c r="BX95" s="18">
        <f t="shared" si="42"/>
        <v>2.2018477516051503E-3</v>
      </c>
      <c r="BY95" s="18">
        <f t="shared" si="43"/>
        <v>2.7621615638836975E-2</v>
      </c>
    </row>
    <row r="96" spans="1:77" x14ac:dyDescent="0.3">
      <c r="A96" s="1">
        <v>46161</v>
      </c>
      <c r="B96" s="6">
        <v>21.74</v>
      </c>
      <c r="C96" s="6">
        <v>41.03</v>
      </c>
      <c r="D96" s="7">
        <v>-7.3327551293917896E-3</v>
      </c>
      <c r="E96" s="7">
        <v>-5.8323373103957802E-3</v>
      </c>
      <c r="F96" s="6">
        <v>0</v>
      </c>
      <c r="G96" s="6">
        <v>0.16839999999999999</v>
      </c>
      <c r="H96" s="6">
        <v>0</v>
      </c>
      <c r="I96" s="6">
        <v>0</v>
      </c>
      <c r="J96" s="6">
        <v>0.16839999999999999</v>
      </c>
      <c r="K96" s="6">
        <v>0</v>
      </c>
      <c r="L96" s="6">
        <v>21.908399999999901</v>
      </c>
      <c r="M96" s="6">
        <v>41.03</v>
      </c>
      <c r="N96" s="8">
        <v>1.88730450781968</v>
      </c>
      <c r="O96" s="8">
        <v>1.8787268979407299</v>
      </c>
      <c r="P96" s="8">
        <v>1.8855492968577101</v>
      </c>
      <c r="Q96" s="8">
        <v>1.8829733051578199</v>
      </c>
      <c r="R96" s="6">
        <v>40.843522761231497</v>
      </c>
      <c r="S96" s="6">
        <v>40.9932122514182</v>
      </c>
      <c r="T96" s="6">
        <v>40.925397208088</v>
      </c>
      <c r="U96" s="7">
        <v>-4.5552592568527898E-3</v>
      </c>
      <c r="V96" s="7">
        <v>-8.9700829895938299E-4</v>
      </c>
      <c r="W96" s="7">
        <v>-2.5526774874167499E-3</v>
      </c>
      <c r="X96" s="8">
        <v>1.8727976483905699</v>
      </c>
      <c r="Y96" s="8">
        <v>1.8658943630327001</v>
      </c>
      <c r="Z96" s="8">
        <v>1.87129406772866</v>
      </c>
      <c r="AA96" s="8">
        <v>1.87003779204581</v>
      </c>
      <c r="AB96" s="6">
        <v>40.878760063065698</v>
      </c>
      <c r="AC96" s="6">
        <v>40.998985549056698</v>
      </c>
      <c r="AD96" s="6">
        <v>40.963435150368198</v>
      </c>
      <c r="AE96" s="7">
        <v>-3.6928921569585002E-3</v>
      </c>
      <c r="AF96" s="7">
        <v>-7.5618276182488702E-4</v>
      </c>
      <c r="AG96" s="7">
        <v>-1.62366326360903E-3</v>
      </c>
      <c r="AZ96" s="23"/>
      <c r="BB96" s="12">
        <f t="shared" si="26"/>
        <v>0</v>
      </c>
      <c r="BC96" s="12">
        <f t="shared" si="27"/>
        <v>0</v>
      </c>
      <c r="BD96" s="12">
        <f t="shared" si="28"/>
        <v>0</v>
      </c>
      <c r="BE96" s="12">
        <f t="shared" si="24"/>
        <v>1</v>
      </c>
      <c r="BF96" s="12">
        <f t="shared" si="29"/>
        <v>0</v>
      </c>
      <c r="BG96" s="23">
        <f t="shared" si="30"/>
        <v>0</v>
      </c>
      <c r="BH96" s="23">
        <f t="shared" si="31"/>
        <v>0</v>
      </c>
      <c r="BI96" s="23">
        <f t="shared" si="32"/>
        <v>0</v>
      </c>
      <c r="BJ96" s="18">
        <f t="shared" si="33"/>
        <v>1.2634127728351888E-2</v>
      </c>
      <c r="BL96" s="23"/>
      <c r="BN96" s="12">
        <f t="shared" si="34"/>
        <v>0</v>
      </c>
      <c r="BO96" s="12">
        <f t="shared" si="35"/>
        <v>1</v>
      </c>
      <c r="BP96" s="12">
        <f t="shared" si="36"/>
        <v>0</v>
      </c>
      <c r="BQ96" s="12">
        <f t="shared" si="25"/>
        <v>1</v>
      </c>
      <c r="BR96" s="12">
        <f t="shared" si="37"/>
        <v>0</v>
      </c>
      <c r="BS96" s="23">
        <f t="shared" si="38"/>
        <v>0</v>
      </c>
      <c r="BT96" s="23">
        <f t="shared" si="39"/>
        <v>0</v>
      </c>
      <c r="BU96" s="23">
        <f t="shared" si="40"/>
        <v>0</v>
      </c>
      <c r="BV96" s="18">
        <f t="shared" si="41"/>
        <v>1.4987487910485087E-2</v>
      </c>
      <c r="BX96" s="18">
        <f t="shared" si="42"/>
        <v>0</v>
      </c>
      <c r="BY96" s="18">
        <f t="shared" si="43"/>
        <v>2.7621615638836975E-2</v>
      </c>
    </row>
    <row r="97" spans="1:77" x14ac:dyDescent="0.3">
      <c r="A97" s="1">
        <v>46162</v>
      </c>
      <c r="B97" s="6">
        <v>21.95</v>
      </c>
      <c r="C97" s="6">
        <v>41.42</v>
      </c>
      <c r="D97" s="7">
        <v>9.6132578281170108E-3</v>
      </c>
      <c r="E97" s="7">
        <v>9.4603495133433503E-3</v>
      </c>
      <c r="F97" s="6">
        <v>0</v>
      </c>
      <c r="G97" s="6">
        <v>0.16839999999999999</v>
      </c>
      <c r="H97" s="6">
        <v>0</v>
      </c>
      <c r="I97" s="6">
        <v>0</v>
      </c>
      <c r="J97" s="6">
        <v>0.16839999999999999</v>
      </c>
      <c r="K97" s="6">
        <v>0</v>
      </c>
      <c r="L97" s="6">
        <v>22.118399999999902</v>
      </c>
      <c r="M97" s="6">
        <v>41.42</v>
      </c>
      <c r="N97" s="8">
        <v>1.8870159453302899</v>
      </c>
      <c r="O97" s="8">
        <v>1.8787268979407299</v>
      </c>
      <c r="P97" s="8">
        <v>1.8854415807372</v>
      </c>
      <c r="Q97" s="8">
        <v>1.8835488215254601</v>
      </c>
      <c r="R97" s="6">
        <v>41.238055409799003</v>
      </c>
      <c r="S97" s="6">
        <v>41.387807066026802</v>
      </c>
      <c r="T97" s="6">
        <v>41.331264048214301</v>
      </c>
      <c r="U97" s="7">
        <v>-4.4023509420791501E-3</v>
      </c>
      <c r="V97" s="7">
        <v>-7.7753382768348995E-4</v>
      </c>
      <c r="W97" s="7">
        <v>-2.1446436333751998E-3</v>
      </c>
      <c r="X97" s="8">
        <v>1.8726490162036999</v>
      </c>
      <c r="Y97" s="8">
        <v>1.8658943630327001</v>
      </c>
      <c r="Z97" s="8">
        <v>1.87116226411898</v>
      </c>
      <c r="AA97" s="8">
        <v>1.8704175958931299</v>
      </c>
      <c r="AB97" s="6">
        <v>41.2705978793025</v>
      </c>
      <c r="AC97" s="6">
        <v>41.390030707649601</v>
      </c>
      <c r="AD97" s="6">
        <v>41.362243899585998</v>
      </c>
      <c r="AE97" s="7">
        <v>-3.61352528819424E-3</v>
      </c>
      <c r="AF97" s="7">
        <v>-7.23808297199875E-4</v>
      </c>
      <c r="AG97" s="7">
        <v>-1.3953743475536701E-3</v>
      </c>
      <c r="AZ97" s="23"/>
      <c r="BB97" s="12">
        <f t="shared" si="26"/>
        <v>0</v>
      </c>
      <c r="BC97" s="12">
        <f t="shared" si="27"/>
        <v>0</v>
      </c>
      <c r="BD97" s="12">
        <f t="shared" si="28"/>
        <v>0</v>
      </c>
      <c r="BE97" s="12">
        <f t="shared" si="24"/>
        <v>1</v>
      </c>
      <c r="BF97" s="12">
        <f t="shared" si="29"/>
        <v>0</v>
      </c>
      <c r="BG97" s="23">
        <f t="shared" si="30"/>
        <v>0</v>
      </c>
      <c r="BH97" s="23">
        <f t="shared" si="31"/>
        <v>0</v>
      </c>
      <c r="BI97" s="23">
        <f t="shared" si="32"/>
        <v>0</v>
      </c>
      <c r="BJ97" s="18">
        <f t="shared" si="33"/>
        <v>1.2634127728351888E-2</v>
      </c>
      <c r="BL97" s="23"/>
      <c r="BN97" s="12">
        <f t="shared" si="34"/>
        <v>0</v>
      </c>
      <c r="BO97" s="12">
        <f t="shared" si="35"/>
        <v>1</v>
      </c>
      <c r="BP97" s="12">
        <f t="shared" si="36"/>
        <v>0</v>
      </c>
      <c r="BQ97" s="12">
        <f t="shared" si="25"/>
        <v>1</v>
      </c>
      <c r="BR97" s="12">
        <f t="shared" si="37"/>
        <v>0</v>
      </c>
      <c r="BS97" s="23">
        <f t="shared" si="38"/>
        <v>0</v>
      </c>
      <c r="BT97" s="23">
        <f t="shared" si="39"/>
        <v>0</v>
      </c>
      <c r="BU97" s="23">
        <f t="shared" si="40"/>
        <v>0</v>
      </c>
      <c r="BV97" s="18">
        <f t="shared" si="41"/>
        <v>1.4987487910485087E-2</v>
      </c>
      <c r="BX97" s="18">
        <f t="shared" si="42"/>
        <v>0</v>
      </c>
      <c r="BY97" s="18">
        <f t="shared" si="43"/>
        <v>2.7621615638836975E-2</v>
      </c>
    </row>
    <row r="98" spans="1:77" x14ac:dyDescent="0.3">
      <c r="A98" s="1">
        <v>46163</v>
      </c>
      <c r="B98" s="6">
        <v>21.94</v>
      </c>
      <c r="C98" s="6">
        <v>41.43</v>
      </c>
      <c r="D98" s="7">
        <v>-4.5568467409612401E-4</v>
      </c>
      <c r="E98" s="7">
        <v>2.4140012187237901E-4</v>
      </c>
      <c r="F98" s="6">
        <v>0</v>
      </c>
      <c r="G98" s="6">
        <v>0.16839999999999999</v>
      </c>
      <c r="H98" s="6">
        <v>0</v>
      </c>
      <c r="I98" s="6">
        <v>0</v>
      </c>
      <c r="J98" s="6">
        <v>0.16839999999999999</v>
      </c>
      <c r="K98" s="6">
        <v>0</v>
      </c>
      <c r="L98" s="6">
        <v>22.1084</v>
      </c>
      <c r="M98" s="6">
        <v>41.43</v>
      </c>
      <c r="N98" s="8">
        <v>1.8883318140382801</v>
      </c>
      <c r="O98" s="8">
        <v>1.8787268979407299</v>
      </c>
      <c r="P98" s="8">
        <v>1.8857494371746499</v>
      </c>
      <c r="Q98" s="8">
        <v>1.88403216910604</v>
      </c>
      <c r="R98" s="6">
        <v>41.219268140819601</v>
      </c>
      <c r="S98" s="6">
        <v>41.366588281374298</v>
      </c>
      <c r="T98" s="6">
        <v>41.325061144268702</v>
      </c>
      <c r="U98" s="7">
        <v>-5.0994357380474403E-3</v>
      </c>
      <c r="V98" s="7">
        <v>-1.53174743887949E-3</v>
      </c>
      <c r="W98" s="7">
        <v>-2.53613278818685E-3</v>
      </c>
      <c r="X98" s="8">
        <v>1.8739483635179299</v>
      </c>
      <c r="Y98" s="8">
        <v>1.8658943630327001</v>
      </c>
      <c r="Z98" s="8">
        <v>1.8714441386941301</v>
      </c>
      <c r="AA98" s="8">
        <v>1.8707071637727599</v>
      </c>
      <c r="AB98" s="6">
        <v>41.2519389356722</v>
      </c>
      <c r="AC98" s="6">
        <v>41.3684038000481</v>
      </c>
      <c r="AD98" s="6">
        <v>41.351940377043697</v>
      </c>
      <c r="AE98" s="7">
        <v>-4.3071399121519301E-3</v>
      </c>
      <c r="AF98" s="7">
        <v>-1.48785987381328E-3</v>
      </c>
      <c r="AG98" s="7">
        <v>-1.8859100363363701E-3</v>
      </c>
      <c r="AZ98" s="23"/>
      <c r="BB98" s="12">
        <f t="shared" si="26"/>
        <v>0</v>
      </c>
      <c r="BC98" s="12">
        <f t="shared" si="27"/>
        <v>0</v>
      </c>
      <c r="BD98" s="12">
        <f t="shared" si="28"/>
        <v>0</v>
      </c>
      <c r="BE98" s="12">
        <f t="shared" si="24"/>
        <v>1</v>
      </c>
      <c r="BF98" s="12">
        <f t="shared" si="29"/>
        <v>0</v>
      </c>
      <c r="BG98" s="23">
        <f t="shared" si="30"/>
        <v>0</v>
      </c>
      <c r="BH98" s="23">
        <f t="shared" si="31"/>
        <v>0</v>
      </c>
      <c r="BI98" s="23">
        <f t="shared" si="32"/>
        <v>0</v>
      </c>
      <c r="BJ98" s="18">
        <f t="shared" si="33"/>
        <v>1.2634127728351888E-2</v>
      </c>
      <c r="BL98" s="23"/>
      <c r="BN98" s="12">
        <f t="shared" si="34"/>
        <v>0</v>
      </c>
      <c r="BO98" s="12">
        <f t="shared" si="35"/>
        <v>1</v>
      </c>
      <c r="BP98" s="12">
        <f t="shared" si="36"/>
        <v>0</v>
      </c>
      <c r="BQ98" s="12">
        <f t="shared" si="25"/>
        <v>1</v>
      </c>
      <c r="BR98" s="12">
        <f t="shared" si="37"/>
        <v>0</v>
      </c>
      <c r="BS98" s="23">
        <f t="shared" si="38"/>
        <v>0</v>
      </c>
      <c r="BT98" s="23">
        <f t="shared" si="39"/>
        <v>0</v>
      </c>
      <c r="BU98" s="23">
        <f t="shared" si="40"/>
        <v>0</v>
      </c>
      <c r="BV98" s="18">
        <f t="shared" si="41"/>
        <v>1.4987487910485087E-2</v>
      </c>
      <c r="BX98" s="18">
        <f t="shared" si="42"/>
        <v>0</v>
      </c>
      <c r="BY98" s="18">
        <f t="shared" si="43"/>
        <v>2.7621615638836975E-2</v>
      </c>
    </row>
    <row r="99" spans="1:77" x14ac:dyDescent="0.3">
      <c r="A99" s="1">
        <v>46164</v>
      </c>
      <c r="B99" s="6">
        <v>21.93</v>
      </c>
      <c r="C99" s="6">
        <v>41.43</v>
      </c>
      <c r="D99" s="7">
        <v>-4.55892417287445E-4</v>
      </c>
      <c r="E99" s="7">
        <v>0</v>
      </c>
      <c r="F99" s="6">
        <v>0</v>
      </c>
      <c r="G99" s="6">
        <v>0.16839999999999999</v>
      </c>
      <c r="H99" s="6">
        <v>0</v>
      </c>
      <c r="I99" s="6">
        <v>0</v>
      </c>
      <c r="J99" s="6">
        <v>0.16839999999999999</v>
      </c>
      <c r="K99" s="6">
        <v>0</v>
      </c>
      <c r="L99" s="6">
        <v>22.098399999999899</v>
      </c>
      <c r="M99" s="6">
        <v>41.43</v>
      </c>
      <c r="N99" s="8">
        <v>1.8891928864569001</v>
      </c>
      <c r="O99" s="8">
        <v>1.8787268979407299</v>
      </c>
      <c r="P99" s="8">
        <v>1.8858790875889899</v>
      </c>
      <c r="Q99" s="8">
        <v>1.8844918134288899</v>
      </c>
      <c r="R99" s="6">
        <v>41.200480871840199</v>
      </c>
      <c r="S99" s="6">
        <v>41.354485157240099</v>
      </c>
      <c r="T99" s="6">
        <v>41.316825468495601</v>
      </c>
      <c r="U99" s="7">
        <v>-5.5553281553351102E-3</v>
      </c>
      <c r="V99" s="7">
        <v>-1.8243723702892701E-3</v>
      </c>
      <c r="W99" s="7">
        <v>-2.7354427540644101E-3</v>
      </c>
      <c r="X99" s="8">
        <v>1.87479636534771</v>
      </c>
      <c r="Y99" s="8">
        <v>1.8658943630327001</v>
      </c>
      <c r="Z99" s="8">
        <v>1.87154346456858</v>
      </c>
      <c r="AA99" s="8">
        <v>1.8709708683939299</v>
      </c>
      <c r="AB99" s="6">
        <v>41.233279992041901</v>
      </c>
      <c r="AC99" s="6">
        <v>41.355921154518498</v>
      </c>
      <c r="AD99" s="6">
        <v>41.339635187916102</v>
      </c>
      <c r="AE99" s="7">
        <v>-4.7595590047154997E-3</v>
      </c>
      <c r="AF99" s="7">
        <v>-1.78964887314769E-3</v>
      </c>
      <c r="AG99" s="7">
        <v>-2.1835265500935899E-3</v>
      </c>
      <c r="AZ99" s="23"/>
      <c r="BB99" s="12">
        <f t="shared" si="26"/>
        <v>0</v>
      </c>
      <c r="BC99" s="12">
        <f t="shared" si="27"/>
        <v>0</v>
      </c>
      <c r="BD99" s="12">
        <f t="shared" si="28"/>
        <v>0</v>
      </c>
      <c r="BE99" s="12">
        <f t="shared" si="24"/>
        <v>1</v>
      </c>
      <c r="BF99" s="12">
        <f t="shared" si="29"/>
        <v>0</v>
      </c>
      <c r="BG99" s="23">
        <f t="shared" si="30"/>
        <v>0</v>
      </c>
      <c r="BH99" s="23">
        <f t="shared" si="31"/>
        <v>0</v>
      </c>
      <c r="BI99" s="23">
        <f t="shared" si="32"/>
        <v>0</v>
      </c>
      <c r="BJ99" s="18">
        <f t="shared" si="33"/>
        <v>1.2634127728351888E-2</v>
      </c>
      <c r="BL99" s="23"/>
      <c r="BN99" s="12">
        <f t="shared" si="34"/>
        <v>0</v>
      </c>
      <c r="BO99" s="12">
        <f t="shared" si="35"/>
        <v>1</v>
      </c>
      <c r="BP99" s="12">
        <f t="shared" si="36"/>
        <v>0</v>
      </c>
      <c r="BQ99" s="12">
        <f t="shared" si="25"/>
        <v>1</v>
      </c>
      <c r="BR99" s="12">
        <f t="shared" si="37"/>
        <v>0</v>
      </c>
      <c r="BS99" s="23">
        <f t="shared" si="38"/>
        <v>0</v>
      </c>
      <c r="BT99" s="23">
        <f t="shared" si="39"/>
        <v>0</v>
      </c>
      <c r="BU99" s="23">
        <f t="shared" si="40"/>
        <v>0</v>
      </c>
      <c r="BV99" s="18">
        <f t="shared" si="41"/>
        <v>1.4987487910485087E-2</v>
      </c>
      <c r="BX99" s="18">
        <f t="shared" si="42"/>
        <v>0</v>
      </c>
      <c r="BY99" s="18">
        <f t="shared" si="43"/>
        <v>2.7621615638836975E-2</v>
      </c>
    </row>
    <row r="100" spans="1:77" x14ac:dyDescent="0.3">
      <c r="A100" s="1">
        <v>46168</v>
      </c>
      <c r="B100" s="6">
        <v>22.04</v>
      </c>
      <c r="C100" s="6">
        <v>41.68</v>
      </c>
      <c r="D100" s="7">
        <v>5.0034218549168397E-3</v>
      </c>
      <c r="E100" s="7">
        <v>6.0161413558009504E-3</v>
      </c>
      <c r="F100" s="6">
        <v>0</v>
      </c>
      <c r="G100" s="6">
        <v>0.16839999999999999</v>
      </c>
      <c r="H100" s="6">
        <v>0</v>
      </c>
      <c r="I100" s="6">
        <v>0</v>
      </c>
      <c r="J100" s="6">
        <v>0.16839999999999999</v>
      </c>
      <c r="K100" s="6">
        <v>0</v>
      </c>
      <c r="L100" s="6">
        <v>22.208399999999902</v>
      </c>
      <c r="M100" s="6">
        <v>41.68</v>
      </c>
      <c r="N100" s="8">
        <v>1.89110707803992</v>
      </c>
      <c r="O100" s="8">
        <v>1.8787268979407299</v>
      </c>
      <c r="P100" s="8">
        <v>1.88625045039522</v>
      </c>
      <c r="Q100" s="8">
        <v>1.8850633908549901</v>
      </c>
      <c r="R100" s="6">
        <v>41.407140830613699</v>
      </c>
      <c r="S100" s="6">
        <v>41.564775090461303</v>
      </c>
      <c r="T100" s="6">
        <v>41.534199567972699</v>
      </c>
      <c r="U100" s="7">
        <v>-6.5680476562191099E-3</v>
      </c>
      <c r="V100" s="7">
        <v>-2.7683415085449198E-3</v>
      </c>
      <c r="W100" s="7">
        <v>-3.5042236056230698E-3</v>
      </c>
      <c r="X100" s="8">
        <v>1.87676734929125</v>
      </c>
      <c r="Y100" s="8">
        <v>1.8658943630327001</v>
      </c>
      <c r="Z100" s="8">
        <v>1.8718960802372</v>
      </c>
      <c r="AA100" s="8">
        <v>1.87135066370651</v>
      </c>
      <c r="AB100" s="6">
        <v>41.438528371975501</v>
      </c>
      <c r="AC100" s="6">
        <v>41.563985878524797</v>
      </c>
      <c r="AD100" s="6">
        <v>41.551269433639902</v>
      </c>
      <c r="AE100" s="7">
        <v>-5.81031238373695E-3</v>
      </c>
      <c r="AF100" s="7">
        <v>-2.7873292073225401E-3</v>
      </c>
      <c r="AG100" s="7">
        <v>-3.0933246575288701E-3</v>
      </c>
      <c r="AZ100" s="23"/>
      <c r="BB100" s="12">
        <f t="shared" si="26"/>
        <v>1</v>
      </c>
      <c r="BC100" s="12">
        <f t="shared" si="27"/>
        <v>0</v>
      </c>
      <c r="BD100" s="12">
        <f t="shared" si="28"/>
        <v>0</v>
      </c>
      <c r="BE100" s="12">
        <f t="shared" si="24"/>
        <v>1</v>
      </c>
      <c r="BF100" s="12">
        <f t="shared" si="29"/>
        <v>0</v>
      </c>
      <c r="BG100" s="23">
        <f t="shared" si="30"/>
        <v>0</v>
      </c>
      <c r="BH100" s="23">
        <f t="shared" si="31"/>
        <v>0</v>
      </c>
      <c r="BI100" s="23">
        <f t="shared" si="32"/>
        <v>0</v>
      </c>
      <c r="BJ100" s="18">
        <f t="shared" si="33"/>
        <v>1.2634127728351888E-2</v>
      </c>
      <c r="BL100" s="23"/>
      <c r="BN100" s="12">
        <f t="shared" si="34"/>
        <v>0</v>
      </c>
      <c r="BO100" s="12">
        <f t="shared" si="35"/>
        <v>1</v>
      </c>
      <c r="BP100" s="12">
        <f t="shared" si="36"/>
        <v>0</v>
      </c>
      <c r="BQ100" s="12">
        <f t="shared" si="25"/>
        <v>1</v>
      </c>
      <c r="BR100" s="12">
        <f t="shared" si="37"/>
        <v>0</v>
      </c>
      <c r="BS100" s="23">
        <f t="shared" si="38"/>
        <v>0</v>
      </c>
      <c r="BT100" s="23">
        <f t="shared" si="39"/>
        <v>0</v>
      </c>
      <c r="BU100" s="23">
        <f t="shared" si="40"/>
        <v>0</v>
      </c>
      <c r="BV100" s="18">
        <f t="shared" si="41"/>
        <v>1.4987487910485087E-2</v>
      </c>
      <c r="BX100" s="18">
        <f t="shared" si="42"/>
        <v>0</v>
      </c>
      <c r="BY100" s="18">
        <f t="shared" si="43"/>
        <v>2.7621615638836975E-2</v>
      </c>
    </row>
    <row r="101" spans="1:77" x14ac:dyDescent="0.3">
      <c r="A101" s="1">
        <v>46169</v>
      </c>
      <c r="B101" s="6">
        <v>22.04</v>
      </c>
      <c r="C101" s="6">
        <v>41.68</v>
      </c>
      <c r="D101" s="7">
        <v>0</v>
      </c>
      <c r="E101" s="7">
        <v>0</v>
      </c>
      <c r="F101" s="6">
        <v>0</v>
      </c>
      <c r="G101" s="6">
        <v>0.16839999999999999</v>
      </c>
      <c r="H101" s="6">
        <v>0</v>
      </c>
      <c r="I101" s="6">
        <v>0</v>
      </c>
      <c r="J101" s="6">
        <v>0.16839999999999999</v>
      </c>
      <c r="K101" s="6">
        <v>0</v>
      </c>
      <c r="L101" s="6">
        <v>22.208399999999902</v>
      </c>
      <c r="M101" s="6">
        <v>41.68</v>
      </c>
      <c r="N101" s="8">
        <v>1.89110707803992</v>
      </c>
      <c r="O101" s="8">
        <v>1.8787268979407299</v>
      </c>
      <c r="P101" s="8">
        <v>1.8869691076120401</v>
      </c>
      <c r="Q101" s="8">
        <v>1.8856286860132001</v>
      </c>
      <c r="R101" s="6">
        <v>41.407140830613699</v>
      </c>
      <c r="S101" s="6">
        <v>41.572959926710702</v>
      </c>
      <c r="T101" s="6">
        <v>41.546797134444098</v>
      </c>
      <c r="U101" s="7">
        <v>-6.5680476562191099E-3</v>
      </c>
      <c r="V101" s="7">
        <v>-2.5714432823858401E-3</v>
      </c>
      <c r="W101" s="7">
        <v>-3.2009637250743298E-3</v>
      </c>
      <c r="X101" s="8">
        <v>1.87676734929125</v>
      </c>
      <c r="Y101" s="8">
        <v>1.8658943630327001</v>
      </c>
      <c r="Z101" s="8">
        <v>1.87260288455723</v>
      </c>
      <c r="AA101" s="8">
        <v>1.8717256279348999</v>
      </c>
      <c r="AB101" s="6">
        <v>41.438528371975501</v>
      </c>
      <c r="AC101" s="6">
        <v>41.571816908339898</v>
      </c>
      <c r="AD101" s="6">
        <v>41.559704079859699</v>
      </c>
      <c r="AE101" s="7">
        <v>-5.81031238373695E-3</v>
      </c>
      <c r="AF101" s="7">
        <v>-2.5989379348317098E-3</v>
      </c>
      <c r="AG101" s="7">
        <v>-2.89035155079863E-3</v>
      </c>
      <c r="AZ101" s="23"/>
      <c r="BB101" s="12">
        <f t="shared" si="26"/>
        <v>0</v>
      </c>
      <c r="BC101" s="12">
        <f t="shared" si="27"/>
        <v>0</v>
      </c>
      <c r="BD101" s="12">
        <f t="shared" si="28"/>
        <v>1</v>
      </c>
      <c r="BE101" s="12">
        <f t="shared" si="24"/>
        <v>1</v>
      </c>
      <c r="BF101" s="12">
        <f t="shared" si="29"/>
        <v>1</v>
      </c>
      <c r="BG101" s="23">
        <f t="shared" si="30"/>
        <v>0</v>
      </c>
      <c r="BH101" s="23">
        <f t="shared" si="31"/>
        <v>0</v>
      </c>
      <c r="BI101" s="23">
        <f t="shared" si="32"/>
        <v>0</v>
      </c>
      <c r="BJ101" s="18">
        <f t="shared" si="33"/>
        <v>1.2634127728351888E-2</v>
      </c>
      <c r="BL101" s="23"/>
      <c r="BN101" s="12">
        <f t="shared" si="34"/>
        <v>0</v>
      </c>
      <c r="BO101" s="12">
        <f t="shared" si="35"/>
        <v>1</v>
      </c>
      <c r="BP101" s="12">
        <f t="shared" si="36"/>
        <v>0</v>
      </c>
      <c r="BQ101" s="12">
        <f t="shared" si="25"/>
        <v>1</v>
      </c>
      <c r="BR101" s="12">
        <f t="shared" si="37"/>
        <v>0</v>
      </c>
      <c r="BS101" s="23">
        <f t="shared" si="38"/>
        <v>0</v>
      </c>
      <c r="BT101" s="23">
        <f t="shared" si="39"/>
        <v>0</v>
      </c>
      <c r="BU101" s="23">
        <f t="shared" si="40"/>
        <v>0</v>
      </c>
      <c r="BV101" s="18">
        <f t="shared" si="41"/>
        <v>1.4987487910485087E-2</v>
      </c>
      <c r="BX101" s="18">
        <f t="shared" si="42"/>
        <v>0</v>
      </c>
      <c r="BY101" s="18">
        <f t="shared" si="43"/>
        <v>2.7621615638836975E-2</v>
      </c>
    </row>
    <row r="102" spans="1:77" x14ac:dyDescent="0.3">
      <c r="A102" s="1">
        <v>46170</v>
      </c>
      <c r="B102" s="6">
        <v>22.11</v>
      </c>
      <c r="C102" s="6">
        <v>41.93</v>
      </c>
      <c r="D102" s="7">
        <v>3.1710105846412301E-3</v>
      </c>
      <c r="E102" s="7">
        <v>5.9801637375598302E-3</v>
      </c>
      <c r="F102" s="6">
        <v>0</v>
      </c>
      <c r="G102" s="6">
        <v>0.16839999999999999</v>
      </c>
      <c r="H102" s="6">
        <v>0</v>
      </c>
      <c r="I102" s="6">
        <v>0</v>
      </c>
      <c r="J102" s="6">
        <v>0.16839999999999999</v>
      </c>
      <c r="K102" s="6">
        <v>0</v>
      </c>
      <c r="L102" s="6">
        <v>22.278399999999898</v>
      </c>
      <c r="M102" s="6">
        <v>41.93</v>
      </c>
      <c r="N102" s="8">
        <v>1.8964269561284399</v>
      </c>
      <c r="O102" s="8">
        <v>1.8787268979407299</v>
      </c>
      <c r="P102" s="8">
        <v>1.8878284472773501</v>
      </c>
      <c r="Q102" s="8">
        <v>1.88647824128095</v>
      </c>
      <c r="R102" s="6">
        <v>41.538651713469498</v>
      </c>
      <c r="S102" s="6">
        <v>41.720886969302299</v>
      </c>
      <c r="T102" s="6">
        <v>41.691250247752002</v>
      </c>
      <c r="U102" s="7">
        <v>-9.3772008091377607E-3</v>
      </c>
      <c r="V102" s="7">
        <v>-4.9996712256993496E-3</v>
      </c>
      <c r="W102" s="7">
        <v>-5.71028058750765E-3</v>
      </c>
      <c r="X102" s="8">
        <v>1.88209207124389</v>
      </c>
      <c r="Y102" s="8">
        <v>1.8658943630327001</v>
      </c>
      <c r="Z102" s="8">
        <v>1.8734557285675699</v>
      </c>
      <c r="AA102" s="8">
        <v>1.87238856524512</v>
      </c>
      <c r="AB102" s="6">
        <v>41.569140977387796</v>
      </c>
      <c r="AC102" s="6">
        <v>41.718596103319904</v>
      </c>
      <c r="AD102" s="6">
        <v>41.699052229384897</v>
      </c>
      <c r="AE102" s="7">
        <v>-8.6434726159346897E-3</v>
      </c>
      <c r="AF102" s="7">
        <v>-5.0545820640378099E-3</v>
      </c>
      <c r="AG102" s="7">
        <v>-5.5231609483182504E-3</v>
      </c>
      <c r="AZ102" s="23"/>
      <c r="BB102" s="12">
        <f t="shared" si="26"/>
        <v>1</v>
      </c>
      <c r="BC102" s="12">
        <f t="shared" si="27"/>
        <v>0</v>
      </c>
      <c r="BD102" s="12">
        <f t="shared" si="28"/>
        <v>1</v>
      </c>
      <c r="BE102" s="12">
        <f t="shared" si="24"/>
        <v>1</v>
      </c>
      <c r="BF102" s="12">
        <f t="shared" si="29"/>
        <v>1</v>
      </c>
      <c r="BG102" s="23">
        <f t="shared" si="30"/>
        <v>3.1710105846412301E-3</v>
      </c>
      <c r="BH102" s="23">
        <f t="shared" si="31"/>
        <v>-5.9801637375598302E-3</v>
      </c>
      <c r="BI102" s="23">
        <f t="shared" si="32"/>
        <v>-2.8091531529186001E-3</v>
      </c>
      <c r="BJ102" s="18">
        <f t="shared" si="33"/>
        <v>9.824974575433288E-3</v>
      </c>
      <c r="BL102" s="23"/>
      <c r="BN102" s="12">
        <f t="shared" si="34"/>
        <v>0</v>
      </c>
      <c r="BO102" s="12">
        <f t="shared" si="35"/>
        <v>1</v>
      </c>
      <c r="BP102" s="12">
        <f t="shared" si="36"/>
        <v>0</v>
      </c>
      <c r="BQ102" s="12">
        <f t="shared" si="25"/>
        <v>1</v>
      </c>
      <c r="BR102" s="12">
        <f t="shared" si="37"/>
        <v>0</v>
      </c>
      <c r="BS102" s="23">
        <f t="shared" si="38"/>
        <v>0</v>
      </c>
      <c r="BT102" s="23">
        <f t="shared" si="39"/>
        <v>0</v>
      </c>
      <c r="BU102" s="23">
        <f t="shared" si="40"/>
        <v>0</v>
      </c>
      <c r="BV102" s="18">
        <f t="shared" si="41"/>
        <v>1.4987487910485087E-2</v>
      </c>
      <c r="BX102" s="18">
        <f t="shared" si="42"/>
        <v>-2.8091531529186001E-3</v>
      </c>
      <c r="BY102" s="18">
        <f t="shared" si="43"/>
        <v>2.4812462485918375E-2</v>
      </c>
    </row>
    <row r="103" spans="1:77" x14ac:dyDescent="0.3">
      <c r="A103" s="1">
        <v>46171</v>
      </c>
      <c r="B103" s="6">
        <v>22.17</v>
      </c>
      <c r="C103" s="6">
        <v>41.98</v>
      </c>
      <c r="D103" s="7">
        <v>2.71002875886537E-3</v>
      </c>
      <c r="E103" s="7">
        <v>1.1917532098156E-3</v>
      </c>
      <c r="F103" s="6">
        <v>0</v>
      </c>
      <c r="G103" s="6">
        <v>0.16839999999999999</v>
      </c>
      <c r="H103" s="6">
        <v>0</v>
      </c>
      <c r="I103" s="6">
        <v>0</v>
      </c>
      <c r="J103" s="6">
        <v>0.16839999999999999</v>
      </c>
      <c r="K103" s="6">
        <v>0</v>
      </c>
      <c r="L103" s="6">
        <v>22.3384</v>
      </c>
      <c r="M103" s="6">
        <v>41.98</v>
      </c>
      <c r="N103" s="8">
        <v>1.893549842129</v>
      </c>
      <c r="O103" s="8">
        <v>1.8787268979407299</v>
      </c>
      <c r="P103" s="8">
        <v>1.88888411176236</v>
      </c>
      <c r="Q103" s="8">
        <v>1.8871278932437101</v>
      </c>
      <c r="R103" s="6">
        <v>41.651375327346003</v>
      </c>
      <c r="S103" s="6">
        <v>41.853156676139001</v>
      </c>
      <c r="T103" s="6">
        <v>41.823222609198801</v>
      </c>
      <c r="U103" s="7">
        <v>-7.8589252600880198E-3</v>
      </c>
      <c r="V103" s="7">
        <v>-3.0260919589484999E-3</v>
      </c>
      <c r="W103" s="7">
        <v>-3.7415643174023299E-3</v>
      </c>
      <c r="X103" s="8">
        <v>1.87927514951831</v>
      </c>
      <c r="Y103" s="8">
        <v>1.8658943630327001</v>
      </c>
      <c r="Z103" s="8">
        <v>1.8745111015109801</v>
      </c>
      <c r="AA103" s="8">
        <v>1.8728480560865199</v>
      </c>
      <c r="AB103" s="6">
        <v>41.6810946391697</v>
      </c>
      <c r="AC103" s="6">
        <v>41.850003447033899</v>
      </c>
      <c r="AD103" s="6">
        <v>41.826164725871699</v>
      </c>
      <c r="AE103" s="7">
        <v>-7.14565435630511E-3</v>
      </c>
      <c r="AF103" s="7">
        <v>-3.1014350906031101E-3</v>
      </c>
      <c r="AG103" s="7">
        <v>-3.6712203072949102E-3</v>
      </c>
      <c r="AZ103" s="23"/>
      <c r="BB103" s="12">
        <f t="shared" si="26"/>
        <v>1</v>
      </c>
      <c r="BC103" s="12">
        <f t="shared" si="27"/>
        <v>0</v>
      </c>
      <c r="BD103" s="12">
        <f t="shared" si="28"/>
        <v>1</v>
      </c>
      <c r="BE103" s="12">
        <f t="shared" si="24"/>
        <v>0</v>
      </c>
      <c r="BF103" s="12">
        <f t="shared" si="29"/>
        <v>1</v>
      </c>
      <c r="BG103" s="23">
        <f t="shared" si="30"/>
        <v>2.71002875886537E-3</v>
      </c>
      <c r="BH103" s="23">
        <f t="shared" si="31"/>
        <v>-1.1917532098156E-3</v>
      </c>
      <c r="BI103" s="23">
        <f t="shared" si="32"/>
        <v>1.51827554904977E-3</v>
      </c>
      <c r="BJ103" s="18">
        <f t="shared" si="33"/>
        <v>1.1343250124483058E-2</v>
      </c>
      <c r="BL103" s="23"/>
      <c r="BN103" s="12">
        <f t="shared" si="34"/>
        <v>0</v>
      </c>
      <c r="BO103" s="12">
        <f t="shared" si="35"/>
        <v>1</v>
      </c>
      <c r="BP103" s="12">
        <f t="shared" si="36"/>
        <v>0</v>
      </c>
      <c r="BQ103" s="12">
        <f t="shared" si="25"/>
        <v>0</v>
      </c>
      <c r="BR103" s="12">
        <f t="shared" si="37"/>
        <v>0</v>
      </c>
      <c r="BS103" s="23">
        <f t="shared" si="38"/>
        <v>0</v>
      </c>
      <c r="BT103" s="23">
        <f t="shared" si="39"/>
        <v>0</v>
      </c>
      <c r="BU103" s="23">
        <f t="shared" si="40"/>
        <v>0</v>
      </c>
      <c r="BV103" s="18">
        <f t="shared" si="41"/>
        <v>1.4987487910485087E-2</v>
      </c>
      <c r="BX103" s="18">
        <f t="shared" si="42"/>
        <v>1.51827554904977E-3</v>
      </c>
      <c r="BY103" s="18">
        <f t="shared" si="43"/>
        <v>2.6330738034968146E-2</v>
      </c>
    </row>
    <row r="104" spans="1:77" x14ac:dyDescent="0.3">
      <c r="A104" s="1">
        <v>46174</v>
      </c>
      <c r="B104" s="6">
        <v>22.03</v>
      </c>
      <c r="C104" s="6">
        <v>41.77</v>
      </c>
      <c r="D104" s="7">
        <v>-6.33486281396832E-3</v>
      </c>
      <c r="E104" s="7">
        <v>-5.0149358834027796E-3</v>
      </c>
      <c r="F104" s="6">
        <v>4.4999999999999998E-2</v>
      </c>
      <c r="G104" s="6">
        <v>0.21339999999999901</v>
      </c>
      <c r="H104" s="6">
        <v>0</v>
      </c>
      <c r="I104" s="6">
        <v>0</v>
      </c>
      <c r="J104" s="6">
        <v>0.21339999999999901</v>
      </c>
      <c r="K104" s="6">
        <v>0</v>
      </c>
      <c r="L104" s="6">
        <v>22.243400000000001</v>
      </c>
      <c r="M104" s="6">
        <v>41.77</v>
      </c>
      <c r="N104" s="8">
        <v>1.8960508397639499</v>
      </c>
      <c r="O104" s="8">
        <v>1.8787268979407299</v>
      </c>
      <c r="P104" s="8">
        <v>1.89045618335911</v>
      </c>
      <c r="Q104" s="8">
        <v>1.88786835695931</v>
      </c>
      <c r="R104" s="6">
        <v>41.388353561634297</v>
      </c>
      <c r="S104" s="6">
        <v>41.612116982124903</v>
      </c>
      <c r="T104" s="6">
        <v>41.573427488159098</v>
      </c>
      <c r="U104" s="7">
        <v>-9.1788521906536798E-3</v>
      </c>
      <c r="V104" s="7">
        <v>-3.7869800450163402E-3</v>
      </c>
      <c r="W104" s="7">
        <v>-4.7171776412913702E-3</v>
      </c>
      <c r="X104" s="8">
        <v>1.87786039903971</v>
      </c>
      <c r="Y104" s="8">
        <v>1.8658943630327001</v>
      </c>
      <c r="Z104" s="8">
        <v>1.8757048508023499</v>
      </c>
      <c r="AA104" s="8">
        <v>1.8733861935469001</v>
      </c>
      <c r="AB104" s="6">
        <v>41.503834674681599</v>
      </c>
      <c r="AC104" s="6">
        <v>41.6955002353494</v>
      </c>
      <c r="AD104" s="6">
        <v>41.658508450755001</v>
      </c>
      <c r="AE104" s="7">
        <v>-6.39255374165638E-3</v>
      </c>
      <c r="AF104" s="7">
        <v>-1.7851635520120101E-3</v>
      </c>
      <c r="AG104" s="7">
        <v>-2.6727462275425002E-3</v>
      </c>
      <c r="AZ104" s="23"/>
      <c r="BB104" s="12">
        <f t="shared" si="26"/>
        <v>0</v>
      </c>
      <c r="BC104" s="12">
        <f t="shared" si="27"/>
        <v>0</v>
      </c>
      <c r="BD104" s="12">
        <f t="shared" si="28"/>
        <v>0</v>
      </c>
      <c r="BE104" s="12">
        <f t="shared" si="24"/>
        <v>1</v>
      </c>
      <c r="BF104" s="12">
        <f t="shared" si="29"/>
        <v>0</v>
      </c>
      <c r="BG104" s="23">
        <f t="shared" si="30"/>
        <v>0</v>
      </c>
      <c r="BH104" s="23">
        <f t="shared" si="31"/>
        <v>0</v>
      </c>
      <c r="BI104" s="23">
        <f t="shared" si="32"/>
        <v>0</v>
      </c>
      <c r="BJ104" s="18">
        <f t="shared" si="33"/>
        <v>1.1343250124483058E-2</v>
      </c>
      <c r="BL104" s="23"/>
      <c r="BN104" s="12">
        <f t="shared" si="34"/>
        <v>0</v>
      </c>
      <c r="BO104" s="12">
        <f t="shared" si="35"/>
        <v>1</v>
      </c>
      <c r="BP104" s="12">
        <f t="shared" si="36"/>
        <v>0</v>
      </c>
      <c r="BQ104" s="12">
        <f t="shared" si="25"/>
        <v>1</v>
      </c>
      <c r="BR104" s="12">
        <f t="shared" si="37"/>
        <v>0</v>
      </c>
      <c r="BS104" s="23">
        <f t="shared" si="38"/>
        <v>0</v>
      </c>
      <c r="BT104" s="23">
        <f t="shared" si="39"/>
        <v>0</v>
      </c>
      <c r="BU104" s="23">
        <f t="shared" si="40"/>
        <v>0</v>
      </c>
      <c r="BV104" s="18">
        <f t="shared" si="41"/>
        <v>1.4987487910485087E-2</v>
      </c>
      <c r="BX104" s="18">
        <f t="shared" si="42"/>
        <v>0</v>
      </c>
      <c r="BY104" s="18">
        <f t="shared" si="43"/>
        <v>2.6330738034968146E-2</v>
      </c>
    </row>
    <row r="105" spans="1:77" x14ac:dyDescent="0.3">
      <c r="A105" s="1">
        <v>46175</v>
      </c>
      <c r="B105" s="6">
        <v>22.02</v>
      </c>
      <c r="C105" s="6">
        <v>41.8</v>
      </c>
      <c r="D105" s="7">
        <v>-4.5402951971796203E-4</v>
      </c>
      <c r="E105" s="7">
        <v>7.1796102162656396E-4</v>
      </c>
      <c r="F105" s="6">
        <v>0</v>
      </c>
      <c r="G105" s="6">
        <v>0.21339999999999901</v>
      </c>
      <c r="H105" s="6">
        <v>0</v>
      </c>
      <c r="I105" s="6">
        <v>0</v>
      </c>
      <c r="J105" s="6">
        <v>0.21339999999999901</v>
      </c>
      <c r="K105" s="6">
        <v>0</v>
      </c>
      <c r="L105" s="6">
        <v>22.2334</v>
      </c>
      <c r="M105" s="6">
        <v>41.8</v>
      </c>
      <c r="N105" s="8">
        <v>1.8982742960944501</v>
      </c>
      <c r="O105" s="8">
        <v>1.8787268979407299</v>
      </c>
      <c r="P105" s="8">
        <v>1.89183612438409</v>
      </c>
      <c r="Q105" s="8">
        <v>1.8887242317278801</v>
      </c>
      <c r="R105" s="6">
        <v>41.369566292654902</v>
      </c>
      <c r="S105" s="6">
        <v>41.627845157567798</v>
      </c>
      <c r="T105" s="6">
        <v>41.570861220243998</v>
      </c>
      <c r="U105" s="7">
        <v>-1.0350842731997999E-2</v>
      </c>
      <c r="V105" s="7">
        <v>-4.1270414322422903E-3</v>
      </c>
      <c r="W105" s="7">
        <v>-5.49686913065654E-3</v>
      </c>
      <c r="X105" s="8">
        <v>1.88005433267066</v>
      </c>
      <c r="Y105" s="8">
        <v>1.8658943630327001</v>
      </c>
      <c r="Z105" s="8">
        <v>1.8767008044514999</v>
      </c>
      <c r="AA105" s="8">
        <v>1.87404140542673</v>
      </c>
      <c r="AB105" s="6">
        <v>41.485175731051299</v>
      </c>
      <c r="AC105" s="6">
        <v>41.703296229829</v>
      </c>
      <c r="AD105" s="6">
        <v>41.651744595605699</v>
      </c>
      <c r="AE105" s="7">
        <v>-7.5601874091794303E-3</v>
      </c>
      <c r="AF105" s="7">
        <v>-2.3161675710733302E-3</v>
      </c>
      <c r="AG105" s="7">
        <v>-3.55308474573875E-3</v>
      </c>
      <c r="AZ105" s="23"/>
      <c r="BB105" s="12">
        <f t="shared" si="26"/>
        <v>1</v>
      </c>
      <c r="BC105" s="12">
        <f t="shared" si="27"/>
        <v>0</v>
      </c>
      <c r="BD105" s="12">
        <f t="shared" si="28"/>
        <v>0</v>
      </c>
      <c r="BE105" s="12">
        <f t="shared" si="24"/>
        <v>1</v>
      </c>
      <c r="BF105" s="12">
        <f t="shared" si="29"/>
        <v>0</v>
      </c>
      <c r="BG105" s="23">
        <f t="shared" si="30"/>
        <v>0</v>
      </c>
      <c r="BH105" s="23">
        <f t="shared" si="31"/>
        <v>0</v>
      </c>
      <c r="BI105" s="23">
        <f t="shared" si="32"/>
        <v>0</v>
      </c>
      <c r="BJ105" s="18">
        <f t="shared" si="33"/>
        <v>1.1343250124483058E-2</v>
      </c>
      <c r="BL105" s="23"/>
      <c r="BN105" s="12">
        <f t="shared" si="34"/>
        <v>0</v>
      </c>
      <c r="BO105" s="12">
        <f t="shared" si="35"/>
        <v>1</v>
      </c>
      <c r="BP105" s="12">
        <f t="shared" si="36"/>
        <v>0</v>
      </c>
      <c r="BQ105" s="12">
        <f t="shared" si="25"/>
        <v>1</v>
      </c>
      <c r="BR105" s="12">
        <f t="shared" si="37"/>
        <v>0</v>
      </c>
      <c r="BS105" s="23">
        <f t="shared" si="38"/>
        <v>0</v>
      </c>
      <c r="BT105" s="23">
        <f t="shared" si="39"/>
        <v>0</v>
      </c>
      <c r="BU105" s="23">
        <f t="shared" si="40"/>
        <v>0</v>
      </c>
      <c r="BV105" s="18">
        <f t="shared" si="41"/>
        <v>1.4987487910485087E-2</v>
      </c>
      <c r="BX105" s="18">
        <f t="shared" si="42"/>
        <v>0</v>
      </c>
      <c r="BY105" s="18">
        <f t="shared" si="43"/>
        <v>2.6330738034968146E-2</v>
      </c>
    </row>
    <row r="106" spans="1:77" x14ac:dyDescent="0.3">
      <c r="A106" s="1">
        <v>46176</v>
      </c>
      <c r="B106" s="6">
        <v>21.89</v>
      </c>
      <c r="C106" s="6">
        <v>41.45</v>
      </c>
      <c r="D106" s="7">
        <v>-5.9212197597622498E-3</v>
      </c>
      <c r="E106" s="7">
        <v>-8.4084579494065493E-3</v>
      </c>
      <c r="F106" s="6">
        <v>0</v>
      </c>
      <c r="G106" s="6">
        <v>0.21339999999999901</v>
      </c>
      <c r="H106" s="6">
        <v>0</v>
      </c>
      <c r="I106" s="6">
        <v>0</v>
      </c>
      <c r="J106" s="6">
        <v>0.21339999999999901</v>
      </c>
      <c r="K106" s="6">
        <v>0</v>
      </c>
      <c r="L106" s="6">
        <v>22.103400000000001</v>
      </c>
      <c r="M106" s="6">
        <v>41.45</v>
      </c>
      <c r="N106" s="8">
        <v>1.89355870260392</v>
      </c>
      <c r="O106" s="8">
        <v>1.8787268979407299</v>
      </c>
      <c r="P106" s="8">
        <v>1.8924615438625101</v>
      </c>
      <c r="Q106" s="8">
        <v>1.8890054203601101</v>
      </c>
      <c r="R106" s="6">
        <v>41.125331795922598</v>
      </c>
      <c r="S106" s="6">
        <v>41.412292762767699</v>
      </c>
      <c r="T106" s="6">
        <v>41.344173432523299</v>
      </c>
      <c r="U106" s="7">
        <v>-7.8636045423537398E-3</v>
      </c>
      <c r="V106" s="7">
        <v>-9.1011818712317396E-4</v>
      </c>
      <c r="W106" s="7">
        <v>-2.55637856436544E-3</v>
      </c>
      <c r="X106" s="8">
        <v>1.87527710668946</v>
      </c>
      <c r="Y106" s="8">
        <v>1.8658943630327001</v>
      </c>
      <c r="Z106" s="8">
        <v>1.87694875028139</v>
      </c>
      <c r="AA106" s="8">
        <v>1.87412140900502</v>
      </c>
      <c r="AB106" s="6">
        <v>41.242609463857001</v>
      </c>
      <c r="AC106" s="6">
        <v>41.481468561113303</v>
      </c>
      <c r="AD106" s="6">
        <v>41.422686800709201</v>
      </c>
      <c r="AE106" s="7">
        <v>-5.0159493650480001E-3</v>
      </c>
      <c r="AF106" s="7">
        <v>7.58905230299285E-4</v>
      </c>
      <c r="AG106" s="7">
        <v>-6.5916048662318304E-4</v>
      </c>
      <c r="AZ106" s="23"/>
      <c r="BB106" s="12">
        <f t="shared" si="26"/>
        <v>0</v>
      </c>
      <c r="BC106" s="12">
        <f t="shared" si="27"/>
        <v>0</v>
      </c>
      <c r="BD106" s="12">
        <f t="shared" si="28"/>
        <v>1</v>
      </c>
      <c r="BE106" s="12">
        <f t="shared" si="24"/>
        <v>1</v>
      </c>
      <c r="BF106" s="12">
        <f t="shared" si="29"/>
        <v>1</v>
      </c>
      <c r="BG106" s="23">
        <f t="shared" si="30"/>
        <v>-5.9212197597622498E-3</v>
      </c>
      <c r="BH106" s="23">
        <f t="shared" si="31"/>
        <v>8.4084579494065493E-3</v>
      </c>
      <c r="BI106" s="23">
        <f t="shared" si="32"/>
        <v>2.4872381896442995E-3</v>
      </c>
      <c r="BJ106" s="18">
        <f t="shared" si="33"/>
        <v>1.3830488314127358E-2</v>
      </c>
      <c r="BL106" s="23"/>
      <c r="BN106" s="12">
        <f t="shared" si="34"/>
        <v>0</v>
      </c>
      <c r="BO106" s="12">
        <f t="shared" si="35"/>
        <v>1</v>
      </c>
      <c r="BP106" s="12">
        <f t="shared" si="36"/>
        <v>0</v>
      </c>
      <c r="BQ106" s="12">
        <f t="shared" si="25"/>
        <v>1</v>
      </c>
      <c r="BR106" s="12">
        <f t="shared" si="37"/>
        <v>0</v>
      </c>
      <c r="BS106" s="23">
        <f t="shared" si="38"/>
        <v>0</v>
      </c>
      <c r="BT106" s="23">
        <f t="shared" si="39"/>
        <v>0</v>
      </c>
      <c r="BU106" s="23">
        <f t="shared" si="40"/>
        <v>0</v>
      </c>
      <c r="BV106" s="18">
        <f t="shared" si="41"/>
        <v>1.4987487910485087E-2</v>
      </c>
      <c r="BX106" s="18">
        <f t="shared" si="42"/>
        <v>2.4872381896442995E-3</v>
      </c>
      <c r="BY106" s="18">
        <f t="shared" si="43"/>
        <v>2.8817976224612445E-2</v>
      </c>
    </row>
    <row r="107" spans="1:77" x14ac:dyDescent="0.3">
      <c r="A107" s="1">
        <v>46177</v>
      </c>
      <c r="B107" s="6">
        <v>21.93</v>
      </c>
      <c r="C107" s="6">
        <v>41.54</v>
      </c>
      <c r="D107" s="7">
        <v>1.82565089502514E-3</v>
      </c>
      <c r="E107" s="7">
        <v>2.1689368666622699E-3</v>
      </c>
      <c r="F107" s="6">
        <v>0</v>
      </c>
      <c r="G107" s="6">
        <v>0.21339999999999901</v>
      </c>
      <c r="H107" s="6">
        <v>0</v>
      </c>
      <c r="I107" s="6">
        <v>0</v>
      </c>
      <c r="J107" s="6">
        <v>0.21339999999999901</v>
      </c>
      <c r="K107" s="6">
        <v>0</v>
      </c>
      <c r="L107" s="6">
        <v>22.1434</v>
      </c>
      <c r="M107" s="6">
        <v>41.54</v>
      </c>
      <c r="N107" s="8">
        <v>1.8942088463292199</v>
      </c>
      <c r="O107" s="8">
        <v>1.8787268979407299</v>
      </c>
      <c r="P107" s="8">
        <v>1.8931808339623999</v>
      </c>
      <c r="Q107" s="8">
        <v>1.8893112073498</v>
      </c>
      <c r="R107" s="6">
        <v>41.200480871840199</v>
      </c>
      <c r="S107" s="6">
        <v>41.5016816569049</v>
      </c>
      <c r="T107" s="6">
        <v>41.425888868497303</v>
      </c>
      <c r="U107" s="7">
        <v>-8.2068905139908391E-3</v>
      </c>
      <c r="V107" s="7">
        <v>-9.2287017917053898E-4</v>
      </c>
      <c r="W107" s="7">
        <v>-2.75079806929051E-3</v>
      </c>
      <c r="X107" s="8">
        <v>1.87595400886946</v>
      </c>
      <c r="Y107" s="8">
        <v>1.8658943630327001</v>
      </c>
      <c r="Z107" s="8">
        <v>1.87727924954797</v>
      </c>
      <c r="AA107" s="8">
        <v>1.8742207568334699</v>
      </c>
      <c r="AB107" s="6">
        <v>41.317245238378398</v>
      </c>
      <c r="AC107" s="6">
        <v>41.562026956981001</v>
      </c>
      <c r="AD107" s="6">
        <v>41.499420008161898</v>
      </c>
      <c r="AE107" s="7">
        <v>-5.3768453837074598E-3</v>
      </c>
      <c r="AF107" s="7">
        <v>5.3011841716623504E-4</v>
      </c>
      <c r="AG107" s="7">
        <v>-9.7736701591606494E-4</v>
      </c>
      <c r="AZ107" s="23"/>
      <c r="BB107" s="12">
        <f t="shared" si="26"/>
        <v>0</v>
      </c>
      <c r="BC107" s="12">
        <f t="shared" si="27"/>
        <v>0</v>
      </c>
      <c r="BD107" s="12">
        <f t="shared" si="28"/>
        <v>1</v>
      </c>
      <c r="BE107" s="12">
        <f t="shared" si="24"/>
        <v>1</v>
      </c>
      <c r="BF107" s="12">
        <f t="shared" si="29"/>
        <v>1</v>
      </c>
      <c r="BG107" s="23">
        <f t="shared" si="30"/>
        <v>1.82565089502514E-3</v>
      </c>
      <c r="BH107" s="23">
        <f t="shared" si="31"/>
        <v>-2.1689368666622699E-3</v>
      </c>
      <c r="BI107" s="23">
        <f t="shared" si="32"/>
        <v>-3.4328597163712994E-4</v>
      </c>
      <c r="BJ107" s="18">
        <f t="shared" si="33"/>
        <v>1.3487202342490227E-2</v>
      </c>
      <c r="BL107" s="23"/>
      <c r="BN107" s="12">
        <f t="shared" si="34"/>
        <v>0</v>
      </c>
      <c r="BO107" s="12">
        <f t="shared" si="35"/>
        <v>1</v>
      </c>
      <c r="BP107" s="12">
        <f t="shared" si="36"/>
        <v>0</v>
      </c>
      <c r="BQ107" s="12">
        <f t="shared" si="25"/>
        <v>1</v>
      </c>
      <c r="BR107" s="12">
        <f t="shared" si="37"/>
        <v>0</v>
      </c>
      <c r="BS107" s="23">
        <f t="shared" si="38"/>
        <v>0</v>
      </c>
      <c r="BT107" s="23">
        <f t="shared" si="39"/>
        <v>0</v>
      </c>
      <c r="BU107" s="23">
        <f t="shared" si="40"/>
        <v>0</v>
      </c>
      <c r="BV107" s="18">
        <f t="shared" si="41"/>
        <v>1.4987487910485087E-2</v>
      </c>
      <c r="BX107" s="18">
        <f t="shared" si="42"/>
        <v>-3.4328597163712994E-4</v>
      </c>
      <c r="BY107" s="18">
        <f t="shared" si="43"/>
        <v>2.8474690252975315E-2</v>
      </c>
    </row>
    <row r="108" spans="1:77" x14ac:dyDescent="0.3">
      <c r="A108" s="1">
        <v>46178</v>
      </c>
      <c r="B108" s="6">
        <v>21.74</v>
      </c>
      <c r="C108" s="6">
        <v>41.17</v>
      </c>
      <c r="D108" s="7">
        <v>-8.7016807367334796E-3</v>
      </c>
      <c r="E108" s="7">
        <v>-8.9469826661528092E-3</v>
      </c>
      <c r="F108" s="6">
        <v>0</v>
      </c>
      <c r="G108" s="6">
        <v>0.21339999999999901</v>
      </c>
      <c r="H108" s="6">
        <v>0</v>
      </c>
      <c r="I108" s="6">
        <v>0</v>
      </c>
      <c r="J108" s="6">
        <v>0.21339999999999901</v>
      </c>
      <c r="K108" s="6">
        <v>0</v>
      </c>
      <c r="L108" s="6">
        <v>21.953399999999998</v>
      </c>
      <c r="M108" s="6">
        <v>41.17</v>
      </c>
      <c r="N108" s="8">
        <v>1.8937442502299899</v>
      </c>
      <c r="O108" s="8">
        <v>1.8787268979407299</v>
      </c>
      <c r="P108" s="8">
        <v>1.89372207758157</v>
      </c>
      <c r="Q108" s="8">
        <v>1.8897357573781099</v>
      </c>
      <c r="R108" s="6">
        <v>40.843522761231497</v>
      </c>
      <c r="S108" s="6">
        <v>41.157751330342698</v>
      </c>
      <c r="T108" s="6">
        <v>41.073625647784802</v>
      </c>
      <c r="U108" s="7">
        <v>-7.96158858457135E-3</v>
      </c>
      <c r="V108" s="7">
        <v>-2.9755871014838602E-4</v>
      </c>
      <c r="W108" s="7">
        <v>-2.3436319974548701E-3</v>
      </c>
      <c r="X108" s="8">
        <v>1.8753359388522901</v>
      </c>
      <c r="Y108" s="8">
        <v>1.8658943630327001</v>
      </c>
      <c r="Z108" s="8">
        <v>1.8774180070813999</v>
      </c>
      <c r="AA108" s="8">
        <v>1.87443107288777</v>
      </c>
      <c r="AB108" s="6">
        <v>40.962725309402103</v>
      </c>
      <c r="AC108" s="6">
        <v>41.212662277026404</v>
      </c>
      <c r="AD108" s="6">
        <v>41.145517963068002</v>
      </c>
      <c r="AE108" s="7">
        <v>-5.04732138989739E-3</v>
      </c>
      <c r="AF108" s="7">
        <v>1.03571017641015E-3</v>
      </c>
      <c r="AG108" s="7">
        <v>-5.94834078910953E-4</v>
      </c>
      <c r="AZ108" s="23"/>
      <c r="BB108" s="12">
        <f t="shared" si="26"/>
        <v>0</v>
      </c>
      <c r="BC108" s="12">
        <f t="shared" si="27"/>
        <v>0</v>
      </c>
      <c r="BD108" s="12">
        <f t="shared" si="28"/>
        <v>1</v>
      </c>
      <c r="BE108" s="12">
        <f t="shared" si="24"/>
        <v>1</v>
      </c>
      <c r="BF108" s="12">
        <f t="shared" si="29"/>
        <v>1</v>
      </c>
      <c r="BG108" s="23">
        <f t="shared" si="30"/>
        <v>-8.7016807367334796E-3</v>
      </c>
      <c r="BH108" s="23">
        <f t="shared" si="31"/>
        <v>8.9469826661528092E-3</v>
      </c>
      <c r="BI108" s="23">
        <f t="shared" si="32"/>
        <v>2.4530192941932955E-4</v>
      </c>
      <c r="BJ108" s="18">
        <f t="shared" si="33"/>
        <v>1.3732504271909557E-2</v>
      </c>
      <c r="BL108" s="23"/>
      <c r="BN108" s="12">
        <f t="shared" si="34"/>
        <v>0</v>
      </c>
      <c r="BO108" s="12">
        <f t="shared" si="35"/>
        <v>1</v>
      </c>
      <c r="BP108" s="12">
        <f t="shared" si="36"/>
        <v>0</v>
      </c>
      <c r="BQ108" s="12">
        <f t="shared" si="25"/>
        <v>1</v>
      </c>
      <c r="BR108" s="12">
        <f t="shared" si="37"/>
        <v>0</v>
      </c>
      <c r="BS108" s="23">
        <f t="shared" si="38"/>
        <v>0</v>
      </c>
      <c r="BT108" s="23">
        <f t="shared" si="39"/>
        <v>0</v>
      </c>
      <c r="BU108" s="23">
        <f t="shared" si="40"/>
        <v>0</v>
      </c>
      <c r="BV108" s="18">
        <f t="shared" si="41"/>
        <v>1.4987487910485087E-2</v>
      </c>
      <c r="BX108" s="18">
        <f t="shared" si="42"/>
        <v>2.4530192941932955E-4</v>
      </c>
      <c r="BY108" s="18">
        <f t="shared" si="43"/>
        <v>2.8719992182394644E-2</v>
      </c>
    </row>
    <row r="109" spans="1:77" x14ac:dyDescent="0.3">
      <c r="A109" s="1">
        <v>46181</v>
      </c>
      <c r="B109" s="6">
        <v>21.7</v>
      </c>
      <c r="C109" s="6">
        <v>41.08</v>
      </c>
      <c r="D109" s="7">
        <v>-1.84162114664947E-3</v>
      </c>
      <c r="E109" s="7">
        <v>-2.1884507214558701E-3</v>
      </c>
      <c r="F109" s="6">
        <v>0</v>
      </c>
      <c r="G109" s="6">
        <v>0.21339999999999901</v>
      </c>
      <c r="H109" s="6">
        <v>0</v>
      </c>
      <c r="I109" s="6">
        <v>0</v>
      </c>
      <c r="J109" s="6">
        <v>0.21339999999999901</v>
      </c>
      <c r="K109" s="6">
        <v>0</v>
      </c>
      <c r="L109" s="6">
        <v>21.913399999999999</v>
      </c>
      <c r="M109" s="6">
        <v>41.08</v>
      </c>
      <c r="N109" s="8">
        <v>1.8930875576036801</v>
      </c>
      <c r="O109" s="8">
        <v>1.8787268979407299</v>
      </c>
      <c r="P109" s="8">
        <v>1.89411154469625</v>
      </c>
      <c r="Q109" s="8">
        <v>1.88999531614262</v>
      </c>
      <c r="R109" s="6">
        <v>40.768373685313797</v>
      </c>
      <c r="S109" s="6">
        <v>41.093769083520201</v>
      </c>
      <c r="T109" s="6">
        <v>41.007265935105103</v>
      </c>
      <c r="U109" s="7">
        <v>-7.6147590097649202E-3</v>
      </c>
      <c r="V109" s="7">
        <v>3.3512114151942603E-4</v>
      </c>
      <c r="W109" s="7">
        <v>-1.77211612789898E-3</v>
      </c>
      <c r="X109" s="8">
        <v>1.8746520393914201</v>
      </c>
      <c r="Y109" s="8">
        <v>1.8658943630327001</v>
      </c>
      <c r="Z109" s="8">
        <v>1.87740357448577</v>
      </c>
      <c r="AA109" s="8">
        <v>1.87447351952717</v>
      </c>
      <c r="AB109" s="6">
        <v>40.888089534880798</v>
      </c>
      <c r="AC109" s="6">
        <v>41.140611756377602</v>
      </c>
      <c r="AD109" s="6">
        <v>41.075157872618902</v>
      </c>
      <c r="AE109" s="7">
        <v>-4.6825738374124898E-3</v>
      </c>
      <c r="AF109" s="7">
        <v>1.4743691651652299E-3</v>
      </c>
      <c r="AG109" s="7">
        <v>-1.1787762356209401E-4</v>
      </c>
      <c r="AZ109" s="23"/>
      <c r="BB109" s="12">
        <f t="shared" si="26"/>
        <v>0</v>
      </c>
      <c r="BC109" s="12">
        <f t="shared" si="27"/>
        <v>1</v>
      </c>
      <c r="BD109" s="12">
        <f t="shared" si="28"/>
        <v>1</v>
      </c>
      <c r="BE109" s="12">
        <f t="shared" si="24"/>
        <v>1</v>
      </c>
      <c r="BF109" s="12">
        <f t="shared" si="29"/>
        <v>1</v>
      </c>
      <c r="BG109" s="23">
        <f t="shared" si="30"/>
        <v>-1.84162114664947E-3</v>
      </c>
      <c r="BH109" s="23">
        <f t="shared" si="31"/>
        <v>2.1884507214558701E-3</v>
      </c>
      <c r="BI109" s="23">
        <f t="shared" si="32"/>
        <v>3.4682957480640006E-4</v>
      </c>
      <c r="BJ109" s="18">
        <f t="shared" si="33"/>
        <v>1.4079333846715957E-2</v>
      </c>
      <c r="BL109" s="23"/>
      <c r="BN109" s="12">
        <f t="shared" si="34"/>
        <v>0</v>
      </c>
      <c r="BO109" s="12">
        <f t="shared" si="35"/>
        <v>1</v>
      </c>
      <c r="BP109" s="12">
        <f t="shared" si="36"/>
        <v>0</v>
      </c>
      <c r="BQ109" s="12">
        <f t="shared" si="25"/>
        <v>1</v>
      </c>
      <c r="BR109" s="12">
        <f t="shared" si="37"/>
        <v>0</v>
      </c>
      <c r="BS109" s="23">
        <f t="shared" si="38"/>
        <v>0</v>
      </c>
      <c r="BT109" s="23">
        <f t="shared" si="39"/>
        <v>0</v>
      </c>
      <c r="BU109" s="23">
        <f t="shared" si="40"/>
        <v>0</v>
      </c>
      <c r="BV109" s="18">
        <f t="shared" si="41"/>
        <v>1.4987487910485087E-2</v>
      </c>
      <c r="BX109" s="18">
        <f t="shared" si="42"/>
        <v>3.4682957480640006E-4</v>
      </c>
      <c r="BY109" s="18">
        <f t="shared" si="43"/>
        <v>2.9066821757201045E-2</v>
      </c>
    </row>
    <row r="110" spans="1:77" x14ac:dyDescent="0.3">
      <c r="A110" s="1">
        <v>46182</v>
      </c>
      <c r="B110" s="6">
        <v>21.78</v>
      </c>
      <c r="C110" s="6">
        <v>41.15</v>
      </c>
      <c r="D110" s="7">
        <v>3.6798569584006102E-3</v>
      </c>
      <c r="E110" s="7">
        <v>1.7025420627212601E-3</v>
      </c>
      <c r="F110" s="6">
        <v>0</v>
      </c>
      <c r="G110" s="6">
        <v>0.21339999999999901</v>
      </c>
      <c r="H110" s="6">
        <v>0</v>
      </c>
      <c r="I110" s="6">
        <v>0</v>
      </c>
      <c r="J110" s="6">
        <v>0.21339999999999901</v>
      </c>
      <c r="K110" s="6">
        <v>0</v>
      </c>
      <c r="L110" s="6">
        <v>21.993400000000001</v>
      </c>
      <c r="M110" s="6">
        <v>41.15</v>
      </c>
      <c r="N110" s="8">
        <v>1.8893480257116599</v>
      </c>
      <c r="O110" s="8">
        <v>1.8787268979407299</v>
      </c>
      <c r="P110" s="8">
        <v>1.8939356394634199</v>
      </c>
      <c r="Q110" s="8">
        <v>1.8900930449293201</v>
      </c>
      <c r="R110" s="6">
        <v>40.918671837149098</v>
      </c>
      <c r="S110" s="6">
        <v>41.253749443484402</v>
      </c>
      <c r="T110" s="6">
        <v>41.164097985586302</v>
      </c>
      <c r="U110" s="7">
        <v>-5.63744411408563E-3</v>
      </c>
      <c r="V110" s="7">
        <v>2.51807712647972E-3</v>
      </c>
      <c r="W110" s="7">
        <v>3.4254121879970001E-4</v>
      </c>
      <c r="X110" s="8">
        <v>1.8710158502095999</v>
      </c>
      <c r="Y110" s="8">
        <v>1.8658943630327001</v>
      </c>
      <c r="Z110" s="8">
        <v>1.8768284245776099</v>
      </c>
      <c r="AA110" s="8">
        <v>1.8743622524074</v>
      </c>
      <c r="AB110" s="6">
        <v>41.0373610839234</v>
      </c>
      <c r="AC110" s="6">
        <v>41.2904877750954</v>
      </c>
      <c r="AD110" s="6">
        <v>41.226045904369002</v>
      </c>
      <c r="AE110" s="7">
        <v>-2.7410294019563799E-3</v>
      </c>
      <c r="AF110" s="7">
        <v>3.4082261005280601E-3</v>
      </c>
      <c r="AG110" s="7">
        <v>1.84631163432777E-3</v>
      </c>
      <c r="AZ110" s="23"/>
      <c r="BB110" s="12">
        <f t="shared" si="26"/>
        <v>0</v>
      </c>
      <c r="BC110" s="12">
        <f t="shared" si="27"/>
        <v>1</v>
      </c>
      <c r="BD110" s="12">
        <f t="shared" si="28"/>
        <v>0</v>
      </c>
      <c r="BE110" s="12">
        <f t="shared" si="24"/>
        <v>1</v>
      </c>
      <c r="BF110" s="12">
        <f t="shared" si="29"/>
        <v>0</v>
      </c>
      <c r="BG110" s="23">
        <f t="shared" si="30"/>
        <v>0</v>
      </c>
      <c r="BH110" s="23">
        <f t="shared" si="31"/>
        <v>0</v>
      </c>
      <c r="BI110" s="23">
        <f t="shared" si="32"/>
        <v>0</v>
      </c>
      <c r="BJ110" s="18">
        <f t="shared" si="33"/>
        <v>1.4079333846715957E-2</v>
      </c>
      <c r="BL110" s="23"/>
      <c r="BN110" s="12">
        <f t="shared" si="34"/>
        <v>0</v>
      </c>
      <c r="BO110" s="12">
        <f t="shared" si="35"/>
        <v>0</v>
      </c>
      <c r="BP110" s="12">
        <f t="shared" si="36"/>
        <v>0</v>
      </c>
      <c r="BQ110" s="12">
        <f t="shared" si="25"/>
        <v>1</v>
      </c>
      <c r="BR110" s="12">
        <f t="shared" si="37"/>
        <v>0</v>
      </c>
      <c r="BS110" s="23">
        <f t="shared" si="38"/>
        <v>0</v>
      </c>
      <c r="BT110" s="23">
        <f t="shared" si="39"/>
        <v>0</v>
      </c>
      <c r="BU110" s="23">
        <f t="shared" si="40"/>
        <v>0</v>
      </c>
      <c r="BV110" s="18">
        <f t="shared" si="41"/>
        <v>1.4987487910485087E-2</v>
      </c>
      <c r="BX110" s="18">
        <f t="shared" si="42"/>
        <v>0</v>
      </c>
      <c r="BY110" s="18">
        <f t="shared" si="43"/>
        <v>2.9066821757201045E-2</v>
      </c>
    </row>
    <row r="111" spans="1:77" x14ac:dyDescent="0.3">
      <c r="A111" s="1">
        <v>46183</v>
      </c>
      <c r="B111" s="6">
        <v>21.72</v>
      </c>
      <c r="C111" s="6">
        <v>41.08</v>
      </c>
      <c r="D111" s="7">
        <v>-2.7586224390798602E-3</v>
      </c>
      <c r="E111" s="7">
        <v>-1.7025420627213299E-3</v>
      </c>
      <c r="F111" s="6">
        <v>0</v>
      </c>
      <c r="G111" s="6">
        <v>0.21339999999999901</v>
      </c>
      <c r="H111" s="6">
        <v>0</v>
      </c>
      <c r="I111" s="6">
        <v>0</v>
      </c>
      <c r="J111" s="6">
        <v>0.21339999999999901</v>
      </c>
      <c r="K111" s="6">
        <v>0</v>
      </c>
      <c r="L111" s="6">
        <v>21.933399999999999</v>
      </c>
      <c r="M111" s="6">
        <v>41.08</v>
      </c>
      <c r="N111" s="8">
        <v>1.89134438305709</v>
      </c>
      <c r="O111" s="8">
        <v>1.8787268979407299</v>
      </c>
      <c r="P111" s="8">
        <v>1.89395936996514</v>
      </c>
      <c r="Q111" s="8">
        <v>1.8904642387885899</v>
      </c>
      <c r="R111" s="6">
        <v>40.805948223272601</v>
      </c>
      <c r="S111" s="6">
        <v>41.136282089145602</v>
      </c>
      <c r="T111" s="6">
        <v>41.052820935865</v>
      </c>
      <c r="U111" s="7">
        <v>-6.69352449044428E-3</v>
      </c>
      <c r="V111" s="7">
        <v>1.36912291597876E-3</v>
      </c>
      <c r="W111" s="7">
        <v>-6.6183201349690498E-4</v>
      </c>
      <c r="X111" s="8">
        <v>1.8729426354327099</v>
      </c>
      <c r="Y111" s="8">
        <v>1.8658943630327001</v>
      </c>
      <c r="Z111" s="8">
        <v>1.8764459531917499</v>
      </c>
      <c r="AA111" s="8">
        <v>1.8745244188744901</v>
      </c>
      <c r="AB111" s="6">
        <v>40.925407422141497</v>
      </c>
      <c r="AC111" s="6">
        <v>41.1652285676305</v>
      </c>
      <c r="AD111" s="6">
        <v>41.111137026952598</v>
      </c>
      <c r="AE111" s="7">
        <v>-3.7703065163286198E-3</v>
      </c>
      <c r="AF111" s="7">
        <v>2.07254814954879E-3</v>
      </c>
      <c r="AG111" s="7">
        <v>7.5767362682970202E-4</v>
      </c>
      <c r="AZ111" s="23"/>
      <c r="BB111" s="12">
        <f t="shared" si="26"/>
        <v>0</v>
      </c>
      <c r="BC111" s="12">
        <f t="shared" si="27"/>
        <v>1</v>
      </c>
      <c r="BD111" s="12">
        <f t="shared" si="28"/>
        <v>0</v>
      </c>
      <c r="BE111" s="12">
        <f t="shared" si="24"/>
        <v>1</v>
      </c>
      <c r="BF111" s="12">
        <f t="shared" si="29"/>
        <v>0</v>
      </c>
      <c r="BG111" s="23">
        <f t="shared" si="30"/>
        <v>0</v>
      </c>
      <c r="BH111" s="23">
        <f t="shared" si="31"/>
        <v>0</v>
      </c>
      <c r="BI111" s="23">
        <f t="shared" si="32"/>
        <v>0</v>
      </c>
      <c r="BJ111" s="18">
        <f t="shared" si="33"/>
        <v>1.4079333846715957E-2</v>
      </c>
      <c r="BL111" s="23"/>
      <c r="BN111" s="12">
        <f t="shared" si="34"/>
        <v>0</v>
      </c>
      <c r="BO111" s="12">
        <f t="shared" si="35"/>
        <v>0</v>
      </c>
      <c r="BP111" s="12">
        <f t="shared" si="36"/>
        <v>0</v>
      </c>
      <c r="BQ111" s="12">
        <f t="shared" si="25"/>
        <v>1</v>
      </c>
      <c r="BR111" s="12">
        <f t="shared" si="37"/>
        <v>0</v>
      </c>
      <c r="BS111" s="23">
        <f t="shared" si="38"/>
        <v>0</v>
      </c>
      <c r="BT111" s="23">
        <f t="shared" si="39"/>
        <v>0</v>
      </c>
      <c r="BU111" s="23">
        <f t="shared" si="40"/>
        <v>0</v>
      </c>
      <c r="BV111" s="18">
        <f t="shared" si="41"/>
        <v>1.4987487910485087E-2</v>
      </c>
      <c r="BX111" s="18">
        <f t="shared" si="42"/>
        <v>0</v>
      </c>
      <c r="BY111" s="18">
        <f t="shared" si="43"/>
        <v>2.9066821757201045E-2</v>
      </c>
    </row>
    <row r="112" spans="1:77" x14ac:dyDescent="0.3">
      <c r="A112" s="1">
        <v>46184</v>
      </c>
      <c r="B112" s="6">
        <v>21.94</v>
      </c>
      <c r="C112" s="6">
        <v>41.5</v>
      </c>
      <c r="D112" s="7">
        <v>1.0077959781349601E-2</v>
      </c>
      <c r="E112" s="7">
        <v>1.0172042176295099E-2</v>
      </c>
      <c r="F112" s="6">
        <v>0</v>
      </c>
      <c r="G112" s="6">
        <v>0.21339999999999901</v>
      </c>
      <c r="H112" s="6">
        <v>0</v>
      </c>
      <c r="I112" s="6">
        <v>0</v>
      </c>
      <c r="J112" s="6">
        <v>0.21339999999999901</v>
      </c>
      <c r="K112" s="6">
        <v>0</v>
      </c>
      <c r="L112" s="6">
        <v>22.153400000000001</v>
      </c>
      <c r="M112" s="6">
        <v>41.5</v>
      </c>
      <c r="N112" s="8">
        <v>1.89152233363719</v>
      </c>
      <c r="O112" s="8">
        <v>1.8787268979407299</v>
      </c>
      <c r="P112" s="8">
        <v>1.8934689077160201</v>
      </c>
      <c r="Q112" s="8">
        <v>1.89064867749668</v>
      </c>
      <c r="R112" s="6">
        <v>41.219268140819601</v>
      </c>
      <c r="S112" s="6">
        <v>41.553468577035297</v>
      </c>
      <c r="T112" s="6">
        <v>41.4767853990218</v>
      </c>
      <c r="U112" s="7">
        <v>-6.7876068853896998E-3</v>
      </c>
      <c r="V112" s="7">
        <v>1.2875701722813301E-3</v>
      </c>
      <c r="W112" s="7">
        <v>-5.5954449120306795E-4</v>
      </c>
      <c r="X112" s="8">
        <v>1.8733016151019699</v>
      </c>
      <c r="Y112" s="8">
        <v>1.8658943630327001</v>
      </c>
      <c r="Z112" s="8">
        <v>1.8755669075775601</v>
      </c>
      <c r="AA112" s="8">
        <v>1.8745113180725701</v>
      </c>
      <c r="AB112" s="6">
        <v>41.335904182008697</v>
      </c>
      <c r="AC112" s="6">
        <v>41.569657779438202</v>
      </c>
      <c r="AD112" s="6">
        <v>41.527089261094197</v>
      </c>
      <c r="AE112" s="7">
        <v>-3.96195428211379E-3</v>
      </c>
      <c r="AF112" s="7">
        <v>1.6770936013748401E-3</v>
      </c>
      <c r="AG112" s="7">
        <v>6.5254032862248497E-4</v>
      </c>
      <c r="AZ112" s="23"/>
      <c r="BB112" s="12">
        <f t="shared" si="26"/>
        <v>0</v>
      </c>
      <c r="BC112" s="12">
        <f t="shared" si="27"/>
        <v>1</v>
      </c>
      <c r="BD112" s="12">
        <f t="shared" si="28"/>
        <v>0</v>
      </c>
      <c r="BE112" s="12">
        <f t="shared" si="24"/>
        <v>1</v>
      </c>
      <c r="BF112" s="12">
        <f t="shared" si="29"/>
        <v>0</v>
      </c>
      <c r="BG112" s="23">
        <f t="shared" si="30"/>
        <v>0</v>
      </c>
      <c r="BH112" s="23">
        <f t="shared" si="31"/>
        <v>0</v>
      </c>
      <c r="BI112" s="23">
        <f t="shared" si="32"/>
        <v>0</v>
      </c>
      <c r="BJ112" s="18">
        <f t="shared" si="33"/>
        <v>1.4079333846715957E-2</v>
      </c>
      <c r="BL112" s="23"/>
      <c r="BN112" s="12">
        <f t="shared" si="34"/>
        <v>0</v>
      </c>
      <c r="BO112" s="12">
        <f t="shared" si="35"/>
        <v>0</v>
      </c>
      <c r="BP112" s="12">
        <f t="shared" si="36"/>
        <v>0</v>
      </c>
      <c r="BQ112" s="12">
        <f t="shared" si="25"/>
        <v>1</v>
      </c>
      <c r="BR112" s="12">
        <f t="shared" si="37"/>
        <v>0</v>
      </c>
      <c r="BS112" s="23">
        <f t="shared" si="38"/>
        <v>0</v>
      </c>
      <c r="BT112" s="23">
        <f t="shared" si="39"/>
        <v>0</v>
      </c>
      <c r="BU112" s="23">
        <f t="shared" si="40"/>
        <v>0</v>
      </c>
      <c r="BV112" s="18">
        <f t="shared" si="41"/>
        <v>1.4987487910485087E-2</v>
      </c>
      <c r="BX112" s="18">
        <f t="shared" si="42"/>
        <v>0</v>
      </c>
      <c r="BY112" s="18">
        <f t="shared" si="43"/>
        <v>2.9066821757201045E-2</v>
      </c>
    </row>
    <row r="113" spans="1:77" x14ac:dyDescent="0.3">
      <c r="A113" s="1">
        <v>46185</v>
      </c>
      <c r="B113" s="6">
        <v>21.94</v>
      </c>
      <c r="C113" s="6">
        <v>41.49</v>
      </c>
      <c r="D113" s="7">
        <v>0</v>
      </c>
      <c r="E113" s="7">
        <v>-2.4099289187599901E-4</v>
      </c>
      <c r="F113" s="6">
        <v>0</v>
      </c>
      <c r="G113" s="6">
        <v>0.21339999999999901</v>
      </c>
      <c r="H113" s="6">
        <v>0</v>
      </c>
      <c r="I113" s="6">
        <v>0</v>
      </c>
      <c r="J113" s="6">
        <v>0.21339999999999901</v>
      </c>
      <c r="K113" s="6">
        <v>0</v>
      </c>
      <c r="L113" s="6">
        <v>22.153400000000001</v>
      </c>
      <c r="M113" s="6">
        <v>41.49</v>
      </c>
      <c r="N113" s="8">
        <v>1.8910665451230599</v>
      </c>
      <c r="O113" s="8">
        <v>1.8787268979407299</v>
      </c>
      <c r="P113" s="8">
        <v>1.8932205780154201</v>
      </c>
      <c r="Q113" s="8">
        <v>1.8910523448888901</v>
      </c>
      <c r="R113" s="6">
        <v>41.219268140819601</v>
      </c>
      <c r="S113" s="6">
        <v>41.542707835289399</v>
      </c>
      <c r="T113" s="6">
        <v>41.480831984277302</v>
      </c>
      <c r="U113" s="7">
        <v>-6.5466139935136201E-3</v>
      </c>
      <c r="V113" s="7">
        <v>1.2695681916961199E-3</v>
      </c>
      <c r="W113" s="7">
        <v>-2.20993704431206E-4</v>
      </c>
      <c r="X113" s="8">
        <v>1.8728502171224199</v>
      </c>
      <c r="Y113" s="8">
        <v>1.8658943630327001</v>
      </c>
      <c r="Z113" s="8">
        <v>1.87492441433797</v>
      </c>
      <c r="AA113" s="8">
        <v>1.87471775792447</v>
      </c>
      <c r="AB113" s="6">
        <v>41.335904182008697</v>
      </c>
      <c r="AC113" s="6">
        <v>41.550183930328799</v>
      </c>
      <c r="AD113" s="6">
        <v>41.526799033788798</v>
      </c>
      <c r="AE113" s="7">
        <v>-3.7209613902377502E-3</v>
      </c>
      <c r="AF113" s="7">
        <v>1.4495136695981601E-3</v>
      </c>
      <c r="AG113" s="7">
        <v>8.8654432903680005E-4</v>
      </c>
      <c r="AZ113" s="23"/>
      <c r="BB113" s="12">
        <f t="shared" si="26"/>
        <v>0</v>
      </c>
      <c r="BC113" s="12">
        <f t="shared" si="27"/>
        <v>1</v>
      </c>
      <c r="BD113" s="12">
        <f t="shared" si="28"/>
        <v>0</v>
      </c>
      <c r="BE113" s="12">
        <f t="shared" si="24"/>
        <v>1</v>
      </c>
      <c r="BF113" s="12">
        <f t="shared" si="29"/>
        <v>0</v>
      </c>
      <c r="BG113" s="23">
        <f t="shared" si="30"/>
        <v>0</v>
      </c>
      <c r="BH113" s="23">
        <f t="shared" si="31"/>
        <v>0</v>
      </c>
      <c r="BI113" s="23">
        <f t="shared" si="32"/>
        <v>0</v>
      </c>
      <c r="BJ113" s="18">
        <f t="shared" si="33"/>
        <v>1.4079333846715957E-2</v>
      </c>
      <c r="BL113" s="23"/>
      <c r="BN113" s="12">
        <f t="shared" si="34"/>
        <v>0</v>
      </c>
      <c r="BO113" s="12">
        <f t="shared" si="35"/>
        <v>0</v>
      </c>
      <c r="BP113" s="12">
        <f t="shared" si="36"/>
        <v>0</v>
      </c>
      <c r="BQ113" s="12">
        <f t="shared" si="25"/>
        <v>1</v>
      </c>
      <c r="BR113" s="12">
        <f t="shared" si="37"/>
        <v>0</v>
      </c>
      <c r="BS113" s="23">
        <f t="shared" si="38"/>
        <v>0</v>
      </c>
      <c r="BT113" s="23">
        <f t="shared" si="39"/>
        <v>0</v>
      </c>
      <c r="BU113" s="23">
        <f t="shared" si="40"/>
        <v>0</v>
      </c>
      <c r="BV113" s="18">
        <f t="shared" si="41"/>
        <v>1.4987487910485087E-2</v>
      </c>
      <c r="BX113" s="18">
        <f t="shared" si="42"/>
        <v>0</v>
      </c>
      <c r="BY113" s="18">
        <f t="shared" si="43"/>
        <v>2.9066821757201045E-2</v>
      </c>
    </row>
    <row r="114" spans="1:77" x14ac:dyDescent="0.3">
      <c r="A114" s="1">
        <v>46188</v>
      </c>
      <c r="B114" s="6">
        <v>22</v>
      </c>
      <c r="C114" s="6">
        <v>41.58</v>
      </c>
      <c r="D114" s="7">
        <v>2.7309985112315099E-3</v>
      </c>
      <c r="E114" s="7">
        <v>2.1668480850902901E-3</v>
      </c>
      <c r="F114" s="6">
        <v>0</v>
      </c>
      <c r="G114" s="6">
        <v>0.21339999999999901</v>
      </c>
      <c r="H114" s="6">
        <v>0</v>
      </c>
      <c r="I114" s="6">
        <v>0</v>
      </c>
      <c r="J114" s="6">
        <v>0.21339999999999901</v>
      </c>
      <c r="K114" s="6">
        <v>0</v>
      </c>
      <c r="L114" s="6">
        <v>22.2134</v>
      </c>
      <c r="M114" s="6">
        <v>41.58</v>
      </c>
      <c r="N114" s="8">
        <v>1.89</v>
      </c>
      <c r="O114" s="8">
        <v>1.8787268979407299</v>
      </c>
      <c r="P114" s="8">
        <v>1.8926154940390301</v>
      </c>
      <c r="Q114" s="8">
        <v>1.8915358386990699</v>
      </c>
      <c r="R114" s="6">
        <v>41.331991754696098</v>
      </c>
      <c r="S114" s="6">
        <v>41.650852716339301</v>
      </c>
      <c r="T114" s="6">
        <v>41.603151587555701</v>
      </c>
      <c r="U114" s="7">
        <v>-5.98246356737235E-3</v>
      </c>
      <c r="V114" s="7">
        <v>1.7025593549057001E-3</v>
      </c>
      <c r="W114" s="7">
        <v>5.5664128400166905E-4</v>
      </c>
      <c r="X114" s="8">
        <v>1.8718431217193201</v>
      </c>
      <c r="Y114" s="8">
        <v>1.8658943630327001</v>
      </c>
      <c r="Z114" s="8">
        <v>1.8743226866059299</v>
      </c>
      <c r="AA114" s="8">
        <v>1.8750137687041399</v>
      </c>
      <c r="AB114" s="6">
        <v>41.447857843790601</v>
      </c>
      <c r="AC114" s="6">
        <v>41.648445985455098</v>
      </c>
      <c r="AD114" s="6">
        <v>41.643855443879602</v>
      </c>
      <c r="AE114" s="7">
        <v>-3.18308267160405E-3</v>
      </c>
      <c r="AF114" s="7">
        <v>1.6447742133170299E-3</v>
      </c>
      <c r="AG114" s="7">
        <v>1.53454694137387E-3</v>
      </c>
      <c r="AZ114" s="23"/>
      <c r="BB114" s="12">
        <f t="shared" si="26"/>
        <v>0</v>
      </c>
      <c r="BC114" s="12">
        <f t="shared" si="27"/>
        <v>1</v>
      </c>
      <c r="BD114" s="12">
        <f t="shared" si="28"/>
        <v>0</v>
      </c>
      <c r="BE114" s="12">
        <f t="shared" si="24"/>
        <v>1</v>
      </c>
      <c r="BF114" s="12">
        <f t="shared" si="29"/>
        <v>0</v>
      </c>
      <c r="BG114" s="23">
        <f t="shared" si="30"/>
        <v>0</v>
      </c>
      <c r="BH114" s="23">
        <f t="shared" si="31"/>
        <v>0</v>
      </c>
      <c r="BI114" s="23">
        <f t="shared" si="32"/>
        <v>0</v>
      </c>
      <c r="BJ114" s="18">
        <f t="shared" si="33"/>
        <v>1.4079333846715957E-2</v>
      </c>
      <c r="BL114" s="23"/>
      <c r="BN114" s="12">
        <f t="shared" si="34"/>
        <v>0</v>
      </c>
      <c r="BO114" s="12">
        <f t="shared" si="35"/>
        <v>0</v>
      </c>
      <c r="BP114" s="12">
        <f t="shared" si="36"/>
        <v>0</v>
      </c>
      <c r="BQ114" s="12">
        <f t="shared" si="25"/>
        <v>1</v>
      </c>
      <c r="BR114" s="12">
        <f t="shared" si="37"/>
        <v>0</v>
      </c>
      <c r="BS114" s="23">
        <f t="shared" si="38"/>
        <v>0</v>
      </c>
      <c r="BT114" s="23">
        <f t="shared" si="39"/>
        <v>0</v>
      </c>
      <c r="BU114" s="23">
        <f t="shared" si="40"/>
        <v>0</v>
      </c>
      <c r="BV114" s="18">
        <f t="shared" si="41"/>
        <v>1.4987487910485087E-2</v>
      </c>
      <c r="BX114" s="18">
        <f t="shared" si="42"/>
        <v>0</v>
      </c>
      <c r="BY114" s="18">
        <f t="shared" si="43"/>
        <v>2.9066821757201045E-2</v>
      </c>
    </row>
    <row r="115" spans="1:77" x14ac:dyDescent="0.3">
      <c r="A115" s="1">
        <v>46189</v>
      </c>
      <c r="B115" s="6">
        <v>22.06</v>
      </c>
      <c r="C115" s="6">
        <v>41.72</v>
      </c>
      <c r="D115" s="7">
        <v>2.7235604670405198E-3</v>
      </c>
      <c r="E115" s="7">
        <v>3.3613477027049201E-3</v>
      </c>
      <c r="F115" s="6">
        <v>0</v>
      </c>
      <c r="G115" s="6">
        <v>0.21339999999999901</v>
      </c>
      <c r="H115" s="6">
        <v>0</v>
      </c>
      <c r="I115" s="6">
        <v>0</v>
      </c>
      <c r="J115" s="6">
        <v>0.21339999999999901</v>
      </c>
      <c r="K115" s="6">
        <v>0</v>
      </c>
      <c r="L115" s="6">
        <v>22.273399999999999</v>
      </c>
      <c r="M115" s="6">
        <v>41.72</v>
      </c>
      <c r="N115" s="8">
        <v>1.8912058023572</v>
      </c>
      <c r="O115" s="8">
        <v>1.8787268979407299</v>
      </c>
      <c r="P115" s="8">
        <v>1.8919086446653</v>
      </c>
      <c r="Q115" s="8">
        <v>1.8918723845246901</v>
      </c>
      <c r="R115" s="6">
        <v>41.444715368572503</v>
      </c>
      <c r="S115" s="6">
        <v>41.751097798501</v>
      </c>
      <c r="T115" s="6">
        <v>41.727280601701501</v>
      </c>
      <c r="U115" s="7">
        <v>-6.6202508030366704E-3</v>
      </c>
      <c r="V115" s="7">
        <v>7.4511539347076896E-4</v>
      </c>
      <c r="W115" s="7">
        <v>1.7449584138797599E-4</v>
      </c>
      <c r="X115" s="8">
        <v>1.8730862822918799</v>
      </c>
      <c r="Y115" s="8">
        <v>1.8658943630327001</v>
      </c>
      <c r="Z115" s="8">
        <v>1.87362588156805</v>
      </c>
      <c r="AA115" s="8">
        <v>1.87516334300978</v>
      </c>
      <c r="AB115" s="6">
        <v>41.559811505572597</v>
      </c>
      <c r="AC115" s="6">
        <v>41.747538927848602</v>
      </c>
      <c r="AD115" s="6">
        <v>41.762931675854801</v>
      </c>
      <c r="AE115" s="7">
        <v>-3.84699938890809E-3</v>
      </c>
      <c r="AF115" s="7">
        <v>6.5987159084061398E-4</v>
      </c>
      <c r="AG115" s="7">
        <v>1.0285139435726701E-3</v>
      </c>
      <c r="AZ115" s="23"/>
      <c r="BB115" s="12">
        <f t="shared" si="26"/>
        <v>0</v>
      </c>
      <c r="BC115" s="12">
        <f t="shared" si="27"/>
        <v>1</v>
      </c>
      <c r="BD115" s="12">
        <f t="shared" si="28"/>
        <v>0</v>
      </c>
      <c r="BE115" s="12">
        <f t="shared" si="24"/>
        <v>1</v>
      </c>
      <c r="BF115" s="12">
        <f t="shared" si="29"/>
        <v>0</v>
      </c>
      <c r="BG115" s="23">
        <f t="shared" si="30"/>
        <v>0</v>
      </c>
      <c r="BH115" s="23">
        <f t="shared" si="31"/>
        <v>0</v>
      </c>
      <c r="BI115" s="23">
        <f t="shared" si="32"/>
        <v>0</v>
      </c>
      <c r="BJ115" s="18">
        <f t="shared" si="33"/>
        <v>1.4079333846715957E-2</v>
      </c>
      <c r="BL115" s="23"/>
      <c r="BN115" s="12">
        <f t="shared" si="34"/>
        <v>0</v>
      </c>
      <c r="BO115" s="12">
        <f t="shared" si="35"/>
        <v>0</v>
      </c>
      <c r="BP115" s="12">
        <f t="shared" si="36"/>
        <v>0</v>
      </c>
      <c r="BQ115" s="12">
        <f t="shared" si="25"/>
        <v>1</v>
      </c>
      <c r="BR115" s="12">
        <f t="shared" si="37"/>
        <v>0</v>
      </c>
      <c r="BS115" s="23">
        <f t="shared" si="38"/>
        <v>0</v>
      </c>
      <c r="BT115" s="23">
        <f t="shared" si="39"/>
        <v>0</v>
      </c>
      <c r="BU115" s="23">
        <f t="shared" si="40"/>
        <v>0</v>
      </c>
      <c r="BV115" s="18">
        <f t="shared" si="41"/>
        <v>1.4987487910485087E-2</v>
      </c>
      <c r="BX115" s="18">
        <f t="shared" si="42"/>
        <v>0</v>
      </c>
      <c r="BY115" s="18">
        <f t="shared" si="43"/>
        <v>2.9066821757201045E-2</v>
      </c>
    </row>
    <row r="116" spans="1:77" x14ac:dyDescent="0.3">
      <c r="A116" s="1">
        <v>46190</v>
      </c>
      <c r="B116" s="6">
        <v>21.87</v>
      </c>
      <c r="C116" s="6">
        <v>41.33</v>
      </c>
      <c r="D116" s="7">
        <v>-8.6501791366798194E-3</v>
      </c>
      <c r="E116" s="7">
        <v>-9.3920016089307293E-3</v>
      </c>
      <c r="F116" s="6">
        <v>0</v>
      </c>
      <c r="G116" s="6">
        <v>0.21339999999999901</v>
      </c>
      <c r="H116" s="6">
        <v>0</v>
      </c>
      <c r="I116" s="6">
        <v>0</v>
      </c>
      <c r="J116" s="6">
        <v>0.21339999999999901</v>
      </c>
      <c r="K116" s="6">
        <v>0</v>
      </c>
      <c r="L116" s="6">
        <v>22.083400000000001</v>
      </c>
      <c r="M116" s="6">
        <v>41.33</v>
      </c>
      <c r="N116" s="8">
        <v>1.8898033836305399</v>
      </c>
      <c r="O116" s="8">
        <v>1.8787268979407299</v>
      </c>
      <c r="P116" s="8">
        <v>1.89153311276796</v>
      </c>
      <c r="Q116" s="8">
        <v>1.89199732831524</v>
      </c>
      <c r="R116" s="6">
        <v>41.087757257963801</v>
      </c>
      <c r="S116" s="6">
        <v>41.376042058830201</v>
      </c>
      <c r="T116" s="6">
        <v>41.375249049555102</v>
      </c>
      <c r="U116" s="7">
        <v>-5.8784283307858802E-3</v>
      </c>
      <c r="V116" s="7">
        <v>1.1133905683400099E-3</v>
      </c>
      <c r="W116" s="7">
        <v>1.0942244800655099E-3</v>
      </c>
      <c r="X116" s="8">
        <v>1.8715415198746499</v>
      </c>
      <c r="Y116" s="8">
        <v>1.8658943630327001</v>
      </c>
      <c r="Z116" s="8">
        <v>1.8732523228865701</v>
      </c>
      <c r="AA116" s="8">
        <v>1.8751005365839799</v>
      </c>
      <c r="AB116" s="6">
        <v>41.205291576596402</v>
      </c>
      <c r="AC116" s="6">
        <v>41.376029793020003</v>
      </c>
      <c r="AD116" s="6">
        <v>41.4099821690222</v>
      </c>
      <c r="AE116" s="7">
        <v>-3.0219440902427E-3</v>
      </c>
      <c r="AF116" s="7">
        <v>1.1130941211356001E-3</v>
      </c>
      <c r="AG116" s="7">
        <v>1.93333843780443E-3</v>
      </c>
      <c r="AZ116" s="23"/>
      <c r="BB116" s="12">
        <f t="shared" si="26"/>
        <v>0</v>
      </c>
      <c r="BC116" s="12">
        <f t="shared" si="27"/>
        <v>1</v>
      </c>
      <c r="BD116" s="12">
        <f t="shared" si="28"/>
        <v>0</v>
      </c>
      <c r="BE116" s="12">
        <f t="shared" si="24"/>
        <v>1</v>
      </c>
      <c r="BF116" s="12">
        <f t="shared" si="29"/>
        <v>0</v>
      </c>
      <c r="BG116" s="23">
        <f t="shared" si="30"/>
        <v>0</v>
      </c>
      <c r="BH116" s="23">
        <f t="shared" si="31"/>
        <v>0</v>
      </c>
      <c r="BI116" s="23">
        <f t="shared" si="32"/>
        <v>0</v>
      </c>
      <c r="BJ116" s="18">
        <f t="shared" si="33"/>
        <v>1.4079333846715957E-2</v>
      </c>
      <c r="BL116" s="23"/>
      <c r="BN116" s="12">
        <f t="shared" si="34"/>
        <v>0</v>
      </c>
      <c r="BO116" s="12">
        <f t="shared" si="35"/>
        <v>0</v>
      </c>
      <c r="BP116" s="12">
        <f t="shared" si="36"/>
        <v>0</v>
      </c>
      <c r="BQ116" s="12">
        <f t="shared" si="25"/>
        <v>1</v>
      </c>
      <c r="BR116" s="12">
        <f t="shared" si="37"/>
        <v>0</v>
      </c>
      <c r="BS116" s="23">
        <f t="shared" si="38"/>
        <v>0</v>
      </c>
      <c r="BT116" s="23">
        <f t="shared" si="39"/>
        <v>0</v>
      </c>
      <c r="BU116" s="23">
        <f t="shared" si="40"/>
        <v>0</v>
      </c>
      <c r="BV116" s="18">
        <f t="shared" si="41"/>
        <v>1.4987487910485087E-2</v>
      </c>
      <c r="BX116" s="18">
        <f t="shared" si="42"/>
        <v>0</v>
      </c>
      <c r="BY116" s="18">
        <f t="shared" si="43"/>
        <v>2.9066821757201045E-2</v>
      </c>
    </row>
    <row r="117" spans="1:77" x14ac:dyDescent="0.3">
      <c r="A117" s="1">
        <v>46191</v>
      </c>
      <c r="B117" s="6">
        <v>21.82</v>
      </c>
      <c r="C117" s="6">
        <v>41.2</v>
      </c>
      <c r="D117" s="7">
        <v>-2.28885428375171E-3</v>
      </c>
      <c r="E117" s="7">
        <v>-3.1503721681601202E-3</v>
      </c>
      <c r="F117" s="6">
        <v>0</v>
      </c>
      <c r="G117" s="6">
        <v>0.21339999999999901</v>
      </c>
      <c r="H117" s="6">
        <v>0</v>
      </c>
      <c r="I117" s="6">
        <v>0</v>
      </c>
      <c r="J117" s="6">
        <v>0.21339999999999901</v>
      </c>
      <c r="K117" s="6">
        <v>0</v>
      </c>
      <c r="L117" s="6">
        <v>22.0334</v>
      </c>
      <c r="M117" s="6">
        <v>41.2</v>
      </c>
      <c r="N117" s="8">
        <v>1.8881759853345499</v>
      </c>
      <c r="O117" s="8">
        <v>1.8787268979407299</v>
      </c>
      <c r="P117" s="8">
        <v>1.89092982666849</v>
      </c>
      <c r="Q117" s="8">
        <v>1.8920553303154499</v>
      </c>
      <c r="R117" s="6">
        <v>40.993820913066699</v>
      </c>
      <c r="S117" s="6">
        <v>41.273252520596998</v>
      </c>
      <c r="T117" s="6">
        <v>41.283381703838501</v>
      </c>
      <c r="U117" s="7">
        <v>-5.01691044637747E-3</v>
      </c>
      <c r="V117" s="7">
        <v>1.77639507649047E-3</v>
      </c>
      <c r="W117" s="7">
        <v>2.0217825825947101E-3</v>
      </c>
      <c r="X117" s="8">
        <v>1.86988844209245</v>
      </c>
      <c r="Y117" s="8">
        <v>1.8658943630327001</v>
      </c>
      <c r="Z117" s="8">
        <v>1.87264576620887</v>
      </c>
      <c r="AA117" s="8">
        <v>1.87496250787842</v>
      </c>
      <c r="AB117" s="6">
        <v>41.111996858444797</v>
      </c>
      <c r="AC117" s="6">
        <v>41.274117731089</v>
      </c>
      <c r="AD117" s="6">
        <v>41.314840162769499</v>
      </c>
      <c r="AE117" s="7">
        <v>-2.1382830801104798E-3</v>
      </c>
      <c r="AF117" s="7">
        <v>1.79735783979728E-3</v>
      </c>
      <c r="AG117" s="7">
        <v>2.7835050444393401E-3</v>
      </c>
      <c r="AZ117" s="23"/>
      <c r="BB117" s="12">
        <f t="shared" si="26"/>
        <v>0</v>
      </c>
      <c r="BC117" s="12">
        <f t="shared" si="27"/>
        <v>1</v>
      </c>
      <c r="BD117" s="12">
        <f t="shared" si="28"/>
        <v>0</v>
      </c>
      <c r="BE117" s="12">
        <f t="shared" si="24"/>
        <v>1</v>
      </c>
      <c r="BF117" s="12">
        <f t="shared" si="29"/>
        <v>0</v>
      </c>
      <c r="BG117" s="23">
        <f t="shared" si="30"/>
        <v>0</v>
      </c>
      <c r="BH117" s="23">
        <f t="shared" si="31"/>
        <v>0</v>
      </c>
      <c r="BI117" s="23">
        <f t="shared" si="32"/>
        <v>0</v>
      </c>
      <c r="BJ117" s="18">
        <f t="shared" si="33"/>
        <v>1.4079333846715957E-2</v>
      </c>
      <c r="BL117" s="23"/>
      <c r="BN117" s="12">
        <f t="shared" si="34"/>
        <v>1</v>
      </c>
      <c r="BO117" s="12">
        <f t="shared" si="35"/>
        <v>0</v>
      </c>
      <c r="BP117" s="12">
        <f t="shared" si="36"/>
        <v>0</v>
      </c>
      <c r="BQ117" s="12">
        <f t="shared" si="25"/>
        <v>1</v>
      </c>
      <c r="BR117" s="12">
        <f t="shared" si="37"/>
        <v>0</v>
      </c>
      <c r="BS117" s="23">
        <f t="shared" si="38"/>
        <v>0</v>
      </c>
      <c r="BT117" s="23">
        <f t="shared" si="39"/>
        <v>0</v>
      </c>
      <c r="BU117" s="23">
        <f t="shared" si="40"/>
        <v>0</v>
      </c>
      <c r="BV117" s="18">
        <f t="shared" si="41"/>
        <v>1.4987487910485087E-2</v>
      </c>
      <c r="BX117" s="18">
        <f t="shared" si="42"/>
        <v>0</v>
      </c>
      <c r="BY117" s="18">
        <f t="shared" si="43"/>
        <v>2.9066821757201045E-2</v>
      </c>
    </row>
    <row r="118" spans="1:77" x14ac:dyDescent="0.3">
      <c r="A118" s="1">
        <v>46195</v>
      </c>
      <c r="B118" s="6">
        <v>21.72</v>
      </c>
      <c r="C118" s="6">
        <v>41.02</v>
      </c>
      <c r="D118" s="7">
        <v>-4.5934853391900897E-3</v>
      </c>
      <c r="E118" s="7">
        <v>-4.3785037112461199E-3</v>
      </c>
      <c r="F118" s="6">
        <v>0</v>
      </c>
      <c r="G118" s="6">
        <v>0.21339999999999901</v>
      </c>
      <c r="H118" s="6">
        <v>0</v>
      </c>
      <c r="I118" s="6">
        <v>0</v>
      </c>
      <c r="J118" s="6">
        <v>0.21339999999999901</v>
      </c>
      <c r="K118" s="6">
        <v>0</v>
      </c>
      <c r="L118" s="6">
        <v>21.933399999999999</v>
      </c>
      <c r="M118" s="6">
        <v>41.02</v>
      </c>
      <c r="N118" s="8">
        <v>1.88858195211786</v>
      </c>
      <c r="O118" s="8">
        <v>1.8787268979407299</v>
      </c>
      <c r="P118" s="8">
        <v>1.8904135968572799</v>
      </c>
      <c r="Q118" s="8">
        <v>1.8920678372194299</v>
      </c>
      <c r="R118" s="6">
        <v>40.805948223272601</v>
      </c>
      <c r="S118" s="6">
        <v>41.070995835239799</v>
      </c>
      <c r="T118" s="6">
        <v>41.095441774451601</v>
      </c>
      <c r="U118" s="7">
        <v>-5.2318920743213999E-3</v>
      </c>
      <c r="V118" s="7">
        <v>1.2424222968854201E-3</v>
      </c>
      <c r="W118" s="7">
        <v>1.8374569763554599E-3</v>
      </c>
      <c r="X118" s="8">
        <v>1.8702070814374401</v>
      </c>
      <c r="Y118" s="8">
        <v>1.8658943630327001</v>
      </c>
      <c r="Z118" s="8">
        <v>1.87213288046739</v>
      </c>
      <c r="AA118" s="8">
        <v>1.87477544377439</v>
      </c>
      <c r="AB118" s="6">
        <v>40.925407422141497</v>
      </c>
      <c r="AC118" s="6">
        <v>41.0734886485657</v>
      </c>
      <c r="AD118" s="6">
        <v>41.124302670300601</v>
      </c>
      <c r="AE118" s="7">
        <v>-2.3086741002058099E-3</v>
      </c>
      <c r="AF118" s="7">
        <v>1.3031156798289101E-3</v>
      </c>
      <c r="AG118" s="7">
        <v>2.5394999522669898E-3</v>
      </c>
      <c r="AZ118" s="23"/>
      <c r="BB118" s="12">
        <f t="shared" si="26"/>
        <v>0</v>
      </c>
      <c r="BC118" s="12">
        <f t="shared" si="27"/>
        <v>1</v>
      </c>
      <c r="BD118" s="12">
        <f t="shared" si="28"/>
        <v>0</v>
      </c>
      <c r="BE118" s="12">
        <f t="shared" si="24"/>
        <v>1</v>
      </c>
      <c r="BF118" s="12">
        <f t="shared" si="29"/>
        <v>0</v>
      </c>
      <c r="BG118" s="23">
        <f t="shared" si="30"/>
        <v>0</v>
      </c>
      <c r="BH118" s="23">
        <f t="shared" si="31"/>
        <v>0</v>
      </c>
      <c r="BI118" s="23">
        <f t="shared" si="32"/>
        <v>0</v>
      </c>
      <c r="BJ118" s="18">
        <f t="shared" si="33"/>
        <v>1.4079333846715957E-2</v>
      </c>
      <c r="BL118" s="23"/>
      <c r="BN118" s="12">
        <f t="shared" si="34"/>
        <v>1</v>
      </c>
      <c r="BO118" s="12">
        <f t="shared" si="35"/>
        <v>0</v>
      </c>
      <c r="BP118" s="12">
        <f t="shared" si="36"/>
        <v>1</v>
      </c>
      <c r="BQ118" s="12">
        <f t="shared" si="25"/>
        <v>1</v>
      </c>
      <c r="BR118" s="12">
        <f t="shared" si="37"/>
        <v>1</v>
      </c>
      <c r="BS118" s="23">
        <f t="shared" si="38"/>
        <v>4.5934853391900897E-3</v>
      </c>
      <c r="BT118" s="23">
        <f t="shared" si="39"/>
        <v>-4.3785037112461199E-3</v>
      </c>
      <c r="BU118" s="23">
        <f t="shared" si="40"/>
        <v>2.1498162794396976E-4</v>
      </c>
      <c r="BV118" s="18">
        <f t="shared" si="41"/>
        <v>1.5202469538429058E-2</v>
      </c>
      <c r="BX118" s="18">
        <f t="shared" si="42"/>
        <v>2.1498162794396976E-4</v>
      </c>
      <c r="BY118" s="18">
        <f t="shared" si="43"/>
        <v>2.9281803385145015E-2</v>
      </c>
    </row>
    <row r="119" spans="1:77" x14ac:dyDescent="0.3">
      <c r="A119" s="1">
        <v>46196</v>
      </c>
      <c r="B119" s="6">
        <v>21.67</v>
      </c>
      <c r="C119" s="6">
        <v>40.909999999999997</v>
      </c>
      <c r="D119" s="7">
        <v>-2.30467951746691E-3</v>
      </c>
      <c r="E119" s="7">
        <v>-2.6852207029275498E-3</v>
      </c>
      <c r="F119" s="6">
        <v>0</v>
      </c>
      <c r="G119" s="6">
        <v>0.21339999999999901</v>
      </c>
      <c r="H119" s="6">
        <v>0</v>
      </c>
      <c r="I119" s="6">
        <v>0</v>
      </c>
      <c r="J119" s="6">
        <v>0.21339999999999901</v>
      </c>
      <c r="K119" s="6">
        <v>0</v>
      </c>
      <c r="L119" s="6">
        <v>21.883400000000002</v>
      </c>
      <c r="M119" s="6">
        <v>40.909999999999997</v>
      </c>
      <c r="N119" s="8">
        <v>1.8878634056299</v>
      </c>
      <c r="O119" s="8">
        <v>1.8787268979407299</v>
      </c>
      <c r="P119" s="8">
        <v>1.8898911816599</v>
      </c>
      <c r="Q119" s="8">
        <v>1.8920013631780801</v>
      </c>
      <c r="R119" s="6">
        <v>40.712011878375598</v>
      </c>
      <c r="S119" s="6">
        <v>40.965262643897397</v>
      </c>
      <c r="T119" s="6">
        <v>41.001110032545</v>
      </c>
      <c r="U119" s="7">
        <v>-4.8513508888607896E-3</v>
      </c>
      <c r="V119" s="7">
        <v>1.3499230537999799E-3</v>
      </c>
      <c r="W119" s="7">
        <v>2.2246083610220901E-3</v>
      </c>
      <c r="X119" s="8">
        <v>1.869453558405</v>
      </c>
      <c r="Y119" s="8">
        <v>1.8658943630327001</v>
      </c>
      <c r="Z119" s="8">
        <v>1.8716130323687401</v>
      </c>
      <c r="AA119" s="8">
        <v>1.87450830342726</v>
      </c>
      <c r="AB119" s="6">
        <v>40.8321127039899</v>
      </c>
      <c r="AC119" s="6">
        <v>40.9686326764201</v>
      </c>
      <c r="AD119" s="6">
        <v>41.026460946292602</v>
      </c>
      <c r="AE119" s="7">
        <v>-1.9056840349513499E-3</v>
      </c>
      <c r="AF119" s="7">
        <v>1.4321852851131101E-3</v>
      </c>
      <c r="AG119" s="7">
        <v>2.8427155230942901E-3</v>
      </c>
      <c r="AZ119" s="23"/>
      <c r="BB119" s="12">
        <f t="shared" si="26"/>
        <v>0</v>
      </c>
      <c r="BC119" s="12">
        <f t="shared" si="27"/>
        <v>1</v>
      </c>
      <c r="BD119" s="12">
        <f t="shared" si="28"/>
        <v>0</v>
      </c>
      <c r="BE119" s="12">
        <f t="shared" si="24"/>
        <v>1</v>
      </c>
      <c r="BF119" s="12">
        <f t="shared" si="29"/>
        <v>0</v>
      </c>
      <c r="BG119" s="23">
        <f t="shared" si="30"/>
        <v>0</v>
      </c>
      <c r="BH119" s="23">
        <f t="shared" si="31"/>
        <v>0</v>
      </c>
      <c r="BI119" s="23">
        <f t="shared" si="32"/>
        <v>0</v>
      </c>
      <c r="BJ119" s="18">
        <f t="shared" si="33"/>
        <v>1.4079333846715957E-2</v>
      </c>
      <c r="BL119" s="23"/>
      <c r="BN119" s="12">
        <f t="shared" si="34"/>
        <v>1</v>
      </c>
      <c r="BO119" s="12">
        <f t="shared" si="35"/>
        <v>0</v>
      </c>
      <c r="BP119" s="12">
        <f t="shared" si="36"/>
        <v>1</v>
      </c>
      <c r="BQ119" s="12">
        <f t="shared" si="25"/>
        <v>1</v>
      </c>
      <c r="BR119" s="12">
        <f t="shared" si="37"/>
        <v>1</v>
      </c>
      <c r="BS119" s="23">
        <f t="shared" si="38"/>
        <v>2.30467951746691E-3</v>
      </c>
      <c r="BT119" s="23">
        <f t="shared" si="39"/>
        <v>-2.6852207029275498E-3</v>
      </c>
      <c r="BU119" s="23">
        <f t="shared" si="40"/>
        <v>-3.8054118546063977E-4</v>
      </c>
      <c r="BV119" s="18">
        <f t="shared" si="41"/>
        <v>1.4821928352968418E-2</v>
      </c>
      <c r="BX119" s="18">
        <f t="shared" si="42"/>
        <v>-3.8054118546063977E-4</v>
      </c>
      <c r="BY119" s="18">
        <f t="shared" si="43"/>
        <v>2.8901262199684377E-2</v>
      </c>
    </row>
    <row r="120" spans="1:77" x14ac:dyDescent="0.3">
      <c r="A120" s="1">
        <v>46197</v>
      </c>
      <c r="B120" s="6">
        <v>21.66</v>
      </c>
      <c r="C120" s="6">
        <v>40.97</v>
      </c>
      <c r="D120" s="7">
        <v>-4.61573975423151E-4</v>
      </c>
      <c r="E120" s="7">
        <v>1.46555961747258E-3</v>
      </c>
      <c r="F120" s="6">
        <v>0</v>
      </c>
      <c r="G120" s="6">
        <v>0.21339999999999901</v>
      </c>
      <c r="H120" s="6">
        <v>0</v>
      </c>
      <c r="I120" s="6">
        <v>0</v>
      </c>
      <c r="J120" s="6">
        <v>0.21339999999999901</v>
      </c>
      <c r="K120" s="6">
        <v>0</v>
      </c>
      <c r="L120" s="6">
        <v>21.8734</v>
      </c>
      <c r="M120" s="6">
        <v>40.97</v>
      </c>
      <c r="N120" s="8">
        <v>1.8915050784856799</v>
      </c>
      <c r="O120" s="8">
        <v>1.8787268979407299</v>
      </c>
      <c r="P120" s="8">
        <v>1.8901068869373101</v>
      </c>
      <c r="Q120" s="8">
        <v>1.8920212632003699</v>
      </c>
      <c r="R120" s="6">
        <v>40.693224609396196</v>
      </c>
      <c r="S120" s="6">
        <v>40.935042994753601</v>
      </c>
      <c r="T120" s="6">
        <v>40.980749526437201</v>
      </c>
      <c r="U120" s="7">
        <v>-6.77848448175655E-3</v>
      </c>
      <c r="V120" s="7">
        <v>-8.5359841325481796E-4</v>
      </c>
      <c r="W120" s="7">
        <v>2.6234113930712798E-4</v>
      </c>
      <c r="X120" s="8">
        <v>1.8730512860369199</v>
      </c>
      <c r="Y120" s="8">
        <v>1.8658943630327001</v>
      </c>
      <c r="Z120" s="8">
        <v>1.87181657595148</v>
      </c>
      <c r="AA120" s="8">
        <v>1.8743225002645401</v>
      </c>
      <c r="AB120" s="6">
        <v>40.813453760359501</v>
      </c>
      <c r="AC120" s="6">
        <v>40.938540502214501</v>
      </c>
      <c r="AD120" s="6">
        <v>41.001869924185797</v>
      </c>
      <c r="AE120" s="7">
        <v>-3.8283154755049198E-3</v>
      </c>
      <c r="AF120" s="7">
        <v>-7.6816163832154997E-4</v>
      </c>
      <c r="AG120" s="7">
        <v>7.7758201249179598E-4</v>
      </c>
      <c r="AZ120" s="23"/>
      <c r="BB120" s="12">
        <f t="shared" si="26"/>
        <v>0</v>
      </c>
      <c r="BC120" s="12">
        <f t="shared" si="27"/>
        <v>1</v>
      </c>
      <c r="BD120" s="12">
        <f t="shared" si="28"/>
        <v>0</v>
      </c>
      <c r="BE120" s="12">
        <f t="shared" si="24"/>
        <v>1</v>
      </c>
      <c r="BF120" s="12">
        <f t="shared" si="29"/>
        <v>0</v>
      </c>
      <c r="BG120" s="23">
        <f t="shared" si="30"/>
        <v>0</v>
      </c>
      <c r="BH120" s="23">
        <f t="shared" si="31"/>
        <v>0</v>
      </c>
      <c r="BI120" s="23">
        <f t="shared" si="32"/>
        <v>0</v>
      </c>
      <c r="BJ120" s="18">
        <f t="shared" si="33"/>
        <v>1.4079333846715957E-2</v>
      </c>
      <c r="BL120" s="23"/>
      <c r="BN120" s="12">
        <f t="shared" si="34"/>
        <v>0</v>
      </c>
      <c r="BO120" s="12">
        <f t="shared" si="35"/>
        <v>0</v>
      </c>
      <c r="BP120" s="12">
        <f t="shared" si="36"/>
        <v>1</v>
      </c>
      <c r="BQ120" s="12">
        <f t="shared" si="25"/>
        <v>1</v>
      </c>
      <c r="BR120" s="12">
        <f t="shared" si="37"/>
        <v>1</v>
      </c>
      <c r="BS120" s="23">
        <f t="shared" si="38"/>
        <v>4.61573975423151E-4</v>
      </c>
      <c r="BT120" s="23">
        <f t="shared" si="39"/>
        <v>1.46555961747258E-3</v>
      </c>
      <c r="BU120" s="23">
        <f t="shared" si="40"/>
        <v>1.9271335928957309E-3</v>
      </c>
      <c r="BV120" s="18">
        <f t="shared" si="41"/>
        <v>1.674906194586415E-2</v>
      </c>
      <c r="BX120" s="18">
        <f t="shared" si="42"/>
        <v>1.9271335928957309E-3</v>
      </c>
      <c r="BY120" s="18">
        <f t="shared" si="43"/>
        <v>3.0828395792580107E-2</v>
      </c>
    </row>
    <row r="121" spans="1:77" x14ac:dyDescent="0.3">
      <c r="A121" s="1">
        <v>46198</v>
      </c>
      <c r="B121" s="6">
        <v>21.68</v>
      </c>
      <c r="C121" s="6">
        <v>41</v>
      </c>
      <c r="D121" s="7">
        <v>9.2293499860089797E-4</v>
      </c>
      <c r="E121" s="7">
        <v>7.3197514552809299E-4</v>
      </c>
      <c r="F121" s="6">
        <v>0</v>
      </c>
      <c r="G121" s="6">
        <v>0.21339999999999901</v>
      </c>
      <c r="H121" s="6">
        <v>0</v>
      </c>
      <c r="I121" s="6">
        <v>0</v>
      </c>
      <c r="J121" s="6">
        <v>0.21339999999999901</v>
      </c>
      <c r="K121" s="6">
        <v>0</v>
      </c>
      <c r="L121" s="6">
        <v>21.8934</v>
      </c>
      <c r="M121" s="6">
        <v>41</v>
      </c>
      <c r="N121" s="8">
        <v>1.89114391143911</v>
      </c>
      <c r="O121" s="8">
        <v>1.8787268979407299</v>
      </c>
      <c r="P121" s="8">
        <v>1.89008683977551</v>
      </c>
      <c r="Q121" s="8">
        <v>1.89202310487032</v>
      </c>
      <c r="R121" s="6">
        <v>40.730799147355</v>
      </c>
      <c r="S121" s="6">
        <v>40.977517308800799</v>
      </c>
      <c r="T121" s="6">
        <v>41.019020986184003</v>
      </c>
      <c r="U121" s="7">
        <v>-6.5875246286836598E-3</v>
      </c>
      <c r="V121" s="7">
        <v>-5.4850872533988902E-4</v>
      </c>
      <c r="W121" s="7">
        <v>4.6381891166979799E-4</v>
      </c>
      <c r="X121" s="8">
        <v>1.87271049722747</v>
      </c>
      <c r="Y121" s="8">
        <v>1.8658943630327001</v>
      </c>
      <c r="Z121" s="8">
        <v>1.8717933621309499</v>
      </c>
      <c r="AA121" s="8">
        <v>1.8741196576613499</v>
      </c>
      <c r="AB121" s="6">
        <v>40.850771647620199</v>
      </c>
      <c r="AC121" s="6">
        <v>40.980429023936097</v>
      </c>
      <c r="AD121" s="6">
        <v>41.035292227291798</v>
      </c>
      <c r="AE121" s="7">
        <v>-3.64635579408091E-3</v>
      </c>
      <c r="AF121" s="7">
        <v>-4.7745484303176298E-4</v>
      </c>
      <c r="AG121" s="7">
        <v>8.6041576767489003E-4</v>
      </c>
      <c r="AZ121" s="23"/>
      <c r="BB121" s="12">
        <f t="shared" si="26"/>
        <v>0</v>
      </c>
      <c r="BC121" s="12">
        <f t="shared" si="27"/>
        <v>1</v>
      </c>
      <c r="BD121" s="12">
        <f t="shared" si="28"/>
        <v>0</v>
      </c>
      <c r="BE121" s="12">
        <f t="shared" si="24"/>
        <v>1</v>
      </c>
      <c r="BF121" s="12">
        <f t="shared" si="29"/>
        <v>0</v>
      </c>
      <c r="BG121" s="23">
        <f t="shared" si="30"/>
        <v>0</v>
      </c>
      <c r="BH121" s="23">
        <f t="shared" si="31"/>
        <v>0</v>
      </c>
      <c r="BI121" s="23">
        <f t="shared" si="32"/>
        <v>0</v>
      </c>
      <c r="BJ121" s="18">
        <f t="shared" si="33"/>
        <v>1.4079333846715957E-2</v>
      </c>
      <c r="BL121" s="23"/>
      <c r="BN121" s="12">
        <f t="shared" si="34"/>
        <v>0</v>
      </c>
      <c r="BO121" s="12">
        <f t="shared" si="35"/>
        <v>0</v>
      </c>
      <c r="BP121" s="12">
        <f t="shared" si="36"/>
        <v>1</v>
      </c>
      <c r="BQ121" s="12">
        <f t="shared" si="25"/>
        <v>1</v>
      </c>
      <c r="BR121" s="12">
        <f t="shared" si="37"/>
        <v>1</v>
      </c>
      <c r="BS121" s="23">
        <f t="shared" si="38"/>
        <v>-9.2293499860089797E-4</v>
      </c>
      <c r="BT121" s="23">
        <f t="shared" si="39"/>
        <v>7.3197514552809299E-4</v>
      </c>
      <c r="BU121" s="23">
        <f t="shared" si="40"/>
        <v>-1.9095985307280498E-4</v>
      </c>
      <c r="BV121" s="18">
        <f t="shared" si="41"/>
        <v>1.6558102092791346E-2</v>
      </c>
      <c r="BX121" s="18">
        <f t="shared" si="42"/>
        <v>-1.9095985307280498E-4</v>
      </c>
      <c r="BY121" s="18">
        <f t="shared" si="43"/>
        <v>3.0637435939507303E-2</v>
      </c>
    </row>
    <row r="122" spans="1:77" x14ac:dyDescent="0.3">
      <c r="A122" s="1">
        <v>46199</v>
      </c>
      <c r="B122" s="6">
        <v>21.73</v>
      </c>
      <c r="C122" s="6">
        <v>41.04</v>
      </c>
      <c r="D122" s="7">
        <v>2.3036176968927501E-3</v>
      </c>
      <c r="E122" s="7">
        <v>9.7513415820629095E-4</v>
      </c>
      <c r="F122" s="6">
        <v>0</v>
      </c>
      <c r="G122" s="6">
        <v>0.21339999999999901</v>
      </c>
      <c r="H122" s="6">
        <v>0</v>
      </c>
      <c r="I122" s="6">
        <v>0</v>
      </c>
      <c r="J122" s="6">
        <v>0.21339999999999901</v>
      </c>
      <c r="K122" s="6">
        <v>0</v>
      </c>
      <c r="L122" s="6">
        <v>21.9434</v>
      </c>
      <c r="M122" s="6">
        <v>41.04</v>
      </c>
      <c r="N122" s="8">
        <v>1.8886332259548999</v>
      </c>
      <c r="O122" s="8">
        <v>1.8787268979407299</v>
      </c>
      <c r="P122" s="8">
        <v>1.8897979290072799</v>
      </c>
      <c r="Q122" s="8">
        <v>1.8916334183616501</v>
      </c>
      <c r="R122" s="6">
        <v>40.824735492252103</v>
      </c>
      <c r="S122" s="6">
        <v>41.0715870283219</v>
      </c>
      <c r="T122" s="6">
        <v>41.113662068832198</v>
      </c>
      <c r="U122" s="7">
        <v>-5.2590410899970201E-3</v>
      </c>
      <c r="V122" s="7">
        <v>7.6936839301658996E-4</v>
      </c>
      <c r="W122" s="7">
        <v>1.79327583744169E-3</v>
      </c>
      <c r="X122" s="8">
        <v>1.87026623039273</v>
      </c>
      <c r="Y122" s="8">
        <v>1.8658943630327001</v>
      </c>
      <c r="Z122" s="8">
        <v>1.8714898236600299</v>
      </c>
      <c r="AA122" s="8">
        <v>1.87352836561879</v>
      </c>
      <c r="AB122" s="6">
        <v>40.944066365771803</v>
      </c>
      <c r="AC122" s="6">
        <v>41.073510462584402</v>
      </c>
      <c r="AD122" s="6">
        <v>41.124557295926202</v>
      </c>
      <c r="AE122" s="7">
        <v>-2.3403005551320198E-3</v>
      </c>
      <c r="AF122" s="7">
        <v>8.1619855870180397E-4</v>
      </c>
      <c r="AG122" s="7">
        <v>2.0582433243803802E-3</v>
      </c>
      <c r="AZ122" s="23"/>
      <c r="BB122" s="12">
        <f t="shared" si="26"/>
        <v>0</v>
      </c>
      <c r="BC122" s="12">
        <f t="shared" si="27"/>
        <v>1</v>
      </c>
      <c r="BD122" s="12">
        <f t="shared" si="28"/>
        <v>0</v>
      </c>
      <c r="BE122" s="12">
        <f t="shared" si="24"/>
        <v>1</v>
      </c>
      <c r="BF122" s="12">
        <f t="shared" si="29"/>
        <v>0</v>
      </c>
      <c r="BG122" s="23">
        <f t="shared" si="30"/>
        <v>0</v>
      </c>
      <c r="BH122" s="23">
        <f t="shared" si="31"/>
        <v>0</v>
      </c>
      <c r="BI122" s="23">
        <f t="shared" si="32"/>
        <v>0</v>
      </c>
      <c r="BJ122" s="18">
        <f t="shared" si="33"/>
        <v>1.4079333846715957E-2</v>
      </c>
      <c r="BL122" s="23"/>
      <c r="BN122" s="12">
        <f t="shared" si="34"/>
        <v>1</v>
      </c>
      <c r="BO122" s="12">
        <f t="shared" si="35"/>
        <v>0</v>
      </c>
      <c r="BP122" s="12">
        <f t="shared" si="36"/>
        <v>1</v>
      </c>
      <c r="BQ122" s="12">
        <f t="shared" si="25"/>
        <v>1</v>
      </c>
      <c r="BR122" s="12">
        <f t="shared" si="37"/>
        <v>1</v>
      </c>
      <c r="BS122" s="23">
        <f t="shared" si="38"/>
        <v>-2.3036176968927501E-3</v>
      </c>
      <c r="BT122" s="23">
        <f t="shared" si="39"/>
        <v>9.7513415820629095E-4</v>
      </c>
      <c r="BU122" s="23">
        <f t="shared" si="40"/>
        <v>-1.3284835386864592E-3</v>
      </c>
      <c r="BV122" s="18">
        <f t="shared" si="41"/>
        <v>1.5229618554104887E-2</v>
      </c>
      <c r="BX122" s="18">
        <f t="shared" si="42"/>
        <v>-1.3284835386864592E-3</v>
      </c>
      <c r="BY122" s="18">
        <f t="shared" si="43"/>
        <v>2.9308952400820844E-2</v>
      </c>
    </row>
    <row r="123" spans="1:77" x14ac:dyDescent="0.3">
      <c r="A123" s="1">
        <v>46202</v>
      </c>
      <c r="B123" s="6">
        <v>21.75</v>
      </c>
      <c r="C123" s="6">
        <v>41.16</v>
      </c>
      <c r="D123" s="7">
        <v>9.1996326635479704E-4</v>
      </c>
      <c r="E123" s="7">
        <v>2.9197101033346202E-3</v>
      </c>
      <c r="F123" s="6">
        <v>0</v>
      </c>
      <c r="G123" s="6">
        <v>0.21339999999999901</v>
      </c>
      <c r="H123" s="6">
        <v>0</v>
      </c>
      <c r="I123" s="6">
        <v>0</v>
      </c>
      <c r="J123" s="6">
        <v>0.21339999999999901</v>
      </c>
      <c r="K123" s="6">
        <v>0</v>
      </c>
      <c r="L123" s="6">
        <v>21.9634</v>
      </c>
      <c r="M123" s="6">
        <v>41.16</v>
      </c>
      <c r="N123" s="8">
        <v>1.8924137931034399</v>
      </c>
      <c r="O123" s="8">
        <v>1.8787268979407299</v>
      </c>
      <c r="P123" s="8">
        <v>1.8899326538053201</v>
      </c>
      <c r="Q123" s="8">
        <v>1.89157661591037</v>
      </c>
      <c r="R123" s="6">
        <v>40.862310030210899</v>
      </c>
      <c r="S123" s="6">
        <v>41.1031049559084</v>
      </c>
      <c r="T123" s="6">
        <v>41.143026849365903</v>
      </c>
      <c r="U123" s="7">
        <v>-7.2587879269770603E-3</v>
      </c>
      <c r="V123" s="7">
        <v>-1.38324594467537E-3</v>
      </c>
      <c r="W123" s="7">
        <v>-4.1245508274571701E-4</v>
      </c>
      <c r="X123" s="8">
        <v>1.8740267900234</v>
      </c>
      <c r="Y123" s="8">
        <v>1.8658943630327001</v>
      </c>
      <c r="Z123" s="8">
        <v>1.87160748095013</v>
      </c>
      <c r="AA123" s="8">
        <v>1.8732659476440501</v>
      </c>
      <c r="AB123" s="6">
        <v>40.981384253032502</v>
      </c>
      <c r="AC123" s="6">
        <v>41.104279592974699</v>
      </c>
      <c r="AD123" s="6">
        <v>41.149052905431901</v>
      </c>
      <c r="AE123" s="7">
        <v>-4.3489899790612298E-3</v>
      </c>
      <c r="AF123" s="7">
        <v>-1.3546685346809599E-3</v>
      </c>
      <c r="AG123" s="7">
        <v>-2.6599977150037899E-4</v>
      </c>
      <c r="AZ123" s="23"/>
      <c r="BB123" s="12">
        <f t="shared" si="26"/>
        <v>0</v>
      </c>
      <c r="BC123" s="12">
        <f t="shared" si="27"/>
        <v>1</v>
      </c>
      <c r="BD123" s="12">
        <f t="shared" si="28"/>
        <v>0</v>
      </c>
      <c r="BE123" s="12">
        <f t="shared" si="24"/>
        <v>1</v>
      </c>
      <c r="BF123" s="12">
        <f t="shared" si="29"/>
        <v>0</v>
      </c>
      <c r="BG123" s="23">
        <f t="shared" si="30"/>
        <v>0</v>
      </c>
      <c r="BH123" s="23">
        <f t="shared" si="31"/>
        <v>0</v>
      </c>
      <c r="BI123" s="23">
        <f t="shared" si="32"/>
        <v>0</v>
      </c>
      <c r="BJ123" s="18">
        <f t="shared" si="33"/>
        <v>1.4079333846715957E-2</v>
      </c>
      <c r="BL123" s="23"/>
      <c r="BN123" s="12">
        <f t="shared" si="34"/>
        <v>0</v>
      </c>
      <c r="BO123" s="12">
        <f t="shared" si="35"/>
        <v>1</v>
      </c>
      <c r="BP123" s="12">
        <f t="shared" si="36"/>
        <v>1</v>
      </c>
      <c r="BQ123" s="12">
        <f t="shared" si="25"/>
        <v>1</v>
      </c>
      <c r="BR123" s="12">
        <f t="shared" si="37"/>
        <v>1</v>
      </c>
      <c r="BS123" s="23">
        <f t="shared" si="38"/>
        <v>-9.1996326635479704E-4</v>
      </c>
      <c r="BT123" s="23">
        <f t="shared" si="39"/>
        <v>2.9197101033346202E-3</v>
      </c>
      <c r="BU123" s="23">
        <f t="shared" si="40"/>
        <v>1.9997468369798233E-3</v>
      </c>
      <c r="BV123" s="18">
        <f t="shared" si="41"/>
        <v>1.722936539108471E-2</v>
      </c>
      <c r="BX123" s="18">
        <f t="shared" si="42"/>
        <v>1.9997468369798233E-3</v>
      </c>
      <c r="BY123" s="18">
        <f t="shared" si="43"/>
        <v>3.130869923780067E-2</v>
      </c>
    </row>
    <row r="124" spans="1:77" x14ac:dyDescent="0.3">
      <c r="A124" s="1">
        <v>46203</v>
      </c>
      <c r="B124" s="6">
        <v>21.68</v>
      </c>
      <c r="C124" s="6">
        <v>41.03</v>
      </c>
      <c r="D124" s="7">
        <v>-3.2235809632476702E-3</v>
      </c>
      <c r="E124" s="7">
        <v>-3.1634045117540201E-3</v>
      </c>
      <c r="F124" s="6">
        <v>0</v>
      </c>
      <c r="G124" s="6">
        <v>0.21339999999999901</v>
      </c>
      <c r="H124" s="6">
        <v>0</v>
      </c>
      <c r="I124" s="6">
        <v>0</v>
      </c>
      <c r="J124" s="6">
        <v>0.21339999999999901</v>
      </c>
      <c r="K124" s="6">
        <v>0</v>
      </c>
      <c r="L124" s="6">
        <v>21.8934</v>
      </c>
      <c r="M124" s="6">
        <v>41.03</v>
      </c>
      <c r="N124" s="8">
        <v>1.8925276752767499</v>
      </c>
      <c r="O124" s="8">
        <v>1.8787268979407299</v>
      </c>
      <c r="P124" s="8">
        <v>1.8901854213329901</v>
      </c>
      <c r="Q124" s="8">
        <v>1.89140045768601</v>
      </c>
      <c r="R124" s="6">
        <v>40.730799147355</v>
      </c>
      <c r="S124" s="6">
        <v>40.973739934499399</v>
      </c>
      <c r="T124" s="6">
        <v>41.009381032936901</v>
      </c>
      <c r="U124" s="7">
        <v>-7.3189643784706401E-3</v>
      </c>
      <c r="V124" s="7">
        <v>-1.3721343532019799E-3</v>
      </c>
      <c r="W124" s="7">
        <v>-5.0266024042654503E-4</v>
      </c>
      <c r="X124" s="8">
        <v>1.87408077320105</v>
      </c>
      <c r="Y124" s="8">
        <v>1.8658943630327001</v>
      </c>
      <c r="Z124" s="8">
        <v>1.8718312460983</v>
      </c>
      <c r="AA124" s="8">
        <v>1.8730769663521101</v>
      </c>
      <c r="AB124" s="6">
        <v>40.850771647620199</v>
      </c>
      <c r="AC124" s="6">
        <v>40.975851223433502</v>
      </c>
      <c r="AD124" s="6">
        <v>41.012160698150304</v>
      </c>
      <c r="AE124" s="7">
        <v>-4.3777955438677602E-3</v>
      </c>
      <c r="AF124" s="7">
        <v>-1.32060782561813E-3</v>
      </c>
      <c r="AG124" s="7">
        <v>-4.3488133367142699E-4</v>
      </c>
      <c r="AZ124" s="23"/>
      <c r="BB124" s="12">
        <f t="shared" si="26"/>
        <v>0</v>
      </c>
      <c r="BC124" s="12">
        <f t="shared" si="27"/>
        <v>1</v>
      </c>
      <c r="BD124" s="12">
        <f t="shared" si="28"/>
        <v>0</v>
      </c>
      <c r="BE124" s="12">
        <f t="shared" si="24"/>
        <v>0</v>
      </c>
      <c r="BF124" s="12">
        <f t="shared" si="29"/>
        <v>0</v>
      </c>
      <c r="BG124" s="23">
        <f t="shared" si="30"/>
        <v>0</v>
      </c>
      <c r="BH124" s="23">
        <f t="shared" si="31"/>
        <v>0</v>
      </c>
      <c r="BI124" s="23">
        <f t="shared" si="32"/>
        <v>0</v>
      </c>
      <c r="BJ124" s="18">
        <f t="shared" si="33"/>
        <v>1.4079333846715957E-2</v>
      </c>
      <c r="BL124" s="23"/>
      <c r="BN124" s="12">
        <f t="shared" si="34"/>
        <v>0</v>
      </c>
      <c r="BO124" s="12">
        <f t="shared" si="35"/>
        <v>1</v>
      </c>
      <c r="BP124" s="12">
        <f t="shared" si="36"/>
        <v>0</v>
      </c>
      <c r="BQ124" s="12">
        <f t="shared" si="25"/>
        <v>0</v>
      </c>
      <c r="BR124" s="12">
        <f t="shared" si="37"/>
        <v>0</v>
      </c>
      <c r="BS124" s="23">
        <f t="shared" si="38"/>
        <v>0</v>
      </c>
      <c r="BT124" s="23">
        <f t="shared" si="39"/>
        <v>0</v>
      </c>
      <c r="BU124" s="23">
        <f t="shared" si="40"/>
        <v>0</v>
      </c>
      <c r="BV124" s="18">
        <f t="shared" si="41"/>
        <v>1.722936539108471E-2</v>
      </c>
      <c r="BX124" s="18">
        <f t="shared" si="42"/>
        <v>0</v>
      </c>
      <c r="BY124" s="18">
        <f t="shared" si="43"/>
        <v>3.130869923780067E-2</v>
      </c>
    </row>
    <row r="125" spans="1:77" x14ac:dyDescent="0.3">
      <c r="A125" s="1">
        <v>46204</v>
      </c>
      <c r="B125" s="6">
        <v>21.59</v>
      </c>
      <c r="C125" s="6">
        <v>40.9</v>
      </c>
      <c r="D125" s="7">
        <v>-4.1599320447295004E-3</v>
      </c>
      <c r="E125" s="7">
        <v>-3.1734434053387098E-3</v>
      </c>
      <c r="F125" s="6">
        <v>4.41E-2</v>
      </c>
      <c r="G125" s="6">
        <v>0.25749999999999901</v>
      </c>
      <c r="H125" s="6">
        <v>0</v>
      </c>
      <c r="I125" s="6">
        <v>0</v>
      </c>
      <c r="J125" s="6">
        <v>0.25749999999999901</v>
      </c>
      <c r="K125" s="6">
        <v>0</v>
      </c>
      <c r="L125" s="6">
        <v>21.8475</v>
      </c>
      <c r="M125" s="6">
        <v>40.9</v>
      </c>
      <c r="N125" s="8">
        <v>1.8943955534969801</v>
      </c>
      <c r="O125" s="8">
        <v>1.8787268979407299</v>
      </c>
      <c r="P125" s="8">
        <v>1.8905043964469701</v>
      </c>
      <c r="Q125" s="8">
        <v>1.8912065205561399</v>
      </c>
      <c r="R125" s="6">
        <v>40.561713726540397</v>
      </c>
      <c r="S125" s="6">
        <v>40.809103246579397</v>
      </c>
      <c r="T125" s="6">
        <v>40.835335881440997</v>
      </c>
      <c r="U125" s="7">
        <v>-8.3054530178613695E-3</v>
      </c>
      <c r="V125" s="7">
        <v>-2.2248877372237201E-3</v>
      </c>
      <c r="W125" s="7">
        <v>-1.5822809401289399E-3</v>
      </c>
      <c r="X125" s="8">
        <v>1.8720677423046099</v>
      </c>
      <c r="Y125" s="8">
        <v>1.8658943630327001</v>
      </c>
      <c r="Z125" s="8">
        <v>1.8717293920995699</v>
      </c>
      <c r="AA125" s="8">
        <v>1.8726776368338101</v>
      </c>
      <c r="AB125" s="6">
        <v>40.765127096356998</v>
      </c>
      <c r="AC125" s="6">
        <v>40.894833149132602</v>
      </c>
      <c r="AD125" s="6">
        <v>40.922049022377898</v>
      </c>
      <c r="AE125" s="7">
        <v>-3.3030751573850802E-3</v>
      </c>
      <c r="AF125" s="7">
        <v>-1.2633685222559099E-4</v>
      </c>
      <c r="AG125" s="7">
        <v>5.3895064166922899E-4</v>
      </c>
      <c r="AZ125" s="23"/>
      <c r="BB125" s="12">
        <f t="shared" si="26"/>
        <v>0</v>
      </c>
      <c r="BC125" s="12">
        <f t="shared" si="27"/>
        <v>1</v>
      </c>
      <c r="BD125" s="12">
        <f t="shared" si="28"/>
        <v>0</v>
      </c>
      <c r="BE125" s="12">
        <f t="shared" si="24"/>
        <v>1</v>
      </c>
      <c r="BF125" s="12">
        <f t="shared" si="29"/>
        <v>0</v>
      </c>
      <c r="BG125" s="23">
        <f t="shared" si="30"/>
        <v>0</v>
      </c>
      <c r="BH125" s="23">
        <f t="shared" si="31"/>
        <v>0</v>
      </c>
      <c r="BI125" s="23">
        <f t="shared" si="32"/>
        <v>0</v>
      </c>
      <c r="BJ125" s="18">
        <f t="shared" si="33"/>
        <v>1.4079333846715957E-2</v>
      </c>
      <c r="BL125" s="23"/>
      <c r="BN125" s="12">
        <f t="shared" si="34"/>
        <v>0</v>
      </c>
      <c r="BO125" s="12">
        <f t="shared" si="35"/>
        <v>0</v>
      </c>
      <c r="BP125" s="12">
        <f t="shared" si="36"/>
        <v>0</v>
      </c>
      <c r="BQ125" s="12">
        <f t="shared" si="25"/>
        <v>1</v>
      </c>
      <c r="BR125" s="12">
        <f t="shared" si="37"/>
        <v>0</v>
      </c>
      <c r="BS125" s="23">
        <f t="shared" si="38"/>
        <v>0</v>
      </c>
      <c r="BT125" s="23">
        <f t="shared" si="39"/>
        <v>0</v>
      </c>
      <c r="BU125" s="23">
        <f t="shared" si="40"/>
        <v>0</v>
      </c>
      <c r="BV125" s="18">
        <f t="shared" si="41"/>
        <v>1.722936539108471E-2</v>
      </c>
      <c r="BX125" s="18">
        <f t="shared" si="42"/>
        <v>0</v>
      </c>
      <c r="BY125" s="18">
        <f t="shared" si="43"/>
        <v>3.130869923780067E-2</v>
      </c>
    </row>
    <row r="126" spans="1:77" x14ac:dyDescent="0.3">
      <c r="A126" s="1">
        <v>46205</v>
      </c>
      <c r="B126" s="6">
        <v>21.68</v>
      </c>
      <c r="C126" s="6">
        <v>41.04</v>
      </c>
      <c r="D126" s="7">
        <v>4.1599320447295697E-3</v>
      </c>
      <c r="E126" s="7">
        <v>3.4171378137580299E-3</v>
      </c>
      <c r="F126" s="6">
        <v>0</v>
      </c>
      <c r="G126" s="6">
        <v>0.25749999999999901</v>
      </c>
      <c r="H126" s="6">
        <v>0</v>
      </c>
      <c r="I126" s="6">
        <v>0</v>
      </c>
      <c r="J126" s="6">
        <v>0.25749999999999901</v>
      </c>
      <c r="K126" s="6">
        <v>0</v>
      </c>
      <c r="L126" s="6">
        <v>21.9375</v>
      </c>
      <c r="M126" s="6">
        <v>41.04</v>
      </c>
      <c r="N126" s="8">
        <v>1.8929889298892899</v>
      </c>
      <c r="O126" s="8">
        <v>1.8787268979407299</v>
      </c>
      <c r="P126" s="8">
        <v>1.89082295107285</v>
      </c>
      <c r="Q126" s="8">
        <v>1.8911780319203999</v>
      </c>
      <c r="R126" s="6">
        <v>40.730799147355</v>
      </c>
      <c r="S126" s="6">
        <v>40.986135314970397</v>
      </c>
      <c r="T126" s="6">
        <v>41.0013573656571</v>
      </c>
      <c r="U126" s="7">
        <v>-7.5626587868899498E-3</v>
      </c>
      <c r="V126" s="7">
        <v>-1.31335439772513E-3</v>
      </c>
      <c r="W126" s="7">
        <v>-9.4202822677133004E-4</v>
      </c>
      <c r="X126" s="8">
        <v>1.8707692307692301</v>
      </c>
      <c r="Y126" s="8">
        <v>1.8658943630327001</v>
      </c>
      <c r="Z126" s="8">
        <v>1.8716521631890299</v>
      </c>
      <c r="AA126" s="8">
        <v>1.8724522430377999</v>
      </c>
      <c r="AB126" s="6">
        <v>40.9330575890299</v>
      </c>
      <c r="AC126" s="6">
        <v>41.061063539184403</v>
      </c>
      <c r="AD126" s="6">
        <v>41.081865658041799</v>
      </c>
      <c r="AE126" s="7">
        <v>-2.6092102646208901E-3</v>
      </c>
      <c r="AF126" s="7">
        <v>5.1311246745413695E-4</v>
      </c>
      <c r="AG126" s="7">
        <v>1.0195984061806601E-3</v>
      </c>
      <c r="AZ126" s="23"/>
      <c r="BB126" s="12">
        <f t="shared" si="26"/>
        <v>0</v>
      </c>
      <c r="BC126" s="12">
        <f t="shared" si="27"/>
        <v>1</v>
      </c>
      <c r="BD126" s="12">
        <f t="shared" si="28"/>
        <v>0</v>
      </c>
      <c r="BE126" s="12">
        <f t="shared" si="24"/>
        <v>1</v>
      </c>
      <c r="BF126" s="12">
        <f t="shared" si="29"/>
        <v>0</v>
      </c>
      <c r="BG126" s="23">
        <f t="shared" si="30"/>
        <v>0</v>
      </c>
      <c r="BH126" s="23">
        <f t="shared" si="31"/>
        <v>0</v>
      </c>
      <c r="BI126" s="23">
        <f t="shared" si="32"/>
        <v>0</v>
      </c>
      <c r="BJ126" s="18">
        <f t="shared" si="33"/>
        <v>1.4079333846715957E-2</v>
      </c>
      <c r="BL126" s="23"/>
      <c r="BN126" s="12">
        <f t="shared" si="34"/>
        <v>0</v>
      </c>
      <c r="BO126" s="12">
        <f t="shared" si="35"/>
        <v>0</v>
      </c>
      <c r="BP126" s="12">
        <f t="shared" si="36"/>
        <v>0</v>
      </c>
      <c r="BQ126" s="12">
        <f t="shared" si="25"/>
        <v>1</v>
      </c>
      <c r="BR126" s="12">
        <f t="shared" si="37"/>
        <v>0</v>
      </c>
      <c r="BS126" s="23">
        <f t="shared" si="38"/>
        <v>0</v>
      </c>
      <c r="BT126" s="23">
        <f t="shared" si="39"/>
        <v>0</v>
      </c>
      <c r="BU126" s="23">
        <f t="shared" si="40"/>
        <v>0</v>
      </c>
      <c r="BV126" s="18">
        <f t="shared" si="41"/>
        <v>1.722936539108471E-2</v>
      </c>
      <c r="BX126" s="18">
        <f t="shared" si="42"/>
        <v>0</v>
      </c>
      <c r="BY126" s="18">
        <f t="shared" si="43"/>
        <v>3.130869923780067E-2</v>
      </c>
    </row>
    <row r="127" spans="1:77" x14ac:dyDescent="0.3">
      <c r="A127" s="1">
        <v>46209</v>
      </c>
      <c r="B127" s="6">
        <v>21.67</v>
      </c>
      <c r="C127" s="6">
        <v>40.97</v>
      </c>
      <c r="D127" s="7">
        <v>-4.6136102317763199E-4</v>
      </c>
      <c r="E127" s="7">
        <v>-1.70710930373443E-3</v>
      </c>
      <c r="F127" s="6">
        <v>0</v>
      </c>
      <c r="G127" s="6">
        <v>0.25749999999999901</v>
      </c>
      <c r="H127" s="6">
        <v>0</v>
      </c>
      <c r="I127" s="6">
        <v>0</v>
      </c>
      <c r="J127" s="6">
        <v>0.25749999999999901</v>
      </c>
      <c r="K127" s="6">
        <v>0</v>
      </c>
      <c r="L127" s="6">
        <v>21.927499999999998</v>
      </c>
      <c r="M127" s="6">
        <v>40.97</v>
      </c>
      <c r="N127" s="8">
        <v>1.89063221042916</v>
      </c>
      <c r="O127" s="8">
        <v>1.8787268979407299</v>
      </c>
      <c r="P127" s="8">
        <v>1.8910685735823101</v>
      </c>
      <c r="Q127" s="8">
        <v>1.8909992001253999</v>
      </c>
      <c r="R127" s="6">
        <v>40.712011878375598</v>
      </c>
      <c r="S127" s="6">
        <v>40.974133349748598</v>
      </c>
      <c r="T127" s="6">
        <v>40.981827951715204</v>
      </c>
      <c r="U127" s="7">
        <v>-6.3169105063333097E-3</v>
      </c>
      <c r="V127" s="7">
        <v>1.00882139653654E-4</v>
      </c>
      <c r="W127" s="7">
        <v>2.8865620433430098E-4</v>
      </c>
      <c r="X127" s="8">
        <v>1.8684300535856799</v>
      </c>
      <c r="Y127" s="8">
        <v>1.8658943630327001</v>
      </c>
      <c r="Z127" s="8">
        <v>1.8715063243383501</v>
      </c>
      <c r="AA127" s="8">
        <v>1.87207604527361</v>
      </c>
      <c r="AB127" s="6">
        <v>40.914398645399601</v>
      </c>
      <c r="AC127" s="6">
        <v>41.040652808327501</v>
      </c>
      <c r="AD127" s="6">
        <v>41.058196559211403</v>
      </c>
      <c r="AE127" s="7">
        <v>-1.35804534357125E-3</v>
      </c>
      <c r="AF127" s="7">
        <v>1.72301581288671E-3</v>
      </c>
      <c r="AG127" s="7">
        <v>2.15039698293024E-3</v>
      </c>
      <c r="AZ127" s="23"/>
      <c r="BB127" s="12">
        <f t="shared" si="26"/>
        <v>0</v>
      </c>
      <c r="BC127" s="12">
        <f t="shared" si="27"/>
        <v>1</v>
      </c>
      <c r="BD127" s="12">
        <f t="shared" si="28"/>
        <v>0</v>
      </c>
      <c r="BE127" s="12">
        <f t="shared" si="24"/>
        <v>1</v>
      </c>
      <c r="BF127" s="12">
        <f t="shared" si="29"/>
        <v>0</v>
      </c>
      <c r="BG127" s="23">
        <f t="shared" si="30"/>
        <v>0</v>
      </c>
      <c r="BH127" s="23">
        <f t="shared" si="31"/>
        <v>0</v>
      </c>
      <c r="BI127" s="23">
        <f t="shared" si="32"/>
        <v>0</v>
      </c>
      <c r="BJ127" s="18">
        <f t="shared" si="33"/>
        <v>1.4079333846715957E-2</v>
      </c>
      <c r="BL127" s="23"/>
      <c r="BN127" s="12">
        <f t="shared" si="34"/>
        <v>1</v>
      </c>
      <c r="BO127" s="12">
        <f t="shared" si="35"/>
        <v>0</v>
      </c>
      <c r="BP127" s="12">
        <f t="shared" si="36"/>
        <v>0</v>
      </c>
      <c r="BQ127" s="12">
        <f t="shared" si="25"/>
        <v>1</v>
      </c>
      <c r="BR127" s="12">
        <f t="shared" si="37"/>
        <v>0</v>
      </c>
      <c r="BS127" s="23">
        <f t="shared" si="38"/>
        <v>0</v>
      </c>
      <c r="BT127" s="23">
        <f t="shared" si="39"/>
        <v>0</v>
      </c>
      <c r="BU127" s="23">
        <f t="shared" si="40"/>
        <v>0</v>
      </c>
      <c r="BV127" s="18">
        <f t="shared" si="41"/>
        <v>1.722936539108471E-2</v>
      </c>
      <c r="BX127" s="18">
        <f t="shared" si="42"/>
        <v>0</v>
      </c>
      <c r="BY127" s="18">
        <f t="shared" si="43"/>
        <v>3.130869923780067E-2</v>
      </c>
    </row>
    <row r="128" spans="1:77" x14ac:dyDescent="0.3">
      <c r="A128" s="1">
        <v>46210</v>
      </c>
      <c r="B128" s="6">
        <v>21.55</v>
      </c>
      <c r="C128" s="6">
        <v>40.75</v>
      </c>
      <c r="D128" s="7">
        <v>-5.5529989985109197E-3</v>
      </c>
      <c r="E128" s="7">
        <v>-5.3842518719079699E-3</v>
      </c>
      <c r="F128" s="6">
        <v>0</v>
      </c>
      <c r="G128" s="6">
        <v>0.25749999999999901</v>
      </c>
      <c r="H128" s="6">
        <v>0</v>
      </c>
      <c r="I128" s="6">
        <v>0</v>
      </c>
      <c r="J128" s="6">
        <v>0.25749999999999901</v>
      </c>
      <c r="K128" s="6">
        <v>0</v>
      </c>
      <c r="L128" s="6">
        <v>21.807500000000001</v>
      </c>
      <c r="M128" s="6">
        <v>40.75</v>
      </c>
      <c r="N128" s="8">
        <v>1.8909512761020799</v>
      </c>
      <c r="O128" s="8">
        <v>1.8787268979407299</v>
      </c>
      <c r="P128" s="8">
        <v>1.89130550598073</v>
      </c>
      <c r="Q128" s="8">
        <v>1.8908595514190101</v>
      </c>
      <c r="R128" s="6">
        <v>40.486564650622697</v>
      </c>
      <c r="S128" s="6">
        <v>40.752527760698797</v>
      </c>
      <c r="T128" s="6">
        <v>40.751032762702401</v>
      </c>
      <c r="U128" s="7">
        <v>-6.4856576329362699E-3</v>
      </c>
      <c r="V128" s="7">
        <v>6.2029013555613499E-5</v>
      </c>
      <c r="W128" s="7">
        <v>2.5343548849302701E-5</v>
      </c>
      <c r="X128" s="8">
        <v>1.86862318009858</v>
      </c>
      <c r="Y128" s="8">
        <v>1.8658943630327001</v>
      </c>
      <c r="Z128" s="8">
        <v>1.8713479342044701</v>
      </c>
      <c r="AA128" s="8">
        <v>1.8717404073359301</v>
      </c>
      <c r="AB128" s="6">
        <v>40.690491321835701</v>
      </c>
      <c r="AC128" s="6">
        <v>40.812874168008697</v>
      </c>
      <c r="AD128" s="6">
        <v>40.825298357304298</v>
      </c>
      <c r="AE128" s="7">
        <v>-1.46140298982646E-3</v>
      </c>
      <c r="AF128" s="7">
        <v>1.54173528346329E-3</v>
      </c>
      <c r="AG128" s="7">
        <v>1.8461073439170999E-3</v>
      </c>
      <c r="AZ128" s="23"/>
      <c r="BB128" s="12">
        <f t="shared" si="26"/>
        <v>0</v>
      </c>
      <c r="BC128" s="12">
        <f t="shared" si="27"/>
        <v>1</v>
      </c>
      <c r="BD128" s="12">
        <f t="shared" si="28"/>
        <v>0</v>
      </c>
      <c r="BE128" s="12">
        <f t="shared" si="24"/>
        <v>1</v>
      </c>
      <c r="BF128" s="12">
        <f t="shared" si="29"/>
        <v>0</v>
      </c>
      <c r="BG128" s="23">
        <f t="shared" si="30"/>
        <v>0</v>
      </c>
      <c r="BH128" s="23">
        <f t="shared" si="31"/>
        <v>0</v>
      </c>
      <c r="BI128" s="23">
        <f t="shared" si="32"/>
        <v>0</v>
      </c>
      <c r="BJ128" s="18">
        <f t="shared" si="33"/>
        <v>1.4079333846715957E-2</v>
      </c>
      <c r="BL128" s="23"/>
      <c r="BN128" s="12">
        <f t="shared" si="34"/>
        <v>0</v>
      </c>
      <c r="BO128" s="12">
        <f t="shared" si="35"/>
        <v>0</v>
      </c>
      <c r="BP128" s="12">
        <f t="shared" si="36"/>
        <v>1</v>
      </c>
      <c r="BQ128" s="12">
        <f t="shared" si="25"/>
        <v>1</v>
      </c>
      <c r="BR128" s="12">
        <f t="shared" si="37"/>
        <v>1</v>
      </c>
      <c r="BS128" s="23">
        <f t="shared" si="38"/>
        <v>5.5529989985109197E-3</v>
      </c>
      <c r="BT128" s="23">
        <f t="shared" si="39"/>
        <v>-5.3842518719079699E-3</v>
      </c>
      <c r="BU128" s="23">
        <f t="shared" si="40"/>
        <v>1.6874712660294982E-4</v>
      </c>
      <c r="BV128" s="18">
        <f t="shared" si="41"/>
        <v>1.739811251768766E-2</v>
      </c>
      <c r="BX128" s="18">
        <f t="shared" si="42"/>
        <v>1.6874712660294982E-4</v>
      </c>
      <c r="BY128" s="18">
        <f t="shared" si="43"/>
        <v>3.1477446364403618E-2</v>
      </c>
    </row>
    <row r="129" spans="1:77" x14ac:dyDescent="0.3">
      <c r="A129" s="1">
        <v>46211</v>
      </c>
      <c r="B129" s="6">
        <v>21.5</v>
      </c>
      <c r="C129" s="6">
        <v>40.659999999999997</v>
      </c>
      <c r="D129" s="7">
        <v>-2.32288141613974E-3</v>
      </c>
      <c r="E129" s="7">
        <v>-2.2110314866712602E-3</v>
      </c>
      <c r="F129" s="6">
        <v>0</v>
      </c>
      <c r="G129" s="6">
        <v>0.25749999999999901</v>
      </c>
      <c r="H129" s="6">
        <v>0</v>
      </c>
      <c r="I129" s="6">
        <v>0</v>
      </c>
      <c r="J129" s="6">
        <v>0.25749999999999901</v>
      </c>
      <c r="K129" s="6">
        <v>0</v>
      </c>
      <c r="L129" s="6">
        <v>21.7575</v>
      </c>
      <c r="M129" s="6">
        <v>40.659999999999997</v>
      </c>
      <c r="N129" s="8">
        <v>1.89116279069767</v>
      </c>
      <c r="O129" s="8">
        <v>1.8787268979407299</v>
      </c>
      <c r="P129" s="8">
        <v>1.8916354444875101</v>
      </c>
      <c r="Q129" s="8">
        <v>1.89076331307371</v>
      </c>
      <c r="R129" s="6">
        <v>40.392628305725701</v>
      </c>
      <c r="S129" s="6">
        <v>40.663068378585798</v>
      </c>
      <c r="T129" s="6">
        <v>40.653480355508698</v>
      </c>
      <c r="U129" s="7">
        <v>-6.5975075624047303E-3</v>
      </c>
      <c r="V129" s="7">
        <v>7.5461456347825307E-5</v>
      </c>
      <c r="W129" s="7">
        <v>-1.6035826966803401E-4</v>
      </c>
      <c r="X129" s="8">
        <v>1.86878088015626</v>
      </c>
      <c r="Y129" s="8">
        <v>1.8658943630327001</v>
      </c>
      <c r="Z129" s="8">
        <v>1.87128066637959</v>
      </c>
      <c r="AA129" s="8">
        <v>1.8714468493741701</v>
      </c>
      <c r="AB129" s="6">
        <v>40.597196603683997</v>
      </c>
      <c r="AC129" s="6">
        <v>40.7158526784537</v>
      </c>
      <c r="AD129" s="6">
        <v>40.724391912611502</v>
      </c>
      <c r="AE129" s="7">
        <v>-1.5457931468601501E-3</v>
      </c>
      <c r="AF129" s="7">
        <v>1.37270911175276E-3</v>
      </c>
      <c r="AG129" s="7">
        <v>1.5824146260699399E-3</v>
      </c>
      <c r="AZ129" s="23"/>
      <c r="BB129" s="12">
        <f t="shared" si="26"/>
        <v>0</v>
      </c>
      <c r="BC129" s="12">
        <f t="shared" si="27"/>
        <v>1</v>
      </c>
      <c r="BD129" s="12">
        <f t="shared" si="28"/>
        <v>0</v>
      </c>
      <c r="BE129" s="12">
        <f t="shared" si="24"/>
        <v>1</v>
      </c>
      <c r="BF129" s="12">
        <f t="shared" si="29"/>
        <v>0</v>
      </c>
      <c r="BG129" s="23">
        <f t="shared" si="30"/>
        <v>0</v>
      </c>
      <c r="BH129" s="23">
        <f t="shared" si="31"/>
        <v>0</v>
      </c>
      <c r="BI129" s="23">
        <f t="shared" si="32"/>
        <v>0</v>
      </c>
      <c r="BJ129" s="18">
        <f t="shared" si="33"/>
        <v>1.4079333846715957E-2</v>
      </c>
      <c r="BL129" s="23"/>
      <c r="BN129" s="12">
        <f t="shared" si="34"/>
        <v>0</v>
      </c>
      <c r="BO129" s="12">
        <f t="shared" si="35"/>
        <v>0</v>
      </c>
      <c r="BP129" s="12">
        <f t="shared" si="36"/>
        <v>1</v>
      </c>
      <c r="BQ129" s="12">
        <f t="shared" si="25"/>
        <v>1</v>
      </c>
      <c r="BR129" s="12">
        <f t="shared" si="37"/>
        <v>1</v>
      </c>
      <c r="BS129" s="23">
        <f t="shared" si="38"/>
        <v>2.32288141613974E-3</v>
      </c>
      <c r="BT129" s="23">
        <f t="shared" si="39"/>
        <v>-2.2110314866712602E-3</v>
      </c>
      <c r="BU129" s="23">
        <f t="shared" si="40"/>
        <v>1.1184992946847985E-4</v>
      </c>
      <c r="BV129" s="18">
        <f t="shared" si="41"/>
        <v>1.7509962447156139E-2</v>
      </c>
      <c r="BX129" s="18">
        <f t="shared" si="42"/>
        <v>1.1184992946847985E-4</v>
      </c>
      <c r="BY129" s="18">
        <f t="shared" si="43"/>
        <v>3.1589296293872096E-2</v>
      </c>
    </row>
    <row r="130" spans="1:77" x14ac:dyDescent="0.3">
      <c r="A130" s="1">
        <v>46212</v>
      </c>
      <c r="B130" s="6">
        <v>21.52</v>
      </c>
      <c r="C130" s="6">
        <v>40.75</v>
      </c>
      <c r="D130" s="7">
        <v>9.2980015996652705E-4</v>
      </c>
      <c r="E130" s="7">
        <v>2.2110314866712099E-3</v>
      </c>
      <c r="F130" s="6">
        <v>0</v>
      </c>
      <c r="G130" s="6">
        <v>0.25749999999999901</v>
      </c>
      <c r="H130" s="6">
        <v>0</v>
      </c>
      <c r="I130" s="6">
        <v>0</v>
      </c>
      <c r="J130" s="6">
        <v>0.25749999999999901</v>
      </c>
      <c r="K130" s="6">
        <v>0</v>
      </c>
      <c r="L130" s="6">
        <v>21.7775</v>
      </c>
      <c r="M130" s="6">
        <v>40.75</v>
      </c>
      <c r="N130" s="8">
        <v>1.8935873605947899</v>
      </c>
      <c r="O130" s="8">
        <v>1.8787268979407299</v>
      </c>
      <c r="P130" s="8">
        <v>1.89184367269842</v>
      </c>
      <c r="Q130" s="8">
        <v>1.8909752798178601</v>
      </c>
      <c r="R130" s="6">
        <v>40.430202843684498</v>
      </c>
      <c r="S130" s="6">
        <v>40.707994765371197</v>
      </c>
      <c r="T130" s="6">
        <v>40.689226497346198</v>
      </c>
      <c r="U130" s="7">
        <v>-7.8787388891093796E-3</v>
      </c>
      <c r="V130" s="7">
        <v>-1.0313349468759399E-3</v>
      </c>
      <c r="W130" s="7">
        <v>-1.49248750384229E-3</v>
      </c>
      <c r="X130" s="8">
        <v>1.87119733670072</v>
      </c>
      <c r="Y130" s="8">
        <v>1.8658943630327001</v>
      </c>
      <c r="Z130" s="8">
        <v>1.8710952714459701</v>
      </c>
      <c r="AA130" s="8">
        <v>1.87145592369872</v>
      </c>
      <c r="AB130" s="6">
        <v>40.634514490944703</v>
      </c>
      <c r="AC130" s="6">
        <v>40.751814712081597</v>
      </c>
      <c r="AD130" s="6">
        <v>40.755433762246</v>
      </c>
      <c r="AE130" s="7">
        <v>-2.8380236041530399E-3</v>
      </c>
      <c r="AF130" s="7">
        <v>4.4531820263926102E-5</v>
      </c>
      <c r="AG130" s="7">
        <v>1.3333496929659799E-4</v>
      </c>
      <c r="AZ130" s="23"/>
      <c r="BB130" s="12">
        <f t="shared" si="26"/>
        <v>0</v>
      </c>
      <c r="BC130" s="12">
        <f t="shared" si="27"/>
        <v>1</v>
      </c>
      <c r="BD130" s="12">
        <f t="shared" si="28"/>
        <v>0</v>
      </c>
      <c r="BE130" s="12">
        <f t="shared" si="24"/>
        <v>1</v>
      </c>
      <c r="BF130" s="12">
        <f t="shared" si="29"/>
        <v>0</v>
      </c>
      <c r="BG130" s="23">
        <f t="shared" si="30"/>
        <v>0</v>
      </c>
      <c r="BH130" s="23">
        <f t="shared" si="31"/>
        <v>0</v>
      </c>
      <c r="BI130" s="23">
        <f t="shared" si="32"/>
        <v>0</v>
      </c>
      <c r="BJ130" s="18">
        <f t="shared" si="33"/>
        <v>1.4079333846715957E-2</v>
      </c>
      <c r="BL130" s="23"/>
      <c r="BN130" s="12">
        <f t="shared" si="34"/>
        <v>0</v>
      </c>
      <c r="BO130" s="12">
        <f t="shared" si="35"/>
        <v>0</v>
      </c>
      <c r="BP130" s="12">
        <f t="shared" si="36"/>
        <v>1</v>
      </c>
      <c r="BQ130" s="12">
        <f t="shared" si="25"/>
        <v>1</v>
      </c>
      <c r="BR130" s="12">
        <f t="shared" si="37"/>
        <v>1</v>
      </c>
      <c r="BS130" s="23">
        <f t="shared" si="38"/>
        <v>-9.2980015996652705E-4</v>
      </c>
      <c r="BT130" s="23">
        <f t="shared" si="39"/>
        <v>2.2110314866712099E-3</v>
      </c>
      <c r="BU130" s="23">
        <f t="shared" si="40"/>
        <v>1.2812313267046827E-3</v>
      </c>
      <c r="BV130" s="18">
        <f t="shared" si="41"/>
        <v>1.879119377386082E-2</v>
      </c>
      <c r="BX130" s="18">
        <f t="shared" si="42"/>
        <v>1.2812313267046827E-3</v>
      </c>
      <c r="BY130" s="18">
        <f t="shared" si="43"/>
        <v>3.2870527620576781E-2</v>
      </c>
    </row>
    <row r="131" spans="1:77" x14ac:dyDescent="0.3">
      <c r="A131" s="1">
        <v>46213</v>
      </c>
      <c r="B131" s="6">
        <v>21.59</v>
      </c>
      <c r="C131" s="6">
        <v>40.840000000000003</v>
      </c>
      <c r="D131" s="7">
        <v>3.2475092331322301E-3</v>
      </c>
      <c r="E131" s="7">
        <v>2.2061536095932099E-3</v>
      </c>
      <c r="F131" s="6">
        <v>0</v>
      </c>
      <c r="G131" s="6">
        <v>0.25749999999999901</v>
      </c>
      <c r="H131" s="6">
        <v>0</v>
      </c>
      <c r="I131" s="6">
        <v>0</v>
      </c>
      <c r="J131" s="6">
        <v>0.25749999999999901</v>
      </c>
      <c r="K131" s="6">
        <v>0</v>
      </c>
      <c r="L131" s="6">
        <v>21.8475</v>
      </c>
      <c r="M131" s="6">
        <v>40.840000000000003</v>
      </c>
      <c r="N131" s="8">
        <v>1.89161648911533</v>
      </c>
      <c r="O131" s="8">
        <v>1.8787268979407299</v>
      </c>
      <c r="P131" s="8">
        <v>1.8918909304660401</v>
      </c>
      <c r="Q131" s="8">
        <v>1.8909888851207699</v>
      </c>
      <c r="R131" s="6">
        <v>40.561713726540397</v>
      </c>
      <c r="S131" s="6">
        <v>40.844904893558898</v>
      </c>
      <c r="T131" s="6">
        <v>40.826156291267701</v>
      </c>
      <c r="U131" s="7">
        <v>-6.83738326557028E-3</v>
      </c>
      <c r="V131" s="7">
        <v>1.2009302260256599E-4</v>
      </c>
      <c r="W131" s="7">
        <v>-3.39031723630922E-4</v>
      </c>
      <c r="X131" s="8">
        <v>1.86932143265819</v>
      </c>
      <c r="Y131" s="8">
        <v>1.8658943630327001</v>
      </c>
      <c r="Z131" s="8">
        <v>1.87075636498905</v>
      </c>
      <c r="AA131" s="8">
        <v>1.8712748635600001</v>
      </c>
      <c r="AB131" s="6">
        <v>40.765127096356998</v>
      </c>
      <c r="AC131" s="6">
        <v>40.878753942915999</v>
      </c>
      <c r="AD131" s="6">
        <v>40.886633293007897</v>
      </c>
      <c r="AE131" s="7">
        <v>-1.8350054050939599E-3</v>
      </c>
      <c r="AF131" s="7">
        <v>9.4847128599906405E-4</v>
      </c>
      <c r="AG131" s="7">
        <v>1.14120198495928E-3</v>
      </c>
      <c r="AZ131" s="23"/>
      <c r="BB131" s="12">
        <f t="shared" si="26"/>
        <v>0</v>
      </c>
      <c r="BC131" s="12">
        <f t="shared" si="27"/>
        <v>1</v>
      </c>
      <c r="BD131" s="12">
        <f t="shared" si="28"/>
        <v>0</v>
      </c>
      <c r="BE131" s="12">
        <f t="shared" si="24"/>
        <v>1</v>
      </c>
      <c r="BF131" s="12">
        <f t="shared" si="29"/>
        <v>0</v>
      </c>
      <c r="BG131" s="23">
        <f t="shared" si="30"/>
        <v>0</v>
      </c>
      <c r="BH131" s="23">
        <f t="shared" si="31"/>
        <v>0</v>
      </c>
      <c r="BI131" s="23">
        <f t="shared" si="32"/>
        <v>0</v>
      </c>
      <c r="BJ131" s="18">
        <f t="shared" si="33"/>
        <v>1.4079333846715957E-2</v>
      </c>
      <c r="BL131" s="23"/>
      <c r="BN131" s="12">
        <f t="shared" si="34"/>
        <v>0</v>
      </c>
      <c r="BO131" s="12">
        <f t="shared" si="35"/>
        <v>0</v>
      </c>
      <c r="BP131" s="12">
        <f t="shared" si="36"/>
        <v>1</v>
      </c>
      <c r="BQ131" s="12">
        <f t="shared" si="25"/>
        <v>1</v>
      </c>
      <c r="BR131" s="12">
        <f t="shared" si="37"/>
        <v>1</v>
      </c>
      <c r="BS131" s="23">
        <f t="shared" si="38"/>
        <v>-3.2475092331322301E-3</v>
      </c>
      <c r="BT131" s="23">
        <f t="shared" si="39"/>
        <v>2.2061536095932099E-3</v>
      </c>
      <c r="BU131" s="23">
        <f t="shared" si="40"/>
        <v>-1.0413556235390202E-3</v>
      </c>
      <c r="BV131" s="18">
        <f t="shared" si="41"/>
        <v>1.7749838150321801E-2</v>
      </c>
      <c r="BX131" s="18">
        <f t="shared" si="42"/>
        <v>-1.0413556235390202E-3</v>
      </c>
      <c r="BY131" s="18">
        <f t="shared" si="43"/>
        <v>3.1829171997037761E-2</v>
      </c>
    </row>
    <row r="132" spans="1:77" x14ac:dyDescent="0.3">
      <c r="A132" s="1">
        <v>46216</v>
      </c>
      <c r="B132" s="6">
        <v>21.45</v>
      </c>
      <c r="C132" s="6">
        <v>40.58</v>
      </c>
      <c r="D132" s="7">
        <v>-6.5055991526900298E-3</v>
      </c>
      <c r="E132" s="7">
        <v>-6.3866588987961902E-3</v>
      </c>
      <c r="F132" s="6">
        <v>0</v>
      </c>
      <c r="G132" s="6">
        <v>0.25749999999999901</v>
      </c>
      <c r="H132" s="6">
        <v>0</v>
      </c>
      <c r="I132" s="6">
        <v>0</v>
      </c>
      <c r="J132" s="6">
        <v>0.25749999999999901</v>
      </c>
      <c r="K132" s="6">
        <v>0</v>
      </c>
      <c r="L132" s="6">
        <v>21.7075</v>
      </c>
      <c r="M132" s="6">
        <v>40.58</v>
      </c>
      <c r="N132" s="8">
        <v>1.8918414918414901</v>
      </c>
      <c r="O132" s="8">
        <v>1.8787268979407299</v>
      </c>
      <c r="P132" s="8">
        <v>1.8922117570546999</v>
      </c>
      <c r="Q132" s="8">
        <v>1.89100484303099</v>
      </c>
      <c r="R132" s="6">
        <v>40.298691960828599</v>
      </c>
      <c r="S132" s="6">
        <v>40.581060458496601</v>
      </c>
      <c r="T132" s="6">
        <v>40.561711585840698</v>
      </c>
      <c r="U132" s="7">
        <v>-6.9563235194641301E-3</v>
      </c>
      <c r="V132" s="7">
        <v>2.61321991290378E-5</v>
      </c>
      <c r="W132" s="7">
        <v>-4.5077714313741303E-4</v>
      </c>
      <c r="X132" s="8">
        <v>1.86939997696648</v>
      </c>
      <c r="Y132" s="8">
        <v>1.8658943630327001</v>
      </c>
      <c r="Z132" s="8">
        <v>1.87066973964642</v>
      </c>
      <c r="AA132" s="8">
        <v>1.8710797816532201</v>
      </c>
      <c r="AB132" s="6">
        <v>40.5039018855324</v>
      </c>
      <c r="AC132" s="6">
        <v>40.609443792999798</v>
      </c>
      <c r="AD132" s="6">
        <v>40.6206991007287</v>
      </c>
      <c r="AE132" s="7">
        <v>-1.87702207319682E-3</v>
      </c>
      <c r="AF132" s="7">
        <v>7.2531090040906497E-4</v>
      </c>
      <c r="AG132" s="7">
        <v>1.00243235803645E-3</v>
      </c>
      <c r="AZ132" s="23"/>
      <c r="BB132" s="12">
        <f t="shared" si="26"/>
        <v>0</v>
      </c>
      <c r="BC132" s="12">
        <f t="shared" si="27"/>
        <v>1</v>
      </c>
      <c r="BD132" s="12">
        <f t="shared" si="28"/>
        <v>0</v>
      </c>
      <c r="BE132" s="12">
        <f t="shared" si="24"/>
        <v>1</v>
      </c>
      <c r="BF132" s="12">
        <f t="shared" si="29"/>
        <v>0</v>
      </c>
      <c r="BG132" s="23">
        <f t="shared" si="30"/>
        <v>0</v>
      </c>
      <c r="BH132" s="23">
        <f t="shared" si="31"/>
        <v>0</v>
      </c>
      <c r="BI132" s="23">
        <f t="shared" si="32"/>
        <v>0</v>
      </c>
      <c r="BJ132" s="18">
        <f t="shared" si="33"/>
        <v>1.4079333846715957E-2</v>
      </c>
      <c r="BL132" s="23"/>
      <c r="BN132" s="12">
        <f t="shared" si="34"/>
        <v>0</v>
      </c>
      <c r="BO132" s="12">
        <f t="shared" si="35"/>
        <v>0</v>
      </c>
      <c r="BP132" s="12">
        <f t="shared" si="36"/>
        <v>1</v>
      </c>
      <c r="BQ132" s="12">
        <f t="shared" si="25"/>
        <v>1</v>
      </c>
      <c r="BR132" s="12">
        <f t="shared" si="37"/>
        <v>1</v>
      </c>
      <c r="BS132" s="23">
        <f t="shared" si="38"/>
        <v>6.5055991526900298E-3</v>
      </c>
      <c r="BT132" s="23">
        <f t="shared" si="39"/>
        <v>-6.3866588987961902E-3</v>
      </c>
      <c r="BU132" s="23">
        <f t="shared" si="40"/>
        <v>1.1894025389383965E-4</v>
      </c>
      <c r="BV132" s="18">
        <f t="shared" si="41"/>
        <v>1.7868778404215642E-2</v>
      </c>
      <c r="BX132" s="18">
        <f t="shared" si="42"/>
        <v>1.1894025389383965E-4</v>
      </c>
      <c r="BY132" s="18">
        <f t="shared" si="43"/>
        <v>3.1948112250931603E-2</v>
      </c>
    </row>
    <row r="133" spans="1:77" x14ac:dyDescent="0.3">
      <c r="A133" s="1">
        <v>46217</v>
      </c>
      <c r="B133" s="6">
        <v>21.59</v>
      </c>
      <c r="C133" s="6">
        <v>40.799999999999997</v>
      </c>
      <c r="D133" s="7">
        <v>6.5055991526899604E-3</v>
      </c>
      <c r="E133" s="7">
        <v>5.4067470124472498E-3</v>
      </c>
      <c r="F133" s="6">
        <v>0</v>
      </c>
      <c r="G133" s="6">
        <v>0.25749999999999901</v>
      </c>
      <c r="H133" s="6">
        <v>0</v>
      </c>
      <c r="I133" s="6">
        <v>0</v>
      </c>
      <c r="J133" s="6">
        <v>0.25749999999999901</v>
      </c>
      <c r="K133" s="6">
        <v>0</v>
      </c>
      <c r="L133" s="6">
        <v>21.8475</v>
      </c>
      <c r="M133" s="6">
        <v>40.799999999999997</v>
      </c>
      <c r="N133" s="8">
        <v>1.8897637795275499</v>
      </c>
      <c r="O133" s="8">
        <v>1.8787268979407299</v>
      </c>
      <c r="P133" s="8">
        <v>1.8919467556971099</v>
      </c>
      <c r="Q133" s="8">
        <v>1.89093970475121</v>
      </c>
      <c r="R133" s="6">
        <v>40.561713726540397</v>
      </c>
      <c r="S133" s="6">
        <v>40.852851834810998</v>
      </c>
      <c r="T133" s="6">
        <v>40.826794561039101</v>
      </c>
      <c r="U133" s="7">
        <v>-5.8574713792212798E-3</v>
      </c>
      <c r="V133" s="7">
        <v>1.2945498168022199E-3</v>
      </c>
      <c r="W133" s="7">
        <v>6.5651388482542903E-4</v>
      </c>
      <c r="X133" s="8">
        <v>1.86749055956059</v>
      </c>
      <c r="Y133" s="8">
        <v>1.8658943630327001</v>
      </c>
      <c r="Z133" s="8">
        <v>1.8700161166001401</v>
      </c>
      <c r="AA133" s="8">
        <v>1.87081179877513</v>
      </c>
      <c r="AB133" s="6">
        <v>40.765127096356998</v>
      </c>
      <c r="AC133" s="6">
        <v>40.869457136925199</v>
      </c>
      <c r="AD133" s="6">
        <v>40.878415529668899</v>
      </c>
      <c r="AE133" s="7">
        <v>-8.5509351874508098E-4</v>
      </c>
      <c r="AF133" s="7">
        <v>1.7009333992457499E-3</v>
      </c>
      <c r="AG133" s="7">
        <v>1.9201046752017801E-3</v>
      </c>
      <c r="AZ133" s="23"/>
      <c r="BB133" s="12">
        <f t="shared" si="26"/>
        <v>0</v>
      </c>
      <c r="BC133" s="12">
        <f t="shared" si="27"/>
        <v>1</v>
      </c>
      <c r="BD133" s="12">
        <f t="shared" si="28"/>
        <v>0</v>
      </c>
      <c r="BE133" s="12">
        <f t="shared" si="24"/>
        <v>1</v>
      </c>
      <c r="BF133" s="12">
        <f t="shared" si="29"/>
        <v>0</v>
      </c>
      <c r="BG133" s="23">
        <f t="shared" si="30"/>
        <v>0</v>
      </c>
      <c r="BH133" s="23">
        <f t="shared" si="31"/>
        <v>0</v>
      </c>
      <c r="BI133" s="23">
        <f t="shared" si="32"/>
        <v>0</v>
      </c>
      <c r="BJ133" s="18">
        <f t="shared" si="33"/>
        <v>1.4079333846715957E-2</v>
      </c>
      <c r="BL133" s="23"/>
      <c r="BN133" s="12">
        <f t="shared" si="34"/>
        <v>0</v>
      </c>
      <c r="BO133" s="12">
        <f t="shared" si="35"/>
        <v>0</v>
      </c>
      <c r="BP133" s="12">
        <f t="shared" si="36"/>
        <v>1</v>
      </c>
      <c r="BQ133" s="12">
        <f t="shared" si="25"/>
        <v>1</v>
      </c>
      <c r="BR133" s="12">
        <f t="shared" si="37"/>
        <v>1</v>
      </c>
      <c r="BS133" s="23">
        <f t="shared" si="38"/>
        <v>-6.5055991526899604E-3</v>
      </c>
      <c r="BT133" s="23">
        <f t="shared" si="39"/>
        <v>5.4067470124472498E-3</v>
      </c>
      <c r="BU133" s="23">
        <f t="shared" si="40"/>
        <v>-1.0988521402427107E-3</v>
      </c>
      <c r="BV133" s="18">
        <f t="shared" si="41"/>
        <v>1.6769926263972931E-2</v>
      </c>
      <c r="BX133" s="18">
        <f t="shared" si="42"/>
        <v>-1.0988521402427107E-3</v>
      </c>
      <c r="BY133" s="18">
        <f t="shared" si="43"/>
        <v>3.0849260110688892E-2</v>
      </c>
    </row>
    <row r="134" spans="1:77" x14ac:dyDescent="0.3">
      <c r="A134" s="1">
        <v>46218</v>
      </c>
      <c r="B134" s="6">
        <v>21.66</v>
      </c>
      <c r="C134" s="6">
        <v>41</v>
      </c>
      <c r="D134" s="7">
        <v>3.2369970461284701E-3</v>
      </c>
      <c r="E134" s="7">
        <v>4.8899852941917702E-3</v>
      </c>
      <c r="F134" s="6">
        <v>0</v>
      </c>
      <c r="G134" s="6">
        <v>0.25749999999999901</v>
      </c>
      <c r="H134" s="6">
        <v>0</v>
      </c>
      <c r="I134" s="6">
        <v>0</v>
      </c>
      <c r="J134" s="6">
        <v>0.25749999999999901</v>
      </c>
      <c r="K134" s="6">
        <v>0</v>
      </c>
      <c r="L134" s="6">
        <v>21.9175</v>
      </c>
      <c r="M134" s="6">
        <v>41</v>
      </c>
      <c r="N134" s="8">
        <v>1.8928901200369299</v>
      </c>
      <c r="O134" s="8">
        <v>1.8787268979407299</v>
      </c>
      <c r="P134" s="8">
        <v>1.8919830001731299</v>
      </c>
      <c r="Q134" s="8">
        <v>1.8910842107530601</v>
      </c>
      <c r="R134" s="6">
        <v>40.693224609396196</v>
      </c>
      <c r="S134" s="6">
        <v>40.979566728399497</v>
      </c>
      <c r="T134" s="6">
        <v>40.957754004911301</v>
      </c>
      <c r="U134" s="7">
        <v>-7.5104596272846103E-3</v>
      </c>
      <c r="V134" s="7">
        <v>-4.9849670690081996E-4</v>
      </c>
      <c r="W134" s="7">
        <v>-1.03092134095488E-3</v>
      </c>
      <c r="X134" s="8">
        <v>1.87065130603399</v>
      </c>
      <c r="Y134" s="8">
        <v>1.8658943630327001</v>
      </c>
      <c r="Z134" s="8">
        <v>1.8696731698834299</v>
      </c>
      <c r="AA134" s="8">
        <v>1.8707522079908701</v>
      </c>
      <c r="AB134" s="6">
        <v>40.895739701769301</v>
      </c>
      <c r="AC134" s="6">
        <v>40.986078235583598</v>
      </c>
      <c r="AD134" s="6">
        <v>41.003517599654003</v>
      </c>
      <c r="AE134" s="7">
        <v>-2.5461728518956601E-3</v>
      </c>
      <c r="AF134" s="7">
        <v>-3.3961289159763799E-4</v>
      </c>
      <c r="AG134" s="7">
        <v>8.5791433323550997E-5</v>
      </c>
      <c r="AZ134" s="23"/>
      <c r="BB134" s="12">
        <f t="shared" si="26"/>
        <v>0</v>
      </c>
      <c r="BC134" s="12">
        <f t="shared" si="27"/>
        <v>1</v>
      </c>
      <c r="BD134" s="12">
        <f t="shared" si="28"/>
        <v>0</v>
      </c>
      <c r="BE134" s="12">
        <f t="shared" si="24"/>
        <v>1</v>
      </c>
      <c r="BF134" s="12">
        <f t="shared" si="29"/>
        <v>0</v>
      </c>
      <c r="BG134" s="23">
        <f t="shared" si="30"/>
        <v>0</v>
      </c>
      <c r="BH134" s="23">
        <f t="shared" si="31"/>
        <v>0</v>
      </c>
      <c r="BI134" s="23">
        <f t="shared" si="32"/>
        <v>0</v>
      </c>
      <c r="BJ134" s="18">
        <f t="shared" si="33"/>
        <v>1.4079333846715957E-2</v>
      </c>
      <c r="BL134" s="23"/>
      <c r="BN134" s="12">
        <f t="shared" si="34"/>
        <v>0</v>
      </c>
      <c r="BO134" s="12">
        <f t="shared" si="35"/>
        <v>0</v>
      </c>
      <c r="BP134" s="12">
        <f t="shared" si="36"/>
        <v>1</v>
      </c>
      <c r="BQ134" s="12">
        <f t="shared" si="25"/>
        <v>1</v>
      </c>
      <c r="BR134" s="12">
        <f t="shared" si="37"/>
        <v>1</v>
      </c>
      <c r="BS134" s="23">
        <f t="shared" si="38"/>
        <v>-3.2369970461284701E-3</v>
      </c>
      <c r="BT134" s="23">
        <f t="shared" si="39"/>
        <v>4.8899852941917702E-3</v>
      </c>
      <c r="BU134" s="23">
        <f t="shared" si="40"/>
        <v>1.6529882480633001E-3</v>
      </c>
      <c r="BV134" s="18">
        <f t="shared" si="41"/>
        <v>1.8422914512036231E-2</v>
      </c>
      <c r="BX134" s="18">
        <f t="shared" si="42"/>
        <v>1.6529882480633001E-3</v>
      </c>
      <c r="BY134" s="18">
        <f t="shared" si="43"/>
        <v>3.2502248358752192E-2</v>
      </c>
    </row>
    <row r="135" spans="1:77" x14ac:dyDescent="0.3">
      <c r="A135" s="1">
        <v>46219</v>
      </c>
      <c r="B135" s="6">
        <v>21.59</v>
      </c>
      <c r="C135" s="6">
        <v>40.85</v>
      </c>
      <c r="D135" s="7">
        <v>-3.23699704612853E-3</v>
      </c>
      <c r="E135" s="7">
        <v>-3.6652453982959098E-3</v>
      </c>
      <c r="F135" s="6">
        <v>0</v>
      </c>
      <c r="G135" s="6">
        <v>0.25749999999999901</v>
      </c>
      <c r="H135" s="6">
        <v>0</v>
      </c>
      <c r="I135" s="6">
        <v>0</v>
      </c>
      <c r="J135" s="6">
        <v>0.25749999999999901</v>
      </c>
      <c r="K135" s="6">
        <v>0</v>
      </c>
      <c r="L135" s="6">
        <v>21.8475</v>
      </c>
      <c r="M135" s="6">
        <v>40.85</v>
      </c>
      <c r="N135" s="8">
        <v>1.8920796665122701</v>
      </c>
      <c r="O135" s="8">
        <v>1.8787268979407299</v>
      </c>
      <c r="P135" s="8">
        <v>1.8917514114746601</v>
      </c>
      <c r="Q135" s="8">
        <v>1.89112790396081</v>
      </c>
      <c r="R135" s="6">
        <v>40.561713726540397</v>
      </c>
      <c r="S135" s="6">
        <v>40.847912973737898</v>
      </c>
      <c r="T135" s="6">
        <v>40.828508110158602</v>
      </c>
      <c r="U135" s="7">
        <v>-7.0822112751172898E-3</v>
      </c>
      <c r="V135" s="7">
        <v>-5.1091299313673899E-5</v>
      </c>
      <c r="W135" s="7">
        <v>-5.2625570262237998E-4</v>
      </c>
      <c r="X135" s="8">
        <v>1.8697791509326001</v>
      </c>
      <c r="Y135" s="8">
        <v>1.8658943630327001</v>
      </c>
      <c r="Z135" s="8">
        <v>1.86944431074623</v>
      </c>
      <c r="AA135" s="8">
        <v>1.8705868514229</v>
      </c>
      <c r="AB135" s="6">
        <v>40.765127096356998</v>
      </c>
      <c r="AC135" s="6">
        <v>40.847684579028297</v>
      </c>
      <c r="AD135" s="6">
        <v>40.871258864080502</v>
      </c>
      <c r="AE135" s="7">
        <v>-2.07983341464101E-3</v>
      </c>
      <c r="AF135" s="7">
        <v>-5.6682658368207401E-5</v>
      </c>
      <c r="AG135" s="7">
        <v>5.2027746159519705E-4</v>
      </c>
      <c r="AZ135" s="23"/>
      <c r="BB135" s="12">
        <f t="shared" si="26"/>
        <v>0</v>
      </c>
      <c r="BC135" s="12">
        <f t="shared" si="27"/>
        <v>1</v>
      </c>
      <c r="BD135" s="12">
        <f t="shared" si="28"/>
        <v>0</v>
      </c>
      <c r="BE135" s="12">
        <f t="shared" si="24"/>
        <v>1</v>
      </c>
      <c r="BF135" s="12">
        <f t="shared" si="29"/>
        <v>0</v>
      </c>
      <c r="BG135" s="23">
        <f t="shared" si="30"/>
        <v>0</v>
      </c>
      <c r="BH135" s="23">
        <f t="shared" si="31"/>
        <v>0</v>
      </c>
      <c r="BI135" s="23">
        <f t="shared" si="32"/>
        <v>0</v>
      </c>
      <c r="BJ135" s="18">
        <f t="shared" si="33"/>
        <v>1.4079333846715957E-2</v>
      </c>
      <c r="BL135" s="23"/>
      <c r="BN135" s="12">
        <f t="shared" si="34"/>
        <v>0</v>
      </c>
      <c r="BO135" s="12">
        <f t="shared" si="35"/>
        <v>0</v>
      </c>
      <c r="BP135" s="12">
        <f t="shared" si="36"/>
        <v>1</v>
      </c>
      <c r="BQ135" s="12">
        <f t="shared" si="25"/>
        <v>1</v>
      </c>
      <c r="BR135" s="12">
        <f t="shared" si="37"/>
        <v>1</v>
      </c>
      <c r="BS135" s="23">
        <f t="shared" si="38"/>
        <v>3.23699704612853E-3</v>
      </c>
      <c r="BT135" s="23">
        <f t="shared" si="39"/>
        <v>-3.6652453982959098E-3</v>
      </c>
      <c r="BU135" s="23">
        <f t="shared" si="40"/>
        <v>-4.2824835216737989E-4</v>
      </c>
      <c r="BV135" s="18">
        <f t="shared" si="41"/>
        <v>1.799466615986885E-2</v>
      </c>
      <c r="BX135" s="18">
        <f t="shared" si="42"/>
        <v>-4.2824835216737989E-4</v>
      </c>
      <c r="BY135" s="18">
        <f t="shared" si="43"/>
        <v>3.2074000006584814E-2</v>
      </c>
    </row>
    <row r="136" spans="1:77" x14ac:dyDescent="0.3">
      <c r="A136" s="1">
        <v>46220</v>
      </c>
      <c r="B136" s="6">
        <v>21.56</v>
      </c>
      <c r="C136" s="6">
        <v>40.770000000000003</v>
      </c>
      <c r="D136" s="7">
        <v>-1.39049848591964E-3</v>
      </c>
      <c r="E136" s="7">
        <v>-1.9603044748497901E-3</v>
      </c>
      <c r="F136" s="6">
        <v>0</v>
      </c>
      <c r="G136" s="6">
        <v>0.25749999999999901</v>
      </c>
      <c r="H136" s="6">
        <v>0</v>
      </c>
      <c r="I136" s="6">
        <v>0</v>
      </c>
      <c r="J136" s="6">
        <v>0.25749999999999901</v>
      </c>
      <c r="K136" s="6">
        <v>0</v>
      </c>
      <c r="L136" s="6">
        <v>21.817499999999999</v>
      </c>
      <c r="M136" s="6">
        <v>40.770000000000003</v>
      </c>
      <c r="N136" s="8">
        <v>1.89100185528756</v>
      </c>
      <c r="O136" s="8">
        <v>1.8787268979407299</v>
      </c>
      <c r="P136" s="8">
        <v>1.8915527040144799</v>
      </c>
      <c r="Q136" s="8">
        <v>1.89118782754367</v>
      </c>
      <c r="R136" s="6">
        <v>40.505351919602099</v>
      </c>
      <c r="S136" s="6">
        <v>40.786160431393597</v>
      </c>
      <c r="T136" s="6">
        <v>40.772717609395201</v>
      </c>
      <c r="U136" s="7">
        <v>-6.5124052861872204E-3</v>
      </c>
      <c r="V136" s="7">
        <v>3.9630192298691303E-4</v>
      </c>
      <c r="W136" s="7">
        <v>6.6654864491358601E-5</v>
      </c>
      <c r="X136" s="8">
        <v>1.86868339635613</v>
      </c>
      <c r="Y136" s="8">
        <v>1.8658943630327001</v>
      </c>
      <c r="Z136" s="8">
        <v>1.86923572730492</v>
      </c>
      <c r="AA136" s="8">
        <v>1.8704439452469801</v>
      </c>
      <c r="AB136" s="6">
        <v>40.709150265466</v>
      </c>
      <c r="AC136" s="6">
        <v>40.786601249706003</v>
      </c>
      <c r="AD136" s="6">
        <v>40.811528630919199</v>
      </c>
      <c r="AE136" s="7">
        <v>-1.49362740402425E-3</v>
      </c>
      <c r="AF136" s="7">
        <v>4.0710990112148999E-4</v>
      </c>
      <c r="AG136" s="7">
        <v>1.0180891484437599E-3</v>
      </c>
      <c r="AZ136" s="23"/>
      <c r="BB136" s="12">
        <f t="shared" si="26"/>
        <v>0</v>
      </c>
      <c r="BC136" s="12">
        <f t="shared" si="27"/>
        <v>1</v>
      </c>
      <c r="BD136" s="12">
        <f t="shared" si="28"/>
        <v>0</v>
      </c>
      <c r="BE136" s="12">
        <f t="shared" si="24"/>
        <v>1</v>
      </c>
      <c r="BF136" s="12">
        <f t="shared" si="29"/>
        <v>0</v>
      </c>
      <c r="BG136" s="23">
        <f t="shared" si="30"/>
        <v>0</v>
      </c>
      <c r="BH136" s="23">
        <f t="shared" si="31"/>
        <v>0</v>
      </c>
      <c r="BI136" s="23">
        <f t="shared" si="32"/>
        <v>0</v>
      </c>
      <c r="BJ136" s="18">
        <f t="shared" si="33"/>
        <v>1.4079333846715957E-2</v>
      </c>
      <c r="BL136" s="23"/>
      <c r="BN136" s="12">
        <f t="shared" si="34"/>
        <v>0</v>
      </c>
      <c r="BO136" s="12">
        <f t="shared" si="35"/>
        <v>0</v>
      </c>
      <c r="BP136" s="12">
        <f t="shared" si="36"/>
        <v>1</v>
      </c>
      <c r="BQ136" s="12">
        <f t="shared" si="25"/>
        <v>1</v>
      </c>
      <c r="BR136" s="12">
        <f t="shared" si="37"/>
        <v>1</v>
      </c>
      <c r="BS136" s="23">
        <f t="shared" si="38"/>
        <v>1.39049848591964E-3</v>
      </c>
      <c r="BT136" s="23">
        <f t="shared" si="39"/>
        <v>-1.9603044748497901E-3</v>
      </c>
      <c r="BU136" s="23">
        <f t="shared" si="40"/>
        <v>-5.6980598893015006E-4</v>
      </c>
      <c r="BV136" s="18">
        <f t="shared" si="41"/>
        <v>1.7424860170938701E-2</v>
      </c>
      <c r="BX136" s="18">
        <f t="shared" si="42"/>
        <v>-5.6980598893015006E-4</v>
      </c>
      <c r="BY136" s="18">
        <f t="shared" si="43"/>
        <v>3.1504194017654662E-2</v>
      </c>
    </row>
    <row r="137" spans="1:77" x14ac:dyDescent="0.3">
      <c r="A137" s="1">
        <v>46223</v>
      </c>
      <c r="B137" s="6">
        <v>21.51</v>
      </c>
      <c r="C137" s="6">
        <v>40.68</v>
      </c>
      <c r="D137" s="7">
        <v>-2.3218027611575601E-3</v>
      </c>
      <c r="E137" s="7">
        <v>-2.2099456508029502E-3</v>
      </c>
      <c r="F137" s="6">
        <v>0</v>
      </c>
      <c r="G137" s="6">
        <v>0.25749999999999901</v>
      </c>
      <c r="H137" s="6">
        <v>0</v>
      </c>
      <c r="I137" s="6">
        <v>0</v>
      </c>
      <c r="J137" s="6">
        <v>0.25749999999999901</v>
      </c>
      <c r="K137" s="6">
        <v>0</v>
      </c>
      <c r="L137" s="6">
        <v>21.767499999999998</v>
      </c>
      <c r="M137" s="6">
        <v>40.68</v>
      </c>
      <c r="N137" s="8">
        <v>1.8912133891213301</v>
      </c>
      <c r="O137" s="8">
        <v>1.8787268979407299</v>
      </c>
      <c r="P137" s="8">
        <v>1.8916108218837</v>
      </c>
      <c r="Q137" s="8">
        <v>1.8913396977329999</v>
      </c>
      <c r="R137" s="6">
        <v>40.411415574705103</v>
      </c>
      <c r="S137" s="6">
        <v>40.687298663351598</v>
      </c>
      <c r="T137" s="6">
        <v>40.6794501704643</v>
      </c>
      <c r="U137" s="7">
        <v>-6.6242623965418104E-3</v>
      </c>
      <c r="V137" s="7">
        <v>1.7940041002035301E-4</v>
      </c>
      <c r="W137" s="7">
        <v>-1.3516058294708E-5</v>
      </c>
      <c r="X137" s="8">
        <v>1.8688411622832199</v>
      </c>
      <c r="Y137" s="8">
        <v>1.8658943630327001</v>
      </c>
      <c r="Z137" s="8">
        <v>1.86927683817468</v>
      </c>
      <c r="AA137" s="8">
        <v>1.8703915812565099</v>
      </c>
      <c r="AB137" s="6">
        <v>40.615855547314403</v>
      </c>
      <c r="AC137" s="6">
        <v>40.688588694109903</v>
      </c>
      <c r="AD137" s="6">
        <v>40.714888578163603</v>
      </c>
      <c r="AE137" s="7">
        <v>-1.5780500879168601E-3</v>
      </c>
      <c r="AF137" s="7">
        <v>2.1110588937873199E-4</v>
      </c>
      <c r="AG137" s="7">
        <v>8.5726710631950495E-4</v>
      </c>
      <c r="AZ137" s="23"/>
      <c r="BB137" s="12">
        <f t="shared" si="26"/>
        <v>0</v>
      </c>
      <c r="BC137" s="12">
        <f t="shared" si="27"/>
        <v>1</v>
      </c>
      <c r="BD137" s="12">
        <f t="shared" si="28"/>
        <v>0</v>
      </c>
      <c r="BE137" s="12">
        <f t="shared" si="24"/>
        <v>1</v>
      </c>
      <c r="BF137" s="12">
        <f t="shared" si="29"/>
        <v>0</v>
      </c>
      <c r="BG137" s="23">
        <f t="shared" si="30"/>
        <v>0</v>
      </c>
      <c r="BH137" s="23">
        <f t="shared" si="31"/>
        <v>0</v>
      </c>
      <c r="BI137" s="23">
        <f t="shared" si="32"/>
        <v>0</v>
      </c>
      <c r="BJ137" s="18">
        <f t="shared" si="33"/>
        <v>1.4079333846715957E-2</v>
      </c>
      <c r="BL137" s="23"/>
      <c r="BN137" s="12">
        <f t="shared" si="34"/>
        <v>0</v>
      </c>
      <c r="BO137" s="12">
        <f t="shared" si="35"/>
        <v>0</v>
      </c>
      <c r="BP137" s="12">
        <f t="shared" si="36"/>
        <v>1</v>
      </c>
      <c r="BQ137" s="12">
        <f t="shared" si="25"/>
        <v>1</v>
      </c>
      <c r="BR137" s="12">
        <f t="shared" si="37"/>
        <v>1</v>
      </c>
      <c r="BS137" s="23">
        <f t="shared" si="38"/>
        <v>2.3218027611575601E-3</v>
      </c>
      <c r="BT137" s="23">
        <f t="shared" si="39"/>
        <v>-2.2099456508029502E-3</v>
      </c>
      <c r="BU137" s="23">
        <f t="shared" si="40"/>
        <v>1.1185711035460993E-4</v>
      </c>
      <c r="BV137" s="18">
        <f t="shared" si="41"/>
        <v>1.7536717281293312E-2</v>
      </c>
      <c r="BX137" s="18">
        <f t="shared" si="42"/>
        <v>1.1185711035460993E-4</v>
      </c>
      <c r="BY137" s="18">
        <f t="shared" si="43"/>
        <v>3.1616051128009269E-2</v>
      </c>
    </row>
    <row r="138" spans="1:77" x14ac:dyDescent="0.3">
      <c r="A138" s="1">
        <v>46224</v>
      </c>
      <c r="B138" s="6">
        <v>21.46</v>
      </c>
      <c r="C138" s="6">
        <v>40.58</v>
      </c>
      <c r="D138" s="7">
        <v>-2.3272060770862502E-3</v>
      </c>
      <c r="E138" s="7">
        <v>-2.4612367826905698E-3</v>
      </c>
      <c r="F138" s="6">
        <v>0</v>
      </c>
      <c r="G138" s="6">
        <v>0.25749999999999901</v>
      </c>
      <c r="H138" s="6">
        <v>0</v>
      </c>
      <c r="I138" s="6">
        <v>0</v>
      </c>
      <c r="J138" s="6">
        <v>0.25749999999999901</v>
      </c>
      <c r="K138" s="6">
        <v>0</v>
      </c>
      <c r="L138" s="6">
        <v>21.717500000000001</v>
      </c>
      <c r="M138" s="6">
        <v>40.58</v>
      </c>
      <c r="N138" s="8">
        <v>1.8909599254426801</v>
      </c>
      <c r="O138" s="8">
        <v>1.8787268979407299</v>
      </c>
      <c r="P138" s="8">
        <v>1.8916116868177599</v>
      </c>
      <c r="Q138" s="8">
        <v>1.8914585963992501</v>
      </c>
      <c r="R138" s="6">
        <v>40.3174792298081</v>
      </c>
      <c r="S138" s="6">
        <v>40.593968237624303</v>
      </c>
      <c r="T138" s="6">
        <v>40.5881499133503</v>
      </c>
      <c r="U138" s="7">
        <v>-6.4902316909375996E-3</v>
      </c>
      <c r="V138" s="7">
        <v>3.44155597304542E-4</v>
      </c>
      <c r="W138" s="7">
        <v>2.00815551086586E-4</v>
      </c>
      <c r="X138" s="8">
        <v>1.86853919650051</v>
      </c>
      <c r="Y138" s="8">
        <v>1.8658943630327001</v>
      </c>
      <c r="Z138" s="8">
        <v>1.86926843981487</v>
      </c>
      <c r="AA138" s="8">
        <v>1.8703081870096701</v>
      </c>
      <c r="AB138" s="6">
        <v>40.5225608291627</v>
      </c>
      <c r="AC138" s="6">
        <v>40.596019733058597</v>
      </c>
      <c r="AD138" s="6">
        <v>40.620229165938397</v>
      </c>
      <c r="AE138" s="7">
        <v>-1.4164578739214501E-3</v>
      </c>
      <c r="AF138" s="7">
        <v>3.9469127260178898E-4</v>
      </c>
      <c r="AG138" s="7">
        <v>9.9086344073424796E-4</v>
      </c>
      <c r="AZ138" s="23"/>
      <c r="BB138" s="12">
        <f t="shared" si="26"/>
        <v>0</v>
      </c>
      <c r="BC138" s="12">
        <f t="shared" si="27"/>
        <v>1</v>
      </c>
      <c r="BD138" s="12">
        <f t="shared" si="28"/>
        <v>0</v>
      </c>
      <c r="BE138" s="12">
        <f t="shared" si="24"/>
        <v>1</v>
      </c>
      <c r="BF138" s="12">
        <f t="shared" si="29"/>
        <v>0</v>
      </c>
      <c r="BG138" s="23">
        <f t="shared" si="30"/>
        <v>0</v>
      </c>
      <c r="BH138" s="23">
        <f t="shared" si="31"/>
        <v>0</v>
      </c>
      <c r="BI138" s="23">
        <f t="shared" si="32"/>
        <v>0</v>
      </c>
      <c r="BJ138" s="18">
        <f t="shared" si="33"/>
        <v>1.4079333846715957E-2</v>
      </c>
      <c r="BL138" s="23"/>
      <c r="BN138" s="12">
        <f t="shared" si="34"/>
        <v>0</v>
      </c>
      <c r="BO138" s="12">
        <f t="shared" si="35"/>
        <v>0</v>
      </c>
      <c r="BP138" s="12">
        <f t="shared" si="36"/>
        <v>1</v>
      </c>
      <c r="BQ138" s="12">
        <f t="shared" si="25"/>
        <v>1</v>
      </c>
      <c r="BR138" s="12">
        <f t="shared" si="37"/>
        <v>1</v>
      </c>
      <c r="BS138" s="23">
        <f t="shared" si="38"/>
        <v>2.3272060770862502E-3</v>
      </c>
      <c r="BT138" s="23">
        <f t="shared" si="39"/>
        <v>-2.4612367826905698E-3</v>
      </c>
      <c r="BU138" s="23">
        <f t="shared" si="40"/>
        <v>-1.3403070560431959E-4</v>
      </c>
      <c r="BV138" s="18">
        <f t="shared" si="41"/>
        <v>1.7402686575688994E-2</v>
      </c>
      <c r="BX138" s="18">
        <f t="shared" si="42"/>
        <v>-1.3403070560431959E-4</v>
      </c>
      <c r="BY138" s="18">
        <f t="shared" si="43"/>
        <v>3.1482020422404951E-2</v>
      </c>
    </row>
    <row r="139" spans="1:77" x14ac:dyDescent="0.3">
      <c r="A139" s="1">
        <v>46225</v>
      </c>
      <c r="B139" s="6">
        <v>21.46</v>
      </c>
      <c r="C139" s="6">
        <v>40.549999999999997</v>
      </c>
      <c r="D139" s="7">
        <v>0</v>
      </c>
      <c r="E139" s="7">
        <v>-7.39553836246755E-4</v>
      </c>
      <c r="F139" s="6">
        <v>0</v>
      </c>
      <c r="G139" s="6">
        <v>0.25749999999999901</v>
      </c>
      <c r="H139" s="6">
        <v>0</v>
      </c>
      <c r="I139" s="6">
        <v>0</v>
      </c>
      <c r="J139" s="6">
        <v>0.25749999999999901</v>
      </c>
      <c r="K139" s="6">
        <v>0</v>
      </c>
      <c r="L139" s="6">
        <v>21.717500000000001</v>
      </c>
      <c r="M139" s="6">
        <v>40.549999999999997</v>
      </c>
      <c r="N139" s="8">
        <v>1.88956197576887</v>
      </c>
      <c r="O139" s="8">
        <v>1.8787268979407299</v>
      </c>
      <c r="P139" s="8">
        <v>1.89145160532488</v>
      </c>
      <c r="Q139" s="8">
        <v>1.89154352490619</v>
      </c>
      <c r="R139" s="6">
        <v>40.3174792298081</v>
      </c>
      <c r="S139" s="6">
        <v>40.593986799109203</v>
      </c>
      <c r="T139" s="6">
        <v>40.590701478727901</v>
      </c>
      <c r="U139" s="7">
        <v>-5.7506778546908702E-3</v>
      </c>
      <c r="V139" s="7">
        <v>1.0841666808094699E-3</v>
      </c>
      <c r="W139" s="7">
        <v>1.00323219789597E-3</v>
      </c>
      <c r="X139" s="8">
        <v>1.8671578220329199</v>
      </c>
      <c r="Y139" s="8">
        <v>1.8658943630327001</v>
      </c>
      <c r="Z139" s="8">
        <v>1.8691061340025299</v>
      </c>
      <c r="AA139" s="8">
        <v>1.8701934001910601</v>
      </c>
      <c r="AB139" s="6">
        <v>40.5225608291627</v>
      </c>
      <c r="AC139" s="6">
        <v>40.595837341679498</v>
      </c>
      <c r="AD139" s="6">
        <v>40.618418051382498</v>
      </c>
      <c r="AE139" s="7">
        <v>-6.7690403767465797E-4</v>
      </c>
      <c r="AF139" s="7">
        <v>1.12975225979469E-3</v>
      </c>
      <c r="AG139" s="7">
        <v>1.6858297655388799E-3</v>
      </c>
      <c r="AZ139" s="23"/>
      <c r="BB139" s="12">
        <f t="shared" si="26"/>
        <v>0</v>
      </c>
      <c r="BC139" s="12">
        <f t="shared" si="27"/>
        <v>1</v>
      </c>
      <c r="BD139" s="12">
        <f t="shared" si="28"/>
        <v>0</v>
      </c>
      <c r="BE139" s="12">
        <f t="shared" si="24"/>
        <v>1</v>
      </c>
      <c r="BF139" s="12">
        <f t="shared" si="29"/>
        <v>0</v>
      </c>
      <c r="BG139" s="23">
        <f t="shared" si="30"/>
        <v>0</v>
      </c>
      <c r="BH139" s="23">
        <f t="shared" si="31"/>
        <v>0</v>
      </c>
      <c r="BI139" s="23">
        <f t="shared" si="32"/>
        <v>0</v>
      </c>
      <c r="BJ139" s="18">
        <f t="shared" si="33"/>
        <v>1.4079333846715957E-2</v>
      </c>
      <c r="BL139" s="23"/>
      <c r="BN139" s="12">
        <f t="shared" si="34"/>
        <v>0</v>
      </c>
      <c r="BO139" s="12">
        <f t="shared" si="35"/>
        <v>0</v>
      </c>
      <c r="BP139" s="12">
        <f t="shared" si="36"/>
        <v>1</v>
      </c>
      <c r="BQ139" s="12">
        <f t="shared" si="25"/>
        <v>1</v>
      </c>
      <c r="BR139" s="12">
        <f t="shared" si="37"/>
        <v>1</v>
      </c>
      <c r="BS139" s="23">
        <f t="shared" si="38"/>
        <v>0</v>
      </c>
      <c r="BT139" s="23">
        <f t="shared" si="39"/>
        <v>-7.39553836246755E-4</v>
      </c>
      <c r="BU139" s="23">
        <f t="shared" si="40"/>
        <v>-7.39553836246755E-4</v>
      </c>
      <c r="BV139" s="18">
        <f t="shared" si="41"/>
        <v>1.6663132739442237E-2</v>
      </c>
      <c r="BX139" s="18">
        <f t="shared" si="42"/>
        <v>-7.39553836246755E-4</v>
      </c>
      <c r="BY139" s="18">
        <f t="shared" si="43"/>
        <v>3.0742466586158194E-2</v>
      </c>
    </row>
    <row r="140" spans="1:77" x14ac:dyDescent="0.3">
      <c r="A140" s="1">
        <v>46226</v>
      </c>
      <c r="B140" s="6">
        <v>21.36</v>
      </c>
      <c r="C140" s="6">
        <v>40.35</v>
      </c>
      <c r="D140" s="7">
        <v>-4.6707231105583401E-3</v>
      </c>
      <c r="E140" s="7">
        <v>-4.9443858454639601E-3</v>
      </c>
      <c r="F140" s="6">
        <v>0</v>
      </c>
      <c r="G140" s="6">
        <v>0.25749999999999901</v>
      </c>
      <c r="H140" s="6">
        <v>0</v>
      </c>
      <c r="I140" s="6">
        <v>0</v>
      </c>
      <c r="J140" s="6">
        <v>0.25749999999999901</v>
      </c>
      <c r="K140" s="6">
        <v>0</v>
      </c>
      <c r="L140" s="6">
        <v>21.6175</v>
      </c>
      <c r="M140" s="6">
        <v>40.35</v>
      </c>
      <c r="N140" s="8">
        <v>1.8890449438202199</v>
      </c>
      <c r="O140" s="8">
        <v>1.8787268979407299</v>
      </c>
      <c r="P140" s="8">
        <v>1.89099736364742</v>
      </c>
      <c r="Q140" s="8">
        <v>1.89142051817292</v>
      </c>
      <c r="R140" s="6">
        <v>40.129606540014002</v>
      </c>
      <c r="S140" s="6">
        <v>40.401406289739498</v>
      </c>
      <c r="T140" s="6">
        <v>40.403369691996303</v>
      </c>
      <c r="U140" s="7">
        <v>-5.4770151197850604E-3</v>
      </c>
      <c r="V140" s="7">
        <v>1.27319879729093E-3</v>
      </c>
      <c r="W140" s="7">
        <v>1.32179499060706E-3</v>
      </c>
      <c r="X140" s="8">
        <v>1.8665433098184301</v>
      </c>
      <c r="Y140" s="8">
        <v>1.8658943630327001</v>
      </c>
      <c r="Z140" s="8">
        <v>1.8686407313143101</v>
      </c>
      <c r="AA140" s="8">
        <v>1.8698680013801401</v>
      </c>
      <c r="AB140" s="6">
        <v>40.335971392859499</v>
      </c>
      <c r="AC140" s="6">
        <v>40.405401851799802</v>
      </c>
      <c r="AD140" s="6">
        <v>40.428905828630398</v>
      </c>
      <c r="AE140" s="7">
        <v>-3.4773349170095602E-4</v>
      </c>
      <c r="AF140" s="7">
        <v>1.3720905158351401E-3</v>
      </c>
      <c r="AG140" s="7">
        <v>1.9536252173097401E-3</v>
      </c>
      <c r="AZ140" s="23"/>
      <c r="BB140" s="12">
        <f t="shared" si="26"/>
        <v>0</v>
      </c>
      <c r="BC140" s="12">
        <f t="shared" si="27"/>
        <v>1</v>
      </c>
      <c r="BD140" s="12">
        <f t="shared" si="28"/>
        <v>0</v>
      </c>
      <c r="BE140" s="12">
        <f t="shared" si="24"/>
        <v>1</v>
      </c>
      <c r="BF140" s="12">
        <f t="shared" si="29"/>
        <v>0</v>
      </c>
      <c r="BG140" s="23">
        <f t="shared" si="30"/>
        <v>0</v>
      </c>
      <c r="BH140" s="23">
        <f t="shared" si="31"/>
        <v>0</v>
      </c>
      <c r="BI140" s="23">
        <f t="shared" si="32"/>
        <v>0</v>
      </c>
      <c r="BJ140" s="18">
        <f t="shared" si="33"/>
        <v>1.4079333846715957E-2</v>
      </c>
      <c r="BL140" s="23"/>
      <c r="BN140" s="12">
        <f t="shared" si="34"/>
        <v>0</v>
      </c>
      <c r="BO140" s="12">
        <f t="shared" si="35"/>
        <v>0</v>
      </c>
      <c r="BP140" s="12">
        <f t="shared" si="36"/>
        <v>1</v>
      </c>
      <c r="BQ140" s="12">
        <f t="shared" si="25"/>
        <v>1</v>
      </c>
      <c r="BR140" s="12">
        <f t="shared" si="37"/>
        <v>1</v>
      </c>
      <c r="BS140" s="23">
        <f t="shared" si="38"/>
        <v>4.6707231105583401E-3</v>
      </c>
      <c r="BT140" s="23">
        <f t="shared" si="39"/>
        <v>-4.9443858454639601E-3</v>
      </c>
      <c r="BU140" s="23">
        <f t="shared" si="40"/>
        <v>-2.736627349056199E-4</v>
      </c>
      <c r="BV140" s="18">
        <f t="shared" si="41"/>
        <v>1.6389470004536617E-2</v>
      </c>
      <c r="BX140" s="18">
        <f t="shared" si="42"/>
        <v>-2.736627349056199E-4</v>
      </c>
      <c r="BY140" s="18">
        <f t="shared" si="43"/>
        <v>3.0468803851252575E-2</v>
      </c>
    </row>
    <row r="141" spans="1:77" x14ac:dyDescent="0.3">
      <c r="A141" s="1">
        <v>46227</v>
      </c>
      <c r="B141" s="6">
        <v>21.4</v>
      </c>
      <c r="C141" s="6">
        <v>40.44</v>
      </c>
      <c r="D141" s="7">
        <v>1.8709079358116001E-3</v>
      </c>
      <c r="E141" s="7">
        <v>2.22799943631271E-3</v>
      </c>
      <c r="F141" s="6">
        <v>0</v>
      </c>
      <c r="G141" s="6">
        <v>0.25749999999999901</v>
      </c>
      <c r="H141" s="6">
        <v>0</v>
      </c>
      <c r="I141" s="6">
        <v>0</v>
      </c>
      <c r="J141" s="6">
        <v>0.25749999999999901</v>
      </c>
      <c r="K141" s="6">
        <v>0</v>
      </c>
      <c r="L141" s="6">
        <v>21.657499999999999</v>
      </c>
      <c r="M141" s="6">
        <v>40.44</v>
      </c>
      <c r="N141" s="8">
        <v>1.8897196261682201</v>
      </c>
      <c r="O141" s="8">
        <v>1.8787268979407299</v>
      </c>
      <c r="P141" s="8">
        <v>1.89080767735271</v>
      </c>
      <c r="Q141" s="8">
        <v>1.8913493039093801</v>
      </c>
      <c r="R141" s="6">
        <v>40.204755615931603</v>
      </c>
      <c r="S141" s="6">
        <v>40.467343582054902</v>
      </c>
      <c r="T141" s="6">
        <v>40.4763990889006</v>
      </c>
      <c r="U141" s="7">
        <v>-5.8341066202863001E-3</v>
      </c>
      <c r="V141" s="7">
        <v>6.7592339299261397E-4</v>
      </c>
      <c r="W141" s="7">
        <v>8.9967155646062703E-4</v>
      </c>
      <c r="X141" s="8">
        <v>1.8672515294932399</v>
      </c>
      <c r="Y141" s="8">
        <v>1.8658943630327001</v>
      </c>
      <c r="Z141" s="8">
        <v>1.86843374099781</v>
      </c>
      <c r="AA141" s="8">
        <v>1.86959505299343</v>
      </c>
      <c r="AB141" s="6">
        <v>40.410607167380803</v>
      </c>
      <c r="AC141" s="6">
        <v>40.470086638439597</v>
      </c>
      <c r="AD141" s="6">
        <v>40.496666239890402</v>
      </c>
      <c r="AE141" s="7">
        <v>-7.2708999830379596E-4</v>
      </c>
      <c r="AF141" s="7">
        <v>7.4370553972724401E-4</v>
      </c>
      <c r="AG141" s="7">
        <v>1.40026150771898E-3</v>
      </c>
      <c r="AZ141" s="23"/>
      <c r="BB141" s="12">
        <f t="shared" si="26"/>
        <v>0</v>
      </c>
      <c r="BC141" s="12">
        <f t="shared" si="27"/>
        <v>1</v>
      </c>
      <c r="BD141" s="12">
        <f t="shared" si="28"/>
        <v>0</v>
      </c>
      <c r="BE141" s="12">
        <f t="shared" si="24"/>
        <v>1</v>
      </c>
      <c r="BF141" s="12">
        <f t="shared" si="29"/>
        <v>0</v>
      </c>
      <c r="BG141" s="23">
        <f t="shared" si="30"/>
        <v>0</v>
      </c>
      <c r="BH141" s="23">
        <f t="shared" si="31"/>
        <v>0</v>
      </c>
      <c r="BI141" s="23">
        <f t="shared" si="32"/>
        <v>0</v>
      </c>
      <c r="BJ141" s="18">
        <f t="shared" si="33"/>
        <v>1.4079333846715957E-2</v>
      </c>
      <c r="BL141" s="23"/>
      <c r="BN141" s="12">
        <f t="shared" si="34"/>
        <v>0</v>
      </c>
      <c r="BO141" s="12">
        <f t="shared" si="35"/>
        <v>0</v>
      </c>
      <c r="BP141" s="12">
        <f t="shared" si="36"/>
        <v>1</v>
      </c>
      <c r="BQ141" s="12">
        <f t="shared" si="25"/>
        <v>1</v>
      </c>
      <c r="BR141" s="12">
        <f t="shared" si="37"/>
        <v>1</v>
      </c>
      <c r="BS141" s="23">
        <f t="shared" si="38"/>
        <v>-1.8709079358116001E-3</v>
      </c>
      <c r="BT141" s="23">
        <f t="shared" si="39"/>
        <v>2.22799943631271E-3</v>
      </c>
      <c r="BU141" s="23">
        <f t="shared" si="40"/>
        <v>3.5709150050110988E-4</v>
      </c>
      <c r="BV141" s="18">
        <f t="shared" si="41"/>
        <v>1.6746561505037727E-2</v>
      </c>
      <c r="BX141" s="18">
        <f t="shared" si="42"/>
        <v>3.5709150050110988E-4</v>
      </c>
      <c r="BY141" s="18">
        <f t="shared" si="43"/>
        <v>3.0825895351753684E-2</v>
      </c>
    </row>
    <row r="142" spans="1:77" x14ac:dyDescent="0.3">
      <c r="A142" s="1">
        <v>46230</v>
      </c>
      <c r="B142" s="6">
        <v>21.44</v>
      </c>
      <c r="C142" s="6">
        <v>40.549999999999997</v>
      </c>
      <c r="D142" s="7">
        <v>1.86741417479546E-3</v>
      </c>
      <c r="E142" s="7">
        <v>2.7163864091513E-3</v>
      </c>
      <c r="F142" s="6">
        <v>0</v>
      </c>
      <c r="G142" s="6">
        <v>0.25749999999999901</v>
      </c>
      <c r="H142" s="6">
        <v>0</v>
      </c>
      <c r="I142" s="6">
        <v>0</v>
      </c>
      <c r="J142" s="6">
        <v>0.25749999999999901</v>
      </c>
      <c r="K142" s="6">
        <v>0</v>
      </c>
      <c r="L142" s="6">
        <v>21.697500000000002</v>
      </c>
      <c r="M142" s="6">
        <v>40.549999999999997</v>
      </c>
      <c r="N142" s="8">
        <v>1.89132462686567</v>
      </c>
      <c r="O142" s="8">
        <v>1.8787268979407299</v>
      </c>
      <c r="P142" s="8">
        <v>1.8907559908551299</v>
      </c>
      <c r="Q142" s="8">
        <v>1.89148387395491</v>
      </c>
      <c r="R142" s="6">
        <v>40.279904691849197</v>
      </c>
      <c r="S142" s="6">
        <v>40.5389166024422</v>
      </c>
      <c r="T142" s="6">
        <v>40.550529075817103</v>
      </c>
      <c r="U142" s="7">
        <v>-6.6830788546419599E-3</v>
      </c>
      <c r="V142" s="7">
        <v>-2.7336405741105102E-4</v>
      </c>
      <c r="W142" s="7">
        <v>1.3047407289814201E-5</v>
      </c>
      <c r="X142" s="8">
        <v>1.8688789030994299</v>
      </c>
      <c r="Y142" s="8">
        <v>1.8658943630327001</v>
      </c>
      <c r="Z142" s="8">
        <v>1.8683816336111001</v>
      </c>
      <c r="AA142" s="8">
        <v>1.86952568662876</v>
      </c>
      <c r="AB142" s="6">
        <v>40.485242941902101</v>
      </c>
      <c r="AC142" s="6">
        <v>40.540341095300001</v>
      </c>
      <c r="AD142" s="6">
        <v>40.565538662324997</v>
      </c>
      <c r="AE142" s="7">
        <v>-1.5982446533502699E-3</v>
      </c>
      <c r="AF142" s="7">
        <v>-2.3822577671105401E-4</v>
      </c>
      <c r="AG142" s="7">
        <v>3.8312418979932501E-4</v>
      </c>
      <c r="AZ142" s="23"/>
      <c r="BB142" s="12">
        <f t="shared" si="26"/>
        <v>0</v>
      </c>
      <c r="BC142" s="12">
        <f t="shared" si="27"/>
        <v>1</v>
      </c>
      <c r="BD142" s="12">
        <f t="shared" si="28"/>
        <v>0</v>
      </c>
      <c r="BE142" s="12">
        <f t="shared" si="24"/>
        <v>1</v>
      </c>
      <c r="BF142" s="12">
        <f t="shared" si="29"/>
        <v>0</v>
      </c>
      <c r="BG142" s="23">
        <f t="shared" si="30"/>
        <v>0</v>
      </c>
      <c r="BH142" s="23">
        <f t="shared" si="31"/>
        <v>0</v>
      </c>
      <c r="BI142" s="23">
        <f t="shared" si="32"/>
        <v>0</v>
      </c>
      <c r="BJ142" s="18">
        <f t="shared" si="33"/>
        <v>1.4079333846715957E-2</v>
      </c>
      <c r="BL142" s="23"/>
      <c r="BN142" s="12">
        <f t="shared" si="34"/>
        <v>0</v>
      </c>
      <c r="BO142" s="12">
        <f t="shared" si="35"/>
        <v>0</v>
      </c>
      <c r="BP142" s="12">
        <f t="shared" si="36"/>
        <v>1</v>
      </c>
      <c r="BQ142" s="12">
        <f t="shared" si="25"/>
        <v>1</v>
      </c>
      <c r="BR142" s="12">
        <f t="shared" si="37"/>
        <v>1</v>
      </c>
      <c r="BS142" s="23">
        <f t="shared" si="38"/>
        <v>-1.86741417479546E-3</v>
      </c>
      <c r="BT142" s="23">
        <f t="shared" si="39"/>
        <v>2.7163864091513E-3</v>
      </c>
      <c r="BU142" s="23">
        <f t="shared" si="40"/>
        <v>8.4897223435583999E-4</v>
      </c>
      <c r="BV142" s="18">
        <f t="shared" si="41"/>
        <v>1.7595533739393567E-2</v>
      </c>
      <c r="BX142" s="18">
        <f t="shared" si="42"/>
        <v>8.4897223435583999E-4</v>
      </c>
      <c r="BY142" s="18">
        <f t="shared" si="43"/>
        <v>3.1674867586109524E-2</v>
      </c>
    </row>
    <row r="143" spans="1:77" x14ac:dyDescent="0.3">
      <c r="A143" s="1">
        <v>46231</v>
      </c>
      <c r="B143" s="6">
        <v>21.47</v>
      </c>
      <c r="C143" s="6">
        <v>40.659999999999997</v>
      </c>
      <c r="D143" s="7">
        <v>1.3982756880883301E-3</v>
      </c>
      <c r="E143" s="7">
        <v>2.70902763877862E-3</v>
      </c>
      <c r="F143" s="6">
        <v>0</v>
      </c>
      <c r="G143" s="6">
        <v>0.25749999999999901</v>
      </c>
      <c r="H143" s="6">
        <v>0</v>
      </c>
      <c r="I143" s="6">
        <v>0</v>
      </c>
      <c r="J143" s="6">
        <v>0.25749999999999901</v>
      </c>
      <c r="K143" s="6">
        <v>0</v>
      </c>
      <c r="L143" s="6">
        <v>21.727499999999999</v>
      </c>
      <c r="M143" s="6">
        <v>40.659999999999997</v>
      </c>
      <c r="N143" s="8">
        <v>1.89380530973451</v>
      </c>
      <c r="O143" s="8">
        <v>1.8787268979407299</v>
      </c>
      <c r="P143" s="8">
        <v>1.8911601438758301</v>
      </c>
      <c r="Q143" s="8">
        <v>1.8915534497864701</v>
      </c>
      <c r="R143" s="6">
        <v>40.336266498787502</v>
      </c>
      <c r="S143" s="6">
        <v>40.594531123659699</v>
      </c>
      <c r="T143" s="6">
        <v>40.610158773812103</v>
      </c>
      <c r="U143" s="7">
        <v>-7.9938308053321902E-3</v>
      </c>
      <c r="V143" s="7">
        <v>-1.61145205325114E-3</v>
      </c>
      <c r="W143" s="7">
        <v>-1.22655678759508E-3</v>
      </c>
      <c r="X143" s="8">
        <v>1.8713611782303501</v>
      </c>
      <c r="Y143" s="8">
        <v>1.8658943630327001</v>
      </c>
      <c r="Z143" s="8">
        <v>1.86876869547808</v>
      </c>
      <c r="AA143" s="8">
        <v>1.8693924060391101</v>
      </c>
      <c r="AB143" s="6">
        <v>40.541219772793099</v>
      </c>
      <c r="AC143" s="6">
        <v>40.595261944285298</v>
      </c>
      <c r="AD143" s="6">
        <v>40.620119356226503</v>
      </c>
      <c r="AE143" s="7">
        <v>-2.9255794989137399E-3</v>
      </c>
      <c r="AF143" s="7">
        <v>-1.5934492822613599E-3</v>
      </c>
      <c r="AG143" s="7">
        <v>-9.8131369121204608E-4</v>
      </c>
      <c r="AZ143" s="23"/>
      <c r="BB143" s="12">
        <f t="shared" si="26"/>
        <v>0</v>
      </c>
      <c r="BC143" s="12">
        <f t="shared" si="27"/>
        <v>0</v>
      </c>
      <c r="BD143" s="12">
        <f t="shared" si="28"/>
        <v>0</v>
      </c>
      <c r="BE143" s="12">
        <f t="shared" si="24"/>
        <v>1</v>
      </c>
      <c r="BF143" s="12">
        <f t="shared" si="29"/>
        <v>0</v>
      </c>
      <c r="BG143" s="23">
        <f t="shared" si="30"/>
        <v>0</v>
      </c>
      <c r="BH143" s="23">
        <f t="shared" si="31"/>
        <v>0</v>
      </c>
      <c r="BI143" s="23">
        <f t="shared" si="32"/>
        <v>0</v>
      </c>
      <c r="BJ143" s="18">
        <f t="shared" si="33"/>
        <v>1.4079333846715957E-2</v>
      </c>
      <c r="BL143" s="23"/>
      <c r="BN143" s="12">
        <f t="shared" si="34"/>
        <v>0</v>
      </c>
      <c r="BO143" s="12">
        <f t="shared" si="35"/>
        <v>1</v>
      </c>
      <c r="BP143" s="12">
        <f t="shared" si="36"/>
        <v>1</v>
      </c>
      <c r="BQ143" s="12">
        <f t="shared" si="25"/>
        <v>1</v>
      </c>
      <c r="BR143" s="12">
        <f t="shared" si="37"/>
        <v>1</v>
      </c>
      <c r="BS143" s="23">
        <f t="shared" si="38"/>
        <v>-1.3982756880883301E-3</v>
      </c>
      <c r="BT143" s="23">
        <f t="shared" si="39"/>
        <v>2.70902763877862E-3</v>
      </c>
      <c r="BU143" s="23">
        <f t="shared" si="40"/>
        <v>1.3107519506902899E-3</v>
      </c>
      <c r="BV143" s="18">
        <f t="shared" si="41"/>
        <v>1.8906285690083856E-2</v>
      </c>
      <c r="BX143" s="18">
        <f t="shared" si="42"/>
        <v>1.3107519506902899E-3</v>
      </c>
      <c r="BY143" s="18">
        <f t="shared" si="43"/>
        <v>3.2985619536799814E-2</v>
      </c>
    </row>
    <row r="144" spans="1:77" x14ac:dyDescent="0.3">
      <c r="A144" s="1">
        <v>46232</v>
      </c>
      <c r="B144" s="6">
        <v>21.5</v>
      </c>
      <c r="C144" s="6">
        <v>40.68</v>
      </c>
      <c r="D144" s="7">
        <v>1.39632324292743E-3</v>
      </c>
      <c r="E144" s="7">
        <v>4.9176298015866796E-4</v>
      </c>
      <c r="F144" s="6">
        <v>0</v>
      </c>
      <c r="G144" s="6">
        <v>0.25749999999999901</v>
      </c>
      <c r="H144" s="6">
        <v>0</v>
      </c>
      <c r="I144" s="6">
        <v>0</v>
      </c>
      <c r="J144" s="6">
        <v>0.25749999999999901</v>
      </c>
      <c r="K144" s="6">
        <v>0</v>
      </c>
      <c r="L144" s="6">
        <v>21.7575</v>
      </c>
      <c r="M144" s="6">
        <v>40.68</v>
      </c>
      <c r="N144" s="8">
        <v>1.89209302325581</v>
      </c>
      <c r="O144" s="8">
        <v>1.8787268979407299</v>
      </c>
      <c r="P144" s="8">
        <v>1.8910804341977101</v>
      </c>
      <c r="Q144" s="8">
        <v>1.89153171718542</v>
      </c>
      <c r="R144" s="6">
        <v>40.392628305725701</v>
      </c>
      <c r="S144" s="6">
        <v>40.659943093330298</v>
      </c>
      <c r="T144" s="6">
        <v>40.668399170409103</v>
      </c>
      <c r="U144" s="7">
        <v>-7.0892705425635002E-3</v>
      </c>
      <c r="V144" s="7">
        <v>-4.9316255491167705E-4</v>
      </c>
      <c r="W144" s="7">
        <v>-2.8521347163030402E-4</v>
      </c>
      <c r="X144" s="8">
        <v>1.8697001034126099</v>
      </c>
      <c r="Y144" s="8">
        <v>1.8658943630327001</v>
      </c>
      <c r="Z144" s="8">
        <v>1.86867357521594</v>
      </c>
      <c r="AA144" s="8">
        <v>1.86917337254969</v>
      </c>
      <c r="AB144" s="6">
        <v>40.597196603683997</v>
      </c>
      <c r="AC144" s="6">
        <v>40.659734891864403</v>
      </c>
      <c r="AD144" s="6">
        <v>40.673305274396</v>
      </c>
      <c r="AE144" s="7">
        <v>-2.0375561270188801E-3</v>
      </c>
      <c r="AF144" s="7">
        <v>-4.9828312280053404E-4</v>
      </c>
      <c r="AG144" s="7">
        <v>-1.64583985776519E-4</v>
      </c>
      <c r="AZ144" s="23"/>
      <c r="BB144" s="12">
        <f t="shared" si="26"/>
        <v>0</v>
      </c>
      <c r="BC144" s="12">
        <f t="shared" si="27"/>
        <v>1</v>
      </c>
      <c r="BD144" s="12">
        <f t="shared" si="28"/>
        <v>0</v>
      </c>
      <c r="BE144" s="12">
        <f t="shared" si="24"/>
        <v>1</v>
      </c>
      <c r="BF144" s="12">
        <f t="shared" si="29"/>
        <v>0</v>
      </c>
      <c r="BG144" s="23">
        <f t="shared" si="30"/>
        <v>0</v>
      </c>
      <c r="BH144" s="23">
        <f t="shared" si="31"/>
        <v>0</v>
      </c>
      <c r="BI144" s="23">
        <f t="shared" si="32"/>
        <v>0</v>
      </c>
      <c r="BJ144" s="18">
        <f t="shared" si="33"/>
        <v>1.4079333846715957E-2</v>
      </c>
      <c r="BL144" s="23"/>
      <c r="BN144" s="12">
        <f t="shared" si="34"/>
        <v>0</v>
      </c>
      <c r="BO144" s="12">
        <f t="shared" si="35"/>
        <v>1</v>
      </c>
      <c r="BP144" s="12">
        <f t="shared" si="36"/>
        <v>0</v>
      </c>
      <c r="BQ144" s="12">
        <f t="shared" si="25"/>
        <v>1</v>
      </c>
      <c r="BR144" s="12">
        <f t="shared" si="37"/>
        <v>0</v>
      </c>
      <c r="BS144" s="23">
        <f t="shared" si="38"/>
        <v>0</v>
      </c>
      <c r="BT144" s="23">
        <f t="shared" si="39"/>
        <v>0</v>
      </c>
      <c r="BU144" s="23">
        <f t="shared" si="40"/>
        <v>0</v>
      </c>
      <c r="BV144" s="18">
        <f t="shared" si="41"/>
        <v>1.8906285690083856E-2</v>
      </c>
      <c r="BX144" s="18">
        <f t="shared" si="42"/>
        <v>0</v>
      </c>
      <c r="BY144" s="18">
        <f t="shared" si="43"/>
        <v>3.2985619536799814E-2</v>
      </c>
    </row>
    <row r="145" spans="1:77" x14ac:dyDescent="0.3">
      <c r="A145" s="1">
        <v>46233</v>
      </c>
      <c r="B145" s="6">
        <v>21.77</v>
      </c>
      <c r="C145" s="6">
        <v>41.15</v>
      </c>
      <c r="D145" s="7">
        <v>1.24799401128389E-2</v>
      </c>
      <c r="E145" s="7">
        <v>1.14873559427196E-2</v>
      </c>
      <c r="F145" s="6">
        <v>0</v>
      </c>
      <c r="G145" s="6">
        <v>0.25749999999999901</v>
      </c>
      <c r="H145" s="6">
        <v>0</v>
      </c>
      <c r="I145" s="6">
        <v>0</v>
      </c>
      <c r="J145" s="6">
        <v>0.25749999999999901</v>
      </c>
      <c r="K145" s="6">
        <v>0</v>
      </c>
      <c r="L145" s="6">
        <v>22.0275</v>
      </c>
      <c r="M145" s="6">
        <v>41.15</v>
      </c>
      <c r="N145" s="8">
        <v>1.89021589343132</v>
      </c>
      <c r="O145" s="8">
        <v>1.8787268979407299</v>
      </c>
      <c r="P145" s="8">
        <v>1.89089405688962</v>
      </c>
      <c r="Q145" s="8">
        <v>1.8913227341821399</v>
      </c>
      <c r="R145" s="6">
        <v>40.899884568169703</v>
      </c>
      <c r="S145" s="6">
        <v>41.168821052484297</v>
      </c>
      <c r="T145" s="6">
        <v>41.178645483126701</v>
      </c>
      <c r="U145" s="7">
        <v>-6.0966863724441402E-3</v>
      </c>
      <c r="V145" s="7">
        <v>4.5727216623521E-4</v>
      </c>
      <c r="W145" s="7">
        <v>6.9588134517670805E-4</v>
      </c>
      <c r="X145" s="8">
        <v>1.8681193962092799</v>
      </c>
      <c r="Y145" s="8">
        <v>1.8658943630327001</v>
      </c>
      <c r="Z145" s="8">
        <v>1.86850759974361</v>
      </c>
      <c r="AA145" s="8">
        <v>1.8689759552449201</v>
      </c>
      <c r="AB145" s="6">
        <v>41.100988081702901</v>
      </c>
      <c r="AC145" s="6">
        <v>41.162207178069302</v>
      </c>
      <c r="AD145" s="6">
        <v>41.173216463838301</v>
      </c>
      <c r="AE145" s="7">
        <v>-1.1917649925223899E-3</v>
      </c>
      <c r="AF145" s="7">
        <v>2.9660675074335299E-4</v>
      </c>
      <c r="AG145" s="7">
        <v>5.6403200582050197E-4</v>
      </c>
      <c r="AZ145" s="23"/>
      <c r="BB145" s="12">
        <f t="shared" si="26"/>
        <v>0</v>
      </c>
      <c r="BC145" s="12">
        <f t="shared" si="27"/>
        <v>1</v>
      </c>
      <c r="BD145" s="12">
        <f t="shared" si="28"/>
        <v>0</v>
      </c>
      <c r="BE145" s="12">
        <f t="shared" si="24"/>
        <v>1</v>
      </c>
      <c r="BF145" s="12">
        <f t="shared" si="29"/>
        <v>0</v>
      </c>
      <c r="BG145" s="23">
        <f t="shared" si="30"/>
        <v>0</v>
      </c>
      <c r="BH145" s="23">
        <f t="shared" si="31"/>
        <v>0</v>
      </c>
      <c r="BI145" s="23">
        <f t="shared" si="32"/>
        <v>0</v>
      </c>
      <c r="BJ145" s="18">
        <f t="shared" si="33"/>
        <v>1.4079333846715957E-2</v>
      </c>
      <c r="BL145" s="23"/>
      <c r="BN145" s="12">
        <f t="shared" si="34"/>
        <v>0</v>
      </c>
      <c r="BO145" s="12">
        <f t="shared" si="35"/>
        <v>0</v>
      </c>
      <c r="BP145" s="12">
        <f t="shared" si="36"/>
        <v>0</v>
      </c>
      <c r="BQ145" s="12">
        <f t="shared" si="25"/>
        <v>1</v>
      </c>
      <c r="BR145" s="12">
        <f t="shared" si="37"/>
        <v>0</v>
      </c>
      <c r="BS145" s="23">
        <f t="shared" si="38"/>
        <v>0</v>
      </c>
      <c r="BT145" s="23">
        <f t="shared" si="39"/>
        <v>0</v>
      </c>
      <c r="BU145" s="23">
        <f t="shared" si="40"/>
        <v>0</v>
      </c>
      <c r="BV145" s="18">
        <f t="shared" si="41"/>
        <v>1.8906285690083856E-2</v>
      </c>
      <c r="BX145" s="18">
        <f t="shared" si="42"/>
        <v>0</v>
      </c>
      <c r="BY145" s="18">
        <f t="shared" si="43"/>
        <v>3.2985619536799814E-2</v>
      </c>
    </row>
    <row r="146" spans="1:77" x14ac:dyDescent="0.3">
      <c r="A146" s="1">
        <v>46234</v>
      </c>
      <c r="B146" s="6">
        <v>21.72</v>
      </c>
      <c r="C146" s="6">
        <v>41.01</v>
      </c>
      <c r="D146" s="7">
        <v>-2.2993801807213699E-3</v>
      </c>
      <c r="E146" s="7">
        <v>-3.40798771911092E-3</v>
      </c>
      <c r="F146" s="6">
        <v>0</v>
      </c>
      <c r="G146" s="6">
        <v>0.25749999999999901</v>
      </c>
      <c r="H146" s="6">
        <v>0</v>
      </c>
      <c r="I146" s="6">
        <v>0</v>
      </c>
      <c r="J146" s="6">
        <v>0.25749999999999901</v>
      </c>
      <c r="K146" s="6">
        <v>0</v>
      </c>
      <c r="L146" s="6">
        <v>21.977499999999999</v>
      </c>
      <c r="M146" s="6">
        <v>41.01</v>
      </c>
      <c r="N146" s="8">
        <v>1.88812154696132</v>
      </c>
      <c r="O146" s="8">
        <v>1.8787268979407299</v>
      </c>
      <c r="P146" s="8">
        <v>1.8906060260569899</v>
      </c>
      <c r="Q146" s="8">
        <v>1.89107936503574</v>
      </c>
      <c r="R146" s="6">
        <v>40.805948223272601</v>
      </c>
      <c r="S146" s="6">
        <v>41.070218915642599</v>
      </c>
      <c r="T146" s="6">
        <v>41.079529786436098</v>
      </c>
      <c r="U146" s="7">
        <v>-4.98807883405465E-3</v>
      </c>
      <c r="V146" s="7">
        <v>1.46731885568964E-3</v>
      </c>
      <c r="W146" s="7">
        <v>1.6939993015944899E-3</v>
      </c>
      <c r="X146" s="8">
        <v>1.8659993174837901</v>
      </c>
      <c r="Y146" s="8">
        <v>1.8658943630327001</v>
      </c>
      <c r="Z146" s="8">
        <v>1.8682391918563801</v>
      </c>
      <c r="AA146" s="8">
        <v>1.8687374595806501</v>
      </c>
      <c r="AB146" s="6">
        <v>41.007693363551198</v>
      </c>
      <c r="AC146" s="6">
        <v>41.065125773365303</v>
      </c>
      <c r="AD146" s="6">
        <v>41.075419056395297</v>
      </c>
      <c r="AE146" s="7">
        <v>-5.6247288962699599E-5</v>
      </c>
      <c r="AF146" s="7">
        <v>1.34330057091584E-3</v>
      </c>
      <c r="AG146" s="7">
        <v>1.5939266924065499E-3</v>
      </c>
      <c r="AZ146" s="23"/>
      <c r="BB146" s="12">
        <f t="shared" si="26"/>
        <v>0</v>
      </c>
      <c r="BC146" s="12">
        <f t="shared" si="27"/>
        <v>1</v>
      </c>
      <c r="BD146" s="12">
        <f t="shared" si="28"/>
        <v>0</v>
      </c>
      <c r="BE146" s="12">
        <f t="shared" si="24"/>
        <v>0</v>
      </c>
      <c r="BF146" s="12">
        <f t="shared" si="29"/>
        <v>0</v>
      </c>
      <c r="BG146" s="23">
        <f t="shared" si="30"/>
        <v>0</v>
      </c>
      <c r="BH146" s="23">
        <f t="shared" si="31"/>
        <v>0</v>
      </c>
      <c r="BI146" s="23">
        <f t="shared" si="32"/>
        <v>0</v>
      </c>
      <c r="BJ146" s="18">
        <f t="shared" si="33"/>
        <v>1.4079333846715957E-2</v>
      </c>
      <c r="BL146" s="23"/>
      <c r="BN146" s="12">
        <f t="shared" si="34"/>
        <v>0</v>
      </c>
      <c r="BO146" s="12">
        <f t="shared" si="35"/>
        <v>0</v>
      </c>
      <c r="BP146" s="12">
        <f t="shared" si="36"/>
        <v>0</v>
      </c>
      <c r="BQ146" s="12">
        <f t="shared" si="25"/>
        <v>0</v>
      </c>
      <c r="BR146" s="12">
        <f t="shared" si="37"/>
        <v>0</v>
      </c>
      <c r="BS146" s="23">
        <f t="shared" si="38"/>
        <v>0</v>
      </c>
      <c r="BT146" s="23">
        <f t="shared" si="39"/>
        <v>0</v>
      </c>
      <c r="BU146" s="23">
        <f t="shared" si="40"/>
        <v>0</v>
      </c>
      <c r="BV146" s="18">
        <f t="shared" si="41"/>
        <v>1.8906285690083856E-2</v>
      </c>
      <c r="BX146" s="18">
        <f t="shared" si="42"/>
        <v>0</v>
      </c>
      <c r="BY146" s="18">
        <f t="shared" si="43"/>
        <v>3.2985619536799814E-2</v>
      </c>
    </row>
    <row r="147" spans="1:77" x14ac:dyDescent="0.3">
      <c r="A147" s="1">
        <v>46237</v>
      </c>
      <c r="B147" s="6">
        <v>21.77</v>
      </c>
      <c r="C147" s="6">
        <v>41.24</v>
      </c>
      <c r="D147" s="7">
        <v>2.29938018072151E-3</v>
      </c>
      <c r="E147" s="7">
        <v>5.5927197447914901E-3</v>
      </c>
      <c r="F147" s="6">
        <v>4.5499999999999999E-2</v>
      </c>
      <c r="G147" s="6">
        <v>0.30299999999999899</v>
      </c>
      <c r="H147" s="6">
        <v>0</v>
      </c>
      <c r="I147" s="6">
        <v>0</v>
      </c>
      <c r="J147" s="6">
        <v>0.30299999999999899</v>
      </c>
      <c r="K147" s="6">
        <v>0</v>
      </c>
      <c r="L147" s="6">
        <v>22.073</v>
      </c>
      <c r="M147" s="6">
        <v>41.24</v>
      </c>
      <c r="N147" s="8">
        <v>1.89435002296738</v>
      </c>
      <c r="O147" s="8">
        <v>1.8787268979407299</v>
      </c>
      <c r="P147" s="8">
        <v>1.8909196894416</v>
      </c>
      <c r="Q147" s="8">
        <v>1.8912652556626499</v>
      </c>
      <c r="R147" s="6">
        <v>40.899884568169703</v>
      </c>
      <c r="S147" s="6">
        <v>41.158493187260802</v>
      </c>
      <c r="T147" s="6">
        <v>41.1687977768281</v>
      </c>
      <c r="U147" s="7">
        <v>-8.2814183981245997E-3</v>
      </c>
      <c r="V147" s="7">
        <v>-1.97835752015511E-3</v>
      </c>
      <c r="W147" s="7">
        <v>-1.72802523057288E-3</v>
      </c>
      <c r="X147" s="8">
        <v>1.86834594300729</v>
      </c>
      <c r="Y147" s="8">
        <v>1.8658943630327001</v>
      </c>
      <c r="Z147" s="8">
        <v>1.8681896699287801</v>
      </c>
      <c r="AA147" s="8">
        <v>1.8687332540517301</v>
      </c>
      <c r="AB147" s="6">
        <v>41.185886275220803</v>
      </c>
      <c r="AC147" s="6">
        <v>41.237643681845903</v>
      </c>
      <c r="AD147" s="6">
        <v>41.248641945323698</v>
      </c>
      <c r="AE147" s="7">
        <v>-1.3130276178759601E-3</v>
      </c>
      <c r="AF147" s="7">
        <v>-5.7138348030412602E-5</v>
      </c>
      <c r="AG147" s="7">
        <v>2.0953055236676201E-4</v>
      </c>
      <c r="AZ147" s="23"/>
      <c r="BB147" s="12">
        <f t="shared" si="26"/>
        <v>0</v>
      </c>
      <c r="BC147" s="12">
        <f t="shared" si="27"/>
        <v>1</v>
      </c>
      <c r="BD147" s="12">
        <f t="shared" si="28"/>
        <v>0</v>
      </c>
      <c r="BE147" s="12">
        <f t="shared" si="24"/>
        <v>1</v>
      </c>
      <c r="BF147" s="12">
        <f t="shared" si="29"/>
        <v>0</v>
      </c>
      <c r="BG147" s="23">
        <f t="shared" si="30"/>
        <v>0</v>
      </c>
      <c r="BH147" s="23">
        <f t="shared" si="31"/>
        <v>0</v>
      </c>
      <c r="BI147" s="23">
        <f t="shared" si="32"/>
        <v>0</v>
      </c>
      <c r="BJ147" s="18">
        <f t="shared" si="33"/>
        <v>1.4079333846715957E-2</v>
      </c>
      <c r="BL147" s="23"/>
      <c r="BN147" s="12">
        <f t="shared" si="34"/>
        <v>0</v>
      </c>
      <c r="BO147" s="12">
        <f t="shared" si="35"/>
        <v>0</v>
      </c>
      <c r="BP147" s="12">
        <f t="shared" si="36"/>
        <v>0</v>
      </c>
      <c r="BQ147" s="12">
        <f t="shared" si="25"/>
        <v>1</v>
      </c>
      <c r="BR147" s="12">
        <f t="shared" si="37"/>
        <v>0</v>
      </c>
      <c r="BS147" s="23">
        <f t="shared" si="38"/>
        <v>0</v>
      </c>
      <c r="BT147" s="23">
        <f t="shared" si="39"/>
        <v>0</v>
      </c>
      <c r="BU147" s="23">
        <f t="shared" si="40"/>
        <v>0</v>
      </c>
      <c r="BV147" s="18">
        <f t="shared" si="41"/>
        <v>1.8906285690083856E-2</v>
      </c>
      <c r="BX147" s="18">
        <f t="shared" si="42"/>
        <v>0</v>
      </c>
      <c r="BY147" s="18">
        <f t="shared" si="43"/>
        <v>3.2985619536799814E-2</v>
      </c>
    </row>
    <row r="148" spans="1:77" x14ac:dyDescent="0.3">
      <c r="A148" s="1">
        <v>46238</v>
      </c>
      <c r="B148" s="6">
        <v>21.88</v>
      </c>
      <c r="C148" s="6">
        <v>41.38</v>
      </c>
      <c r="D148" s="7">
        <v>5.0401023073243E-3</v>
      </c>
      <c r="E148" s="7">
        <v>3.38901316863784E-3</v>
      </c>
      <c r="F148" s="6">
        <v>0</v>
      </c>
      <c r="G148" s="6">
        <v>0.30299999999999899</v>
      </c>
      <c r="H148" s="6">
        <v>0</v>
      </c>
      <c r="I148" s="6">
        <v>0</v>
      </c>
      <c r="J148" s="6">
        <v>0.30299999999999899</v>
      </c>
      <c r="K148" s="6">
        <v>0</v>
      </c>
      <c r="L148" s="6">
        <v>22.183</v>
      </c>
      <c r="M148" s="6">
        <v>41.38</v>
      </c>
      <c r="N148" s="8">
        <v>1.89122486288848</v>
      </c>
      <c r="O148" s="8">
        <v>1.8787268979407299</v>
      </c>
      <c r="P148" s="8">
        <v>1.89094618318618</v>
      </c>
      <c r="Q148" s="8">
        <v>1.8912789350019701</v>
      </c>
      <c r="R148" s="6">
        <v>41.106544526943203</v>
      </c>
      <c r="S148" s="6">
        <v>41.373322804982202</v>
      </c>
      <c r="T148" s="6">
        <v>41.380883793898803</v>
      </c>
      <c r="U148" s="7">
        <v>-6.6303292594378704E-3</v>
      </c>
      <c r="V148" s="7">
        <v>-1.6137587726676699E-4</v>
      </c>
      <c r="W148" s="7">
        <v>2.13577685109931E-5</v>
      </c>
      <c r="X148" s="8">
        <v>1.86539241761709</v>
      </c>
      <c r="Y148" s="8">
        <v>1.8658943630327001</v>
      </c>
      <c r="Z148" s="8">
        <v>1.8678749920404401</v>
      </c>
      <c r="AA148" s="8">
        <v>1.86857171592766</v>
      </c>
      <c r="AB148" s="6">
        <v>41.391134655154403</v>
      </c>
      <c r="AC148" s="6">
        <v>41.442051448030298</v>
      </c>
      <c r="AD148" s="6">
        <v>41.4541097746296</v>
      </c>
      <c r="AE148" s="7">
        <v>2.6904681850858502E-4</v>
      </c>
      <c r="AF148" s="7">
        <v>1.4984284633313999E-3</v>
      </c>
      <c r="AG148" s="7">
        <v>1.7893545208592101E-3</v>
      </c>
      <c r="AZ148" s="23"/>
      <c r="BB148" s="12">
        <f t="shared" si="26"/>
        <v>0</v>
      </c>
      <c r="BC148" s="12">
        <f t="shared" si="27"/>
        <v>1</v>
      </c>
      <c r="BD148" s="12">
        <f t="shared" si="28"/>
        <v>0</v>
      </c>
      <c r="BE148" s="12">
        <f t="shared" si="24"/>
        <v>1</v>
      </c>
      <c r="BF148" s="12">
        <f t="shared" si="29"/>
        <v>0</v>
      </c>
      <c r="BG148" s="23">
        <f t="shared" si="30"/>
        <v>0</v>
      </c>
      <c r="BH148" s="23">
        <f t="shared" si="31"/>
        <v>0</v>
      </c>
      <c r="BI148" s="23">
        <f t="shared" si="32"/>
        <v>0</v>
      </c>
      <c r="BJ148" s="18">
        <f t="shared" si="33"/>
        <v>1.4079333846715957E-2</v>
      </c>
      <c r="BL148" s="23"/>
      <c r="BN148" s="12">
        <f t="shared" si="34"/>
        <v>0</v>
      </c>
      <c r="BO148" s="12">
        <f t="shared" si="35"/>
        <v>0</v>
      </c>
      <c r="BP148" s="12">
        <f t="shared" si="36"/>
        <v>0</v>
      </c>
      <c r="BQ148" s="12">
        <f t="shared" si="25"/>
        <v>1</v>
      </c>
      <c r="BR148" s="12">
        <f t="shared" si="37"/>
        <v>0</v>
      </c>
      <c r="BS148" s="23">
        <f t="shared" si="38"/>
        <v>0</v>
      </c>
      <c r="BT148" s="23">
        <f t="shared" si="39"/>
        <v>0</v>
      </c>
      <c r="BU148" s="23">
        <f t="shared" si="40"/>
        <v>0</v>
      </c>
      <c r="BV148" s="18">
        <f t="shared" si="41"/>
        <v>1.8906285690083856E-2</v>
      </c>
      <c r="BX148" s="18">
        <f t="shared" si="42"/>
        <v>0</v>
      </c>
      <c r="BY148" s="18">
        <f t="shared" si="43"/>
        <v>3.2985619536799814E-2</v>
      </c>
    </row>
    <row r="149" spans="1:77" x14ac:dyDescent="0.3">
      <c r="A149" s="1">
        <v>46239</v>
      </c>
      <c r="B149" s="6">
        <v>21.91</v>
      </c>
      <c r="C149" s="6">
        <v>41.46</v>
      </c>
      <c r="D149" s="7">
        <v>1.3701760535947099E-3</v>
      </c>
      <c r="E149" s="7">
        <v>1.9314346902364399E-3</v>
      </c>
      <c r="F149" s="6">
        <v>0</v>
      </c>
      <c r="G149" s="6">
        <v>0.30299999999999899</v>
      </c>
      <c r="H149" s="6">
        <v>0</v>
      </c>
      <c r="I149" s="6">
        <v>0</v>
      </c>
      <c r="J149" s="6">
        <v>0.30299999999999899</v>
      </c>
      <c r="K149" s="6">
        <v>0</v>
      </c>
      <c r="L149" s="6">
        <v>22.213000000000001</v>
      </c>
      <c r="M149" s="6">
        <v>41.46</v>
      </c>
      <c r="N149" s="8">
        <v>1.8922866271109</v>
      </c>
      <c r="O149" s="8">
        <v>1.8787268979407299</v>
      </c>
      <c r="P149" s="8">
        <v>1.8912186483203799</v>
      </c>
      <c r="Q149" s="8">
        <v>1.8913351268226299</v>
      </c>
      <c r="R149" s="6">
        <v>41.162906333881402</v>
      </c>
      <c r="S149" s="6">
        <v>41.430630873609203</v>
      </c>
      <c r="T149" s="6">
        <v>41.437921465893197</v>
      </c>
      <c r="U149" s="7">
        <v>-7.1915878960797297E-3</v>
      </c>
      <c r="V149" s="7">
        <v>-7.0862357567201605E-4</v>
      </c>
      <c r="W149" s="7">
        <v>-5.3266799066476898E-4</v>
      </c>
      <c r="X149" s="8">
        <v>1.8664745869535799</v>
      </c>
      <c r="Y149" s="8">
        <v>1.8658943630327001</v>
      </c>
      <c r="Z149" s="8">
        <v>1.8678066685325101</v>
      </c>
      <c r="AA149" s="8">
        <v>1.86845640126752</v>
      </c>
      <c r="AB149" s="6">
        <v>41.447111486045401</v>
      </c>
      <c r="AC149" s="6">
        <v>41.491107198194399</v>
      </c>
      <c r="AD149" s="6">
        <v>41.5065835259011</v>
      </c>
      <c r="AE149" s="7">
        <v>-3.1091456033935898E-4</v>
      </c>
      <c r="AF149" s="7">
        <v>7.5001288598439304E-4</v>
      </c>
      <c r="AG149" s="7">
        <v>1.12294682549556E-3</v>
      </c>
      <c r="AZ149" s="23"/>
      <c r="BB149" s="12">
        <f t="shared" si="26"/>
        <v>0</v>
      </c>
      <c r="BC149" s="12">
        <f t="shared" si="27"/>
        <v>1</v>
      </c>
      <c r="BD149" s="12">
        <f t="shared" si="28"/>
        <v>0</v>
      </c>
      <c r="BE149" s="12">
        <f t="shared" si="24"/>
        <v>1</v>
      </c>
      <c r="BF149" s="12">
        <f t="shared" si="29"/>
        <v>0</v>
      </c>
      <c r="BG149" s="23">
        <f t="shared" si="30"/>
        <v>0</v>
      </c>
      <c r="BH149" s="23">
        <f t="shared" si="31"/>
        <v>0</v>
      </c>
      <c r="BI149" s="23">
        <f t="shared" si="32"/>
        <v>0</v>
      </c>
      <c r="BJ149" s="18">
        <f t="shared" si="33"/>
        <v>1.4079333846715957E-2</v>
      </c>
      <c r="BL149" s="23"/>
      <c r="BN149" s="12">
        <f t="shared" si="34"/>
        <v>0</v>
      </c>
      <c r="BO149" s="12">
        <f t="shared" si="35"/>
        <v>0</v>
      </c>
      <c r="BP149" s="12">
        <f t="shared" si="36"/>
        <v>0</v>
      </c>
      <c r="BQ149" s="12">
        <f t="shared" si="25"/>
        <v>1</v>
      </c>
      <c r="BR149" s="12">
        <f t="shared" si="37"/>
        <v>0</v>
      </c>
      <c r="BS149" s="23">
        <f t="shared" si="38"/>
        <v>0</v>
      </c>
      <c r="BT149" s="23">
        <f t="shared" si="39"/>
        <v>0</v>
      </c>
      <c r="BU149" s="23">
        <f t="shared" si="40"/>
        <v>0</v>
      </c>
      <c r="BV149" s="18">
        <f t="shared" si="41"/>
        <v>1.8906285690083856E-2</v>
      </c>
      <c r="BX149" s="18">
        <f t="shared" si="42"/>
        <v>0</v>
      </c>
      <c r="BY149" s="18">
        <f t="shared" si="43"/>
        <v>3.2985619536799814E-2</v>
      </c>
    </row>
    <row r="150" spans="1:77" x14ac:dyDescent="0.3">
      <c r="A150" s="1">
        <v>46240</v>
      </c>
      <c r="B150" s="6">
        <v>21.86</v>
      </c>
      <c r="C150" s="6">
        <v>41.27</v>
      </c>
      <c r="D150" s="7">
        <v>-2.2846708589826402E-3</v>
      </c>
      <c r="E150" s="7">
        <v>-4.5932632431430701E-3</v>
      </c>
      <c r="F150" s="6">
        <v>0</v>
      </c>
      <c r="G150" s="6">
        <v>0.30299999999999899</v>
      </c>
      <c r="H150" s="6">
        <v>0</v>
      </c>
      <c r="I150" s="6">
        <v>0</v>
      </c>
      <c r="J150" s="6">
        <v>0.30299999999999899</v>
      </c>
      <c r="K150" s="6">
        <v>0</v>
      </c>
      <c r="L150" s="6">
        <v>22.163</v>
      </c>
      <c r="M150" s="6">
        <v>41.27</v>
      </c>
      <c r="N150" s="8">
        <v>1.8879231473010001</v>
      </c>
      <c r="O150" s="8">
        <v>1.8787268979407299</v>
      </c>
      <c r="P150" s="8">
        <v>1.89110646866846</v>
      </c>
      <c r="Q150" s="8">
        <v>1.89105191615794</v>
      </c>
      <c r="R150" s="6">
        <v>41.0689699889843</v>
      </c>
      <c r="S150" s="6">
        <v>41.342039652283603</v>
      </c>
      <c r="T150" s="6">
        <v>41.344585872342797</v>
      </c>
      <c r="U150" s="7">
        <v>-4.8829955119194099E-3</v>
      </c>
      <c r="V150" s="7">
        <v>1.7440477404300199E-3</v>
      </c>
      <c r="W150" s="7">
        <v>1.80563496916987E-3</v>
      </c>
      <c r="X150" s="8">
        <v>1.8621125298921599</v>
      </c>
      <c r="Y150" s="8">
        <v>1.8658943630327001</v>
      </c>
      <c r="Z150" s="8">
        <v>1.86736359053988</v>
      </c>
      <c r="AA150" s="8">
        <v>1.86800216092709</v>
      </c>
      <c r="AB150" s="6">
        <v>41.353816767893797</v>
      </c>
      <c r="AC150" s="6">
        <v>41.396199194686098</v>
      </c>
      <c r="AD150" s="6">
        <v>41.410599221292102</v>
      </c>
      <c r="AE150" s="7">
        <v>2.0288773848549302E-3</v>
      </c>
      <c r="AF150" s="7">
        <v>3.0532259606273599E-3</v>
      </c>
      <c r="AG150" s="7">
        <v>3.4010241372674698E-3</v>
      </c>
      <c r="AZ150" s="23"/>
      <c r="BB150" s="12">
        <f t="shared" si="26"/>
        <v>0</v>
      </c>
      <c r="BC150" s="12">
        <f t="shared" si="27"/>
        <v>1</v>
      </c>
      <c r="BD150" s="12">
        <f t="shared" si="28"/>
        <v>0</v>
      </c>
      <c r="BE150" s="12">
        <f t="shared" ref="BE150:BE167" si="44">IF(F151+H151&gt;0,0,1)</f>
        <v>1</v>
      </c>
      <c r="BF150" s="12">
        <f t="shared" si="29"/>
        <v>0</v>
      </c>
      <c r="BG150" s="23">
        <f t="shared" si="30"/>
        <v>0</v>
      </c>
      <c r="BH150" s="23">
        <f t="shared" si="31"/>
        <v>0</v>
      </c>
      <c r="BI150" s="23">
        <f t="shared" si="32"/>
        <v>0</v>
      </c>
      <c r="BJ150" s="18">
        <f t="shared" si="33"/>
        <v>1.4079333846715957E-2</v>
      </c>
      <c r="BL150" s="23"/>
      <c r="BN150" s="12">
        <f t="shared" si="34"/>
        <v>1</v>
      </c>
      <c r="BO150" s="12">
        <f t="shared" si="35"/>
        <v>0</v>
      </c>
      <c r="BP150" s="12">
        <f t="shared" si="36"/>
        <v>0</v>
      </c>
      <c r="BQ150" s="12">
        <f t="shared" ref="BQ150:BQ167" si="45">IF(F151+H151&gt;0,0,1)</f>
        <v>1</v>
      </c>
      <c r="BR150" s="12">
        <f t="shared" si="37"/>
        <v>0</v>
      </c>
      <c r="BS150" s="23">
        <f t="shared" si="38"/>
        <v>0</v>
      </c>
      <c r="BT150" s="23">
        <f t="shared" si="39"/>
        <v>0</v>
      </c>
      <c r="BU150" s="23">
        <f t="shared" si="40"/>
        <v>0</v>
      </c>
      <c r="BV150" s="18">
        <f t="shared" si="41"/>
        <v>1.8906285690083856E-2</v>
      </c>
      <c r="BX150" s="18">
        <f t="shared" si="42"/>
        <v>0</v>
      </c>
      <c r="BY150" s="18">
        <f t="shared" si="43"/>
        <v>3.2985619536799814E-2</v>
      </c>
    </row>
    <row r="151" spans="1:77" x14ac:dyDescent="0.3">
      <c r="A151" s="1">
        <v>46241</v>
      </c>
      <c r="B151" s="6">
        <v>21.99</v>
      </c>
      <c r="C151" s="6">
        <v>41.45</v>
      </c>
      <c r="D151" s="7">
        <v>5.92932181827716E-3</v>
      </c>
      <c r="E151" s="7">
        <v>4.3520378168134602E-3</v>
      </c>
      <c r="F151" s="6">
        <v>0</v>
      </c>
      <c r="G151" s="6">
        <v>0.30299999999999899</v>
      </c>
      <c r="H151" s="6">
        <v>0</v>
      </c>
      <c r="I151" s="6">
        <v>0</v>
      </c>
      <c r="J151" s="6">
        <v>0.30299999999999899</v>
      </c>
      <c r="K151" s="6">
        <v>0</v>
      </c>
      <c r="L151" s="6">
        <v>22.292999999999999</v>
      </c>
      <c r="M151" s="6">
        <v>41.45</v>
      </c>
      <c r="N151" s="8">
        <v>1.88494770350159</v>
      </c>
      <c r="O151" s="8">
        <v>1.8787268979407299</v>
      </c>
      <c r="P151" s="8">
        <v>1.8906292764018</v>
      </c>
      <c r="Q151" s="8">
        <v>1.89071847687725</v>
      </c>
      <c r="R151" s="6">
        <v>41.313204485716597</v>
      </c>
      <c r="S151" s="6">
        <v>41.585431246019503</v>
      </c>
      <c r="T151" s="6">
        <v>41.584231636313199</v>
      </c>
      <c r="U151" s="7">
        <v>-3.30571151045555E-3</v>
      </c>
      <c r="V151" s="7">
        <v>3.2620139156968402E-3</v>
      </c>
      <c r="W151" s="7">
        <v>3.23316662535517E-3</v>
      </c>
      <c r="X151" s="8">
        <v>1.8593280401919801</v>
      </c>
      <c r="Y151" s="8">
        <v>1.8658943630327001</v>
      </c>
      <c r="Z151" s="8">
        <v>1.86657124160976</v>
      </c>
      <c r="AA151" s="8">
        <v>1.8675024913037801</v>
      </c>
      <c r="AB151" s="6">
        <v>41.596383035088003</v>
      </c>
      <c r="AC151" s="6">
        <v>41.629136523905601</v>
      </c>
      <c r="AD151" s="6">
        <v>41.643372173547696</v>
      </c>
      <c r="AE151" s="7">
        <v>3.5253356339463499E-3</v>
      </c>
      <c r="AF151" s="7">
        <v>4.3124377315271502E-3</v>
      </c>
      <c r="AG151" s="7">
        <v>4.6543428813413503E-3</v>
      </c>
      <c r="AZ151" s="23"/>
      <c r="BB151" s="12">
        <f t="shared" ref="BB151:BB167" si="46">IF($AG151&lt;BA$20,1,0)</f>
        <v>0</v>
      </c>
      <c r="BC151" s="12">
        <f t="shared" ref="BC151:BC167" si="47">IF($AG151&gt;BA$21,1,0)</f>
        <v>1</v>
      </c>
      <c r="BD151" s="12">
        <f t="shared" ref="BD151:BD167" si="48">BF151</f>
        <v>0</v>
      </c>
      <c r="BE151" s="12">
        <f t="shared" si="44"/>
        <v>1</v>
      </c>
      <c r="BF151" s="12">
        <f t="shared" ref="BF151:BF167" si="49">IF(BB150,1,IF(BC150,0,BD150))*BE150</f>
        <v>0</v>
      </c>
      <c r="BG151" s="23">
        <f t="shared" ref="BG151:BG167" si="50">BF151*D151</f>
        <v>0</v>
      </c>
      <c r="BH151" s="23">
        <f t="shared" ref="BH151:BH167" si="51">-BF151*$E151</f>
        <v>0</v>
      </c>
      <c r="BI151" s="23">
        <f t="shared" ref="BI151:BI167" si="52">BG151+BH151</f>
        <v>0</v>
      </c>
      <c r="BJ151" s="18">
        <f t="shared" ref="BJ151:BJ167" si="53">BJ150+BI151</f>
        <v>1.4079333846715957E-2</v>
      </c>
      <c r="BL151" s="23"/>
      <c r="BN151" s="12">
        <f t="shared" ref="BN151:BN167" si="54">IF($AG151&gt;BM$20,1,0)</f>
        <v>1</v>
      </c>
      <c r="BO151" s="12">
        <f t="shared" ref="BO151:BO167" si="55">IF($AG151&lt;BM$21,1,0)</f>
        <v>0</v>
      </c>
      <c r="BP151" s="12">
        <f t="shared" ref="BP151:BP167" si="56">BR151</f>
        <v>1</v>
      </c>
      <c r="BQ151" s="12">
        <f t="shared" si="45"/>
        <v>1</v>
      </c>
      <c r="BR151" s="12">
        <f t="shared" ref="BR151:BR167" si="57">IF(BN150,1,IF(BO150,0,BP150))*BQ150</f>
        <v>1</v>
      </c>
      <c r="BS151" s="23">
        <f t="shared" ref="BS151:BS167" si="58">-BR151*D151</f>
        <v>-5.92932181827716E-3</v>
      </c>
      <c r="BT151" s="23">
        <f t="shared" ref="BT151:BT167" si="59">BR151*$E151</f>
        <v>4.3520378168134602E-3</v>
      </c>
      <c r="BU151" s="23">
        <f t="shared" ref="BU151:BU167" si="60">BS151+BT151</f>
        <v>-1.5772840014636998E-3</v>
      </c>
      <c r="BV151" s="18">
        <f t="shared" ref="BV151:BV167" si="61">BV150+BU151</f>
        <v>1.7329001688620158E-2</v>
      </c>
      <c r="BX151" s="18">
        <f t="shared" ref="BX151:BX167" si="62">BI151+BU151</f>
        <v>-1.5772840014636998E-3</v>
      </c>
      <c r="BY151" s="18">
        <f t="shared" ref="BY151:BY167" si="63">BY150+BX151</f>
        <v>3.1408335535336111E-2</v>
      </c>
    </row>
    <row r="152" spans="1:77" x14ac:dyDescent="0.3">
      <c r="A152" s="1">
        <v>46244</v>
      </c>
      <c r="B152" s="6">
        <v>21.79</v>
      </c>
      <c r="C152" s="6">
        <v>41.19</v>
      </c>
      <c r="D152" s="7">
        <v>-9.1366556101412505E-3</v>
      </c>
      <c r="E152" s="7">
        <v>-6.2923731333147702E-3</v>
      </c>
      <c r="F152" s="6">
        <v>0</v>
      </c>
      <c r="G152" s="6">
        <v>0.30299999999999899</v>
      </c>
      <c r="H152" s="6">
        <v>0</v>
      </c>
      <c r="I152" s="6">
        <v>0</v>
      </c>
      <c r="J152" s="6">
        <v>0.30299999999999899</v>
      </c>
      <c r="K152" s="6">
        <v>0</v>
      </c>
      <c r="L152" s="6">
        <v>22.093</v>
      </c>
      <c r="M152" s="6">
        <v>41.19</v>
      </c>
      <c r="N152" s="8">
        <v>1.8903166590178899</v>
      </c>
      <c r="O152" s="8">
        <v>1.8787268979407299</v>
      </c>
      <c r="P152" s="8">
        <v>1.8905284796170201</v>
      </c>
      <c r="Q152" s="8">
        <v>1.8906422352360801</v>
      </c>
      <c r="R152" s="6">
        <v>40.9374591061285</v>
      </c>
      <c r="S152" s="6">
        <v>41.1968119327952</v>
      </c>
      <c r="T152" s="6">
        <v>41.198755611155399</v>
      </c>
      <c r="U152" s="7">
        <v>-6.1499939872821201E-3</v>
      </c>
      <c r="V152" s="7">
        <v>1.65364641524373E-4</v>
      </c>
      <c r="W152" s="7">
        <v>2.1254383862217901E-4</v>
      </c>
      <c r="X152" s="8">
        <v>1.8643914362015099</v>
      </c>
      <c r="Y152" s="8">
        <v>1.8658943630327001</v>
      </c>
      <c r="Z152" s="8">
        <v>1.86612249491996</v>
      </c>
      <c r="AA152" s="8">
        <v>1.8672520642655299</v>
      </c>
      <c r="AB152" s="6">
        <v>41.223204162481501</v>
      </c>
      <c r="AC152" s="6">
        <v>41.238158440884398</v>
      </c>
      <c r="AD152" s="6">
        <v>41.258732540374503</v>
      </c>
      <c r="AE152" s="7">
        <v>8.0579719271055403E-4</v>
      </c>
      <c r="AF152" s="7">
        <v>1.1684950209953999E-3</v>
      </c>
      <c r="AG152" s="7">
        <v>1.6672798763266801E-3</v>
      </c>
      <c r="AZ152" s="23"/>
      <c r="BB152" s="12">
        <f t="shared" si="46"/>
        <v>0</v>
      </c>
      <c r="BC152" s="12">
        <f t="shared" si="47"/>
        <v>1</v>
      </c>
      <c r="BD152" s="12">
        <f t="shared" si="48"/>
        <v>0</v>
      </c>
      <c r="BE152" s="12">
        <f t="shared" si="44"/>
        <v>1</v>
      </c>
      <c r="BF152" s="12">
        <f t="shared" si="49"/>
        <v>0</v>
      </c>
      <c r="BG152" s="23">
        <f t="shared" si="50"/>
        <v>0</v>
      </c>
      <c r="BH152" s="23">
        <f t="shared" si="51"/>
        <v>0</v>
      </c>
      <c r="BI152" s="23">
        <f t="shared" si="52"/>
        <v>0</v>
      </c>
      <c r="BJ152" s="18">
        <f t="shared" si="53"/>
        <v>1.4079333846715957E-2</v>
      </c>
      <c r="BL152" s="23"/>
      <c r="BN152" s="12">
        <f t="shared" si="54"/>
        <v>0</v>
      </c>
      <c r="BO152" s="12">
        <f t="shared" si="55"/>
        <v>0</v>
      </c>
      <c r="BP152" s="12">
        <f t="shared" si="56"/>
        <v>1</v>
      </c>
      <c r="BQ152" s="12">
        <f t="shared" si="45"/>
        <v>1</v>
      </c>
      <c r="BR152" s="12">
        <f t="shared" si="57"/>
        <v>1</v>
      </c>
      <c r="BS152" s="23">
        <f t="shared" si="58"/>
        <v>9.1366556101412505E-3</v>
      </c>
      <c r="BT152" s="23">
        <f t="shared" si="59"/>
        <v>-6.2923731333147702E-3</v>
      </c>
      <c r="BU152" s="23">
        <f t="shared" si="60"/>
        <v>2.8442824768264803E-3</v>
      </c>
      <c r="BV152" s="18">
        <f t="shared" si="61"/>
        <v>2.0173284165446639E-2</v>
      </c>
      <c r="BX152" s="18">
        <f t="shared" si="62"/>
        <v>2.8442824768264803E-3</v>
      </c>
      <c r="BY152" s="18">
        <f t="shared" si="63"/>
        <v>3.4252618012162589E-2</v>
      </c>
    </row>
    <row r="153" spans="1:77" x14ac:dyDescent="0.3">
      <c r="A153" s="1">
        <v>46245</v>
      </c>
      <c r="B153" s="6">
        <v>21.83</v>
      </c>
      <c r="C153" s="6">
        <v>41.24</v>
      </c>
      <c r="D153" s="7">
        <v>1.8340216053240399E-3</v>
      </c>
      <c r="E153" s="7">
        <v>1.2131507007699901E-3</v>
      </c>
      <c r="F153" s="6">
        <v>0</v>
      </c>
      <c r="G153" s="6">
        <v>0.30299999999999899</v>
      </c>
      <c r="H153" s="6">
        <v>0</v>
      </c>
      <c r="I153" s="6">
        <v>0</v>
      </c>
      <c r="J153" s="6">
        <v>0.30299999999999899</v>
      </c>
      <c r="K153" s="6">
        <v>0</v>
      </c>
      <c r="L153" s="6">
        <v>22.132999999999999</v>
      </c>
      <c r="M153" s="6">
        <v>41.24</v>
      </c>
      <c r="N153" s="8">
        <v>1.8891433806688001</v>
      </c>
      <c r="O153" s="8">
        <v>1.8787268979407299</v>
      </c>
      <c r="P153" s="8">
        <v>1.89006228671045</v>
      </c>
      <c r="Q153" s="8">
        <v>1.89061121529314</v>
      </c>
      <c r="R153" s="6">
        <v>41.012608182046101</v>
      </c>
      <c r="S153" s="6">
        <v>41.270236710039597</v>
      </c>
      <c r="T153" s="6">
        <v>41.272719995203602</v>
      </c>
      <c r="U153" s="7">
        <v>-5.5291230827281103E-3</v>
      </c>
      <c r="V153" s="7">
        <v>7.3292024356797695E-4</v>
      </c>
      <c r="W153" s="7">
        <v>7.9308976653740101E-4</v>
      </c>
      <c r="X153" s="8">
        <v>1.8632810735101399</v>
      </c>
      <c r="Y153" s="8">
        <v>1.8658943630327001</v>
      </c>
      <c r="Z153" s="8">
        <v>1.8653144844479399</v>
      </c>
      <c r="AA153" s="8">
        <v>1.86704158996301</v>
      </c>
      <c r="AB153" s="6">
        <v>41.297839937002799</v>
      </c>
      <c r="AC153" s="6">
        <v>41.302889180063602</v>
      </c>
      <c r="AD153" s="6">
        <v>41.327889938389099</v>
      </c>
      <c r="AE153" s="7">
        <v>1.4015376829573799E-3</v>
      </c>
      <c r="AF153" s="7">
        <v>1.52379430517022E-3</v>
      </c>
      <c r="AG153" s="7">
        <v>2.1289140766429602E-3</v>
      </c>
      <c r="AZ153" s="23"/>
      <c r="BB153" s="12">
        <f t="shared" si="46"/>
        <v>0</v>
      </c>
      <c r="BC153" s="12">
        <f t="shared" si="47"/>
        <v>1</v>
      </c>
      <c r="BD153" s="12">
        <f t="shared" si="48"/>
        <v>0</v>
      </c>
      <c r="BE153" s="12">
        <f t="shared" si="44"/>
        <v>1</v>
      </c>
      <c r="BF153" s="12">
        <f t="shared" si="49"/>
        <v>0</v>
      </c>
      <c r="BG153" s="23">
        <f t="shared" si="50"/>
        <v>0</v>
      </c>
      <c r="BH153" s="23">
        <f t="shared" si="51"/>
        <v>0</v>
      </c>
      <c r="BI153" s="23">
        <f t="shared" si="52"/>
        <v>0</v>
      </c>
      <c r="BJ153" s="18">
        <f t="shared" si="53"/>
        <v>1.4079333846715957E-2</v>
      </c>
      <c r="BL153" s="23"/>
      <c r="BN153" s="12">
        <f t="shared" si="54"/>
        <v>1</v>
      </c>
      <c r="BO153" s="12">
        <f t="shared" si="55"/>
        <v>0</v>
      </c>
      <c r="BP153" s="12">
        <f t="shared" si="56"/>
        <v>1</v>
      </c>
      <c r="BQ153" s="12">
        <f t="shared" si="45"/>
        <v>1</v>
      </c>
      <c r="BR153" s="12">
        <f t="shared" si="57"/>
        <v>1</v>
      </c>
      <c r="BS153" s="23">
        <f t="shared" si="58"/>
        <v>-1.8340216053240399E-3</v>
      </c>
      <c r="BT153" s="23">
        <f t="shared" si="59"/>
        <v>1.2131507007699901E-3</v>
      </c>
      <c r="BU153" s="23">
        <f t="shared" si="60"/>
        <v>-6.2087090455404986E-4</v>
      </c>
      <c r="BV153" s="18">
        <f t="shared" si="61"/>
        <v>1.955241326089259E-2</v>
      </c>
      <c r="BX153" s="18">
        <f t="shared" si="62"/>
        <v>-6.2087090455404986E-4</v>
      </c>
      <c r="BY153" s="18">
        <f t="shared" si="63"/>
        <v>3.3631747107608537E-2</v>
      </c>
    </row>
    <row r="154" spans="1:77" x14ac:dyDescent="0.3">
      <c r="A154" s="1">
        <v>46246</v>
      </c>
      <c r="B154" s="6">
        <v>21.84</v>
      </c>
      <c r="C154" s="6">
        <v>41.19</v>
      </c>
      <c r="D154" s="7">
        <v>4.57980314851896E-4</v>
      </c>
      <c r="E154" s="7">
        <v>-1.2131507007699101E-3</v>
      </c>
      <c r="F154" s="6">
        <v>0</v>
      </c>
      <c r="G154" s="6">
        <v>0.30299999999999899</v>
      </c>
      <c r="H154" s="6">
        <v>0</v>
      </c>
      <c r="I154" s="6">
        <v>0</v>
      </c>
      <c r="J154" s="6">
        <v>0.30299999999999899</v>
      </c>
      <c r="K154" s="6">
        <v>0</v>
      </c>
      <c r="L154" s="6">
        <v>22.143000000000001</v>
      </c>
      <c r="M154" s="6">
        <v>41.19</v>
      </c>
      <c r="N154" s="8">
        <v>1.8859890109890101</v>
      </c>
      <c r="O154" s="8">
        <v>1.8787268979407299</v>
      </c>
      <c r="P154" s="8">
        <v>1.8894518854837701</v>
      </c>
      <c r="Q154" s="8">
        <v>1.89026615984074</v>
      </c>
      <c r="R154" s="6">
        <v>41.031395451025503</v>
      </c>
      <c r="S154" s="6">
        <v>41.278960341756303</v>
      </c>
      <c r="T154" s="6">
        <v>41.290948942002203</v>
      </c>
      <c r="U154" s="7">
        <v>-3.8579920671063198E-3</v>
      </c>
      <c r="V154" s="7">
        <v>2.15742688868849E-3</v>
      </c>
      <c r="W154" s="7">
        <v>2.4478135545854501E-3</v>
      </c>
      <c r="X154" s="8">
        <v>1.8601815472158201</v>
      </c>
      <c r="Y154" s="8">
        <v>1.8658943630327001</v>
      </c>
      <c r="Z154" s="8">
        <v>1.86436262882826</v>
      </c>
      <c r="AA154" s="8">
        <v>1.8665181020221</v>
      </c>
      <c r="AB154" s="6">
        <v>41.316498880633098</v>
      </c>
      <c r="AC154" s="6">
        <v>41.303658629130801</v>
      </c>
      <c r="AD154" s="6">
        <v>41.341901926551003</v>
      </c>
      <c r="AE154" s="7">
        <v>3.0664003798442502E-3</v>
      </c>
      <c r="AF154" s="7">
        <v>2.7555742571960498E-3</v>
      </c>
      <c r="AG154" s="7">
        <v>3.6810516789156401E-3</v>
      </c>
      <c r="AZ154" s="23"/>
      <c r="BB154" s="12">
        <f t="shared" si="46"/>
        <v>0</v>
      </c>
      <c r="BC154" s="12">
        <f t="shared" si="47"/>
        <v>1</v>
      </c>
      <c r="BD154" s="12">
        <f t="shared" si="48"/>
        <v>0</v>
      </c>
      <c r="BE154" s="12">
        <f t="shared" si="44"/>
        <v>1</v>
      </c>
      <c r="BF154" s="12">
        <f t="shared" si="49"/>
        <v>0</v>
      </c>
      <c r="BG154" s="23">
        <f t="shared" si="50"/>
        <v>0</v>
      </c>
      <c r="BH154" s="23">
        <f t="shared" si="51"/>
        <v>0</v>
      </c>
      <c r="BI154" s="23">
        <f t="shared" si="52"/>
        <v>0</v>
      </c>
      <c r="BJ154" s="18">
        <f t="shared" si="53"/>
        <v>1.4079333846715957E-2</v>
      </c>
      <c r="BL154" s="23"/>
      <c r="BN154" s="12">
        <f t="shared" si="54"/>
        <v>1</v>
      </c>
      <c r="BO154" s="12">
        <f t="shared" si="55"/>
        <v>0</v>
      </c>
      <c r="BP154" s="12">
        <f t="shared" si="56"/>
        <v>1</v>
      </c>
      <c r="BQ154" s="12">
        <f t="shared" si="45"/>
        <v>1</v>
      </c>
      <c r="BR154" s="12">
        <f t="shared" si="57"/>
        <v>1</v>
      </c>
      <c r="BS154" s="23">
        <f t="shared" si="58"/>
        <v>-4.57980314851896E-4</v>
      </c>
      <c r="BT154" s="23">
        <f t="shared" si="59"/>
        <v>-1.2131507007699101E-3</v>
      </c>
      <c r="BU154" s="23">
        <f t="shared" si="60"/>
        <v>-1.6711310156218061E-3</v>
      </c>
      <c r="BV154" s="18">
        <f t="shared" si="61"/>
        <v>1.7881282245270785E-2</v>
      </c>
      <c r="BX154" s="18">
        <f t="shared" si="62"/>
        <v>-1.6711310156218061E-3</v>
      </c>
      <c r="BY154" s="18">
        <f t="shared" si="63"/>
        <v>3.1960616091986728E-2</v>
      </c>
    </row>
    <row r="155" spans="1:77" x14ac:dyDescent="0.3">
      <c r="A155" s="1">
        <v>46247</v>
      </c>
      <c r="B155" s="6">
        <v>21.83</v>
      </c>
      <c r="C155" s="6">
        <v>41.29</v>
      </c>
      <c r="D155" s="7">
        <v>-4.5798031485187502E-4</v>
      </c>
      <c r="E155" s="7">
        <v>2.42483145000943E-3</v>
      </c>
      <c r="F155" s="6">
        <v>0</v>
      </c>
      <c r="G155" s="6">
        <v>0.30299999999999899</v>
      </c>
      <c r="H155" s="6">
        <v>0</v>
      </c>
      <c r="I155" s="6">
        <v>0</v>
      </c>
      <c r="J155" s="6">
        <v>0.30299999999999899</v>
      </c>
      <c r="K155" s="6">
        <v>0</v>
      </c>
      <c r="L155" s="6">
        <v>22.132999999999999</v>
      </c>
      <c r="M155" s="6">
        <v>41.29</v>
      </c>
      <c r="N155" s="8">
        <v>1.8914338066880401</v>
      </c>
      <c r="O155" s="8">
        <v>1.8787268979407299</v>
      </c>
      <c r="P155" s="8">
        <v>1.88957367680944</v>
      </c>
      <c r="Q155" s="8">
        <v>1.89023386684953</v>
      </c>
      <c r="R155" s="6">
        <v>41.012608182046101</v>
      </c>
      <c r="S155" s="6">
        <v>41.246734660110697</v>
      </c>
      <c r="T155" s="6">
        <v>41.264510269323402</v>
      </c>
      <c r="U155" s="7">
        <v>-6.7408038319677101E-3</v>
      </c>
      <c r="V155" s="7">
        <v>-1.0483900054977201E-3</v>
      </c>
      <c r="W155" s="7">
        <v>-6.1752486698456904E-4</v>
      </c>
      <c r="X155" s="8">
        <v>1.8655401436768599</v>
      </c>
      <c r="Y155" s="8">
        <v>1.8658943630327001</v>
      </c>
      <c r="Z155" s="8">
        <v>1.86410470357502</v>
      </c>
      <c r="AA155" s="8">
        <v>1.86630615165932</v>
      </c>
      <c r="AB155" s="6">
        <v>41.297839937002799</v>
      </c>
      <c r="AC155" s="6">
        <v>41.263938063856003</v>
      </c>
      <c r="AD155" s="6">
        <v>41.311645152055299</v>
      </c>
      <c r="AE155" s="7">
        <v>1.89856933717795E-4</v>
      </c>
      <c r="AF155" s="7">
        <v>-6.3139173299280895E-4</v>
      </c>
      <c r="AG155" s="7">
        <v>5.2408526515187602E-4</v>
      </c>
      <c r="AZ155" s="23"/>
      <c r="BB155" s="12">
        <f t="shared" si="46"/>
        <v>0</v>
      </c>
      <c r="BC155" s="12">
        <f t="shared" si="47"/>
        <v>1</v>
      </c>
      <c r="BD155" s="12">
        <f t="shared" si="48"/>
        <v>0</v>
      </c>
      <c r="BE155" s="12">
        <f t="shared" si="44"/>
        <v>1</v>
      </c>
      <c r="BF155" s="12">
        <f t="shared" si="49"/>
        <v>0</v>
      </c>
      <c r="BG155" s="23">
        <f t="shared" si="50"/>
        <v>0</v>
      </c>
      <c r="BH155" s="23">
        <f t="shared" si="51"/>
        <v>0</v>
      </c>
      <c r="BI155" s="23">
        <f t="shared" si="52"/>
        <v>0</v>
      </c>
      <c r="BJ155" s="18">
        <f t="shared" si="53"/>
        <v>1.4079333846715957E-2</v>
      </c>
      <c r="BL155" s="23"/>
      <c r="BN155" s="12">
        <f t="shared" si="54"/>
        <v>0</v>
      </c>
      <c r="BO155" s="12">
        <f t="shared" si="55"/>
        <v>0</v>
      </c>
      <c r="BP155" s="12">
        <f t="shared" si="56"/>
        <v>1</v>
      </c>
      <c r="BQ155" s="12">
        <f t="shared" si="45"/>
        <v>1</v>
      </c>
      <c r="BR155" s="12">
        <f t="shared" si="57"/>
        <v>1</v>
      </c>
      <c r="BS155" s="23">
        <f t="shared" si="58"/>
        <v>4.5798031485187502E-4</v>
      </c>
      <c r="BT155" s="23">
        <f t="shared" si="59"/>
        <v>2.42483145000943E-3</v>
      </c>
      <c r="BU155" s="23">
        <f t="shared" si="60"/>
        <v>2.8828117648613052E-3</v>
      </c>
      <c r="BV155" s="18">
        <f t="shared" si="61"/>
        <v>2.076409401013209E-2</v>
      </c>
      <c r="BX155" s="18">
        <f t="shared" si="62"/>
        <v>2.8828117648613052E-3</v>
      </c>
      <c r="BY155" s="18">
        <f t="shared" si="63"/>
        <v>3.4843427856848033E-2</v>
      </c>
    </row>
    <row r="156" spans="1:77" x14ac:dyDescent="0.3">
      <c r="A156" s="1">
        <v>46248</v>
      </c>
      <c r="B156" s="6">
        <v>21.78</v>
      </c>
      <c r="C156" s="6">
        <v>41.2</v>
      </c>
      <c r="D156" s="7">
        <v>-2.29305305703799E-3</v>
      </c>
      <c r="E156" s="7">
        <v>-2.1820835425180899E-3</v>
      </c>
      <c r="F156" s="6">
        <v>0</v>
      </c>
      <c r="G156" s="6">
        <v>0.30299999999999899</v>
      </c>
      <c r="H156" s="6">
        <v>0</v>
      </c>
      <c r="I156" s="6">
        <v>0</v>
      </c>
      <c r="J156" s="6">
        <v>0.30299999999999899</v>
      </c>
      <c r="K156" s="6">
        <v>0</v>
      </c>
      <c r="L156" s="6">
        <v>22.082999999999998</v>
      </c>
      <c r="M156" s="6">
        <v>41.2</v>
      </c>
      <c r="N156" s="8">
        <v>1.8916437098255201</v>
      </c>
      <c r="O156" s="8">
        <v>1.8787268979407299</v>
      </c>
      <c r="P156" s="8">
        <v>1.88992589309586</v>
      </c>
      <c r="Q156" s="8">
        <v>1.89026595957643</v>
      </c>
      <c r="R156" s="6">
        <v>40.918671837149098</v>
      </c>
      <c r="S156" s="6">
        <v>41.154914680909698</v>
      </c>
      <c r="T156" s="6">
        <v>41.169293619982803</v>
      </c>
      <c r="U156" s="7">
        <v>-6.8517733464876296E-3</v>
      </c>
      <c r="V156" s="7">
        <v>-1.0949030490535101E-3</v>
      </c>
      <c r="W156" s="7">
        <v>-7.4557836033498201E-4</v>
      </c>
      <c r="X156" s="8">
        <v>1.86568853869492</v>
      </c>
      <c r="Y156" s="8">
        <v>1.8658943630327001</v>
      </c>
      <c r="Z156" s="8">
        <v>1.8640736256961301</v>
      </c>
      <c r="AA156" s="8">
        <v>1.8661564087762601</v>
      </c>
      <c r="AB156" s="6">
        <v>41.204545218851202</v>
      </c>
      <c r="AC156" s="6">
        <v>41.1650241690473</v>
      </c>
      <c r="AD156" s="6">
        <v>41.213638747092702</v>
      </c>
      <c r="AE156" s="7">
        <v>1.1031476100668E-4</v>
      </c>
      <c r="AF156" s="7">
        <v>-8.4928847912992304E-4</v>
      </c>
      <c r="AG156" s="7">
        <v>3.3098276995521201E-4</v>
      </c>
      <c r="AZ156" s="23"/>
      <c r="BB156" s="12">
        <f t="shared" si="46"/>
        <v>0</v>
      </c>
      <c r="BC156" s="12">
        <f t="shared" si="47"/>
        <v>1</v>
      </c>
      <c r="BD156" s="12">
        <f t="shared" si="48"/>
        <v>0</v>
      </c>
      <c r="BE156" s="12">
        <f t="shared" si="44"/>
        <v>1</v>
      </c>
      <c r="BF156" s="12">
        <f t="shared" si="49"/>
        <v>0</v>
      </c>
      <c r="BG156" s="23">
        <f t="shared" si="50"/>
        <v>0</v>
      </c>
      <c r="BH156" s="23">
        <f t="shared" si="51"/>
        <v>0</v>
      </c>
      <c r="BI156" s="23">
        <f t="shared" si="52"/>
        <v>0</v>
      </c>
      <c r="BJ156" s="18">
        <f t="shared" si="53"/>
        <v>1.4079333846715957E-2</v>
      </c>
      <c r="BL156" s="23"/>
      <c r="BN156" s="12">
        <f t="shared" si="54"/>
        <v>0</v>
      </c>
      <c r="BO156" s="12">
        <f t="shared" si="55"/>
        <v>0</v>
      </c>
      <c r="BP156" s="12">
        <f t="shared" si="56"/>
        <v>1</v>
      </c>
      <c r="BQ156" s="12">
        <f t="shared" si="45"/>
        <v>1</v>
      </c>
      <c r="BR156" s="12">
        <f t="shared" si="57"/>
        <v>1</v>
      </c>
      <c r="BS156" s="23">
        <f t="shared" si="58"/>
        <v>2.29305305703799E-3</v>
      </c>
      <c r="BT156" s="23">
        <f t="shared" si="59"/>
        <v>-2.1820835425180899E-3</v>
      </c>
      <c r="BU156" s="23">
        <f t="shared" si="60"/>
        <v>1.1096951451990003E-4</v>
      </c>
      <c r="BV156" s="18">
        <f t="shared" si="61"/>
        <v>2.0875063524651991E-2</v>
      </c>
      <c r="BX156" s="18">
        <f t="shared" si="62"/>
        <v>1.1096951451990003E-4</v>
      </c>
      <c r="BY156" s="18">
        <f t="shared" si="63"/>
        <v>3.4954397371367935E-2</v>
      </c>
    </row>
    <row r="157" spans="1:77" x14ac:dyDescent="0.3">
      <c r="A157" s="1">
        <v>46251</v>
      </c>
      <c r="B157" s="6">
        <v>21.77</v>
      </c>
      <c r="C157" s="6">
        <v>41.22</v>
      </c>
      <c r="D157" s="7">
        <v>-4.59242258358364E-4</v>
      </c>
      <c r="E157" s="7">
        <v>4.8531910683206702E-4</v>
      </c>
      <c r="F157" s="6">
        <v>0</v>
      </c>
      <c r="G157" s="6">
        <v>0.30299999999999899</v>
      </c>
      <c r="H157" s="6">
        <v>0</v>
      </c>
      <c r="I157" s="6">
        <v>0</v>
      </c>
      <c r="J157" s="6">
        <v>0.30299999999999899</v>
      </c>
      <c r="K157" s="6">
        <v>0</v>
      </c>
      <c r="L157" s="6">
        <v>22.073</v>
      </c>
      <c r="M157" s="6">
        <v>41.22</v>
      </c>
      <c r="N157" s="8">
        <v>1.8934313275149199</v>
      </c>
      <c r="O157" s="8">
        <v>1.8787268979407299</v>
      </c>
      <c r="P157" s="8">
        <v>1.8898340235506199</v>
      </c>
      <c r="Q157" s="8">
        <v>1.8903768564961101</v>
      </c>
      <c r="R157" s="6">
        <v>40.899884568169703</v>
      </c>
      <c r="S157" s="6">
        <v>41.143686692697003</v>
      </c>
      <c r="T157" s="6">
        <v>41.151089939978903</v>
      </c>
      <c r="U157" s="7">
        <v>-7.7963347116782903E-3</v>
      </c>
      <c r="V157" s="7">
        <v>-1.8530819152252299E-3</v>
      </c>
      <c r="W157" s="7">
        <v>-1.6731616917351601E-3</v>
      </c>
      <c r="X157" s="8">
        <v>1.8674398586508401</v>
      </c>
      <c r="Y157" s="8">
        <v>1.8658943630327001</v>
      </c>
      <c r="Z157" s="8">
        <v>1.8639830172604901</v>
      </c>
      <c r="AA157" s="8">
        <v>1.86608634359464</v>
      </c>
      <c r="AB157" s="6">
        <v>41.185886275220803</v>
      </c>
      <c r="AC157" s="6">
        <v>41.145697139990801</v>
      </c>
      <c r="AD157" s="6">
        <v>41.191670410918398</v>
      </c>
      <c r="AE157" s="7">
        <v>-8.2794393142969199E-4</v>
      </c>
      <c r="AF157" s="7">
        <v>-1.80421905587128E-3</v>
      </c>
      <c r="AG157" s="7">
        <v>-6.87514039121829E-4</v>
      </c>
      <c r="BB157" s="12">
        <f t="shared" si="46"/>
        <v>0</v>
      </c>
      <c r="BC157" s="12">
        <f t="shared" si="47"/>
        <v>0</v>
      </c>
      <c r="BD157" s="12">
        <f t="shared" si="48"/>
        <v>0</v>
      </c>
      <c r="BE157" s="12">
        <f t="shared" si="44"/>
        <v>1</v>
      </c>
      <c r="BF157" s="12">
        <f t="shared" si="49"/>
        <v>0</v>
      </c>
      <c r="BG157" s="23">
        <f t="shared" si="50"/>
        <v>0</v>
      </c>
      <c r="BH157" s="23">
        <f t="shared" si="51"/>
        <v>0</v>
      </c>
      <c r="BI157" s="23">
        <f t="shared" si="52"/>
        <v>0</v>
      </c>
      <c r="BJ157" s="18">
        <f t="shared" si="53"/>
        <v>1.4079333846715957E-2</v>
      </c>
      <c r="BL157" s="23"/>
      <c r="BN157" s="12">
        <f t="shared" si="54"/>
        <v>0</v>
      </c>
      <c r="BO157" s="12">
        <f t="shared" si="55"/>
        <v>1</v>
      </c>
      <c r="BP157" s="12">
        <f t="shared" si="56"/>
        <v>1</v>
      </c>
      <c r="BQ157" s="12">
        <f t="shared" si="45"/>
        <v>1</v>
      </c>
      <c r="BR157" s="12">
        <f t="shared" si="57"/>
        <v>1</v>
      </c>
      <c r="BS157" s="23">
        <f t="shared" si="58"/>
        <v>4.59242258358364E-4</v>
      </c>
      <c r="BT157" s="23">
        <f t="shared" si="59"/>
        <v>4.8531910683206702E-4</v>
      </c>
      <c r="BU157" s="23">
        <f t="shared" si="60"/>
        <v>9.4456136519043108E-4</v>
      </c>
      <c r="BV157" s="18">
        <f t="shared" si="61"/>
        <v>2.1819624889842421E-2</v>
      </c>
      <c r="BX157" s="18">
        <f t="shared" si="62"/>
        <v>9.4456136519043108E-4</v>
      </c>
      <c r="BY157" s="18">
        <f t="shared" si="63"/>
        <v>3.5898958736558365E-2</v>
      </c>
    </row>
    <row r="158" spans="1:77" x14ac:dyDescent="0.3">
      <c r="A158" s="1">
        <v>46252</v>
      </c>
      <c r="B158" s="6">
        <v>21.74</v>
      </c>
      <c r="C158" s="6">
        <v>41.11</v>
      </c>
      <c r="D158" s="7">
        <v>-1.3789935533927E-3</v>
      </c>
      <c r="E158" s="7">
        <v>-2.6721745525259601E-3</v>
      </c>
      <c r="F158" s="6">
        <v>0</v>
      </c>
      <c r="G158" s="6">
        <v>0.30299999999999899</v>
      </c>
      <c r="H158" s="6">
        <v>0</v>
      </c>
      <c r="I158" s="6">
        <v>0</v>
      </c>
      <c r="J158" s="6">
        <v>0.30299999999999899</v>
      </c>
      <c r="K158" s="6">
        <v>0</v>
      </c>
      <c r="L158" s="6">
        <v>22.042999999999999</v>
      </c>
      <c r="M158" s="6">
        <v>41.11</v>
      </c>
      <c r="N158" s="8">
        <v>1.8909843606255701</v>
      </c>
      <c r="O158" s="8">
        <v>1.8787268979407299</v>
      </c>
      <c r="P158" s="8">
        <v>1.8898099733243201</v>
      </c>
      <c r="Q158" s="8">
        <v>1.8903780782552499</v>
      </c>
      <c r="R158" s="6">
        <v>40.843522761231497</v>
      </c>
      <c r="S158" s="6">
        <v>41.084991671990402</v>
      </c>
      <c r="T158" s="6">
        <v>41.096792860225399</v>
      </c>
      <c r="U158" s="7">
        <v>-6.5031537125450302E-3</v>
      </c>
      <c r="V158" s="7">
        <v>-6.0851222860392297E-4</v>
      </c>
      <c r="W158" s="7">
        <v>-3.2131505021993799E-4</v>
      </c>
      <c r="X158" s="8">
        <v>1.8649911536542201</v>
      </c>
      <c r="Y158" s="8">
        <v>1.8658943630327001</v>
      </c>
      <c r="Z158" s="8">
        <v>1.8639428908642</v>
      </c>
      <c r="AA158" s="8">
        <v>1.86590894145232</v>
      </c>
      <c r="AB158" s="6">
        <v>41.129909444329897</v>
      </c>
      <c r="AC158" s="6">
        <v>41.087777649472997</v>
      </c>
      <c r="AD158" s="6">
        <v>41.134141271856599</v>
      </c>
      <c r="AE158" s="7">
        <v>4.8417963622237399E-4</v>
      </c>
      <c r="AF158" s="7">
        <v>-5.4070442544341805E-4</v>
      </c>
      <c r="AG158" s="7">
        <v>5.8706364190070899E-4</v>
      </c>
      <c r="BB158" s="12">
        <f t="shared" si="46"/>
        <v>0</v>
      </c>
      <c r="BC158" s="12">
        <f t="shared" si="47"/>
        <v>1</v>
      </c>
      <c r="BD158" s="12">
        <f t="shared" si="48"/>
        <v>0</v>
      </c>
      <c r="BE158" s="12">
        <f t="shared" si="44"/>
        <v>1</v>
      </c>
      <c r="BF158" s="12">
        <f t="shared" si="49"/>
        <v>0</v>
      </c>
      <c r="BG158" s="23">
        <f t="shared" si="50"/>
        <v>0</v>
      </c>
      <c r="BH158" s="23">
        <f t="shared" si="51"/>
        <v>0</v>
      </c>
      <c r="BI158" s="23">
        <f t="shared" si="52"/>
        <v>0</v>
      </c>
      <c r="BJ158" s="18">
        <f t="shared" si="53"/>
        <v>1.4079333846715957E-2</v>
      </c>
      <c r="BL158" s="23"/>
      <c r="BN158" s="12">
        <f t="shared" si="54"/>
        <v>0</v>
      </c>
      <c r="BO158" s="12">
        <f t="shared" si="55"/>
        <v>0</v>
      </c>
      <c r="BP158" s="12">
        <f t="shared" si="56"/>
        <v>0</v>
      </c>
      <c r="BQ158" s="12">
        <f t="shared" si="45"/>
        <v>1</v>
      </c>
      <c r="BR158" s="12">
        <f t="shared" si="57"/>
        <v>0</v>
      </c>
      <c r="BS158" s="23">
        <f t="shared" si="58"/>
        <v>0</v>
      </c>
      <c r="BT158" s="23">
        <f t="shared" si="59"/>
        <v>0</v>
      </c>
      <c r="BU158" s="23">
        <f t="shared" si="60"/>
        <v>0</v>
      </c>
      <c r="BV158" s="18">
        <f t="shared" si="61"/>
        <v>2.1819624889842421E-2</v>
      </c>
      <c r="BX158" s="18">
        <f t="shared" si="62"/>
        <v>0</v>
      </c>
      <c r="BY158" s="18">
        <f t="shared" si="63"/>
        <v>3.5898958736558365E-2</v>
      </c>
    </row>
    <row r="159" spans="1:77" x14ac:dyDescent="0.3">
      <c r="A159" s="1">
        <v>46253</v>
      </c>
      <c r="B159" s="6">
        <v>21.98</v>
      </c>
      <c r="C159" s="6">
        <v>41.53</v>
      </c>
      <c r="D159" s="7">
        <v>1.0979067282412E-2</v>
      </c>
      <c r="E159" s="7">
        <v>1.0164656732875201E-2</v>
      </c>
      <c r="F159" s="6">
        <v>0</v>
      </c>
      <c r="G159" s="6">
        <v>0.30299999999999899</v>
      </c>
      <c r="H159" s="6">
        <v>0</v>
      </c>
      <c r="I159" s="6">
        <v>0</v>
      </c>
      <c r="J159" s="6">
        <v>0.30299999999999899</v>
      </c>
      <c r="K159" s="6">
        <v>0</v>
      </c>
      <c r="L159" s="6">
        <v>22.283000000000001</v>
      </c>
      <c r="M159" s="6">
        <v>41.53</v>
      </c>
      <c r="N159" s="8">
        <v>1.8894449499545001</v>
      </c>
      <c r="O159" s="8">
        <v>1.8787268979407299</v>
      </c>
      <c r="P159" s="8">
        <v>1.8895258056086801</v>
      </c>
      <c r="Q159" s="8">
        <v>1.89037222696453</v>
      </c>
      <c r="R159" s="6">
        <v>41.294417216737202</v>
      </c>
      <c r="S159" s="6">
        <v>41.538023213668701</v>
      </c>
      <c r="T159" s="6">
        <v>41.5505101600505</v>
      </c>
      <c r="U159" s="7">
        <v>-5.6887431630083E-3</v>
      </c>
      <c r="V159" s="7">
        <v>1.9317213491586101E-4</v>
      </c>
      <c r="W159" s="7">
        <v>4.9374180364817602E-4</v>
      </c>
      <c r="X159" s="8">
        <v>1.86375263653906</v>
      </c>
      <c r="Y159" s="8">
        <v>1.8658943630327001</v>
      </c>
      <c r="Z159" s="8">
        <v>1.86367069582275</v>
      </c>
      <c r="AA159" s="8">
        <v>1.8657386821776301</v>
      </c>
      <c r="AB159" s="6">
        <v>41.577724091457704</v>
      </c>
      <c r="AC159" s="6">
        <v>41.534239437127098</v>
      </c>
      <c r="AD159" s="6">
        <v>41.578048942382097</v>
      </c>
      <c r="AE159" s="7">
        <v>1.14848763397764E-3</v>
      </c>
      <c r="AF159" s="7">
        <v>1.02076107830064E-4</v>
      </c>
      <c r="AG159" s="7">
        <v>1.15630070365571E-3</v>
      </c>
      <c r="BB159" s="12">
        <f t="shared" si="46"/>
        <v>0</v>
      </c>
      <c r="BC159" s="12">
        <f t="shared" si="47"/>
        <v>1</v>
      </c>
      <c r="BD159" s="12">
        <f t="shared" si="48"/>
        <v>0</v>
      </c>
      <c r="BE159" s="12">
        <f t="shared" si="44"/>
        <v>1</v>
      </c>
      <c r="BF159" s="12">
        <f t="shared" si="49"/>
        <v>0</v>
      </c>
      <c r="BG159" s="23">
        <f t="shared" si="50"/>
        <v>0</v>
      </c>
      <c r="BH159" s="23">
        <f t="shared" si="51"/>
        <v>0</v>
      </c>
      <c r="BI159" s="23">
        <f t="shared" si="52"/>
        <v>0</v>
      </c>
      <c r="BJ159" s="18">
        <f t="shared" si="53"/>
        <v>1.4079333846715957E-2</v>
      </c>
      <c r="BL159" s="23"/>
      <c r="BN159" s="12">
        <f t="shared" si="54"/>
        <v>0</v>
      </c>
      <c r="BO159" s="12">
        <f t="shared" si="55"/>
        <v>0</v>
      </c>
      <c r="BP159" s="12">
        <f t="shared" si="56"/>
        <v>0</v>
      </c>
      <c r="BQ159" s="12">
        <f t="shared" si="45"/>
        <v>1</v>
      </c>
      <c r="BR159" s="12">
        <f t="shared" si="57"/>
        <v>0</v>
      </c>
      <c r="BS159" s="23">
        <f t="shared" si="58"/>
        <v>0</v>
      </c>
      <c r="BT159" s="23">
        <f t="shared" si="59"/>
        <v>0</v>
      </c>
      <c r="BU159" s="23">
        <f t="shared" si="60"/>
        <v>0</v>
      </c>
      <c r="BV159" s="18">
        <f t="shared" si="61"/>
        <v>2.1819624889842421E-2</v>
      </c>
      <c r="BX159" s="18">
        <f t="shared" si="62"/>
        <v>0</v>
      </c>
      <c r="BY159" s="18">
        <f t="shared" si="63"/>
        <v>3.5898958736558365E-2</v>
      </c>
    </row>
    <row r="160" spans="1:77" x14ac:dyDescent="0.3">
      <c r="A160" s="1">
        <v>46254</v>
      </c>
      <c r="B160" s="6">
        <v>21.93</v>
      </c>
      <c r="C160" s="6">
        <v>41.46</v>
      </c>
      <c r="D160" s="7">
        <v>-2.2773865456785199E-3</v>
      </c>
      <c r="E160" s="7">
        <v>-1.68695063502862E-3</v>
      </c>
      <c r="F160" s="6">
        <v>0</v>
      </c>
      <c r="G160" s="6">
        <v>0.30299999999999899</v>
      </c>
      <c r="H160" s="6">
        <v>0</v>
      </c>
      <c r="I160" s="6">
        <v>0</v>
      </c>
      <c r="J160" s="6">
        <v>0.30299999999999899</v>
      </c>
      <c r="K160" s="6">
        <v>0</v>
      </c>
      <c r="L160" s="6">
        <v>22.233000000000001</v>
      </c>
      <c r="M160" s="6">
        <v>41.46</v>
      </c>
      <c r="N160" s="8">
        <v>1.8905608755129899</v>
      </c>
      <c r="O160" s="8">
        <v>1.8787268979407299</v>
      </c>
      <c r="P160" s="8">
        <v>1.8897895784298799</v>
      </c>
      <c r="Q160" s="8">
        <v>1.8904480235491701</v>
      </c>
      <c r="R160" s="6">
        <v>41.200480871840199</v>
      </c>
      <c r="S160" s="6">
        <v>41.437300916998502</v>
      </c>
      <c r="T160" s="6">
        <v>41.455862937332299</v>
      </c>
      <c r="U160" s="7">
        <v>-6.2791790736582099E-3</v>
      </c>
      <c r="V160" s="7">
        <v>-5.4764348941810002E-4</v>
      </c>
      <c r="W160" s="7">
        <v>-9.9789413618761003E-5</v>
      </c>
      <c r="X160" s="8">
        <v>1.8647955741465301</v>
      </c>
      <c r="Y160" s="8">
        <v>1.8658943630327001</v>
      </c>
      <c r="Z160" s="8">
        <v>1.8639390002481899</v>
      </c>
      <c r="AA160" s="8">
        <v>1.8656512953940301</v>
      </c>
      <c r="AB160" s="6">
        <v>41.484429373306099</v>
      </c>
      <c r="AC160" s="6">
        <v>41.4349905802273</v>
      </c>
      <c r="AD160" s="6">
        <v>41.480968120855302</v>
      </c>
      <c r="AE160" s="7">
        <v>5.8905400150656298E-4</v>
      </c>
      <c r="AF160" s="7">
        <v>-6.0340004520069695E-4</v>
      </c>
      <c r="AG160" s="7">
        <v>5.0561554264673197E-4</v>
      </c>
      <c r="BB160" s="12">
        <f t="shared" si="46"/>
        <v>0</v>
      </c>
      <c r="BC160" s="12">
        <f t="shared" si="47"/>
        <v>1</v>
      </c>
      <c r="BD160" s="12">
        <f t="shared" si="48"/>
        <v>0</v>
      </c>
      <c r="BE160" s="12">
        <f t="shared" si="44"/>
        <v>1</v>
      </c>
      <c r="BF160" s="12">
        <f t="shared" si="49"/>
        <v>0</v>
      </c>
      <c r="BG160" s="23">
        <f t="shared" si="50"/>
        <v>0</v>
      </c>
      <c r="BH160" s="23">
        <f t="shared" si="51"/>
        <v>0</v>
      </c>
      <c r="BI160" s="23">
        <f t="shared" si="52"/>
        <v>0</v>
      </c>
      <c r="BJ160" s="18">
        <f t="shared" si="53"/>
        <v>1.4079333846715957E-2</v>
      </c>
      <c r="BL160" s="23"/>
      <c r="BN160" s="12">
        <f t="shared" si="54"/>
        <v>0</v>
      </c>
      <c r="BO160" s="12">
        <f t="shared" si="55"/>
        <v>0</v>
      </c>
      <c r="BP160" s="12">
        <f t="shared" si="56"/>
        <v>0</v>
      </c>
      <c r="BQ160" s="12">
        <f t="shared" si="45"/>
        <v>1</v>
      </c>
      <c r="BR160" s="12">
        <f t="shared" si="57"/>
        <v>0</v>
      </c>
      <c r="BS160" s="23">
        <f t="shared" si="58"/>
        <v>0</v>
      </c>
      <c r="BT160" s="23">
        <f t="shared" si="59"/>
        <v>0</v>
      </c>
      <c r="BU160" s="23">
        <f t="shared" si="60"/>
        <v>0</v>
      </c>
      <c r="BV160" s="18">
        <f t="shared" si="61"/>
        <v>2.1819624889842421E-2</v>
      </c>
      <c r="BX160" s="18">
        <f t="shared" si="62"/>
        <v>0</v>
      </c>
      <c r="BY160" s="18">
        <f t="shared" si="63"/>
        <v>3.5898958736558365E-2</v>
      </c>
    </row>
    <row r="161" spans="1:77" x14ac:dyDescent="0.3">
      <c r="A161" s="1">
        <v>46255</v>
      </c>
      <c r="B161" s="6">
        <v>21.96</v>
      </c>
      <c r="C161" s="6">
        <v>41.49</v>
      </c>
      <c r="D161" s="7">
        <v>1.36705421153309E-3</v>
      </c>
      <c r="E161" s="7">
        <v>7.2332733714302504E-4</v>
      </c>
      <c r="F161" s="6">
        <v>0</v>
      </c>
      <c r="G161" s="6">
        <v>0.30299999999999899</v>
      </c>
      <c r="H161" s="6">
        <v>0</v>
      </c>
      <c r="I161" s="6">
        <v>0</v>
      </c>
      <c r="J161" s="6">
        <v>0.30299999999999899</v>
      </c>
      <c r="K161" s="6">
        <v>0</v>
      </c>
      <c r="L161" s="6">
        <v>22.263000000000002</v>
      </c>
      <c r="M161" s="6">
        <v>41.49</v>
      </c>
      <c r="N161" s="8">
        <v>1.88934426229508</v>
      </c>
      <c r="O161" s="8">
        <v>1.8787268979407299</v>
      </c>
      <c r="P161" s="8">
        <v>1.89022923430923</v>
      </c>
      <c r="Q161" s="8">
        <v>1.89042925535552</v>
      </c>
      <c r="R161" s="6">
        <v>41.256842678778398</v>
      </c>
      <c r="S161" s="6">
        <v>41.4997791423203</v>
      </c>
      <c r="T161" s="6">
        <v>41.514238597139901</v>
      </c>
      <c r="U161" s="7">
        <v>-5.6354521992680196E-3</v>
      </c>
      <c r="V161" s="7">
        <v>2.3567100591583701E-4</v>
      </c>
      <c r="W161" s="7">
        <v>5.8403277323079196E-4</v>
      </c>
      <c r="X161" s="8">
        <v>1.86363023851232</v>
      </c>
      <c r="Y161" s="8">
        <v>1.8658943630327001</v>
      </c>
      <c r="Z161" s="8">
        <v>1.86436922008022</v>
      </c>
      <c r="AA161" s="8">
        <v>1.86547023084499</v>
      </c>
      <c r="AB161" s="6">
        <v>41.540406204197097</v>
      </c>
      <c r="AC161" s="6">
        <v>41.496873962525498</v>
      </c>
      <c r="AD161" s="6">
        <v>41.534994789357498</v>
      </c>
      <c r="AE161" s="7">
        <v>1.2141626831382801E-3</v>
      </c>
      <c r="AF161" s="7">
        <v>1.6566385051044999E-4</v>
      </c>
      <c r="AG161" s="7">
        <v>1.0838854944026099E-3</v>
      </c>
      <c r="BB161" s="12">
        <f t="shared" si="46"/>
        <v>0</v>
      </c>
      <c r="BC161" s="12">
        <f t="shared" si="47"/>
        <v>1</v>
      </c>
      <c r="BD161" s="12">
        <f t="shared" si="48"/>
        <v>0</v>
      </c>
      <c r="BE161" s="12">
        <f t="shared" si="44"/>
        <v>1</v>
      </c>
      <c r="BF161" s="12">
        <f t="shared" si="49"/>
        <v>0</v>
      </c>
      <c r="BG161" s="23">
        <f t="shared" si="50"/>
        <v>0</v>
      </c>
      <c r="BH161" s="23">
        <f t="shared" si="51"/>
        <v>0</v>
      </c>
      <c r="BI161" s="23">
        <f t="shared" si="52"/>
        <v>0</v>
      </c>
      <c r="BJ161" s="18">
        <f t="shared" si="53"/>
        <v>1.4079333846715957E-2</v>
      </c>
      <c r="BL161" s="23"/>
      <c r="BN161" s="12">
        <f t="shared" si="54"/>
        <v>0</v>
      </c>
      <c r="BO161" s="12">
        <f t="shared" si="55"/>
        <v>0</v>
      </c>
      <c r="BP161" s="12">
        <f t="shared" si="56"/>
        <v>0</v>
      </c>
      <c r="BQ161" s="12">
        <f t="shared" si="45"/>
        <v>1</v>
      </c>
      <c r="BR161" s="12">
        <f t="shared" si="57"/>
        <v>0</v>
      </c>
      <c r="BS161" s="23">
        <f t="shared" si="58"/>
        <v>0</v>
      </c>
      <c r="BT161" s="23">
        <f t="shared" si="59"/>
        <v>0</v>
      </c>
      <c r="BU161" s="23">
        <f t="shared" si="60"/>
        <v>0</v>
      </c>
      <c r="BV161" s="18">
        <f t="shared" si="61"/>
        <v>2.1819624889842421E-2</v>
      </c>
      <c r="BX161" s="18">
        <f t="shared" si="62"/>
        <v>0</v>
      </c>
      <c r="BY161" s="18">
        <f t="shared" si="63"/>
        <v>3.5898958736558365E-2</v>
      </c>
    </row>
    <row r="162" spans="1:77" x14ac:dyDescent="0.3">
      <c r="A162" s="1">
        <v>46258</v>
      </c>
      <c r="B162" s="6">
        <v>21.95</v>
      </c>
      <c r="C162" s="6">
        <v>41.47</v>
      </c>
      <c r="D162" s="7">
        <v>-4.5547712014961799E-4</v>
      </c>
      <c r="E162" s="7">
        <v>-4.8216008648672097E-4</v>
      </c>
      <c r="F162" s="6">
        <v>0</v>
      </c>
      <c r="G162" s="6">
        <v>0.30299999999999899</v>
      </c>
      <c r="H162" s="6">
        <v>0</v>
      </c>
      <c r="I162" s="6">
        <v>0</v>
      </c>
      <c r="J162" s="6">
        <v>0.30299999999999899</v>
      </c>
      <c r="K162" s="6">
        <v>0</v>
      </c>
      <c r="L162" s="6">
        <v>22.253</v>
      </c>
      <c r="M162" s="6">
        <v>41.47</v>
      </c>
      <c r="N162" s="8">
        <v>1.88929384965831</v>
      </c>
      <c r="O162" s="8">
        <v>1.8787268979407299</v>
      </c>
      <c r="P162" s="8">
        <v>1.8901269533732701</v>
      </c>
      <c r="Q162" s="8">
        <v>1.89032771649515</v>
      </c>
      <c r="R162" s="6">
        <v>41.238055409799003</v>
      </c>
      <c r="S162" s="6">
        <v>41.490531693087704</v>
      </c>
      <c r="T162" s="6">
        <v>41.494922155053601</v>
      </c>
      <c r="U162" s="7">
        <v>-5.6087692329309701E-3</v>
      </c>
      <c r="V162" s="7">
        <v>4.9497497395281002E-4</v>
      </c>
      <c r="W162" s="7">
        <v>6.0078778249715505E-4</v>
      </c>
      <c r="X162" s="8">
        <v>1.8635689569945599</v>
      </c>
      <c r="Y162" s="8">
        <v>1.8658943630327001</v>
      </c>
      <c r="Z162" s="8">
        <v>1.8642869721595301</v>
      </c>
      <c r="AA162" s="8">
        <v>1.8652047335397399</v>
      </c>
      <c r="AB162" s="6">
        <v>41.521747260566698</v>
      </c>
      <c r="AC162" s="6">
        <v>41.487808254445198</v>
      </c>
      <c r="AD162" s="6">
        <v>41.5123090469936</v>
      </c>
      <c r="AE162" s="7">
        <v>1.24704609749778E-3</v>
      </c>
      <c r="AF162" s="7">
        <v>4.29332816127251E-4</v>
      </c>
      <c r="AG162" s="7">
        <v>1.0197125422435199E-3</v>
      </c>
      <c r="BB162" s="12">
        <f t="shared" si="46"/>
        <v>0</v>
      </c>
      <c r="BC162" s="12">
        <f t="shared" si="47"/>
        <v>1</v>
      </c>
      <c r="BD162" s="12">
        <f t="shared" si="48"/>
        <v>0</v>
      </c>
      <c r="BE162" s="12">
        <f t="shared" si="44"/>
        <v>1</v>
      </c>
      <c r="BF162" s="12">
        <f t="shared" si="49"/>
        <v>0</v>
      </c>
      <c r="BG162" s="23">
        <f t="shared" si="50"/>
        <v>0</v>
      </c>
      <c r="BH162" s="23">
        <f t="shared" si="51"/>
        <v>0</v>
      </c>
      <c r="BI162" s="23">
        <f t="shared" si="52"/>
        <v>0</v>
      </c>
      <c r="BJ162" s="18">
        <f t="shared" si="53"/>
        <v>1.4079333846715957E-2</v>
      </c>
      <c r="BL162" s="23"/>
      <c r="BN162" s="12">
        <f t="shared" si="54"/>
        <v>0</v>
      </c>
      <c r="BO162" s="12">
        <f t="shared" si="55"/>
        <v>0</v>
      </c>
      <c r="BP162" s="12">
        <f t="shared" si="56"/>
        <v>0</v>
      </c>
      <c r="BQ162" s="12">
        <f t="shared" si="45"/>
        <v>1</v>
      </c>
      <c r="BR162" s="12">
        <f t="shared" si="57"/>
        <v>0</v>
      </c>
      <c r="BS162" s="23">
        <f t="shared" si="58"/>
        <v>0</v>
      </c>
      <c r="BT162" s="23">
        <f t="shared" si="59"/>
        <v>0</v>
      </c>
      <c r="BU162" s="23">
        <f t="shared" si="60"/>
        <v>0</v>
      </c>
      <c r="BV162" s="18">
        <f t="shared" si="61"/>
        <v>2.1819624889842421E-2</v>
      </c>
      <c r="BX162" s="18">
        <f t="shared" si="62"/>
        <v>0</v>
      </c>
      <c r="BY162" s="18">
        <f t="shared" si="63"/>
        <v>3.5898958736558365E-2</v>
      </c>
    </row>
    <row r="163" spans="1:77" x14ac:dyDescent="0.3">
      <c r="A163" s="1">
        <v>46259</v>
      </c>
      <c r="B163" s="6">
        <v>22.04</v>
      </c>
      <c r="C163" s="6">
        <v>41.72</v>
      </c>
      <c r="D163" s="7">
        <v>4.0918447635333102E-3</v>
      </c>
      <c r="E163" s="7">
        <v>6.0103558742816898E-3</v>
      </c>
      <c r="F163" s="6">
        <v>0</v>
      </c>
      <c r="G163" s="6">
        <v>0.30299999999999899</v>
      </c>
      <c r="H163" s="6">
        <v>0</v>
      </c>
      <c r="I163" s="6">
        <v>0</v>
      </c>
      <c r="J163" s="6">
        <v>0.30299999999999899</v>
      </c>
      <c r="K163" s="6">
        <v>0</v>
      </c>
      <c r="L163" s="6">
        <v>22.343</v>
      </c>
      <c r="M163" s="6">
        <v>41.72</v>
      </c>
      <c r="N163" s="8">
        <v>1.8929219600725899</v>
      </c>
      <c r="O163" s="8">
        <v>1.8787268979407299</v>
      </c>
      <c r="P163" s="8">
        <v>1.89050481131365</v>
      </c>
      <c r="Q163" s="8">
        <v>1.89028354901205</v>
      </c>
      <c r="R163" s="6">
        <v>41.407140830613699</v>
      </c>
      <c r="S163" s="6">
        <v>41.658398052347003</v>
      </c>
      <c r="T163" s="6">
        <v>41.662822871553097</v>
      </c>
      <c r="U163" s="7">
        <v>-7.5272803436792803E-3</v>
      </c>
      <c r="V163" s="7">
        <v>-1.4776479352111101E-3</v>
      </c>
      <c r="W163" s="7">
        <v>-1.3714368364973399E-3</v>
      </c>
      <c r="X163" s="8">
        <v>1.8672514881618401</v>
      </c>
      <c r="Y163" s="8">
        <v>1.8658943630327001</v>
      </c>
      <c r="Z163" s="8">
        <v>1.8646840136247</v>
      </c>
      <c r="AA163" s="8">
        <v>1.8649992490363201</v>
      </c>
      <c r="AB163" s="6">
        <v>41.6896777532397</v>
      </c>
      <c r="AC163" s="6">
        <v>41.6537638189604</v>
      </c>
      <c r="AD163" s="6">
        <v>41.674269361478601</v>
      </c>
      <c r="AE163" s="7">
        <v>-7.2706786341370996E-4</v>
      </c>
      <c r="AF163" s="7">
        <v>-1.58889780047336E-3</v>
      </c>
      <c r="AG163" s="7">
        <v>-1.09673346754741E-3</v>
      </c>
      <c r="BB163" s="12">
        <f t="shared" si="46"/>
        <v>0</v>
      </c>
      <c r="BC163" s="12">
        <f t="shared" si="47"/>
        <v>0</v>
      </c>
      <c r="BD163" s="12">
        <f t="shared" si="48"/>
        <v>0</v>
      </c>
      <c r="BE163" s="12">
        <f t="shared" si="44"/>
        <v>1</v>
      </c>
      <c r="BF163" s="12">
        <f t="shared" si="49"/>
        <v>0</v>
      </c>
      <c r="BG163" s="23">
        <f t="shared" si="50"/>
        <v>0</v>
      </c>
      <c r="BH163" s="23">
        <f t="shared" si="51"/>
        <v>0</v>
      </c>
      <c r="BI163" s="23">
        <f t="shared" si="52"/>
        <v>0</v>
      </c>
      <c r="BJ163" s="18">
        <f t="shared" si="53"/>
        <v>1.4079333846715957E-2</v>
      </c>
      <c r="BL163" s="23"/>
      <c r="BN163" s="12">
        <f t="shared" si="54"/>
        <v>0</v>
      </c>
      <c r="BO163" s="12">
        <f t="shared" si="55"/>
        <v>1</v>
      </c>
      <c r="BP163" s="12">
        <f t="shared" si="56"/>
        <v>0</v>
      </c>
      <c r="BQ163" s="12">
        <f t="shared" si="45"/>
        <v>1</v>
      </c>
      <c r="BR163" s="12">
        <f t="shared" si="57"/>
        <v>0</v>
      </c>
      <c r="BS163" s="23">
        <f t="shared" si="58"/>
        <v>0</v>
      </c>
      <c r="BT163" s="23">
        <f t="shared" si="59"/>
        <v>0</v>
      </c>
      <c r="BU163" s="23">
        <f t="shared" si="60"/>
        <v>0</v>
      </c>
      <c r="BV163" s="18">
        <f t="shared" si="61"/>
        <v>2.1819624889842421E-2</v>
      </c>
      <c r="BX163" s="18">
        <f t="shared" si="62"/>
        <v>0</v>
      </c>
      <c r="BY163" s="18">
        <f t="shared" si="63"/>
        <v>3.5898958736558365E-2</v>
      </c>
    </row>
    <row r="164" spans="1:77" x14ac:dyDescent="0.3">
      <c r="A164" s="1">
        <v>46260</v>
      </c>
      <c r="B164" s="6">
        <v>21.93</v>
      </c>
      <c r="C164" s="6">
        <v>41.49</v>
      </c>
      <c r="D164" s="7">
        <v>-5.0034218549168501E-3</v>
      </c>
      <c r="E164" s="7">
        <v>-5.52819578779513E-3</v>
      </c>
      <c r="F164" s="6">
        <v>0</v>
      </c>
      <c r="G164" s="6">
        <v>0.30299999999999899</v>
      </c>
      <c r="H164" s="6">
        <v>0</v>
      </c>
      <c r="I164" s="6">
        <v>0</v>
      </c>
      <c r="J164" s="6">
        <v>0.30299999999999899</v>
      </c>
      <c r="K164" s="6">
        <v>0</v>
      </c>
      <c r="L164" s="6">
        <v>22.233000000000001</v>
      </c>
      <c r="M164" s="6">
        <v>41.49</v>
      </c>
      <c r="N164" s="8">
        <v>1.8919288645690799</v>
      </c>
      <c r="O164" s="8">
        <v>1.8787268979407299</v>
      </c>
      <c r="P164" s="8">
        <v>1.8910987966716599</v>
      </c>
      <c r="Q164" s="8">
        <v>1.89027534107771</v>
      </c>
      <c r="R164" s="6">
        <v>41.200480871840199</v>
      </c>
      <c r="S164" s="6">
        <v>41.458770512108501</v>
      </c>
      <c r="T164" s="6">
        <v>41.453918229834301</v>
      </c>
      <c r="U164" s="7">
        <v>-7.0025064108012102E-3</v>
      </c>
      <c r="V164" s="7">
        <v>-7.5298257404482298E-4</v>
      </c>
      <c r="W164" s="7">
        <v>-8.7002816388854099E-4</v>
      </c>
      <c r="X164" s="8">
        <v>1.8661449197139299</v>
      </c>
      <c r="Y164" s="8">
        <v>1.8658943630327001</v>
      </c>
      <c r="Z164" s="8">
        <v>1.8652803508745099</v>
      </c>
      <c r="AA164" s="8">
        <v>1.86482148985139</v>
      </c>
      <c r="AB164" s="6">
        <v>41.484429373306099</v>
      </c>
      <c r="AC164" s="6">
        <v>41.457519674917897</v>
      </c>
      <c r="AD164" s="6">
        <v>41.464528303824601</v>
      </c>
      <c r="AE164" s="7">
        <v>-1.3427333563651201E-4</v>
      </c>
      <c r="AF164" s="7">
        <v>-7.8315365834731305E-4</v>
      </c>
      <c r="AG164" s="7">
        <v>-6.1411227323557099E-4</v>
      </c>
      <c r="BB164" s="12">
        <f t="shared" si="46"/>
        <v>0</v>
      </c>
      <c r="BC164" s="12">
        <f t="shared" si="47"/>
        <v>0</v>
      </c>
      <c r="BD164" s="12">
        <f t="shared" si="48"/>
        <v>0</v>
      </c>
      <c r="BE164" s="12">
        <f t="shared" si="44"/>
        <v>1</v>
      </c>
      <c r="BF164" s="12">
        <f t="shared" si="49"/>
        <v>0</v>
      </c>
      <c r="BG164" s="23">
        <f t="shared" si="50"/>
        <v>0</v>
      </c>
      <c r="BH164" s="23">
        <f t="shared" si="51"/>
        <v>0</v>
      </c>
      <c r="BI164" s="23">
        <f t="shared" si="52"/>
        <v>0</v>
      </c>
      <c r="BJ164" s="18">
        <f t="shared" si="53"/>
        <v>1.4079333846715957E-2</v>
      </c>
      <c r="BL164" s="23"/>
      <c r="BN164" s="12">
        <f t="shared" si="54"/>
        <v>0</v>
      </c>
      <c r="BO164" s="12">
        <f t="shared" si="55"/>
        <v>1</v>
      </c>
      <c r="BP164" s="12">
        <f t="shared" si="56"/>
        <v>0</v>
      </c>
      <c r="BQ164" s="12">
        <f t="shared" si="45"/>
        <v>1</v>
      </c>
      <c r="BR164" s="12">
        <f t="shared" si="57"/>
        <v>0</v>
      </c>
      <c r="BS164" s="23">
        <f t="shared" si="58"/>
        <v>0</v>
      </c>
      <c r="BT164" s="23">
        <f t="shared" si="59"/>
        <v>0</v>
      </c>
      <c r="BU164" s="23">
        <f t="shared" si="60"/>
        <v>0</v>
      </c>
      <c r="BV164" s="18">
        <f t="shared" si="61"/>
        <v>2.1819624889842421E-2</v>
      </c>
      <c r="BX164" s="18">
        <f t="shared" si="62"/>
        <v>0</v>
      </c>
      <c r="BY164" s="18">
        <f t="shared" si="63"/>
        <v>3.5898958736558365E-2</v>
      </c>
    </row>
    <row r="165" spans="1:77" x14ac:dyDescent="0.3">
      <c r="A165" s="1">
        <v>46261</v>
      </c>
      <c r="B165" s="6">
        <v>21.91</v>
      </c>
      <c r="C165" s="6">
        <v>41.42</v>
      </c>
      <c r="D165" s="7">
        <v>-9.1240882242170102E-4</v>
      </c>
      <c r="E165" s="7">
        <v>-1.6885783773384799E-3</v>
      </c>
      <c r="F165" s="6">
        <v>0</v>
      </c>
      <c r="G165" s="6">
        <v>0.30299999999999899</v>
      </c>
      <c r="H165" s="6">
        <v>0</v>
      </c>
      <c r="I165" s="6">
        <v>0</v>
      </c>
      <c r="J165" s="6">
        <v>0.30299999999999899</v>
      </c>
      <c r="K165" s="6">
        <v>0</v>
      </c>
      <c r="L165" s="6">
        <v>22.213000000000001</v>
      </c>
      <c r="M165" s="6">
        <v>41.42</v>
      </c>
      <c r="N165" s="8">
        <v>1.8904609767229501</v>
      </c>
      <c r="O165" s="8">
        <v>1.8787268979407299</v>
      </c>
      <c r="P165" s="8">
        <v>1.8910015136751499</v>
      </c>
      <c r="Q165" s="8">
        <v>1.8902875952422999</v>
      </c>
      <c r="R165" s="6">
        <v>41.162906333881402</v>
      </c>
      <c r="S165" s="6">
        <v>41.433974635076098</v>
      </c>
      <c r="T165" s="6">
        <v>41.415932723012801</v>
      </c>
      <c r="U165" s="7">
        <v>-6.2263368558843797E-3</v>
      </c>
      <c r="V165" s="7">
        <v>3.37331679505903E-4</v>
      </c>
      <c r="W165" s="7">
        <v>-9.8200789360923104E-5</v>
      </c>
      <c r="X165" s="8">
        <v>1.8646738396434499</v>
      </c>
      <c r="Y165" s="8">
        <v>1.8658943630327001</v>
      </c>
      <c r="Z165" s="8">
        <v>1.8651937204711699</v>
      </c>
      <c r="AA165" s="8">
        <v>1.86464921202309</v>
      </c>
      <c r="AB165" s="6">
        <v>41.447111486045401</v>
      </c>
      <c r="AC165" s="6">
        <v>41.433472433975503</v>
      </c>
      <c r="AD165" s="6">
        <v>41.423279754068901</v>
      </c>
      <c r="AE165" s="7">
        <v>6.5433647985600795E-4</v>
      </c>
      <c r="AF165" s="7">
        <v>3.2521109130375199E-4</v>
      </c>
      <c r="AG165" s="7">
        <v>7.9179725389295298E-5</v>
      </c>
      <c r="BB165" s="12">
        <f t="shared" si="46"/>
        <v>0</v>
      </c>
      <c r="BC165" s="12">
        <f t="shared" si="47"/>
        <v>1</v>
      </c>
      <c r="BD165" s="12">
        <f t="shared" si="48"/>
        <v>0</v>
      </c>
      <c r="BE165" s="12">
        <f t="shared" si="44"/>
        <v>1</v>
      </c>
      <c r="BF165" s="12">
        <f t="shared" si="49"/>
        <v>0</v>
      </c>
      <c r="BG165" s="23">
        <f t="shared" si="50"/>
        <v>0</v>
      </c>
      <c r="BH165" s="23">
        <f t="shared" si="51"/>
        <v>0</v>
      </c>
      <c r="BI165" s="23">
        <f t="shared" si="52"/>
        <v>0</v>
      </c>
      <c r="BJ165" s="18">
        <f t="shared" si="53"/>
        <v>1.4079333846715957E-2</v>
      </c>
      <c r="BL165" s="23"/>
      <c r="BN165" s="12">
        <f t="shared" si="54"/>
        <v>0</v>
      </c>
      <c r="BO165" s="12">
        <f t="shared" si="55"/>
        <v>0</v>
      </c>
      <c r="BP165" s="12">
        <f t="shared" si="56"/>
        <v>0</v>
      </c>
      <c r="BQ165" s="12">
        <f t="shared" si="45"/>
        <v>1</v>
      </c>
      <c r="BR165" s="12">
        <f t="shared" si="57"/>
        <v>0</v>
      </c>
      <c r="BS165" s="23">
        <f t="shared" si="58"/>
        <v>0</v>
      </c>
      <c r="BT165" s="23">
        <f t="shared" si="59"/>
        <v>0</v>
      </c>
      <c r="BU165" s="23">
        <f t="shared" si="60"/>
        <v>0</v>
      </c>
      <c r="BV165" s="18">
        <f t="shared" si="61"/>
        <v>2.1819624889842421E-2</v>
      </c>
      <c r="BX165" s="18">
        <f t="shared" si="62"/>
        <v>0</v>
      </c>
      <c r="BY165" s="18">
        <f t="shared" si="63"/>
        <v>3.5898958736558365E-2</v>
      </c>
    </row>
    <row r="166" spans="1:77" x14ac:dyDescent="0.3">
      <c r="A166" s="1">
        <v>46262</v>
      </c>
      <c r="B166" s="6">
        <v>21.8</v>
      </c>
      <c r="C166" s="6">
        <v>41.2</v>
      </c>
      <c r="D166" s="7">
        <v>-5.0331838123318399E-3</v>
      </c>
      <c r="E166" s="7">
        <v>-5.3255996119573696E-3</v>
      </c>
      <c r="F166" s="6">
        <v>0</v>
      </c>
      <c r="G166" s="6">
        <v>0.30299999999999899</v>
      </c>
      <c r="H166" s="6">
        <v>0</v>
      </c>
      <c r="I166" s="6">
        <v>0</v>
      </c>
      <c r="J166" s="6">
        <v>0.30299999999999899</v>
      </c>
      <c r="K166" s="6">
        <v>0</v>
      </c>
      <c r="L166" s="6">
        <v>22.103000000000002</v>
      </c>
      <c r="M166" s="6">
        <v>41.2</v>
      </c>
      <c r="N166" s="8">
        <v>1.8899082568807299</v>
      </c>
      <c r="O166" s="8">
        <v>1.8787268979407299</v>
      </c>
      <c r="P166" s="8">
        <v>1.8908279683806699</v>
      </c>
      <c r="Q166" s="8">
        <v>1.8903769307382701</v>
      </c>
      <c r="R166" s="6">
        <v>40.956246375107902</v>
      </c>
      <c r="S166" s="6">
        <v>41.223832998118397</v>
      </c>
      <c r="T166" s="6">
        <v>41.208269576282099</v>
      </c>
      <c r="U166" s="7">
        <v>-5.9339210562588101E-3</v>
      </c>
      <c r="V166" s="7">
        <v>5.7830357836348596E-4</v>
      </c>
      <c r="W166" s="7">
        <v>2.0069772978946099E-4</v>
      </c>
      <c r="X166" s="8">
        <v>1.86400036194181</v>
      </c>
      <c r="Y166" s="8">
        <v>1.8658943630327001</v>
      </c>
      <c r="Z166" s="8">
        <v>1.8650249027958601</v>
      </c>
      <c r="AA166" s="8">
        <v>1.864549264246</v>
      </c>
      <c r="AB166" s="6">
        <v>41.241863106111801</v>
      </c>
      <c r="AC166" s="6">
        <v>41.226376803574297</v>
      </c>
      <c r="AD166" s="6">
        <v>41.214341533346499</v>
      </c>
      <c r="AE166" s="7">
        <v>1.0155789336330301E-3</v>
      </c>
      <c r="AF166" s="7">
        <v>6.4000882963733698E-4</v>
      </c>
      <c r="AG166" s="7">
        <v>3.4803489840447098E-4</v>
      </c>
      <c r="BB166" s="12">
        <f t="shared" si="46"/>
        <v>0</v>
      </c>
      <c r="BC166" s="12">
        <f t="shared" si="47"/>
        <v>1</v>
      </c>
      <c r="BD166" s="12">
        <f t="shared" si="48"/>
        <v>0</v>
      </c>
      <c r="BE166" s="12">
        <f t="shared" si="44"/>
        <v>1</v>
      </c>
      <c r="BF166" s="12">
        <f t="shared" si="49"/>
        <v>0</v>
      </c>
      <c r="BG166" s="23">
        <f t="shared" si="50"/>
        <v>0</v>
      </c>
      <c r="BH166" s="23">
        <f t="shared" si="51"/>
        <v>0</v>
      </c>
      <c r="BI166" s="23">
        <f t="shared" si="52"/>
        <v>0</v>
      </c>
      <c r="BJ166" s="18">
        <f t="shared" si="53"/>
        <v>1.4079333846715957E-2</v>
      </c>
      <c r="BL166" s="23"/>
      <c r="BN166" s="12">
        <f t="shared" si="54"/>
        <v>0</v>
      </c>
      <c r="BO166" s="12">
        <f t="shared" si="55"/>
        <v>0</v>
      </c>
      <c r="BP166" s="12">
        <f t="shared" si="56"/>
        <v>0</v>
      </c>
      <c r="BQ166" s="12">
        <f t="shared" si="45"/>
        <v>1</v>
      </c>
      <c r="BR166" s="12">
        <f t="shared" si="57"/>
        <v>0</v>
      </c>
      <c r="BS166" s="23">
        <f t="shared" si="58"/>
        <v>0</v>
      </c>
      <c r="BT166" s="23">
        <f t="shared" si="59"/>
        <v>0</v>
      </c>
      <c r="BU166" s="23">
        <f t="shared" si="60"/>
        <v>0</v>
      </c>
      <c r="BV166" s="18">
        <f t="shared" si="61"/>
        <v>2.1819624889842421E-2</v>
      </c>
      <c r="BX166" s="18">
        <f t="shared" si="62"/>
        <v>0</v>
      </c>
      <c r="BY166" s="18">
        <f t="shared" si="63"/>
        <v>3.5898958736558365E-2</v>
      </c>
    </row>
    <row r="167" spans="1:77" x14ac:dyDescent="0.3">
      <c r="A167" s="1">
        <v>46265</v>
      </c>
      <c r="B167" s="6">
        <v>21.82</v>
      </c>
      <c r="C167" s="6">
        <v>41.21</v>
      </c>
      <c r="D167" s="7">
        <v>9.1701060988140601E-4</v>
      </c>
      <c r="E167" s="7">
        <v>2.42688995245176E-4</v>
      </c>
      <c r="F167" s="6">
        <v>0</v>
      </c>
      <c r="G167" s="6">
        <v>0.30299999999999899</v>
      </c>
      <c r="H167" s="6">
        <v>0</v>
      </c>
      <c r="I167" s="6">
        <v>0</v>
      </c>
      <c r="J167" s="6">
        <v>0.30299999999999899</v>
      </c>
      <c r="K167" s="6">
        <v>0</v>
      </c>
      <c r="L167" s="6">
        <v>22.123000000000001</v>
      </c>
      <c r="M167" s="6">
        <v>41.21</v>
      </c>
      <c r="N167" s="8">
        <v>1.8886342804766201</v>
      </c>
      <c r="O167" s="8">
        <v>1.8787268979407299</v>
      </c>
      <c r="P167" s="8">
        <v>1.8903482636768401</v>
      </c>
      <c r="Q167" s="8">
        <v>1.89009114361373</v>
      </c>
      <c r="R167" s="6">
        <v>40.993820913066699</v>
      </c>
      <c r="S167" s="6">
        <v>41.257866270066302</v>
      </c>
      <c r="T167" s="6">
        <v>41.248024628708997</v>
      </c>
      <c r="U167" s="7">
        <v>-5.2595994416226397E-3</v>
      </c>
      <c r="V167" s="7">
        <v>1.16084670566998E-3</v>
      </c>
      <c r="W167" s="7">
        <v>9.2227849443659595E-4</v>
      </c>
      <c r="X167" s="8">
        <v>1.86276725579713</v>
      </c>
      <c r="Y167" s="8">
        <v>1.8658943630327001</v>
      </c>
      <c r="Z167" s="8">
        <v>1.8645576425104899</v>
      </c>
      <c r="AA167" s="8">
        <v>1.8642703298854899</v>
      </c>
      <c r="AB167" s="6">
        <v>41.279180993372499</v>
      </c>
      <c r="AC167" s="6">
        <v>41.259945924552802</v>
      </c>
      <c r="AD167" s="6">
        <v>41.249423372914201</v>
      </c>
      <c r="AE167" s="7">
        <v>1.67733534893215E-3</v>
      </c>
      <c r="AF167" s="7">
        <v>1.2112516893112899E-3</v>
      </c>
      <c r="AG167" s="7">
        <v>9.5618849381678701E-4</v>
      </c>
      <c r="BB167" s="12">
        <f t="shared" si="46"/>
        <v>0</v>
      </c>
      <c r="BC167" s="12">
        <f t="shared" si="47"/>
        <v>1</v>
      </c>
      <c r="BD167" s="12">
        <f t="shared" si="48"/>
        <v>0</v>
      </c>
      <c r="BE167" s="12">
        <f t="shared" si="44"/>
        <v>1</v>
      </c>
      <c r="BF167" s="12">
        <f t="shared" si="49"/>
        <v>0</v>
      </c>
      <c r="BG167" s="23">
        <f t="shared" si="50"/>
        <v>0</v>
      </c>
      <c r="BH167" s="23">
        <f t="shared" si="51"/>
        <v>0</v>
      </c>
      <c r="BI167" s="23">
        <f t="shared" si="52"/>
        <v>0</v>
      </c>
      <c r="BJ167" s="18">
        <f t="shared" si="53"/>
        <v>1.4079333846715957E-2</v>
      </c>
      <c r="BL167" s="23"/>
      <c r="BN167" s="12">
        <f t="shared" si="54"/>
        <v>0</v>
      </c>
      <c r="BO167" s="12">
        <f t="shared" si="55"/>
        <v>0</v>
      </c>
      <c r="BP167" s="12">
        <f t="shared" si="56"/>
        <v>0</v>
      </c>
      <c r="BQ167" s="12">
        <f t="shared" si="45"/>
        <v>1</v>
      </c>
      <c r="BR167" s="12">
        <f t="shared" si="57"/>
        <v>0</v>
      </c>
      <c r="BS167" s="23">
        <f t="shared" si="58"/>
        <v>0</v>
      </c>
      <c r="BT167" s="23">
        <f t="shared" si="59"/>
        <v>0</v>
      </c>
      <c r="BU167" s="23">
        <f t="shared" si="60"/>
        <v>0</v>
      </c>
      <c r="BV167" s="18">
        <f t="shared" si="61"/>
        <v>2.1819624889842421E-2</v>
      </c>
      <c r="BX167" s="18">
        <f t="shared" si="62"/>
        <v>0</v>
      </c>
      <c r="BY167" s="18">
        <f t="shared" si="63"/>
        <v>3.5898958736558365E-2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BWX_IGOV_2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2026-09-04T17:10:42Z</dcterms:modified>
</cp:coreProperties>
</file>