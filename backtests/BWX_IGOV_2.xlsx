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113FC489-D813-406B-8BFD-3AF4F81C94D3}" xr6:coauthVersionLast="47" xr6:coauthVersionMax="47" xr10:uidLastSave="{00000000-0000-0000-0000-000000000000}"/>
  <bookViews>
    <workbookView xWindow="1065" yWindow="4380" windowWidth="27210" windowHeight="10515" xr2:uid="{AD2914F2-9AEA-4FA7-ACB3-468256D63096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N130" i="1" s="1"/>
  <c r="AX128" i="1"/>
  <c r="AV128" i="1"/>
  <c r="AU128" i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N127" i="1" s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M121" i="1"/>
  <c r="AK121" i="1"/>
  <c r="AJ121" i="1"/>
  <c r="AN122" i="1" s="1"/>
  <c r="AX120" i="1"/>
  <c r="AV120" i="1"/>
  <c r="AU120" i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N101" i="1" s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N96" i="1" s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N87" i="1" s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N60" i="1" s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N54" i="1" s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N43" i="1" s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Y36" i="1" s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Y34" i="1" s="1"/>
  <c r="AM33" i="1"/>
  <c r="AK33" i="1"/>
  <c r="AJ33" i="1"/>
  <c r="AX32" i="1"/>
  <c r="AV32" i="1"/>
  <c r="AU32" i="1"/>
  <c r="AM32" i="1"/>
  <c r="AK32" i="1"/>
  <c r="AJ32" i="1"/>
  <c r="AN33" i="1" s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N28" i="1" s="1"/>
  <c r="AX26" i="1"/>
  <c r="AV26" i="1"/>
  <c r="AU26" i="1"/>
  <c r="AY27" i="1" s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09" i="1" l="1"/>
  <c r="AY103" i="1"/>
  <c r="AY91" i="1"/>
  <c r="AY43" i="1"/>
  <c r="AY23" i="1"/>
  <c r="AY96" i="1"/>
  <c r="AY73" i="1"/>
  <c r="AY104" i="1"/>
  <c r="AY64" i="1"/>
  <c r="AY46" i="1"/>
  <c r="AY106" i="1"/>
  <c r="AY125" i="1"/>
  <c r="AY85" i="1"/>
  <c r="AY74" i="1"/>
  <c r="AY70" i="1"/>
  <c r="AY53" i="1"/>
  <c r="AY50" i="1"/>
  <c r="AW50" i="1" s="1"/>
  <c r="AY45" i="1"/>
  <c r="AY30" i="1"/>
  <c r="BA30" i="1" s="1"/>
  <c r="AY79" i="1"/>
  <c r="AY71" i="1"/>
  <c r="AY68" i="1"/>
  <c r="AY56" i="1"/>
  <c r="AY25" i="1"/>
  <c r="AY84" i="1"/>
  <c r="AY80" i="1"/>
  <c r="AY76" i="1"/>
  <c r="AY72" i="1"/>
  <c r="AY26" i="1"/>
  <c r="AY24" i="1"/>
  <c r="AY124" i="1"/>
  <c r="AY92" i="1"/>
  <c r="AY90" i="1"/>
  <c r="AY82" i="1"/>
  <c r="AY77" i="1"/>
  <c r="AY75" i="1"/>
  <c r="AY65" i="1"/>
  <c r="AY28" i="1"/>
  <c r="AY144" i="1"/>
  <c r="AY89" i="1"/>
  <c r="AY86" i="1"/>
  <c r="AY99" i="1"/>
  <c r="AW99" i="1" s="1"/>
  <c r="AY83" i="1"/>
  <c r="AY67" i="1"/>
  <c r="AY63" i="1"/>
  <c r="AY54" i="1"/>
  <c r="AY44" i="1"/>
  <c r="AY108" i="1"/>
  <c r="AY97" i="1"/>
  <c r="AN159" i="1"/>
  <c r="AN51" i="1"/>
  <c r="AN154" i="1"/>
  <c r="AN143" i="1"/>
  <c r="AN141" i="1"/>
  <c r="AN132" i="1"/>
  <c r="AN126" i="1"/>
  <c r="AN120" i="1"/>
  <c r="AN92" i="1"/>
  <c r="AN85" i="1"/>
  <c r="AN78" i="1"/>
  <c r="AN39" i="1"/>
  <c r="AN34" i="1"/>
  <c r="AN38" i="1"/>
  <c r="AN115" i="1"/>
  <c r="AN58" i="1"/>
  <c r="AN50" i="1"/>
  <c r="AN40" i="1"/>
  <c r="AN32" i="1"/>
  <c r="AN125" i="1"/>
  <c r="AN49" i="1"/>
  <c r="AN37" i="1"/>
  <c r="AN149" i="1"/>
  <c r="AN142" i="1"/>
  <c r="AN138" i="1"/>
  <c r="AN129" i="1"/>
  <c r="AN128" i="1"/>
  <c r="AN112" i="1"/>
  <c r="AN31" i="1"/>
  <c r="AN23" i="1"/>
  <c r="AN175" i="1"/>
  <c r="AN147" i="1"/>
  <c r="AN145" i="1"/>
  <c r="AN136" i="1"/>
  <c r="AN146" i="1"/>
  <c r="AN117" i="1"/>
  <c r="AN95" i="1"/>
  <c r="AY29" i="1"/>
  <c r="AN139" i="1"/>
  <c r="AN140" i="1"/>
  <c r="AN110" i="1"/>
  <c r="AY172" i="1"/>
  <c r="AY88" i="1"/>
  <c r="AN52" i="1"/>
  <c r="AN148" i="1"/>
  <c r="AY169" i="1"/>
  <c r="AN168" i="1"/>
  <c r="AZ176" i="1"/>
  <c r="BA176" i="1"/>
  <c r="AW176" i="1"/>
  <c r="AO176" i="1"/>
  <c r="AP176" i="1"/>
  <c r="AL176" i="1"/>
  <c r="AZ175" i="1"/>
  <c r="BA175" i="1"/>
  <c r="AW175" i="1"/>
  <c r="AO175" i="1"/>
  <c r="AP175" i="1"/>
  <c r="AL175" i="1"/>
  <c r="AZ174" i="1"/>
  <c r="BA174" i="1"/>
  <c r="AW174" i="1"/>
  <c r="AO174" i="1"/>
  <c r="AP174" i="1"/>
  <c r="AL174" i="1"/>
  <c r="AZ173" i="1"/>
  <c r="BA173" i="1"/>
  <c r="AW173" i="1"/>
  <c r="AO173" i="1"/>
  <c r="AP173" i="1"/>
  <c r="AL173" i="1"/>
  <c r="AZ172" i="1"/>
  <c r="BA172" i="1"/>
  <c r="AW172" i="1"/>
  <c r="AO172" i="1"/>
  <c r="AP172" i="1"/>
  <c r="AL172" i="1"/>
  <c r="AZ171" i="1"/>
  <c r="BA171" i="1"/>
  <c r="AW171" i="1"/>
  <c r="AO171" i="1"/>
  <c r="AP171" i="1"/>
  <c r="AL171" i="1"/>
  <c r="AO170" i="1"/>
  <c r="AP170" i="1"/>
  <c r="AL170" i="1"/>
  <c r="AZ169" i="1"/>
  <c r="BA169" i="1"/>
  <c r="AW169" i="1"/>
  <c r="AY170" i="1" s="1"/>
  <c r="AO169" i="1"/>
  <c r="AP169" i="1"/>
  <c r="AL169" i="1"/>
  <c r="AL168" i="1"/>
  <c r="AP168" i="1"/>
  <c r="AO168" i="1"/>
  <c r="AQ168" i="1" s="1"/>
  <c r="AP167" i="1"/>
  <c r="AL167" i="1"/>
  <c r="AO167" i="1"/>
  <c r="AL166" i="1"/>
  <c r="AP166" i="1"/>
  <c r="AO166" i="1"/>
  <c r="AQ166" i="1" s="1"/>
  <c r="BA165" i="1"/>
  <c r="AZ165" i="1"/>
  <c r="BB165" i="1" s="1"/>
  <c r="AW165" i="1"/>
  <c r="AY166" i="1" s="1"/>
  <c r="AW164" i="1"/>
  <c r="BA164" i="1"/>
  <c r="AZ164" i="1"/>
  <c r="BB164" i="1" s="1"/>
  <c r="AP163" i="1"/>
  <c r="AL163" i="1"/>
  <c r="AN164" i="1" s="1"/>
  <c r="AO163" i="1"/>
  <c r="AQ163" i="1" s="1"/>
  <c r="AO162" i="1"/>
  <c r="AL162" i="1"/>
  <c r="AP162" i="1"/>
  <c r="AL161" i="1"/>
  <c r="AO161" i="1"/>
  <c r="AP161" i="1"/>
  <c r="AO160" i="1"/>
  <c r="AP160" i="1"/>
  <c r="AL160" i="1"/>
  <c r="AO159" i="1"/>
  <c r="AL159" i="1"/>
  <c r="AP159" i="1"/>
  <c r="AZ158" i="1"/>
  <c r="BA158" i="1"/>
  <c r="AW158" i="1"/>
  <c r="AY159" i="1" s="1"/>
  <c r="AL157" i="1"/>
  <c r="AN158" i="1" s="1"/>
  <c r="AP157" i="1"/>
  <c r="AO157" i="1"/>
  <c r="AP156" i="1"/>
  <c r="AL156" i="1"/>
  <c r="AO156" i="1"/>
  <c r="AQ156" i="1" s="1"/>
  <c r="AW155" i="1"/>
  <c r="AY156" i="1" s="1"/>
  <c r="BA155" i="1"/>
  <c r="AZ155" i="1"/>
  <c r="AO155" i="1"/>
  <c r="AP155" i="1"/>
  <c r="AL155" i="1"/>
  <c r="BA154" i="1"/>
  <c r="AW154" i="1"/>
  <c r="AZ154" i="1"/>
  <c r="BB154" i="1" s="1"/>
  <c r="AL154" i="1"/>
  <c r="AO154" i="1"/>
  <c r="AP154" i="1"/>
  <c r="AP153" i="1"/>
  <c r="AL153" i="1"/>
  <c r="AO153" i="1"/>
  <c r="AQ153" i="1" s="1"/>
  <c r="BA152" i="1"/>
  <c r="AW152" i="1"/>
  <c r="AY153" i="1" s="1"/>
  <c r="AZ152" i="1"/>
  <c r="BB152" i="1" s="1"/>
  <c r="AL152" i="1"/>
  <c r="AP152" i="1"/>
  <c r="AO152" i="1"/>
  <c r="AQ152" i="1" s="1"/>
  <c r="AZ151" i="1"/>
  <c r="BA151" i="1"/>
  <c r="AW151" i="1"/>
  <c r="AO151" i="1"/>
  <c r="AP151" i="1"/>
  <c r="AL151" i="1"/>
  <c r="AO150" i="1"/>
  <c r="AP150" i="1"/>
  <c r="AL150" i="1"/>
  <c r="AL149" i="1"/>
  <c r="AO149" i="1"/>
  <c r="AP149" i="1"/>
  <c r="AO148" i="1"/>
  <c r="AL148" i="1"/>
  <c r="AP148" i="1"/>
  <c r="AP147" i="1"/>
  <c r="AL147" i="1"/>
  <c r="AO147" i="1"/>
  <c r="AQ147" i="1" s="1"/>
  <c r="AO146" i="1"/>
  <c r="AP146" i="1"/>
  <c r="AL146" i="1"/>
  <c r="AZ145" i="1"/>
  <c r="AW145" i="1"/>
  <c r="AY146" i="1" s="1"/>
  <c r="BA145" i="1"/>
  <c r="AP145" i="1"/>
  <c r="AO145" i="1"/>
  <c r="AQ145" i="1" s="1"/>
  <c r="AL145" i="1"/>
  <c r="AZ144" i="1"/>
  <c r="AW144" i="1"/>
  <c r="BA144" i="1"/>
  <c r="AL143" i="1"/>
  <c r="AN144" i="1" s="1"/>
  <c r="AP143" i="1"/>
  <c r="AO143" i="1"/>
  <c r="AQ143" i="1" s="1"/>
  <c r="AO142" i="1"/>
  <c r="AP142" i="1"/>
  <c r="AL142" i="1"/>
  <c r="AP141" i="1"/>
  <c r="AL141" i="1"/>
  <c r="AO141" i="1"/>
  <c r="AQ141" i="1" s="1"/>
  <c r="AP140" i="1"/>
  <c r="AO140" i="1"/>
  <c r="AQ140" i="1" s="1"/>
  <c r="AL140" i="1"/>
  <c r="AO139" i="1"/>
  <c r="AL139" i="1"/>
  <c r="AP139" i="1"/>
  <c r="AP138" i="1"/>
  <c r="AO138" i="1"/>
  <c r="AQ138" i="1" s="1"/>
  <c r="AL138" i="1"/>
  <c r="AP137" i="1"/>
  <c r="AO137" i="1"/>
  <c r="AQ137" i="1" s="1"/>
  <c r="AL137" i="1"/>
  <c r="AO136" i="1"/>
  <c r="AP136" i="1"/>
  <c r="AL136" i="1"/>
  <c r="AO135" i="1"/>
  <c r="AL135" i="1"/>
  <c r="AP135" i="1"/>
  <c r="AO134" i="1"/>
  <c r="AL134" i="1"/>
  <c r="AP134" i="1"/>
  <c r="AO133" i="1"/>
  <c r="AP133" i="1"/>
  <c r="AL133" i="1"/>
  <c r="AO132" i="1"/>
  <c r="AL132" i="1"/>
  <c r="AP132" i="1"/>
  <c r="AO131" i="1"/>
  <c r="AP131" i="1"/>
  <c r="AL131" i="1"/>
  <c r="AL130" i="1"/>
  <c r="AO130" i="1"/>
  <c r="AP130" i="1"/>
  <c r="AL129" i="1"/>
  <c r="AP129" i="1"/>
  <c r="AO129" i="1"/>
  <c r="AQ129" i="1" s="1"/>
  <c r="AW128" i="1"/>
  <c r="AY129" i="1" s="1"/>
  <c r="BA128" i="1"/>
  <c r="AZ128" i="1"/>
  <c r="BB128" i="1" s="1"/>
  <c r="AL128" i="1"/>
  <c r="AO128" i="1"/>
  <c r="AP128" i="1"/>
  <c r="AP127" i="1"/>
  <c r="AO127" i="1"/>
  <c r="AQ127" i="1" s="1"/>
  <c r="AL127" i="1"/>
  <c r="AO126" i="1"/>
  <c r="AP126" i="1"/>
  <c r="AL126" i="1"/>
  <c r="BA125" i="1"/>
  <c r="AW125" i="1"/>
  <c r="AY126" i="1" s="1"/>
  <c r="AZ125" i="1"/>
  <c r="AL125" i="1"/>
  <c r="AO125" i="1"/>
  <c r="AP125" i="1"/>
  <c r="AZ124" i="1"/>
  <c r="BA124" i="1"/>
  <c r="AW124" i="1"/>
  <c r="AP124" i="1"/>
  <c r="AO124" i="1"/>
  <c r="AQ124" i="1" s="1"/>
  <c r="AL124" i="1"/>
  <c r="AW123" i="1"/>
  <c r="BA123" i="1"/>
  <c r="AZ123" i="1"/>
  <c r="BB123" i="1" s="1"/>
  <c r="AP123" i="1"/>
  <c r="AL123" i="1"/>
  <c r="AO123" i="1"/>
  <c r="AQ123" i="1" s="1"/>
  <c r="AL122" i="1"/>
  <c r="AP122" i="1"/>
  <c r="AO122" i="1"/>
  <c r="AQ122" i="1" s="1"/>
  <c r="AL121" i="1"/>
  <c r="AO121" i="1"/>
  <c r="AP121" i="1"/>
  <c r="AW120" i="1"/>
  <c r="AY121" i="1" s="1"/>
  <c r="AZ120" i="1"/>
  <c r="BA120" i="1"/>
  <c r="AZ119" i="1"/>
  <c r="AW119" i="1"/>
  <c r="BA119" i="1"/>
  <c r="AL119" i="1"/>
  <c r="AO119" i="1"/>
  <c r="AP119" i="1"/>
  <c r="BA118" i="1"/>
  <c r="AW118" i="1"/>
  <c r="AZ118" i="1"/>
  <c r="BB118" i="1" s="1"/>
  <c r="AL118" i="1"/>
  <c r="AO118" i="1"/>
  <c r="AP118" i="1"/>
  <c r="AL116" i="1"/>
  <c r="AP116" i="1"/>
  <c r="AO116" i="1"/>
  <c r="AQ116" i="1" s="1"/>
  <c r="AL114" i="1"/>
  <c r="AO114" i="1"/>
  <c r="AP114" i="1"/>
  <c r="AO113" i="1"/>
  <c r="AL113" i="1"/>
  <c r="AP113" i="1"/>
  <c r="AP111" i="1"/>
  <c r="AO111" i="1"/>
  <c r="AL111" i="1"/>
  <c r="BA110" i="1"/>
  <c r="AW110" i="1"/>
  <c r="AY111" i="1" s="1"/>
  <c r="AZ110" i="1"/>
  <c r="BB110" i="1" s="1"/>
  <c r="BA107" i="1"/>
  <c r="AW107" i="1"/>
  <c r="AZ107" i="1"/>
  <c r="BB107" i="1" s="1"/>
  <c r="AO106" i="1"/>
  <c r="AP106" i="1"/>
  <c r="AL106" i="1"/>
  <c r="AN107" i="1" s="1"/>
  <c r="AW105" i="1"/>
  <c r="AZ105" i="1"/>
  <c r="BA105" i="1"/>
  <c r="AP104" i="1"/>
  <c r="AL104" i="1"/>
  <c r="AN105" i="1" s="1"/>
  <c r="AO104" i="1"/>
  <c r="AQ104" i="1" s="1"/>
  <c r="AL103" i="1"/>
  <c r="AO103" i="1"/>
  <c r="AP103" i="1"/>
  <c r="AZ102" i="1"/>
  <c r="BA102" i="1"/>
  <c r="AW102" i="1"/>
  <c r="BA101" i="1"/>
  <c r="AW101" i="1"/>
  <c r="AZ101" i="1"/>
  <c r="BB101" i="1" s="1"/>
  <c r="AO101" i="1"/>
  <c r="AL101" i="1"/>
  <c r="AN102" i="1" s="1"/>
  <c r="AP101" i="1"/>
  <c r="AW100" i="1"/>
  <c r="AZ100" i="1"/>
  <c r="BA100" i="1"/>
  <c r="AZ98" i="1"/>
  <c r="AW98" i="1"/>
  <c r="BA98" i="1"/>
  <c r="AP96" i="1"/>
  <c r="AO96" i="1"/>
  <c r="AQ96" i="1" s="1"/>
  <c r="AL96" i="1"/>
  <c r="AN97" i="1" s="1"/>
  <c r="AW95" i="1"/>
  <c r="BA95" i="1"/>
  <c r="AZ95" i="1"/>
  <c r="BB95" i="1" s="1"/>
  <c r="AO95" i="1"/>
  <c r="AL95" i="1"/>
  <c r="AP95" i="1"/>
  <c r="AP94" i="1"/>
  <c r="AL94" i="1"/>
  <c r="AO94" i="1"/>
  <c r="AQ94" i="1" s="1"/>
  <c r="AW93" i="1"/>
  <c r="AY94" i="1" s="1"/>
  <c r="BA93" i="1"/>
  <c r="AZ93" i="1"/>
  <c r="BB93" i="1" s="1"/>
  <c r="AO92" i="1"/>
  <c r="AL92" i="1"/>
  <c r="AN93" i="1" s="1"/>
  <c r="AP92" i="1"/>
  <c r="AO88" i="1"/>
  <c r="AP88" i="1"/>
  <c r="AL88" i="1"/>
  <c r="AN89" i="1" s="1"/>
  <c r="AW87" i="1"/>
  <c r="BA87" i="1"/>
  <c r="AZ87" i="1"/>
  <c r="BB87" i="1" s="1"/>
  <c r="AP87" i="1"/>
  <c r="AL87" i="1"/>
  <c r="AO87" i="1"/>
  <c r="AQ87" i="1" s="1"/>
  <c r="AL86" i="1"/>
  <c r="AO86" i="1"/>
  <c r="AP86" i="1"/>
  <c r="AO85" i="1"/>
  <c r="AL85" i="1"/>
  <c r="AP85" i="1"/>
  <c r="AW81" i="1"/>
  <c r="BA81" i="1"/>
  <c r="AZ81" i="1"/>
  <c r="AZ78" i="1"/>
  <c r="AW78" i="1"/>
  <c r="BA78" i="1"/>
  <c r="AP78" i="1"/>
  <c r="AL78" i="1"/>
  <c r="AN79" i="1" s="1"/>
  <c r="AO78" i="1"/>
  <c r="AQ78" i="1" s="1"/>
  <c r="AL74" i="1"/>
  <c r="AN75" i="1" s="1"/>
  <c r="AO74" i="1"/>
  <c r="AP74" i="1"/>
  <c r="AZ69" i="1"/>
  <c r="BA69" i="1"/>
  <c r="AW69" i="1"/>
  <c r="AL66" i="1"/>
  <c r="AN67" i="1" s="1"/>
  <c r="AP66" i="1"/>
  <c r="AO66" i="1"/>
  <c r="AQ66" i="1" s="1"/>
  <c r="AL62" i="1"/>
  <c r="AN63" i="1" s="1"/>
  <c r="AP62" i="1"/>
  <c r="AO62" i="1"/>
  <c r="AQ62" i="1" s="1"/>
  <c r="AP61" i="1"/>
  <c r="AL61" i="1"/>
  <c r="AO61" i="1"/>
  <c r="AQ61" i="1" s="1"/>
  <c r="AP60" i="1"/>
  <c r="AO60" i="1"/>
  <c r="AQ60" i="1" s="1"/>
  <c r="AL60" i="1"/>
  <c r="AZ59" i="1"/>
  <c r="BA59" i="1"/>
  <c r="AW59" i="1"/>
  <c r="AY60" i="1" s="1"/>
  <c r="BA58" i="1"/>
  <c r="AW58" i="1"/>
  <c r="AZ58" i="1"/>
  <c r="AO58" i="1"/>
  <c r="AL58" i="1"/>
  <c r="AN59" i="1" s="1"/>
  <c r="AP58" i="1"/>
  <c r="AO57" i="1"/>
  <c r="AP57" i="1"/>
  <c r="AL57" i="1"/>
  <c r="AO56" i="1"/>
  <c r="AL56" i="1"/>
  <c r="AP56" i="1"/>
  <c r="AW55" i="1"/>
  <c r="BA55" i="1"/>
  <c r="AZ55" i="1"/>
  <c r="BB55" i="1" s="1"/>
  <c r="AL54" i="1"/>
  <c r="AN55" i="1" s="1"/>
  <c r="AO54" i="1"/>
  <c r="AP54" i="1"/>
  <c r="AP52" i="1"/>
  <c r="AL52" i="1"/>
  <c r="AN53" i="1" s="1"/>
  <c r="AO52" i="1"/>
  <c r="AQ52" i="1" s="1"/>
  <c r="AW51" i="1"/>
  <c r="AY52" i="1" s="1"/>
  <c r="BA51" i="1"/>
  <c r="AZ51" i="1"/>
  <c r="BB51" i="1" s="1"/>
  <c r="AO51" i="1"/>
  <c r="AL51" i="1"/>
  <c r="AP51" i="1"/>
  <c r="BA50" i="1"/>
  <c r="AZ50" i="1"/>
  <c r="BB50" i="1" s="1"/>
  <c r="AO50" i="1"/>
  <c r="AL50" i="1"/>
  <c r="AP50" i="1"/>
  <c r="AZ49" i="1"/>
  <c r="AW49" i="1"/>
  <c r="BA49" i="1"/>
  <c r="AP49" i="1"/>
  <c r="AO49" i="1"/>
  <c r="AQ49" i="1" s="1"/>
  <c r="AL49" i="1"/>
  <c r="AW48" i="1"/>
  <c r="BA48" i="1"/>
  <c r="AZ48" i="1"/>
  <c r="BB48" i="1" s="1"/>
  <c r="AL47" i="1"/>
  <c r="AN48" i="1" s="1"/>
  <c r="AO47" i="1"/>
  <c r="AP47" i="1"/>
  <c r="AW46" i="1"/>
  <c r="AY47" i="1" s="1"/>
  <c r="AZ46" i="1"/>
  <c r="BA46" i="1"/>
  <c r="AW45" i="1"/>
  <c r="BA45" i="1"/>
  <c r="AZ45" i="1"/>
  <c r="BB45" i="1" s="1"/>
  <c r="BA43" i="1"/>
  <c r="AZ43" i="1"/>
  <c r="BB43" i="1" s="1"/>
  <c r="AW43" i="1"/>
  <c r="AP43" i="1"/>
  <c r="AL43" i="1"/>
  <c r="AN44" i="1" s="1"/>
  <c r="AO43" i="1"/>
  <c r="AQ43" i="1" s="1"/>
  <c r="AW42" i="1"/>
  <c r="AZ42" i="1"/>
  <c r="BA42" i="1"/>
  <c r="BA41" i="1"/>
  <c r="AW41" i="1"/>
  <c r="AZ41" i="1"/>
  <c r="BB41" i="1" s="1"/>
  <c r="AL40" i="1"/>
  <c r="AN41" i="1" s="1"/>
  <c r="AP40" i="1"/>
  <c r="AO40" i="1"/>
  <c r="AQ40" i="1" s="1"/>
  <c r="AL39" i="1"/>
  <c r="AP39" i="1"/>
  <c r="AO39" i="1"/>
  <c r="AQ39" i="1" s="1"/>
  <c r="AW38" i="1"/>
  <c r="AY39" i="1" s="1"/>
  <c r="AZ38" i="1"/>
  <c r="BA38" i="1"/>
  <c r="AL38" i="1"/>
  <c r="AO38" i="1"/>
  <c r="AP38" i="1"/>
  <c r="AZ37" i="1"/>
  <c r="BA37" i="1"/>
  <c r="AW37" i="1"/>
  <c r="AL37" i="1"/>
  <c r="AP37" i="1"/>
  <c r="AO37" i="1"/>
  <c r="AQ37" i="1" s="1"/>
  <c r="AW36" i="1"/>
  <c r="BA36" i="1"/>
  <c r="AZ36" i="1"/>
  <c r="BB36" i="1" s="1"/>
  <c r="AP35" i="1"/>
  <c r="AL35" i="1"/>
  <c r="AN36" i="1" s="1"/>
  <c r="AO35" i="1"/>
  <c r="AQ35" i="1" s="1"/>
  <c r="AW34" i="1"/>
  <c r="AY35" i="1" s="1"/>
  <c r="BA34" i="1"/>
  <c r="AZ34" i="1"/>
  <c r="BB34" i="1" s="1"/>
  <c r="AP34" i="1"/>
  <c r="AO34" i="1"/>
  <c r="AL34" i="1"/>
  <c r="AL33" i="1"/>
  <c r="AP33" i="1"/>
  <c r="AO33" i="1"/>
  <c r="AQ33" i="1" s="1"/>
  <c r="AW32" i="1"/>
  <c r="AY33" i="1" s="1"/>
  <c r="AZ32" i="1"/>
  <c r="BA32" i="1"/>
  <c r="AP32" i="1"/>
  <c r="AO32" i="1"/>
  <c r="AQ32" i="1" s="1"/>
  <c r="AL32" i="1"/>
  <c r="AW31" i="1"/>
  <c r="BA31" i="1"/>
  <c r="AZ31" i="1"/>
  <c r="BB31" i="1" s="1"/>
  <c r="AL31" i="1"/>
  <c r="AO31" i="1"/>
  <c r="AP31" i="1"/>
  <c r="AW30" i="1"/>
  <c r="AZ30" i="1"/>
  <c r="AO28" i="1"/>
  <c r="AL28" i="1"/>
  <c r="AN29" i="1" s="1"/>
  <c r="AP28" i="1"/>
  <c r="AW27" i="1"/>
  <c r="BA27" i="1"/>
  <c r="AZ27" i="1"/>
  <c r="BB27" i="1" s="1"/>
  <c r="AP26" i="1"/>
  <c r="AO26" i="1"/>
  <c r="AQ26" i="1" s="1"/>
  <c r="AL26" i="1"/>
  <c r="AN27" i="1" s="1"/>
  <c r="AW25" i="1"/>
  <c r="AZ25" i="1"/>
  <c r="BA25" i="1"/>
  <c r="AW24" i="1"/>
  <c r="BA24" i="1"/>
  <c r="AZ24" i="1"/>
  <c r="BB24" i="1" s="1"/>
  <c r="BA23" i="1"/>
  <c r="AZ23" i="1"/>
  <c r="BB23" i="1" s="1"/>
  <c r="AW23" i="1"/>
  <c r="AL23" i="1"/>
  <c r="AN24" i="1" s="1"/>
  <c r="AP23" i="1"/>
  <c r="AO23" i="1"/>
  <c r="AQ23" i="1" s="1"/>
  <c r="BE23" i="1" s="1"/>
  <c r="BA22" i="1"/>
  <c r="AZ22" i="1"/>
  <c r="BB22" i="1" s="1"/>
  <c r="AP22" i="1"/>
  <c r="AO22" i="1"/>
  <c r="AQ22" i="1" s="1"/>
  <c r="BB30" i="1" l="1"/>
  <c r="BE152" i="1"/>
  <c r="AW109" i="1"/>
  <c r="AZ109" i="1"/>
  <c r="BA109" i="1"/>
  <c r="AZ103" i="1"/>
  <c r="AW103" i="1"/>
  <c r="BA103" i="1"/>
  <c r="BA91" i="1"/>
  <c r="AW91" i="1"/>
  <c r="AZ91" i="1"/>
  <c r="AZ96" i="1"/>
  <c r="AW96" i="1"/>
  <c r="BA96" i="1"/>
  <c r="AW73" i="1"/>
  <c r="BA73" i="1"/>
  <c r="AZ73" i="1"/>
  <c r="AZ104" i="1"/>
  <c r="AW104" i="1"/>
  <c r="BA104" i="1"/>
  <c r="BA64" i="1"/>
  <c r="AW64" i="1"/>
  <c r="AZ64" i="1"/>
  <c r="BB64" i="1" s="1"/>
  <c r="AW106" i="1"/>
  <c r="AZ106" i="1"/>
  <c r="BA106" i="1"/>
  <c r="AW85" i="1"/>
  <c r="BA85" i="1"/>
  <c r="AZ85" i="1"/>
  <c r="AW74" i="1"/>
  <c r="BA74" i="1"/>
  <c r="AZ74" i="1"/>
  <c r="BA70" i="1"/>
  <c r="AZ70" i="1"/>
  <c r="AW70" i="1"/>
  <c r="BA53" i="1"/>
  <c r="AW53" i="1"/>
  <c r="AZ53" i="1"/>
  <c r="BB53" i="1" s="1"/>
  <c r="BA79" i="1"/>
  <c r="AZ79" i="1"/>
  <c r="BB79" i="1" s="1"/>
  <c r="AW79" i="1"/>
  <c r="BA71" i="1"/>
  <c r="AZ71" i="1"/>
  <c r="BB71" i="1" s="1"/>
  <c r="AW71" i="1"/>
  <c r="BA68" i="1"/>
  <c r="AZ68" i="1"/>
  <c r="BB68" i="1" s="1"/>
  <c r="AW68" i="1"/>
  <c r="BA56" i="1"/>
  <c r="AZ56" i="1"/>
  <c r="AW56" i="1"/>
  <c r="AY57" i="1" s="1"/>
  <c r="AW84" i="1"/>
  <c r="BA84" i="1"/>
  <c r="AZ84" i="1"/>
  <c r="AZ80" i="1"/>
  <c r="AW80" i="1"/>
  <c r="BA80" i="1"/>
  <c r="AZ76" i="1"/>
  <c r="BB76" i="1" s="1"/>
  <c r="BA76" i="1"/>
  <c r="AW76" i="1"/>
  <c r="AW72" i="1"/>
  <c r="BA72" i="1"/>
  <c r="AZ72" i="1"/>
  <c r="BA26" i="1"/>
  <c r="AZ26" i="1"/>
  <c r="AW26" i="1"/>
  <c r="BA92" i="1"/>
  <c r="AW92" i="1"/>
  <c r="AZ92" i="1"/>
  <c r="AW90" i="1"/>
  <c r="BA90" i="1"/>
  <c r="AZ90" i="1"/>
  <c r="BB90" i="1" s="1"/>
  <c r="BA82" i="1"/>
  <c r="AW82" i="1"/>
  <c r="AZ82" i="1"/>
  <c r="BB82" i="1" s="1"/>
  <c r="BA77" i="1"/>
  <c r="AW77" i="1"/>
  <c r="AZ77" i="1"/>
  <c r="BA75" i="1"/>
  <c r="AZ75" i="1"/>
  <c r="BB75" i="1" s="1"/>
  <c r="AW75" i="1"/>
  <c r="AZ65" i="1"/>
  <c r="BA65" i="1"/>
  <c r="AW65" i="1"/>
  <c r="AY66" i="1" s="1"/>
  <c r="AZ89" i="1"/>
  <c r="AW89" i="1"/>
  <c r="BA89" i="1"/>
  <c r="AZ86" i="1"/>
  <c r="BA86" i="1"/>
  <c r="AW86" i="1"/>
  <c r="AZ83" i="1"/>
  <c r="BA83" i="1"/>
  <c r="AW83" i="1"/>
  <c r="AZ67" i="1"/>
  <c r="BA67" i="1"/>
  <c r="AW67" i="1"/>
  <c r="AZ63" i="1"/>
  <c r="AW63" i="1"/>
  <c r="BA63" i="1"/>
  <c r="BA54" i="1"/>
  <c r="AW54" i="1"/>
  <c r="AZ54" i="1"/>
  <c r="BB54" i="1" s="1"/>
  <c r="AZ44" i="1"/>
  <c r="AW44" i="1"/>
  <c r="BA44" i="1"/>
  <c r="AZ97" i="1"/>
  <c r="AW97" i="1"/>
  <c r="BA97" i="1"/>
  <c r="AW88" i="1"/>
  <c r="BA88" i="1"/>
  <c r="AZ88" i="1"/>
  <c r="BB125" i="1"/>
  <c r="BB81" i="1"/>
  <c r="BB73" i="1"/>
  <c r="BA28" i="1"/>
  <c r="AW28" i="1"/>
  <c r="AZ28" i="1"/>
  <c r="BA99" i="1"/>
  <c r="AZ99" i="1"/>
  <c r="BB99" i="1" s="1"/>
  <c r="BA108" i="1"/>
  <c r="AZ108" i="1"/>
  <c r="AW108" i="1"/>
  <c r="BA29" i="1"/>
  <c r="AW29" i="1"/>
  <c r="AZ29" i="1"/>
  <c r="BB29" i="1" s="1"/>
  <c r="BB28" i="1"/>
  <c r="BB58" i="1"/>
  <c r="BE43" i="1"/>
  <c r="AW170" i="1"/>
  <c r="BA170" i="1"/>
  <c r="AZ170" i="1"/>
  <c r="BA153" i="1"/>
  <c r="AW153" i="1"/>
  <c r="AZ153" i="1"/>
  <c r="BA129" i="1"/>
  <c r="AZ129" i="1"/>
  <c r="AW129" i="1"/>
  <c r="AY130" i="1" s="1"/>
  <c r="BA111" i="1"/>
  <c r="AW111" i="1"/>
  <c r="AY112" i="1" s="1"/>
  <c r="AZ111" i="1"/>
  <c r="BA60" i="1"/>
  <c r="AW60" i="1"/>
  <c r="AY61" i="1" s="1"/>
  <c r="AZ60" i="1"/>
  <c r="AZ57" i="1"/>
  <c r="AW57" i="1"/>
  <c r="BA57" i="1"/>
  <c r="AZ35" i="1"/>
  <c r="BA35" i="1"/>
  <c r="AW35" i="1"/>
  <c r="AZ33" i="1"/>
  <c r="BB33" i="1" s="1"/>
  <c r="BE33" i="1" s="1"/>
  <c r="BA33" i="1"/>
  <c r="AW33" i="1"/>
  <c r="AQ167" i="1"/>
  <c r="AL120" i="1"/>
  <c r="AO120" i="1"/>
  <c r="AP120" i="1"/>
  <c r="AO115" i="1"/>
  <c r="AL115" i="1"/>
  <c r="AP115" i="1"/>
  <c r="AL112" i="1"/>
  <c r="AP112" i="1"/>
  <c r="AO112" i="1"/>
  <c r="AQ112" i="1" s="1"/>
  <c r="AP117" i="1"/>
  <c r="AL117" i="1"/>
  <c r="AO117" i="1"/>
  <c r="AQ117" i="1" s="1"/>
  <c r="AL110" i="1"/>
  <c r="AO110" i="1"/>
  <c r="AP110" i="1"/>
  <c r="AQ157" i="1"/>
  <c r="AQ34" i="1"/>
  <c r="BE34" i="1" s="1"/>
  <c r="AO105" i="1"/>
  <c r="AP105" i="1"/>
  <c r="AL105" i="1"/>
  <c r="AO102" i="1"/>
  <c r="AL102" i="1"/>
  <c r="AP102" i="1"/>
  <c r="AO97" i="1"/>
  <c r="AP97" i="1"/>
  <c r="AL97" i="1"/>
  <c r="AN98" i="1" s="1"/>
  <c r="AO93" i="1"/>
  <c r="AP93" i="1"/>
  <c r="AL93" i="1"/>
  <c r="AO89" i="1"/>
  <c r="AP89" i="1"/>
  <c r="AL89" i="1"/>
  <c r="AN90" i="1" s="1"/>
  <c r="AO79" i="1"/>
  <c r="AL79" i="1"/>
  <c r="AN80" i="1" s="1"/>
  <c r="AP79" i="1"/>
  <c r="AP75" i="1"/>
  <c r="AO75" i="1"/>
  <c r="AL75" i="1"/>
  <c r="AN76" i="1" s="1"/>
  <c r="AO53" i="1"/>
  <c r="AL53" i="1"/>
  <c r="AP53" i="1"/>
  <c r="AL44" i="1"/>
  <c r="AN45" i="1" s="1"/>
  <c r="AO44" i="1"/>
  <c r="AP44" i="1"/>
  <c r="AO41" i="1"/>
  <c r="AP41" i="1"/>
  <c r="AL41" i="1"/>
  <c r="AN42" i="1" s="1"/>
  <c r="AL27" i="1"/>
  <c r="AP27" i="1"/>
  <c r="AO27" i="1"/>
  <c r="AP24" i="1"/>
  <c r="AL24" i="1"/>
  <c r="AN25" i="1" s="1"/>
  <c r="AO24" i="1"/>
  <c r="AQ24" i="1" s="1"/>
  <c r="BE24" i="1" s="1"/>
  <c r="BE123" i="1"/>
  <c r="BB129" i="1"/>
  <c r="BE129" i="1" s="1"/>
  <c r="BE87" i="1"/>
  <c r="AQ155" i="1"/>
  <c r="AQ154" i="1"/>
  <c r="AQ142" i="1"/>
  <c r="AQ136" i="1"/>
  <c r="AQ134" i="1"/>
  <c r="AQ133" i="1"/>
  <c r="AQ131" i="1"/>
  <c r="AQ121" i="1"/>
  <c r="AQ115" i="1"/>
  <c r="AQ113" i="1"/>
  <c r="AQ110" i="1"/>
  <c r="BE110" i="1" s="1"/>
  <c r="BB151" i="1"/>
  <c r="AQ150" i="1"/>
  <c r="AQ135" i="1"/>
  <c r="AQ126" i="1"/>
  <c r="BB49" i="1"/>
  <c r="BE49" i="1" s="1"/>
  <c r="AQ47" i="1"/>
  <c r="BB44" i="1"/>
  <c r="AQ44" i="1"/>
  <c r="BE44" i="1" s="1"/>
  <c r="BB111" i="1"/>
  <c r="AQ128" i="1"/>
  <c r="BE128" i="1" s="1"/>
  <c r="AQ111" i="1"/>
  <c r="BE111" i="1" s="1"/>
  <c r="AQ151" i="1"/>
  <c r="AQ146" i="1"/>
  <c r="BB120" i="1"/>
  <c r="BA166" i="1"/>
  <c r="AW166" i="1"/>
  <c r="AY167" i="1" s="1"/>
  <c r="AZ166" i="1"/>
  <c r="BB166" i="1" s="1"/>
  <c r="BE166" i="1" s="1"/>
  <c r="AP164" i="1"/>
  <c r="AO164" i="1"/>
  <c r="AQ164" i="1" s="1"/>
  <c r="BE164" i="1" s="1"/>
  <c r="AL164" i="1"/>
  <c r="AN165" i="1" s="1"/>
  <c r="BA159" i="1"/>
  <c r="AZ159" i="1"/>
  <c r="AW159" i="1"/>
  <c r="AY160" i="1" s="1"/>
  <c r="AP158" i="1"/>
  <c r="AL158" i="1"/>
  <c r="AO158" i="1"/>
  <c r="AQ158" i="1" s="1"/>
  <c r="BA156" i="1"/>
  <c r="AW156" i="1"/>
  <c r="AY157" i="1" s="1"/>
  <c r="AZ156" i="1"/>
  <c r="BB156" i="1" s="1"/>
  <c r="BE156" i="1" s="1"/>
  <c r="AZ146" i="1"/>
  <c r="BA146" i="1"/>
  <c r="AW146" i="1"/>
  <c r="AY147" i="1" s="1"/>
  <c r="AP144" i="1"/>
  <c r="AL144" i="1"/>
  <c r="AO144" i="1"/>
  <c r="AQ144" i="1" s="1"/>
  <c r="BA126" i="1"/>
  <c r="AZ126" i="1"/>
  <c r="BB126" i="1" s="1"/>
  <c r="BE126" i="1" s="1"/>
  <c r="AW126" i="1"/>
  <c r="AY127" i="1" s="1"/>
  <c r="BA121" i="1"/>
  <c r="AW121" i="1"/>
  <c r="AY122" i="1" s="1"/>
  <c r="AZ121" i="1"/>
  <c r="BB121" i="1" s="1"/>
  <c r="BE121" i="1" s="1"/>
  <c r="AZ112" i="1"/>
  <c r="AW112" i="1"/>
  <c r="AY113" i="1" s="1"/>
  <c r="BA112" i="1"/>
  <c r="AO107" i="1"/>
  <c r="AP107" i="1"/>
  <c r="AL107" i="1"/>
  <c r="AN108" i="1" s="1"/>
  <c r="AP98" i="1"/>
  <c r="AO98" i="1"/>
  <c r="AQ98" i="1" s="1"/>
  <c r="AL98" i="1"/>
  <c r="AN99" i="1" s="1"/>
  <c r="AW94" i="1"/>
  <c r="AZ94" i="1"/>
  <c r="BA94" i="1"/>
  <c r="AP76" i="1"/>
  <c r="AL76" i="1"/>
  <c r="AN77" i="1" s="1"/>
  <c r="AO76" i="1"/>
  <c r="AQ76" i="1" s="1"/>
  <c r="BE76" i="1" s="1"/>
  <c r="AP67" i="1"/>
  <c r="AL67" i="1"/>
  <c r="AN68" i="1" s="1"/>
  <c r="AO67" i="1"/>
  <c r="AZ66" i="1"/>
  <c r="AW66" i="1"/>
  <c r="BA66" i="1"/>
  <c r="AP63" i="1"/>
  <c r="AO63" i="1"/>
  <c r="AQ63" i="1" s="1"/>
  <c r="AL63" i="1"/>
  <c r="AN64" i="1" s="1"/>
  <c r="AP59" i="1"/>
  <c r="AO59" i="1"/>
  <c r="AQ59" i="1" s="1"/>
  <c r="AL59" i="1"/>
  <c r="AL55" i="1"/>
  <c r="AP55" i="1"/>
  <c r="AO55" i="1"/>
  <c r="AQ55" i="1" s="1"/>
  <c r="BE55" i="1" s="1"/>
  <c r="AZ52" i="1"/>
  <c r="BA52" i="1"/>
  <c r="AW52" i="1"/>
  <c r="AO48" i="1"/>
  <c r="AL48" i="1"/>
  <c r="AP48" i="1"/>
  <c r="AZ47" i="1"/>
  <c r="AW47" i="1"/>
  <c r="BA47" i="1"/>
  <c r="AP45" i="1"/>
  <c r="AO45" i="1"/>
  <c r="AQ45" i="1" s="1"/>
  <c r="BE45" i="1" s="1"/>
  <c r="AL45" i="1"/>
  <c r="AN46" i="1" s="1"/>
  <c r="AZ39" i="1"/>
  <c r="AW39" i="1"/>
  <c r="AY40" i="1" s="1"/>
  <c r="BA39" i="1"/>
  <c r="AO36" i="1"/>
  <c r="AL36" i="1"/>
  <c r="AP36" i="1"/>
  <c r="AO29" i="1"/>
  <c r="AP29" i="1"/>
  <c r="AL29" i="1"/>
  <c r="AN30" i="1" s="1"/>
  <c r="BC22" i="1"/>
  <c r="BC23" i="1" s="1"/>
  <c r="BC24" i="1" s="1"/>
  <c r="BE22" i="1"/>
  <c r="AR22" i="1"/>
  <c r="AR23" i="1" s="1"/>
  <c r="AR24" i="1" s="1"/>
  <c r="BB176" i="1"/>
  <c r="AQ176" i="1"/>
  <c r="BB175" i="1"/>
  <c r="AQ175" i="1"/>
  <c r="BE175" i="1" s="1"/>
  <c r="BB174" i="1"/>
  <c r="AQ174" i="1"/>
  <c r="BE174" i="1" s="1"/>
  <c r="BB173" i="1"/>
  <c r="AQ173" i="1"/>
  <c r="BE173" i="1" s="1"/>
  <c r="BB172" i="1"/>
  <c r="AQ172" i="1"/>
  <c r="BE172" i="1" s="1"/>
  <c r="BB171" i="1"/>
  <c r="AQ171" i="1"/>
  <c r="BE171" i="1" s="1"/>
  <c r="BB170" i="1"/>
  <c r="AQ170" i="1"/>
  <c r="BB169" i="1"/>
  <c r="AQ169" i="1"/>
  <c r="AQ162" i="1"/>
  <c r="AQ161" i="1"/>
  <c r="AQ160" i="1"/>
  <c r="AQ159" i="1"/>
  <c r="BB158" i="1"/>
  <c r="BB155" i="1"/>
  <c r="BE155" i="1" s="1"/>
  <c r="BB153" i="1"/>
  <c r="BE153" i="1" s="1"/>
  <c r="AQ148" i="1"/>
  <c r="BB145" i="1"/>
  <c r="BE145" i="1" s="1"/>
  <c r="AQ119" i="1"/>
  <c r="AQ118" i="1"/>
  <c r="BE118" i="1" s="1"/>
  <c r="AQ51" i="1"/>
  <c r="BE51" i="1" s="1"/>
  <c r="AQ50" i="1"/>
  <c r="BE50" i="1" s="1"/>
  <c r="BB109" i="1"/>
  <c r="BB106" i="1"/>
  <c r="AQ106" i="1"/>
  <c r="BE106" i="1" s="1"/>
  <c r="BB105" i="1"/>
  <c r="BB104" i="1"/>
  <c r="BE104" i="1" s="1"/>
  <c r="BB103" i="1"/>
  <c r="AQ103" i="1"/>
  <c r="BE103" i="1" s="1"/>
  <c r="BB102" i="1"/>
  <c r="AQ101" i="1"/>
  <c r="BE101" i="1" s="1"/>
  <c r="BB100" i="1"/>
  <c r="BB98" i="1"/>
  <c r="BB97" i="1"/>
  <c r="BB96" i="1"/>
  <c r="BE96" i="1" s="1"/>
  <c r="AQ95" i="1"/>
  <c r="BE95" i="1" s="1"/>
  <c r="BB92" i="1"/>
  <c r="AQ92" i="1"/>
  <c r="BE92" i="1" s="1"/>
  <c r="BB91" i="1"/>
  <c r="BB88" i="1"/>
  <c r="AQ88" i="1"/>
  <c r="BE88" i="1" s="1"/>
  <c r="AQ86" i="1"/>
  <c r="BB85" i="1"/>
  <c r="AQ85" i="1"/>
  <c r="BB83" i="1"/>
  <c r="BB78" i="1"/>
  <c r="BE78" i="1" s="1"/>
  <c r="BB77" i="1"/>
  <c r="AQ75" i="1"/>
  <c r="BE75" i="1" s="1"/>
  <c r="BB74" i="1"/>
  <c r="AQ74" i="1"/>
  <c r="BB70" i="1"/>
  <c r="BB69" i="1"/>
  <c r="BB67" i="1"/>
  <c r="BB65" i="1"/>
  <c r="BB63" i="1"/>
  <c r="BB60" i="1"/>
  <c r="BE60" i="1" s="1"/>
  <c r="BB59" i="1"/>
  <c r="AQ58" i="1"/>
  <c r="BE58" i="1" s="1"/>
  <c r="AQ57" i="1"/>
  <c r="BB56" i="1"/>
  <c r="AQ56" i="1"/>
  <c r="AQ54" i="1"/>
  <c r="BB42" i="1"/>
  <c r="AQ41" i="1"/>
  <c r="BE41" i="1" s="1"/>
  <c r="BB38" i="1"/>
  <c r="AQ38" i="1"/>
  <c r="BB37" i="1"/>
  <c r="BE37" i="1" s="1"/>
  <c r="BB32" i="1"/>
  <c r="BE32" i="1" s="1"/>
  <c r="AQ31" i="1"/>
  <c r="BE31" i="1" s="1"/>
  <c r="AQ28" i="1"/>
  <c r="BB26" i="1"/>
  <c r="BE26" i="1" s="1"/>
  <c r="BB25" i="1"/>
  <c r="AQ132" i="1"/>
  <c r="BB119" i="1"/>
  <c r="AQ149" i="1"/>
  <c r="AQ125" i="1"/>
  <c r="BE154" i="1"/>
  <c r="BB144" i="1"/>
  <c r="AQ139" i="1"/>
  <c r="AQ130" i="1"/>
  <c r="BB124" i="1"/>
  <c r="BE124" i="1" s="1"/>
  <c r="AQ120" i="1"/>
  <c r="AQ114" i="1"/>
  <c r="BB46" i="1"/>
  <c r="BB80" i="1" l="1"/>
  <c r="BB72" i="1"/>
  <c r="BB86" i="1"/>
  <c r="BE86" i="1" s="1"/>
  <c r="BB84" i="1"/>
  <c r="BE28" i="1"/>
  <c r="BE125" i="1"/>
  <c r="BE120" i="1"/>
  <c r="BE170" i="1"/>
  <c r="BB89" i="1"/>
  <c r="BB108" i="1"/>
  <c r="BE151" i="1"/>
  <c r="BE85" i="1"/>
  <c r="BB159" i="1"/>
  <c r="BE159" i="1" s="1"/>
  <c r="BE38" i="1"/>
  <c r="BB35" i="1"/>
  <c r="BE35" i="1" s="1"/>
  <c r="AW130" i="1"/>
  <c r="AY131" i="1" s="1"/>
  <c r="BA130" i="1"/>
  <c r="AZ130" i="1"/>
  <c r="BB130" i="1" s="1"/>
  <c r="BE130" i="1" s="1"/>
  <c r="AZ61" i="1"/>
  <c r="AW61" i="1"/>
  <c r="AY62" i="1" s="1"/>
  <c r="BA61" i="1"/>
  <c r="BB57" i="1"/>
  <c r="BE57" i="1" s="1"/>
  <c r="BE176" i="1"/>
  <c r="BE74" i="1"/>
  <c r="BE54" i="1"/>
  <c r="BA160" i="1"/>
  <c r="AW160" i="1"/>
  <c r="AY161" i="1" s="1"/>
  <c r="AZ160" i="1"/>
  <c r="BB160" i="1" s="1"/>
  <c r="BE160" i="1" s="1"/>
  <c r="BA147" i="1"/>
  <c r="AZ147" i="1"/>
  <c r="AW147" i="1"/>
  <c r="AY148" i="1" s="1"/>
  <c r="AZ127" i="1"/>
  <c r="BA127" i="1"/>
  <c r="AW127" i="1"/>
  <c r="AZ40" i="1"/>
  <c r="BA40" i="1"/>
  <c r="AW40" i="1"/>
  <c r="AQ79" i="1"/>
  <c r="BE79" i="1" s="1"/>
  <c r="AP90" i="1"/>
  <c r="AO90" i="1"/>
  <c r="AL90" i="1"/>
  <c r="AN91" i="1" s="1"/>
  <c r="AL80" i="1"/>
  <c r="AN81" i="1" s="1"/>
  <c r="AO80" i="1"/>
  <c r="AP80" i="1"/>
  <c r="AP42" i="1"/>
  <c r="AO42" i="1"/>
  <c r="AQ42" i="1" s="1"/>
  <c r="BE42" i="1" s="1"/>
  <c r="AL42" i="1"/>
  <c r="AO25" i="1"/>
  <c r="AL25" i="1"/>
  <c r="AP25" i="1"/>
  <c r="AQ105" i="1"/>
  <c r="BE105" i="1" s="1"/>
  <c r="AQ102" i="1"/>
  <c r="BE102" i="1" s="1"/>
  <c r="AQ97" i="1"/>
  <c r="BE97" i="1" s="1"/>
  <c r="AQ93" i="1"/>
  <c r="BE93" i="1" s="1"/>
  <c r="AQ89" i="1"/>
  <c r="BE89" i="1" s="1"/>
  <c r="AQ53" i="1"/>
  <c r="BE53" i="1" s="1"/>
  <c r="AQ67" i="1"/>
  <c r="BE67" i="1" s="1"/>
  <c r="AQ27" i="1"/>
  <c r="BE27" i="1" s="1"/>
  <c r="AO99" i="1"/>
  <c r="AP99" i="1"/>
  <c r="AL99" i="1"/>
  <c r="AN100" i="1" s="1"/>
  <c r="AP77" i="1"/>
  <c r="AL77" i="1"/>
  <c r="AO77" i="1"/>
  <c r="AQ77" i="1" s="1"/>
  <c r="BE77" i="1" s="1"/>
  <c r="AL46" i="1"/>
  <c r="AP46" i="1"/>
  <c r="AO46" i="1"/>
  <c r="AQ46" i="1" s="1"/>
  <c r="BE46" i="1" s="1"/>
  <c r="BE56" i="1"/>
  <c r="BE169" i="1"/>
  <c r="AZ167" i="1"/>
  <c r="AW167" i="1"/>
  <c r="AY168" i="1" s="1"/>
  <c r="BA167" i="1"/>
  <c r="AP165" i="1"/>
  <c r="AO165" i="1"/>
  <c r="AL165" i="1"/>
  <c r="BA157" i="1"/>
  <c r="AW157" i="1"/>
  <c r="AZ157" i="1"/>
  <c r="BA122" i="1"/>
  <c r="AW122" i="1"/>
  <c r="AZ122" i="1"/>
  <c r="BB122" i="1" s="1"/>
  <c r="BE122" i="1" s="1"/>
  <c r="AZ113" i="1"/>
  <c r="BA113" i="1"/>
  <c r="AW113" i="1"/>
  <c r="AY114" i="1" s="1"/>
  <c r="AP108" i="1"/>
  <c r="AO108" i="1"/>
  <c r="AQ108" i="1" s="1"/>
  <c r="BE108" i="1" s="1"/>
  <c r="AL108" i="1"/>
  <c r="AN109" i="1" s="1"/>
  <c r="AO68" i="1"/>
  <c r="AL68" i="1"/>
  <c r="AN69" i="1" s="1"/>
  <c r="AP68" i="1"/>
  <c r="AP64" i="1"/>
  <c r="AL64" i="1"/>
  <c r="AN65" i="1" s="1"/>
  <c r="AO64" i="1"/>
  <c r="AQ64" i="1" s="1"/>
  <c r="BE64" i="1" s="1"/>
  <c r="AO30" i="1"/>
  <c r="AL30" i="1"/>
  <c r="AP30" i="1"/>
  <c r="BF22" i="1"/>
  <c r="BF23" i="1" s="1"/>
  <c r="BF24" i="1" s="1"/>
  <c r="BE158" i="1"/>
  <c r="BB146" i="1"/>
  <c r="BE146" i="1" s="1"/>
  <c r="BE144" i="1"/>
  <c r="BB112" i="1"/>
  <c r="BE112" i="1" s="1"/>
  <c r="AQ107" i="1"/>
  <c r="BE107" i="1" s="1"/>
  <c r="BE98" i="1"/>
  <c r="BB94" i="1"/>
  <c r="BE94" i="1" s="1"/>
  <c r="BB66" i="1"/>
  <c r="BE66" i="1" s="1"/>
  <c r="BE63" i="1"/>
  <c r="BE59" i="1"/>
  <c r="BB52" i="1"/>
  <c r="BE52" i="1" s="1"/>
  <c r="AQ48" i="1"/>
  <c r="BE48" i="1" s="1"/>
  <c r="BB47" i="1"/>
  <c r="BE47" i="1" s="1"/>
  <c r="BB39" i="1"/>
  <c r="AQ36" i="1"/>
  <c r="BE36" i="1" s="1"/>
  <c r="AQ29" i="1"/>
  <c r="BC25" i="1"/>
  <c r="BC26" i="1" s="1"/>
  <c r="BC27" i="1" s="1"/>
  <c r="BC28" i="1" s="1"/>
  <c r="BC29" i="1" s="1"/>
  <c r="BC30" i="1" s="1"/>
  <c r="BC31" i="1" s="1"/>
  <c r="BC32" i="1" s="1"/>
  <c r="BC33" i="1" s="1"/>
  <c r="BC34" i="1" s="1"/>
  <c r="BE119" i="1"/>
  <c r="BB147" i="1" l="1"/>
  <c r="BE147" i="1" s="1"/>
  <c r="BB157" i="1"/>
  <c r="BE157" i="1" s="1"/>
  <c r="BC35" i="1"/>
  <c r="BC36" i="1" s="1"/>
  <c r="BC37" i="1" s="1"/>
  <c r="BC38" i="1" s="1"/>
  <c r="BC39" i="1" s="1"/>
  <c r="BA131" i="1"/>
  <c r="AZ131" i="1"/>
  <c r="BB131" i="1" s="1"/>
  <c r="BE131" i="1" s="1"/>
  <c r="AW131" i="1"/>
  <c r="AY132" i="1" s="1"/>
  <c r="AZ62" i="1"/>
  <c r="AW62" i="1"/>
  <c r="BA62" i="1"/>
  <c r="AW161" i="1"/>
  <c r="AY162" i="1" s="1"/>
  <c r="BA161" i="1"/>
  <c r="AZ161" i="1"/>
  <c r="BB161" i="1" s="1"/>
  <c r="BE161" i="1" s="1"/>
  <c r="AW148" i="1"/>
  <c r="AY149" i="1" s="1"/>
  <c r="AZ148" i="1"/>
  <c r="BA148" i="1"/>
  <c r="BB61" i="1"/>
  <c r="BE61" i="1" s="1"/>
  <c r="BB40" i="1"/>
  <c r="BB127" i="1"/>
  <c r="BE127" i="1" s="1"/>
  <c r="AQ90" i="1"/>
  <c r="BE90" i="1" s="1"/>
  <c r="AQ165" i="1"/>
  <c r="BE165" i="1" s="1"/>
  <c r="AP91" i="1"/>
  <c r="AL91" i="1"/>
  <c r="AO91" i="1"/>
  <c r="AQ91" i="1" s="1"/>
  <c r="BE91" i="1" s="1"/>
  <c r="AP81" i="1"/>
  <c r="AO81" i="1"/>
  <c r="AQ81" i="1" s="1"/>
  <c r="BE81" i="1" s="1"/>
  <c r="AL81" i="1"/>
  <c r="AN82" i="1" s="1"/>
  <c r="AO100" i="1"/>
  <c r="AP100" i="1"/>
  <c r="AL100" i="1"/>
  <c r="AQ80" i="1"/>
  <c r="BE80" i="1" s="1"/>
  <c r="AQ25" i="1"/>
  <c r="AQ99" i="1"/>
  <c r="BE99" i="1" s="1"/>
  <c r="AP69" i="1"/>
  <c r="AO69" i="1"/>
  <c r="AQ69" i="1" s="1"/>
  <c r="BE69" i="1" s="1"/>
  <c r="AL69" i="1"/>
  <c r="AN70" i="1" s="1"/>
  <c r="AW168" i="1"/>
  <c r="BA168" i="1"/>
  <c r="AZ168" i="1"/>
  <c r="BB168" i="1" s="1"/>
  <c r="BE168" i="1" s="1"/>
  <c r="AZ114" i="1"/>
  <c r="AW114" i="1"/>
  <c r="AY115" i="1" s="1"/>
  <c r="BA114" i="1"/>
  <c r="AO109" i="1"/>
  <c r="AP109" i="1"/>
  <c r="AL109" i="1"/>
  <c r="AP65" i="1"/>
  <c r="AO65" i="1"/>
  <c r="AL65" i="1"/>
  <c r="BB167" i="1"/>
  <c r="BE167" i="1" s="1"/>
  <c r="BB113" i="1"/>
  <c r="AQ68" i="1"/>
  <c r="BE68" i="1" s="1"/>
  <c r="AQ30" i="1"/>
  <c r="BE39" i="1"/>
  <c r="BE29" i="1"/>
  <c r="AZ132" i="1" l="1"/>
  <c r="BA132" i="1"/>
  <c r="AW132" i="1"/>
  <c r="AY133" i="1" s="1"/>
  <c r="BA162" i="1"/>
  <c r="AZ162" i="1"/>
  <c r="BB162" i="1" s="1"/>
  <c r="BE162" i="1" s="1"/>
  <c r="AW162" i="1"/>
  <c r="AY163" i="1" s="1"/>
  <c r="BA149" i="1"/>
  <c r="AW149" i="1"/>
  <c r="AY150" i="1" s="1"/>
  <c r="AZ149" i="1"/>
  <c r="BC40" i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E40" i="1"/>
  <c r="BB62" i="1"/>
  <c r="BE62" i="1" s="1"/>
  <c r="BB148" i="1"/>
  <c r="BE148" i="1" s="1"/>
  <c r="BA115" i="1"/>
  <c r="AZ115" i="1"/>
  <c r="BB115" i="1" s="1"/>
  <c r="BE115" i="1" s="1"/>
  <c r="AW115" i="1"/>
  <c r="AY116" i="1" s="1"/>
  <c r="AQ65" i="1"/>
  <c r="BE65" i="1" s="1"/>
  <c r="AP82" i="1"/>
  <c r="AL82" i="1"/>
  <c r="AN83" i="1" s="1"/>
  <c r="AO82" i="1"/>
  <c r="BE25" i="1"/>
  <c r="BF25" i="1" s="1"/>
  <c r="BF26" i="1" s="1"/>
  <c r="BF27" i="1" s="1"/>
  <c r="BF28" i="1" s="1"/>
  <c r="BF29" i="1" s="1"/>
  <c r="AR25" i="1"/>
  <c r="AR26" i="1" s="1"/>
  <c r="AR27" i="1" s="1"/>
  <c r="AR28" i="1" s="1"/>
  <c r="AR29" i="1" s="1"/>
  <c r="AP70" i="1"/>
  <c r="AO70" i="1"/>
  <c r="AQ70" i="1" s="1"/>
  <c r="BE70" i="1" s="1"/>
  <c r="AL70" i="1"/>
  <c r="AN71" i="1" s="1"/>
  <c r="AQ100" i="1"/>
  <c r="BE100" i="1" s="1"/>
  <c r="BE113" i="1"/>
  <c r="AR30" i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BE30" i="1"/>
  <c r="BB114" i="1"/>
  <c r="AQ109" i="1"/>
  <c r="BB149" i="1" l="1"/>
  <c r="BE149" i="1" s="1"/>
  <c r="BF30" i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AZ133" i="1"/>
  <c r="AW133" i="1"/>
  <c r="AY134" i="1" s="1"/>
  <c r="BA133" i="1"/>
  <c r="BA163" i="1"/>
  <c r="AZ163" i="1"/>
  <c r="BB163" i="1" s="1"/>
  <c r="BE163" i="1" s="1"/>
  <c r="AW163" i="1"/>
  <c r="BA150" i="1"/>
  <c r="AZ150" i="1"/>
  <c r="AW150" i="1"/>
  <c r="AZ116" i="1"/>
  <c r="BA116" i="1"/>
  <c r="AW116" i="1"/>
  <c r="AY117" i="1" s="1"/>
  <c r="BB132" i="1"/>
  <c r="BE132" i="1" s="1"/>
  <c r="BC62" i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AQ82" i="1"/>
  <c r="BE82" i="1" s="1"/>
  <c r="AL83" i="1"/>
  <c r="AN84" i="1" s="1"/>
  <c r="AO83" i="1"/>
  <c r="AP83" i="1"/>
  <c r="AP71" i="1"/>
  <c r="AL71" i="1"/>
  <c r="AN72" i="1" s="1"/>
  <c r="AO71" i="1"/>
  <c r="AQ71" i="1" s="1"/>
  <c r="BE114" i="1"/>
  <c r="BE109" i="1"/>
  <c r="BB150" i="1" l="1"/>
  <c r="BE150" i="1" s="1"/>
  <c r="AZ134" i="1"/>
  <c r="BA134" i="1"/>
  <c r="AW134" i="1"/>
  <c r="AY135" i="1" s="1"/>
  <c r="AZ117" i="1"/>
  <c r="AW117" i="1"/>
  <c r="BA117" i="1"/>
  <c r="BB133" i="1"/>
  <c r="BE133" i="1" s="1"/>
  <c r="BB116" i="1"/>
  <c r="AP84" i="1"/>
  <c r="AO84" i="1"/>
  <c r="AQ84" i="1" s="1"/>
  <c r="BE84" i="1" s="1"/>
  <c r="AL84" i="1"/>
  <c r="AP72" i="1"/>
  <c r="AO72" i="1"/>
  <c r="AQ72" i="1" s="1"/>
  <c r="AL72" i="1"/>
  <c r="AN73" i="1" s="1"/>
  <c r="AR71" i="1"/>
  <c r="AR72" i="1" s="1"/>
  <c r="BE71" i="1"/>
  <c r="AQ83" i="1"/>
  <c r="BE83" i="1" s="1"/>
  <c r="BA135" i="1" l="1"/>
  <c r="AZ135" i="1"/>
  <c r="AW135" i="1"/>
  <c r="AY136" i="1" s="1"/>
  <c r="BC116" i="1"/>
  <c r="BE116" i="1"/>
  <c r="BB134" i="1"/>
  <c r="BE134" i="1" s="1"/>
  <c r="BB117" i="1"/>
  <c r="BE72" i="1"/>
  <c r="AP73" i="1"/>
  <c r="AL73" i="1"/>
  <c r="AO73" i="1"/>
  <c r="AQ73" i="1" s="1"/>
  <c r="BF71" i="1"/>
  <c r="BB135" i="1" l="1"/>
  <c r="BE135" i="1" s="1"/>
  <c r="BF72" i="1"/>
  <c r="AW136" i="1"/>
  <c r="AY137" i="1" s="1"/>
  <c r="AZ136" i="1"/>
  <c r="BA136" i="1"/>
  <c r="BC117" i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E117" i="1"/>
  <c r="AR73" i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73" i="1"/>
  <c r="AQ14" i="1"/>
  <c r="AQ15" i="1"/>
  <c r="AQ19" i="1"/>
  <c r="AZ137" i="1" l="1"/>
  <c r="AW137" i="1"/>
  <c r="AY138" i="1" s="1"/>
  <c r="BA137" i="1"/>
  <c r="BB136" i="1"/>
  <c r="BF73" i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AQ16" i="1"/>
  <c r="AI1" i="1" s="1"/>
  <c r="AW138" i="1" l="1"/>
  <c r="AY139" i="1" s="1"/>
  <c r="AZ138" i="1"/>
  <c r="BA138" i="1"/>
  <c r="BE136" i="1"/>
  <c r="BC136" i="1"/>
  <c r="BB137" i="1"/>
  <c r="BA139" i="1" l="1"/>
  <c r="AZ139" i="1"/>
  <c r="AW139" i="1"/>
  <c r="AY140" i="1" s="1"/>
  <c r="BF136" i="1"/>
  <c r="BC137" i="1"/>
  <c r="BB138" i="1"/>
  <c r="BE137" i="1"/>
  <c r="BB139" i="1" l="1"/>
  <c r="BE139" i="1" s="1"/>
  <c r="BF137" i="1"/>
  <c r="BC138" i="1"/>
  <c r="AW140" i="1"/>
  <c r="AY141" i="1" s="1"/>
  <c r="AZ140" i="1"/>
  <c r="BA140" i="1"/>
  <c r="BE138" i="1"/>
  <c r="BC139" i="1"/>
  <c r="AW141" i="1" l="1"/>
  <c r="AY142" i="1" s="1"/>
  <c r="BA141" i="1"/>
  <c r="AZ141" i="1"/>
  <c r="BF138" i="1"/>
  <c r="BF139" i="1" s="1"/>
  <c r="BB140" i="1"/>
  <c r="BB141" i="1" l="1"/>
  <c r="BE141" i="1" s="1"/>
  <c r="AZ142" i="1"/>
  <c r="BA142" i="1"/>
  <c r="AW142" i="1"/>
  <c r="AY143" i="1" s="1"/>
  <c r="BE140" i="1"/>
  <c r="BC140" i="1"/>
  <c r="BC141" i="1" s="1"/>
  <c r="BA143" i="1" l="1"/>
  <c r="AZ143" i="1"/>
  <c r="AW143" i="1"/>
  <c r="BF140" i="1"/>
  <c r="BF141" i="1" s="1"/>
  <c r="BB142" i="1"/>
  <c r="BB143" i="1" l="1"/>
  <c r="BB14" i="1"/>
  <c r="BB15" i="1"/>
  <c r="BB19" i="1"/>
  <c r="BE143" i="1"/>
  <c r="BC142" i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42" i="1"/>
  <c r="BE14" i="1" l="1"/>
  <c r="BE18" i="1"/>
  <c r="BE15" i="1"/>
  <c r="BF142" i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<sst xmlns="http://schemas.openxmlformats.org/spreadsheetml/2006/main" count="74" uniqueCount="53">
  <si>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</si>
  <si>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BWX</t>
  </si>
  <si>
    <t>IGOV</t>
  </si>
  <si>
    <t>BWX log rtn</t>
  </si>
  <si>
    <t>IGOV log rtn</t>
  </si>
  <si>
    <t>BWX div</t>
  </si>
  <si>
    <t>BWX div cumsum</t>
  </si>
  <si>
    <t>IGOV div</t>
  </si>
  <si>
    <t>IGOV div cumsum</t>
  </si>
  <si>
    <t>BWX div adjustment</t>
  </si>
  <si>
    <t>IGOV div adjustment</t>
  </si>
  <si>
    <t>BWX*</t>
  </si>
  <si>
    <t>IGOV*</t>
  </si>
  <si>
    <t>IGOV/BWX</t>
  </si>
  <si>
    <t>IGOV/BWX avg</t>
  </si>
  <si>
    <t>IGOV/BWX 10 dma</t>
  </si>
  <si>
    <t>IGOV/BWX 20 dma</t>
  </si>
  <si>
    <t>BWX x avg</t>
  </si>
  <si>
    <t>BWX x 10 dma</t>
  </si>
  <si>
    <t>BWX x 20 dma</t>
  </si>
  <si>
    <t>log diff BWX x avg / IGOV</t>
  </si>
  <si>
    <t>log diff BWX x 10 dma / IGOV</t>
  </si>
  <si>
    <t>log diff BWX x 20 dma / IGOV</t>
  </si>
  <si>
    <t>IGOV*/BWX*</t>
  </si>
  <si>
    <t>IGOV*/BWX* avg</t>
  </si>
  <si>
    <t>IGOV*/BWX* 10 dma</t>
  </si>
  <si>
    <t>IGOV*/BWX* 20 dma</t>
  </si>
  <si>
    <t>BWX* x avg</t>
  </si>
  <si>
    <t>BWX* x 10 dma</t>
  </si>
  <si>
    <t>BWX* x 20 dma</t>
  </si>
  <si>
    <t>log diff BWX* x avg / IGOV*</t>
  </si>
  <si>
    <t>log diff BWX* x 10 dma / IGOV*</t>
  </si>
  <si>
    <t>log diff BWX* x 20 dma / IGOV*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</si>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</sst>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IGOV/BWX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1.8789764613078801</c:v>
                </c:pt>
                <c:pt idx="1">
                  <c:v>1.8789764613078801</c:v>
                </c:pt>
                <c:pt idx="2">
                  <c:v>1.8789764613078801</c:v>
                </c:pt>
                <c:pt idx="3">
                  <c:v>1.8789764613078801</c:v>
                </c:pt>
                <c:pt idx="4">
                  <c:v>1.8789764613078801</c:v>
                </c:pt>
                <c:pt idx="5">
                  <c:v>1.8789764613078801</c:v>
                </c:pt>
                <c:pt idx="6">
                  <c:v>1.8789764613078801</c:v>
                </c:pt>
                <c:pt idx="7">
                  <c:v>1.8789764613078801</c:v>
                </c:pt>
                <c:pt idx="8">
                  <c:v>1.8789764613078801</c:v>
                </c:pt>
                <c:pt idx="9">
                  <c:v>1.8789764613078801</c:v>
                </c:pt>
                <c:pt idx="10">
                  <c:v>1.8789764613078801</c:v>
                </c:pt>
                <c:pt idx="11">
                  <c:v>1.8789764613078801</c:v>
                </c:pt>
                <c:pt idx="12">
                  <c:v>1.8789764613078801</c:v>
                </c:pt>
                <c:pt idx="13">
                  <c:v>1.8789764613078801</c:v>
                </c:pt>
                <c:pt idx="14">
                  <c:v>1.8789764613078801</c:v>
                </c:pt>
                <c:pt idx="15">
                  <c:v>1.8789764613078801</c:v>
                </c:pt>
                <c:pt idx="16">
                  <c:v>1.8789764613078801</c:v>
                </c:pt>
                <c:pt idx="17">
                  <c:v>1.8789764613078801</c:v>
                </c:pt>
                <c:pt idx="18">
                  <c:v>1.8789764613078801</c:v>
                </c:pt>
                <c:pt idx="19">
                  <c:v>1.8789764613078801</c:v>
                </c:pt>
                <c:pt idx="20">
                  <c:v>1.8789764613078801</c:v>
                </c:pt>
                <c:pt idx="21">
                  <c:v>1.8789764613078801</c:v>
                </c:pt>
                <c:pt idx="22">
                  <c:v>1.8789764613078801</c:v>
                </c:pt>
                <c:pt idx="23">
                  <c:v>1.8789764613078801</c:v>
                </c:pt>
                <c:pt idx="24">
                  <c:v>1.8789764613078801</c:v>
                </c:pt>
                <c:pt idx="25">
                  <c:v>1.8789764613078801</c:v>
                </c:pt>
                <c:pt idx="26">
                  <c:v>1.8789764613078801</c:v>
                </c:pt>
                <c:pt idx="27">
                  <c:v>1.8789764613078801</c:v>
                </c:pt>
                <c:pt idx="28">
                  <c:v>1.8789764613078801</c:v>
                </c:pt>
                <c:pt idx="29">
                  <c:v>1.8789764613078801</c:v>
                </c:pt>
                <c:pt idx="30">
                  <c:v>1.8789764613078801</c:v>
                </c:pt>
                <c:pt idx="31">
                  <c:v>1.8789764613078801</c:v>
                </c:pt>
                <c:pt idx="32">
                  <c:v>1.8789764613078801</c:v>
                </c:pt>
                <c:pt idx="33">
                  <c:v>1.8789764613078801</c:v>
                </c:pt>
                <c:pt idx="34">
                  <c:v>1.8789764613078801</c:v>
                </c:pt>
                <c:pt idx="35">
                  <c:v>1.8789764613078801</c:v>
                </c:pt>
                <c:pt idx="36">
                  <c:v>1.8789764613078801</c:v>
                </c:pt>
                <c:pt idx="37">
                  <c:v>1.8789764613078801</c:v>
                </c:pt>
                <c:pt idx="38">
                  <c:v>1.8789764613078801</c:v>
                </c:pt>
                <c:pt idx="39">
                  <c:v>1.8789764613078801</c:v>
                </c:pt>
                <c:pt idx="40">
                  <c:v>1.8789764613078801</c:v>
                </c:pt>
                <c:pt idx="41">
                  <c:v>1.8789764613078801</c:v>
                </c:pt>
                <c:pt idx="42">
                  <c:v>1.8789764613078801</c:v>
                </c:pt>
                <c:pt idx="43">
                  <c:v>1.8789764613078801</c:v>
                </c:pt>
                <c:pt idx="44">
                  <c:v>1.8789764613078801</c:v>
                </c:pt>
                <c:pt idx="45">
                  <c:v>1.8789764613078801</c:v>
                </c:pt>
                <c:pt idx="46">
                  <c:v>1.8789764613078801</c:v>
                </c:pt>
                <c:pt idx="47">
                  <c:v>1.8789764613078801</c:v>
                </c:pt>
                <c:pt idx="48">
                  <c:v>1.8789764613078801</c:v>
                </c:pt>
                <c:pt idx="49">
                  <c:v>1.8789764613078801</c:v>
                </c:pt>
                <c:pt idx="50">
                  <c:v>1.8789764613078801</c:v>
                </c:pt>
                <c:pt idx="51">
                  <c:v>1.8789764613078801</c:v>
                </c:pt>
                <c:pt idx="52">
                  <c:v>1.8789764613078801</c:v>
                </c:pt>
                <c:pt idx="53">
                  <c:v>1.8789764613078801</c:v>
                </c:pt>
                <c:pt idx="54">
                  <c:v>1.8789764613078801</c:v>
                </c:pt>
                <c:pt idx="55">
                  <c:v>1.8789764613078801</c:v>
                </c:pt>
                <c:pt idx="56">
                  <c:v>1.8789764613078801</c:v>
                </c:pt>
                <c:pt idx="57">
                  <c:v>1.8789764613078801</c:v>
                </c:pt>
                <c:pt idx="58">
                  <c:v>1.8789764613078801</c:v>
                </c:pt>
                <c:pt idx="59">
                  <c:v>1.8789764613078801</c:v>
                </c:pt>
                <c:pt idx="60">
                  <c:v>1.8789764613078801</c:v>
                </c:pt>
                <c:pt idx="61">
                  <c:v>1.8789764613078801</c:v>
                </c:pt>
                <c:pt idx="62">
                  <c:v>1.8789764613078801</c:v>
                </c:pt>
                <c:pt idx="63">
                  <c:v>1.8789764613078801</c:v>
                </c:pt>
                <c:pt idx="64">
                  <c:v>1.8789764613078801</c:v>
                </c:pt>
                <c:pt idx="65">
                  <c:v>1.8789764613078801</c:v>
                </c:pt>
                <c:pt idx="66">
                  <c:v>1.8789764613078801</c:v>
                </c:pt>
                <c:pt idx="67">
                  <c:v>1.8789764613078801</c:v>
                </c:pt>
                <c:pt idx="68">
                  <c:v>1.8789764613078801</c:v>
                </c:pt>
                <c:pt idx="69">
                  <c:v>1.8789764613078801</c:v>
                </c:pt>
                <c:pt idx="70">
                  <c:v>1.8789764613078801</c:v>
                </c:pt>
                <c:pt idx="71">
                  <c:v>1.8789764613078801</c:v>
                </c:pt>
                <c:pt idx="72">
                  <c:v>1.8789764613078801</c:v>
                </c:pt>
                <c:pt idx="73">
                  <c:v>1.8789764613078801</c:v>
                </c:pt>
                <c:pt idx="74">
                  <c:v>1.8789764613078801</c:v>
                </c:pt>
                <c:pt idx="75">
                  <c:v>1.8789764613078801</c:v>
                </c:pt>
                <c:pt idx="76">
                  <c:v>1.8789764613078801</c:v>
                </c:pt>
                <c:pt idx="77">
                  <c:v>1.8789764613078801</c:v>
                </c:pt>
                <c:pt idx="78">
                  <c:v>1.8789764613078801</c:v>
                </c:pt>
                <c:pt idx="79">
                  <c:v>1.8789764613078801</c:v>
                </c:pt>
                <c:pt idx="80">
                  <c:v>1.8789764613078801</c:v>
                </c:pt>
                <c:pt idx="81">
                  <c:v>1.8789764613078801</c:v>
                </c:pt>
                <c:pt idx="82">
                  <c:v>1.8789764613078801</c:v>
                </c:pt>
                <c:pt idx="83">
                  <c:v>1.8789764613078801</c:v>
                </c:pt>
                <c:pt idx="84">
                  <c:v>1.8789764613078801</c:v>
                </c:pt>
                <c:pt idx="85">
                  <c:v>1.8789764613078801</c:v>
                </c:pt>
                <c:pt idx="86">
                  <c:v>1.8789764613078801</c:v>
                </c:pt>
                <c:pt idx="87">
                  <c:v>1.8789764613078801</c:v>
                </c:pt>
                <c:pt idx="88">
                  <c:v>1.8789764613078801</c:v>
                </c:pt>
                <c:pt idx="89">
                  <c:v>1.8789764613078801</c:v>
                </c:pt>
                <c:pt idx="90">
                  <c:v>1.8789764613078801</c:v>
                </c:pt>
                <c:pt idx="91">
                  <c:v>1.8789764613078801</c:v>
                </c:pt>
                <c:pt idx="92">
                  <c:v>1.8789764613078801</c:v>
                </c:pt>
                <c:pt idx="93">
                  <c:v>1.8789764613078801</c:v>
                </c:pt>
                <c:pt idx="94">
                  <c:v>1.8789764613078801</c:v>
                </c:pt>
                <c:pt idx="95">
                  <c:v>1.8789764613078801</c:v>
                </c:pt>
                <c:pt idx="96">
                  <c:v>1.8789764613078801</c:v>
                </c:pt>
                <c:pt idx="97">
                  <c:v>1.8789764613078801</c:v>
                </c:pt>
                <c:pt idx="98">
                  <c:v>1.8789764613078801</c:v>
                </c:pt>
                <c:pt idx="99">
                  <c:v>1.8789764613078801</c:v>
                </c:pt>
                <c:pt idx="100">
                  <c:v>1.8789764613078801</c:v>
                </c:pt>
                <c:pt idx="101">
                  <c:v>1.8789764613078801</c:v>
                </c:pt>
                <c:pt idx="102">
                  <c:v>1.8789764613078801</c:v>
                </c:pt>
                <c:pt idx="103">
                  <c:v>1.8789764613078801</c:v>
                </c:pt>
                <c:pt idx="104">
                  <c:v>1.8789764613078801</c:v>
                </c:pt>
                <c:pt idx="105">
                  <c:v>1.8789764613078801</c:v>
                </c:pt>
                <c:pt idx="106">
                  <c:v>1.8789764613078801</c:v>
                </c:pt>
                <c:pt idx="107">
                  <c:v>1.8789764613078801</c:v>
                </c:pt>
                <c:pt idx="108">
                  <c:v>1.8789764613078801</c:v>
                </c:pt>
                <c:pt idx="109">
                  <c:v>1.8789764613078801</c:v>
                </c:pt>
                <c:pt idx="110">
                  <c:v>1.8789764613078801</c:v>
                </c:pt>
                <c:pt idx="111">
                  <c:v>1.8789764613078801</c:v>
                </c:pt>
                <c:pt idx="112">
                  <c:v>1.8789764613078801</c:v>
                </c:pt>
                <c:pt idx="113">
                  <c:v>1.8789764613078801</c:v>
                </c:pt>
                <c:pt idx="114">
                  <c:v>1.8789764613078801</c:v>
                </c:pt>
                <c:pt idx="115">
                  <c:v>1.8789764613078801</c:v>
                </c:pt>
                <c:pt idx="116">
                  <c:v>1.8789764613078801</c:v>
                </c:pt>
                <c:pt idx="117">
                  <c:v>1.8789764613078801</c:v>
                </c:pt>
                <c:pt idx="118">
                  <c:v>1.8789764613078801</c:v>
                </c:pt>
                <c:pt idx="119">
                  <c:v>1.8789764613078801</c:v>
                </c:pt>
                <c:pt idx="120">
                  <c:v>1.8789764613078801</c:v>
                </c:pt>
                <c:pt idx="121">
                  <c:v>1.8789764613078801</c:v>
                </c:pt>
                <c:pt idx="122">
                  <c:v>1.8789764613078801</c:v>
                </c:pt>
                <c:pt idx="123">
                  <c:v>1.8789764613078801</c:v>
                </c:pt>
                <c:pt idx="124">
                  <c:v>1.8789764613078801</c:v>
                </c:pt>
                <c:pt idx="125">
                  <c:v>1.8789764613078801</c:v>
                </c:pt>
                <c:pt idx="126">
                  <c:v>1.8789764613078801</c:v>
                </c:pt>
                <c:pt idx="127">
                  <c:v>1.8789764613078801</c:v>
                </c:pt>
                <c:pt idx="128">
                  <c:v>1.8789764613078801</c:v>
                </c:pt>
                <c:pt idx="129">
                  <c:v>1.8789764613078801</c:v>
                </c:pt>
                <c:pt idx="130">
                  <c:v>1.8789764613078801</c:v>
                </c:pt>
                <c:pt idx="131">
                  <c:v>1.8789764613078801</c:v>
                </c:pt>
                <c:pt idx="132">
                  <c:v>1.8789764613078801</c:v>
                </c:pt>
                <c:pt idx="133">
                  <c:v>1.8789764613078801</c:v>
                </c:pt>
                <c:pt idx="134">
                  <c:v>1.8789764613078801</c:v>
                </c:pt>
                <c:pt idx="135">
                  <c:v>1.8789764613078801</c:v>
                </c:pt>
                <c:pt idx="136">
                  <c:v>1.8789764613078801</c:v>
                </c:pt>
                <c:pt idx="137">
                  <c:v>1.8789764613078801</c:v>
                </c:pt>
                <c:pt idx="138">
                  <c:v>1.8789764613078801</c:v>
                </c:pt>
                <c:pt idx="139">
                  <c:v>1.8789764613078801</c:v>
                </c:pt>
                <c:pt idx="140">
                  <c:v>1.8789764613078801</c:v>
                </c:pt>
                <c:pt idx="141">
                  <c:v>1.8789764613078801</c:v>
                </c:pt>
                <c:pt idx="142">
                  <c:v>1.8789764613078801</c:v>
                </c:pt>
                <c:pt idx="143">
                  <c:v>1.8789764613078801</c:v>
                </c:pt>
                <c:pt idx="144">
                  <c:v>1.8789764613078801</c:v>
                </c:pt>
                <c:pt idx="145">
                  <c:v>1.8789764613078801</c:v>
                </c:pt>
                <c:pt idx="146">
                  <c:v>1.8789764613078801</c:v>
                </c:pt>
                <c:pt idx="147">
                  <c:v>1.8789764613078801</c:v>
                </c:pt>
                <c:pt idx="148">
                  <c:v>1.8789764613078801</c:v>
                </c:pt>
                <c:pt idx="149">
                  <c:v>1.8789764613078801</c:v>
                </c:pt>
                <c:pt idx="150">
                  <c:v>1.8789764613078801</c:v>
                </c:pt>
                <c:pt idx="151">
                  <c:v>1.8789764613078801</c:v>
                </c:pt>
                <c:pt idx="152">
                  <c:v>1.8789764613078801</c:v>
                </c:pt>
                <c:pt idx="153">
                  <c:v>1.8789764613078801</c:v>
                </c:pt>
                <c:pt idx="154">
                  <c:v>1.8789764613078801</c:v>
                </c:pt>
                <c:pt idx="155">
                  <c:v>1.8789764613078801</c:v>
                </c:pt>
                <c:pt idx="156">
                  <c:v>1.8789764613078801</c:v>
                </c:pt>
                <c:pt idx="157">
                  <c:v>1.8789764613078801</c:v>
                </c:pt>
                <c:pt idx="158">
                  <c:v>1.8789764613078801</c:v>
                </c:pt>
                <c:pt idx="159">
                  <c:v>1.8789764613078801</c:v>
                </c:pt>
                <c:pt idx="160">
                  <c:v>1.8789764613078801</c:v>
                </c:pt>
                <c:pt idx="161">
                  <c:v>1.8789764613078801</c:v>
                </c:pt>
                <c:pt idx="162">
                  <c:v>1.8789764613078801</c:v>
                </c:pt>
                <c:pt idx="163">
                  <c:v>1.8789764613078801</c:v>
                </c:pt>
                <c:pt idx="164">
                  <c:v>1.8789764613078801</c:v>
                </c:pt>
                <c:pt idx="165">
                  <c:v>1.8789764613078801</c:v>
                </c:pt>
                <c:pt idx="166">
                  <c:v>1.8789764613078801</c:v>
                </c:pt>
                <c:pt idx="167">
                  <c:v>1.8789764613078801</c:v>
                </c:pt>
                <c:pt idx="168">
                  <c:v>1.8789764613078801</c:v>
                </c:pt>
                <c:pt idx="169">
                  <c:v>1.8789764613078801</c:v>
                </c:pt>
                <c:pt idx="170">
                  <c:v>1.8789764613078801</c:v>
                </c:pt>
                <c:pt idx="171">
                  <c:v>1.8789764613078801</c:v>
                </c:pt>
                <c:pt idx="172">
                  <c:v>1.8789764613078801</c:v>
                </c:pt>
                <c:pt idx="173">
                  <c:v>1.8789764613078801</c:v>
                </c:pt>
                <c:pt idx="174">
                  <c:v>1.8789764613078801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9-42E9-BC94-01006E06FDDA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IGOV/BWX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1.8557368508146399</c:v>
                </c:pt>
                <c:pt idx="10">
                  <c:v>1.85649367594041</c:v>
                </c:pt>
                <c:pt idx="11">
                  <c:v>1.85766731549372</c:v>
                </c:pt>
                <c:pt idx="12">
                  <c:v>1.85872791575648</c:v>
                </c:pt>
                <c:pt idx="13">
                  <c:v>1.8596879545903999</c:v>
                </c:pt>
                <c:pt idx="14">
                  <c:v>1.86065165877796</c:v>
                </c:pt>
                <c:pt idx="15">
                  <c:v>1.86100496675212</c:v>
                </c:pt>
                <c:pt idx="16">
                  <c:v>1.8614619724710699</c:v>
                </c:pt>
                <c:pt idx="17">
                  <c:v>1.8612976260107299</c:v>
                </c:pt>
                <c:pt idx="18">
                  <c:v>1.86170201378803</c:v>
                </c:pt>
                <c:pt idx="19">
                  <c:v>1.8613635206708801</c:v>
                </c:pt>
                <c:pt idx="20">
                  <c:v>1.8616264747445701</c:v>
                </c:pt>
                <c:pt idx="21">
                  <c:v>1.86184691661471</c:v>
                </c:pt>
                <c:pt idx="22">
                  <c:v>1.86203752669361</c:v>
                </c:pt>
                <c:pt idx="23">
                  <c:v>1.8619691680253601</c:v>
                </c:pt>
                <c:pt idx="24">
                  <c:v>1.8626109127483801</c:v>
                </c:pt>
                <c:pt idx="25">
                  <c:v>1.86371829143878</c:v>
                </c:pt>
                <c:pt idx="26">
                  <c:v>1.86408839807371</c:v>
                </c:pt>
                <c:pt idx="27">
                  <c:v>1.8648161851167</c:v>
                </c:pt>
                <c:pt idx="28">
                  <c:v>1.86458540845052</c:v>
                </c:pt>
                <c:pt idx="29">
                  <c:v>1.8649509230544099</c:v>
                </c:pt>
                <c:pt idx="30">
                  <c:v>1.8651369741687001</c:v>
                </c:pt>
                <c:pt idx="31">
                  <c:v>1.8645290331261499</c:v>
                </c:pt>
                <c:pt idx="32">
                  <c:v>1.8639933705973999</c:v>
                </c:pt>
                <c:pt idx="33">
                  <c:v>1.8642101542021301</c:v>
                </c:pt>
                <c:pt idx="34">
                  <c:v>1.86320773250556</c:v>
                </c:pt>
                <c:pt idx="35">
                  <c:v>1.8620800449642601</c:v>
                </c:pt>
                <c:pt idx="36">
                  <c:v>1.8617610470833199</c:v>
                </c:pt>
                <c:pt idx="37">
                  <c:v>1.8612749214925599</c:v>
                </c:pt>
                <c:pt idx="38">
                  <c:v>1.86183337182304</c:v>
                </c:pt>
                <c:pt idx="39">
                  <c:v>1.86280069003038</c:v>
                </c:pt>
                <c:pt idx="40">
                  <c:v>1.86386918013425</c:v>
                </c:pt>
                <c:pt idx="41">
                  <c:v>1.8648435582428899</c:v>
                </c:pt>
                <c:pt idx="42">
                  <c:v>1.86563855948946</c:v>
                </c:pt>
                <c:pt idx="43">
                  <c:v>1.8661894895581801</c:v>
                </c:pt>
                <c:pt idx="44">
                  <c:v>1.86712178949788</c:v>
                </c:pt>
                <c:pt idx="45">
                  <c:v>1.8681286742513501</c:v>
                </c:pt>
                <c:pt idx="46">
                  <c:v>1.8681917218159401</c:v>
                </c:pt>
                <c:pt idx="47">
                  <c:v>1.8688107012956301</c:v>
                </c:pt>
                <c:pt idx="48">
                  <c:v>1.8684425097170401</c:v>
                </c:pt>
                <c:pt idx="49">
                  <c:v>1.86811747496803</c:v>
                </c:pt>
                <c:pt idx="50">
                  <c:v>1.8677933838758001</c:v>
                </c:pt>
                <c:pt idx="51">
                  <c:v>1.86753109363388</c:v>
                </c:pt>
                <c:pt idx="52">
                  <c:v>1.8675429232868801</c:v>
                </c:pt>
                <c:pt idx="53">
                  <c:v>1.86728348254938</c:v>
                </c:pt>
                <c:pt idx="54">
                  <c:v>1.8671091464668499</c:v>
                </c:pt>
                <c:pt idx="55">
                  <c:v>1.8670470290114201</c:v>
                </c:pt>
                <c:pt idx="56">
                  <c:v>1.8677151467148301</c:v>
                </c:pt>
                <c:pt idx="57">
                  <c:v>1.8676424630519199</c:v>
                </c:pt>
                <c:pt idx="58">
                  <c:v>1.8679034493785101</c:v>
                </c:pt>
                <c:pt idx="59">
                  <c:v>1.86795297054881</c:v>
                </c:pt>
                <c:pt idx="60">
                  <c:v>1.86801086385736</c:v>
                </c:pt>
                <c:pt idx="61">
                  <c:v>1.8686423757799799</c:v>
                </c:pt>
                <c:pt idx="62">
                  <c:v>1.8690062969757699</c:v>
                </c:pt>
                <c:pt idx="63">
                  <c:v>1.8692445834170199</c:v>
                </c:pt>
                <c:pt idx="64">
                  <c:v>1.87013105516793</c:v>
                </c:pt>
                <c:pt idx="65">
                  <c:v>1.8706052145160601</c:v>
                </c:pt>
                <c:pt idx="66">
                  <c:v>1.87125038792632</c:v>
                </c:pt>
                <c:pt idx="67">
                  <c:v>1.8723301800249099</c:v>
                </c:pt>
                <c:pt idx="68">
                  <c:v>1.87347606336705</c:v>
                </c:pt>
                <c:pt idx="69">
                  <c:v>1.87431392669214</c:v>
                </c:pt>
                <c:pt idx="70">
                  <c:v>1.8751217160237099</c:v>
                </c:pt>
                <c:pt idx="71">
                  <c:v>1.87565589540689</c:v>
                </c:pt>
                <c:pt idx="72">
                  <c:v>1.87622843689913</c:v>
                </c:pt>
                <c:pt idx="73">
                  <c:v>1.8767468401007099</c:v>
                </c:pt>
                <c:pt idx="74">
                  <c:v>1.8771021235893799</c:v>
                </c:pt>
                <c:pt idx="75">
                  <c:v>1.8773268426905001</c:v>
                </c:pt>
                <c:pt idx="76">
                  <c:v>1.87752456205649</c:v>
                </c:pt>
                <c:pt idx="77">
                  <c:v>1.87779339381111</c:v>
                </c:pt>
                <c:pt idx="78">
                  <c:v>1.8780527072311499</c:v>
                </c:pt>
                <c:pt idx="79">
                  <c:v>1.87845462990192</c:v>
                </c:pt>
                <c:pt idx="80">
                  <c:v>1.8785289222308299</c:v>
                </c:pt>
                <c:pt idx="81">
                  <c:v>1.87861872914596</c:v>
                </c:pt>
                <c:pt idx="82">
                  <c:v>1.8788303076358599</c:v>
                </c:pt>
                <c:pt idx="83">
                  <c:v>1.8793736046346701</c:v>
                </c:pt>
                <c:pt idx="84">
                  <c:v>1.8803973134579399</c:v>
                </c:pt>
                <c:pt idx="85">
                  <c:v>1.88165606231372</c:v>
                </c:pt>
                <c:pt idx="86">
                  <c:v>1.88231490103744</c:v>
                </c:pt>
                <c:pt idx="87">
                  <c:v>1.88310453926879</c:v>
                </c:pt>
                <c:pt idx="88">
                  <c:v>1.8838763313147699</c:v>
                </c:pt>
                <c:pt idx="89">
                  <c:v>1.8842882644143599</c:v>
                </c:pt>
                <c:pt idx="90">
                  <c:v>1.8851280352845601</c:v>
                </c:pt>
                <c:pt idx="91">
                  <c:v>1.8853716747250699</c:v>
                </c:pt>
                <c:pt idx="92">
                  <c:v>1.8852805305595</c:v>
                </c:pt>
                <c:pt idx="93">
                  <c:v>1.8856123390716699</c:v>
                </c:pt>
                <c:pt idx="94">
                  <c:v>1.8855492968577101</c:v>
                </c:pt>
                <c:pt idx="95">
                  <c:v>1.8854415807372</c:v>
                </c:pt>
                <c:pt idx="96">
                  <c:v>1.8857494371746499</c:v>
                </c:pt>
                <c:pt idx="97">
                  <c:v>1.8858790875889899</c:v>
                </c:pt>
                <c:pt idx="98">
                  <c:v>1.88625045039522</c:v>
                </c:pt>
                <c:pt idx="99">
                  <c:v>1.8869691076120401</c:v>
                </c:pt>
                <c:pt idx="100">
                  <c:v>1.8878284472773501</c:v>
                </c:pt>
                <c:pt idx="101">
                  <c:v>1.88888411176236</c:v>
                </c:pt>
                <c:pt idx="102">
                  <c:v>1.89045618335911</c:v>
                </c:pt>
                <c:pt idx="103">
                  <c:v>1.89183612438409</c:v>
                </c:pt>
                <c:pt idx="104">
                  <c:v>1.8924615438625101</c:v>
                </c:pt>
                <c:pt idx="105">
                  <c:v>1.8931808339623999</c:v>
                </c:pt>
                <c:pt idx="106">
                  <c:v>1.89372207758157</c:v>
                </c:pt>
                <c:pt idx="107">
                  <c:v>1.89411154469625</c:v>
                </c:pt>
                <c:pt idx="108">
                  <c:v>1.8939356394634199</c:v>
                </c:pt>
                <c:pt idx="109">
                  <c:v>1.89395936996514</c:v>
                </c:pt>
                <c:pt idx="110">
                  <c:v>1.8934689077160201</c:v>
                </c:pt>
                <c:pt idx="111">
                  <c:v>1.8932205780154201</c:v>
                </c:pt>
                <c:pt idx="112">
                  <c:v>1.8926154940390301</c:v>
                </c:pt>
                <c:pt idx="113">
                  <c:v>1.8919086446653</c:v>
                </c:pt>
                <c:pt idx="114">
                  <c:v>1.89153311276796</c:v>
                </c:pt>
                <c:pt idx="115">
                  <c:v>1.89092982666849</c:v>
                </c:pt>
                <c:pt idx="116">
                  <c:v>1.8904135968572799</c:v>
                </c:pt>
                <c:pt idx="117">
                  <c:v>1.8898911816599</c:v>
                </c:pt>
                <c:pt idx="118">
                  <c:v>1.8901068869373101</c:v>
                </c:pt>
                <c:pt idx="119">
                  <c:v>1.89008683977551</c:v>
                </c:pt>
                <c:pt idx="120">
                  <c:v>1.8897979290072799</c:v>
                </c:pt>
                <c:pt idx="121">
                  <c:v>1.8899326538053201</c:v>
                </c:pt>
                <c:pt idx="122">
                  <c:v>1.8901854213329901</c:v>
                </c:pt>
                <c:pt idx="123">
                  <c:v>1.8905043964469701</c:v>
                </c:pt>
                <c:pt idx="124">
                  <c:v>1.89082295107285</c:v>
                </c:pt>
                <c:pt idx="125">
                  <c:v>1.8910685735823101</c:v>
                </c:pt>
                <c:pt idx="126">
                  <c:v>1.89130550598073</c:v>
                </c:pt>
                <c:pt idx="127">
                  <c:v>1.8916354444875101</c:v>
                </c:pt>
                <c:pt idx="128">
                  <c:v>1.89184367269842</c:v>
                </c:pt>
                <c:pt idx="129">
                  <c:v>1.8918909304660401</c:v>
                </c:pt>
                <c:pt idx="130">
                  <c:v>1.8922117570546999</c:v>
                </c:pt>
                <c:pt idx="131">
                  <c:v>1.8919467556971099</c:v>
                </c:pt>
                <c:pt idx="132">
                  <c:v>1.8919830001731299</c:v>
                </c:pt>
                <c:pt idx="133">
                  <c:v>1.8917514114746601</c:v>
                </c:pt>
                <c:pt idx="134">
                  <c:v>1.8915527040144799</c:v>
                </c:pt>
                <c:pt idx="135">
                  <c:v>1.8916108218837</c:v>
                </c:pt>
                <c:pt idx="136">
                  <c:v>1.8916116868177599</c:v>
                </c:pt>
                <c:pt idx="137">
                  <c:v>1.89145160532488</c:v>
                </c:pt>
                <c:pt idx="138">
                  <c:v>1.89099736364742</c:v>
                </c:pt>
                <c:pt idx="139">
                  <c:v>1.89080767735271</c:v>
                </c:pt>
                <c:pt idx="140">
                  <c:v>1.8907559908551299</c:v>
                </c:pt>
                <c:pt idx="141">
                  <c:v>1.8911601438758301</c:v>
                </c:pt>
                <c:pt idx="142">
                  <c:v>1.8910804341977101</c:v>
                </c:pt>
                <c:pt idx="143">
                  <c:v>1.89089405688962</c:v>
                </c:pt>
                <c:pt idx="144">
                  <c:v>1.8906060260569899</c:v>
                </c:pt>
                <c:pt idx="145">
                  <c:v>1.8909196894416</c:v>
                </c:pt>
                <c:pt idx="146">
                  <c:v>1.89094618318618</c:v>
                </c:pt>
                <c:pt idx="147">
                  <c:v>1.8912186483203799</c:v>
                </c:pt>
                <c:pt idx="148">
                  <c:v>1.89110646866846</c:v>
                </c:pt>
                <c:pt idx="149">
                  <c:v>1.8906292764018</c:v>
                </c:pt>
                <c:pt idx="150">
                  <c:v>1.8905284796170201</c:v>
                </c:pt>
                <c:pt idx="151">
                  <c:v>1.89006228671045</c:v>
                </c:pt>
                <c:pt idx="152">
                  <c:v>1.8894518854837701</c:v>
                </c:pt>
                <c:pt idx="153">
                  <c:v>1.88957367680944</c:v>
                </c:pt>
                <c:pt idx="154">
                  <c:v>1.88992589309586</c:v>
                </c:pt>
                <c:pt idx="155">
                  <c:v>1.8898340235506199</c:v>
                </c:pt>
                <c:pt idx="156">
                  <c:v>1.8898099733243201</c:v>
                </c:pt>
                <c:pt idx="157">
                  <c:v>1.8895258056086801</c:v>
                </c:pt>
                <c:pt idx="158">
                  <c:v>1.8897895784298799</c:v>
                </c:pt>
                <c:pt idx="159">
                  <c:v>1.89022923430923</c:v>
                </c:pt>
                <c:pt idx="160">
                  <c:v>1.8901269533732701</c:v>
                </c:pt>
                <c:pt idx="161">
                  <c:v>1.89050481131365</c:v>
                </c:pt>
                <c:pt idx="162">
                  <c:v>1.8910987966716599</c:v>
                </c:pt>
                <c:pt idx="163">
                  <c:v>1.8910015136751499</c:v>
                </c:pt>
                <c:pt idx="164">
                  <c:v>1.8908279683806699</c:v>
                </c:pt>
                <c:pt idx="165">
                  <c:v>1.8903482636768401</c:v>
                </c:pt>
                <c:pt idx="166">
                  <c:v>1.8902567560207499</c:v>
                </c:pt>
                <c:pt idx="167">
                  <c:v>1.89049273984666</c:v>
                </c:pt>
                <c:pt idx="168">
                  <c:v>1.88990520288789</c:v>
                </c:pt>
                <c:pt idx="169">
                  <c:v>1.88966206712806</c:v>
                </c:pt>
                <c:pt idx="170">
                  <c:v>1.88896530369789</c:v>
                </c:pt>
                <c:pt idx="171">
                  <c:v>1.88742913864193</c:v>
                </c:pt>
                <c:pt idx="172">
                  <c:v>1.8862472765304501</c:v>
                </c:pt>
                <c:pt idx="173">
                  <c:v>1.88516626843096</c:v>
                </c:pt>
                <c:pt idx="174">
                  <c:v>1.8840849951194401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9-42E9-BC94-01006E06FDDA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IGOV/BWX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1.85855018574276</c:v>
                </c:pt>
                <c:pt idx="20">
                  <c:v>1.85906007534249</c:v>
                </c:pt>
                <c:pt idx="21">
                  <c:v>1.8597571160542199</c:v>
                </c:pt>
                <c:pt idx="22">
                  <c:v>1.8603827212250501</c:v>
                </c:pt>
                <c:pt idx="23">
                  <c:v>1.8608285613078801</c:v>
                </c:pt>
                <c:pt idx="24">
                  <c:v>1.8616312857631701</c:v>
                </c:pt>
                <c:pt idx="25">
                  <c:v>1.8623616290954501</c:v>
                </c:pt>
                <c:pt idx="26">
                  <c:v>1.8627751852723899</c:v>
                </c:pt>
                <c:pt idx="27">
                  <c:v>1.8630569055637201</c:v>
                </c:pt>
                <c:pt idx="28">
                  <c:v>1.8631437111192699</c:v>
                </c:pt>
                <c:pt idx="29">
                  <c:v>1.86315722186264</c:v>
                </c:pt>
                <c:pt idx="30">
                  <c:v>1.86338172445663</c:v>
                </c:pt>
                <c:pt idx="31">
                  <c:v>1.8631879748704301</c:v>
                </c:pt>
                <c:pt idx="32">
                  <c:v>1.8630154486455099</c:v>
                </c:pt>
                <c:pt idx="33">
                  <c:v>1.86308966111374</c:v>
                </c:pt>
                <c:pt idx="34">
                  <c:v>1.86290932262697</c:v>
                </c:pt>
                <c:pt idx="35">
                  <c:v>1.8628991682015199</c:v>
                </c:pt>
                <c:pt idx="36">
                  <c:v>1.8629247225785099</c:v>
                </c:pt>
                <c:pt idx="37">
                  <c:v>1.86304555330463</c:v>
                </c:pt>
                <c:pt idx="38">
                  <c:v>1.8632093901367801</c:v>
                </c:pt>
                <c:pt idx="39">
                  <c:v>1.8638758065423899</c:v>
                </c:pt>
                <c:pt idx="40">
                  <c:v>1.8645030771514799</c:v>
                </c:pt>
                <c:pt idx="41">
                  <c:v>1.86468629568452</c:v>
                </c:pt>
                <c:pt idx="42">
                  <c:v>1.8648159650434299</c:v>
                </c:pt>
                <c:pt idx="43">
                  <c:v>1.86519982188016</c:v>
                </c:pt>
                <c:pt idx="44">
                  <c:v>1.8651647610017199</c:v>
                </c:pt>
                <c:pt idx="45">
                  <c:v>1.8651043596078001</c:v>
                </c:pt>
                <c:pt idx="46">
                  <c:v>1.8649763844496301</c:v>
                </c:pt>
                <c:pt idx="47">
                  <c:v>1.86504281139409</c:v>
                </c:pt>
                <c:pt idx="48">
                  <c:v>1.8651379407700399</c:v>
                </c:pt>
                <c:pt idx="49">
                  <c:v>1.8654590824992101</c:v>
                </c:pt>
                <c:pt idx="50">
                  <c:v>1.86583128200503</c:v>
                </c:pt>
                <c:pt idx="51">
                  <c:v>1.8661873259383801</c:v>
                </c:pt>
                <c:pt idx="52">
                  <c:v>1.8665907413881699</c:v>
                </c:pt>
                <c:pt idx="53">
                  <c:v>1.8667364860537801</c:v>
                </c:pt>
                <c:pt idx="54">
                  <c:v>1.86711546798237</c:v>
                </c:pt>
                <c:pt idx="55">
                  <c:v>1.86758785163139</c:v>
                </c:pt>
                <c:pt idx="56">
                  <c:v>1.8679534342653801</c:v>
                </c:pt>
                <c:pt idx="57">
                  <c:v>1.86822658217378</c:v>
                </c:pt>
                <c:pt idx="58">
                  <c:v>1.8681729795477799</c:v>
                </c:pt>
                <c:pt idx="59">
                  <c:v>1.86803522275842</c:v>
                </c:pt>
                <c:pt idx="60">
                  <c:v>1.8679021238665801</c:v>
                </c:pt>
                <c:pt idx="61">
                  <c:v>1.8680867347069301</c:v>
                </c:pt>
                <c:pt idx="62">
                  <c:v>1.8682746101313199</c:v>
                </c:pt>
                <c:pt idx="63">
                  <c:v>1.8682640329832001</c:v>
                </c:pt>
                <c:pt idx="64">
                  <c:v>1.8686201008173899</c:v>
                </c:pt>
                <c:pt idx="65">
                  <c:v>1.8688261217637401</c:v>
                </c:pt>
                <c:pt idx="66">
                  <c:v>1.8694827673205701</c:v>
                </c:pt>
                <c:pt idx="67">
                  <c:v>1.86998632153841</c:v>
                </c:pt>
                <c:pt idx="68">
                  <c:v>1.87068975637278</c:v>
                </c:pt>
                <c:pt idx="69">
                  <c:v>1.87113344862047</c:v>
                </c:pt>
                <c:pt idx="70">
                  <c:v>1.8715662899405401</c:v>
                </c:pt>
                <c:pt idx="71">
                  <c:v>1.8721491355934401</c:v>
                </c:pt>
                <c:pt idx="72">
                  <c:v>1.87261736693745</c:v>
                </c:pt>
                <c:pt idx="73">
                  <c:v>1.87299571175887</c:v>
                </c:pt>
                <c:pt idx="74">
                  <c:v>1.8736165893786501</c:v>
                </c:pt>
                <c:pt idx="75">
                  <c:v>1.87396602860328</c:v>
                </c:pt>
                <c:pt idx="76">
                  <c:v>1.8743874749914</c:v>
                </c:pt>
                <c:pt idx="77">
                  <c:v>1.87506178691801</c:v>
                </c:pt>
                <c:pt idx="78">
                  <c:v>1.8757643852990999</c:v>
                </c:pt>
                <c:pt idx="79">
                  <c:v>1.8763842782970299</c:v>
                </c:pt>
                <c:pt idx="80">
                  <c:v>1.8768253191272699</c:v>
                </c:pt>
                <c:pt idx="81">
                  <c:v>1.8771373122764301</c:v>
                </c:pt>
                <c:pt idx="82">
                  <c:v>1.8775293722674999</c:v>
                </c:pt>
                <c:pt idx="83">
                  <c:v>1.8780602223676901</c:v>
                </c:pt>
                <c:pt idx="84">
                  <c:v>1.8787497185236599</c:v>
                </c:pt>
                <c:pt idx="85">
                  <c:v>1.87949145250211</c:v>
                </c:pt>
                <c:pt idx="86">
                  <c:v>1.87991973154696</c:v>
                </c:pt>
                <c:pt idx="87">
                  <c:v>1.88044896653995</c:v>
                </c:pt>
                <c:pt idx="88">
                  <c:v>1.88096451927296</c:v>
                </c:pt>
                <c:pt idx="89">
                  <c:v>1.88137144715814</c:v>
                </c:pt>
                <c:pt idx="90">
                  <c:v>1.88182847875769</c:v>
                </c:pt>
                <c:pt idx="91">
                  <c:v>1.88199520193551</c:v>
                </c:pt>
                <c:pt idx="92">
                  <c:v>1.8820554190976799</c:v>
                </c:pt>
                <c:pt idx="93">
                  <c:v>1.88249297185317</c:v>
                </c:pt>
                <c:pt idx="94">
                  <c:v>1.8829733051578199</c:v>
                </c:pt>
                <c:pt idx="95">
                  <c:v>1.8835488215254601</c:v>
                </c:pt>
                <c:pt idx="96">
                  <c:v>1.88403216910604</c:v>
                </c:pt>
                <c:pt idx="97">
                  <c:v>1.8844918134288899</c:v>
                </c:pt>
                <c:pt idx="98">
                  <c:v>1.8850633908549901</c:v>
                </c:pt>
                <c:pt idx="99">
                  <c:v>1.8856286860132001</c:v>
                </c:pt>
                <c:pt idx="100">
                  <c:v>1.88647824128095</c:v>
                </c:pt>
                <c:pt idx="101">
                  <c:v>1.8871278932437101</c:v>
                </c:pt>
                <c:pt idx="102">
                  <c:v>1.88786835695931</c:v>
                </c:pt>
                <c:pt idx="103">
                  <c:v>1.8887242317278801</c:v>
                </c:pt>
                <c:pt idx="104">
                  <c:v>1.8890054203601101</c:v>
                </c:pt>
                <c:pt idx="105">
                  <c:v>1.8893112073498</c:v>
                </c:pt>
                <c:pt idx="106">
                  <c:v>1.8897357573781099</c:v>
                </c:pt>
                <c:pt idx="107">
                  <c:v>1.88999531614262</c:v>
                </c:pt>
                <c:pt idx="108">
                  <c:v>1.8900930449293201</c:v>
                </c:pt>
                <c:pt idx="109">
                  <c:v>1.8904642387885899</c:v>
                </c:pt>
                <c:pt idx="110">
                  <c:v>1.89064867749668</c:v>
                </c:pt>
                <c:pt idx="111">
                  <c:v>1.8910523448888901</c:v>
                </c:pt>
                <c:pt idx="112">
                  <c:v>1.8915358386990699</c:v>
                </c:pt>
                <c:pt idx="113">
                  <c:v>1.8918723845246901</c:v>
                </c:pt>
                <c:pt idx="114">
                  <c:v>1.89199732831524</c:v>
                </c:pt>
                <c:pt idx="115">
                  <c:v>1.8920553303154499</c:v>
                </c:pt>
                <c:pt idx="116">
                  <c:v>1.8920678372194299</c:v>
                </c:pt>
                <c:pt idx="117">
                  <c:v>1.8920013631780801</c:v>
                </c:pt>
                <c:pt idx="118">
                  <c:v>1.8920212632003699</c:v>
                </c:pt>
                <c:pt idx="119">
                  <c:v>1.89202310487032</c:v>
                </c:pt>
                <c:pt idx="120">
                  <c:v>1.8916334183616501</c:v>
                </c:pt>
                <c:pt idx="121">
                  <c:v>1.89157661591037</c:v>
                </c:pt>
                <c:pt idx="122">
                  <c:v>1.89140045768601</c:v>
                </c:pt>
                <c:pt idx="123">
                  <c:v>1.8912065205561399</c:v>
                </c:pt>
                <c:pt idx="124">
                  <c:v>1.8911780319203999</c:v>
                </c:pt>
                <c:pt idx="125">
                  <c:v>1.8909992001253999</c:v>
                </c:pt>
                <c:pt idx="126">
                  <c:v>1.8908595514190101</c:v>
                </c:pt>
                <c:pt idx="127">
                  <c:v>1.89076331307371</c:v>
                </c:pt>
                <c:pt idx="128">
                  <c:v>1.8909752798178601</c:v>
                </c:pt>
                <c:pt idx="129">
                  <c:v>1.8909888851207699</c:v>
                </c:pt>
                <c:pt idx="130">
                  <c:v>1.89100484303099</c:v>
                </c:pt>
                <c:pt idx="131">
                  <c:v>1.89093970475121</c:v>
                </c:pt>
                <c:pt idx="132">
                  <c:v>1.8910842107530601</c:v>
                </c:pt>
                <c:pt idx="133">
                  <c:v>1.89112790396081</c:v>
                </c:pt>
                <c:pt idx="134">
                  <c:v>1.89118782754367</c:v>
                </c:pt>
                <c:pt idx="135">
                  <c:v>1.8913396977329999</c:v>
                </c:pt>
                <c:pt idx="136">
                  <c:v>1.8914585963992501</c:v>
                </c:pt>
                <c:pt idx="137">
                  <c:v>1.89154352490619</c:v>
                </c:pt>
                <c:pt idx="138">
                  <c:v>1.89142051817292</c:v>
                </c:pt>
                <c:pt idx="139">
                  <c:v>1.8913493039093801</c:v>
                </c:pt>
                <c:pt idx="140">
                  <c:v>1.89148387395491</c:v>
                </c:pt>
                <c:pt idx="141">
                  <c:v>1.8915534497864701</c:v>
                </c:pt>
                <c:pt idx="142">
                  <c:v>1.89153171718542</c:v>
                </c:pt>
                <c:pt idx="143">
                  <c:v>1.8913227341821399</c:v>
                </c:pt>
                <c:pt idx="144">
                  <c:v>1.89107936503574</c:v>
                </c:pt>
                <c:pt idx="145">
                  <c:v>1.8912652556626499</c:v>
                </c:pt>
                <c:pt idx="146">
                  <c:v>1.8912789350019701</c:v>
                </c:pt>
                <c:pt idx="147">
                  <c:v>1.8913351268226299</c:v>
                </c:pt>
                <c:pt idx="148">
                  <c:v>1.89105191615794</c:v>
                </c:pt>
                <c:pt idx="149">
                  <c:v>1.89071847687725</c:v>
                </c:pt>
                <c:pt idx="150">
                  <c:v>1.8906422352360801</c:v>
                </c:pt>
                <c:pt idx="151">
                  <c:v>1.89061121529314</c:v>
                </c:pt>
                <c:pt idx="152">
                  <c:v>1.89026615984074</c:v>
                </c:pt>
                <c:pt idx="153">
                  <c:v>1.89023386684953</c:v>
                </c:pt>
                <c:pt idx="154">
                  <c:v>1.89026595957643</c:v>
                </c:pt>
                <c:pt idx="155">
                  <c:v>1.8903768564961101</c:v>
                </c:pt>
                <c:pt idx="156">
                  <c:v>1.8903780782552499</c:v>
                </c:pt>
                <c:pt idx="157">
                  <c:v>1.89037222696453</c:v>
                </c:pt>
                <c:pt idx="158">
                  <c:v>1.8904480235491701</c:v>
                </c:pt>
                <c:pt idx="159">
                  <c:v>1.89042925535552</c:v>
                </c:pt>
                <c:pt idx="160">
                  <c:v>1.89032771649515</c:v>
                </c:pt>
                <c:pt idx="161">
                  <c:v>1.89028354901205</c:v>
                </c:pt>
                <c:pt idx="162">
                  <c:v>1.89027534107771</c:v>
                </c:pt>
                <c:pt idx="163">
                  <c:v>1.8902875952422999</c:v>
                </c:pt>
                <c:pt idx="164">
                  <c:v>1.8903769307382701</c:v>
                </c:pt>
                <c:pt idx="165">
                  <c:v>1.89009114361373</c:v>
                </c:pt>
                <c:pt idx="166">
                  <c:v>1.89003336467254</c:v>
                </c:pt>
                <c:pt idx="167">
                  <c:v>1.8900092727276701</c:v>
                </c:pt>
                <c:pt idx="168">
                  <c:v>1.88984739065889</c:v>
                </c:pt>
                <c:pt idx="169">
                  <c:v>1.8899456507186401</c:v>
                </c:pt>
                <c:pt idx="170">
                  <c:v>1.8895461285355799</c:v>
                </c:pt>
                <c:pt idx="171">
                  <c:v>1.88896697497779</c:v>
                </c:pt>
                <c:pt idx="172">
                  <c:v>1.88867303660106</c:v>
                </c:pt>
                <c:pt idx="173">
                  <c:v>1.88808389105306</c:v>
                </c:pt>
                <c:pt idx="174">
                  <c:v>1.8874564817500601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09-42E9-BC94-01006E06F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BWX* x 10 dma / IGOV*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-1.27372707828626E-3</c:v>
                </c:pt>
                <c:pt idx="11">
                  <c:v>-4.4405897075148202E-3</c:v>
                </c:pt>
                <c:pt idx="12">
                  <c:v>-4.0163545046395599E-3</c:v>
                </c:pt>
                <c:pt idx="13">
                  <c:v>-2.7024302198121498E-3</c:v>
                </c:pt>
                <c:pt idx="14">
                  <c:v>-8.7044773954220395E-4</c:v>
                </c:pt>
                <c:pt idx="15">
                  <c:v>7.4163335691231102E-4</c:v>
                </c:pt>
                <c:pt idx="16">
                  <c:v>-7.5641665722286304E-4</c:v>
                </c:pt>
                <c:pt idx="17">
                  <c:v>1.52027480764704E-3</c:v>
                </c:pt>
                <c:pt idx="18">
                  <c:v>-1.1390139299920299E-3</c:v>
                </c:pt>
                <c:pt idx="19">
                  <c:v>2.6203317895335202E-3</c:v>
                </c:pt>
                <c:pt idx="20">
                  <c:v>2.0243364861359798E-3</c:v>
                </c:pt>
                <c:pt idx="21">
                  <c:v>-1.3453001162389601E-3</c:v>
                </c:pt>
                <c:pt idx="22">
                  <c:v>-1.4389146649413801E-3</c:v>
                </c:pt>
                <c:pt idx="23">
                  <c:v>6.2569774484027803E-4</c:v>
                </c:pt>
                <c:pt idx="24">
                  <c:v>-2.0760365792160699E-3</c:v>
                </c:pt>
                <c:pt idx="25">
                  <c:v>-3.31368855312763E-3</c:v>
                </c:pt>
                <c:pt idx="26">
                  <c:v>-6.2906040473782396E-4</c:v>
                </c:pt>
                <c:pt idx="27">
                  <c:v>-4.9177609315278201E-4</c:v>
                </c:pt>
                <c:pt idx="28">
                  <c:v>2.3036774420531199E-3</c:v>
                </c:pt>
                <c:pt idx="29">
                  <c:v>2.3474959824562E-3</c:v>
                </c:pt>
                <c:pt idx="30">
                  <c:v>1.2473817742622499E-3</c:v>
                </c:pt>
                <c:pt idx="31">
                  <c:v>2.2791408949891902E-3</c:v>
                </c:pt>
                <c:pt idx="32">
                  <c:v>1.51934793299932E-3</c:v>
                </c:pt>
                <c:pt idx="33">
                  <c:v>-6.7126765895042799E-4</c:v>
                </c:pt>
                <c:pt idx="34">
                  <c:v>3.4897982306035598E-3</c:v>
                </c:pt>
                <c:pt idx="35">
                  <c:v>2.2225672780138198E-3</c:v>
                </c:pt>
                <c:pt idx="36">
                  <c:v>-4.5250054563515202E-4</c:v>
                </c:pt>
                <c:pt idx="37">
                  <c:v>3.7909837816522599E-4</c:v>
                </c:pt>
                <c:pt idx="38">
                  <c:v>-2.9101531384289601E-3</c:v>
                </c:pt>
                <c:pt idx="39">
                  <c:v>-2.64190129517404E-3</c:v>
                </c:pt>
                <c:pt idx="40">
                  <c:v>-3.9361869681257301E-3</c:v>
                </c:pt>
                <c:pt idx="41">
                  <c:v>-2.1450637030097901E-3</c:v>
                </c:pt>
                <c:pt idx="42">
                  <c:v>-1.2549007904196401E-3</c:v>
                </c:pt>
                <c:pt idx="43">
                  <c:v>-1.6015344682422301E-3</c:v>
                </c:pt>
                <c:pt idx="44">
                  <c:v>4.9319207519600398E-4</c:v>
                </c:pt>
                <c:pt idx="45">
                  <c:v>-3.2270632922928199E-4</c:v>
                </c:pt>
                <c:pt idx="46">
                  <c:v>3.0388204031507001E-3</c:v>
                </c:pt>
                <c:pt idx="47">
                  <c:v>9.4214557923165399E-4</c:v>
                </c:pt>
                <c:pt idx="48">
                  <c:v>3.3755998023742399E-3</c:v>
                </c:pt>
                <c:pt idx="49">
                  <c:v>8.6425272495623397E-4</c:v>
                </c:pt>
                <c:pt idx="50">
                  <c:v>-1.00502301844994E-3</c:v>
                </c:pt>
                <c:pt idx="51">
                  <c:v>-6.4528287762242694E-5</c:v>
                </c:pt>
                <c:pt idx="52">
                  <c:v>-1.19154302076941E-3</c:v>
                </c:pt>
                <c:pt idx="53">
                  <c:v>-2.8637111953536598E-4</c:v>
                </c:pt>
                <c:pt idx="54">
                  <c:v>1.0760523324162101E-3</c:v>
                </c:pt>
                <c:pt idx="55">
                  <c:v>-7.3284705617054197E-4</c:v>
                </c:pt>
                <c:pt idx="56">
                  <c:v>-1.70209298264431E-3</c:v>
                </c:pt>
                <c:pt idx="57">
                  <c:v>6.8347565805508602E-4</c:v>
                </c:pt>
                <c:pt idx="58">
                  <c:v>1.1288430143423301E-3</c:v>
                </c:pt>
                <c:pt idx="59">
                  <c:v>3.1391008409905902E-4</c:v>
                </c:pt>
                <c:pt idx="60">
                  <c:v>-1.4221623452671699E-3</c:v>
                </c:pt>
                <c:pt idx="61">
                  <c:v>-1.3172106654746199E-3</c:v>
                </c:pt>
                <c:pt idx="62">
                  <c:v>-6.7563562187909201E-4</c:v>
                </c:pt>
                <c:pt idx="63">
                  <c:v>8.4069049817626104E-4</c:v>
                </c:pt>
                <c:pt idx="64">
                  <c:v>-1.18293359617251E-3</c:v>
                </c:pt>
                <c:pt idx="65">
                  <c:v>-5.2594536664247104E-4</c:v>
                </c:pt>
                <c:pt idx="66">
                  <c:v>-2.2925057712097898E-3</c:v>
                </c:pt>
                <c:pt idx="67">
                  <c:v>-2.4680970809252498E-3</c:v>
                </c:pt>
                <c:pt idx="68">
                  <c:v>-1.97665348757739E-3</c:v>
                </c:pt>
                <c:pt idx="69">
                  <c:v>-9.0923638158882597E-4</c:v>
                </c:pt>
                <c:pt idx="70">
                  <c:v>-2.19349106376035E-3</c:v>
                </c:pt>
                <c:pt idx="71">
                  <c:v>-2.4547383532535299E-3</c:v>
                </c:pt>
                <c:pt idx="72">
                  <c:v>-1.9156905383644199E-3</c:v>
                </c:pt>
                <c:pt idx="73">
                  <c:v>2.0779561786509401E-4</c:v>
                </c:pt>
                <c:pt idx="74">
                  <c:v>-5.0080880254035995E-4</c:v>
                </c:pt>
                <c:pt idx="75">
                  <c:v>8.62027014736935E-4</c:v>
                </c:pt>
                <c:pt idx="76">
                  <c:v>-6.8122975487989502E-4</c:v>
                </c:pt>
                <c:pt idx="77">
                  <c:v>-1.3077025950454799E-3</c:v>
                </c:pt>
                <c:pt idx="78">
                  <c:v>-9.7485809742452905E-4</c:v>
                </c:pt>
                <c:pt idx="79">
                  <c:v>-8.8898214342732402E-4</c:v>
                </c:pt>
                <c:pt idx="80">
                  <c:v>-4.4868045443113998E-4</c:v>
                </c:pt>
                <c:pt idx="81">
                  <c:v>-1.08787684573117E-3</c:v>
                </c:pt>
                <c:pt idx="82">
                  <c:v>5.5971916393976397E-4</c:v>
                </c:pt>
                <c:pt idx="83">
                  <c:v>5.5116518515892796E-4</c:v>
                </c:pt>
                <c:pt idx="84">
                  <c:v>-2.9606302360165198E-3</c:v>
                </c:pt>
                <c:pt idx="85">
                  <c:v>-2.7703199922570702E-3</c:v>
                </c:pt>
                <c:pt idx="86">
                  <c:v>-7.7824869563094395E-4</c:v>
                </c:pt>
                <c:pt idx="87">
                  <c:v>-2.0471406339020899E-3</c:v>
                </c:pt>
                <c:pt idx="88">
                  <c:v>-1.5184258893862501E-3</c:v>
                </c:pt>
                <c:pt idx="89">
                  <c:v>5.9159142313566597E-4</c:v>
                </c:pt>
                <c:pt idx="90">
                  <c:v>-1.4501366246615899E-3</c:v>
                </c:pt>
                <c:pt idx="91">
                  <c:v>1.3904093526451501E-3</c:v>
                </c:pt>
                <c:pt idx="92">
                  <c:v>2.8160738734573599E-3</c:v>
                </c:pt>
                <c:pt idx="93">
                  <c:v>5.1997661994116601E-4</c:v>
                </c:pt>
                <c:pt idx="94">
                  <c:v>-7.5624915481048796E-4</c:v>
                </c:pt>
                <c:pt idx="95">
                  <c:v>-7.2383362912845995E-4</c:v>
                </c:pt>
                <c:pt idx="96">
                  <c:v>-1.4878805671492601E-3</c:v>
                </c:pt>
                <c:pt idx="97">
                  <c:v>-1.7896652456205E-3</c:v>
                </c:pt>
                <c:pt idx="98">
                  <c:v>-2.78732025684087E-3</c:v>
                </c:pt>
                <c:pt idx="99">
                  <c:v>-2.5989249732368898E-3</c:v>
                </c:pt>
                <c:pt idx="100">
                  <c:v>-5.0545561766015103E-3</c:v>
                </c:pt>
                <c:pt idx="101">
                  <c:v>-3.1013995698514298E-3</c:v>
                </c:pt>
                <c:pt idx="102">
                  <c:v>-1.7842461290058099E-3</c:v>
                </c:pt>
                <c:pt idx="103">
                  <c:v>-2.3153457047147899E-3</c:v>
                </c:pt>
                <c:pt idx="104">
                  <c:v>7.5961846934648203E-4</c:v>
                </c:pt>
                <c:pt idx="105">
                  <c:v>5.3074296719559104E-4</c:v>
                </c:pt>
                <c:pt idx="106">
                  <c:v>1.0362206603514001E-3</c:v>
                </c:pt>
                <c:pt idx="107">
                  <c:v>1.4747862386590501E-3</c:v>
                </c:pt>
                <c:pt idx="108">
                  <c:v>3.4085650469173599E-3</c:v>
                </c:pt>
                <c:pt idx="109">
                  <c:v>2.0727923245581802E-3</c:v>
                </c:pt>
                <c:pt idx="110">
                  <c:v>1.67727830854662E-3</c:v>
                </c:pt>
                <c:pt idx="111">
                  <c:v>1.4496099025695199E-3</c:v>
                </c:pt>
                <c:pt idx="112">
                  <c:v>1.6447903030543799E-3</c:v>
                </c:pt>
                <c:pt idx="113">
                  <c:v>6.5989532688746E-4</c:v>
                </c:pt>
                <c:pt idx="114">
                  <c:v>1.11309420290128E-3</c:v>
                </c:pt>
                <c:pt idx="115">
                  <c:v>1.79735200209322E-3</c:v>
                </c:pt>
                <c:pt idx="116">
                  <c:v>1.30309877985772E-3</c:v>
                </c:pt>
                <c:pt idx="117">
                  <c:v>1.4321623798417399E-3</c:v>
                </c:pt>
                <c:pt idx="118">
                  <c:v>-7.6818542747543396E-4</c:v>
                </c:pt>
                <c:pt idx="119">
                  <c:v>-4.7747462773510302E-4</c:v>
                </c:pt>
                <c:pt idx="120">
                  <c:v>8.1618551846622197E-4</c:v>
                </c:pt>
                <c:pt idx="121">
                  <c:v>-1.35467649268458E-3</c:v>
                </c:pt>
                <c:pt idx="122">
                  <c:v>-1.32062217309191E-3</c:v>
                </c:pt>
                <c:pt idx="123">
                  <c:v>-1.2497985004985001E-4</c:v>
                </c:pt>
                <c:pt idx="124">
                  <c:v>5.1434301687689897E-4</c:v>
                </c:pt>
                <c:pt idx="125">
                  <c:v>1.72411085203959E-3</c:v>
                </c:pt>
                <c:pt idx="126">
                  <c:v>1.54268749701283E-3</c:v>
                </c:pt>
                <c:pt idx="127">
                  <c:v>1.3735223391187501E-3</c:v>
                </c:pt>
                <c:pt idx="128">
                  <c:v>4.5210179025643901E-5</c:v>
                </c:pt>
                <c:pt idx="129">
                  <c:v>9.4901743379286103E-4</c:v>
                </c:pt>
                <c:pt idx="130">
                  <c:v>7.25711408272177E-4</c:v>
                </c:pt>
                <c:pt idx="131">
                  <c:v>1.7012075808619199E-3</c:v>
                </c:pt>
                <c:pt idx="132">
                  <c:v>-3.3947038657187198E-4</c:v>
                </c:pt>
                <c:pt idx="133">
                  <c:v>-5.6682014807495999E-5</c:v>
                </c:pt>
                <c:pt idx="134">
                  <c:v>4.0710865661148902E-4</c:v>
                </c:pt>
                <c:pt idx="135">
                  <c:v>2.1110223902690199E-4</c:v>
                </c:pt>
                <c:pt idx="136">
                  <c:v>3.9468545449353599E-4</c:v>
                </c:pt>
                <c:pt idx="137">
                  <c:v>1.1297470115605699E-3</c:v>
                </c:pt>
                <c:pt idx="138">
                  <c:v>1.3720791309756401E-3</c:v>
                </c:pt>
                <c:pt idx="139">
                  <c:v>7.4369773613848001E-4</c:v>
                </c:pt>
                <c:pt idx="140">
                  <c:v>-2.3822982226480999E-4</c:v>
                </c:pt>
                <c:pt idx="141">
                  <c:v>-1.59345135512114E-3</c:v>
                </c:pt>
                <c:pt idx="142">
                  <c:v>-4.9828253354777796E-4</c:v>
                </c:pt>
                <c:pt idx="143">
                  <c:v>2.9662524861772701E-4</c:v>
                </c:pt>
                <c:pt idx="144">
                  <c:v>1.3433148491028999E-3</c:v>
                </c:pt>
                <c:pt idx="145">
                  <c:v>-5.89313360117091E-5</c:v>
                </c:pt>
                <c:pt idx="146">
                  <c:v>1.49683052600209E-3</c:v>
                </c:pt>
                <c:pt idx="147">
                  <c:v>7.48596424367627E-4</c:v>
                </c:pt>
                <c:pt idx="148">
                  <c:v>3.0519792701128299E-3</c:v>
                </c:pt>
                <c:pt idx="149">
                  <c:v>4.3113861512760502E-3</c:v>
                </c:pt>
                <c:pt idx="150">
                  <c:v>1.16759011311432E-3</c:v>
                </c:pt>
                <c:pt idx="151">
                  <c:v>1.52307374768633E-3</c:v>
                </c:pt>
                <c:pt idx="152">
                  <c:v>2.7550335898561202E-3</c:v>
                </c:pt>
                <c:pt idx="153">
                  <c:v>-6.3175535055868301E-4</c:v>
                </c:pt>
                <c:pt idx="154">
                  <c:v>-8.4947884341298504E-4</c:v>
                </c:pt>
                <c:pt idx="155">
                  <c:v>-1.80423019002434E-3</c:v>
                </c:pt>
                <c:pt idx="156">
                  <c:v>-5.4071987620925798E-4</c:v>
                </c:pt>
                <c:pt idx="157">
                  <c:v>1.02096865633757E-4</c:v>
                </c:pt>
                <c:pt idx="158">
                  <c:v>-6.0338734057630299E-4</c:v>
                </c:pt>
                <c:pt idx="159">
                  <c:v>1.6567980252502699E-4</c:v>
                </c:pt>
                <c:pt idx="160">
                  <c:v>4.2934777349028398E-4</c:v>
                </c:pt>
                <c:pt idx="161">
                  <c:v>-1.58887244966729E-3</c:v>
                </c:pt>
                <c:pt idx="162">
                  <c:v>-7.8314678404926602E-4</c:v>
                </c:pt>
                <c:pt idx="163">
                  <c:v>3.2521385239319198E-4</c:v>
                </c:pt>
                <c:pt idx="164">
                  <c:v>6.3999476843285799E-4</c:v>
                </c:pt>
                <c:pt idx="165">
                  <c:v>1.21124020298906E-3</c:v>
                </c:pt>
                <c:pt idx="166">
                  <c:v>2.3207644722370402E-3</c:v>
                </c:pt>
                <c:pt idx="167">
                  <c:v>1.0970087424351199E-3</c:v>
                </c:pt>
                <c:pt idx="168">
                  <c:v>4.6176025184814203E-3</c:v>
                </c:pt>
                <c:pt idx="169">
                  <c:v>2.93525968953593E-3</c:v>
                </c:pt>
                <c:pt idx="170">
                  <c:v>4.9834265278788804E-3</c:v>
                </c:pt>
                <c:pt idx="171">
                  <c:v>6.9841568685265303E-3</c:v>
                </c:pt>
                <c:pt idx="172">
                  <c:v>4.7537857332773303E-3</c:v>
                </c:pt>
                <c:pt idx="173">
                  <c:v>4.1614830137651901E-3</c:v>
                </c:pt>
                <c:pt idx="174">
                  <c:v>3.7469569992818101E-3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A-451D-A5F4-0221980E0BF0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BWX* x 20 dma / IGOV*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5.1175544983125603E-4</c:v>
                </c:pt>
                <c:pt idx="21">
                  <c:v>-2.6408080033759902E-3</c:v>
                </c:pt>
                <c:pt idx="22">
                  <c:v>-2.3936456661687298E-3</c:v>
                </c:pt>
                <c:pt idx="23">
                  <c:v>-1.0489243380688399E-5</c:v>
                </c:pt>
                <c:pt idx="24">
                  <c:v>-2.3513838803597901E-3</c:v>
                </c:pt>
                <c:pt idx="25">
                  <c:v>-3.4179472165288701E-3</c:v>
                </c:pt>
                <c:pt idx="26">
                  <c:v>-8.5176592696367605E-4</c:v>
                </c:pt>
                <c:pt idx="27">
                  <c:v>-6.0764256573229102E-4</c:v>
                </c:pt>
                <c:pt idx="28">
                  <c:v>2.0315882282944801E-3</c:v>
                </c:pt>
                <c:pt idx="29">
                  <c:v>2.3288079128805398E-3</c:v>
                </c:pt>
                <c:pt idx="30">
                  <c:v>1.1223118940311601E-3</c:v>
                </c:pt>
                <c:pt idx="31">
                  <c:v>2.0893135340368401E-3</c:v>
                </c:pt>
                <c:pt idx="32">
                  <c:v>1.4664908543107801E-3</c:v>
                </c:pt>
                <c:pt idx="33">
                  <c:v>-6.1490370654973103E-4</c:v>
                </c:pt>
                <c:pt idx="34">
                  <c:v>3.3841336027268E-3</c:v>
                </c:pt>
                <c:pt idx="35">
                  <c:v>2.4724229483816299E-3</c:v>
                </c:pt>
                <c:pt idx="36">
                  <c:v>3.1314311070068901E-4</c:v>
                </c:pt>
                <c:pt idx="37">
                  <c:v>1.24621917726474E-3</c:v>
                </c:pt>
                <c:pt idx="38">
                  <c:v>-1.8003306184045499E-3</c:v>
                </c:pt>
                <c:pt idx="39">
                  <c:v>-1.82714154035292E-3</c:v>
                </c:pt>
                <c:pt idx="40">
                  <c:v>-3.2742288121360599E-3</c:v>
                </c:pt>
                <c:pt idx="41">
                  <c:v>-1.62528178270263E-3</c:v>
                </c:pt>
                <c:pt idx="42">
                  <c:v>-1.06668711240202E-3</c:v>
                </c:pt>
                <c:pt idx="43">
                  <c:v>-1.6758553412152999E-3</c:v>
                </c:pt>
                <c:pt idx="44">
                  <c:v>4.24083930500926E-4</c:v>
                </c:pt>
                <c:pt idx="45">
                  <c:v>-8.1566878306969998E-4</c:v>
                </c:pt>
                <c:pt idx="46">
                  <c:v>2.06779470825321E-3</c:v>
                </c:pt>
                <c:pt idx="47">
                  <c:v>-3.7106898407668003E-5</c:v>
                </c:pt>
                <c:pt idx="48">
                  <c:v>2.19650622009821E-3</c:v>
                </c:pt>
                <c:pt idx="49">
                  <c:v>3.0840986039807099E-5</c:v>
                </c:pt>
                <c:pt idx="50">
                  <c:v>-1.57851198857533E-3</c:v>
                </c:pt>
                <c:pt idx="51">
                  <c:v>-3.5541444863515102E-4</c:v>
                </c:pt>
                <c:pt idx="52">
                  <c:v>-1.2381762722398701E-3</c:v>
                </c:pt>
                <c:pt idx="53">
                  <c:v>-2.1461498269007099E-4</c:v>
                </c:pt>
                <c:pt idx="54">
                  <c:v>1.27483874195799E-3</c:v>
                </c:pt>
                <c:pt idx="55">
                  <c:v>-3.2861104598698102E-4</c:v>
                </c:pt>
                <c:pt idx="56">
                  <c:v>-1.10154458404132E-3</c:v>
                </c:pt>
                <c:pt idx="57">
                  <c:v>1.02969102035377E-3</c:v>
                </c:pt>
                <c:pt idx="58">
                  <c:v>1.5664681755205301E-3</c:v>
                </c:pt>
                <c:pt idx="59">
                  <c:v>4.8692846288430301E-4</c:v>
                </c:pt>
                <c:pt idx="60">
                  <c:v>-1.35131415643443E-3</c:v>
                </c:pt>
                <c:pt idx="61">
                  <c:v>-1.3495245735826E-3</c:v>
                </c:pt>
                <c:pt idx="62">
                  <c:v>-8.4884022866767801E-4</c:v>
                </c:pt>
                <c:pt idx="63">
                  <c:v>6.7746144305139697E-4</c:v>
                </c:pt>
                <c:pt idx="64">
                  <c:v>-1.3791568771276499E-3</c:v>
                </c:pt>
                <c:pt idx="65">
                  <c:v>-9.0364700842137898E-4</c:v>
                </c:pt>
                <c:pt idx="66">
                  <c:v>-2.7175541207452099E-3</c:v>
                </c:pt>
                <c:pt idx="67">
                  <c:v>-2.7883615646363499E-3</c:v>
                </c:pt>
                <c:pt idx="68">
                  <c:v>-2.5081831706145201E-3</c:v>
                </c:pt>
                <c:pt idx="69">
                  <c:v>-1.58060220763195E-3</c:v>
                </c:pt>
                <c:pt idx="70">
                  <c:v>-2.9828102831066499E-3</c:v>
                </c:pt>
                <c:pt idx="71">
                  <c:v>-3.3478157221834099E-3</c:v>
                </c:pt>
                <c:pt idx="72">
                  <c:v>-2.8891360519185099E-3</c:v>
                </c:pt>
                <c:pt idx="73">
                  <c:v>-9.3337287051309099E-4</c:v>
                </c:pt>
                <c:pt idx="74">
                  <c:v>-1.82732388498689E-3</c:v>
                </c:pt>
                <c:pt idx="75">
                  <c:v>-4.30571268608957E-4</c:v>
                </c:pt>
                <c:pt idx="76">
                  <c:v>-2.00620095439694E-3</c:v>
                </c:pt>
                <c:pt idx="77">
                  <c:v>-2.6125844963680398E-3</c:v>
                </c:pt>
                <c:pt idx="78">
                  <c:v>-2.1627939027152299E-3</c:v>
                </c:pt>
                <c:pt idx="79">
                  <c:v>-1.93748741208102E-3</c:v>
                </c:pt>
                <c:pt idx="80">
                  <c:v>-1.47282543024915E-3</c:v>
                </c:pt>
                <c:pt idx="81">
                  <c:v>-2.0097168052019502E-3</c:v>
                </c:pt>
                <c:pt idx="82">
                  <c:v>-2.3978152263050799E-4</c:v>
                </c:pt>
                <c:pt idx="83">
                  <c:v>-4.52717030743557E-5</c:v>
                </c:pt>
                <c:pt idx="84">
                  <c:v>-3.4540101899669601E-3</c:v>
                </c:pt>
                <c:pt idx="85">
                  <c:v>-3.3376098465916098E-3</c:v>
                </c:pt>
                <c:pt idx="86">
                  <c:v>-1.52396557142302E-3</c:v>
                </c:pt>
                <c:pt idx="87">
                  <c:v>-2.8202526615686801E-3</c:v>
                </c:pt>
                <c:pt idx="88">
                  <c:v>-2.3333173399905801E-3</c:v>
                </c:pt>
                <c:pt idx="89">
                  <c:v>-2.6321305454612298E-4</c:v>
                </c:pt>
                <c:pt idx="90">
                  <c:v>-2.21262943757035E-3</c:v>
                </c:pt>
                <c:pt idx="91">
                  <c:v>5.1687939783921495E-4</c:v>
                </c:pt>
                <c:pt idx="92">
                  <c:v>2.0028831681018302E-3</c:v>
                </c:pt>
                <c:pt idx="93">
                  <c:v>-3.0560098837258999E-4</c:v>
                </c:pt>
                <c:pt idx="94">
                  <c:v>-1.6233715583452201E-3</c:v>
                </c:pt>
                <c:pt idx="95">
                  <c:v>-1.39508894313732E-3</c:v>
                </c:pt>
                <c:pt idx="96">
                  <c:v>-1.8856688255718601E-3</c:v>
                </c:pt>
                <c:pt idx="97">
                  <c:v>-2.1833302970787399E-3</c:v>
                </c:pt>
                <c:pt idx="98">
                  <c:v>-3.0931529265204598E-3</c:v>
                </c:pt>
                <c:pt idx="99">
                  <c:v>-2.8902237591597701E-3</c:v>
                </c:pt>
                <c:pt idx="100">
                  <c:v>-5.5230663650959102E-3</c:v>
                </c:pt>
                <c:pt idx="101">
                  <c:v>-3.6711626742216299E-3</c:v>
                </c:pt>
                <c:pt idx="102">
                  <c:v>-2.6718488963481898E-3</c:v>
                </c:pt>
                <c:pt idx="103">
                  <c:v>-3.5522324516433701E-3</c:v>
                </c:pt>
                <c:pt idx="104">
                  <c:v>-6.5836864733291903E-4</c:v>
                </c:pt>
                <c:pt idx="105">
                  <c:v>-9.7661395600920397E-4</c:v>
                </c:pt>
                <c:pt idx="106">
                  <c:v>-5.9414673512989396E-4</c:v>
                </c:pt>
                <c:pt idx="107">
                  <c:v>-1.17236568658642E-4</c:v>
                </c:pt>
                <c:pt idx="108">
                  <c:v>1.8469222336083399E-3</c:v>
                </c:pt>
                <c:pt idx="109">
                  <c:v>7.5823512179432398E-4</c:v>
                </c:pt>
                <c:pt idx="110">
                  <c:v>6.5308652358417102E-4</c:v>
                </c:pt>
                <c:pt idx="111">
                  <c:v>8.8704642327588304E-4</c:v>
                </c:pt>
                <c:pt idx="112">
                  <c:v>1.5350118268758501E-3</c:v>
                </c:pt>
                <c:pt idx="113">
                  <c:v>1.0289393160385601E-3</c:v>
                </c:pt>
                <c:pt idx="114">
                  <c:v>1.9336941604138199E-3</c:v>
                </c:pt>
                <c:pt idx="115">
                  <c:v>2.7838079408796E-3</c:v>
                </c:pt>
                <c:pt idx="116">
                  <c:v>2.5397458224933902E-3</c:v>
                </c:pt>
                <c:pt idx="117">
                  <c:v>2.842911037862E-3</c:v>
                </c:pt>
                <c:pt idx="118">
                  <c:v>7.7773237636566102E-4</c:v>
                </c:pt>
                <c:pt idx="119">
                  <c:v>8.6052563696601802E-4</c:v>
                </c:pt>
                <c:pt idx="120">
                  <c:v>2.0583163047209899E-3</c:v>
                </c:pt>
                <c:pt idx="121">
                  <c:v>-2.6596730491051501E-4</c:v>
                </c:pt>
                <c:pt idx="122">
                  <c:v>-4.3490020640693701E-4</c:v>
                </c:pt>
                <c:pt idx="123">
                  <c:v>5.4030132860853695E-4</c:v>
                </c:pt>
                <c:pt idx="124">
                  <c:v>1.0208884790606501E-3</c:v>
                </c:pt>
                <c:pt idx="125">
                  <c:v>2.1516191360822401E-3</c:v>
                </c:pt>
                <c:pt idx="126">
                  <c:v>1.8472550018279099E-3</c:v>
                </c:pt>
                <c:pt idx="127">
                  <c:v>1.58349132849374E-3</c:v>
                </c:pt>
                <c:pt idx="128">
                  <c:v>1.34345029607881E-4</c:v>
                </c:pt>
                <c:pt idx="129">
                  <c:v>1.14214894377942E-3</c:v>
                </c:pt>
                <c:pt idx="130">
                  <c:v>1.00330237167226E-3</c:v>
                </c:pt>
                <c:pt idx="131">
                  <c:v>1.92091723783366E-3</c:v>
                </c:pt>
                <c:pt idx="132">
                  <c:v>8.6541663406596202E-5</c:v>
                </c:pt>
                <c:pt idx="133">
                  <c:v>5.20956675862711E-4</c:v>
                </c:pt>
                <c:pt idx="134">
                  <c:v>1.01870041416956E-3</c:v>
                </c:pt>
                <c:pt idx="135">
                  <c:v>8.5780812425203005E-4</c:v>
                </c:pt>
                <c:pt idx="136">
                  <c:v>9.91334071876068E-4</c:v>
                </c:pt>
                <c:pt idx="137">
                  <c:v>1.6862327121933199E-3</c:v>
                </c:pt>
                <c:pt idx="138">
                  <c:v>1.95395380386868E-3</c:v>
                </c:pt>
                <c:pt idx="139">
                  <c:v>1.4005248343828599E-3</c:v>
                </c:pt>
                <c:pt idx="140">
                  <c:v>3.83322227949348E-4</c:v>
                </c:pt>
                <c:pt idx="141">
                  <c:v>-9.8118134655947797E-4</c:v>
                </c:pt>
                <c:pt idx="142">
                  <c:v>-1.6451744946449301E-4</c:v>
                </c:pt>
                <c:pt idx="143">
                  <c:v>5.6404718609732703E-4</c:v>
                </c:pt>
                <c:pt idx="144">
                  <c:v>1.5939382138368599E-3</c:v>
                </c:pt>
                <c:pt idx="145">
                  <c:v>2.0773568375958599E-4</c:v>
                </c:pt>
                <c:pt idx="146">
                  <c:v>1.7876655170938199E-3</c:v>
                </c:pt>
                <c:pt idx="147">
                  <c:v>1.12135093503983E-3</c:v>
                </c:pt>
                <c:pt idx="148">
                  <c:v>3.3995096782032498E-3</c:v>
                </c:pt>
                <c:pt idx="149">
                  <c:v>4.6529356671326603E-3</c:v>
                </c:pt>
                <c:pt idx="150">
                  <c:v>1.6659322887296599E-3</c:v>
                </c:pt>
                <c:pt idx="151">
                  <c:v>2.1276614581508301E-3</c:v>
                </c:pt>
                <c:pt idx="152">
                  <c:v>3.6798898464426898E-3</c:v>
                </c:pt>
                <c:pt idx="153">
                  <c:v>5.2301150224000803E-4</c:v>
                </c:pt>
                <c:pt idx="154">
                  <c:v>3.2999136803600301E-4</c:v>
                </c:pt>
                <c:pt idx="155">
                  <c:v>-6.88417094139043E-4</c:v>
                </c:pt>
                <c:pt idx="156">
                  <c:v>5.8624602414935798E-4</c:v>
                </c:pt>
                <c:pt idx="157">
                  <c:v>1.15560704983055E-3</c:v>
                </c:pt>
                <c:pt idx="158">
                  <c:v>5.0500282956197505E-4</c:v>
                </c:pt>
                <c:pt idx="159">
                  <c:v>1.0833650729714999E-3</c:v>
                </c:pt>
                <c:pt idx="160">
                  <c:v>1.0192786929407E-3</c:v>
                </c:pt>
                <c:pt idx="161">
                  <c:v>-1.09706638400303E-3</c:v>
                </c:pt>
                <c:pt idx="162">
                  <c:v>-6.1437281642569698E-4</c:v>
                </c:pt>
                <c:pt idx="163">
                  <c:v>7.9005036079581102E-5</c:v>
                </c:pt>
                <c:pt idx="164">
                  <c:v>3.4793414512237602E-4</c:v>
                </c:pt>
                <c:pt idx="165">
                  <c:v>9.5618076634002502E-4</c:v>
                </c:pt>
                <c:pt idx="166">
                  <c:v>2.1666651425387901E-3</c:v>
                </c:pt>
                <c:pt idx="167">
                  <c:v>1.05968167521973E-3</c:v>
                </c:pt>
                <c:pt idx="168">
                  <c:v>4.5532407097995699E-3</c:v>
                </c:pt>
                <c:pt idx="169">
                  <c:v>3.1970582626010698E-3</c:v>
                </c:pt>
                <c:pt idx="170">
                  <c:v>5.5252009976070196E-3</c:v>
                </c:pt>
                <c:pt idx="171">
                  <c:v>7.7853826266328901E-3</c:v>
                </c:pt>
                <c:pt idx="172">
                  <c:v>6.17020392761756E-3</c:v>
                </c:pt>
                <c:pt idx="173">
                  <c:v>6.1570896624169504E-3</c:v>
                </c:pt>
                <c:pt idx="174">
                  <c:v>6.1113738453413297E-3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A-451D-A5F4-0221980E0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IGOV*/BWX*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1.8652915884207499</c:v>
                </c:pt>
                <c:pt idx="1">
                  <c:v>1.8652915884207499</c:v>
                </c:pt>
                <c:pt idx="2">
                  <c:v>1.8652915884207499</c:v>
                </c:pt>
                <c:pt idx="3">
                  <c:v>1.8652915884207499</c:v>
                </c:pt>
                <c:pt idx="4">
                  <c:v>1.8652915884207499</c:v>
                </c:pt>
                <c:pt idx="5">
                  <c:v>1.8652915884207499</c:v>
                </c:pt>
                <c:pt idx="6">
                  <c:v>1.8652915884207499</c:v>
                </c:pt>
                <c:pt idx="7">
                  <c:v>1.8652915884207499</c:v>
                </c:pt>
                <c:pt idx="8">
                  <c:v>1.8652915884207499</c:v>
                </c:pt>
                <c:pt idx="9">
                  <c:v>1.8652915884207499</c:v>
                </c:pt>
                <c:pt idx="10">
                  <c:v>1.8652915884207499</c:v>
                </c:pt>
                <c:pt idx="11">
                  <c:v>1.8652915884207499</c:v>
                </c:pt>
                <c:pt idx="12">
                  <c:v>1.8652915884207499</c:v>
                </c:pt>
                <c:pt idx="13">
                  <c:v>1.8652915884207499</c:v>
                </c:pt>
                <c:pt idx="14">
                  <c:v>1.8652915884207499</c:v>
                </c:pt>
                <c:pt idx="15">
                  <c:v>1.8652915884207499</c:v>
                </c:pt>
                <c:pt idx="16">
                  <c:v>1.8652915884207499</c:v>
                </c:pt>
                <c:pt idx="17">
                  <c:v>1.8652915884207499</c:v>
                </c:pt>
                <c:pt idx="18">
                  <c:v>1.8652915884207499</c:v>
                </c:pt>
                <c:pt idx="19">
                  <c:v>1.8652915884207499</c:v>
                </c:pt>
                <c:pt idx="20">
                  <c:v>1.8652915884207499</c:v>
                </c:pt>
                <c:pt idx="21">
                  <c:v>1.8652915884207499</c:v>
                </c:pt>
                <c:pt idx="22">
                  <c:v>1.8652915884207499</c:v>
                </c:pt>
                <c:pt idx="23">
                  <c:v>1.8652915884207499</c:v>
                </c:pt>
                <c:pt idx="24">
                  <c:v>1.8652915884207499</c:v>
                </c:pt>
                <c:pt idx="25">
                  <c:v>1.8652915884207499</c:v>
                </c:pt>
                <c:pt idx="26">
                  <c:v>1.8652915884207499</c:v>
                </c:pt>
                <c:pt idx="27">
                  <c:v>1.8652915884207499</c:v>
                </c:pt>
                <c:pt idx="28">
                  <c:v>1.8652915884207499</c:v>
                </c:pt>
                <c:pt idx="29">
                  <c:v>1.8652915884207499</c:v>
                </c:pt>
                <c:pt idx="30">
                  <c:v>1.8652915884207499</c:v>
                </c:pt>
                <c:pt idx="31">
                  <c:v>1.8652915884207499</c:v>
                </c:pt>
                <c:pt idx="32">
                  <c:v>1.8652915884207499</c:v>
                </c:pt>
                <c:pt idx="33">
                  <c:v>1.8652915884207499</c:v>
                </c:pt>
                <c:pt idx="34">
                  <c:v>1.8652915884207499</c:v>
                </c:pt>
                <c:pt idx="35">
                  <c:v>1.8652915884207499</c:v>
                </c:pt>
                <c:pt idx="36">
                  <c:v>1.8652915884207499</c:v>
                </c:pt>
                <c:pt idx="37">
                  <c:v>1.8652915884207499</c:v>
                </c:pt>
                <c:pt idx="38">
                  <c:v>1.8652915884207499</c:v>
                </c:pt>
                <c:pt idx="39">
                  <c:v>1.8652915884207499</c:v>
                </c:pt>
                <c:pt idx="40">
                  <c:v>1.8652915884207499</c:v>
                </c:pt>
                <c:pt idx="41">
                  <c:v>1.8652915884207499</c:v>
                </c:pt>
                <c:pt idx="42">
                  <c:v>1.8652915884207499</c:v>
                </c:pt>
                <c:pt idx="43">
                  <c:v>1.8652915884207499</c:v>
                </c:pt>
                <c:pt idx="44">
                  <c:v>1.8652915884207499</c:v>
                </c:pt>
                <c:pt idx="45">
                  <c:v>1.8652915884207499</c:v>
                </c:pt>
                <c:pt idx="46">
                  <c:v>1.8652915884207499</c:v>
                </c:pt>
                <c:pt idx="47">
                  <c:v>1.8652915884207499</c:v>
                </c:pt>
                <c:pt idx="48">
                  <c:v>1.8652915884207499</c:v>
                </c:pt>
                <c:pt idx="49">
                  <c:v>1.8652915884207499</c:v>
                </c:pt>
                <c:pt idx="50">
                  <c:v>1.8652915884207499</c:v>
                </c:pt>
                <c:pt idx="51">
                  <c:v>1.8652915884207499</c:v>
                </c:pt>
                <c:pt idx="52">
                  <c:v>1.8652915884207499</c:v>
                </c:pt>
                <c:pt idx="53">
                  <c:v>1.8652915884207499</c:v>
                </c:pt>
                <c:pt idx="54">
                  <c:v>1.8652915884207499</c:v>
                </c:pt>
                <c:pt idx="55">
                  <c:v>1.8652915884207499</c:v>
                </c:pt>
                <c:pt idx="56">
                  <c:v>1.8652915884207499</c:v>
                </c:pt>
                <c:pt idx="57">
                  <c:v>1.8652915884207499</c:v>
                </c:pt>
                <c:pt idx="58">
                  <c:v>1.8652915884207499</c:v>
                </c:pt>
                <c:pt idx="59">
                  <c:v>1.8652915884207499</c:v>
                </c:pt>
                <c:pt idx="60">
                  <c:v>1.8652915884207499</c:v>
                </c:pt>
                <c:pt idx="61">
                  <c:v>1.8652915884207499</c:v>
                </c:pt>
                <c:pt idx="62">
                  <c:v>1.8652915884207499</c:v>
                </c:pt>
                <c:pt idx="63">
                  <c:v>1.8652915884207499</c:v>
                </c:pt>
                <c:pt idx="64">
                  <c:v>1.8652915884207499</c:v>
                </c:pt>
                <c:pt idx="65">
                  <c:v>1.8652915884207499</c:v>
                </c:pt>
                <c:pt idx="66">
                  <c:v>1.8652915884207499</c:v>
                </c:pt>
                <c:pt idx="67">
                  <c:v>1.8652915884207499</c:v>
                </c:pt>
                <c:pt idx="68">
                  <c:v>1.8652915884207499</c:v>
                </c:pt>
                <c:pt idx="69">
                  <c:v>1.8652915884207499</c:v>
                </c:pt>
                <c:pt idx="70">
                  <c:v>1.8652915884207499</c:v>
                </c:pt>
                <c:pt idx="71">
                  <c:v>1.8652915884207499</c:v>
                </c:pt>
                <c:pt idx="72">
                  <c:v>1.8652915884207499</c:v>
                </c:pt>
                <c:pt idx="73">
                  <c:v>1.8652915884207499</c:v>
                </c:pt>
                <c:pt idx="74">
                  <c:v>1.8652915884207499</c:v>
                </c:pt>
                <c:pt idx="75">
                  <c:v>1.8652915884207499</c:v>
                </c:pt>
                <c:pt idx="76">
                  <c:v>1.8652915884207499</c:v>
                </c:pt>
                <c:pt idx="77">
                  <c:v>1.8652915884207499</c:v>
                </c:pt>
                <c:pt idx="78">
                  <c:v>1.8652915884207499</c:v>
                </c:pt>
                <c:pt idx="79">
                  <c:v>1.8652915884207499</c:v>
                </c:pt>
                <c:pt idx="80">
                  <c:v>1.8652915884207499</c:v>
                </c:pt>
                <c:pt idx="81">
                  <c:v>1.8652915884207499</c:v>
                </c:pt>
                <c:pt idx="82">
                  <c:v>1.8652915884207499</c:v>
                </c:pt>
                <c:pt idx="83">
                  <c:v>1.8652915884207499</c:v>
                </c:pt>
                <c:pt idx="84">
                  <c:v>1.8652915884207499</c:v>
                </c:pt>
                <c:pt idx="85">
                  <c:v>1.8652915884207499</c:v>
                </c:pt>
                <c:pt idx="86">
                  <c:v>1.8652915884207499</c:v>
                </c:pt>
                <c:pt idx="87">
                  <c:v>1.8652915884207499</c:v>
                </c:pt>
                <c:pt idx="88">
                  <c:v>1.8652915884207499</c:v>
                </c:pt>
                <c:pt idx="89">
                  <c:v>1.8652915884207499</c:v>
                </c:pt>
                <c:pt idx="90">
                  <c:v>1.8652915884207499</c:v>
                </c:pt>
                <c:pt idx="91">
                  <c:v>1.8652915884207499</c:v>
                </c:pt>
                <c:pt idx="92">
                  <c:v>1.8652915884207499</c:v>
                </c:pt>
                <c:pt idx="93">
                  <c:v>1.8652915884207499</c:v>
                </c:pt>
                <c:pt idx="94">
                  <c:v>1.8652915884207499</c:v>
                </c:pt>
                <c:pt idx="95">
                  <c:v>1.8652915884207499</c:v>
                </c:pt>
                <c:pt idx="96">
                  <c:v>1.8652915884207499</c:v>
                </c:pt>
                <c:pt idx="97">
                  <c:v>1.8652915884207499</c:v>
                </c:pt>
                <c:pt idx="98">
                  <c:v>1.8652915884207499</c:v>
                </c:pt>
                <c:pt idx="99">
                  <c:v>1.8652915884207499</c:v>
                </c:pt>
                <c:pt idx="100">
                  <c:v>1.8652915884207499</c:v>
                </c:pt>
                <c:pt idx="101">
                  <c:v>1.8652915884207499</c:v>
                </c:pt>
                <c:pt idx="102">
                  <c:v>1.8652915884207499</c:v>
                </c:pt>
                <c:pt idx="103">
                  <c:v>1.8652915884207499</c:v>
                </c:pt>
                <c:pt idx="104">
                  <c:v>1.8652915884207499</c:v>
                </c:pt>
                <c:pt idx="105">
                  <c:v>1.8652915884207499</c:v>
                </c:pt>
                <c:pt idx="106">
                  <c:v>1.8652915884207499</c:v>
                </c:pt>
                <c:pt idx="107">
                  <c:v>1.8652915884207499</c:v>
                </c:pt>
                <c:pt idx="108">
                  <c:v>1.8652915884207499</c:v>
                </c:pt>
                <c:pt idx="109">
                  <c:v>1.8652915884207499</c:v>
                </c:pt>
                <c:pt idx="110">
                  <c:v>1.8652915884207499</c:v>
                </c:pt>
                <c:pt idx="111">
                  <c:v>1.8652915884207499</c:v>
                </c:pt>
                <c:pt idx="112">
                  <c:v>1.8652915884207499</c:v>
                </c:pt>
                <c:pt idx="113">
                  <c:v>1.8652915884207499</c:v>
                </c:pt>
                <c:pt idx="114">
                  <c:v>1.8652915884207499</c:v>
                </c:pt>
                <c:pt idx="115">
                  <c:v>1.8652915884207499</c:v>
                </c:pt>
                <c:pt idx="116">
                  <c:v>1.8652915884207499</c:v>
                </c:pt>
                <c:pt idx="117">
                  <c:v>1.8652915884207499</c:v>
                </c:pt>
                <c:pt idx="118">
                  <c:v>1.8652915884207499</c:v>
                </c:pt>
                <c:pt idx="119">
                  <c:v>1.8652915884207499</c:v>
                </c:pt>
                <c:pt idx="120">
                  <c:v>1.8652915884207499</c:v>
                </c:pt>
                <c:pt idx="121">
                  <c:v>1.8652915884207499</c:v>
                </c:pt>
                <c:pt idx="122">
                  <c:v>1.8652915884207499</c:v>
                </c:pt>
                <c:pt idx="123">
                  <c:v>1.8652915884207499</c:v>
                </c:pt>
                <c:pt idx="124">
                  <c:v>1.8652915884207499</c:v>
                </c:pt>
                <c:pt idx="125">
                  <c:v>1.8652915884207499</c:v>
                </c:pt>
                <c:pt idx="126">
                  <c:v>1.8652915884207499</c:v>
                </c:pt>
                <c:pt idx="127">
                  <c:v>1.8652915884207499</c:v>
                </c:pt>
                <c:pt idx="128">
                  <c:v>1.8652915884207499</c:v>
                </c:pt>
                <c:pt idx="129">
                  <c:v>1.8652915884207499</c:v>
                </c:pt>
                <c:pt idx="130">
                  <c:v>1.8652915884207499</c:v>
                </c:pt>
                <c:pt idx="131">
                  <c:v>1.8652915884207499</c:v>
                </c:pt>
                <c:pt idx="132">
                  <c:v>1.8652915884207499</c:v>
                </c:pt>
                <c:pt idx="133">
                  <c:v>1.8652915884207499</c:v>
                </c:pt>
                <c:pt idx="134">
                  <c:v>1.8652915884207499</c:v>
                </c:pt>
                <c:pt idx="135">
                  <c:v>1.8652915884207499</c:v>
                </c:pt>
                <c:pt idx="136">
                  <c:v>1.8652915884207499</c:v>
                </c:pt>
                <c:pt idx="137">
                  <c:v>1.8652915884207499</c:v>
                </c:pt>
                <c:pt idx="138">
                  <c:v>1.8652915884207499</c:v>
                </c:pt>
                <c:pt idx="139">
                  <c:v>1.8652915884207499</c:v>
                </c:pt>
                <c:pt idx="140">
                  <c:v>1.8652915884207499</c:v>
                </c:pt>
                <c:pt idx="141">
                  <c:v>1.8652915884207499</c:v>
                </c:pt>
                <c:pt idx="142">
                  <c:v>1.8652915884207499</c:v>
                </c:pt>
                <c:pt idx="143">
                  <c:v>1.8652915884207499</c:v>
                </c:pt>
                <c:pt idx="144">
                  <c:v>1.8652915884207499</c:v>
                </c:pt>
                <c:pt idx="145">
                  <c:v>1.8652915884207499</c:v>
                </c:pt>
                <c:pt idx="146">
                  <c:v>1.8652915884207499</c:v>
                </c:pt>
                <c:pt idx="147">
                  <c:v>1.8652915884207499</c:v>
                </c:pt>
                <c:pt idx="148">
                  <c:v>1.8652915884207499</c:v>
                </c:pt>
                <c:pt idx="149">
                  <c:v>1.8652915884207499</c:v>
                </c:pt>
                <c:pt idx="150">
                  <c:v>1.8652915884207499</c:v>
                </c:pt>
                <c:pt idx="151">
                  <c:v>1.8652915884207499</c:v>
                </c:pt>
                <c:pt idx="152">
                  <c:v>1.8652915884207499</c:v>
                </c:pt>
                <c:pt idx="153">
                  <c:v>1.8652915884207499</c:v>
                </c:pt>
                <c:pt idx="154">
                  <c:v>1.8652915884207499</c:v>
                </c:pt>
                <c:pt idx="155">
                  <c:v>1.8652915884207499</c:v>
                </c:pt>
                <c:pt idx="156">
                  <c:v>1.8652915884207499</c:v>
                </c:pt>
                <c:pt idx="157">
                  <c:v>1.8652915884207499</c:v>
                </c:pt>
                <c:pt idx="158">
                  <c:v>1.8652915884207499</c:v>
                </c:pt>
                <c:pt idx="159">
                  <c:v>1.8652915884207499</c:v>
                </c:pt>
                <c:pt idx="160">
                  <c:v>1.8652915884207499</c:v>
                </c:pt>
                <c:pt idx="161">
                  <c:v>1.8652915884207499</c:v>
                </c:pt>
                <c:pt idx="162">
                  <c:v>1.8652915884207499</c:v>
                </c:pt>
                <c:pt idx="163">
                  <c:v>1.8652915884207499</c:v>
                </c:pt>
                <c:pt idx="164">
                  <c:v>1.8652915884207499</c:v>
                </c:pt>
                <c:pt idx="165">
                  <c:v>1.8652915884207499</c:v>
                </c:pt>
                <c:pt idx="166">
                  <c:v>1.8652915884207499</c:v>
                </c:pt>
                <c:pt idx="167">
                  <c:v>1.8652915884207499</c:v>
                </c:pt>
                <c:pt idx="168">
                  <c:v>1.8652915884207499</c:v>
                </c:pt>
                <c:pt idx="169">
                  <c:v>1.8652915884207499</c:v>
                </c:pt>
                <c:pt idx="170">
                  <c:v>1.8652915884207499</c:v>
                </c:pt>
                <c:pt idx="171">
                  <c:v>1.8652915884207499</c:v>
                </c:pt>
                <c:pt idx="172">
                  <c:v>1.8652915884207499</c:v>
                </c:pt>
                <c:pt idx="173">
                  <c:v>1.8652915884207499</c:v>
                </c:pt>
                <c:pt idx="174">
                  <c:v>1.8652915884207499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9-4520-9B55-264C17D924BF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IGOV*/BWX*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1.8557368508146399</c:v>
                </c:pt>
                <c:pt idx="10">
                  <c:v>1.85649367594041</c:v>
                </c:pt>
                <c:pt idx="11">
                  <c:v>1.85766731549372</c:v>
                </c:pt>
                <c:pt idx="12">
                  <c:v>1.85872791575648</c:v>
                </c:pt>
                <c:pt idx="13">
                  <c:v>1.8596879545903999</c:v>
                </c:pt>
                <c:pt idx="14">
                  <c:v>1.86065165877796</c:v>
                </c:pt>
                <c:pt idx="15">
                  <c:v>1.86100496675212</c:v>
                </c:pt>
                <c:pt idx="16">
                  <c:v>1.8614619724710699</c:v>
                </c:pt>
                <c:pt idx="17">
                  <c:v>1.8612976260107299</c:v>
                </c:pt>
                <c:pt idx="18">
                  <c:v>1.86170201378803</c:v>
                </c:pt>
                <c:pt idx="19">
                  <c:v>1.8613635206708801</c:v>
                </c:pt>
                <c:pt idx="20">
                  <c:v>1.8613132453508101</c:v>
                </c:pt>
                <c:pt idx="21">
                  <c:v>1.8612195475150899</c:v>
                </c:pt>
                <c:pt idx="22">
                  <c:v>1.86109517173211</c:v>
                </c:pt>
                <c:pt idx="23">
                  <c:v>1.8607124978603</c:v>
                </c:pt>
                <c:pt idx="24">
                  <c:v>1.8610396975722101</c:v>
                </c:pt>
                <c:pt idx="25">
                  <c:v>1.8618341559121701</c:v>
                </c:pt>
                <c:pt idx="26">
                  <c:v>1.8618934095194</c:v>
                </c:pt>
                <c:pt idx="27">
                  <c:v>1.8623109175783099</c:v>
                </c:pt>
                <c:pt idx="28">
                  <c:v>1.8617715989721699</c:v>
                </c:pt>
                <c:pt idx="29">
                  <c:v>1.8618292090608499</c:v>
                </c:pt>
                <c:pt idx="30">
                  <c:v>1.86202010298261</c:v>
                </c:pt>
                <c:pt idx="31">
                  <c:v>1.8614163203724601</c:v>
                </c:pt>
                <c:pt idx="32">
                  <c:v>1.86088539210883</c:v>
                </c:pt>
                <c:pt idx="33">
                  <c:v>1.8611057831818001</c:v>
                </c:pt>
                <c:pt idx="34">
                  <c:v>1.86011006334619</c:v>
                </c:pt>
                <c:pt idx="35">
                  <c:v>1.8589864235523601</c:v>
                </c:pt>
                <c:pt idx="36">
                  <c:v>1.8586686311278899</c:v>
                </c:pt>
                <c:pt idx="37">
                  <c:v>1.8581841188319299</c:v>
                </c:pt>
                <c:pt idx="38">
                  <c:v>1.85874150918958</c:v>
                </c:pt>
                <c:pt idx="39">
                  <c:v>1.8593667481598899</c:v>
                </c:pt>
                <c:pt idx="40">
                  <c:v>1.8600859222848301</c:v>
                </c:pt>
                <c:pt idx="41">
                  <c:v>1.86071583011334</c:v>
                </c:pt>
                <c:pt idx="42">
                  <c:v>1.8611620282021499</c:v>
                </c:pt>
                <c:pt idx="43">
                  <c:v>1.8613630449855401</c:v>
                </c:pt>
                <c:pt idx="44">
                  <c:v>1.8619453492420599</c:v>
                </c:pt>
                <c:pt idx="45">
                  <c:v>1.8626019365698001</c:v>
                </c:pt>
                <c:pt idx="46">
                  <c:v>1.8623141974556401</c:v>
                </c:pt>
                <c:pt idx="47">
                  <c:v>1.86257382807877</c:v>
                </c:pt>
                <c:pt idx="48">
                  <c:v>1.8618435809513001</c:v>
                </c:pt>
                <c:pt idx="49">
                  <c:v>1.86150123690299</c:v>
                </c:pt>
                <c:pt idx="50">
                  <c:v>1.8611685411611201</c:v>
                </c:pt>
                <c:pt idx="51">
                  <c:v>1.8608893847118699</c:v>
                </c:pt>
                <c:pt idx="52">
                  <c:v>1.86089495735385</c:v>
                </c:pt>
                <c:pt idx="53">
                  <c:v>1.86062323823013</c:v>
                </c:pt>
                <c:pt idx="54">
                  <c:v>1.8604409307544201</c:v>
                </c:pt>
                <c:pt idx="55">
                  <c:v>1.8603667848916401</c:v>
                </c:pt>
                <c:pt idx="56">
                  <c:v>1.86102534323104</c:v>
                </c:pt>
                <c:pt idx="57">
                  <c:v>1.8609446791961399</c:v>
                </c:pt>
                <c:pt idx="58">
                  <c:v>1.86119948179854</c:v>
                </c:pt>
                <c:pt idx="59">
                  <c:v>1.8612374969490599</c:v>
                </c:pt>
                <c:pt idx="60">
                  <c:v>1.8612888302500601</c:v>
                </c:pt>
                <c:pt idx="61">
                  <c:v>1.8615341814612201</c:v>
                </c:pt>
                <c:pt idx="62">
                  <c:v>1.8615026103835901</c:v>
                </c:pt>
                <c:pt idx="63">
                  <c:v>1.8613536484058699</c:v>
                </c:pt>
                <c:pt idx="64">
                  <c:v>1.86184711060032</c:v>
                </c:pt>
                <c:pt idx="65">
                  <c:v>1.86194928548961</c:v>
                </c:pt>
                <c:pt idx="66">
                  <c:v>1.86221795678994</c:v>
                </c:pt>
                <c:pt idx="67">
                  <c:v>1.86292455236253</c:v>
                </c:pt>
                <c:pt idx="68">
                  <c:v>1.8637010924034401</c:v>
                </c:pt>
                <c:pt idx="69">
                  <c:v>1.8641792007675899</c:v>
                </c:pt>
                <c:pt idx="70">
                  <c:v>1.8646178394856801</c:v>
                </c:pt>
                <c:pt idx="71">
                  <c:v>1.8651636850551401</c:v>
                </c:pt>
                <c:pt idx="72">
                  <c:v>1.86575847114303</c:v>
                </c:pt>
                <c:pt idx="73">
                  <c:v>1.86630172059564</c:v>
                </c:pt>
                <c:pt idx="74">
                  <c:v>1.8666697011953599</c:v>
                </c:pt>
                <c:pt idx="75">
                  <c:v>1.8668931688774699</c:v>
                </c:pt>
                <c:pt idx="76">
                  <c:v>1.8670874362587</c:v>
                </c:pt>
                <c:pt idx="77">
                  <c:v>1.8673585223051901</c:v>
                </c:pt>
                <c:pt idx="78">
                  <c:v>1.86761544920959</c:v>
                </c:pt>
                <c:pt idx="79">
                  <c:v>1.8680034548442099</c:v>
                </c:pt>
                <c:pt idx="80">
                  <c:v>1.8680603578855901</c:v>
                </c:pt>
                <c:pt idx="81">
                  <c:v>1.8681496651292999</c:v>
                </c:pt>
                <c:pt idx="82">
                  <c:v>1.86798607837112</c:v>
                </c:pt>
                <c:pt idx="83">
                  <c:v>1.8681446761881999</c:v>
                </c:pt>
                <c:pt idx="84">
                  <c:v>1.86878939042157</c:v>
                </c:pt>
                <c:pt idx="85">
                  <c:v>1.86968063422088</c:v>
                </c:pt>
                <c:pt idx="86">
                  <c:v>1.86997772339572</c:v>
                </c:pt>
                <c:pt idx="87">
                  <c:v>1.8704056357266701</c:v>
                </c:pt>
                <c:pt idx="88">
                  <c:v>1.8708124403155399</c:v>
                </c:pt>
                <c:pt idx="89">
                  <c:v>1.87085539499946</c:v>
                </c:pt>
                <c:pt idx="90">
                  <c:v>1.87132825294412</c:v>
                </c:pt>
                <c:pt idx="91">
                  <c:v>1.87119169948055</c:v>
                </c:pt>
                <c:pt idx="92">
                  <c:v>1.87107423742606</c:v>
                </c:pt>
                <c:pt idx="93">
                  <c:v>1.87138871565742</c:v>
                </c:pt>
                <c:pt idx="94">
                  <c:v>1.8713007886295301</c:v>
                </c:pt>
                <c:pt idx="95">
                  <c:v>1.87116899628727</c:v>
                </c:pt>
                <c:pt idx="96">
                  <c:v>1.8714508830273</c:v>
                </c:pt>
                <c:pt idx="97">
                  <c:v>1.87155022309398</c:v>
                </c:pt>
                <c:pt idx="98">
                  <c:v>1.87190284754439</c:v>
                </c:pt>
                <c:pt idx="99">
                  <c:v>1.8726096574296101</c:v>
                </c:pt>
                <c:pt idx="100">
                  <c:v>1.87346250450246</c:v>
                </c:pt>
                <c:pt idx="101">
                  <c:v>1.8745178776109199</c:v>
                </c:pt>
                <c:pt idx="102">
                  <c:v>1.8757114542565001</c:v>
                </c:pt>
                <c:pt idx="103">
                  <c:v>1.8767072373372999</c:v>
                </c:pt>
                <c:pt idx="104">
                  <c:v>1.8769550083480699</c:v>
                </c:pt>
                <c:pt idx="105">
                  <c:v>1.87728533860606</c:v>
                </c:pt>
                <c:pt idx="106">
                  <c:v>1.87742393058474</c:v>
                </c:pt>
                <c:pt idx="107">
                  <c:v>1.8774093325688399</c:v>
                </c:pt>
                <c:pt idx="108">
                  <c:v>1.87683401703305</c:v>
                </c:pt>
                <c:pt idx="109">
                  <c:v>1.87645138194298</c:v>
                </c:pt>
                <c:pt idx="110">
                  <c:v>1.8755721678458701</c:v>
                </c:pt>
                <c:pt idx="111">
                  <c:v>1.87492950882522</c:v>
                </c:pt>
                <c:pt idx="112">
                  <c:v>1.87432778015197</c:v>
                </c:pt>
                <c:pt idx="113">
                  <c:v>1.8736309723258799</c:v>
                </c:pt>
                <c:pt idx="114">
                  <c:v>1.87325741309048</c:v>
                </c:pt>
                <c:pt idx="115">
                  <c:v>1.8726508572987499</c:v>
                </c:pt>
                <c:pt idx="116">
                  <c:v>1.8721379706215999</c:v>
                </c:pt>
                <c:pt idx="117">
                  <c:v>1.8716181218012999</c:v>
                </c:pt>
                <c:pt idx="118">
                  <c:v>1.8718216687426601</c:v>
                </c:pt>
                <c:pt idx="119">
                  <c:v>1.8717984557946099</c:v>
                </c:pt>
                <c:pt idx="120">
                  <c:v>1.87149492134924</c:v>
                </c:pt>
                <c:pt idx="121">
                  <c:v>1.8716125833488</c:v>
                </c:pt>
                <c:pt idx="122">
                  <c:v>1.8718363565002201</c:v>
                </c:pt>
                <c:pt idx="123">
                  <c:v>1.8717342549931</c:v>
                </c:pt>
                <c:pt idx="124">
                  <c:v>1.8716567734204499</c:v>
                </c:pt>
                <c:pt idx="125">
                  <c:v>1.87151068100054</c:v>
                </c:pt>
                <c:pt idx="126">
                  <c:v>1.8713520363219001</c:v>
                </c:pt>
                <c:pt idx="127">
                  <c:v>1.8712845136024301</c:v>
                </c:pt>
                <c:pt idx="128">
                  <c:v>1.87109886264923</c:v>
                </c:pt>
                <c:pt idx="129">
                  <c:v>1.87075969965199</c:v>
                </c:pt>
                <c:pt idx="130">
                  <c:v>1.87067282127315</c:v>
                </c:pt>
                <c:pt idx="131">
                  <c:v>1.8700189427112699</c:v>
                </c:pt>
                <c:pt idx="132">
                  <c:v>1.8696757384409399</c:v>
                </c:pt>
                <c:pt idx="133">
                  <c:v>1.86944687898948</c:v>
                </c:pt>
                <c:pt idx="134">
                  <c:v>1.86923829666848</c:v>
                </c:pt>
                <c:pt idx="135">
                  <c:v>1.8692794094738701</c:v>
                </c:pt>
                <c:pt idx="136">
                  <c:v>1.86927101216776</c:v>
                </c:pt>
                <c:pt idx="137">
                  <c:v>1.8691087066058101</c:v>
                </c:pt>
                <c:pt idx="138">
                  <c:v>1.8686433051795801</c:v>
                </c:pt>
                <c:pt idx="139">
                  <c:v>1.86843631682827</c:v>
                </c:pt>
                <c:pt idx="140">
                  <c:v>1.8683842094885901</c:v>
                </c:pt>
                <c:pt idx="141">
                  <c:v>1.86877127330628</c:v>
                </c:pt>
                <c:pt idx="142">
                  <c:v>1.8686761547959201</c:v>
                </c:pt>
                <c:pt idx="143">
                  <c:v>1.8685101769994801</c:v>
                </c:pt>
                <c:pt idx="144">
                  <c:v>1.8682417668752</c:v>
                </c:pt>
                <c:pt idx="145">
                  <c:v>1.8681925798928301</c:v>
                </c:pt>
                <c:pt idx="146">
                  <c:v>1.8678782325283101</c:v>
                </c:pt>
                <c:pt idx="147">
                  <c:v>1.86781023928106</c:v>
                </c:pt>
                <c:pt idx="148">
                  <c:v>1.86736749039048</c:v>
                </c:pt>
                <c:pt idx="149">
                  <c:v>1.86657546663872</c:v>
                </c:pt>
                <c:pt idx="150">
                  <c:v>1.8661270522686499</c:v>
                </c:pt>
                <c:pt idx="151">
                  <c:v>1.86531937271163</c:v>
                </c:pt>
                <c:pt idx="152">
                  <c:v>1.8643678473462799</c:v>
                </c:pt>
                <c:pt idx="153">
                  <c:v>1.8641102576830899</c:v>
                </c:pt>
                <c:pt idx="154">
                  <c:v>1.8640795164877699</c:v>
                </c:pt>
                <c:pt idx="155">
                  <c:v>1.86398890776477</c:v>
                </c:pt>
                <c:pt idx="156">
                  <c:v>1.8639487849796501</c:v>
                </c:pt>
                <c:pt idx="157">
                  <c:v>1.86367658723538</c:v>
                </c:pt>
                <c:pt idx="158">
                  <c:v>1.8639448906538401</c:v>
                </c:pt>
                <c:pt idx="159">
                  <c:v>1.8643751126253201</c:v>
                </c:pt>
                <c:pt idx="160">
                  <c:v>1.86429286019859</c:v>
                </c:pt>
                <c:pt idx="161">
                  <c:v>1.8646898973688699</c:v>
                </c:pt>
                <c:pt idx="162">
                  <c:v>1.8652862341157599</c:v>
                </c:pt>
                <c:pt idx="163">
                  <c:v>1.86519960131447</c:v>
                </c:pt>
                <c:pt idx="164">
                  <c:v>1.8650307825693799</c:v>
                </c:pt>
                <c:pt idx="165">
                  <c:v>1.86456351946706</c:v>
                </c:pt>
                <c:pt idx="166">
                  <c:v>1.86408794425441</c:v>
                </c:pt>
                <c:pt idx="167">
                  <c:v>1.8639165095899599</c:v>
                </c:pt>
                <c:pt idx="168">
                  <c:v>1.8629693175396</c:v>
                </c:pt>
                <c:pt idx="169">
                  <c:v>1.86235661135734</c:v>
                </c:pt>
                <c:pt idx="170">
                  <c:v>1.8613090075471299</c:v>
                </c:pt>
                <c:pt idx="171">
                  <c:v>1.8594187361083401</c:v>
                </c:pt>
                <c:pt idx="172">
                  <c:v>1.8578637000457101</c:v>
                </c:pt>
                <c:pt idx="173">
                  <c:v>1.8564105581344501</c:v>
                </c:pt>
                <c:pt idx="174">
                  <c:v>1.8549566999162099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9-4520-9B55-264C17D924BF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IGOV*/BWX*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1.85855018574276</c:v>
                </c:pt>
                <c:pt idx="20">
                  <c:v>1.8589034606456101</c:v>
                </c:pt>
                <c:pt idx="21">
                  <c:v>1.8594434315043999</c:v>
                </c:pt>
                <c:pt idx="22">
                  <c:v>1.8599115437442899</c:v>
                </c:pt>
                <c:pt idx="23">
                  <c:v>1.8602002262253501</c:v>
                </c:pt>
                <c:pt idx="24">
                  <c:v>1.8608456781750899</c:v>
                </c:pt>
                <c:pt idx="25">
                  <c:v>1.86141956133214</c:v>
                </c:pt>
                <c:pt idx="26">
                  <c:v>1.8616776909952399</c:v>
                </c:pt>
                <c:pt idx="27">
                  <c:v>1.86180427179452</c:v>
                </c:pt>
                <c:pt idx="28">
                  <c:v>1.8617368063801001</c:v>
                </c:pt>
                <c:pt idx="29">
                  <c:v>1.86159636486587</c:v>
                </c:pt>
                <c:pt idx="30">
                  <c:v>1.8616666741667101</c:v>
                </c:pt>
                <c:pt idx="31">
                  <c:v>1.86131793394377</c:v>
                </c:pt>
                <c:pt idx="32">
                  <c:v>1.86099028192047</c:v>
                </c:pt>
                <c:pt idx="33">
                  <c:v>1.8609091405210501</c:v>
                </c:pt>
                <c:pt idx="34">
                  <c:v>1.8605748804591999</c:v>
                </c:pt>
                <c:pt idx="35">
                  <c:v>1.8604102897322601</c:v>
                </c:pt>
                <c:pt idx="36">
                  <c:v>1.86028102032364</c:v>
                </c:pt>
                <c:pt idx="37">
                  <c:v>1.8602475182051199</c:v>
                </c:pt>
                <c:pt idx="38">
                  <c:v>1.86025655408088</c:v>
                </c:pt>
                <c:pt idx="39">
                  <c:v>1.8605979786103699</c:v>
                </c:pt>
                <c:pt idx="40">
                  <c:v>1.8610530126337199</c:v>
                </c:pt>
                <c:pt idx="41">
                  <c:v>1.8610660752429</c:v>
                </c:pt>
                <c:pt idx="42">
                  <c:v>1.8610237101554901</c:v>
                </c:pt>
                <c:pt idx="43">
                  <c:v>1.8612344140836701</c:v>
                </c:pt>
                <c:pt idx="44">
                  <c:v>1.8610277062941201</c:v>
                </c:pt>
                <c:pt idx="45">
                  <c:v>1.8607941800610801</c:v>
                </c:pt>
                <c:pt idx="46">
                  <c:v>1.8604914142917599</c:v>
                </c:pt>
                <c:pt idx="47">
                  <c:v>1.86037897345535</c:v>
                </c:pt>
                <c:pt idx="48">
                  <c:v>1.86029254507044</c:v>
                </c:pt>
                <c:pt idx="49">
                  <c:v>1.8604339925314399</c:v>
                </c:pt>
                <c:pt idx="50">
                  <c:v>1.8606272317229799</c:v>
                </c:pt>
                <c:pt idx="51">
                  <c:v>1.8608026074126101</c:v>
                </c:pt>
                <c:pt idx="52">
                  <c:v>1.8610284927780001</c:v>
                </c:pt>
                <c:pt idx="53">
                  <c:v>1.86099314160784</c:v>
                </c:pt>
                <c:pt idx="54">
                  <c:v>1.86119313999824</c:v>
                </c:pt>
                <c:pt idx="55">
                  <c:v>1.8614843607307201</c:v>
                </c:pt>
                <c:pt idx="56">
                  <c:v>1.86166977034334</c:v>
                </c:pt>
                <c:pt idx="57">
                  <c:v>1.8617592536374601</c:v>
                </c:pt>
                <c:pt idx="58">
                  <c:v>1.86152153137492</c:v>
                </c:pt>
                <c:pt idx="59">
                  <c:v>1.8613693669260301</c:v>
                </c:pt>
                <c:pt idx="60">
                  <c:v>1.86122868570559</c:v>
                </c:pt>
                <c:pt idx="61">
                  <c:v>1.86121178308655</c:v>
                </c:pt>
                <c:pt idx="62">
                  <c:v>1.8611987838687201</c:v>
                </c:pt>
                <c:pt idx="63">
                  <c:v>1.860988443318</c:v>
                </c:pt>
                <c:pt idx="64">
                  <c:v>1.8611440206773699</c:v>
                </c:pt>
                <c:pt idx="65">
                  <c:v>1.8611580351906301</c:v>
                </c:pt>
                <c:pt idx="66">
                  <c:v>1.8616216500104901</c:v>
                </c:pt>
                <c:pt idx="67">
                  <c:v>1.8619346157793399</c:v>
                </c:pt>
                <c:pt idx="68">
                  <c:v>1.86245028710099</c:v>
                </c:pt>
                <c:pt idx="69">
                  <c:v>1.86270834885833</c:v>
                </c:pt>
                <c:pt idx="70">
                  <c:v>1.86295333486787</c:v>
                </c:pt>
                <c:pt idx="71">
                  <c:v>1.8633489332581801</c:v>
                </c:pt>
                <c:pt idx="72">
                  <c:v>1.86363054076331</c:v>
                </c:pt>
                <c:pt idx="73">
                  <c:v>1.86382768450075</c:v>
                </c:pt>
                <c:pt idx="74">
                  <c:v>1.86425840589784</c:v>
                </c:pt>
                <c:pt idx="75">
                  <c:v>1.8644212271835401</c:v>
                </c:pt>
                <c:pt idx="76">
                  <c:v>1.86465269652432</c:v>
                </c:pt>
                <c:pt idx="77">
                  <c:v>1.86514153733386</c:v>
                </c:pt>
                <c:pt idx="78">
                  <c:v>1.8656582708065099</c:v>
                </c:pt>
                <c:pt idx="79">
                  <c:v>1.8660913278058999</c:v>
                </c:pt>
                <c:pt idx="80">
                  <c:v>1.8663390986856401</c:v>
                </c:pt>
                <c:pt idx="81">
                  <c:v>1.86665667509222</c:v>
                </c:pt>
                <c:pt idx="82">
                  <c:v>1.8668722747570701</c:v>
                </c:pt>
                <c:pt idx="83">
                  <c:v>1.8672231983919201</c:v>
                </c:pt>
                <c:pt idx="84">
                  <c:v>1.8677295458084699</c:v>
                </c:pt>
                <c:pt idx="85">
                  <c:v>1.8682869015491701</c:v>
                </c:pt>
                <c:pt idx="86">
                  <c:v>1.8685325798272101</c:v>
                </c:pt>
                <c:pt idx="87">
                  <c:v>1.86888207901593</c:v>
                </c:pt>
                <c:pt idx="88">
                  <c:v>1.86921394476256</c:v>
                </c:pt>
                <c:pt idx="89">
                  <c:v>1.86942942492183</c:v>
                </c:pt>
                <c:pt idx="90">
                  <c:v>1.86969430541486</c:v>
                </c:pt>
                <c:pt idx="91">
                  <c:v>1.8696706823049201</c:v>
                </c:pt>
                <c:pt idx="92">
                  <c:v>1.8695301578985899</c:v>
                </c:pt>
                <c:pt idx="93">
                  <c:v>1.8697666959228101</c:v>
                </c:pt>
                <c:pt idx="94">
                  <c:v>1.87004508952555</c:v>
                </c:pt>
                <c:pt idx="95">
                  <c:v>1.8704248152540699</c:v>
                </c:pt>
                <c:pt idx="96">
                  <c:v>1.8707143032115101</c:v>
                </c:pt>
                <c:pt idx="97">
                  <c:v>1.8709779294103199</c:v>
                </c:pt>
                <c:pt idx="98">
                  <c:v>1.87135764392996</c:v>
                </c:pt>
                <c:pt idx="99">
                  <c:v>1.8717325262145299</c:v>
                </c:pt>
                <c:pt idx="100">
                  <c:v>1.8723953787232901</c:v>
                </c:pt>
                <c:pt idx="101">
                  <c:v>1.8728547885457301</c:v>
                </c:pt>
                <c:pt idx="102">
                  <c:v>1.8733928458412801</c:v>
                </c:pt>
                <c:pt idx="103">
                  <c:v>1.8740479764973601</c:v>
                </c:pt>
                <c:pt idx="104">
                  <c:v>1.8741278984887999</c:v>
                </c:pt>
                <c:pt idx="105">
                  <c:v>1.87422716744666</c:v>
                </c:pt>
                <c:pt idx="106">
                  <c:v>1.8744374068060199</c:v>
                </c:pt>
                <c:pt idx="107">
                  <c:v>1.87447977783141</c:v>
                </c:pt>
                <c:pt idx="108">
                  <c:v>1.87436843228872</c:v>
                </c:pt>
                <c:pt idx="109">
                  <c:v>1.8745305196863</c:v>
                </c:pt>
                <c:pt idx="110">
                  <c:v>1.8745173361741601</c:v>
                </c:pt>
                <c:pt idx="111">
                  <c:v>1.87472369321807</c:v>
                </c:pt>
                <c:pt idx="112">
                  <c:v>1.8750196172042399</c:v>
                </c:pt>
                <c:pt idx="113">
                  <c:v>1.8751691048315899</c:v>
                </c:pt>
                <c:pt idx="114">
                  <c:v>1.87510621071927</c:v>
                </c:pt>
                <c:pt idx="115">
                  <c:v>1.8749680979523999</c:v>
                </c:pt>
                <c:pt idx="116">
                  <c:v>1.8747809506031701</c:v>
                </c:pt>
                <c:pt idx="117">
                  <c:v>1.87451372718507</c:v>
                </c:pt>
                <c:pt idx="118">
                  <c:v>1.87432784288786</c:v>
                </c:pt>
                <c:pt idx="119">
                  <c:v>1.8741249188688001</c:v>
                </c:pt>
                <c:pt idx="120">
                  <c:v>1.8735335445975501</c:v>
                </c:pt>
                <c:pt idx="121">
                  <c:v>1.8732710460870099</c:v>
                </c:pt>
                <c:pt idx="122">
                  <c:v>1.87308206832609</c:v>
                </c:pt>
                <c:pt idx="123">
                  <c:v>1.8726826136594901</c:v>
                </c:pt>
                <c:pt idx="124">
                  <c:v>1.8724570932554601</c:v>
                </c:pt>
                <c:pt idx="125">
                  <c:v>1.8720807691496399</c:v>
                </c:pt>
                <c:pt idx="126">
                  <c:v>1.87174500347175</c:v>
                </c:pt>
                <c:pt idx="127">
                  <c:v>1.8714513177018699</c:v>
                </c:pt>
                <c:pt idx="128">
                  <c:v>1.87146026569595</c:v>
                </c:pt>
                <c:pt idx="129">
                  <c:v>1.8712790777232999</c:v>
                </c:pt>
                <c:pt idx="130">
                  <c:v>1.8710838713111999</c:v>
                </c:pt>
                <c:pt idx="131">
                  <c:v>1.8708157630300399</c:v>
                </c:pt>
                <c:pt idx="132">
                  <c:v>1.87075604747058</c:v>
                </c:pt>
                <c:pt idx="133">
                  <c:v>1.8705905669912899</c:v>
                </c:pt>
                <c:pt idx="134">
                  <c:v>1.87044753504446</c:v>
                </c:pt>
                <c:pt idx="135">
                  <c:v>1.87039504523721</c:v>
                </c:pt>
                <c:pt idx="136">
                  <c:v>1.87031152424483</c:v>
                </c:pt>
                <c:pt idx="137">
                  <c:v>1.8701966101041201</c:v>
                </c:pt>
                <c:pt idx="138">
                  <c:v>1.8698710839144099</c:v>
                </c:pt>
                <c:pt idx="139">
                  <c:v>1.86959800824013</c:v>
                </c:pt>
                <c:pt idx="140">
                  <c:v>1.8695285153808701</c:v>
                </c:pt>
                <c:pt idx="141">
                  <c:v>1.8693951080087801</c:v>
                </c:pt>
                <c:pt idx="142">
                  <c:v>1.8691759466184299</c:v>
                </c:pt>
                <c:pt idx="143">
                  <c:v>1.8689785279944799</c:v>
                </c:pt>
                <c:pt idx="144">
                  <c:v>1.8687400317718399</c:v>
                </c:pt>
                <c:pt idx="145">
                  <c:v>1.8687359946833499</c:v>
                </c:pt>
                <c:pt idx="146">
                  <c:v>1.8685746223480399</c:v>
                </c:pt>
                <c:pt idx="147">
                  <c:v>1.8684594729434301</c:v>
                </c:pt>
                <c:pt idx="148">
                  <c:v>1.8680053977850299</c:v>
                </c:pt>
                <c:pt idx="149">
                  <c:v>1.8675058917334999</c:v>
                </c:pt>
                <c:pt idx="150">
                  <c:v>1.8672556308786199</c:v>
                </c:pt>
                <c:pt idx="151">
                  <c:v>1.8670453230089601</c:v>
                </c:pt>
                <c:pt idx="152">
                  <c:v>1.8665220010710999</c:v>
                </c:pt>
                <c:pt idx="153">
                  <c:v>1.86631021734129</c:v>
                </c:pt>
                <c:pt idx="154">
                  <c:v>1.86616064168148</c:v>
                </c:pt>
                <c:pt idx="155">
                  <c:v>1.8660907438287999</c:v>
                </c:pt>
                <c:pt idx="156">
                  <c:v>1.86591350875398</c:v>
                </c:pt>
                <c:pt idx="157">
                  <c:v>1.86574341325822</c:v>
                </c:pt>
                <c:pt idx="158">
                  <c:v>1.86565619052216</c:v>
                </c:pt>
                <c:pt idx="159">
                  <c:v>1.8654752896320199</c:v>
                </c:pt>
                <c:pt idx="160">
                  <c:v>1.86520995623362</c:v>
                </c:pt>
                <c:pt idx="161">
                  <c:v>1.86500463504025</c:v>
                </c:pt>
                <c:pt idx="162">
                  <c:v>1.8648270407310199</c:v>
                </c:pt>
                <c:pt idx="163">
                  <c:v>1.86465492949878</c:v>
                </c:pt>
                <c:pt idx="164">
                  <c:v>1.8645551495285699</c:v>
                </c:pt>
                <c:pt idx="165">
                  <c:v>1.8642762136159099</c:v>
                </c:pt>
                <c:pt idx="166">
                  <c:v>1.8640183646170301</c:v>
                </c:pt>
                <c:pt idx="167">
                  <c:v>1.86379654841267</c:v>
                </c:pt>
                <c:pt idx="168">
                  <c:v>1.8634571040967201</c:v>
                </c:pt>
                <c:pt idx="169">
                  <c:v>1.86336586199133</c:v>
                </c:pt>
                <c:pt idx="170">
                  <c:v>1.8628009338728599</c:v>
                </c:pt>
                <c:pt idx="171">
                  <c:v>1.8620543167385999</c:v>
                </c:pt>
                <c:pt idx="172">
                  <c:v>1.86157496708073</c:v>
                </c:pt>
                <c:pt idx="173">
                  <c:v>1.86080507972446</c:v>
                </c:pt>
                <c:pt idx="174">
                  <c:v>1.8599937412428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9-4520-9B55-264C17D92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BWX x avg / IGOV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1.3910701776548601E-2</c:v>
                </c:pt>
                <c:pt idx="2">
                  <c:v>1.3091926241305001E-2</c:v>
                </c:pt>
                <c:pt idx="3">
                  <c:v>1.32968302749886E-2</c:v>
                </c:pt>
                <c:pt idx="4">
                  <c:v>1.4639054032237401E-2</c:v>
                </c:pt>
                <c:pt idx="5">
                  <c:v>1.24441024177265E-2</c:v>
                </c:pt>
                <c:pt idx="6">
                  <c:v>1.13109818703104E-2</c:v>
                </c:pt>
                <c:pt idx="7">
                  <c:v>1.0001440512620301E-2</c:v>
                </c:pt>
                <c:pt idx="8">
                  <c:v>1.0486783356662701E-2</c:v>
                </c:pt>
                <c:pt idx="9">
                  <c:v>1.0035091763997001E-2</c:v>
                </c:pt>
                <c:pt idx="10">
                  <c:v>1.1171624684627301E-2</c:v>
                </c:pt>
                <c:pt idx="11">
                  <c:v>7.5970152138183202E-3</c:v>
                </c:pt>
                <c:pt idx="12">
                  <c:v>7.3892694147461796E-3</c:v>
                </c:pt>
                <c:pt idx="13">
                  <c:v>8.1324254009638094E-3</c:v>
                </c:pt>
                <c:pt idx="14">
                  <c:v>9.4480380674593304E-3</c:v>
                </c:pt>
                <c:pt idx="15">
                  <c:v>1.0542045918317601E-2</c:v>
                </c:pt>
                <c:pt idx="16">
                  <c:v>8.8541299327772899E-3</c:v>
                </c:pt>
                <c:pt idx="17">
                  <c:v>1.08852822276767E-2</c:v>
                </c:pt>
                <c:pt idx="18">
                  <c:v>8.3142863040622898E-3</c:v>
                </c:pt>
                <c:pt idx="19">
                  <c:v>1.18563944098302E-2</c:v>
                </c:pt>
                <c:pt idx="20">
                  <c:v>9.7574494800959297E-3</c:v>
                </c:pt>
                <c:pt idx="21">
                  <c:v>6.4155647557239898E-3</c:v>
                </c:pt>
                <c:pt idx="22">
                  <c:v>6.3678318648036497E-3</c:v>
                </c:pt>
                <c:pt idx="23">
                  <c:v>8.4992713928736894E-3</c:v>
                </c:pt>
                <c:pt idx="24">
                  <c:v>6.0061512348656299E-3</c:v>
                </c:pt>
                <c:pt idx="25">
                  <c:v>4.6037334156454196E-3</c:v>
                </c:pt>
                <c:pt idx="26">
                  <c:v>6.8688595496077904E-3</c:v>
                </c:pt>
                <c:pt idx="27">
                  <c:v>6.9772197640961802E-3</c:v>
                </c:pt>
                <c:pt idx="28">
                  <c:v>9.5535121736639202E-3</c:v>
                </c:pt>
                <c:pt idx="29">
                  <c:v>9.889842297784E-3</c:v>
                </c:pt>
                <c:pt idx="30">
                  <c:v>8.7580675072786197E-3</c:v>
                </c:pt>
                <c:pt idx="31">
                  <c:v>9.6771927784246592E-3</c:v>
                </c:pt>
                <c:pt idx="32">
                  <c:v>9.2409877551505298E-3</c:v>
                </c:pt>
                <c:pt idx="33">
                  <c:v>7.3363677395159596E-3</c:v>
                </c:pt>
                <c:pt idx="34">
                  <c:v>1.13876793896408E-2</c:v>
                </c:pt>
                <c:pt idx="35">
                  <c:v>1.06512819926086E-2</c:v>
                </c:pt>
                <c:pt idx="36">
                  <c:v>8.5797453722750196E-3</c:v>
                </c:pt>
                <c:pt idx="37">
                  <c:v>9.5859168956830901E-3</c:v>
                </c:pt>
                <c:pt idx="38">
                  <c:v>6.5573764329237196E-3</c:v>
                </c:pt>
                <c:pt idx="39">
                  <c:v>4.7040328347503499E-3</c:v>
                </c:pt>
                <c:pt idx="40">
                  <c:v>3.0378830888193298E-3</c:v>
                </c:pt>
                <c:pt idx="41">
                  <c:v>4.4547415177900304E-3</c:v>
                </c:pt>
                <c:pt idx="42">
                  <c:v>4.9797659671782001E-3</c:v>
                </c:pt>
                <c:pt idx="43">
                  <c:v>4.3870559413115703E-3</c:v>
                </c:pt>
                <c:pt idx="44">
                  <c:v>6.3816611646882503E-3</c:v>
                </c:pt>
                <c:pt idx="45">
                  <c:v>5.2498267836993198E-3</c:v>
                </c:pt>
                <c:pt idx="46">
                  <c:v>8.2413693099701504E-3</c:v>
                </c:pt>
                <c:pt idx="47">
                  <c:v>6.2654680264392299E-3</c:v>
                </c:pt>
                <c:pt idx="48">
                  <c:v>8.5317485208593492E-3</c:v>
                </c:pt>
                <c:pt idx="49">
                  <c:v>6.4435513917868604E-3</c:v>
                </c:pt>
                <c:pt idx="50">
                  <c:v>4.7694570363757101E-3</c:v>
                </c:pt>
                <c:pt idx="51">
                  <c:v>5.8578786425248202E-3</c:v>
                </c:pt>
                <c:pt idx="52">
                  <c:v>4.9164957082462003E-3</c:v>
                </c:pt>
                <c:pt idx="53">
                  <c:v>5.7748448892565099E-3</c:v>
                </c:pt>
                <c:pt idx="54">
                  <c:v>7.3158621195485102E-3</c:v>
                </c:pt>
                <c:pt idx="55">
                  <c:v>5.5822141155282799E-3</c:v>
                </c:pt>
                <c:pt idx="56">
                  <c:v>4.6626019309208696E-3</c:v>
                </c:pt>
                <c:pt idx="57">
                  <c:v>6.6548008899648898E-3</c:v>
                </c:pt>
                <c:pt idx="58">
                  <c:v>7.1318463530044701E-3</c:v>
                </c:pt>
                <c:pt idx="59">
                  <c:v>6.1783288913271599E-3</c:v>
                </c:pt>
                <c:pt idx="60">
                  <c:v>4.4599210389130199E-3</c:v>
                </c:pt>
                <c:pt idx="61">
                  <c:v>2.4828987840012102E-3</c:v>
                </c:pt>
                <c:pt idx="62">
                  <c:v>2.9720361460542398E-3</c:v>
                </c:pt>
                <c:pt idx="63">
                  <c:v>4.5001414803617296E-3</c:v>
                </c:pt>
                <c:pt idx="64">
                  <c:v>2.5746340361279501E-3</c:v>
                </c:pt>
                <c:pt idx="65">
                  <c:v>3.04780427565791E-3</c:v>
                </c:pt>
                <c:pt idx="66">
                  <c:v>1.2188485152481599E-3</c:v>
                </c:pt>
                <c:pt idx="67">
                  <c:v>8.8639577125208596E-4</c:v>
                </c:pt>
                <c:pt idx="68">
                  <c:v>1.00853912215064E-3</c:v>
                </c:pt>
                <c:pt idx="69">
                  <c:v>1.7015815998123499E-3</c:v>
                </c:pt>
                <c:pt idx="70">
                  <c:v>1.5090940407534099E-4</c:v>
                </c:pt>
                <c:pt idx="71">
                  <c:v>-3.6304264005733E-4</c:v>
                </c:pt>
                <c:pt idx="72">
                  <c:v>-7.9465238391071097E-5</c:v>
                </c:pt>
                <c:pt idx="73">
                  <c:v>1.73256512294705E-3</c:v>
                </c:pt>
                <c:pt idx="74">
                  <c:v>6.8071891651850104E-4</c:v>
                </c:pt>
                <c:pt idx="75">
                  <c:v>1.8489071173082301E-3</c:v>
                </c:pt>
                <c:pt idx="76">
                  <c:v>1.6584812388873501E-4</c:v>
                </c:pt>
                <c:pt idx="77">
                  <c:v>-5.4458373333773295E-4</c:v>
                </c:pt>
                <c:pt idx="78">
                  <c:v>-3.7197815583100502E-4</c:v>
                </c:pt>
                <c:pt idx="79">
                  <c:v>-4.3882009573913703E-4</c:v>
                </c:pt>
                <c:pt idx="80">
                  <c:v>-2.4445932467773401E-4</c:v>
                </c:pt>
                <c:pt idx="81">
                  <c:v>-8.4071162453977196E-4</c:v>
                </c:pt>
                <c:pt idx="82">
                  <c:v>-1.2047729158622101E-3</c:v>
                </c:pt>
                <c:pt idx="83">
                  <c:v>-1.15971403540568E-3</c:v>
                </c:pt>
                <c:pt idx="84">
                  <c:v>-4.75640895694122E-3</c:v>
                </c:pt>
                <c:pt idx="85">
                  <c:v>-4.8401883010537501E-3</c:v>
                </c:pt>
                <c:pt idx="86">
                  <c:v>-3.3349687215924999E-3</c:v>
                </c:pt>
                <c:pt idx="87">
                  <c:v>-4.73599085951492E-3</c:v>
                </c:pt>
                <c:pt idx="88">
                  <c:v>-4.4695570961319304E-3</c:v>
                </c:pt>
                <c:pt idx="89">
                  <c:v>-2.6277878198428099E-3</c:v>
                </c:pt>
                <c:pt idx="90">
                  <c:v>-4.7027136711796404E-3</c:v>
                </c:pt>
                <c:pt idx="91">
                  <c:v>-2.13544385625805E-3</c:v>
                </c:pt>
                <c:pt idx="92">
                  <c:v>-7.2016608191016295E-4</c:v>
                </c:pt>
                <c:pt idx="93">
                  <c:v>-2.9220138335153099E-3</c:v>
                </c:pt>
                <c:pt idx="94">
                  <c:v>-4.4224316525112396E-3</c:v>
                </c:pt>
                <c:pt idx="95">
                  <c:v>-4.2695233377377101E-3</c:v>
                </c:pt>
                <c:pt idx="96">
                  <c:v>-4.96660813370608E-3</c:v>
                </c:pt>
                <c:pt idx="97">
                  <c:v>-5.4225005509934403E-3</c:v>
                </c:pt>
                <c:pt idx="98">
                  <c:v>-6.4352200518775502E-3</c:v>
                </c:pt>
                <c:pt idx="99">
                  <c:v>-6.4352200518775502E-3</c:v>
                </c:pt>
                <c:pt idx="100">
                  <c:v>-9.2443732047961594E-3</c:v>
                </c:pt>
                <c:pt idx="101">
                  <c:v>-7.7260976557464098E-3</c:v>
                </c:pt>
                <c:pt idx="102">
                  <c:v>-9.04602458631199E-3</c:v>
                </c:pt>
                <c:pt idx="103">
                  <c:v>-1.02180151276565E-2</c:v>
                </c:pt>
                <c:pt idx="104">
                  <c:v>-7.73077693801237E-3</c:v>
                </c:pt>
                <c:pt idx="105">
                  <c:v>-8.0740629096493106E-3</c:v>
                </c:pt>
                <c:pt idx="106">
                  <c:v>-7.8287609802297608E-3</c:v>
                </c:pt>
                <c:pt idx="107">
                  <c:v>-7.4819314054233796E-3</c:v>
                </c:pt>
                <c:pt idx="108">
                  <c:v>-5.5046165097440399E-3</c:v>
                </c:pt>
                <c:pt idx="109">
                  <c:v>-6.5606968861026101E-3</c:v>
                </c:pt>
                <c:pt idx="110">
                  <c:v>-6.6547792810482198E-3</c:v>
                </c:pt>
                <c:pt idx="111">
                  <c:v>-6.41378638917218E-3</c:v>
                </c:pt>
                <c:pt idx="112">
                  <c:v>-5.8496359630307799E-3</c:v>
                </c:pt>
                <c:pt idx="113">
                  <c:v>-6.4874231986951003E-3</c:v>
                </c:pt>
                <c:pt idx="114">
                  <c:v>-5.7456007264443301E-3</c:v>
                </c:pt>
                <c:pt idx="115">
                  <c:v>-4.8840828420359198E-3</c:v>
                </c:pt>
                <c:pt idx="116">
                  <c:v>-5.09906446997971E-3</c:v>
                </c:pt>
                <c:pt idx="117">
                  <c:v>-4.7185232845190998E-3</c:v>
                </c:pt>
                <c:pt idx="118">
                  <c:v>-6.6456568774148897E-3</c:v>
                </c:pt>
                <c:pt idx="119">
                  <c:v>-6.4546970243421001E-3</c:v>
                </c:pt>
                <c:pt idx="120">
                  <c:v>-5.1262134856555697E-3</c:v>
                </c:pt>
                <c:pt idx="121">
                  <c:v>-7.1259603226354702E-3</c:v>
                </c:pt>
                <c:pt idx="122">
                  <c:v>-7.1861367741290899E-3</c:v>
                </c:pt>
                <c:pt idx="123">
                  <c:v>-8.1726254135198202E-3</c:v>
                </c:pt>
                <c:pt idx="124">
                  <c:v>-7.4298311825483796E-3</c:v>
                </c:pt>
                <c:pt idx="125">
                  <c:v>-6.1840829019916997E-3</c:v>
                </c:pt>
                <c:pt idx="126">
                  <c:v>-6.3528300285946703E-3</c:v>
                </c:pt>
                <c:pt idx="127">
                  <c:v>-6.4646799580632399E-3</c:v>
                </c:pt>
                <c:pt idx="128">
                  <c:v>-7.74591128476795E-3</c:v>
                </c:pt>
                <c:pt idx="129">
                  <c:v>-6.7045556612287003E-3</c:v>
                </c:pt>
                <c:pt idx="130">
                  <c:v>-6.8234959151225903E-3</c:v>
                </c:pt>
                <c:pt idx="131">
                  <c:v>-5.7246437748797903E-3</c:v>
                </c:pt>
                <c:pt idx="132">
                  <c:v>-7.3776320229429898E-3</c:v>
                </c:pt>
                <c:pt idx="133">
                  <c:v>-6.9493836707758003E-3</c:v>
                </c:pt>
                <c:pt idx="134">
                  <c:v>-6.3795776818455696E-3</c:v>
                </c:pt>
                <c:pt idx="135">
                  <c:v>-6.4914347922002897E-3</c:v>
                </c:pt>
                <c:pt idx="136">
                  <c:v>-6.3574040865960199E-3</c:v>
                </c:pt>
                <c:pt idx="137">
                  <c:v>-5.6178502503492402E-3</c:v>
                </c:pt>
                <c:pt idx="138">
                  <c:v>-5.34418751544357E-3</c:v>
                </c:pt>
                <c:pt idx="139">
                  <c:v>-5.7012790159446302E-3</c:v>
                </c:pt>
                <c:pt idx="140">
                  <c:v>-6.5502512503004097E-3</c:v>
                </c:pt>
                <c:pt idx="141">
                  <c:v>-7.8610032009908005E-3</c:v>
                </c:pt>
                <c:pt idx="142">
                  <c:v>-6.9564429382219101E-3</c:v>
                </c:pt>
                <c:pt idx="143">
                  <c:v>-5.96385876810242E-3</c:v>
                </c:pt>
                <c:pt idx="144">
                  <c:v>-4.8552512297129298E-3</c:v>
                </c:pt>
                <c:pt idx="145">
                  <c:v>-8.1485907937828596E-3</c:v>
                </c:pt>
                <c:pt idx="146">
                  <c:v>-6.4975016550965197E-3</c:v>
                </c:pt>
                <c:pt idx="147">
                  <c:v>-7.0587602917382402E-3</c:v>
                </c:pt>
                <c:pt idx="148">
                  <c:v>-4.7501679075779802E-3</c:v>
                </c:pt>
                <c:pt idx="149">
                  <c:v>-3.1728839061141698E-3</c:v>
                </c:pt>
                <c:pt idx="150">
                  <c:v>-6.0171663829406297E-3</c:v>
                </c:pt>
                <c:pt idx="151">
                  <c:v>-5.3962954783866902E-3</c:v>
                </c:pt>
                <c:pt idx="152">
                  <c:v>-3.7251644627648798E-3</c:v>
                </c:pt>
                <c:pt idx="153">
                  <c:v>-6.6079762276263204E-3</c:v>
                </c:pt>
                <c:pt idx="154">
                  <c:v>-6.7189457421460803E-3</c:v>
                </c:pt>
                <c:pt idx="155">
                  <c:v>-7.6635071073366604E-3</c:v>
                </c:pt>
                <c:pt idx="156">
                  <c:v>-6.3703261082035199E-3</c:v>
                </c:pt>
                <c:pt idx="157">
                  <c:v>-5.5559155586666397E-3</c:v>
                </c:pt>
                <c:pt idx="158">
                  <c:v>-6.1463514693165296E-3</c:v>
                </c:pt>
                <c:pt idx="159">
                  <c:v>-5.5026245949264399E-3</c:v>
                </c:pt>
                <c:pt idx="160">
                  <c:v>-5.4759416285893904E-3</c:v>
                </c:pt>
                <c:pt idx="161">
                  <c:v>-7.3944527393377197E-3</c:v>
                </c:pt>
                <c:pt idx="162">
                  <c:v>-6.8696788064596297E-3</c:v>
                </c:pt>
                <c:pt idx="163">
                  <c:v>-6.09350925154282E-3</c:v>
                </c:pt>
                <c:pt idx="164">
                  <c:v>-5.8010934519173198E-3</c:v>
                </c:pt>
                <c:pt idx="165">
                  <c:v>-5.1267718372811303E-3</c:v>
                </c:pt>
                <c:pt idx="166">
                  <c:v>-5.8862935264067896E-3</c:v>
                </c:pt>
                <c:pt idx="167">
                  <c:v>-6.80409472106361E-3</c:v>
                </c:pt>
                <c:pt idx="168">
                  <c:v>-3.0337735140959E-3</c:v>
                </c:pt>
                <c:pt idx="169">
                  <c:v>-4.2149167790800097E-3</c:v>
                </c:pt>
                <c:pt idx="170">
                  <c:v>-1.7811674424198501E-3</c:v>
                </c:pt>
                <c:pt idx="171">
                  <c:v>7.5396672434906598E-4</c:v>
                </c:pt>
                <c:pt idx="172">
                  <c:v>-6.0322214933531803E-4</c:v>
                </c:pt>
                <c:pt idx="173">
                  <c:v>-3.58872728449515E-4</c:v>
                </c:pt>
                <c:pt idx="174">
                  <c:v>-6.3363585479341505E-5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B-41A0-B19C-0A1542197713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BWX x 10 dma / IGOV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-1.27372707828626E-3</c:v>
                </c:pt>
                <c:pt idx="11">
                  <c:v>-4.4405897075148202E-3</c:v>
                </c:pt>
                <c:pt idx="12">
                  <c:v>-4.0163545046395599E-3</c:v>
                </c:pt>
                <c:pt idx="13">
                  <c:v>-2.7024302198121498E-3</c:v>
                </c:pt>
                <c:pt idx="14">
                  <c:v>-8.7044773954220395E-4</c:v>
                </c:pt>
                <c:pt idx="15">
                  <c:v>7.4163335691231102E-4</c:v>
                </c:pt>
                <c:pt idx="16">
                  <c:v>-7.5641665722286304E-4</c:v>
                </c:pt>
                <c:pt idx="17">
                  <c:v>1.52027480764704E-3</c:v>
                </c:pt>
                <c:pt idx="18">
                  <c:v>-1.1390139299920299E-3</c:v>
                </c:pt>
                <c:pt idx="19">
                  <c:v>2.6203317895335202E-3</c:v>
                </c:pt>
                <c:pt idx="20">
                  <c:v>3.39551157499918E-4</c:v>
                </c:pt>
                <c:pt idx="21">
                  <c:v>-2.8610739478840798E-3</c:v>
                </c:pt>
                <c:pt idx="22">
                  <c:v>-2.7904002612711902E-3</c:v>
                </c:pt>
                <c:pt idx="23">
                  <c:v>-5.5658909306481195E-4</c:v>
                </c:pt>
                <c:pt idx="24">
                  <c:v>-3.0864216814567502E-3</c:v>
                </c:pt>
                <c:pt idx="25">
                  <c:v>-4.1442397254271802E-3</c:v>
                </c:pt>
                <c:pt idx="26">
                  <c:v>-1.28475991935192E-3</c:v>
                </c:pt>
                <c:pt idx="27">
                  <c:v>-9.7783434621163999E-4</c:v>
                </c:pt>
                <c:pt idx="28">
                  <c:v>1.9888070444028698E-3</c:v>
                </c:pt>
                <c:pt idx="29">
                  <c:v>2.20137647357605E-3</c:v>
                </c:pt>
                <c:pt idx="30">
                  <c:v>1.2656124321673401E-3</c:v>
                </c:pt>
                <c:pt idx="31">
                  <c:v>2.2844946632414702E-3</c:v>
                </c:pt>
                <c:pt idx="32">
                  <c:v>1.52228669667522E-3</c:v>
                </c:pt>
                <c:pt idx="33">
                  <c:v>-6.6966565838835399E-4</c:v>
                </c:pt>
                <c:pt idx="34">
                  <c:v>3.4979398601030199E-3</c:v>
                </c:pt>
                <c:pt idx="35">
                  <c:v>2.2236785845362599E-3</c:v>
                </c:pt>
                <c:pt idx="36">
                  <c:v>-4.5328110274725898E-4</c:v>
                </c:pt>
                <c:pt idx="37">
                  <c:v>3.81563087493768E-4</c:v>
                </c:pt>
                <c:pt idx="38">
                  <c:v>-2.9081220956644598E-3</c:v>
                </c:pt>
                <c:pt idx="39">
                  <c:v>-4.46147424009597E-3</c:v>
                </c:pt>
                <c:pt idx="40">
                  <c:v>-5.6082074672381696E-3</c:v>
                </c:pt>
                <c:pt idx="41">
                  <c:v>-3.6179201216336898E-3</c:v>
                </c:pt>
                <c:pt idx="42">
                  <c:v>-2.57026054362007E-3</c:v>
                </c:pt>
                <c:pt idx="43">
                  <c:v>-2.7367515267370402E-3</c:v>
                </c:pt>
                <c:pt idx="44">
                  <c:v>-4.4688614373572202E-4</c:v>
                </c:pt>
                <c:pt idx="45">
                  <c:v>-1.0792711676315999E-3</c:v>
                </c:pt>
                <c:pt idx="46">
                  <c:v>2.4513970679504601E-3</c:v>
                </c:pt>
                <c:pt idx="47">
                  <c:v>5.0924426308596095E-4</c:v>
                </c:pt>
                <c:pt idx="48">
                  <c:v>3.1067953403260701E-3</c:v>
                </c:pt>
                <c:pt idx="49">
                  <c:v>8.2155960616772596E-4</c:v>
                </c:pt>
                <c:pt idx="50">
                  <c:v>-1.02651014434607E-3</c:v>
                </c:pt>
                <c:pt idx="51">
                  <c:v>-1.11588980412248E-4</c:v>
                </c:pt>
                <c:pt idx="52">
                  <c:v>-1.19340964315603E-3</c:v>
                </c:pt>
                <c:pt idx="53">
                  <c:v>-3.2872610146460999E-4</c:v>
                </c:pt>
                <c:pt idx="54">
                  <c:v>1.0733605817411099E-3</c:v>
                </c:pt>
                <c:pt idx="55">
                  <c:v>-7.5365526008908102E-4</c:v>
                </c:pt>
                <c:pt idx="56">
                  <c:v>-1.7065373201478799E-3</c:v>
                </c:pt>
                <c:pt idx="57">
                  <c:v>6.43444908137547E-4</c:v>
                </c:pt>
                <c:pt idx="58">
                  <c:v>1.0815737958397801E-3</c:v>
                </c:pt>
                <c:pt idx="59">
                  <c:v>2.6778762545318199E-4</c:v>
                </c:pt>
                <c:pt idx="60">
                  <c:v>-1.4241089456178699E-3</c:v>
                </c:pt>
                <c:pt idx="61">
                  <c:v>-3.3701387653109799E-3</c:v>
                </c:pt>
                <c:pt idx="62">
                  <c:v>-2.54299201992519E-3</c:v>
                </c:pt>
                <c:pt idx="63">
                  <c:v>-8.2015399199064599E-4</c:v>
                </c:pt>
                <c:pt idx="64">
                  <c:v>-2.6181759093284098E-3</c:v>
                </c:pt>
                <c:pt idx="65">
                  <c:v>-1.6708774445613999E-3</c:v>
                </c:pt>
                <c:pt idx="66">
                  <c:v>-3.2463219620038398E-3</c:v>
                </c:pt>
                <c:pt idx="67">
                  <c:v>-3.2339332769317801E-3</c:v>
                </c:pt>
                <c:pt idx="68">
                  <c:v>-2.5349132653429002E-3</c:v>
                </c:pt>
                <c:pt idx="69">
                  <c:v>-1.23004876409979E-3</c:v>
                </c:pt>
                <c:pt idx="70">
                  <c:v>-2.3335970061100198E-3</c:v>
                </c:pt>
                <c:pt idx="71">
                  <c:v>-2.41666322045432E-3</c:v>
                </c:pt>
                <c:pt idx="72">
                  <c:v>-1.84824921042074E-3</c:v>
                </c:pt>
                <c:pt idx="73">
                  <c:v>2.6898325523095701E-4</c:v>
                </c:pt>
                <c:pt idx="74">
                  <c:v>-5.0660043060022405E-4</c:v>
                </c:pt>
                <c:pt idx="75">
                  <c:v>8.5087801237269597E-4</c:v>
                </c:pt>
                <c:pt idx="76">
                  <c:v>-7.1247217663977596E-4</c:v>
                </c:pt>
                <c:pt idx="77">
                  <c:v>-1.31758995090921E-3</c:v>
                </c:pt>
                <c:pt idx="78">
                  <c:v>-1.0018104753511099E-3</c:v>
                </c:pt>
                <c:pt idx="79">
                  <c:v>-9.30567193727825E-4</c:v>
                </c:pt>
                <c:pt idx="80">
                  <c:v>-5.2221899432664995E-4</c:v>
                </c:pt>
                <c:pt idx="81">
                  <c:v>-1.07892236995806E-3</c:v>
                </c:pt>
                <c:pt idx="82">
                  <c:v>-1.3951777598449999E-3</c:v>
                </c:pt>
                <c:pt idx="83">
                  <c:v>-1.2375007237976599E-3</c:v>
                </c:pt>
                <c:pt idx="84">
                  <c:v>-4.5450697675094099E-3</c:v>
                </c:pt>
                <c:pt idx="85">
                  <c:v>-4.0842899505074397E-3</c:v>
                </c:pt>
                <c:pt idx="86">
                  <c:v>-1.9098885296282501E-3</c:v>
                </c:pt>
                <c:pt idx="87">
                  <c:v>-2.9608342525855201E-3</c:v>
                </c:pt>
                <c:pt idx="88">
                  <c:v>-2.2749846682312601E-3</c:v>
                </c:pt>
                <c:pt idx="89">
                  <c:v>-2.3448481362440799E-5</c:v>
                </c:pt>
                <c:pt idx="90">
                  <c:v>-1.87973574047478E-3</c:v>
                </c:pt>
                <c:pt idx="91">
                  <c:v>1.1331048564019099E-3</c:v>
                </c:pt>
                <c:pt idx="92">
                  <c:v>2.67761719358578E-3</c:v>
                </c:pt>
                <c:pt idx="93">
                  <c:v>4.2742546294360098E-4</c:v>
                </c:pt>
                <c:pt idx="94">
                  <c:v>-8.9700829895938299E-4</c:v>
                </c:pt>
                <c:pt idx="95">
                  <c:v>-7.7753382768348995E-4</c:v>
                </c:pt>
                <c:pt idx="96">
                  <c:v>-1.53174743887949E-3</c:v>
                </c:pt>
                <c:pt idx="97">
                  <c:v>-1.8243723702892701E-3</c:v>
                </c:pt>
                <c:pt idx="98">
                  <c:v>-2.7683415085449198E-3</c:v>
                </c:pt>
                <c:pt idx="99">
                  <c:v>-2.5714432823858401E-3</c:v>
                </c:pt>
                <c:pt idx="100">
                  <c:v>-4.9996712256993496E-3</c:v>
                </c:pt>
                <c:pt idx="101">
                  <c:v>-3.0260919589484999E-3</c:v>
                </c:pt>
                <c:pt idx="102">
                  <c:v>-3.7869800450163402E-3</c:v>
                </c:pt>
                <c:pt idx="103">
                  <c:v>-4.1270414322422903E-3</c:v>
                </c:pt>
                <c:pt idx="104">
                  <c:v>-9.1011818712317396E-4</c:v>
                </c:pt>
                <c:pt idx="105">
                  <c:v>-9.2287017917053898E-4</c:v>
                </c:pt>
                <c:pt idx="106">
                  <c:v>-2.9755871014838602E-4</c:v>
                </c:pt>
                <c:pt idx="107">
                  <c:v>3.3512114151942603E-4</c:v>
                </c:pt>
                <c:pt idx="108">
                  <c:v>2.51807712647972E-3</c:v>
                </c:pt>
                <c:pt idx="109">
                  <c:v>1.36912291597876E-3</c:v>
                </c:pt>
                <c:pt idx="110">
                  <c:v>1.2875701722813301E-3</c:v>
                </c:pt>
                <c:pt idx="111">
                  <c:v>1.2695681916961199E-3</c:v>
                </c:pt>
                <c:pt idx="112">
                  <c:v>1.7025593549057001E-3</c:v>
                </c:pt>
                <c:pt idx="113">
                  <c:v>7.4511539347076896E-4</c:v>
                </c:pt>
                <c:pt idx="114">
                  <c:v>1.1133905683400099E-3</c:v>
                </c:pt>
                <c:pt idx="115">
                  <c:v>1.77639507649047E-3</c:v>
                </c:pt>
                <c:pt idx="116">
                  <c:v>1.2424222968854201E-3</c:v>
                </c:pt>
                <c:pt idx="117">
                  <c:v>1.3499230537999799E-3</c:v>
                </c:pt>
                <c:pt idx="118">
                  <c:v>-8.5359841325481796E-4</c:v>
                </c:pt>
                <c:pt idx="119">
                  <c:v>-5.4850872533988902E-4</c:v>
                </c:pt>
                <c:pt idx="120">
                  <c:v>7.6936839301658996E-4</c:v>
                </c:pt>
                <c:pt idx="121">
                  <c:v>-1.38324594467537E-3</c:v>
                </c:pt>
                <c:pt idx="122">
                  <c:v>-1.3721343532019799E-3</c:v>
                </c:pt>
                <c:pt idx="123">
                  <c:v>-2.2248877372237201E-3</c:v>
                </c:pt>
                <c:pt idx="124">
                  <c:v>-1.31335439772513E-3</c:v>
                </c:pt>
                <c:pt idx="125">
                  <c:v>1.00882139653654E-4</c:v>
                </c:pt>
                <c:pt idx="126">
                  <c:v>6.2029013555613499E-5</c:v>
                </c:pt>
                <c:pt idx="127">
                  <c:v>7.5461456347825307E-5</c:v>
                </c:pt>
                <c:pt idx="128">
                  <c:v>-1.0313349468759399E-3</c:v>
                </c:pt>
                <c:pt idx="129">
                  <c:v>1.2009302260256599E-4</c:v>
                </c:pt>
                <c:pt idx="130">
                  <c:v>2.61321991290378E-5</c:v>
                </c:pt>
                <c:pt idx="131">
                  <c:v>1.2945498168022199E-3</c:v>
                </c:pt>
                <c:pt idx="132">
                  <c:v>-4.9849670690081996E-4</c:v>
                </c:pt>
                <c:pt idx="133">
                  <c:v>-5.1091299313673899E-5</c:v>
                </c:pt>
                <c:pt idx="134">
                  <c:v>3.9630192298691303E-4</c:v>
                </c:pt>
                <c:pt idx="135">
                  <c:v>1.7940041002035301E-4</c:v>
                </c:pt>
                <c:pt idx="136">
                  <c:v>3.44155597304542E-4</c:v>
                </c:pt>
                <c:pt idx="137">
                  <c:v>1.0841666808094699E-3</c:v>
                </c:pt>
                <c:pt idx="138">
                  <c:v>1.27319879729093E-3</c:v>
                </c:pt>
                <c:pt idx="139">
                  <c:v>6.7592339299261397E-4</c:v>
                </c:pt>
                <c:pt idx="140">
                  <c:v>-2.7336405741105102E-4</c:v>
                </c:pt>
                <c:pt idx="141">
                  <c:v>-1.61145205325114E-3</c:v>
                </c:pt>
                <c:pt idx="142">
                  <c:v>-4.9316255491167705E-4</c:v>
                </c:pt>
                <c:pt idx="143">
                  <c:v>4.5727216623521E-4</c:v>
                </c:pt>
                <c:pt idx="144">
                  <c:v>1.46731885568964E-3</c:v>
                </c:pt>
                <c:pt idx="145">
                  <c:v>-1.97835752015511E-3</c:v>
                </c:pt>
                <c:pt idx="146">
                  <c:v>-1.6137587726676699E-4</c:v>
                </c:pt>
                <c:pt idx="147">
                  <c:v>-7.0862357567201605E-4</c:v>
                </c:pt>
                <c:pt idx="148">
                  <c:v>1.7440477404300199E-3</c:v>
                </c:pt>
                <c:pt idx="149">
                  <c:v>3.2620139156968402E-3</c:v>
                </c:pt>
                <c:pt idx="150">
                  <c:v>1.65364641524373E-4</c:v>
                </c:pt>
                <c:pt idx="151">
                  <c:v>7.3292024356797695E-4</c:v>
                </c:pt>
                <c:pt idx="152">
                  <c:v>2.15742688868849E-3</c:v>
                </c:pt>
                <c:pt idx="153">
                  <c:v>-1.0483900054977201E-3</c:v>
                </c:pt>
                <c:pt idx="154">
                  <c:v>-1.0949030490535101E-3</c:v>
                </c:pt>
                <c:pt idx="155">
                  <c:v>-1.8530819152252299E-3</c:v>
                </c:pt>
                <c:pt idx="156">
                  <c:v>-6.0851222860392297E-4</c:v>
                </c:pt>
                <c:pt idx="157">
                  <c:v>1.9317213491586101E-4</c:v>
                </c:pt>
                <c:pt idx="158">
                  <c:v>-5.4764348941810002E-4</c:v>
                </c:pt>
                <c:pt idx="159">
                  <c:v>2.3567100591583701E-4</c:v>
                </c:pt>
                <c:pt idx="160">
                  <c:v>4.9497497395281002E-4</c:v>
                </c:pt>
                <c:pt idx="161">
                  <c:v>-1.4776479352111101E-3</c:v>
                </c:pt>
                <c:pt idx="162">
                  <c:v>-7.5298257404482298E-4</c:v>
                </c:pt>
                <c:pt idx="163">
                  <c:v>3.37331679505903E-4</c:v>
                </c:pt>
                <c:pt idx="164">
                  <c:v>5.7830357836348596E-4</c:v>
                </c:pt>
                <c:pt idx="165">
                  <c:v>1.16084670566998E-3</c:v>
                </c:pt>
                <c:pt idx="166">
                  <c:v>1.4759195732471199E-4</c:v>
                </c:pt>
                <c:pt idx="167">
                  <c:v>-8.1861823834251295E-4</c:v>
                </c:pt>
                <c:pt idx="168">
                  <c:v>3.07653738385266E-3</c:v>
                </c:pt>
                <c:pt idx="169">
                  <c:v>1.58456072386368E-3</c:v>
                </c:pt>
                <c:pt idx="170">
                  <c:v>3.8896520725597902E-3</c:v>
                </c:pt>
                <c:pt idx="171">
                  <c:v>6.0559944164342502E-3</c:v>
                </c:pt>
                <c:pt idx="172">
                  <c:v>3.8852437370924201E-3</c:v>
                </c:pt>
                <c:pt idx="173">
                  <c:v>3.5032214079426002E-3</c:v>
                </c:pt>
                <c:pt idx="174">
                  <c:v>3.2254663802212002E-3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B-41A0-B19C-0A1542197713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BWX x 20 dma / IGOV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-1.17302987880476E-3</c:v>
                </c:pt>
                <c:pt idx="21">
                  <c:v>-4.2406041902424496E-3</c:v>
                </c:pt>
                <c:pt idx="22">
                  <c:v>-3.9134648118256503E-3</c:v>
                </c:pt>
                <c:pt idx="23">
                  <c:v>-1.4456910575742299E-3</c:v>
                </c:pt>
                <c:pt idx="24">
                  <c:v>-3.6991902690060399E-3</c:v>
                </c:pt>
                <c:pt idx="25">
                  <c:v>-4.6703209820081297E-3</c:v>
                </c:pt>
                <c:pt idx="26">
                  <c:v>-2.0129581503162699E-3</c:v>
                </c:pt>
                <c:pt idx="27">
                  <c:v>-1.68256250505116E-3</c:v>
                </c:pt>
                <c:pt idx="28">
                  <c:v>1.0449553408736301E-3</c:v>
                </c:pt>
                <c:pt idx="29">
                  <c:v>1.42787745748215E-3</c:v>
                </c:pt>
                <c:pt idx="30">
                  <c:v>3.0335422481592898E-4</c:v>
                </c:pt>
                <c:pt idx="31">
                  <c:v>1.3429680229808099E-3</c:v>
                </c:pt>
                <c:pt idx="32">
                  <c:v>8.0278019406476698E-4</c:v>
                </c:pt>
                <c:pt idx="33">
                  <c:v>-1.19444143529746E-3</c:v>
                </c:pt>
                <c:pt idx="34">
                  <c:v>2.8967040177195701E-3</c:v>
                </c:pt>
                <c:pt idx="35">
                  <c:v>2.06350654763208E-3</c:v>
                </c:pt>
                <c:pt idx="36">
                  <c:v>-1.34809301336635E-5</c:v>
                </c:pt>
                <c:pt idx="37">
                  <c:v>1.00640803013887E-3</c:v>
                </c:pt>
                <c:pt idx="38">
                  <c:v>-1.95727376912555E-3</c:v>
                </c:pt>
                <c:pt idx="39">
                  <c:v>-3.7226809084444099E-3</c:v>
                </c:pt>
                <c:pt idx="40">
                  <c:v>-5.0312233674215303E-3</c:v>
                </c:pt>
                <c:pt idx="41">
                  <c:v>-3.2778805657152602E-3</c:v>
                </c:pt>
                <c:pt idx="42">
                  <c:v>-2.65459426107065E-3</c:v>
                </c:pt>
                <c:pt idx="43">
                  <c:v>-3.17776720134425E-3</c:v>
                </c:pt>
                <c:pt idx="44">
                  <c:v>-9.7734148818329593E-4</c:v>
                </c:pt>
                <c:pt idx="45">
                  <c:v>-2.12797343045936E-3</c:v>
                </c:pt>
                <c:pt idx="46">
                  <c:v>8.3118462596784397E-4</c:v>
                </c:pt>
                <c:pt idx="47">
                  <c:v>-1.2133345599676601E-3</c:v>
                </c:pt>
                <c:pt idx="48">
                  <c:v>1.08856341574926E-3</c:v>
                </c:pt>
                <c:pt idx="49">
                  <c:v>-9.4862847669151598E-4</c:v>
                </c:pt>
                <c:pt idx="50">
                  <c:v>-2.4505564319504602E-3</c:v>
                </c:pt>
                <c:pt idx="51">
                  <c:v>-1.16263306062336E-3</c:v>
                </c:pt>
                <c:pt idx="52">
                  <c:v>-1.9132109792570401E-3</c:v>
                </c:pt>
                <c:pt idx="53">
                  <c:v>-8.3871422982523096E-4</c:v>
                </c:pt>
                <c:pt idx="54">
                  <c:v>7.8038062763794401E-4</c:v>
                </c:pt>
                <c:pt idx="55">
                  <c:v>-7.5026954221447104E-4</c:v>
                </c:pt>
                <c:pt idx="56">
                  <c:v>-1.4169118863210401E-3</c:v>
                </c:pt>
                <c:pt idx="57">
                  <c:v>7.7101915393051304E-4</c:v>
                </c:pt>
                <c:pt idx="58">
                  <c:v>1.39428236219513E-3</c:v>
                </c:pt>
                <c:pt idx="59">
                  <c:v>4.1207277318067398E-4</c:v>
                </c:pt>
                <c:pt idx="60">
                  <c:v>-1.3800765743311001E-3</c:v>
                </c:pt>
                <c:pt idx="61">
                  <c:v>-3.4283521076281498E-3</c:v>
                </c:pt>
                <c:pt idx="62">
                  <c:v>-2.84038637777876E-3</c:v>
                </c:pt>
                <c:pt idx="63">
                  <c:v>-1.21171506110951E-3</c:v>
                </c:pt>
                <c:pt idx="64">
                  <c:v>-3.14288397395532E-3</c:v>
                </c:pt>
                <c:pt idx="65">
                  <c:v>-2.4791443603068399E-3</c:v>
                </c:pt>
                <c:pt idx="66">
                  <c:v>-4.1978532118442302E-3</c:v>
                </c:pt>
                <c:pt idx="67">
                  <c:v>-4.1789997459621602E-3</c:v>
                </c:pt>
                <c:pt idx="68">
                  <c:v>-3.7875378319638599E-3</c:v>
                </c:pt>
                <c:pt idx="69">
                  <c:v>-2.71839497672082E-3</c:v>
                </c:pt>
                <c:pt idx="70">
                  <c:v>-4.0319141989116902E-3</c:v>
                </c:pt>
                <c:pt idx="71">
                  <c:v>-4.31456725983447E-3</c:v>
                </c:pt>
                <c:pt idx="72">
                  <c:v>-3.7196170152264201E-3</c:v>
                </c:pt>
                <c:pt idx="73">
                  <c:v>-1.65751426826088E-3</c:v>
                </c:pt>
                <c:pt idx="74">
                  <c:v>-2.50734023674317E-3</c:v>
                </c:pt>
                <c:pt idx="75">
                  <c:v>-1.0077178892816999E-3</c:v>
                </c:pt>
                <c:pt idx="76">
                  <c:v>-2.50428907909001E-3</c:v>
                </c:pt>
                <c:pt idx="77">
                  <c:v>-2.9898507956026199E-3</c:v>
                </c:pt>
                <c:pt idx="78">
                  <c:v>-2.4575593619757001E-3</c:v>
                </c:pt>
                <c:pt idx="79">
                  <c:v>-2.14976469808042E-3</c:v>
                </c:pt>
                <c:pt idx="80">
                  <c:v>-1.6249836483213001E-3</c:v>
                </c:pt>
                <c:pt idx="81">
                  <c:v>-1.9862153233954202E-3</c:v>
                </c:pt>
                <c:pt idx="82">
                  <c:v>-2.1840559138170102E-3</c:v>
                </c:pt>
                <c:pt idx="83">
                  <c:v>-1.93015825994395E-3</c:v>
                </c:pt>
                <c:pt idx="84">
                  <c:v>-5.2441545050918997E-3</c:v>
                </c:pt>
                <c:pt idx="85">
                  <c:v>-4.9608691456078198E-3</c:v>
                </c:pt>
                <c:pt idx="86">
                  <c:v>-3.0609255692926698E-3</c:v>
                </c:pt>
                <c:pt idx="87">
                  <c:v>-4.2341040233330003E-3</c:v>
                </c:pt>
                <c:pt idx="88">
                  <c:v>-3.6861898845008401E-3</c:v>
                </c:pt>
                <c:pt idx="89">
                  <c:v>-1.5702934811727999E-3</c:v>
                </c:pt>
                <c:pt idx="90">
                  <c:v>-3.4289027194249898E-3</c:v>
                </c:pt>
                <c:pt idx="91">
                  <c:v>-6.1873770318777695E-4</c:v>
                </c:pt>
                <c:pt idx="92">
                  <c:v>8.8513251973076597E-4</c:v>
                </c:pt>
                <c:pt idx="93">
                  <c:v>-1.2847192954567801E-3</c:v>
                </c:pt>
                <c:pt idx="94">
                  <c:v>-2.5526774874167499E-3</c:v>
                </c:pt>
                <c:pt idx="95">
                  <c:v>-2.1446436333751998E-3</c:v>
                </c:pt>
                <c:pt idx="96">
                  <c:v>-2.53613278818685E-3</c:v>
                </c:pt>
                <c:pt idx="97">
                  <c:v>-2.7354427540644101E-3</c:v>
                </c:pt>
                <c:pt idx="98">
                  <c:v>-3.5042236056230698E-3</c:v>
                </c:pt>
                <c:pt idx="99">
                  <c:v>-3.2009637250743298E-3</c:v>
                </c:pt>
                <c:pt idx="100">
                  <c:v>-5.71028058750765E-3</c:v>
                </c:pt>
                <c:pt idx="101">
                  <c:v>-3.7415643174023299E-3</c:v>
                </c:pt>
                <c:pt idx="102">
                  <c:v>-4.7171776412913702E-3</c:v>
                </c:pt>
                <c:pt idx="103">
                  <c:v>-5.49686913065654E-3</c:v>
                </c:pt>
                <c:pt idx="104">
                  <c:v>-2.55637856436544E-3</c:v>
                </c:pt>
                <c:pt idx="105">
                  <c:v>-2.75079806929051E-3</c:v>
                </c:pt>
                <c:pt idx="106">
                  <c:v>-2.3436319974548701E-3</c:v>
                </c:pt>
                <c:pt idx="107">
                  <c:v>-1.77211612789898E-3</c:v>
                </c:pt>
                <c:pt idx="108">
                  <c:v>3.4254121879970001E-4</c:v>
                </c:pt>
                <c:pt idx="109">
                  <c:v>-6.6183201349690498E-4</c:v>
                </c:pt>
                <c:pt idx="110">
                  <c:v>-5.5954449120306795E-4</c:v>
                </c:pt>
                <c:pt idx="111">
                  <c:v>-2.20993704431206E-4</c:v>
                </c:pt>
                <c:pt idx="112">
                  <c:v>5.5664128400166905E-4</c:v>
                </c:pt>
                <c:pt idx="113">
                  <c:v>1.7449584138797599E-4</c:v>
                </c:pt>
                <c:pt idx="114">
                  <c:v>1.0942244800655099E-3</c:v>
                </c:pt>
                <c:pt idx="115">
                  <c:v>2.0217825825947101E-3</c:v>
                </c:pt>
                <c:pt idx="116">
                  <c:v>1.8374569763554599E-3</c:v>
                </c:pt>
                <c:pt idx="117">
                  <c:v>2.2246083610220901E-3</c:v>
                </c:pt>
                <c:pt idx="118">
                  <c:v>2.6234113930712798E-4</c:v>
                </c:pt>
                <c:pt idx="119">
                  <c:v>4.6381891166979799E-4</c:v>
                </c:pt>
                <c:pt idx="120">
                  <c:v>1.79327583744169E-3</c:v>
                </c:pt>
                <c:pt idx="121">
                  <c:v>-4.1245508274571701E-4</c:v>
                </c:pt>
                <c:pt idx="122">
                  <c:v>-5.0266024042654503E-4</c:v>
                </c:pt>
                <c:pt idx="123">
                  <c:v>-1.5822809401289399E-3</c:v>
                </c:pt>
                <c:pt idx="124">
                  <c:v>-9.4202822677133004E-4</c:v>
                </c:pt>
                <c:pt idx="125">
                  <c:v>2.8865620433430098E-4</c:v>
                </c:pt>
                <c:pt idx="126">
                  <c:v>2.5343548849302701E-5</c:v>
                </c:pt>
                <c:pt idx="127">
                  <c:v>-1.6035826966803401E-4</c:v>
                </c:pt>
                <c:pt idx="128">
                  <c:v>-1.49248750384229E-3</c:v>
                </c:pt>
                <c:pt idx="129">
                  <c:v>-3.39031723630922E-4</c:v>
                </c:pt>
                <c:pt idx="130">
                  <c:v>-4.5077714313741303E-4</c:v>
                </c:pt>
                <c:pt idx="131">
                  <c:v>6.5651388482542903E-4</c:v>
                </c:pt>
                <c:pt idx="132">
                  <c:v>-1.03092134095488E-3</c:v>
                </c:pt>
                <c:pt idx="133">
                  <c:v>-5.2625570262237998E-4</c:v>
                </c:pt>
                <c:pt idx="134">
                  <c:v>6.6654864491358601E-5</c:v>
                </c:pt>
                <c:pt idx="135">
                  <c:v>-1.3516058294708E-5</c:v>
                </c:pt>
                <c:pt idx="136">
                  <c:v>2.00815551086586E-4</c:v>
                </c:pt>
                <c:pt idx="137">
                  <c:v>1.00323219789597E-3</c:v>
                </c:pt>
                <c:pt idx="138">
                  <c:v>1.32179499060706E-3</c:v>
                </c:pt>
                <c:pt idx="139">
                  <c:v>8.9967155646062703E-4</c:v>
                </c:pt>
                <c:pt idx="140">
                  <c:v>1.3047407289814201E-5</c:v>
                </c:pt>
                <c:pt idx="141">
                  <c:v>-1.22655678759508E-3</c:v>
                </c:pt>
                <c:pt idx="142">
                  <c:v>-2.8521347163030402E-4</c:v>
                </c:pt>
                <c:pt idx="143">
                  <c:v>6.9588134517670805E-4</c:v>
                </c:pt>
                <c:pt idx="144">
                  <c:v>1.6939993015944899E-3</c:v>
                </c:pt>
                <c:pt idx="145">
                  <c:v>-1.72802523057288E-3</c:v>
                </c:pt>
                <c:pt idx="146">
                  <c:v>2.13577685109931E-5</c:v>
                </c:pt>
                <c:pt idx="147">
                  <c:v>-5.3266799066476898E-4</c:v>
                </c:pt>
                <c:pt idx="148">
                  <c:v>1.80563496916987E-3</c:v>
                </c:pt>
                <c:pt idx="149">
                  <c:v>3.23316662535517E-3</c:v>
                </c:pt>
                <c:pt idx="150">
                  <c:v>2.1254383862217901E-4</c:v>
                </c:pt>
                <c:pt idx="151">
                  <c:v>7.9308976653740101E-4</c:v>
                </c:pt>
                <c:pt idx="152">
                  <c:v>2.4478135545854501E-3</c:v>
                </c:pt>
                <c:pt idx="153">
                  <c:v>-6.1752486698456904E-4</c:v>
                </c:pt>
                <c:pt idx="154">
                  <c:v>-7.4557836033498201E-4</c:v>
                </c:pt>
                <c:pt idx="155">
                  <c:v>-1.6731616917351601E-3</c:v>
                </c:pt>
                <c:pt idx="156">
                  <c:v>-3.2131505021993799E-4</c:v>
                </c:pt>
                <c:pt idx="157">
                  <c:v>4.9374180364817602E-4</c:v>
                </c:pt>
                <c:pt idx="158">
                  <c:v>-9.9789413618761003E-5</c:v>
                </c:pt>
                <c:pt idx="159">
                  <c:v>5.8403277323079196E-4</c:v>
                </c:pt>
                <c:pt idx="160">
                  <c:v>6.0078778249715505E-4</c:v>
                </c:pt>
                <c:pt idx="161">
                  <c:v>-1.3714368364973399E-3</c:v>
                </c:pt>
                <c:pt idx="162">
                  <c:v>-8.7002816388854099E-4</c:v>
                </c:pt>
                <c:pt idx="163">
                  <c:v>-9.8200789360923104E-5</c:v>
                </c:pt>
                <c:pt idx="164">
                  <c:v>2.0069772978946099E-4</c:v>
                </c:pt>
                <c:pt idx="165">
                  <c:v>9.2227849443659595E-4</c:v>
                </c:pt>
                <c:pt idx="166">
                  <c:v>1.15654081285446E-5</c:v>
                </c:pt>
                <c:pt idx="167">
                  <c:v>-9.3680564795420903E-4</c:v>
                </c:pt>
                <c:pt idx="168">
                  <c:v>2.8207686420206801E-3</c:v>
                </c:pt>
                <c:pt idx="169">
                  <c:v>1.5539702407160101E-3</c:v>
                </c:pt>
                <c:pt idx="170">
                  <c:v>4.0397118736239003E-3</c:v>
                </c:pt>
                <c:pt idx="171">
                  <c:v>6.3634302163162598E-3</c:v>
                </c:pt>
                <c:pt idx="172">
                  <c:v>4.6996903018067396E-3</c:v>
                </c:pt>
                <c:pt idx="173">
                  <c:v>4.7884196125560696E-3</c:v>
                </c:pt>
                <c:pt idx="174">
                  <c:v>4.7719438626336102E-3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6B-41A0-B19C-0A1542197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2.2651261339626198E-3</c:v>
                </c:pt>
                <c:pt idx="7">
                  <c:v>2.2651261339626198E-3</c:v>
                </c:pt>
                <c:pt idx="8">
                  <c:v>2.2651261339626198E-3</c:v>
                </c:pt>
                <c:pt idx="9">
                  <c:v>2.2651261339626198E-3</c:v>
                </c:pt>
                <c:pt idx="10">
                  <c:v>2.2651261339626198E-3</c:v>
                </c:pt>
                <c:pt idx="11">
                  <c:v>2.2651261339626198E-3</c:v>
                </c:pt>
                <c:pt idx="12">
                  <c:v>2.2651261339626198E-3</c:v>
                </c:pt>
                <c:pt idx="13">
                  <c:v>2.2651261339626198E-3</c:v>
                </c:pt>
                <c:pt idx="14">
                  <c:v>2.2651261339626198E-3</c:v>
                </c:pt>
                <c:pt idx="15">
                  <c:v>2.2651261339626198E-3</c:v>
                </c:pt>
                <c:pt idx="16">
                  <c:v>2.2651261339626198E-3</c:v>
                </c:pt>
                <c:pt idx="17">
                  <c:v>2.2651261339626198E-3</c:v>
                </c:pt>
                <c:pt idx="18">
                  <c:v>2.2651261339626198E-3</c:v>
                </c:pt>
                <c:pt idx="19">
                  <c:v>2.2651261339626198E-3</c:v>
                </c:pt>
                <c:pt idx="20">
                  <c:v>2.2651261339626198E-3</c:v>
                </c:pt>
                <c:pt idx="21">
                  <c:v>3.6819845629334101E-3</c:v>
                </c:pt>
                <c:pt idx="22">
                  <c:v>4.2070090123215902E-3</c:v>
                </c:pt>
                <c:pt idx="23">
                  <c:v>3.6142989864550103E-3</c:v>
                </c:pt>
                <c:pt idx="24">
                  <c:v>5.6089042098317349E-3</c:v>
                </c:pt>
                <c:pt idx="25">
                  <c:v>5.6089042098317349E-3</c:v>
                </c:pt>
                <c:pt idx="26">
                  <c:v>5.6089042098317349E-3</c:v>
                </c:pt>
                <c:pt idx="27">
                  <c:v>5.6089042098317349E-3</c:v>
                </c:pt>
                <c:pt idx="28">
                  <c:v>5.6089042098317349E-3</c:v>
                </c:pt>
                <c:pt idx="29">
                  <c:v>5.6089042098317349E-3</c:v>
                </c:pt>
                <c:pt idx="30">
                  <c:v>5.6089042098317349E-3</c:v>
                </c:pt>
                <c:pt idx="31">
                  <c:v>5.6089042098317349E-3</c:v>
                </c:pt>
                <c:pt idx="32">
                  <c:v>5.6089042098317349E-3</c:v>
                </c:pt>
                <c:pt idx="33">
                  <c:v>5.6089042098317349E-3</c:v>
                </c:pt>
                <c:pt idx="34">
                  <c:v>5.6089042098317349E-3</c:v>
                </c:pt>
                <c:pt idx="35">
                  <c:v>5.6089042098317349E-3</c:v>
                </c:pt>
                <c:pt idx="36">
                  <c:v>5.6089042098317349E-3</c:v>
                </c:pt>
                <c:pt idx="37">
                  <c:v>5.6089042098317349E-3</c:v>
                </c:pt>
                <c:pt idx="38">
                  <c:v>5.6089042098317349E-3</c:v>
                </c:pt>
                <c:pt idx="39">
                  <c:v>5.6089042098317349E-3</c:v>
                </c:pt>
                <c:pt idx="40">
                  <c:v>5.6089042098317349E-3</c:v>
                </c:pt>
                <c:pt idx="41">
                  <c:v>5.6089042098317349E-3</c:v>
                </c:pt>
                <c:pt idx="42">
                  <c:v>5.6089042098317349E-3</c:v>
                </c:pt>
                <c:pt idx="43">
                  <c:v>5.6089042098317349E-3</c:v>
                </c:pt>
                <c:pt idx="44">
                  <c:v>5.6089042098317349E-3</c:v>
                </c:pt>
                <c:pt idx="45">
                  <c:v>5.6089042098317349E-3</c:v>
                </c:pt>
                <c:pt idx="46">
                  <c:v>5.6089042098317349E-3</c:v>
                </c:pt>
                <c:pt idx="47">
                  <c:v>5.6089042098317349E-3</c:v>
                </c:pt>
                <c:pt idx="48">
                  <c:v>5.6089042098317349E-3</c:v>
                </c:pt>
                <c:pt idx="49">
                  <c:v>5.6089042098317349E-3</c:v>
                </c:pt>
                <c:pt idx="50">
                  <c:v>5.6089042098317349E-3</c:v>
                </c:pt>
                <c:pt idx="51">
                  <c:v>5.6089042098317349E-3</c:v>
                </c:pt>
                <c:pt idx="52">
                  <c:v>5.8924816114977047E-3</c:v>
                </c:pt>
                <c:pt idx="53">
                  <c:v>7.7045119728358872E-3</c:v>
                </c:pt>
                <c:pt idx="54">
                  <c:v>7.7045119728358872E-3</c:v>
                </c:pt>
                <c:pt idx="55">
                  <c:v>7.7045119728358872E-3</c:v>
                </c:pt>
                <c:pt idx="56">
                  <c:v>7.7045119728358872E-3</c:v>
                </c:pt>
                <c:pt idx="57">
                  <c:v>7.7045119728358872E-3</c:v>
                </c:pt>
                <c:pt idx="58">
                  <c:v>7.7045119728358872E-3</c:v>
                </c:pt>
                <c:pt idx="59">
                  <c:v>7.7045119728358872E-3</c:v>
                </c:pt>
                <c:pt idx="60">
                  <c:v>7.7045119728358872E-3</c:v>
                </c:pt>
                <c:pt idx="61">
                  <c:v>7.7045119728358872E-3</c:v>
                </c:pt>
                <c:pt idx="62">
                  <c:v>7.7045119728358872E-3</c:v>
                </c:pt>
                <c:pt idx="63">
                  <c:v>7.7045119728358872E-3</c:v>
                </c:pt>
                <c:pt idx="64">
                  <c:v>7.7045119728358872E-3</c:v>
                </c:pt>
                <c:pt idx="65">
                  <c:v>7.6207326287235574E-3</c:v>
                </c:pt>
                <c:pt idx="66">
                  <c:v>9.1259522081847382E-3</c:v>
                </c:pt>
                <c:pt idx="67">
                  <c:v>7.7249300702623485E-3</c:v>
                </c:pt>
                <c:pt idx="68">
                  <c:v>7.9913638336453485E-3</c:v>
                </c:pt>
                <c:pt idx="69">
                  <c:v>9.8331331099344686E-3</c:v>
                </c:pt>
                <c:pt idx="70">
                  <c:v>9.8331331099344686E-3</c:v>
                </c:pt>
                <c:pt idx="71">
                  <c:v>9.8331331099344686E-3</c:v>
                </c:pt>
                <c:pt idx="72">
                  <c:v>9.8331331099344686E-3</c:v>
                </c:pt>
                <c:pt idx="73">
                  <c:v>9.8331331099344686E-3</c:v>
                </c:pt>
                <c:pt idx="74">
                  <c:v>9.8331331099344686E-3</c:v>
                </c:pt>
                <c:pt idx="75">
                  <c:v>9.8331331099344686E-3</c:v>
                </c:pt>
                <c:pt idx="76">
                  <c:v>9.8331331099344686E-3</c:v>
                </c:pt>
                <c:pt idx="77">
                  <c:v>9.8331331099344686E-3</c:v>
                </c:pt>
                <c:pt idx="78">
                  <c:v>9.8331331099344686E-3</c:v>
                </c:pt>
                <c:pt idx="79">
                  <c:v>9.8331331099344686E-3</c:v>
                </c:pt>
                <c:pt idx="80">
                  <c:v>7.023979957015869E-3</c:v>
                </c:pt>
                <c:pt idx="81">
                  <c:v>8.5422555060656394E-3</c:v>
                </c:pt>
                <c:pt idx="82">
                  <c:v>8.5422555060656394E-3</c:v>
                </c:pt>
                <c:pt idx="83">
                  <c:v>8.5422555060656394E-3</c:v>
                </c:pt>
                <c:pt idx="84">
                  <c:v>1.1029493695709939E-2</c:v>
                </c:pt>
                <c:pt idx="85">
                  <c:v>1.1029493695709939E-2</c:v>
                </c:pt>
                <c:pt idx="86">
                  <c:v>1.1029493695709939E-2</c:v>
                </c:pt>
                <c:pt idx="87">
                  <c:v>1.1029493695709939E-2</c:v>
                </c:pt>
                <c:pt idx="88">
                  <c:v>1.1029493695709939E-2</c:v>
                </c:pt>
                <c:pt idx="89">
                  <c:v>1.1029493695709939E-2</c:v>
                </c:pt>
                <c:pt idx="90">
                  <c:v>1.1029493695709939E-2</c:v>
                </c:pt>
                <c:pt idx="91">
                  <c:v>1.1029493695709939E-2</c:v>
                </c:pt>
                <c:pt idx="92">
                  <c:v>1.1029493695709939E-2</c:v>
                </c:pt>
                <c:pt idx="93">
                  <c:v>1.1029493695709939E-2</c:v>
                </c:pt>
                <c:pt idx="94">
                  <c:v>1.1029493695709939E-2</c:v>
                </c:pt>
                <c:pt idx="95">
                  <c:v>1.1029493695709939E-2</c:v>
                </c:pt>
                <c:pt idx="96">
                  <c:v>1.1029493695709939E-2</c:v>
                </c:pt>
                <c:pt idx="97">
                  <c:v>1.1029493695709939E-2</c:v>
                </c:pt>
                <c:pt idx="98">
                  <c:v>1.1029493695709939E-2</c:v>
                </c:pt>
                <c:pt idx="99">
                  <c:v>1.1029493695709939E-2</c:v>
                </c:pt>
                <c:pt idx="100">
                  <c:v>1.1029493695709939E-2</c:v>
                </c:pt>
                <c:pt idx="101">
                  <c:v>1.1029493695709939E-2</c:v>
                </c:pt>
                <c:pt idx="102">
                  <c:v>1.1029493695709939E-2</c:v>
                </c:pt>
                <c:pt idx="103">
                  <c:v>1.1029493695709939E-2</c:v>
                </c:pt>
                <c:pt idx="104">
                  <c:v>1.1029493695709939E-2</c:v>
                </c:pt>
                <c:pt idx="105">
                  <c:v>1.1029493695709939E-2</c:v>
                </c:pt>
                <c:pt idx="106">
                  <c:v>1.1029493695709939E-2</c:v>
                </c:pt>
                <c:pt idx="107">
                  <c:v>1.1029493695709939E-2</c:v>
                </c:pt>
                <c:pt idx="108">
                  <c:v>1.1029493695709939E-2</c:v>
                </c:pt>
                <c:pt idx="109">
                  <c:v>1.1029493695709939E-2</c:v>
                </c:pt>
                <c:pt idx="110">
                  <c:v>1.1029493695709939E-2</c:v>
                </c:pt>
                <c:pt idx="111">
                  <c:v>1.1029493695709939E-2</c:v>
                </c:pt>
                <c:pt idx="112">
                  <c:v>1.1029493695709939E-2</c:v>
                </c:pt>
                <c:pt idx="113">
                  <c:v>1.1029493695709939E-2</c:v>
                </c:pt>
                <c:pt idx="114">
                  <c:v>1.1029493695709939E-2</c:v>
                </c:pt>
                <c:pt idx="115">
                  <c:v>1.1029493695709939E-2</c:v>
                </c:pt>
                <c:pt idx="116">
                  <c:v>1.1029493695709939E-2</c:v>
                </c:pt>
                <c:pt idx="117">
                  <c:v>1.1029493695709939E-2</c:v>
                </c:pt>
                <c:pt idx="118">
                  <c:v>1.1029493695709939E-2</c:v>
                </c:pt>
                <c:pt idx="119">
                  <c:v>1.1029493695709939E-2</c:v>
                </c:pt>
                <c:pt idx="120">
                  <c:v>1.1029493695709939E-2</c:v>
                </c:pt>
                <c:pt idx="121">
                  <c:v>1.1029493695709939E-2</c:v>
                </c:pt>
                <c:pt idx="122">
                  <c:v>1.1029493695709939E-2</c:v>
                </c:pt>
                <c:pt idx="123">
                  <c:v>1.1029493695709939E-2</c:v>
                </c:pt>
                <c:pt idx="124">
                  <c:v>1.1029493695709939E-2</c:v>
                </c:pt>
                <c:pt idx="125">
                  <c:v>1.1029493695709939E-2</c:v>
                </c:pt>
                <c:pt idx="126">
                  <c:v>1.1029493695709939E-2</c:v>
                </c:pt>
                <c:pt idx="127">
                  <c:v>1.1029493695709939E-2</c:v>
                </c:pt>
                <c:pt idx="128">
                  <c:v>1.1029493695709939E-2</c:v>
                </c:pt>
                <c:pt idx="129">
                  <c:v>1.1029493695709939E-2</c:v>
                </c:pt>
                <c:pt idx="130">
                  <c:v>1.1029493695709939E-2</c:v>
                </c:pt>
                <c:pt idx="131">
                  <c:v>1.1029493695709939E-2</c:v>
                </c:pt>
                <c:pt idx="132">
                  <c:v>1.1029493695709939E-2</c:v>
                </c:pt>
                <c:pt idx="133">
                  <c:v>1.1029493695709939E-2</c:v>
                </c:pt>
                <c:pt idx="134">
                  <c:v>1.1029493695709939E-2</c:v>
                </c:pt>
                <c:pt idx="135">
                  <c:v>1.1029493695709939E-2</c:v>
                </c:pt>
                <c:pt idx="136">
                  <c:v>1.1029493695709939E-2</c:v>
                </c:pt>
                <c:pt idx="137">
                  <c:v>1.1029493695709939E-2</c:v>
                </c:pt>
                <c:pt idx="138">
                  <c:v>1.1029493695709939E-2</c:v>
                </c:pt>
                <c:pt idx="139">
                  <c:v>1.1029493695709939E-2</c:v>
                </c:pt>
                <c:pt idx="140">
                  <c:v>1.1029493695709939E-2</c:v>
                </c:pt>
                <c:pt idx="141">
                  <c:v>1.1029493695709939E-2</c:v>
                </c:pt>
                <c:pt idx="142">
                  <c:v>1.1029493695709939E-2</c:v>
                </c:pt>
                <c:pt idx="143">
                  <c:v>1.1029493695709939E-2</c:v>
                </c:pt>
                <c:pt idx="144">
                  <c:v>1.1029493695709939E-2</c:v>
                </c:pt>
                <c:pt idx="145">
                  <c:v>1.1029493695709939E-2</c:v>
                </c:pt>
                <c:pt idx="146">
                  <c:v>1.1029493695709939E-2</c:v>
                </c:pt>
                <c:pt idx="147">
                  <c:v>1.1029493695709939E-2</c:v>
                </c:pt>
                <c:pt idx="148">
                  <c:v>1.1029493695709939E-2</c:v>
                </c:pt>
                <c:pt idx="149">
                  <c:v>1.1029493695709939E-2</c:v>
                </c:pt>
                <c:pt idx="150">
                  <c:v>1.1029493695709939E-2</c:v>
                </c:pt>
                <c:pt idx="151">
                  <c:v>1.1029493695709939E-2</c:v>
                </c:pt>
                <c:pt idx="152">
                  <c:v>1.1029493695709939E-2</c:v>
                </c:pt>
                <c:pt idx="153">
                  <c:v>1.1029493695709939E-2</c:v>
                </c:pt>
                <c:pt idx="154">
                  <c:v>1.1029493695709939E-2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9-4D63-A897-57D60C150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-3.363301241200399E-4</c:v>
                </c:pt>
                <c:pt idx="10">
                  <c:v>7.9544466638522908E-4</c:v>
                </c:pt>
                <c:pt idx="11">
                  <c:v>-1.2368060476064036E-4</c:v>
                </c:pt>
                <c:pt idx="12">
                  <c:v>3.1252441851356365E-4</c:v>
                </c:pt>
                <c:pt idx="13">
                  <c:v>2.2171444341479666E-3</c:v>
                </c:pt>
                <c:pt idx="14">
                  <c:v>2.2171444341479666E-3</c:v>
                </c:pt>
                <c:pt idx="15">
                  <c:v>2.9535418311802866E-3</c:v>
                </c:pt>
                <c:pt idx="16">
                  <c:v>5.0250784515139951E-3</c:v>
                </c:pt>
                <c:pt idx="17">
                  <c:v>4.0189069281060053E-3</c:v>
                </c:pt>
                <c:pt idx="18">
                  <c:v>7.0474473908652153E-3</c:v>
                </c:pt>
                <c:pt idx="19">
                  <c:v>7.0474473908652153E-3</c:v>
                </c:pt>
                <c:pt idx="20">
                  <c:v>7.0474473908652153E-3</c:v>
                </c:pt>
                <c:pt idx="21">
                  <c:v>7.0474473908652153E-3</c:v>
                </c:pt>
                <c:pt idx="22">
                  <c:v>7.0474473908652153E-3</c:v>
                </c:pt>
                <c:pt idx="23">
                  <c:v>7.0474473908652153E-3</c:v>
                </c:pt>
                <c:pt idx="24">
                  <c:v>7.0474473908652153E-3</c:v>
                </c:pt>
                <c:pt idx="25">
                  <c:v>7.0474473908652153E-3</c:v>
                </c:pt>
                <c:pt idx="26">
                  <c:v>7.0474473908652153E-3</c:v>
                </c:pt>
                <c:pt idx="27">
                  <c:v>9.0233486743962858E-3</c:v>
                </c:pt>
                <c:pt idx="28">
                  <c:v>9.0233486743962858E-3</c:v>
                </c:pt>
                <c:pt idx="29">
                  <c:v>1.1111545803468827E-2</c:v>
                </c:pt>
                <c:pt idx="30">
                  <c:v>1.2785640158879938E-2</c:v>
                </c:pt>
                <c:pt idx="31">
                  <c:v>1.2785640158879938E-2</c:v>
                </c:pt>
                <c:pt idx="32">
                  <c:v>1.2785640158879938E-2</c:v>
                </c:pt>
                <c:pt idx="33">
                  <c:v>1.2785640158879938E-2</c:v>
                </c:pt>
                <c:pt idx="34">
                  <c:v>1.2785640158879938E-2</c:v>
                </c:pt>
                <c:pt idx="35">
                  <c:v>1.2785640158879938E-2</c:v>
                </c:pt>
                <c:pt idx="36">
                  <c:v>1.2785640158879938E-2</c:v>
                </c:pt>
                <c:pt idx="37">
                  <c:v>1.2785640158879938E-2</c:v>
                </c:pt>
                <c:pt idx="38">
                  <c:v>1.2785640158879938E-2</c:v>
                </c:pt>
                <c:pt idx="39">
                  <c:v>1.3739157620557363E-2</c:v>
                </c:pt>
                <c:pt idx="40">
                  <c:v>1.5457565472971464E-2</c:v>
                </c:pt>
                <c:pt idx="41">
                  <c:v>1.5457565472971464E-2</c:v>
                </c:pt>
                <c:pt idx="42">
                  <c:v>1.5457565472971464E-2</c:v>
                </c:pt>
                <c:pt idx="43">
                  <c:v>1.5457565472971464E-2</c:v>
                </c:pt>
                <c:pt idx="44">
                  <c:v>1.5457565472971464E-2</c:v>
                </c:pt>
                <c:pt idx="45">
                  <c:v>1.5457565472971464E-2</c:v>
                </c:pt>
                <c:pt idx="46">
                  <c:v>1.5457565472971464E-2</c:v>
                </c:pt>
                <c:pt idx="47">
                  <c:v>1.5457565472971464E-2</c:v>
                </c:pt>
                <c:pt idx="48">
                  <c:v>1.5457565472971464E-2</c:v>
                </c:pt>
                <c:pt idx="49">
                  <c:v>1.5457565472971464E-2</c:v>
                </c:pt>
                <c:pt idx="50">
                  <c:v>1.5457565472971464E-2</c:v>
                </c:pt>
                <c:pt idx="51">
                  <c:v>1.5457565472971464E-2</c:v>
                </c:pt>
                <c:pt idx="52">
                  <c:v>1.5457565472971464E-2</c:v>
                </c:pt>
                <c:pt idx="53">
                  <c:v>1.5457565472971464E-2</c:v>
                </c:pt>
                <c:pt idx="54">
                  <c:v>1.5457565472971464E-2</c:v>
                </c:pt>
                <c:pt idx="55">
                  <c:v>1.5457565472971464E-2</c:v>
                </c:pt>
                <c:pt idx="56">
                  <c:v>1.5457565472971464E-2</c:v>
                </c:pt>
                <c:pt idx="57">
                  <c:v>1.5457565472971464E-2</c:v>
                </c:pt>
                <c:pt idx="58">
                  <c:v>1.5457565472971464E-2</c:v>
                </c:pt>
                <c:pt idx="59">
                  <c:v>1.5457565472971464E-2</c:v>
                </c:pt>
                <c:pt idx="60">
                  <c:v>1.5457565472971464E-2</c:v>
                </c:pt>
                <c:pt idx="61">
                  <c:v>1.5457565472971464E-2</c:v>
                </c:pt>
                <c:pt idx="62">
                  <c:v>1.5457565472971464E-2</c:v>
                </c:pt>
                <c:pt idx="63">
                  <c:v>1.5457565472971464E-2</c:v>
                </c:pt>
                <c:pt idx="64">
                  <c:v>1.5457565472971464E-2</c:v>
                </c:pt>
                <c:pt idx="65">
                  <c:v>1.5457565472971464E-2</c:v>
                </c:pt>
                <c:pt idx="66">
                  <c:v>1.5457565472971464E-2</c:v>
                </c:pt>
                <c:pt idx="67">
                  <c:v>1.5457565472971464E-2</c:v>
                </c:pt>
                <c:pt idx="68">
                  <c:v>1.5457565472971464E-2</c:v>
                </c:pt>
                <c:pt idx="69">
                  <c:v>1.5457565472971464E-2</c:v>
                </c:pt>
                <c:pt idx="70">
                  <c:v>1.5457565472971464E-2</c:v>
                </c:pt>
                <c:pt idx="71">
                  <c:v>1.5457565472971464E-2</c:v>
                </c:pt>
                <c:pt idx="72">
                  <c:v>1.5457565472971464E-2</c:v>
                </c:pt>
                <c:pt idx="73">
                  <c:v>1.7659413224576613E-2</c:v>
                </c:pt>
                <c:pt idx="74">
                  <c:v>1.7659413224576613E-2</c:v>
                </c:pt>
                <c:pt idx="75">
                  <c:v>1.7659413224576613E-2</c:v>
                </c:pt>
                <c:pt idx="76">
                  <c:v>1.7659413224576613E-2</c:v>
                </c:pt>
                <c:pt idx="77">
                  <c:v>1.7659413224576613E-2</c:v>
                </c:pt>
                <c:pt idx="78">
                  <c:v>1.7659413224576613E-2</c:v>
                </c:pt>
                <c:pt idx="79">
                  <c:v>1.7659413224576613E-2</c:v>
                </c:pt>
                <c:pt idx="80">
                  <c:v>1.7659413224576613E-2</c:v>
                </c:pt>
                <c:pt idx="81">
                  <c:v>1.7659413224576613E-2</c:v>
                </c:pt>
                <c:pt idx="82">
                  <c:v>1.7659413224576613E-2</c:v>
                </c:pt>
                <c:pt idx="83">
                  <c:v>1.7659413224576613E-2</c:v>
                </c:pt>
                <c:pt idx="84">
                  <c:v>1.7659413224576613E-2</c:v>
                </c:pt>
                <c:pt idx="85">
                  <c:v>1.7659413224576613E-2</c:v>
                </c:pt>
                <c:pt idx="86">
                  <c:v>1.7659413224576613E-2</c:v>
                </c:pt>
                <c:pt idx="87">
                  <c:v>1.7659413224576613E-2</c:v>
                </c:pt>
                <c:pt idx="88">
                  <c:v>1.7659413224576613E-2</c:v>
                </c:pt>
                <c:pt idx="89">
                  <c:v>1.8715493600935142E-2</c:v>
                </c:pt>
                <c:pt idx="90">
                  <c:v>1.880957599588064E-2</c:v>
                </c:pt>
                <c:pt idx="91">
                  <c:v>1.8568583104004641E-2</c:v>
                </c:pt>
                <c:pt idx="92">
                  <c:v>1.8004432677863422E-2</c:v>
                </c:pt>
                <c:pt idx="93">
                  <c:v>1.8642219913527824E-2</c:v>
                </c:pt>
                <c:pt idx="94">
                  <c:v>1.7900397441276916E-2</c:v>
                </c:pt>
                <c:pt idx="95">
                  <c:v>1.7038879556868506E-2</c:v>
                </c:pt>
                <c:pt idx="96">
                  <c:v>1.7253861184812477E-2</c:v>
                </c:pt>
                <c:pt idx="97">
                  <c:v>1.6873319999351835E-2</c:v>
                </c:pt>
                <c:pt idx="98">
                  <c:v>1.8800453592247565E-2</c:v>
                </c:pt>
                <c:pt idx="99">
                  <c:v>1.8609493739174761E-2</c:v>
                </c:pt>
                <c:pt idx="100">
                  <c:v>1.7281010200488302E-2</c:v>
                </c:pt>
                <c:pt idx="101">
                  <c:v>1.9280757037468125E-2</c:v>
                </c:pt>
                <c:pt idx="102">
                  <c:v>1.9280757037468125E-2</c:v>
                </c:pt>
                <c:pt idx="103">
                  <c:v>1.9280757037468125E-2</c:v>
                </c:pt>
                <c:pt idx="104">
                  <c:v>1.9280757037468125E-2</c:v>
                </c:pt>
                <c:pt idx="105">
                  <c:v>1.9280757037468125E-2</c:v>
                </c:pt>
                <c:pt idx="106">
                  <c:v>1.9449504164071076E-2</c:v>
                </c:pt>
                <c:pt idx="107">
                  <c:v>1.9561354093539554E-2</c:v>
                </c:pt>
                <c:pt idx="108">
                  <c:v>2.0842585420244236E-2</c:v>
                </c:pt>
                <c:pt idx="109">
                  <c:v>1.9801229796705216E-2</c:v>
                </c:pt>
                <c:pt idx="110">
                  <c:v>1.9920170050599054E-2</c:v>
                </c:pt>
                <c:pt idx="111">
                  <c:v>1.8821317910356343E-2</c:v>
                </c:pt>
                <c:pt idx="112">
                  <c:v>2.0474306158419643E-2</c:v>
                </c:pt>
                <c:pt idx="113">
                  <c:v>2.0046057806252262E-2</c:v>
                </c:pt>
                <c:pt idx="114">
                  <c:v>1.9476251817322113E-2</c:v>
                </c:pt>
                <c:pt idx="115">
                  <c:v>1.9588108927676724E-2</c:v>
                </c:pt>
                <c:pt idx="116">
                  <c:v>1.9454078222072405E-2</c:v>
                </c:pt>
                <c:pt idx="117">
                  <c:v>1.8714524385825649E-2</c:v>
                </c:pt>
                <c:pt idx="118">
                  <c:v>1.8440861650920029E-2</c:v>
                </c:pt>
                <c:pt idx="119">
                  <c:v>1.8797953151421139E-2</c:v>
                </c:pt>
                <c:pt idx="120">
                  <c:v>1.9646925385776979E-2</c:v>
                </c:pt>
                <c:pt idx="121">
                  <c:v>2.0957677336467268E-2</c:v>
                </c:pt>
                <c:pt idx="122">
                  <c:v>2.0957677336467268E-2</c:v>
                </c:pt>
                <c:pt idx="123">
                  <c:v>2.0957677336467268E-2</c:v>
                </c:pt>
                <c:pt idx="124">
                  <c:v>2.0957677336467268E-2</c:v>
                </c:pt>
                <c:pt idx="125">
                  <c:v>2.0957677336467268E-2</c:v>
                </c:pt>
                <c:pt idx="126">
                  <c:v>2.0957677336467268E-2</c:v>
                </c:pt>
                <c:pt idx="127">
                  <c:v>2.1518935973108999E-2</c:v>
                </c:pt>
                <c:pt idx="128">
                  <c:v>1.9210343588948568E-2</c:v>
                </c:pt>
                <c:pt idx="129">
                  <c:v>1.7633059587484869E-2</c:v>
                </c:pt>
                <c:pt idx="130">
                  <c:v>2.047734206431135E-2</c:v>
                </c:pt>
                <c:pt idx="131">
                  <c:v>1.9856471159757302E-2</c:v>
                </c:pt>
                <c:pt idx="132">
                  <c:v>1.8185340144135496E-2</c:v>
                </c:pt>
                <c:pt idx="133">
                  <c:v>2.1068151908996802E-2</c:v>
                </c:pt>
                <c:pt idx="134">
                  <c:v>2.1179121423516703E-2</c:v>
                </c:pt>
                <c:pt idx="135">
                  <c:v>2.2123682788707133E-2</c:v>
                </c:pt>
                <c:pt idx="136">
                  <c:v>2.2123682788707133E-2</c:v>
                </c:pt>
                <c:pt idx="137">
                  <c:v>2.2123682788707133E-2</c:v>
                </c:pt>
                <c:pt idx="138">
                  <c:v>2.2123682788707133E-2</c:v>
                </c:pt>
                <c:pt idx="139">
                  <c:v>2.2123682788707133E-2</c:v>
                </c:pt>
                <c:pt idx="140">
                  <c:v>2.2123682788707133E-2</c:v>
                </c:pt>
                <c:pt idx="141">
                  <c:v>2.2123682788707133E-2</c:v>
                </c:pt>
                <c:pt idx="142">
                  <c:v>2.2123682788707133E-2</c:v>
                </c:pt>
                <c:pt idx="143">
                  <c:v>2.2123682788707133E-2</c:v>
                </c:pt>
                <c:pt idx="144">
                  <c:v>2.2123682788707133E-2</c:v>
                </c:pt>
                <c:pt idx="145">
                  <c:v>2.2123682788707133E-2</c:v>
                </c:pt>
                <c:pt idx="146">
                  <c:v>2.2123682788707133E-2</c:v>
                </c:pt>
                <c:pt idx="147">
                  <c:v>2.3041483983363871E-2</c:v>
                </c:pt>
                <c:pt idx="148">
                  <c:v>1.9271162776396081E-2</c:v>
                </c:pt>
                <c:pt idx="149">
                  <c:v>2.0452306041380191E-2</c:v>
                </c:pt>
                <c:pt idx="150">
                  <c:v>1.8018556704719971E-2</c:v>
                </c:pt>
                <c:pt idx="151">
                  <c:v>1.5483422537951212E-2</c:v>
                </c:pt>
                <c:pt idx="152">
                  <c:v>1.6840611411635599E-2</c:v>
                </c:pt>
                <c:pt idx="153">
                  <c:v>1.6596261990749768E-2</c:v>
                </c:pt>
                <c:pt idx="154">
                  <c:v>1.6300752847779498E-2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7-402F-BAC0-2C59C0349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2.2651261339626198E-3</c:v>
                </c:pt>
                <c:pt idx="7">
                  <c:v>2.2651261339626198E-3</c:v>
                </c:pt>
                <c:pt idx="8">
                  <c:v>2.2651261339626198E-3</c:v>
                </c:pt>
                <c:pt idx="9">
                  <c:v>1.9287960098425799E-3</c:v>
                </c:pt>
                <c:pt idx="10">
                  <c:v>3.0605708003478491E-3</c:v>
                </c:pt>
                <c:pt idx="11">
                  <c:v>2.1414455292019796E-3</c:v>
                </c:pt>
                <c:pt idx="12">
                  <c:v>2.5776505524761836E-3</c:v>
                </c:pt>
                <c:pt idx="13">
                  <c:v>4.4822705681105864E-3</c:v>
                </c:pt>
                <c:pt idx="14">
                  <c:v>4.4822705681105864E-3</c:v>
                </c:pt>
                <c:pt idx="15">
                  <c:v>5.2186679651429063E-3</c:v>
                </c:pt>
                <c:pt idx="16">
                  <c:v>7.2902045854766149E-3</c:v>
                </c:pt>
                <c:pt idx="17">
                  <c:v>6.284033062068625E-3</c:v>
                </c:pt>
                <c:pt idx="18">
                  <c:v>9.312573524827835E-3</c:v>
                </c:pt>
                <c:pt idx="19">
                  <c:v>9.312573524827835E-3</c:v>
                </c:pt>
                <c:pt idx="20">
                  <c:v>9.312573524827835E-3</c:v>
                </c:pt>
                <c:pt idx="21">
                  <c:v>1.0729431953798624E-2</c:v>
                </c:pt>
                <c:pt idx="22">
                  <c:v>1.1254456403186805E-2</c:v>
                </c:pt>
                <c:pt idx="23">
                  <c:v>1.0661746377320225E-2</c:v>
                </c:pt>
                <c:pt idx="24">
                  <c:v>1.265635160069695E-2</c:v>
                </c:pt>
                <c:pt idx="25">
                  <c:v>1.265635160069695E-2</c:v>
                </c:pt>
                <c:pt idx="26">
                  <c:v>1.265635160069695E-2</c:v>
                </c:pt>
                <c:pt idx="27">
                  <c:v>1.4632252884228021E-2</c:v>
                </c:pt>
                <c:pt idx="28">
                  <c:v>1.4632252884228021E-2</c:v>
                </c:pt>
                <c:pt idx="29">
                  <c:v>1.672045001330056E-2</c:v>
                </c:pt>
                <c:pt idx="30">
                  <c:v>1.8394544368711671E-2</c:v>
                </c:pt>
                <c:pt idx="31">
                  <c:v>1.8394544368711671E-2</c:v>
                </c:pt>
                <c:pt idx="32">
                  <c:v>1.8394544368711671E-2</c:v>
                </c:pt>
                <c:pt idx="33">
                  <c:v>1.8394544368711671E-2</c:v>
                </c:pt>
                <c:pt idx="34">
                  <c:v>1.8394544368711671E-2</c:v>
                </c:pt>
                <c:pt idx="35">
                  <c:v>1.8394544368711671E-2</c:v>
                </c:pt>
                <c:pt idx="36">
                  <c:v>1.8394544368711671E-2</c:v>
                </c:pt>
                <c:pt idx="37">
                  <c:v>1.8394544368711671E-2</c:v>
                </c:pt>
                <c:pt idx="38">
                  <c:v>1.8394544368711671E-2</c:v>
                </c:pt>
                <c:pt idx="39">
                  <c:v>1.9348061830389097E-2</c:v>
                </c:pt>
                <c:pt idx="40">
                  <c:v>2.10664696828032E-2</c:v>
                </c:pt>
                <c:pt idx="41">
                  <c:v>2.10664696828032E-2</c:v>
                </c:pt>
                <c:pt idx="42">
                  <c:v>2.10664696828032E-2</c:v>
                </c:pt>
                <c:pt idx="43">
                  <c:v>2.10664696828032E-2</c:v>
                </c:pt>
                <c:pt idx="44">
                  <c:v>2.10664696828032E-2</c:v>
                </c:pt>
                <c:pt idx="45">
                  <c:v>2.10664696828032E-2</c:v>
                </c:pt>
                <c:pt idx="46">
                  <c:v>2.10664696828032E-2</c:v>
                </c:pt>
                <c:pt idx="47">
                  <c:v>2.10664696828032E-2</c:v>
                </c:pt>
                <c:pt idx="48">
                  <c:v>2.10664696828032E-2</c:v>
                </c:pt>
                <c:pt idx="49">
                  <c:v>2.10664696828032E-2</c:v>
                </c:pt>
                <c:pt idx="50">
                  <c:v>2.10664696828032E-2</c:v>
                </c:pt>
                <c:pt idx="51">
                  <c:v>2.10664696828032E-2</c:v>
                </c:pt>
                <c:pt idx="52">
                  <c:v>2.1350047084469172E-2</c:v>
                </c:pt>
                <c:pt idx="53">
                  <c:v>2.3162077445807356E-2</c:v>
                </c:pt>
                <c:pt idx="54">
                  <c:v>2.3162077445807356E-2</c:v>
                </c:pt>
                <c:pt idx="55">
                  <c:v>2.3162077445807356E-2</c:v>
                </c:pt>
                <c:pt idx="56">
                  <c:v>2.3162077445807356E-2</c:v>
                </c:pt>
                <c:pt idx="57">
                  <c:v>2.3162077445807356E-2</c:v>
                </c:pt>
                <c:pt idx="58">
                  <c:v>2.3162077445807356E-2</c:v>
                </c:pt>
                <c:pt idx="59">
                  <c:v>2.3162077445807356E-2</c:v>
                </c:pt>
                <c:pt idx="60">
                  <c:v>2.3162077445807356E-2</c:v>
                </c:pt>
                <c:pt idx="61">
                  <c:v>2.3162077445807356E-2</c:v>
                </c:pt>
                <c:pt idx="62">
                  <c:v>2.3162077445807356E-2</c:v>
                </c:pt>
                <c:pt idx="63">
                  <c:v>2.3162077445807356E-2</c:v>
                </c:pt>
                <c:pt idx="64">
                  <c:v>2.3162077445807356E-2</c:v>
                </c:pt>
                <c:pt idx="65">
                  <c:v>2.3078298101695024E-2</c:v>
                </c:pt>
                <c:pt idx="66">
                  <c:v>2.4583517681156204E-2</c:v>
                </c:pt>
                <c:pt idx="67">
                  <c:v>2.3182495543233813E-2</c:v>
                </c:pt>
                <c:pt idx="68">
                  <c:v>2.3448929306616812E-2</c:v>
                </c:pt>
                <c:pt idx="69">
                  <c:v>2.5290698582905932E-2</c:v>
                </c:pt>
                <c:pt idx="70">
                  <c:v>2.5290698582905932E-2</c:v>
                </c:pt>
                <c:pt idx="71">
                  <c:v>2.5290698582905932E-2</c:v>
                </c:pt>
                <c:pt idx="72">
                  <c:v>2.5290698582905932E-2</c:v>
                </c:pt>
                <c:pt idx="73">
                  <c:v>2.7492546334511082E-2</c:v>
                </c:pt>
                <c:pt idx="74">
                  <c:v>2.7492546334511082E-2</c:v>
                </c:pt>
                <c:pt idx="75">
                  <c:v>2.7492546334511082E-2</c:v>
                </c:pt>
                <c:pt idx="76">
                  <c:v>2.7492546334511082E-2</c:v>
                </c:pt>
                <c:pt idx="77">
                  <c:v>2.7492546334511082E-2</c:v>
                </c:pt>
                <c:pt idx="78">
                  <c:v>2.7492546334511082E-2</c:v>
                </c:pt>
                <c:pt idx="79">
                  <c:v>2.7492546334511082E-2</c:v>
                </c:pt>
                <c:pt idx="80">
                  <c:v>2.4683393181592482E-2</c:v>
                </c:pt>
                <c:pt idx="81">
                  <c:v>2.6201668730642252E-2</c:v>
                </c:pt>
                <c:pt idx="82">
                  <c:v>2.6201668730642252E-2</c:v>
                </c:pt>
                <c:pt idx="83">
                  <c:v>2.6201668730642252E-2</c:v>
                </c:pt>
                <c:pt idx="84">
                  <c:v>2.8688906920286552E-2</c:v>
                </c:pt>
                <c:pt idx="85">
                  <c:v>2.8688906920286552E-2</c:v>
                </c:pt>
                <c:pt idx="86">
                  <c:v>2.8688906920286552E-2</c:v>
                </c:pt>
                <c:pt idx="87">
                  <c:v>2.8688906920286552E-2</c:v>
                </c:pt>
                <c:pt idx="88">
                  <c:v>2.8688906920286552E-2</c:v>
                </c:pt>
                <c:pt idx="89">
                  <c:v>2.9744987296645084E-2</c:v>
                </c:pt>
                <c:pt idx="90">
                  <c:v>2.9839069691590583E-2</c:v>
                </c:pt>
                <c:pt idx="91">
                  <c:v>2.9598076799714584E-2</c:v>
                </c:pt>
                <c:pt idx="92">
                  <c:v>2.9033926373573365E-2</c:v>
                </c:pt>
                <c:pt idx="93">
                  <c:v>2.9671713609237767E-2</c:v>
                </c:pt>
                <c:pt idx="94">
                  <c:v>2.8929891136986859E-2</c:v>
                </c:pt>
                <c:pt idx="95">
                  <c:v>2.8068373252578448E-2</c:v>
                </c:pt>
                <c:pt idx="96">
                  <c:v>2.8283354880522419E-2</c:v>
                </c:pt>
                <c:pt idx="97">
                  <c:v>2.7902813695061777E-2</c:v>
                </c:pt>
                <c:pt idx="98">
                  <c:v>2.9829947287957508E-2</c:v>
                </c:pt>
                <c:pt idx="99">
                  <c:v>2.9638987434884703E-2</c:v>
                </c:pt>
                <c:pt idx="100">
                  <c:v>2.8310503896198245E-2</c:v>
                </c:pt>
                <c:pt idx="101">
                  <c:v>3.0310250733178067E-2</c:v>
                </c:pt>
                <c:pt idx="102">
                  <c:v>3.0310250733178067E-2</c:v>
                </c:pt>
                <c:pt idx="103">
                  <c:v>3.0310250733178067E-2</c:v>
                </c:pt>
                <c:pt idx="104">
                  <c:v>3.0310250733178067E-2</c:v>
                </c:pt>
                <c:pt idx="105">
                  <c:v>3.0310250733178067E-2</c:v>
                </c:pt>
                <c:pt idx="106">
                  <c:v>3.0478997859781018E-2</c:v>
                </c:pt>
                <c:pt idx="107">
                  <c:v>3.0590847789249496E-2</c:v>
                </c:pt>
                <c:pt idx="108">
                  <c:v>3.1872079115954181E-2</c:v>
                </c:pt>
                <c:pt idx="109">
                  <c:v>3.0830723492415162E-2</c:v>
                </c:pt>
                <c:pt idx="110">
                  <c:v>3.0949663746309003E-2</c:v>
                </c:pt>
                <c:pt idx="111">
                  <c:v>2.9850811606066292E-2</c:v>
                </c:pt>
                <c:pt idx="112">
                  <c:v>3.1503799854129592E-2</c:v>
                </c:pt>
                <c:pt idx="113">
                  <c:v>3.1075551501962211E-2</c:v>
                </c:pt>
                <c:pt idx="114">
                  <c:v>3.0505745513032062E-2</c:v>
                </c:pt>
                <c:pt idx="115">
                  <c:v>3.0617602623386673E-2</c:v>
                </c:pt>
                <c:pt idx="116">
                  <c:v>3.0483571917782355E-2</c:v>
                </c:pt>
                <c:pt idx="117">
                  <c:v>2.9744018081535598E-2</c:v>
                </c:pt>
                <c:pt idx="118">
                  <c:v>2.9470355346629978E-2</c:v>
                </c:pt>
                <c:pt idx="119">
                  <c:v>2.9827446847131088E-2</c:v>
                </c:pt>
                <c:pt idx="120">
                  <c:v>3.0676419081486928E-2</c:v>
                </c:pt>
                <c:pt idx="121">
                  <c:v>3.1987171032177221E-2</c:v>
                </c:pt>
                <c:pt idx="122">
                  <c:v>3.1987171032177221E-2</c:v>
                </c:pt>
                <c:pt idx="123">
                  <c:v>3.1987171032177221E-2</c:v>
                </c:pt>
                <c:pt idx="124">
                  <c:v>3.1987171032177221E-2</c:v>
                </c:pt>
                <c:pt idx="125">
                  <c:v>3.1987171032177221E-2</c:v>
                </c:pt>
                <c:pt idx="126">
                  <c:v>3.1987171032177221E-2</c:v>
                </c:pt>
                <c:pt idx="127">
                  <c:v>3.2548429668818948E-2</c:v>
                </c:pt>
                <c:pt idx="128">
                  <c:v>3.0239837284658518E-2</c:v>
                </c:pt>
                <c:pt idx="129">
                  <c:v>2.8662553283194819E-2</c:v>
                </c:pt>
                <c:pt idx="130">
                  <c:v>3.15068357600213E-2</c:v>
                </c:pt>
                <c:pt idx="131">
                  <c:v>3.0885964855467251E-2</c:v>
                </c:pt>
                <c:pt idx="132">
                  <c:v>2.9214833839845446E-2</c:v>
                </c:pt>
                <c:pt idx="133">
                  <c:v>3.2097645604706751E-2</c:v>
                </c:pt>
                <c:pt idx="134">
                  <c:v>3.2208615119226652E-2</c:v>
                </c:pt>
                <c:pt idx="135">
                  <c:v>3.3153176484417082E-2</c:v>
                </c:pt>
                <c:pt idx="136">
                  <c:v>3.3153176484417082E-2</c:v>
                </c:pt>
                <c:pt idx="137">
                  <c:v>3.3153176484417082E-2</c:v>
                </c:pt>
                <c:pt idx="138">
                  <c:v>3.3153176484417082E-2</c:v>
                </c:pt>
                <c:pt idx="139">
                  <c:v>3.3153176484417082E-2</c:v>
                </c:pt>
                <c:pt idx="140">
                  <c:v>3.3153176484417082E-2</c:v>
                </c:pt>
                <c:pt idx="141">
                  <c:v>3.3153176484417082E-2</c:v>
                </c:pt>
                <c:pt idx="142">
                  <c:v>3.3153176484417082E-2</c:v>
                </c:pt>
                <c:pt idx="143">
                  <c:v>3.3153176484417082E-2</c:v>
                </c:pt>
                <c:pt idx="144">
                  <c:v>3.3153176484417082E-2</c:v>
                </c:pt>
                <c:pt idx="145">
                  <c:v>3.3153176484417082E-2</c:v>
                </c:pt>
                <c:pt idx="146">
                  <c:v>3.3153176484417082E-2</c:v>
                </c:pt>
                <c:pt idx="147">
                  <c:v>3.407097767907382E-2</c:v>
                </c:pt>
                <c:pt idx="148">
                  <c:v>3.030065647210603E-2</c:v>
                </c:pt>
                <c:pt idx="149">
                  <c:v>3.1481799737090137E-2</c:v>
                </c:pt>
                <c:pt idx="150">
                  <c:v>2.9048050400429917E-2</c:v>
                </c:pt>
                <c:pt idx="151">
                  <c:v>2.6512916233661157E-2</c:v>
                </c:pt>
                <c:pt idx="152">
                  <c:v>2.7870105107345548E-2</c:v>
                </c:pt>
                <c:pt idx="153">
                  <c:v>2.7625755686459717E-2</c:v>
                </c:pt>
                <c:pt idx="154">
                  <c:v>2.7330246543489447E-2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6-4A8F-A80C-61E0807E5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9AD84-F68E-45E9-9D7D-97B2713B4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844302-B5F0-4912-8566-FCE6DA15F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782A6F-2A88-40E3-9E2C-197460424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2311AD-5706-4B0B-87C2-E60BFA319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4B49A9-A88B-43E3-82EC-D17D558A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E0209A-1D09-4FCA-B385-DEF7C6EF8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F58A6B-AD28-4280-A8DC-3F7010020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VWOB_EMB_2.xlsx" TargetMode="External"/><Relationship Id="rId1" Type="http://schemas.openxmlformats.org/officeDocument/2006/relationships/externalLinkPath" Target="VWOB_EMB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EMB/VWOB avg</v>
          </cell>
          <cell r="P1" t="str">
            <v>EMB/VWOB 10 dma</v>
          </cell>
          <cell r="Q1" t="str">
            <v>EMB/VWOB 20 dma</v>
          </cell>
          <cell r="U1" t="str">
            <v>log diff VWOB x avg / EMB</v>
          </cell>
          <cell r="V1" t="str">
            <v>log diff VWOB x 10 dma / EMB</v>
          </cell>
          <cell r="W1" t="str">
            <v>log diff VWOB x 20 dma / EMB</v>
          </cell>
          <cell r="Y1" t="str">
            <v>EMB*/VWOB* avg</v>
          </cell>
          <cell r="Z1" t="str">
            <v>EMB*/VWOB* 10 dma</v>
          </cell>
          <cell r="AA1" t="str">
            <v>EMB*/VWOB* 20 dma</v>
          </cell>
          <cell r="AF1" t="str">
            <v>log diff VWOB* x 10 dma / EMB*</v>
          </cell>
          <cell r="AG1" t="str">
            <v>log diff VWOB* x 20 dma / EMB*</v>
          </cell>
        </row>
        <row r="2">
          <cell r="O2">
            <v>1.43329336478799</v>
          </cell>
          <cell r="Y2">
            <v>1.43040773636679</v>
          </cell>
        </row>
        <row r="3">
          <cell r="O3">
            <v>1.43329336478799</v>
          </cell>
          <cell r="U3">
            <v>3.5220528459925901E-3</v>
          </cell>
          <cell r="Y3">
            <v>1.43040773636679</v>
          </cell>
        </row>
        <row r="4">
          <cell r="O4">
            <v>1.43329336478799</v>
          </cell>
          <cell r="U4">
            <v>3.6705083899386099E-3</v>
          </cell>
          <cell r="Y4">
            <v>1.43040773636679</v>
          </cell>
        </row>
        <row r="5">
          <cell r="O5">
            <v>1.43329336478799</v>
          </cell>
          <cell r="U5">
            <v>4.1611927966511298E-3</v>
          </cell>
          <cell r="Y5">
            <v>1.43040773636679</v>
          </cell>
        </row>
        <row r="6">
          <cell r="O6">
            <v>1.43329336478799</v>
          </cell>
          <cell r="U6">
            <v>4.5341331016743097E-3</v>
          </cell>
          <cell r="Y6">
            <v>1.43040773636679</v>
          </cell>
        </row>
        <row r="7">
          <cell r="O7">
            <v>1.43329336478799</v>
          </cell>
          <cell r="U7">
            <v>2.9736936108002501E-3</v>
          </cell>
          <cell r="Y7">
            <v>1.43040773636679</v>
          </cell>
        </row>
        <row r="8">
          <cell r="O8">
            <v>1.43329336478799</v>
          </cell>
          <cell r="U8">
            <v>3.2108746542344698E-3</v>
          </cell>
          <cell r="Y8">
            <v>1.43040773636679</v>
          </cell>
        </row>
        <row r="9">
          <cell r="O9">
            <v>1.43329336478799</v>
          </cell>
          <cell r="U9">
            <v>4.1611927966511298E-3</v>
          </cell>
          <cell r="Y9">
            <v>1.43040773636679</v>
          </cell>
        </row>
        <row r="10">
          <cell r="O10">
            <v>1.43329336478799</v>
          </cell>
          <cell r="U10">
            <v>3.7149285420771802E-3</v>
          </cell>
          <cell r="Y10">
            <v>1.43040773636679</v>
          </cell>
        </row>
        <row r="11">
          <cell r="O11">
            <v>1.43329336478799</v>
          </cell>
          <cell r="P11">
            <v>1.42793758172053</v>
          </cell>
          <cell r="U11">
            <v>3.5962448729643399E-3</v>
          </cell>
          <cell r="Y11">
            <v>1.43040773636679</v>
          </cell>
          <cell r="Z11">
            <v>1.42793758172053</v>
          </cell>
        </row>
        <row r="12">
          <cell r="O12">
            <v>1.43329336478799</v>
          </cell>
          <cell r="P12">
            <v>1.42788878921141</v>
          </cell>
          <cell r="U12">
            <v>4.2349211031541996E-3</v>
          </cell>
          <cell r="V12">
            <v>4.9122517450385795E-4</v>
          </cell>
          <cell r="Y12">
            <v>1.43040773636679</v>
          </cell>
          <cell r="Z12">
            <v>1.42788878921141</v>
          </cell>
          <cell r="AF12">
            <v>4.9122517450385795E-4</v>
          </cell>
        </row>
        <row r="13">
          <cell r="O13">
            <v>1.43329336478799</v>
          </cell>
          <cell r="P13">
            <v>1.42773103849158</v>
          </cell>
          <cell r="U13">
            <v>4.6271636303542403E-3</v>
          </cell>
          <cell r="V13">
            <v>8.4929720057384101E-4</v>
          </cell>
          <cell r="Y13">
            <v>1.43040773636679</v>
          </cell>
          <cell r="Z13">
            <v>1.42773103849158</v>
          </cell>
          <cell r="AF13">
            <v>8.4929720057384101E-4</v>
          </cell>
        </row>
        <row r="14">
          <cell r="O14">
            <v>1.43329336478799</v>
          </cell>
          <cell r="P14">
            <v>1.4277839720705301</v>
          </cell>
          <cell r="U14">
            <v>3.2999046722476501E-3</v>
          </cell>
          <cell r="V14">
            <v>-5.8844615637519302E-4</v>
          </cell>
          <cell r="Y14">
            <v>1.43040773636679</v>
          </cell>
          <cell r="Z14">
            <v>1.4277839720705301</v>
          </cell>
          <cell r="AF14">
            <v>-5.8844615637519302E-4</v>
          </cell>
        </row>
        <row r="15">
          <cell r="O15">
            <v>1.43329336478799</v>
          </cell>
          <cell r="P15">
            <v>1.42783507713292</v>
          </cell>
          <cell r="U15">
            <v>3.80321319618786E-3</v>
          </cell>
          <cell r="V15">
            <v>-4.8063004036398301E-5</v>
          </cell>
          <cell r="Y15">
            <v>1.43040773636679</v>
          </cell>
          <cell r="Z15">
            <v>1.42783507713292</v>
          </cell>
          <cell r="AF15">
            <v>-4.8063004036398301E-5</v>
          </cell>
        </row>
        <row r="16">
          <cell r="O16">
            <v>1.43329336478799</v>
          </cell>
          <cell r="P16">
            <v>1.4279775342902199</v>
          </cell>
          <cell r="U16">
            <v>3.5361995693775298E-3</v>
          </cell>
          <cell r="V16">
            <v>-2.7928399777874398E-4</v>
          </cell>
          <cell r="Y16">
            <v>1.43040773636679</v>
          </cell>
          <cell r="Z16">
            <v>1.4279775342902199</v>
          </cell>
          <cell r="AF16">
            <v>-2.7928399777874398E-4</v>
          </cell>
        </row>
        <row r="17">
          <cell r="O17">
            <v>1.43329336478799</v>
          </cell>
          <cell r="P17">
            <v>1.4279393569891601</v>
          </cell>
          <cell r="U17">
            <v>3.2408832474534501E-3</v>
          </cell>
          <cell r="V17">
            <v>-4.7483385964414198E-4</v>
          </cell>
          <cell r="Y17">
            <v>1.43040773636679</v>
          </cell>
          <cell r="Z17">
            <v>1.4279393569891601</v>
          </cell>
          <cell r="AF17">
            <v>-4.7483385964414198E-4</v>
          </cell>
        </row>
        <row r="18">
          <cell r="O18">
            <v>1.43329336478799</v>
          </cell>
          <cell r="P18">
            <v>1.4279392912717199</v>
          </cell>
          <cell r="U18">
            <v>3.21133463543307E-3</v>
          </cell>
          <cell r="V18">
            <v>-5.3111805433210004E-4</v>
          </cell>
          <cell r="Y18">
            <v>1.43040773636679</v>
          </cell>
          <cell r="Z18">
            <v>1.4279392912717199</v>
          </cell>
          <cell r="AF18">
            <v>-5.3111805433210004E-4</v>
          </cell>
        </row>
        <row r="19">
          <cell r="O19">
            <v>1.43329336478799</v>
          </cell>
          <cell r="P19">
            <v>1.4280453907781401</v>
          </cell>
          <cell r="U19">
            <v>3.4181324381761598E-3</v>
          </cell>
          <cell r="V19">
            <v>-3.2436627415734101E-4</v>
          </cell>
          <cell r="Y19">
            <v>1.43040773636679</v>
          </cell>
          <cell r="Z19">
            <v>1.4280453907781401</v>
          </cell>
          <cell r="AF19">
            <v>-3.2436627415734101E-4</v>
          </cell>
        </row>
        <row r="20">
          <cell r="O20">
            <v>1.43329336478799</v>
          </cell>
          <cell r="P20">
            <v>1.4279760054760799</v>
          </cell>
          <cell r="U20">
            <v>4.2009453612783104E-3</v>
          </cell>
          <cell r="V20">
            <v>5.3274642172497098E-4</v>
          </cell>
          <cell r="Y20">
            <v>1.43040773636679</v>
          </cell>
          <cell r="Z20">
            <v>1.4279760054760799</v>
          </cell>
          <cell r="AF20">
            <v>5.3274642172497098E-4</v>
          </cell>
        </row>
        <row r="21">
          <cell r="O21">
            <v>1.43329336478799</v>
          </cell>
          <cell r="P21">
            <v>1.42790431806298</v>
          </cell>
          <cell r="Q21">
            <v>1.42792094989175</v>
          </cell>
          <cell r="U21">
            <v>4.0983315181465996E-3</v>
          </cell>
          <cell r="V21">
            <v>3.8154379549399297E-4</v>
          </cell>
          <cell r="Y21">
            <v>1.43040773636679</v>
          </cell>
          <cell r="Z21">
            <v>1.42790431806298</v>
          </cell>
          <cell r="AA21">
            <v>1.42792094989175</v>
          </cell>
          <cell r="AF21">
            <v>3.8154379549399297E-4</v>
          </cell>
        </row>
        <row r="22">
          <cell r="O22">
            <v>1.43329336478799</v>
          </cell>
          <cell r="P22">
            <v>1.4280548134676601</v>
          </cell>
          <cell r="Q22">
            <v>1.4279718013395399</v>
          </cell>
          <cell r="U22">
            <v>3.1810233453920499E-3</v>
          </cell>
          <cell r="V22">
            <v>-5.8596775064720505E-4</v>
          </cell>
          <cell r="W22">
            <v>-5.74320099119722E-4</v>
          </cell>
          <cell r="Y22">
            <v>1.43040773636679</v>
          </cell>
          <cell r="Z22">
            <v>1.4279503909441</v>
          </cell>
          <cell r="AA22">
            <v>1.4279195900777499</v>
          </cell>
          <cell r="AF22">
            <v>1.45170238516172E-4</v>
          </cell>
          <cell r="AG22">
            <v>1.5681789004386E-4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1.43329336478799</v>
          </cell>
          <cell r="P23">
            <v>1.4283122424385699</v>
          </cell>
          <cell r="Q23">
            <v>1.4280216404650701</v>
          </cell>
          <cell r="U23">
            <v>2.8243934887753298E-3</v>
          </cell>
          <cell r="V23">
            <v>-8.3720716020922997E-4</v>
          </cell>
          <cell r="W23">
            <v>-8.9533836089095403E-4</v>
          </cell>
          <cell r="Y23">
            <v>1.43040773636679</v>
          </cell>
          <cell r="Z23">
            <v>1.42810312600546</v>
          </cell>
          <cell r="AA23">
            <v>1.4279170822485201</v>
          </cell>
          <cell r="AF23">
            <v>-1.7755465998100999E-4</v>
          </cell>
          <cell r="AG23">
            <v>-1.9912487609585901E-4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1.43329336478799</v>
          </cell>
          <cell r="P24">
            <v>1.4285459816281301</v>
          </cell>
          <cell r="Q24">
            <v>1.4281649768493301</v>
          </cell>
          <cell r="U24">
            <v>1.6650674202645E-3</v>
          </cell>
          <cell r="V24">
            <v>-1.81628400544968E-3</v>
          </cell>
          <cell r="W24">
            <v>-2.01976300083963E-3</v>
          </cell>
          <cell r="Y24">
            <v>1.43040773636679</v>
          </cell>
          <cell r="Z24">
            <v>1.42823126055118</v>
          </cell>
          <cell r="AA24">
            <v>1.4280076163108499</v>
          </cell>
          <cell r="AF24">
            <v>-1.22440534624995E-3</v>
          </cell>
          <cell r="AG24">
            <v>-1.35468716755272E-3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1.43329336478799</v>
          </cell>
          <cell r="P25">
            <v>1.42867714157738</v>
          </cell>
          <cell r="Q25">
            <v>1.42825610935515</v>
          </cell>
          <cell r="U25">
            <v>2.8850529757773699E-3</v>
          </cell>
          <cell r="V25">
            <v>-4.3266471542715299E-4</v>
          </cell>
          <cell r="W25">
            <v>-6.9940838435227201E-4</v>
          </cell>
          <cell r="Y25">
            <v>1.43040773636679</v>
          </cell>
          <cell r="Z25">
            <v>1.4282580787449</v>
          </cell>
          <cell r="AA25">
            <v>1.42804657793891</v>
          </cell>
          <cell r="AF25">
            <v>7.7358326941487406E-5</v>
          </cell>
          <cell r="AG25">
            <v>-7.9242188928357006E-5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1.43329336478799</v>
          </cell>
          <cell r="P26">
            <v>1.4289286253693401</v>
          </cell>
          <cell r="Q26">
            <v>1.4284530798297801</v>
          </cell>
          <cell r="U26">
            <v>1.7769454016676499E-3</v>
          </cell>
          <cell r="V26">
            <v>-1.4489629042058799E-3</v>
          </cell>
          <cell r="W26">
            <v>-1.74370708497426E-3</v>
          </cell>
          <cell r="Y26">
            <v>1.43040773636679</v>
          </cell>
          <cell r="Z26">
            <v>1.4284045821293401</v>
          </cell>
          <cell r="AA26">
            <v>1.4281910582097801</v>
          </cell>
          <cell r="AF26">
            <v>-1.00831434828429E-3</v>
          </cell>
          <cell r="AG26">
            <v>-1.15640835911042E-3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1.43329336478799</v>
          </cell>
          <cell r="P27">
            <v>1.42909765577766</v>
          </cell>
          <cell r="Q27">
            <v>1.42851850638341</v>
          </cell>
          <cell r="U27">
            <v>2.0584395841827001E-3</v>
          </cell>
          <cell r="V27">
            <v>-9.9145858375384406E-4</v>
          </cell>
          <cell r="W27">
            <v>-1.32431263897778E-3</v>
          </cell>
          <cell r="Y27">
            <v>1.43040773636679</v>
          </cell>
          <cell r="Z27">
            <v>1.4284688951480999</v>
          </cell>
          <cell r="AA27">
            <v>1.42820412606863</v>
          </cell>
          <cell r="AF27">
            <v>-6.2588402253424503E-4</v>
          </cell>
          <cell r="AG27">
            <v>-7.7537939873842496E-4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1.43329336478799</v>
          </cell>
          <cell r="P28">
            <v>1.42918820152932</v>
          </cell>
          <cell r="Q28">
            <v>1.4285637464005201</v>
          </cell>
          <cell r="U28">
            <v>2.5777712525135001E-3</v>
          </cell>
          <cell r="V28">
            <v>-3.53842202904155E-4</v>
          </cell>
          <cell r="W28">
            <v>-7.59179637547408E-4</v>
          </cell>
          <cell r="Y28">
            <v>1.43040773636679</v>
          </cell>
          <cell r="Z28">
            <v>1.4284554160535801</v>
          </cell>
          <cell r="AA28">
            <v>1.42819735366265</v>
          </cell>
          <cell r="AF28">
            <v>-6.5996253066255298E-5</v>
          </cell>
          <cell r="AG28">
            <v>-2.51365091757308E-4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1.43329336478799</v>
          </cell>
          <cell r="P29">
            <v>1.4293230321254</v>
          </cell>
          <cell r="Q29">
            <v>1.4286842114517699</v>
          </cell>
          <cell r="U29">
            <v>2.47465189176209E-3</v>
          </cell>
          <cell r="V29">
            <v>-3.9360488331912502E-4</v>
          </cell>
          <cell r="W29">
            <v>-8.3063031457784203E-4</v>
          </cell>
          <cell r="Y29">
            <v>1.43040773636679</v>
          </cell>
          <cell r="Z29">
            <v>1.42848614835969</v>
          </cell>
          <cell r="AA29">
            <v>1.42826576956891</v>
          </cell>
          <cell r="AF29">
            <v>-1.7811273051920401E-4</v>
          </cell>
          <cell r="AG29">
            <v>-3.5878739589572203E-4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1.43329336478799</v>
          </cell>
          <cell r="P30">
            <v>1.4295041766686101</v>
          </cell>
          <cell r="Q30">
            <v>1.42874009107235</v>
          </cell>
          <cell r="U30">
            <v>2.9325952098995601E-3</v>
          </cell>
          <cell r="V30">
            <v>1.5867467152219601E-4</v>
          </cell>
          <cell r="W30">
            <v>-2.8836456233674801E-4</v>
          </cell>
          <cell r="Y30">
            <v>1.43040773636679</v>
          </cell>
          <cell r="Z30">
            <v>1.42856385453298</v>
          </cell>
          <cell r="AA30">
            <v>1.4282699300045301</v>
          </cell>
          <cell r="AF30">
            <v>2.9705736022110602E-4</v>
          </cell>
          <cell r="AG30">
            <v>1.42771095581024E-4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1.43329336478799</v>
          </cell>
          <cell r="P31">
            <v>1.4297104256425399</v>
          </cell>
          <cell r="Q31">
            <v>1.4288073718527601</v>
          </cell>
          <cell r="U31">
            <v>2.6544783751250999E-3</v>
          </cell>
          <cell r="V31">
            <v>7.28430898680032E-6</v>
          </cell>
          <cell r="W31">
            <v>-5.2736951545336898E-4</v>
          </cell>
          <cell r="Y31">
            <v>1.43040773636679</v>
          </cell>
          <cell r="Z31">
            <v>1.4286666190623001</v>
          </cell>
          <cell r="AA31">
            <v>1.42828546856264</v>
          </cell>
          <cell r="AF31">
            <v>7.3457743225427896E-5</v>
          </cell>
          <cell r="AG31">
            <v>-1.3231168660801E-4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1.43329336478799</v>
          </cell>
          <cell r="P32">
            <v>1.4297436329408599</v>
          </cell>
          <cell r="Q32">
            <v>1.4288992232042601</v>
          </cell>
          <cell r="U32">
            <v>2.9486268957365099E-3</v>
          </cell>
          <cell r="V32">
            <v>4.45702500100345E-4</v>
          </cell>
          <cell r="W32">
            <v>-1.8613111703653901E-4</v>
          </cell>
          <cell r="Y32">
            <v>1.43040773636679</v>
          </cell>
          <cell r="Z32">
            <v>1.4287012136050601</v>
          </cell>
          <cell r="AA32">
            <v>1.4283258022745799</v>
          </cell>
          <cell r="AF32">
            <v>4.3660702850669699E-4</v>
          </cell>
          <cell r="AG32">
            <v>1.6978386155653901E-4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1.43329336478799</v>
          </cell>
          <cell r="P33">
            <v>1.4297216751631301</v>
          </cell>
          <cell r="Q33">
            <v>1.4290169588008499</v>
          </cell>
          <cell r="U33">
            <v>2.9780366646116299E-3</v>
          </cell>
          <cell r="V33">
            <v>4.9833858955523999E-4</v>
          </cell>
          <cell r="W33">
            <v>-9.2438085707244699E-5</v>
          </cell>
          <cell r="Y33">
            <v>1.43040773636679</v>
          </cell>
          <cell r="Z33">
            <v>1.4286809802463001</v>
          </cell>
          <cell r="AA33">
            <v>1.42839205312588</v>
          </cell>
          <cell r="AF33">
            <v>4.8979158666516203E-4</v>
          </cell>
          <cell r="AG33">
            <v>2.26992998793302E-4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1.43329336478799</v>
          </cell>
          <cell r="P34">
            <v>1.4295402569312501</v>
          </cell>
          <cell r="Q34">
            <v>1.42904311927969</v>
          </cell>
          <cell r="U34">
            <v>2.9337250204207999E-3</v>
          </cell>
          <cell r="V34">
            <v>4.3866898478915899E-4</v>
          </cell>
          <cell r="W34">
            <v>-5.4357112932387103E-5</v>
          </cell>
          <cell r="Y34">
            <v>1.43040773636679</v>
          </cell>
          <cell r="Z34">
            <v>1.4285020457375699</v>
          </cell>
          <cell r="AA34">
            <v>1.4283666531443699</v>
          </cell>
          <cell r="AF34">
            <v>4.3234621386685501E-4</v>
          </cell>
          <cell r="AG34">
            <v>2.30092286138027E-4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1.43329336478799</v>
          </cell>
          <cell r="P35">
            <v>1.4295960188033201</v>
          </cell>
          <cell r="Q35">
            <v>1.4291365801903499</v>
          </cell>
          <cell r="U35">
            <v>2.4949578650364998E-3</v>
          </cell>
          <cell r="V35">
            <v>-1.2699681537273601E-4</v>
          </cell>
          <cell r="W35">
            <v>-4.7481781000079001E-4</v>
          </cell>
          <cell r="Y35">
            <v>1.43040773636679</v>
          </cell>
          <cell r="Z35">
            <v>1.4285587782375</v>
          </cell>
          <cell r="AA35">
            <v>1.4284084284912</v>
          </cell>
          <cell r="AF35">
            <v>-1.3023879822523401E-4</v>
          </cell>
          <cell r="AG35">
            <v>-2.25022708562312E-4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1.43329336478799</v>
          </cell>
          <cell r="P36">
            <v>1.4294347031585</v>
          </cell>
          <cell r="Q36">
            <v>1.4291816642639199</v>
          </cell>
          <cell r="U36">
            <v>2.9050725804309501E-3</v>
          </cell>
          <cell r="V36">
            <v>3.2212399605997198E-4</v>
          </cell>
          <cell r="W36">
            <v>6.9580995827045295E-7</v>
          </cell>
          <cell r="Y36">
            <v>1.43040773636679</v>
          </cell>
          <cell r="Z36">
            <v>1.4283994669314499</v>
          </cell>
          <cell r="AA36">
            <v>1.4284020245304001</v>
          </cell>
          <cell r="AF36">
            <v>3.1712028426948501E-4</v>
          </cell>
          <cell r="AG36">
            <v>2.1186899116121101E-4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1.43329336478799</v>
          </cell>
          <cell r="P37">
            <v>1.42941415776605</v>
          </cell>
          <cell r="Q37">
            <v>1.42925590677185</v>
          </cell>
          <cell r="U37">
            <v>2.2020892145318701E-3</v>
          </cell>
          <cell r="V37">
            <v>-4.9370575777844697E-4</v>
          </cell>
          <cell r="W37">
            <v>-6.7074168195761005E-4</v>
          </cell>
          <cell r="Y37">
            <v>1.43040773636679</v>
          </cell>
          <cell r="Z37">
            <v>1.42838003041594</v>
          </cell>
          <cell r="AA37">
            <v>1.42842446278202</v>
          </cell>
          <cell r="AF37">
            <v>-4.9346947637838299E-4</v>
          </cell>
          <cell r="AG37">
            <v>-4.9167894318527202E-4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1.43329336478799</v>
          </cell>
          <cell r="P38">
            <v>1.4294530842055999</v>
          </cell>
          <cell r="Q38">
            <v>1.4293206428674601</v>
          </cell>
          <cell r="U38">
            <v>2.3055199389297601E-3</v>
          </cell>
          <cell r="V38">
            <v>-4.04648225845018E-4</v>
          </cell>
          <cell r="W38">
            <v>-5.1536474141437795E-4</v>
          </cell>
          <cell r="Y38">
            <v>1.43040773636679</v>
          </cell>
          <cell r="Z38">
            <v>1.42841955190192</v>
          </cell>
          <cell r="AA38">
            <v>1.4284374839777501</v>
          </cell>
          <cell r="AF38">
            <v>-4.0482170543746802E-4</v>
          </cell>
          <cell r="AG38">
            <v>-3.73715365335698E-4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1.43329336478799</v>
          </cell>
          <cell r="P39">
            <v>1.42943131423069</v>
          </cell>
          <cell r="Q39">
            <v>1.42937717317805</v>
          </cell>
          <cell r="U39">
            <v>2.6269276012176601E-3</v>
          </cell>
          <cell r="V39">
            <v>-5.6008491367118499E-5</v>
          </cell>
          <cell r="W39">
            <v>-1.4866453964576E-4</v>
          </cell>
          <cell r="Y39">
            <v>1.43040773636679</v>
          </cell>
          <cell r="Z39">
            <v>1.4283986475535599</v>
          </cell>
          <cell r="AA39">
            <v>1.4284423979566201</v>
          </cell>
          <cell r="AF39">
            <v>-5.6893025786221098E-5</v>
          </cell>
          <cell r="AG39">
            <v>-4.4339316864484402E-5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1.43329336478799</v>
          </cell>
          <cell r="P40">
            <v>1.4295063268483601</v>
          </cell>
          <cell r="Q40">
            <v>1.4295052517584801</v>
          </cell>
          <cell r="U40">
            <v>2.4078374301940001E-3</v>
          </cell>
          <cell r="V40">
            <v>-2.9032836172307799E-4</v>
          </cell>
          <cell r="W40">
            <v>-3.2820501760555198E-4</v>
          </cell>
          <cell r="Y40">
            <v>1.43040773636679</v>
          </cell>
          <cell r="Z40">
            <v>1.4284737410746799</v>
          </cell>
          <cell r="AA40">
            <v>1.4285187978038301</v>
          </cell>
          <cell r="AF40">
            <v>-2.8990274162927397E-4</v>
          </cell>
          <cell r="AG40">
            <v>-2.5927422406711099E-4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1.43329336478799</v>
          </cell>
          <cell r="P41">
            <v>1.42977904143551</v>
          </cell>
          <cell r="Q41">
            <v>1.4297447335390201</v>
          </cell>
          <cell r="U41">
            <v>7.4852547046324995E-4</v>
          </cell>
          <cell r="V41">
            <v>-1.8971644530730899E-3</v>
          </cell>
          <cell r="W41">
            <v>-1.8979165240909899E-3</v>
          </cell>
          <cell r="Y41">
            <v>1.43040773636679</v>
          </cell>
          <cell r="Z41">
            <v>1.4286648253001299</v>
          </cell>
          <cell r="AA41">
            <v>1.42866572218122</v>
          </cell>
          <cell r="AF41">
            <v>-1.3264250152019701E-3</v>
          </cell>
          <cell r="AG41">
            <v>-1.29488364535896E-3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1.43329336478799</v>
          </cell>
          <cell r="P42">
            <v>1.43001477616378</v>
          </cell>
          <cell r="Q42">
            <v>1.4298792045523201</v>
          </cell>
          <cell r="U42">
            <v>1.3004223902215301E-3</v>
          </cell>
          <cell r="V42">
            <v>-1.1545103665078201E-3</v>
          </cell>
          <cell r="W42">
            <v>-1.17850589806148E-3</v>
          </cell>
          <cell r="Y42">
            <v>1.43040773636679</v>
          </cell>
          <cell r="Z42">
            <v>1.4288185114856</v>
          </cell>
          <cell r="AA42">
            <v>1.4287598625453299</v>
          </cell>
          <cell r="AF42">
            <v>-6.40271225772458E-4</v>
          </cell>
          <cell r="AG42">
            <v>-6.3964345025304401E-4</v>
          </cell>
          <cell r="AR42">
            <v>0</v>
          </cell>
          <cell r="BC42">
            <v>0</v>
          </cell>
          <cell r="BF42">
            <v>0</v>
          </cell>
        </row>
        <row r="43">
          <cell r="O43">
            <v>1.43329336478799</v>
          </cell>
          <cell r="P43">
            <v>1.43038926641557</v>
          </cell>
          <cell r="Q43">
            <v>1.43005547078935</v>
          </cell>
          <cell r="U43">
            <v>3.60876275272943E-4</v>
          </cell>
          <cell r="V43">
            <v>-1.9291951356093101E-3</v>
          </cell>
          <cell r="W43">
            <v>-2.0240039729124198E-3</v>
          </cell>
          <cell r="Y43">
            <v>1.43040773636679</v>
          </cell>
          <cell r="Z43">
            <v>1.4291100219536901</v>
          </cell>
          <cell r="AA43">
            <v>1.4288955011</v>
          </cell>
          <cell r="AF43">
            <v>-1.46741744373571E-3</v>
          </cell>
          <cell r="AG43">
            <v>-1.5084654449465801E-3</v>
          </cell>
          <cell r="AR43">
            <v>0</v>
          </cell>
          <cell r="BC43">
            <v>0</v>
          </cell>
          <cell r="BF43">
            <v>0</v>
          </cell>
        </row>
        <row r="44">
          <cell r="O44">
            <v>1.43329336478799</v>
          </cell>
          <cell r="P44">
            <v>1.4304980545669099</v>
          </cell>
          <cell r="Q44">
            <v>1.43001915574908</v>
          </cell>
          <cell r="U44">
            <v>2.1727763569190802E-3</v>
          </cell>
          <cell r="V44">
            <v>1.44549250793974E-4</v>
          </cell>
          <cell r="W44">
            <v>-8.8837972803765104E-5</v>
          </cell>
          <cell r="Y44">
            <v>1.43040773636679</v>
          </cell>
          <cell r="Z44">
            <v>1.4291378931282099</v>
          </cell>
          <cell r="AA44">
            <v>1.42881996943289</v>
          </cell>
          <cell r="AF44">
            <v>5.3745871638944905E-4</v>
          </cell>
          <cell r="AG44">
            <v>3.8733944449237802E-4</v>
          </cell>
          <cell r="AR44">
            <v>1.8119000816461399E-3</v>
          </cell>
          <cell r="BC44">
            <v>0</v>
          </cell>
          <cell r="BF44">
            <v>1.8119000816461399E-3</v>
          </cell>
        </row>
        <row r="45">
          <cell r="O45">
            <v>1.43329336478799</v>
          </cell>
          <cell r="P45">
            <v>1.4305644149928201</v>
          </cell>
          <cell r="Q45">
            <v>1.43008021689807</v>
          </cell>
          <cell r="U45">
            <v>2.0309163334051102E-3</v>
          </cell>
          <cell r="V45">
            <v>7.87412623224302E-5</v>
          </cell>
          <cell r="W45">
            <v>-2.5609246675138399E-4</v>
          </cell>
          <cell r="Y45">
            <v>1.43040773636679</v>
          </cell>
          <cell r="Z45">
            <v>1.4291221638054601</v>
          </cell>
          <cell r="AA45">
            <v>1.4288404710214799</v>
          </cell>
          <cell r="AF45">
            <v>4.2487928775844302E-4</v>
          </cell>
          <cell r="AG45">
            <v>2.0239616385030499E-4</v>
          </cell>
          <cell r="AR45">
            <v>1.8119000816461399E-3</v>
          </cell>
          <cell r="BC45">
            <v>0</v>
          </cell>
          <cell r="BF45">
            <v>1.8119000816461399E-3</v>
          </cell>
        </row>
        <row r="46">
          <cell r="O46">
            <v>1.43329336478799</v>
          </cell>
          <cell r="P46">
            <v>1.4307039273745401</v>
          </cell>
          <cell r="Q46">
            <v>1.43006931526652</v>
          </cell>
          <cell r="U46">
            <v>1.92934759449422E-3</v>
          </cell>
          <cell r="V46">
            <v>2.35611826120572E-5</v>
          </cell>
          <cell r="W46">
            <v>-3.1496258505750002E-4</v>
          </cell>
          <cell r="Y46">
            <v>1.43040773636679</v>
          </cell>
          <cell r="Z46">
            <v>1.4291794332929499</v>
          </cell>
          <cell r="AA46">
            <v>1.4287894501122</v>
          </cell>
          <cell r="AF46">
            <v>3.1047920230079299E-4</v>
          </cell>
          <cell r="AG46">
            <v>1.1335081338538399E-4</v>
          </cell>
          <cell r="AR46">
            <v>1.8119000816461399E-3</v>
          </cell>
          <cell r="BC46">
            <v>0</v>
          </cell>
          <cell r="BF46">
            <v>1.8119000816461399E-3</v>
          </cell>
        </row>
        <row r="47">
          <cell r="O47">
            <v>1.43329336478799</v>
          </cell>
          <cell r="P47">
            <v>1.43070671066724</v>
          </cell>
          <cell r="Q47">
            <v>1.4300604342166501</v>
          </cell>
          <cell r="U47">
            <v>2.1826277320679001E-3</v>
          </cell>
          <cell r="V47">
            <v>3.7435917949903499E-4</v>
          </cell>
          <cell r="W47">
            <v>-6.9305567481725498E-5</v>
          </cell>
          <cell r="Y47">
            <v>1.43040773636679</v>
          </cell>
          <cell r="Z47">
            <v>1.4291009859719599</v>
          </cell>
          <cell r="AA47">
            <v>1.4287405081939499</v>
          </cell>
          <cell r="AF47">
            <v>6.0150080427042298E-4</v>
          </cell>
          <cell r="AG47">
            <v>3.2859147664412899E-4</v>
          </cell>
          <cell r="AR47">
            <v>1.8119000816461399E-3</v>
          </cell>
          <cell r="BC47">
            <v>0</v>
          </cell>
          <cell r="BF47">
            <v>1.8119000816461399E-3</v>
          </cell>
        </row>
        <row r="48">
          <cell r="O48">
            <v>1.43329336478799</v>
          </cell>
          <cell r="P48">
            <v>1.4305816579117101</v>
          </cell>
          <cell r="Q48">
            <v>1.4300173710586499</v>
          </cell>
          <cell r="U48">
            <v>3.1804018040366999E-3</v>
          </cell>
          <cell r="V48">
            <v>1.3740786504695E-3</v>
          </cell>
          <cell r="W48">
            <v>9.2225826183776004E-4</v>
          </cell>
          <cell r="Y48">
            <v>1.43040773636679</v>
          </cell>
          <cell r="Z48">
            <v>1.4288955045829399</v>
          </cell>
          <cell r="AA48">
            <v>1.4286575282424301</v>
          </cell>
          <cell r="AF48">
            <v>1.5388025733056501E-3</v>
          </cell>
          <cell r="AG48">
            <v>1.2865298138424099E-3</v>
          </cell>
          <cell r="AR48">
            <v>1.8119000816461399E-3</v>
          </cell>
          <cell r="BC48">
            <v>0</v>
          </cell>
          <cell r="BF48">
            <v>1.8119000816461399E-3</v>
          </cell>
        </row>
        <row r="49">
          <cell r="O49">
            <v>1.43329336478799</v>
          </cell>
          <cell r="P49">
            <v>1.4304381609143899</v>
          </cell>
          <cell r="Q49">
            <v>1.42993473757254</v>
          </cell>
          <cell r="U49">
            <v>3.6312349663976599E-3</v>
          </cell>
          <cell r="V49">
            <v>1.73750170975148E-3</v>
          </cell>
          <cell r="W49">
            <v>1.34297814691963E-3</v>
          </cell>
          <cell r="Y49">
            <v>1.43040773636679</v>
          </cell>
          <cell r="Z49">
            <v>1.4286705618587801</v>
          </cell>
          <cell r="AA49">
            <v>1.42853460470617</v>
          </cell>
          <cell r="AF49">
            <v>1.8521717797021001E-3</v>
          </cell>
          <cell r="AG49">
            <v>1.6856122524959399E-3</v>
          </cell>
          <cell r="AR49">
            <v>1.8119000816461399E-3</v>
          </cell>
          <cell r="BC49">
            <v>-4.508331623609297E-4</v>
          </cell>
          <cell r="BF49">
            <v>1.3610669192852102E-3</v>
          </cell>
        </row>
        <row r="50">
          <cell r="O50">
            <v>1.43329336478799</v>
          </cell>
          <cell r="P50">
            <v>1.4304751929711801</v>
          </cell>
          <cell r="Q50">
            <v>1.4299907599097701</v>
          </cell>
          <cell r="U50">
            <v>2.1488777080689802E-3</v>
          </cell>
          <cell r="V50">
            <v>1.54832669941495E-4</v>
          </cell>
          <cell r="W50">
            <v>-1.97165733700087E-4</v>
          </cell>
          <cell r="Y50">
            <v>1.43040773636679</v>
          </cell>
          <cell r="Z50">
            <v>1.4286230138699401</v>
          </cell>
          <cell r="AA50">
            <v>1.42854837747231</v>
          </cell>
          <cell r="AF50">
            <v>2.33277256888341E-4</v>
          </cell>
          <cell r="AG50">
            <v>1.3810932544125701E-4</v>
          </cell>
          <cell r="AR50">
            <v>1.8119000816461399E-3</v>
          </cell>
          <cell r="BC50">
            <v>1.0315240959678099E-3</v>
          </cell>
          <cell r="BF50">
            <v>2.8434241776139498E-3</v>
          </cell>
        </row>
        <row r="51">
          <cell r="O51">
            <v>1.43329336478799</v>
          </cell>
          <cell r="P51">
            <v>1.4301856710233301</v>
          </cell>
          <cell r="Q51">
            <v>1.42998235622942</v>
          </cell>
          <cell r="U51">
            <v>2.7720609017445699E-3</v>
          </cell>
          <cell r="V51">
            <v>8.0390413929507301E-4</v>
          </cell>
          <cell r="W51">
            <v>4.6519494014876601E-4</v>
          </cell>
          <cell r="Y51">
            <v>1.43040773636679</v>
          </cell>
          <cell r="Z51">
            <v>1.4283323886780599</v>
          </cell>
          <cell r="AA51">
            <v>1.4284986069890999</v>
          </cell>
          <cell r="AF51">
            <v>8.119531939834E-4</v>
          </cell>
          <cell r="AG51">
            <v>7.5970823739816297E-4</v>
          </cell>
          <cell r="AR51">
            <v>1.8119000816461399E-3</v>
          </cell>
          <cell r="BC51">
            <v>4.0834090229211958E-4</v>
          </cell>
          <cell r="BF51">
            <v>2.2202409839382595E-3</v>
          </cell>
        </row>
        <row r="52">
          <cell r="O52">
            <v>1.43329336478799</v>
          </cell>
          <cell r="P52">
            <v>1.42994267721485</v>
          </cell>
          <cell r="Q52">
            <v>1.42997872668932</v>
          </cell>
          <cell r="U52">
            <v>2.9994239007560602E-3</v>
          </cell>
          <cell r="V52">
            <v>8.2885100958189205E-4</v>
          </cell>
          <cell r="W52">
            <v>6.8668118437091303E-4</v>
          </cell>
          <cell r="Y52">
            <v>1.43040773636679</v>
          </cell>
          <cell r="Z52">
            <v>1.4280892997349799</v>
          </cell>
          <cell r="AA52">
            <v>1.4284539056102901</v>
          </cell>
          <cell r="AF52">
            <v>8.2888091449959903E-4</v>
          </cell>
          <cell r="AG52">
            <v>9.4524643382869699E-4</v>
          </cell>
          <cell r="AR52">
            <v>1.8119000816461399E-3</v>
          </cell>
          <cell r="BC52">
            <v>1.809779032804896E-4</v>
          </cell>
          <cell r="BF52">
            <v>1.9928779849266295E-3</v>
          </cell>
        </row>
        <row r="53">
          <cell r="O53">
            <v>1.43329336478799</v>
          </cell>
          <cell r="P53">
            <v>1.42961309373729</v>
          </cell>
          <cell r="Q53">
            <v>1.4300011800764301</v>
          </cell>
          <cell r="U53">
            <v>2.6638397721854101E-3</v>
          </cell>
          <cell r="V53">
            <v>3.2334876582600601E-4</v>
          </cell>
          <cell r="W53">
            <v>3.4855888133142999E-4</v>
          </cell>
          <cell r="Y53">
            <v>1.43040773636679</v>
          </cell>
          <cell r="Z53">
            <v>1.427758512442</v>
          </cell>
          <cell r="AA53">
            <v>1.42843426719785</v>
          </cell>
          <cell r="AF53">
            <v>3.36484355495241E-4</v>
          </cell>
          <cell r="AG53">
            <v>5.9176204680415399E-4</v>
          </cell>
          <cell r="AR53">
            <v>1.8119000816461399E-3</v>
          </cell>
          <cell r="BC53">
            <v>5.1656203185134917E-4</v>
          </cell>
          <cell r="BF53">
            <v>2.3284621134974891E-3</v>
          </cell>
        </row>
        <row r="54">
          <cell r="O54">
            <v>1.43329336478799</v>
          </cell>
          <cell r="P54">
            <v>1.42967013660027</v>
          </cell>
          <cell r="Q54">
            <v>1.4300840955835901</v>
          </cell>
          <cell r="U54">
            <v>1.7740056444855499E-3</v>
          </cell>
          <cell r="V54">
            <v>-7.9699912374913405E-4</v>
          </cell>
          <cell r="W54">
            <v>-5.2557346674596695E-4</v>
          </cell>
          <cell r="Y54">
            <v>1.43040773636679</v>
          </cell>
          <cell r="Z54">
            <v>1.42781154852006</v>
          </cell>
          <cell r="AA54">
            <v>1.42847472082414</v>
          </cell>
          <cell r="AF54">
            <v>-7.7993207812039297E-4</v>
          </cell>
          <cell r="AG54">
            <v>-3.0674639312457E-4</v>
          </cell>
          <cell r="AR54">
            <v>1.8119000816461399E-3</v>
          </cell>
          <cell r="BC54">
            <v>1.4063961595512289E-3</v>
          </cell>
          <cell r="BF54">
            <v>3.2182962411973688E-3</v>
          </cell>
        </row>
        <row r="55">
          <cell r="O55">
            <v>1.43329336478799</v>
          </cell>
          <cell r="P55">
            <v>1.4294996927818899</v>
          </cell>
          <cell r="Q55">
            <v>1.4300320538873501</v>
          </cell>
          <cell r="U55">
            <v>3.2232204959899802E-3</v>
          </cell>
          <cell r="V55">
            <v>6.9211584145184503E-4</v>
          </cell>
          <cell r="W55">
            <v>9.8162252811174393E-4</v>
          </cell>
          <cell r="Y55">
            <v>1.43040773636679</v>
          </cell>
          <cell r="Z55">
            <v>1.4276379108371999</v>
          </cell>
          <cell r="AA55">
            <v>1.42838003732133</v>
          </cell>
          <cell r="AF55">
            <v>7.12612796581009E-4</v>
          </cell>
          <cell r="AG55">
            <v>1.17697263551529E-3</v>
          </cell>
          <cell r="AR55">
            <v>1.8119000816461399E-3</v>
          </cell>
          <cell r="BC55">
            <v>1.4063961595512289E-3</v>
          </cell>
          <cell r="BF55">
            <v>3.2182962411973688E-3</v>
          </cell>
        </row>
        <row r="56">
          <cell r="O56">
            <v>1.43329336478799</v>
          </cell>
          <cell r="P56">
            <v>1.4296125274535001</v>
          </cell>
          <cell r="Q56">
            <v>1.4301582274140201</v>
          </cell>
          <cell r="U56">
            <v>1.14089758464315E-3</v>
          </cell>
          <cell r="V56">
            <v>-1.5094331591126899E-3</v>
          </cell>
          <cell r="W56">
            <v>-1.1370916998948799E-3</v>
          </cell>
          <cell r="Y56">
            <v>1.43040773636679</v>
          </cell>
          <cell r="Z56">
            <v>1.42774577283306</v>
          </cell>
          <cell r="AA56">
            <v>1.4284626030630101</v>
          </cell>
          <cell r="AF56">
            <v>-1.4833297063047901E-3</v>
          </cell>
          <cell r="AG56">
            <v>-9.6363654309282703E-4</v>
          </cell>
          <cell r="AR56">
            <v>1.8119000816461399E-3</v>
          </cell>
          <cell r="BC56">
            <v>3.4887190708980179E-3</v>
          </cell>
          <cell r="BF56">
            <v>5.3006191525441573E-3</v>
          </cell>
        </row>
        <row r="57">
          <cell r="O57">
            <v>1.43329336478799</v>
          </cell>
          <cell r="P57">
            <v>1.4295969069007299</v>
          </cell>
          <cell r="Q57">
            <v>1.43015180878399</v>
          </cell>
          <cell r="U57">
            <v>2.2918554674015898E-3</v>
          </cell>
          <cell r="V57">
            <v>-2.7954541073275599E-4</v>
          </cell>
          <cell r="W57">
            <v>1.0209354841643799E-4</v>
          </cell>
          <cell r="Y57">
            <v>1.43040773636679</v>
          </cell>
          <cell r="Z57">
            <v>1.42772569401923</v>
          </cell>
          <cell r="AA57">
            <v>1.4284133399955901</v>
          </cell>
          <cell r="AF57">
            <v>-2.6155174071854499E-4</v>
          </cell>
          <cell r="AG57">
            <v>2.40393601257033E-4</v>
          </cell>
          <cell r="AR57">
            <v>1.8119000816461399E-3</v>
          </cell>
          <cell r="BC57">
            <v>3.4887190708980179E-3</v>
          </cell>
          <cell r="BF57">
            <v>5.3006191525441573E-3</v>
          </cell>
        </row>
        <row r="58">
          <cell r="O58">
            <v>1.43329336478799</v>
          </cell>
          <cell r="P58">
            <v>1.4297767738999101</v>
          </cell>
          <cell r="Q58">
            <v>1.43017921590581</v>
          </cell>
          <cell r="U58">
            <v>1.92227503668176E-3</v>
          </cell>
          <cell r="V58">
            <v>-6.6005232524126399E-4</v>
          </cell>
          <cell r="W58">
            <v>-2.7197494824856498E-4</v>
          </cell>
          <cell r="Y58">
            <v>1.43040773636679</v>
          </cell>
          <cell r="Z58">
            <v>1.4279012178334101</v>
          </cell>
          <cell r="AA58">
            <v>1.4283983612081701</v>
          </cell>
          <cell r="AF58">
            <v>-6.5335530109321101E-4</v>
          </cell>
          <cell r="AG58">
            <v>-1.7183393153537101E-4</v>
          </cell>
          <cell r="AR58">
            <v>1.8119000816461399E-3</v>
          </cell>
          <cell r="BC58">
            <v>3.4887190708980179E-3</v>
          </cell>
          <cell r="BF58">
            <v>5.3006191525441573E-3</v>
          </cell>
        </row>
        <row r="59">
          <cell r="O59">
            <v>1.43329336478799</v>
          </cell>
          <cell r="P59">
            <v>1.43002527540339</v>
          </cell>
          <cell r="Q59">
            <v>1.4302317181588899</v>
          </cell>
          <cell r="U59">
            <v>1.89266019135894E-3</v>
          </cell>
          <cell r="V59">
            <v>-5.63858500910944E-4</v>
          </cell>
          <cell r="W59">
            <v>-2.8242619216875298E-4</v>
          </cell>
          <cell r="Y59">
            <v>1.43040773636679</v>
          </cell>
          <cell r="Z59">
            <v>1.42814421442317</v>
          </cell>
          <cell r="AA59">
            <v>1.42840738814097</v>
          </cell>
          <cell r="AF59">
            <v>-5.4620662616806101E-4</v>
          </cell>
          <cell r="AG59">
            <v>-1.98103518614842E-4</v>
          </cell>
          <cell r="AR59">
            <v>1.8119000816461399E-3</v>
          </cell>
          <cell r="BC59">
            <v>3.4887190708980179E-3</v>
          </cell>
          <cell r="BF59">
            <v>5.3006191525441573E-3</v>
          </cell>
        </row>
        <row r="60">
          <cell r="O60">
            <v>1.43329336478799</v>
          </cell>
          <cell r="P60">
            <v>1.43000360545339</v>
          </cell>
          <cell r="Q60">
            <v>1.4302393992122899</v>
          </cell>
          <cell r="U60">
            <v>2.30040433916421E-3</v>
          </cell>
          <cell r="V60">
            <v>1.76749510644885E-5</v>
          </cell>
          <cell r="W60">
            <v>1.6202754338242301E-4</v>
          </cell>
          <cell r="Y60">
            <v>1.43040773636679</v>
          </cell>
          <cell r="Z60">
            <v>1.4281199283385599</v>
          </cell>
          <cell r="AA60">
            <v>1.4283714711042499</v>
          </cell>
          <cell r="AF60">
            <v>3.4836647688546801E-5</v>
          </cell>
          <cell r="AG60">
            <v>2.1909638121648999E-4</v>
          </cell>
          <cell r="AR60">
            <v>1.8119000816461399E-3</v>
          </cell>
          <cell r="BC60">
            <v>3.4887190708980179E-3</v>
          </cell>
          <cell r="BF60">
            <v>5.3006191525441573E-3</v>
          </cell>
        </row>
        <row r="61">
          <cell r="O61">
            <v>1.43329336478799</v>
          </cell>
          <cell r="P61">
            <v>1.4300312698178601</v>
          </cell>
          <cell r="Q61">
            <v>1.43010847042059</v>
          </cell>
          <cell r="U61">
            <v>2.5785312688517302E-3</v>
          </cell>
          <cell r="V61">
            <v>2.8064822259289902E-4</v>
          </cell>
          <cell r="W61">
            <v>4.45524954425016E-4</v>
          </cell>
          <cell r="Y61">
            <v>1.43040773636679</v>
          </cell>
          <cell r="Z61">
            <v>1.42814403209904</v>
          </cell>
          <cell r="AA61">
            <v>1.42823821038855</v>
          </cell>
          <cell r="AF61">
            <v>2.9090099488147801E-4</v>
          </cell>
          <cell r="AG61">
            <v>4.67021088497708E-4</v>
          </cell>
          <cell r="AR61">
            <v>1.8119000816461399E-3</v>
          </cell>
          <cell r="BC61">
            <v>3.4887190708980179E-3</v>
          </cell>
          <cell r="BF61">
            <v>5.3006191525441573E-3</v>
          </cell>
        </row>
        <row r="62">
          <cell r="O62">
            <v>1.43329336478799</v>
          </cell>
          <cell r="P62">
            <v>1.4301209952648499</v>
          </cell>
          <cell r="Q62">
            <v>1.4300318362398501</v>
          </cell>
          <cell r="U62">
            <v>2.3717315089375199E-3</v>
          </cell>
          <cell r="V62">
            <v>9.3193936190771797E-5</v>
          </cell>
          <cell r="W62">
            <v>1.47177734023516E-4</v>
          </cell>
          <cell r="Y62">
            <v>1.43040773636679</v>
          </cell>
          <cell r="Z62">
            <v>1.42823046585725</v>
          </cell>
          <cell r="AA62">
            <v>1.4281598827961099</v>
          </cell>
          <cell r="AF62">
            <v>9.1544514219621002E-5</v>
          </cell>
          <cell r="AG62">
            <v>1.5748687175478701E-4</v>
          </cell>
          <cell r="AR62">
            <v>1.8119000816461399E-3</v>
          </cell>
          <cell r="BC62">
            <v>3.4887190708980179E-3</v>
          </cell>
          <cell r="BF62">
            <v>5.3006191525441573E-3</v>
          </cell>
        </row>
        <row r="63">
          <cell r="O63">
            <v>1.43329336478799</v>
          </cell>
          <cell r="P63">
            <v>1.4302522253815</v>
          </cell>
          <cell r="Q63">
            <v>1.42993265955939</v>
          </cell>
          <cell r="U63">
            <v>1.74623419475167E-3</v>
          </cell>
          <cell r="V63">
            <v>-4.6956165048675399E-4</v>
          </cell>
          <cell r="W63">
            <v>-5.3190728743681402E-4</v>
          </cell>
          <cell r="Y63">
            <v>1.43040773636679</v>
          </cell>
          <cell r="Z63">
            <v>1.4283375750040801</v>
          </cell>
          <cell r="AA63">
            <v>1.4280480437230401</v>
          </cell>
          <cell r="AF63">
            <v>-3.1465913464673702E-4</v>
          </cell>
          <cell r="AG63">
            <v>-3.6408029389872401E-4</v>
          </cell>
          <cell r="AR63">
            <v>1.8119000816461399E-3</v>
          </cell>
          <cell r="BC63">
            <v>3.4887190708980179E-3</v>
          </cell>
          <cell r="BF63">
            <v>5.3006191525441573E-3</v>
          </cell>
        </row>
        <row r="64">
          <cell r="O64">
            <v>1.43329336478799</v>
          </cell>
          <cell r="P64">
            <v>1.4301623231269101</v>
          </cell>
          <cell r="Q64">
            <v>1.4299162298635899</v>
          </cell>
          <cell r="U64">
            <v>2.40255938507378E-3</v>
          </cell>
          <cell r="V64">
            <v>2.7852087820919198E-4</v>
          </cell>
          <cell r="W64">
            <v>5.5062719878719599E-5</v>
          </cell>
          <cell r="Y64">
            <v>1.43040773636679</v>
          </cell>
          <cell r="Z64">
            <v>1.42822621380623</v>
          </cell>
          <cell r="AA64">
            <v>1.42801888116314</v>
          </cell>
          <cell r="AF64">
            <v>4.0522827620352299E-4</v>
          </cell>
          <cell r="AG64">
            <v>2.02502649708342E-4</v>
          </cell>
          <cell r="AR64">
            <v>1.8119000816461399E-3</v>
          </cell>
          <cell r="BC64">
            <v>3.4887190708980179E-3</v>
          </cell>
          <cell r="BF64">
            <v>5.3006191525441573E-3</v>
          </cell>
        </row>
        <row r="65">
          <cell r="O65">
            <v>1.43329336478799</v>
          </cell>
          <cell r="P65">
            <v>1.43023396933745</v>
          </cell>
          <cell r="Q65">
            <v>1.4298668310596701</v>
          </cell>
          <cell r="U65">
            <v>2.7218611811982299E-3</v>
          </cell>
          <cell r="V65">
            <v>5.3496307612052704E-4</v>
          </cell>
          <cell r="W65">
            <v>3.6287461115915601E-4</v>
          </cell>
          <cell r="Y65">
            <v>1.43040773636679</v>
          </cell>
          <cell r="Z65">
            <v>1.4282776872191001</v>
          </cell>
          <cell r="AA65">
            <v>1.42795779902815</v>
          </cell>
          <cell r="AF65">
            <v>6.4229323009216402E-4</v>
          </cell>
          <cell r="AG65">
            <v>4.9711476217144499E-4</v>
          </cell>
          <cell r="AR65">
            <v>1.8119000816461399E-3</v>
          </cell>
          <cell r="BC65">
            <v>3.4887190708980179E-3</v>
          </cell>
          <cell r="BF65">
            <v>5.3006191525441573E-3</v>
          </cell>
        </row>
        <row r="66">
          <cell r="O66">
            <v>1.43329336478799</v>
          </cell>
          <cell r="P66">
            <v>1.42988830379089</v>
          </cell>
          <cell r="Q66">
            <v>1.4297504156221901</v>
          </cell>
          <cell r="U66">
            <v>3.5582574467980001E-3</v>
          </cell>
          <cell r="V66">
            <v>1.42145464547165E-3</v>
          </cell>
          <cell r="W66">
            <v>1.1647236381251401E-3</v>
          </cell>
          <cell r="Y66">
            <v>1.43040773636679</v>
          </cell>
          <cell r="Z66">
            <v>1.42791543470705</v>
          </cell>
          <cell r="AA66">
            <v>1.4278306037700601</v>
          </cell>
          <cell r="AF66">
            <v>1.5015860262618599E-3</v>
          </cell>
          <cell r="AG66">
            <v>1.2775931560443301E-3</v>
          </cell>
          <cell r="AR66">
            <v>1.8119000816461399E-3</v>
          </cell>
          <cell r="BC66">
            <v>3.4887190708980179E-3</v>
          </cell>
          <cell r="BF66">
            <v>5.3006191525441573E-3</v>
          </cell>
        </row>
        <row r="67">
          <cell r="O67">
            <v>1.43329336478799</v>
          </cell>
          <cell r="P67">
            <v>1.4301681900647001</v>
          </cell>
          <cell r="Q67">
            <v>1.42988254848272</v>
          </cell>
          <cell r="U67">
            <v>3.3653840851445398E-4</v>
          </cell>
          <cell r="V67">
            <v>-2.0419782184732198E-3</v>
          </cell>
          <cell r="W67">
            <v>-2.1384156935046902E-3</v>
          </cell>
          <cell r="Y67">
            <v>1.43040773636679</v>
          </cell>
          <cell r="Z67">
            <v>1.4281728303462999</v>
          </cell>
          <cell r="AA67">
            <v>1.4279492621827601</v>
          </cell>
          <cell r="AF67">
            <v>-1.94344450220864E-3</v>
          </cell>
          <cell r="AG67">
            <v>-2.0028552032138199E-3</v>
          </cell>
          <cell r="AR67">
            <v>1.8119000816461399E-3</v>
          </cell>
          <cell r="BC67">
            <v>6.7104381091813367E-3</v>
          </cell>
          <cell r="BF67">
            <v>8.5223381908274762E-3</v>
          </cell>
        </row>
        <row r="68">
          <cell r="O68">
            <v>1.43329336478799</v>
          </cell>
          <cell r="P68">
            <v>1.4303504600794199</v>
          </cell>
          <cell r="Q68">
            <v>1.4300636169896599</v>
          </cell>
          <cell r="U68">
            <v>6.4895244692700902E-4</v>
          </cell>
          <cell r="V68">
            <v>-1.5338433785249701E-3</v>
          </cell>
          <cell r="W68">
            <v>-1.7335891935793301E-3</v>
          </cell>
          <cell r="Y68">
            <v>1.43040773636679</v>
          </cell>
          <cell r="Z68">
            <v>1.4283331063698399</v>
          </cell>
          <cell r="AA68">
            <v>1.42811716210162</v>
          </cell>
          <cell r="AF68">
            <v>-1.46145821986021E-3</v>
          </cell>
          <cell r="AG68">
            <v>-1.6180118662030101E-3</v>
          </cell>
          <cell r="AR68">
            <v>2.12431412005883E-3</v>
          </cell>
          <cell r="BC68">
            <v>6.7104381091813367E-3</v>
          </cell>
          <cell r="BF68">
            <v>8.8347522292401663E-3</v>
          </cell>
        </row>
        <row r="69">
          <cell r="O69">
            <v>1.43329336478799</v>
          </cell>
          <cell r="P69">
            <v>1.4304920208194001</v>
          </cell>
          <cell r="Q69">
            <v>1.4302586481113899</v>
          </cell>
          <cell r="U69">
            <v>9.0361776851050502E-4</v>
          </cell>
          <cell r="V69">
            <v>-1.1517396184952699E-3</v>
          </cell>
          <cell r="W69">
            <v>-1.35230015482847E-3</v>
          </cell>
          <cell r="Y69">
            <v>1.43040773636679</v>
          </cell>
          <cell r="Z69">
            <v>1.4284552183105901</v>
          </cell>
          <cell r="AA69">
            <v>1.42829971636688</v>
          </cell>
          <cell r="AF69">
            <v>-1.0981412332686899E-3</v>
          </cell>
          <cell r="AG69">
            <v>-1.24933887252637E-3</v>
          </cell>
          <cell r="AR69">
            <v>2.3789794416419971E-3</v>
          </cell>
          <cell r="BC69">
            <v>6.7104381091813367E-3</v>
          </cell>
          <cell r="BF69">
            <v>9.0894175508233338E-3</v>
          </cell>
        </row>
        <row r="70">
          <cell r="O70">
            <v>1.43329336478799</v>
          </cell>
          <cell r="P70">
            <v>1.43073486091486</v>
          </cell>
          <cell r="Q70">
            <v>1.43036923318413</v>
          </cell>
          <cell r="U70">
            <v>6.0366213492648603E-4</v>
          </cell>
          <cell r="V70">
            <v>-1.3527308798422901E-3</v>
          </cell>
          <cell r="W70">
            <v>-1.51588575457943E-3</v>
          </cell>
          <cell r="Y70">
            <v>1.43040773636679</v>
          </cell>
          <cell r="Z70">
            <v>1.4286794345668199</v>
          </cell>
          <cell r="AA70">
            <v>1.42839968145269</v>
          </cell>
          <cell r="AF70">
            <v>-1.3162259853517001E-3</v>
          </cell>
          <cell r="AG70">
            <v>-1.4250921271257099E-3</v>
          </cell>
          <cell r="AR70">
            <v>2.0790238080581579E-3</v>
          </cell>
          <cell r="BC70">
            <v>6.7104381091813367E-3</v>
          </cell>
          <cell r="BF70">
            <v>8.7894619172394946E-3</v>
          </cell>
        </row>
        <row r="71">
          <cell r="O71">
            <v>1.43329336478799</v>
          </cell>
          <cell r="P71">
            <v>1.43106042670362</v>
          </cell>
          <cell r="Q71">
            <v>1.43054584826074</v>
          </cell>
          <cell r="U71">
            <v>3.0380329275950799E-4</v>
          </cell>
          <cell r="V71">
            <v>-1.4828442903561899E-3</v>
          </cell>
          <cell r="W71">
            <v>-1.73842935171574E-3</v>
          </cell>
          <cell r="Y71">
            <v>1.43040773636679</v>
          </cell>
          <cell r="Z71">
            <v>1.42898583760363</v>
          </cell>
          <cell r="AA71">
            <v>1.4285649348513301</v>
          </cell>
          <cell r="AF71">
            <v>-1.4612214770250401E-3</v>
          </cell>
          <cell r="AG71">
            <v>-1.65705302642327E-3</v>
          </cell>
          <cell r="AR71">
            <v>1.779164965891358E-3</v>
          </cell>
          <cell r="BC71">
            <v>6.7104381091813367E-3</v>
          </cell>
          <cell r="BF71">
            <v>8.4896030750726947E-3</v>
          </cell>
        </row>
        <row r="72">
          <cell r="O72">
            <v>1.43329336478799</v>
          </cell>
          <cell r="P72">
            <v>1.4311720236868399</v>
          </cell>
          <cell r="Q72">
            <v>1.43064650947585</v>
          </cell>
          <cell r="U72">
            <v>1.59158175521006E-3</v>
          </cell>
          <cell r="V72">
            <v>3.2459733807447398E-5</v>
          </cell>
          <cell r="W72">
            <v>-3.2718334702399498E-4</v>
          </cell>
          <cell r="Y72">
            <v>1.43040773636679</v>
          </cell>
          <cell r="Z72">
            <v>1.42907944964681</v>
          </cell>
          <cell r="AA72">
            <v>1.42865495775203</v>
          </cell>
          <cell r="AF72">
            <v>2.5485420163482901E-5</v>
          </cell>
          <cell r="AG72">
            <v>-2.6910444987083599E-4</v>
          </cell>
          <cell r="AR72">
            <v>3.0669434283419486E-3</v>
          </cell>
          <cell r="BC72">
            <v>6.7104381091813367E-3</v>
          </cell>
          <cell r="BF72">
            <v>9.7773815375232862E-3</v>
          </cell>
        </row>
        <row r="73">
          <cell r="O73">
            <v>1.43329336478799</v>
          </cell>
          <cell r="P73">
            <v>1.4313017106180399</v>
          </cell>
          <cell r="Q73">
            <v>1.4307769679997699</v>
          </cell>
          <cell r="U73">
            <v>8.4024554823714003E-4</v>
          </cell>
          <cell r="V73">
            <v>-6.4089749331870303E-4</v>
          </cell>
          <cell r="W73">
            <v>-1.0081564308187E-3</v>
          </cell>
          <cell r="Y73">
            <v>1.43040773636679</v>
          </cell>
          <cell r="Z73">
            <v>1.4292116024983901</v>
          </cell>
          <cell r="AA73">
            <v>1.42877458875124</v>
          </cell>
          <cell r="AF73">
            <v>-6.4497736061905299E-4</v>
          </cell>
          <cell r="AG73">
            <v>-9.4206018035157904E-4</v>
          </cell>
          <cell r="AR73">
            <v>3.0669434283419486E-3</v>
          </cell>
          <cell r="BC73">
            <v>6.7104381091813367E-3</v>
          </cell>
          <cell r="BF73">
            <v>9.7773815375232862E-3</v>
          </cell>
        </row>
        <row r="74">
          <cell r="O74">
            <v>1.43329336478799</v>
          </cell>
          <cell r="P74">
            <v>1.4315099189914899</v>
          </cell>
          <cell r="Q74">
            <v>1.4308361210592</v>
          </cell>
          <cell r="U74">
            <v>9.4746718824519701E-4</v>
          </cell>
          <cell r="V74">
            <v>-4.4306406551901102E-4</v>
          </cell>
          <cell r="W74">
            <v>-8.0975043795925299E-4</v>
          </cell>
          <cell r="Y74">
            <v>1.43040773636679</v>
          </cell>
          <cell r="Z74">
            <v>1.4294222825004601</v>
          </cell>
          <cell r="AA74">
            <v>1.42882424815334</v>
          </cell>
          <cell r="AF74">
            <v>-4.5755112953854601E-4</v>
          </cell>
          <cell r="AG74">
            <v>-7.63370487167603E-4</v>
          </cell>
          <cell r="AR74">
            <v>3.0669434283419486E-3</v>
          </cell>
          <cell r="BC74">
            <v>6.7104381091813367E-3</v>
          </cell>
          <cell r="BF74">
            <v>9.7773815375232862E-3</v>
          </cell>
        </row>
        <row r="75">
          <cell r="O75">
            <v>1.43329336478799</v>
          </cell>
          <cell r="P75">
            <v>1.43168767351016</v>
          </cell>
          <cell r="Q75">
            <v>1.4309608214238101</v>
          </cell>
          <cell r="U75">
            <v>1.4790711750904499E-3</v>
          </cell>
          <cell r="V75">
            <v>2.3399718555067999E-4</v>
          </cell>
          <cell r="W75">
            <v>-2.3680399313942199E-4</v>
          </cell>
          <cell r="Y75">
            <v>1.43040773636679</v>
          </cell>
          <cell r="Z75">
            <v>1.42960287009367</v>
          </cell>
          <cell r="AA75">
            <v>1.4289402786563901</v>
          </cell>
          <cell r="AF75">
            <v>2.1496186247621E-4</v>
          </cell>
          <cell r="AG75">
            <v>-2.0350054055938001E-4</v>
          </cell>
          <cell r="AR75">
            <v>3.0669434283419486E-3</v>
          </cell>
          <cell r="BC75">
            <v>6.7104381091813367E-3</v>
          </cell>
          <cell r="BF75">
            <v>9.7773815375232862E-3</v>
          </cell>
        </row>
        <row r="76">
          <cell r="O76">
            <v>1.43329336478799</v>
          </cell>
          <cell r="P76">
            <v>1.4319819190585299</v>
          </cell>
          <cell r="Q76">
            <v>1.43093511142471</v>
          </cell>
          <cell r="U76">
            <v>1.5001258120284501E-3</v>
          </cell>
          <cell r="V76">
            <v>3.7921686046105401E-4</v>
          </cell>
          <cell r="W76">
            <v>-1.2860105938449301E-4</v>
          </cell>
          <cell r="Y76">
            <v>1.43040773636679</v>
          </cell>
          <cell r="Z76">
            <v>1.42989697632311</v>
          </cell>
          <cell r="AA76">
            <v>1.4289062055150801</v>
          </cell>
          <cell r="AF76">
            <v>3.6883685083751599E-4</v>
          </cell>
          <cell r="AG76">
            <v>-9.47499587169412E-5</v>
          </cell>
          <cell r="AR76">
            <v>3.0669434283419486E-3</v>
          </cell>
          <cell r="BC76">
            <v>6.7104381091813367E-3</v>
          </cell>
          <cell r="BF76">
            <v>9.7773815375232862E-3</v>
          </cell>
        </row>
        <row r="77">
          <cell r="O77">
            <v>1.43329336478799</v>
          </cell>
          <cell r="P77">
            <v>1.4318890438371099</v>
          </cell>
          <cell r="Q77">
            <v>1.4310286169509101</v>
          </cell>
          <cell r="U77">
            <v>9.8495142141523493E-4</v>
          </cell>
          <cell r="V77">
            <v>6.9544913406945197E-5</v>
          </cell>
          <cell r="W77">
            <v>-6.6174255970394996E-4</v>
          </cell>
          <cell r="Y77">
            <v>1.43040773636679</v>
          </cell>
          <cell r="Z77">
            <v>1.42980832851068</v>
          </cell>
          <cell r="AA77">
            <v>1.4289905794284901</v>
          </cell>
          <cell r="AF77">
            <v>6.3116321981233596E-5</v>
          </cell>
          <cell r="AG77">
            <v>-6.30020480154296E-4</v>
          </cell>
          <cell r="AR77">
            <v>3.0669434283419486E-3</v>
          </cell>
          <cell r="BC77">
            <v>6.7104381091813367E-3</v>
          </cell>
          <cell r="BF77">
            <v>9.7773815375232862E-3</v>
          </cell>
        </row>
        <row r="78">
          <cell r="O78">
            <v>1.43329336478799</v>
          </cell>
          <cell r="P78">
            <v>1.43166103934856</v>
          </cell>
          <cell r="Q78">
            <v>1.4310057497139901</v>
          </cell>
          <cell r="U78">
            <v>2.2420267361317101E-3</v>
          </cell>
          <cell r="V78">
            <v>1.2617603076463999E-3</v>
          </cell>
          <cell r="W78">
            <v>6.6067636877099E-4</v>
          </cell>
          <cell r="Y78">
            <v>1.43040773636679</v>
          </cell>
          <cell r="Z78">
            <v>1.4295848686933199</v>
          </cell>
          <cell r="AA78">
            <v>1.42895898753158</v>
          </cell>
          <cell r="AF78">
            <v>1.24664686831623E-3</v>
          </cell>
          <cell r="AG78">
            <v>6.7455409031656603E-4</v>
          </cell>
          <cell r="AR78">
            <v>3.0669434283419486E-3</v>
          </cell>
          <cell r="BC78">
            <v>6.7104381091813367E-3</v>
          </cell>
          <cell r="BF78">
            <v>9.7773815375232862E-3</v>
          </cell>
        </row>
        <row r="79">
          <cell r="O79">
            <v>1.43329336478799</v>
          </cell>
          <cell r="P79">
            <v>1.43161592121134</v>
          </cell>
          <cell r="Q79">
            <v>1.43105397101537</v>
          </cell>
          <cell r="U79">
            <v>1.2187384684230901E-3</v>
          </cell>
          <cell r="V79">
            <v>7.9226011472304406E-5</v>
          </cell>
          <cell r="W79">
            <v>-3.7859160706687898E-4</v>
          </cell>
          <cell r="Y79">
            <v>1.43040773636679</v>
          </cell>
          <cell r="Z79">
            <v>1.42954197219468</v>
          </cell>
          <cell r="AA79">
            <v>1.4289985952526401</v>
          </cell>
          <cell r="AF79">
            <v>7.7895780425946698E-5</v>
          </cell>
          <cell r="AG79">
            <v>-3.6000631464153901E-4</v>
          </cell>
          <cell r="AR79">
            <v>3.0669434283419486E-3</v>
          </cell>
          <cell r="BC79">
            <v>6.7104381091813367E-3</v>
          </cell>
          <cell r="BF79">
            <v>9.7773815375232862E-3</v>
          </cell>
        </row>
        <row r="80">
          <cell r="O80">
            <v>1.43329336478799</v>
          </cell>
          <cell r="P80">
            <v>1.4315518495667501</v>
          </cell>
          <cell r="Q80">
            <v>1.4311433552407999</v>
          </cell>
          <cell r="U80">
            <v>1.0510560727443499E-3</v>
          </cell>
          <cell r="V80">
            <v>-1.19971419495438E-4</v>
          </cell>
          <cell r="W80">
            <v>-5.1257708088620795E-4</v>
          </cell>
          <cell r="Y80">
            <v>1.43040773636679</v>
          </cell>
          <cell r="Z80">
            <v>1.42947892288559</v>
          </cell>
          <cell r="AA80">
            <v>1.4290791787262001</v>
          </cell>
          <cell r="AF80">
            <v>-1.14827957318754E-4</v>
          </cell>
          <cell r="AG80">
            <v>-4.9500583884178799E-4</v>
          </cell>
          <cell r="AR80">
            <v>3.0669434283419486E-3</v>
          </cell>
          <cell r="BC80">
            <v>6.7104381091813367E-3</v>
          </cell>
          <cell r="BF80">
            <v>9.7773815375232862E-3</v>
          </cell>
        </row>
        <row r="81">
          <cell r="O81">
            <v>1.43329336478799</v>
          </cell>
          <cell r="P81">
            <v>1.4314963832840999</v>
          </cell>
          <cell r="Q81">
            <v>1.4312784049938601</v>
          </cell>
          <cell r="U81">
            <v>6.9098067744719003E-4</v>
          </cell>
          <cell r="V81">
            <v>-5.2480258863008499E-4</v>
          </cell>
          <cell r="W81">
            <v>-8.1019401139132395E-4</v>
          </cell>
          <cell r="Y81">
            <v>1.43040773636679</v>
          </cell>
          <cell r="Z81">
            <v>1.4294232484477101</v>
          </cell>
          <cell r="AA81">
            <v>1.4292045430256699</v>
          </cell>
          <cell r="AF81">
            <v>-5.1258015856961697E-4</v>
          </cell>
          <cell r="AG81">
            <v>-7.9226253533671795E-4</v>
          </cell>
          <cell r="AR81">
            <v>3.0669434283419486E-3</v>
          </cell>
          <cell r="BC81">
            <v>6.7104381091813367E-3</v>
          </cell>
          <cell r="BF81">
            <v>9.7773815375232862E-3</v>
          </cell>
        </row>
        <row r="82">
          <cell r="O82">
            <v>1.43329336478799</v>
          </cell>
          <cell r="P82">
            <v>1.4314661467710901</v>
          </cell>
          <cell r="Q82">
            <v>1.4313190852289699</v>
          </cell>
          <cell r="U82">
            <v>1.8028984046542899E-3</v>
          </cell>
          <cell r="V82">
            <v>5.4836882475846403E-4</v>
          </cell>
          <cell r="W82">
            <v>3.9608420107443E-4</v>
          </cell>
          <cell r="Y82">
            <v>1.43040773636679</v>
          </cell>
          <cell r="Z82">
            <v>1.42939189854673</v>
          </cell>
          <cell r="AA82">
            <v>1.42923567409677</v>
          </cell>
          <cell r="AF82">
            <v>5.5095270428214395E-4</v>
          </cell>
          <cell r="AG82">
            <v>3.97938434205913E-4</v>
          </cell>
          <cell r="AR82">
            <v>3.0669434283419486E-3</v>
          </cell>
          <cell r="BC82">
            <v>6.7104381091813367E-3</v>
          </cell>
          <cell r="BF82">
            <v>9.7773815375232862E-3</v>
          </cell>
        </row>
        <row r="83">
          <cell r="O83">
            <v>1.43329336478799</v>
          </cell>
          <cell r="P83">
            <v>1.43139180980509</v>
          </cell>
          <cell r="Q83">
            <v>1.4313467602115699</v>
          </cell>
          <cell r="U83">
            <v>1.3594607467161399E-3</v>
          </cell>
          <cell r="V83">
            <v>8.3808631896652904E-5</v>
          </cell>
          <cell r="W83">
            <v>-1.89315531565321E-5</v>
          </cell>
          <cell r="Y83">
            <v>1.43040773636679</v>
          </cell>
          <cell r="Z83">
            <v>1.4293184277480599</v>
          </cell>
          <cell r="AA83">
            <v>1.42926501512323</v>
          </cell>
          <cell r="AF83">
            <v>8.7548532750641802E-5</v>
          </cell>
          <cell r="AG83">
            <v>-2.1751784376048798E-5</v>
          </cell>
          <cell r="AR83">
            <v>3.0669434283419486E-3</v>
          </cell>
          <cell r="BC83">
            <v>6.7104381091813367E-3</v>
          </cell>
          <cell r="BF83">
            <v>9.7773815375232862E-3</v>
          </cell>
        </row>
        <row r="84">
          <cell r="O84">
            <v>1.43329336478799</v>
          </cell>
          <cell r="P84">
            <v>1.43146008863523</v>
          </cell>
          <cell r="Q84">
            <v>1.43148500381336</v>
          </cell>
          <cell r="U84">
            <v>4.7075205431566103E-4</v>
          </cell>
          <cell r="V84">
            <v>-8.56832057929591E-4</v>
          </cell>
          <cell r="W84">
            <v>-8.8830513339616503E-4</v>
          </cell>
          <cell r="Y84">
            <v>1.43040773636679</v>
          </cell>
          <cell r="Z84">
            <v>1.4293173622081099</v>
          </cell>
          <cell r="AA84">
            <v>1.4293698223542799</v>
          </cell>
          <cell r="AF84">
            <v>-3.7535768641693999E-4</v>
          </cell>
          <cell r="AG84">
            <v>-4.1272768166775799E-4</v>
          </cell>
          <cell r="AR84">
            <v>3.0669434283419486E-3</v>
          </cell>
          <cell r="BC84">
            <v>6.7104381091813367E-3</v>
          </cell>
          <cell r="BF84">
            <v>9.7773815375232862E-3</v>
          </cell>
        </row>
        <row r="85">
          <cell r="O85">
            <v>1.43329336478799</v>
          </cell>
          <cell r="P85">
            <v>1.4315353608308401</v>
          </cell>
          <cell r="Q85">
            <v>1.4316115171704999</v>
          </cell>
          <cell r="U85">
            <v>9.53262601375309E-4</v>
          </cell>
          <cell r="V85">
            <v>-3.2662164194801501E-4</v>
          </cell>
          <cell r="W85">
            <v>-3.0921636358735902E-4</v>
          </cell>
          <cell r="Y85">
            <v>1.43040773636679</v>
          </cell>
          <cell r="Z85">
            <v>1.4293223201352601</v>
          </cell>
          <cell r="AA85">
            <v>1.4294625951144699</v>
          </cell>
          <cell r="AF85">
            <v>1.0686699422046501E-4</v>
          </cell>
          <cell r="AG85">
            <v>1.4356925843767401E-4</v>
          </cell>
          <cell r="AR85">
            <v>3.0669434283419486E-3</v>
          </cell>
          <cell r="BC85">
            <v>6.7104381091813367E-3</v>
          </cell>
          <cell r="BF85">
            <v>9.7773815375232862E-3</v>
          </cell>
        </row>
        <row r="86">
          <cell r="O86">
            <v>1.43329336478799</v>
          </cell>
          <cell r="P86">
            <v>1.4316722249274301</v>
          </cell>
          <cell r="Q86">
            <v>1.43182707199298</v>
          </cell>
          <cell r="U86">
            <v>5.4425684928140997E-4</v>
          </cell>
          <cell r="V86">
            <v>-6.8304456814580997E-4</v>
          </cell>
          <cell r="W86">
            <v>-6.2984692029616305E-4</v>
          </cell>
          <cell r="Y86">
            <v>1.43040773636679</v>
          </cell>
          <cell r="Z86">
            <v>1.4293898061124699</v>
          </cell>
          <cell r="AA86">
            <v>1.4296433912177899</v>
          </cell>
          <cell r="AF86">
            <v>-2.9954937463352697E-4</v>
          </cell>
          <cell r="AG86">
            <v>-2.0141328991462299E-4</v>
          </cell>
          <cell r="AR86">
            <v>3.0669434283419486E-3</v>
          </cell>
          <cell r="BC86">
            <v>6.7104381091813367E-3</v>
          </cell>
          <cell r="BF86">
            <v>9.7773815375232862E-3</v>
          </cell>
        </row>
        <row r="87">
          <cell r="O87">
            <v>1.43329336478799</v>
          </cell>
          <cell r="P87">
            <v>1.4318282439124199</v>
          </cell>
          <cell r="Q87">
            <v>1.43185864387476</v>
          </cell>
          <cell r="U87">
            <v>-1.04062969555052E-4</v>
          </cell>
          <cell r="V87">
            <v>-1.2357624492312801E-3</v>
          </cell>
          <cell r="W87">
            <v>-1.12761011556606E-3</v>
          </cell>
          <cell r="Y87">
            <v>1.43040773636679</v>
          </cell>
          <cell r="Z87">
            <v>1.4294772545824701</v>
          </cell>
          <cell r="AA87">
            <v>1.4296427915465699</v>
          </cell>
          <cell r="AF87">
            <v>-9.0306009846614801E-4</v>
          </cell>
          <cell r="AG87">
            <v>-7.2566789034208905E-4</v>
          </cell>
          <cell r="AR87">
            <v>3.0669434283419486E-3</v>
          </cell>
          <cell r="BC87">
            <v>6.7104381091813367E-3</v>
          </cell>
          <cell r="BF87">
            <v>9.7773815375232862E-3</v>
          </cell>
        </row>
        <row r="88">
          <cell r="O88">
            <v>1.43329336478799</v>
          </cell>
          <cell r="P88">
            <v>1.4320825189162101</v>
          </cell>
          <cell r="Q88">
            <v>1.4318717791323801</v>
          </cell>
          <cell r="U88">
            <v>4.6556250476808203E-4</v>
          </cell>
          <cell r="V88">
            <v>-5.57166163244341E-4</v>
          </cell>
          <cell r="W88">
            <v>-5.3593481810079203E-4</v>
          </cell>
          <cell r="Y88">
            <v>1.43040773636679</v>
          </cell>
          <cell r="Z88">
            <v>1.4296617213626499</v>
          </cell>
          <cell r="AA88">
            <v>1.4296232950279799</v>
          </cell>
          <cell r="AF88">
            <v>-2.7585738097776898E-4</v>
          </cell>
          <cell r="AG88">
            <v>-1.60061638498602E-4</v>
          </cell>
          <cell r="AR88">
            <v>3.0669434283419486E-3</v>
          </cell>
          <cell r="BC88">
            <v>6.7104381091813367E-3</v>
          </cell>
          <cell r="BF88">
            <v>9.7773815375232862E-3</v>
          </cell>
        </row>
        <row r="89">
          <cell r="O89">
            <v>1.43329336478799</v>
          </cell>
          <cell r="P89">
            <v>1.43226407185939</v>
          </cell>
          <cell r="Q89">
            <v>1.4319399965353601</v>
          </cell>
          <cell r="U89">
            <v>-4.8686468800664E-5</v>
          </cell>
          <cell r="V89">
            <v>-8.9384326009190999E-4</v>
          </cell>
          <cell r="W89">
            <v>-1.0410102622647099E-3</v>
          </cell>
          <cell r="Y89">
            <v>1.43040773636679</v>
          </cell>
          <cell r="Z89">
            <v>1.4297743822057301</v>
          </cell>
          <cell r="AA89">
            <v>1.4296581772002099</v>
          </cell>
          <cell r="AF89">
            <v>-6.5616475294414105E-4</v>
          </cell>
          <cell r="AG89">
            <v>-6.8304303506517303E-4</v>
          </cell>
          <cell r="AR89">
            <v>3.0669434283419486E-3</v>
          </cell>
          <cell r="BC89">
            <v>6.7104381091813367E-3</v>
          </cell>
          <cell r="BF89">
            <v>9.7773815375232862E-3</v>
          </cell>
        </row>
        <row r="90">
          <cell r="O90">
            <v>1.43329336478799</v>
          </cell>
          <cell r="P90">
            <v>1.43240967616837</v>
          </cell>
          <cell r="Q90">
            <v>1.43198076286756</v>
          </cell>
          <cell r="U90">
            <v>3.4632162663660302E-5</v>
          </cell>
          <cell r="V90">
            <v>-6.8375718783782505E-4</v>
          </cell>
          <cell r="W90">
            <v>-9.1005064854645301E-4</v>
          </cell>
          <cell r="Y90">
            <v>1.43040773636679</v>
          </cell>
          <cell r="Z90">
            <v>1.4298515818722299</v>
          </cell>
          <cell r="AA90">
            <v>1.42966525237891</v>
          </cell>
          <cell r="AF90">
            <v>-4.9208765644474101E-4</v>
          </cell>
          <cell r="AG90">
            <v>-5.7336602421261397E-4</v>
          </cell>
          <cell r="AR90">
            <v>3.0669434283419486E-3</v>
          </cell>
          <cell r="BC90">
            <v>6.7104381091813367E-3</v>
          </cell>
          <cell r="BF90">
            <v>9.7773815375232862E-3</v>
          </cell>
        </row>
        <row r="91">
          <cell r="O91">
            <v>1.43329336478799</v>
          </cell>
          <cell r="P91">
            <v>1.4325586123062299</v>
          </cell>
          <cell r="Q91">
            <v>1.4320274977951699</v>
          </cell>
          <cell r="U91">
            <v>-3.48315635558111E-4</v>
          </cell>
          <cell r="V91">
            <v>-9.6504991332389801E-4</v>
          </cell>
          <cell r="W91">
            <v>-1.26452955001929E-3</v>
          </cell>
          <cell r="Y91">
            <v>1.43040773636679</v>
          </cell>
          <cell r="Z91">
            <v>1.42993124184736</v>
          </cell>
          <cell r="AA91">
            <v>1.4296772451475399</v>
          </cell>
          <cell r="AF91">
            <v>-8.0874364793605497E-4</v>
          </cell>
          <cell r="AG91">
            <v>-9.3906600963828497E-4</v>
          </cell>
          <cell r="AR91">
            <v>3.0669434283419486E-3</v>
          </cell>
          <cell r="BC91">
            <v>6.7104381091813367E-3</v>
          </cell>
          <cell r="BF91">
            <v>9.7773815375232862E-3</v>
          </cell>
        </row>
        <row r="92">
          <cell r="O92">
            <v>1.43329336478799</v>
          </cell>
          <cell r="P92">
            <v>1.432940904711</v>
          </cell>
          <cell r="Q92">
            <v>1.4322035257410399</v>
          </cell>
          <cell r="U92">
            <v>-8.6558180449247798E-4</v>
          </cell>
          <cell r="V92">
            <v>-1.3783455506502201E-3</v>
          </cell>
          <cell r="W92">
            <v>-1.7491596904519399E-3</v>
          </cell>
          <cell r="Y92">
            <v>1.43040773636679</v>
          </cell>
          <cell r="Z92">
            <v>1.43024059472533</v>
          </cell>
          <cell r="AA92">
            <v>1.42981624663603</v>
          </cell>
          <cell r="AF92">
            <v>-1.2567583067452899E-3</v>
          </cell>
          <cell r="AG92">
            <v>-1.4344026952358201E-3</v>
          </cell>
          <cell r="AR92">
            <v>3.0669434283419486E-3</v>
          </cell>
          <cell r="BC92">
            <v>6.7104381091813367E-3</v>
          </cell>
          <cell r="BF92">
            <v>9.7773815375232862E-3</v>
          </cell>
        </row>
        <row r="93">
          <cell r="O93">
            <v>1.43329336478799</v>
          </cell>
          <cell r="P93">
            <v>1.4332382035826801</v>
          </cell>
          <cell r="Q93">
            <v>1.4323150066938799</v>
          </cell>
          <cell r="U93">
            <v>-7.1544292574773102E-4</v>
          </cell>
          <cell r="V93">
            <v>-9.6138240286492696E-4</v>
          </cell>
          <cell r="W93">
            <v>-1.4761061832071899E-3</v>
          </cell>
          <cell r="Y93">
            <v>1.43040773636679</v>
          </cell>
          <cell r="Z93">
            <v>1.4304657825066001</v>
          </cell>
          <cell r="AA93">
            <v>1.4298921051273299</v>
          </cell>
          <cell r="AF93">
            <v>-8.9318906887320604E-4</v>
          </cell>
          <cell r="AG93">
            <v>-1.1899300890356201E-3</v>
          </cell>
          <cell r="AR93">
            <v>3.0669434283419486E-3</v>
          </cell>
          <cell r="BC93">
            <v>6.7104381091813367E-3</v>
          </cell>
          <cell r="BF93">
            <v>9.7773815375232862E-3</v>
          </cell>
        </row>
        <row r="94">
          <cell r="O94">
            <v>1.43329336478799</v>
          </cell>
          <cell r="P94">
            <v>1.4331725741825201</v>
          </cell>
          <cell r="Q94">
            <v>1.43231633140887</v>
          </cell>
          <cell r="U94">
            <v>9.28964926616948E-4</v>
          </cell>
          <cell r="V94">
            <v>8.9047855100671605E-4</v>
          </cell>
          <cell r="W94">
            <v>2.4613740429661399E-4</v>
          </cell>
          <cell r="Y94">
            <v>1.43040773636679</v>
          </cell>
          <cell r="Z94">
            <v>1.4303990882170099</v>
          </cell>
          <cell r="AA94">
            <v>1.42985822521256</v>
          </cell>
          <cell r="AF94">
            <v>8.9359862020896102E-4</v>
          </cell>
          <cell r="AG94">
            <v>4.9247581705119496E-4</v>
          </cell>
          <cell r="AR94">
            <v>3.0669434283419486E-3</v>
          </cell>
          <cell r="BC94">
            <v>6.7104381091813367E-3</v>
          </cell>
          <cell r="BF94">
            <v>9.7773815375232862E-3</v>
          </cell>
        </row>
        <row r="95">
          <cell r="O95">
            <v>1.43329336478799</v>
          </cell>
          <cell r="P95">
            <v>1.4332566050364</v>
          </cell>
          <cell r="Q95">
            <v>1.4323959829336199</v>
          </cell>
          <cell r="U95">
            <v>3.6659745990530999E-4</v>
          </cell>
          <cell r="V95">
            <v>2.8231904312750998E-4</v>
          </cell>
          <cell r="W95">
            <v>-3.1530518599418001E-4</v>
          </cell>
          <cell r="Y95">
            <v>1.43040773636679</v>
          </cell>
          <cell r="Z95">
            <v>1.4304800124953101</v>
          </cell>
          <cell r="AA95">
            <v>1.4299011663152901</v>
          </cell>
          <cell r="AF95">
            <v>2.97319212934569E-4</v>
          </cell>
          <cell r="AG95">
            <v>-8.0872642992907596E-5</v>
          </cell>
          <cell r="AR95">
            <v>3.0669434283419486E-3</v>
          </cell>
          <cell r="BC95">
            <v>6.7104381091813367E-3</v>
          </cell>
          <cell r="BF95">
            <v>9.7773815375232862E-3</v>
          </cell>
        </row>
        <row r="96">
          <cell r="O96">
            <v>1.43329336478799</v>
          </cell>
          <cell r="P96">
            <v>1.43335126291091</v>
          </cell>
          <cell r="Q96">
            <v>1.4325117439191699</v>
          </cell>
          <cell r="U96">
            <v>-1.1630665926617301E-4</v>
          </cell>
          <cell r="V96">
            <v>-1.41954041644253E-4</v>
          </cell>
          <cell r="W96">
            <v>-7.4260056262707302E-4</v>
          </cell>
          <cell r="Y96">
            <v>1.43040773636679</v>
          </cell>
          <cell r="Z96">
            <v>1.4305689948373801</v>
          </cell>
          <cell r="AA96">
            <v>1.42997940047492</v>
          </cell>
          <cell r="AF96">
            <v>-1.12087420190889E-4</v>
          </cell>
          <cell r="AG96">
            <v>-5.1682102158368503E-4</v>
          </cell>
          <cell r="AR96">
            <v>3.0669434283419486E-3</v>
          </cell>
          <cell r="BC96">
            <v>6.7104381091813367E-3</v>
          </cell>
          <cell r="BF96">
            <v>9.7773815375232862E-3</v>
          </cell>
        </row>
        <row r="97">
          <cell r="O97">
            <v>1.43329336478799</v>
          </cell>
          <cell r="P97">
            <v>1.4334340276053901</v>
          </cell>
          <cell r="Q97">
            <v>1.4326311357589001</v>
          </cell>
          <cell r="U97">
            <v>-6.8128046311649799E-4</v>
          </cell>
          <cell r="V97">
            <v>-6.4088611331225098E-4</v>
          </cell>
          <cell r="W97">
            <v>-1.22676130256938E-3</v>
          </cell>
          <cell r="Y97">
            <v>1.43040773636679</v>
          </cell>
          <cell r="Z97">
            <v>1.4306461480095201</v>
          </cell>
          <cell r="AA97">
            <v>1.43006170129599</v>
          </cell>
          <cell r="AF97">
            <v>-6.1757109168384403E-4</v>
          </cell>
          <cell r="AG97">
            <v>-1.02979580479951E-3</v>
          </cell>
          <cell r="AR97">
            <v>3.0669434283419486E-3</v>
          </cell>
          <cell r="BC97">
            <v>6.7104381091813367E-3</v>
          </cell>
          <cell r="BF97">
            <v>9.7773815375232862E-3</v>
          </cell>
        </row>
        <row r="98">
          <cell r="O98">
            <v>1.43329336478799</v>
          </cell>
          <cell r="P98">
            <v>1.43361749315562</v>
          </cell>
          <cell r="Q98">
            <v>1.43285000603591</v>
          </cell>
          <cell r="U98">
            <v>-8.1424217201079695E-4</v>
          </cell>
          <cell r="V98">
            <v>-7.1610740141098399E-4</v>
          </cell>
          <cell r="W98">
            <v>-1.2763820788693301E-3</v>
          </cell>
          <cell r="Y98">
            <v>1.43040773636679</v>
          </cell>
          <cell r="Z98">
            <v>1.4308231281081401</v>
          </cell>
          <cell r="AA98">
            <v>1.4302424247354</v>
          </cell>
          <cell r="AF98">
            <v>-6.9545341923852699E-4</v>
          </cell>
          <cell r="AG98">
            <v>-1.10405629128629E-3</v>
          </cell>
          <cell r="AR98">
            <v>3.0669434283419486E-3</v>
          </cell>
          <cell r="BC98">
            <v>6.7104381091813367E-3</v>
          </cell>
          <cell r="BF98">
            <v>9.7773815375232862E-3</v>
          </cell>
        </row>
        <row r="99">
          <cell r="O99">
            <v>1.43329336478799</v>
          </cell>
          <cell r="P99">
            <v>1.4338040255403699</v>
          </cell>
          <cell r="Q99">
            <v>1.43303404869988</v>
          </cell>
          <cell r="U99">
            <v>-1.34920209249577E-3</v>
          </cell>
          <cell r="V99">
            <v>-1.1230852824027199E-3</v>
          </cell>
          <cell r="W99">
            <v>-1.65857862971063E-3</v>
          </cell>
          <cell r="Y99">
            <v>1.43040773636679</v>
          </cell>
          <cell r="Z99">
            <v>1.4310029111396501</v>
          </cell>
          <cell r="AA99">
            <v>1.4303886466726901</v>
          </cell>
          <cell r="AF99">
            <v>-1.10003744255033E-3</v>
          </cell>
          <cell r="AG99">
            <v>-1.50597248318293E-3</v>
          </cell>
          <cell r="AR99">
            <v>3.0669434283419486E-3</v>
          </cell>
          <cell r="BC99">
            <v>6.7104381091813367E-3</v>
          </cell>
          <cell r="BF99">
            <v>9.7773815375232862E-3</v>
          </cell>
        </row>
        <row r="100">
          <cell r="O100">
            <v>1.43329336478799</v>
          </cell>
          <cell r="P100">
            <v>1.4339970597433001</v>
          </cell>
          <cell r="Q100">
            <v>1.43320336795583</v>
          </cell>
          <cell r="U100">
            <v>-1.3112961205567601E-3</v>
          </cell>
          <cell r="V100">
            <v>-9.5507469640620395E-4</v>
          </cell>
          <cell r="W100">
            <v>-1.49223573519939E-3</v>
          </cell>
          <cell r="Y100">
            <v>1.43040773636679</v>
          </cell>
          <cell r="Z100">
            <v>1.43119093251176</v>
          </cell>
          <cell r="AA100">
            <v>1.4305212571919901</v>
          </cell>
          <cell r="AF100">
            <v>-9.4674211979707296E-4</v>
          </cell>
          <cell r="AG100">
            <v>-1.3760887953465401E-3</v>
          </cell>
          <cell r="AR100">
            <v>3.1048494002810685E-3</v>
          </cell>
          <cell r="BC100">
            <v>6.7104381091813367E-3</v>
          </cell>
          <cell r="BF100">
            <v>9.8152875094624052E-3</v>
          </cell>
        </row>
        <row r="101">
          <cell r="O101">
            <v>1.43329336478799</v>
          </cell>
          <cell r="P101">
            <v>1.4341071015287199</v>
          </cell>
          <cell r="Q101">
            <v>1.4333328569174799</v>
          </cell>
          <cell r="U101">
            <v>-1.11550868880273E-3</v>
          </cell>
          <cell r="V101">
            <v>-6.2466551266897796E-4</v>
          </cell>
          <cell r="W101">
            <v>-1.17830089864952E-3</v>
          </cell>
          <cell r="Y101">
            <v>1.43040773636679</v>
          </cell>
          <cell r="Z101">
            <v>1.4312993976764501</v>
          </cell>
          <cell r="AA101">
            <v>1.43061531976191</v>
          </cell>
          <cell r="AF101">
            <v>-6.3015205692623004E-4</v>
          </cell>
          <cell r="AG101">
            <v>-1.0981762938830999E-3</v>
          </cell>
          <cell r="AR101">
            <v>3.3006368320349184E-3</v>
          </cell>
          <cell r="BC101">
            <v>6.7104381091813367E-3</v>
          </cell>
          <cell r="BF101">
            <v>1.0011074941216256E-2</v>
          </cell>
        </row>
        <row r="102">
          <cell r="O102">
            <v>1.43329336478799</v>
          </cell>
          <cell r="P102">
            <v>1.43408784095051</v>
          </cell>
          <cell r="Q102">
            <v>1.43351437283075</v>
          </cell>
          <cell r="U102">
            <v>-7.3130918253265997E-4</v>
          </cell>
          <cell r="V102">
            <v>-1.6373114651258E-4</v>
          </cell>
          <cell r="W102">
            <v>-7.03756145312985E-4</v>
          </cell>
          <cell r="Y102">
            <v>1.43040773636679</v>
          </cell>
          <cell r="Z102">
            <v>1.4312825144811301</v>
          </cell>
          <cell r="AA102">
            <v>1.43076155460323</v>
          </cell>
          <cell r="AF102">
            <v>-1.8248877196714599E-4</v>
          </cell>
          <cell r="AG102">
            <v>-6.6054489530372297E-4</v>
          </cell>
          <cell r="AR102">
            <v>3.6848363383048081E-3</v>
          </cell>
          <cell r="BC102">
            <v>6.7104381091813367E-3</v>
          </cell>
          <cell r="BF102">
            <v>1.0395274447486145E-2</v>
          </cell>
        </row>
        <row r="103">
          <cell r="O103">
            <v>1.43329336478799</v>
          </cell>
          <cell r="P103">
            <v>1.4340462583934399</v>
          </cell>
          <cell r="Q103">
            <v>1.4336422309880601</v>
          </cell>
          <cell r="U103">
            <v>-4.2548942936465199E-4</v>
          </cell>
          <cell r="V103">
            <v>1.2865815398542199E-4</v>
          </cell>
          <cell r="W103">
            <v>-2.7130535883728102E-4</v>
          </cell>
          <cell r="Y103">
            <v>1.43040773636679</v>
          </cell>
          <cell r="Z103">
            <v>1.43124433849357</v>
          </cell>
          <cell r="AA103">
            <v>1.43085506050008</v>
          </cell>
          <cell r="AF103">
            <v>1.0175565699213E-4</v>
          </cell>
          <cell r="AG103">
            <v>-2.6229176581139699E-4</v>
          </cell>
          <cell r="AR103">
            <v>3.990656091472978E-3</v>
          </cell>
          <cell r="BC103">
            <v>6.7104381091813367E-3</v>
          </cell>
          <cell r="BF103">
            <v>1.0701094200654314E-2</v>
          </cell>
        </row>
        <row r="104">
          <cell r="O104">
            <v>1.43329336478799</v>
          </cell>
          <cell r="P104">
            <v>1.43442709789133</v>
          </cell>
          <cell r="Q104">
            <v>1.43379983603693</v>
          </cell>
          <cell r="U104">
            <v>-1.7270680326651601E-3</v>
          </cell>
          <cell r="V104">
            <v>-1.20191669260901E-3</v>
          </cell>
          <cell r="W104">
            <v>-1.4836958395083001E-3</v>
          </cell>
          <cell r="Y104">
            <v>1.43040773636679</v>
          </cell>
          <cell r="Z104">
            <v>1.43154795907134</v>
          </cell>
          <cell r="AA104">
            <v>1.4309735236441801</v>
          </cell>
          <cell r="AF104">
            <v>-6.8445557530955503E-4</v>
          </cell>
          <cell r="AG104">
            <v>-9.5647827027259096E-4</v>
          </cell>
          <cell r="AR104">
            <v>3.990656091472978E-3</v>
          </cell>
          <cell r="BC104">
            <v>6.7104381091813367E-3</v>
          </cell>
          <cell r="BF104">
            <v>1.0701094200654314E-2</v>
          </cell>
        </row>
        <row r="105">
          <cell r="O105">
            <v>1.43329336478799</v>
          </cell>
          <cell r="P105">
            <v>1.43473621480753</v>
          </cell>
          <cell r="Q105">
            <v>1.43399640992196</v>
          </cell>
          <cell r="U105">
            <v>-1.7885590901556201E-3</v>
          </cell>
          <cell r="V105">
            <v>-9.9787312395726701E-4</v>
          </cell>
          <cell r="W105">
            <v>-1.4352596201145499E-3</v>
          </cell>
          <cell r="Y105">
            <v>1.43040773636679</v>
          </cell>
          <cell r="Z105">
            <v>1.4317825002528399</v>
          </cell>
          <cell r="AA105">
            <v>1.4311312563740799</v>
          </cell>
          <cell r="AF105">
            <v>-5.3865560151498699E-4</v>
          </cell>
          <cell r="AG105">
            <v>-9.4000485834681803E-4</v>
          </cell>
          <cell r="AR105">
            <v>3.990656091472978E-3</v>
          </cell>
          <cell r="BC105">
            <v>6.7104381091813367E-3</v>
          </cell>
          <cell r="BF105">
            <v>1.0701094200654314E-2</v>
          </cell>
        </row>
        <row r="106">
          <cell r="O106">
            <v>1.43329336478799</v>
          </cell>
          <cell r="P106">
            <v>1.4348886360522899</v>
          </cell>
          <cell r="Q106">
            <v>1.4341199494815999</v>
          </cell>
          <cell r="U106">
            <v>-1.17905175543376E-3</v>
          </cell>
          <cell r="V106">
            <v>-1.7289048601808299E-4</v>
          </cell>
          <cell r="W106">
            <v>-6.8866173328395095E-4</v>
          </cell>
          <cell r="Y106">
            <v>1.43040773636679</v>
          </cell>
          <cell r="Z106">
            <v>1.4318638928192999</v>
          </cell>
          <cell r="AA106">
            <v>1.4312164438283399</v>
          </cell>
          <cell r="AF106">
            <v>2.29261020480922E-4</v>
          </cell>
          <cell r="AG106">
            <v>-2.2569078411819899E-4</v>
          </cell>
          <cell r="AR106">
            <v>3.990656091472978E-3</v>
          </cell>
          <cell r="BC106">
            <v>6.7104381091813367E-3</v>
          </cell>
          <cell r="BF106">
            <v>1.0701094200654314E-2</v>
          </cell>
        </row>
        <row r="107">
          <cell r="O107">
            <v>1.43329336478799</v>
          </cell>
          <cell r="P107">
            <v>1.4349158657290599</v>
          </cell>
          <cell r="Q107">
            <v>1.43417494666722</v>
          </cell>
          <cell r="U107">
            <v>-8.7111284509063598E-4</v>
          </cell>
          <cell r="V107">
            <v>2.4127920557461501E-4</v>
          </cell>
          <cell r="W107">
            <v>-2.9457599747877801E-4</v>
          </cell>
          <cell r="Y107">
            <v>1.43040773636679</v>
          </cell>
          <cell r="Z107">
            <v>1.4318217343308699</v>
          </cell>
          <cell r="AA107">
            <v>1.43123394117019</v>
          </cell>
          <cell r="AF107">
            <v>5.8174117938026302E-4</v>
          </cell>
          <cell r="AG107">
            <v>1.29466757518976E-4</v>
          </cell>
          <cell r="AR107">
            <v>3.990656091472978E-3</v>
          </cell>
          <cell r="BC107">
            <v>6.7104381091813367E-3</v>
          </cell>
          <cell r="BF107">
            <v>1.0701094200654314E-2</v>
          </cell>
        </row>
        <row r="108">
          <cell r="O108">
            <v>1.43329336478799</v>
          </cell>
          <cell r="P108">
            <v>1.4347991038572101</v>
          </cell>
          <cell r="Q108">
            <v>1.43420829850641</v>
          </cell>
          <cell r="U108">
            <v>6.6669692431429596E-8</v>
          </cell>
          <cell r="V108">
            <v>1.13143539752045E-3</v>
          </cell>
          <cell r="W108">
            <v>6.1495186545179397E-4</v>
          </cell>
          <cell r="Y108">
            <v>1.43040773636679</v>
          </cell>
          <cell r="Z108">
            <v>1.4316365488337699</v>
          </cell>
          <cell r="AA108">
            <v>1.4312298384709601</v>
          </cell>
          <cell r="AF108">
            <v>1.4202822119354201E-3</v>
          </cell>
          <cell r="AG108">
            <v>1.0096767361415201E-3</v>
          </cell>
          <cell r="AR108">
            <v>3.990656091472978E-3</v>
          </cell>
          <cell r="BC108">
            <v>6.7104381091813367E-3</v>
          </cell>
          <cell r="BF108">
            <v>1.0701094200654314E-2</v>
          </cell>
        </row>
        <row r="109">
          <cell r="O109">
            <v>1.43329336478799</v>
          </cell>
          <cell r="P109">
            <v>1.4346838424162101</v>
          </cell>
          <cell r="Q109">
            <v>1.43424393397829</v>
          </cell>
          <cell r="U109">
            <v>-5.4579169097058696E-4</v>
          </cell>
          <cell r="V109">
            <v>5.0420179705103099E-4</v>
          </cell>
          <cell r="W109">
            <v>9.2348304681866695E-5</v>
          </cell>
          <cell r="Y109">
            <v>1.43040773636679</v>
          </cell>
          <cell r="Z109">
            <v>1.43145148510611</v>
          </cell>
          <cell r="AA109">
            <v>1.4312271981228799</v>
          </cell>
          <cell r="AF109">
            <v>7.6112022655158902E-4</v>
          </cell>
          <cell r="AG109">
            <v>4.76992146141284E-4</v>
          </cell>
          <cell r="AR109">
            <v>3.990656091472978E-3</v>
          </cell>
          <cell r="BC109">
            <v>7.2562964698442665E-3</v>
          </cell>
          <cell r="BF109">
            <v>1.1246952561317244E-2</v>
          </cell>
        </row>
        <row r="110">
          <cell r="O110">
            <v>1.43329336478799</v>
          </cell>
          <cell r="P110">
            <v>1.43466426056217</v>
          </cell>
          <cell r="Q110">
            <v>1.4343306601527299</v>
          </cell>
          <cell r="U110">
            <v>-1.1748444491271901E-3</v>
          </cell>
          <cell r="V110">
            <v>-2.0518699601031499E-4</v>
          </cell>
          <cell r="W110">
            <v>-5.11857972524086E-4</v>
          </cell>
          <cell r="Y110">
            <v>1.43040773636679</v>
          </cell>
          <cell r="Z110">
            <v>1.4313596629846801</v>
          </cell>
          <cell r="AA110">
            <v>1.4312752977482199</v>
          </cell>
          <cell r="AF110">
            <v>7.9380791441733394E-6</v>
          </cell>
          <cell r="AG110">
            <v>-1.48759202324134E-4</v>
          </cell>
          <cell r="AR110">
            <v>3.990656091472978E-3</v>
          </cell>
          <cell r="BC110">
            <v>7.8853492280009374E-3</v>
          </cell>
          <cell r="BF110">
            <v>1.1876005319473915E-2</v>
          </cell>
        </row>
        <row r="111">
          <cell r="O111">
            <v>1.43329336478799</v>
          </cell>
          <cell r="P111">
            <v>1.4346878937630101</v>
          </cell>
          <cell r="Q111">
            <v>1.43439749764587</v>
          </cell>
          <cell r="U111">
            <v>-1.28019869035392E-3</v>
          </cell>
          <cell r="V111">
            <v>-3.2419022881151598E-4</v>
          </cell>
          <cell r="W111">
            <v>-5.5674582417328104E-4</v>
          </cell>
          <cell r="Y111">
            <v>1.43040773636679</v>
          </cell>
          <cell r="Z111">
            <v>1.4313079291297801</v>
          </cell>
          <cell r="AA111">
            <v>1.43130366340311</v>
          </cell>
          <cell r="AF111">
            <v>-1.5095213425824099E-4</v>
          </cell>
          <cell r="AG111">
            <v>-2.0989449864735501E-4</v>
          </cell>
          <cell r="AR111">
            <v>3.990656091472978E-3</v>
          </cell>
          <cell r="BC111">
            <v>7.8853492280009374E-3</v>
          </cell>
          <cell r="BF111">
            <v>1.1876005319473915E-2</v>
          </cell>
        </row>
        <row r="112">
          <cell r="O112">
            <v>1.43329336478799</v>
          </cell>
          <cell r="P112">
            <v>1.4347903044363</v>
          </cell>
          <cell r="Q112">
            <v>1.4344390726934</v>
          </cell>
          <cell r="U112">
            <v>-1.4450450672493099E-3</v>
          </cell>
          <cell r="V112">
            <v>-4.7256375778066602E-4</v>
          </cell>
          <cell r="W112">
            <v>-6.74994901172422E-4</v>
          </cell>
          <cell r="Y112">
            <v>1.43040773636679</v>
          </cell>
          <cell r="Z112">
            <v>1.4313358009680199</v>
          </cell>
          <cell r="AA112">
            <v>1.43130915772457</v>
          </cell>
          <cell r="AF112">
            <v>-3.7120468454266499E-4</v>
          </cell>
          <cell r="AG112">
            <v>-3.7418498873535098E-4</v>
          </cell>
          <cell r="AR112">
            <v>3.990656091472978E-3</v>
          </cell>
          <cell r="BC112">
            <v>7.8853492280009374E-3</v>
          </cell>
          <cell r="BF112">
            <v>1.1876005319473915E-2</v>
          </cell>
        </row>
        <row r="113">
          <cell r="O113">
            <v>1.43329336478799</v>
          </cell>
          <cell r="P113">
            <v>1.4348355161573501</v>
          </cell>
          <cell r="Q113">
            <v>1.43444088727539</v>
          </cell>
          <cell r="U113">
            <v>-7.4074495154373996E-4</v>
          </cell>
          <cell r="V113">
            <v>3.0311565845198999E-4</v>
          </cell>
          <cell r="W113">
            <v>5.8289122484780203E-5</v>
          </cell>
          <cell r="Y113">
            <v>1.43040773636679</v>
          </cell>
          <cell r="Z113">
            <v>1.43130793962437</v>
          </cell>
          <cell r="AA113">
            <v>1.4312761390589701</v>
          </cell>
          <cell r="AF113">
            <v>3.3368360025825303E-4</v>
          </cell>
          <cell r="AG113">
            <v>3.1506917630428201E-4</v>
          </cell>
          <cell r="AR113">
            <v>3.990656091472978E-3</v>
          </cell>
          <cell r="BC113">
            <v>7.8853492280009374E-3</v>
          </cell>
          <cell r="BF113">
            <v>1.1876005319473915E-2</v>
          </cell>
        </row>
        <row r="114">
          <cell r="O114">
            <v>1.43329336478799</v>
          </cell>
          <cell r="P114">
            <v>1.4348089680656499</v>
          </cell>
          <cell r="Q114">
            <v>1.4346180329784901</v>
          </cell>
          <cell r="U114">
            <v>-1.54214614532312E-3</v>
          </cell>
          <cell r="V114">
            <v>-4.6677500128602598E-4</v>
          </cell>
          <cell r="W114">
            <v>-7.4184706054800998E-4</v>
          </cell>
          <cell r="Y114">
            <v>1.43040773636679</v>
          </cell>
          <cell r="Z114">
            <v>1.4312845869584601</v>
          </cell>
          <cell r="AA114">
            <v>1.4314162730149</v>
          </cell>
          <cell r="AF114">
            <v>-4.7695388433663198E-4</v>
          </cell>
          <cell r="AG114">
            <v>-4.9917196739084101E-4</v>
          </cell>
          <cell r="AR114">
            <v>3.990656091472978E-3</v>
          </cell>
          <cell r="BC114">
            <v>7.8853492280009374E-3</v>
          </cell>
          <cell r="BF114">
            <v>1.1876005319473915E-2</v>
          </cell>
        </row>
        <row r="115">
          <cell r="O115">
            <v>1.43329336478799</v>
          </cell>
          <cell r="P115">
            <v>1.4346716320870301</v>
          </cell>
          <cell r="Q115">
            <v>1.43470392344728</v>
          </cell>
          <cell r="U115">
            <v>-8.3162890740826696E-4</v>
          </cell>
          <cell r="V115">
            <v>2.2523953230527699E-4</v>
          </cell>
          <cell r="W115">
            <v>9.2157152186182796E-5</v>
          </cell>
          <cell r="Y115">
            <v>1.43040773636679</v>
          </cell>
          <cell r="Z115">
            <v>1.4311522796634499</v>
          </cell>
          <cell r="AA115">
            <v>1.43146738995815</v>
          </cell>
          <cell r="AF115">
            <v>2.0150489284146301E-4</v>
          </cell>
          <cell r="AG115">
            <v>2.9350616225471598E-4</v>
          </cell>
          <cell r="AR115">
            <v>3.990656091472978E-3</v>
          </cell>
          <cell r="BC115">
            <v>7.8853492280009374E-3</v>
          </cell>
          <cell r="BF115">
            <v>1.1876005319473915E-2</v>
          </cell>
        </row>
        <row r="116">
          <cell r="O116">
            <v>1.43329336478799</v>
          </cell>
          <cell r="P116">
            <v>1.43461778011494</v>
          </cell>
          <cell r="Q116">
            <v>1.4347532080836101</v>
          </cell>
          <cell r="U116">
            <v>-8.0370214494041904E-4</v>
          </cell>
          <cell r="V116">
            <v>1.5744445667124099E-4</v>
          </cell>
          <cell r="W116">
            <v>1.7995204386349599E-4</v>
          </cell>
          <cell r="Y116">
            <v>1.43040773636679</v>
          </cell>
          <cell r="Z116">
            <v>1.4311011897019701</v>
          </cell>
          <cell r="AA116">
            <v>1.43148254126064</v>
          </cell>
          <cell r="AF116">
            <v>1.4597228217014699E-4</v>
          </cell>
          <cell r="AG116">
            <v>3.66127477293774E-4</v>
          </cell>
          <cell r="AR116">
            <v>3.990656091472978E-3</v>
          </cell>
          <cell r="BC116">
            <v>7.8853492280009374E-3</v>
          </cell>
          <cell r="BF116">
            <v>1.1876005319473915E-2</v>
          </cell>
        </row>
        <row r="117">
          <cell r="O117">
            <v>1.43329336478799</v>
          </cell>
          <cell r="P117">
            <v>1.43459473131444</v>
          </cell>
          <cell r="Q117">
            <v>1.43475529852175</v>
          </cell>
          <cell r="U117">
            <v>-7.1042988987559698E-4</v>
          </cell>
          <cell r="V117">
            <v>2.13179911257289E-4</v>
          </cell>
          <cell r="W117">
            <v>3.07575490865631E-4</v>
          </cell>
          <cell r="Y117">
            <v>1.43040773636679</v>
          </cell>
          <cell r="Z117">
            <v>1.43108097100566</v>
          </cell>
          <cell r="AA117">
            <v>1.43145135266826</v>
          </cell>
          <cell r="AF117">
            <v>1.9023231182239899E-4</v>
          </cell>
          <cell r="AG117">
            <v>4.5667102367312397E-4</v>
          </cell>
          <cell r="AR117">
            <v>3.990656091472978E-3</v>
          </cell>
          <cell r="BC117">
            <v>7.8853492280009374E-3</v>
          </cell>
          <cell r="BF117">
            <v>1.1876005319473915E-2</v>
          </cell>
        </row>
        <row r="118">
          <cell r="O118">
            <v>1.43329336478799</v>
          </cell>
          <cell r="P118">
            <v>1.4347391356013599</v>
          </cell>
          <cell r="Q118">
            <v>1.43476911972929</v>
          </cell>
          <cell r="U118">
            <v>-1.0069260734614201E-3</v>
          </cell>
          <cell r="V118">
            <v>-9.9382562583956707E-5</v>
          </cell>
          <cell r="W118">
            <v>1.25363081073508E-5</v>
          </cell>
          <cell r="Y118">
            <v>1.43040773636679</v>
          </cell>
          <cell r="Z118">
            <v>1.4312251731483501</v>
          </cell>
          <cell r="AA118">
            <v>1.43143086099106</v>
          </cell>
          <cell r="AF118">
            <v>-1.05255635914222E-4</v>
          </cell>
          <cell r="AG118">
            <v>1.5352339103906799E-4</v>
          </cell>
          <cell r="AR118">
            <v>3.990656091472978E-3</v>
          </cell>
          <cell r="BC118">
            <v>7.8853492280009374E-3</v>
          </cell>
          <cell r="BF118">
            <v>1.1876005319473915E-2</v>
          </cell>
        </row>
        <row r="119">
          <cell r="O119">
            <v>1.43329336478799</v>
          </cell>
          <cell r="P119">
            <v>1.4348318479611299</v>
          </cell>
          <cell r="Q119">
            <v>1.43475784518867</v>
          </cell>
          <cell r="U119">
            <v>-1.19207830897525E-3</v>
          </cell>
          <cell r="V119">
            <v>-1.8388127101151799E-4</v>
          </cell>
          <cell r="W119">
            <v>-1.6298282761470899E-4</v>
          </cell>
          <cell r="Y119">
            <v>1.43040773636679</v>
          </cell>
          <cell r="Z119">
            <v>1.4313189797296</v>
          </cell>
          <cell r="AA119">
            <v>1.43138523241785</v>
          </cell>
          <cell r="AF119">
            <v>-1.8179171836835899E-4</v>
          </cell>
          <cell r="AG119">
            <v>-3.8087521558286803E-5</v>
          </cell>
          <cell r="AR119">
            <v>3.990656091472978E-3</v>
          </cell>
          <cell r="BC119">
            <v>7.8853492280009374E-3</v>
          </cell>
          <cell r="BF119">
            <v>1.1876005319473915E-2</v>
          </cell>
        </row>
        <row r="120">
          <cell r="O120">
            <v>1.43329336478799</v>
          </cell>
          <cell r="P120">
            <v>1.43484717488092</v>
          </cell>
          <cell r="Q120">
            <v>1.43475571772154</v>
          </cell>
          <cell r="U120">
            <v>-1.2816481676196901E-3</v>
          </cell>
          <cell r="V120">
            <v>-2.0883355418383501E-4</v>
          </cell>
          <cell r="W120">
            <v>-2.6041080416848802E-4</v>
          </cell>
          <cell r="Y120">
            <v>1.43040773636679</v>
          </cell>
          <cell r="Z120">
            <v>1.4313371283799601</v>
          </cell>
          <cell r="AA120">
            <v>1.4313483956823201</v>
          </cell>
          <cell r="AF120">
            <v>-2.1141126884638301E-4</v>
          </cell>
          <cell r="AG120">
            <v>-1.65124483096394E-4</v>
          </cell>
          <cell r="AR120">
            <v>3.990656091472978E-3</v>
          </cell>
          <cell r="BC120">
            <v>7.8853492280009374E-3</v>
          </cell>
          <cell r="BF120">
            <v>1.1876005319473915E-2</v>
          </cell>
        </row>
        <row r="121">
          <cell r="O121">
            <v>1.43329336478799</v>
          </cell>
          <cell r="P121">
            <v>1.4348325218506299</v>
          </cell>
          <cell r="Q121">
            <v>1.43476020780682</v>
          </cell>
          <cell r="U121">
            <v>-1.17809097806928E-3</v>
          </cell>
          <cell r="V121">
            <v>-9.4594389634400505E-5</v>
          </cell>
          <cell r="W121">
            <v>-1.5833642142802699E-4</v>
          </cell>
          <cell r="Y121">
            <v>1.43040773636679</v>
          </cell>
          <cell r="Z121">
            <v>1.4313272039889</v>
          </cell>
          <cell r="AA121">
            <v>1.4313175665593401</v>
          </cell>
          <cell r="AF121">
            <v>-9.7368405282790706E-5</v>
          </cell>
          <cell r="AG121">
            <v>-8.9496564480135403E-5</v>
          </cell>
          <cell r="AR121">
            <v>3.990656091472978E-3</v>
          </cell>
          <cell r="BC121">
            <v>7.8853492280009374E-3</v>
          </cell>
          <cell r="BF121">
            <v>1.1876005319473915E-2</v>
          </cell>
        </row>
        <row r="122">
          <cell r="O122">
            <v>1.43329336478799</v>
          </cell>
          <cell r="P122">
            <v>1.4348711711277999</v>
          </cell>
          <cell r="Q122">
            <v>1.4348307377820499</v>
          </cell>
          <cell r="U122">
            <v>-1.71427308095198E-3</v>
          </cell>
          <cell r="V122">
            <v>-6.4098880318474104E-4</v>
          </cell>
          <cell r="W122">
            <v>-6.9138901717925502E-4</v>
          </cell>
          <cell r="Y122">
            <v>1.43040773636679</v>
          </cell>
          <cell r="Z122">
            <v>1.43136581191963</v>
          </cell>
          <cell r="AA122">
            <v>1.4313508064438201</v>
          </cell>
          <cell r="AF122">
            <v>-6.2734053086213495E-4</v>
          </cell>
          <cell r="AG122">
            <v>-6.3407376556973497E-4</v>
          </cell>
          <cell r="AR122">
            <v>3.990656091472978E-3</v>
          </cell>
          <cell r="BC122">
            <v>7.8853492280009374E-3</v>
          </cell>
          <cell r="BF122">
            <v>1.1876005319473915E-2</v>
          </cell>
        </row>
        <row r="123">
          <cell r="O123">
            <v>1.43329336478799</v>
          </cell>
          <cell r="P123">
            <v>1.43491517433041</v>
          </cell>
          <cell r="Q123">
            <v>1.4348753452438801</v>
          </cell>
          <cell r="U123">
            <v>-1.0474782228005199E-3</v>
          </cell>
          <cell r="V123">
            <v>5.2742130119215103E-5</v>
          </cell>
          <cell r="W123">
            <v>2.4562655710020999E-5</v>
          </cell>
          <cell r="Y123">
            <v>1.43040773636679</v>
          </cell>
          <cell r="Z123">
            <v>1.4314102986633901</v>
          </cell>
          <cell r="AA123">
            <v>1.4313591191438799</v>
          </cell>
          <cell r="AF123">
            <v>4.3789289921997397E-5</v>
          </cell>
          <cell r="AG123">
            <v>3.3305908011287498E-5</v>
          </cell>
          <cell r="AR123">
            <v>3.990656091472978E-3</v>
          </cell>
          <cell r="BC123">
            <v>7.8853492280009374E-3</v>
          </cell>
          <cell r="BF123">
            <v>1.1876005319473915E-2</v>
          </cell>
        </row>
        <row r="124">
          <cell r="O124">
            <v>1.43329336478799</v>
          </cell>
          <cell r="P124">
            <v>1.43479116437252</v>
          </cell>
          <cell r="Q124">
            <v>1.4348000662190801</v>
          </cell>
          <cell r="U124">
            <v>-6.7789616157535801E-4</v>
          </cell>
          <cell r="V124">
            <v>4.5299072697721401E-4</v>
          </cell>
          <cell r="W124">
            <v>4.2523323996936102E-4</v>
          </cell>
          <cell r="Y124">
            <v>1.43040773636679</v>
          </cell>
          <cell r="Z124">
            <v>1.43128855130028</v>
          </cell>
          <cell r="AA124">
            <v>1.4312865691293699</v>
          </cell>
          <cell r="AF124">
            <v>4.4511608110949402E-4</v>
          </cell>
          <cell r="AG124">
            <v>4.0936083013038901E-4</v>
          </cell>
          <cell r="AR124">
            <v>3.990656091472978E-3</v>
          </cell>
          <cell r="BC124">
            <v>7.8853492280009374E-3</v>
          </cell>
          <cell r="BF124">
            <v>1.1876005319473915E-2</v>
          </cell>
        </row>
        <row r="125">
          <cell r="O125">
            <v>1.43329336478799</v>
          </cell>
          <cell r="P125">
            <v>1.4349346257617199</v>
          </cell>
          <cell r="Q125">
            <v>1.4348031289243699</v>
          </cell>
          <cell r="U125">
            <v>-1.83121842592697E-3</v>
          </cell>
          <cell r="V125">
            <v>-7.8675846983611503E-4</v>
          </cell>
          <cell r="W125">
            <v>-7.8055420877838101E-4</v>
          </cell>
          <cell r="Y125">
            <v>1.43040773636679</v>
          </cell>
          <cell r="Z125">
            <v>1.4313538258693399</v>
          </cell>
          <cell r="AA125">
            <v>1.4312530527664</v>
          </cell>
          <cell r="AF125">
            <v>-2.5176907231091701E-4</v>
          </cell>
          <cell r="AG125">
            <v>-2.5315395887596902E-4</v>
          </cell>
          <cell r="AR125">
            <v>3.990656091472978E-3</v>
          </cell>
          <cell r="BC125">
            <v>7.8853492280009374E-3</v>
          </cell>
          <cell r="BF125">
            <v>1.1876005319473915E-2</v>
          </cell>
        </row>
        <row r="126">
          <cell r="O126">
            <v>1.43329336478799</v>
          </cell>
          <cell r="P126">
            <v>1.43507213843672</v>
          </cell>
          <cell r="Q126">
            <v>1.4348449592758299</v>
          </cell>
          <cell r="U126">
            <v>-1.7618896697146899E-3</v>
          </cell>
          <cell r="V126">
            <v>-6.1744706733273403E-4</v>
          </cell>
          <cell r="W126">
            <v>-7.09090868039996E-4</v>
          </cell>
          <cell r="Y126">
            <v>1.43040773636679</v>
          </cell>
          <cell r="Z126">
            <v>1.4314155130316399</v>
          </cell>
          <cell r="AA126">
            <v>1.43125835136681</v>
          </cell>
          <cell r="AF126">
            <v>-1.4421117340515199E-4</v>
          </cell>
          <cell r="AG126">
            <v>-2.1461769952575301E-4</v>
          </cell>
          <cell r="AR126">
            <v>3.990656091472978E-3</v>
          </cell>
          <cell r="BC126">
            <v>7.8853492280009374E-3</v>
          </cell>
          <cell r="BF126">
            <v>1.1876005319473915E-2</v>
          </cell>
        </row>
        <row r="127">
          <cell r="O127">
            <v>1.43329336478799</v>
          </cell>
          <cell r="P127">
            <v>1.4353396726240399</v>
          </cell>
          <cell r="Q127">
            <v>1.4349672019692401</v>
          </cell>
          <cell r="U127">
            <v>-2.5739365217078299E-3</v>
          </cell>
          <cell r="V127">
            <v>-1.33366649701825E-3</v>
          </cell>
          <cell r="W127">
            <v>-1.49198407458427E-3</v>
          </cell>
          <cell r="Y127">
            <v>1.43040773636679</v>
          </cell>
          <cell r="Z127">
            <v>1.43160231527246</v>
          </cell>
          <cell r="AA127">
            <v>1.43134164313906</v>
          </cell>
          <cell r="AF127">
            <v>-8.9485546746008297E-4</v>
          </cell>
          <cell r="AG127">
            <v>-1.00465607516745E-3</v>
          </cell>
          <cell r="AR127">
            <v>3.990656091472978E-3</v>
          </cell>
          <cell r="BC127">
            <v>7.8853492280009374E-3</v>
          </cell>
          <cell r="BF127">
            <v>1.1876005319473915E-2</v>
          </cell>
        </row>
        <row r="128">
          <cell r="O128">
            <v>1.43329336478799</v>
          </cell>
          <cell r="P128">
            <v>1.4357471651692899</v>
          </cell>
          <cell r="Q128">
            <v>1.43524315038533</v>
          </cell>
          <cell r="U128">
            <v>-3.8430895803445199E-3</v>
          </cell>
          <cell r="V128">
            <v>-2.41641132874936E-3</v>
          </cell>
          <cell r="W128">
            <v>-2.67594501149864E-3</v>
          </cell>
          <cell r="Y128">
            <v>1.43040773636679</v>
          </cell>
          <cell r="Z128">
            <v>1.4319238764303699</v>
          </cell>
          <cell r="AA128">
            <v>1.4315745247893601</v>
          </cell>
          <cell r="AF128">
            <v>-1.9852451795047601E-3</v>
          </cell>
          <cell r="AG128">
            <v>-2.1673459386572298E-3</v>
          </cell>
          <cell r="AR128">
            <v>3.990656091472978E-3</v>
          </cell>
          <cell r="BC128">
            <v>7.8853492280009374E-3</v>
          </cell>
          <cell r="BF128">
            <v>1.1876005319473915E-2</v>
          </cell>
        </row>
        <row r="129">
          <cell r="O129">
            <v>1.43329336478799</v>
          </cell>
          <cell r="P129">
            <v>1.4360325169728001</v>
          </cell>
          <cell r="Q129">
            <v>1.43543218246696</v>
          </cell>
          <cell r="U129">
            <v>-3.1786140182866302E-3</v>
          </cell>
          <cell r="V129">
            <v>-1.46807632878136E-3</v>
          </cell>
          <cell r="W129">
            <v>-1.8191849942547299E-3</v>
          </cell>
          <cell r="Y129">
            <v>1.43040773636679</v>
          </cell>
          <cell r="Z129">
            <v>1.43212680693265</v>
          </cell>
          <cell r="AA129">
            <v>1.4317228933311299</v>
          </cell>
          <cell r="AF129">
            <v>-1.1103434284028501E-3</v>
          </cell>
          <cell r="AG129">
            <v>-1.3543468073436899E-3</v>
          </cell>
          <cell r="AR129">
            <v>4.6551316535306305E-3</v>
          </cell>
          <cell r="BC129">
            <v>7.8853492280009374E-3</v>
          </cell>
          <cell r="BF129">
            <v>1.2540480881531566E-2</v>
          </cell>
        </row>
        <row r="130">
          <cell r="O130">
            <v>1.43329336478799</v>
          </cell>
          <cell r="P130">
            <v>1.4363874309112801</v>
          </cell>
          <cell r="Q130">
            <v>1.4356173028960999</v>
          </cell>
          <cell r="U130">
            <v>-3.75163643893565E-3</v>
          </cell>
          <cell r="V130">
            <v>-1.8423705487811701E-3</v>
          </cell>
          <cell r="W130">
            <v>-2.2605087308007399E-3</v>
          </cell>
          <cell r="Y130">
            <v>1.43040773636679</v>
          </cell>
          <cell r="Z130">
            <v>1.4323967090729599</v>
          </cell>
          <cell r="AA130">
            <v>1.4318669187264601</v>
          </cell>
          <cell r="AF130">
            <v>-1.53069164997693E-3</v>
          </cell>
          <cell r="AG130">
            <v>-1.81276902587353E-3</v>
          </cell>
          <cell r="AR130">
            <v>4.0821092328816007E-3</v>
          </cell>
          <cell r="BC130">
            <v>7.8853492280009374E-3</v>
          </cell>
          <cell r="BF130">
            <v>1.1967458460882537E-2</v>
          </cell>
        </row>
        <row r="131">
          <cell r="O131">
            <v>1.43329336478799</v>
          </cell>
          <cell r="P131">
            <v>1.4365867447223599</v>
          </cell>
          <cell r="Q131">
            <v>1.43570963328649</v>
          </cell>
          <cell r="U131">
            <v>-2.56609022186533E-3</v>
          </cell>
          <cell r="V131">
            <v>-4.0970591119504298E-4</v>
          </cell>
          <cell r="W131">
            <v>-9.4600588631173102E-4</v>
          </cell>
          <cell r="Y131">
            <v>1.43040773636679</v>
          </cell>
          <cell r="Z131">
            <v>1.43251610240849</v>
          </cell>
          <cell r="AA131">
            <v>1.4319216531987</v>
          </cell>
          <cell r="AF131">
            <v>-1.91078566809177E-4</v>
          </cell>
          <cell r="AG131">
            <v>-5.6100984506145301E-4</v>
          </cell>
          <cell r="AR131">
            <v>5.2676554499517508E-3</v>
          </cell>
          <cell r="BC131">
            <v>7.8853492280009374E-3</v>
          </cell>
          <cell r="BF131">
            <v>1.3153004677952686E-2</v>
          </cell>
        </row>
        <row r="132">
          <cell r="O132">
            <v>1.43329336478799</v>
          </cell>
          <cell r="P132">
            <v>1.4366777066880401</v>
          </cell>
          <cell r="Q132">
            <v>1.4357744389079199</v>
          </cell>
          <cell r="U132">
            <v>-2.3476215280301598E-3</v>
          </cell>
          <cell r="V132">
            <v>-5.2486362523683997E-5</v>
          </cell>
          <cell r="W132">
            <v>-6.6322519145610296E-4</v>
          </cell>
          <cell r="Y132">
            <v>1.43040773636679</v>
          </cell>
          <cell r="Z132">
            <v>1.4325275214778199</v>
          </cell>
          <cell r="AA132">
            <v>1.4319466666987299</v>
          </cell>
          <cell r="AF132">
            <v>1.2321489368775901E-4</v>
          </cell>
          <cell r="AG132">
            <v>-2.9183983540477098E-4</v>
          </cell>
          <cell r="AR132">
            <v>5.4861241437870615E-3</v>
          </cell>
          <cell r="BC132">
            <v>7.8853492280009374E-3</v>
          </cell>
          <cell r="BF132">
            <v>1.3371473371787998E-2</v>
          </cell>
        </row>
        <row r="133">
          <cell r="O133">
            <v>1.43329336478799</v>
          </cell>
          <cell r="P133">
            <v>1.43689083498471</v>
          </cell>
          <cell r="Q133">
            <v>1.43590300465756</v>
          </cell>
          <cell r="U133">
            <v>-2.5318023707782199E-3</v>
          </cell>
          <cell r="V133">
            <v>-1.7335109410025E-4</v>
          </cell>
          <cell r="W133">
            <v>-8.0226866286016104E-4</v>
          </cell>
          <cell r="Y133">
            <v>1.43040773636679</v>
          </cell>
          <cell r="Z133">
            <v>1.43265763991322</v>
          </cell>
          <cell r="AA133">
            <v>1.4320339692883099</v>
          </cell>
          <cell r="AF133">
            <v>-5.3608475847416502E-5</v>
          </cell>
          <cell r="AG133">
            <v>-4.5916617956636498E-4</v>
          </cell>
          <cell r="AR133">
            <v>5.4861241437870615E-3</v>
          </cell>
          <cell r="BC133">
            <v>7.8853492280009374E-3</v>
          </cell>
          <cell r="BF133">
            <v>1.3371473371787998E-2</v>
          </cell>
        </row>
        <row r="134">
          <cell r="O134">
            <v>1.43329336478799</v>
          </cell>
          <cell r="P134">
            <v>1.43720304189715</v>
          </cell>
          <cell r="Q134">
            <v>1.43599710313484</v>
          </cell>
          <cell r="U134">
            <v>-2.85230280093853E-3</v>
          </cell>
          <cell r="V134">
            <v>-3.4551450430331298E-4</v>
          </cell>
          <cell r="W134">
            <v>-1.0332285702775001E-3</v>
          </cell>
          <cell r="Y134">
            <v>1.43040773636679</v>
          </cell>
          <cell r="Z134">
            <v>1.4328860678745601</v>
          </cell>
          <cell r="AA134">
            <v>1.43208730958742</v>
          </cell>
          <cell r="AF134">
            <v>-2.7911803780763801E-4</v>
          </cell>
          <cell r="AG134">
            <v>-7.1453707751368504E-4</v>
          </cell>
          <cell r="AR134">
            <v>5.4861241437870615E-3</v>
          </cell>
          <cell r="BC134">
            <v>7.8853492280009374E-3</v>
          </cell>
          <cell r="BF134">
            <v>1.3371473371787998E-2</v>
          </cell>
        </row>
        <row r="135">
          <cell r="O135">
            <v>1.43329336478799</v>
          </cell>
          <cell r="P135">
            <v>1.4372257812860101</v>
          </cell>
          <cell r="Q135">
            <v>1.43608020352386</v>
          </cell>
          <cell r="U135">
            <v>-1.9895669517380099E-3</v>
          </cell>
          <cell r="V135">
            <v>7.34477236351504E-4</v>
          </cell>
          <cell r="W135">
            <v>-1.04962254290149E-4</v>
          </cell>
          <cell r="Y135">
            <v>1.43040773636679</v>
          </cell>
          <cell r="Z135">
            <v>1.43290623058557</v>
          </cell>
          <cell r="AA135">
            <v>1.4321300282274601</v>
          </cell>
          <cell r="AF135">
            <v>7.2292156638503703E-4</v>
          </cell>
          <cell r="AG135">
            <v>1.6531896238324199E-4</v>
          </cell>
          <cell r="AR135">
            <v>5.4861241437870615E-3</v>
          </cell>
          <cell r="BC135">
            <v>7.8853492280009374E-3</v>
          </cell>
          <cell r="BF135">
            <v>1.3371473371787998E-2</v>
          </cell>
        </row>
        <row r="136">
          <cell r="O136">
            <v>1.43329336478799</v>
          </cell>
          <cell r="P136">
            <v>1.43734104432101</v>
          </cell>
          <cell r="Q136">
            <v>1.43620659137887</v>
          </cell>
          <cell r="U136">
            <v>-2.5643351237441799E-3</v>
          </cell>
          <cell r="V136">
            <v>1.7553091296561399E-4</v>
          </cell>
          <cell r="W136">
            <v>-6.2186263224020804E-4</v>
          </cell>
          <cell r="Y136">
            <v>1.43040773636679</v>
          </cell>
          <cell r="Z136">
            <v>1.43301498951099</v>
          </cell>
          <cell r="AA136">
            <v>1.43221525127131</v>
          </cell>
          <cell r="AF136">
            <v>1.80337454071822E-4</v>
          </cell>
          <cell r="AG136">
            <v>-3.61507260610786E-4</v>
          </cell>
          <cell r="AR136">
            <v>5.4861241437870615E-3</v>
          </cell>
          <cell r="BC136">
            <v>7.8853492280009374E-3</v>
          </cell>
          <cell r="BF136">
            <v>1.3371473371787998E-2</v>
          </cell>
        </row>
        <row r="137">
          <cell r="O137">
            <v>1.43329336478799</v>
          </cell>
          <cell r="P137">
            <v>1.4373584060642199</v>
          </cell>
          <cell r="Q137">
            <v>1.4363490393441301</v>
          </cell>
          <cell r="U137">
            <v>-2.6947496575972399E-3</v>
          </cell>
          <cell r="V137">
            <v>1.25311442967267E-4</v>
          </cell>
          <cell r="W137">
            <v>-6.6427212752235296E-4</v>
          </cell>
          <cell r="Y137">
            <v>1.43040773636679</v>
          </cell>
          <cell r="Z137">
            <v>1.43302752406874</v>
          </cell>
          <cell r="AA137">
            <v>1.4323149196706</v>
          </cell>
          <cell r="AF137">
            <v>1.34444210330601E-4</v>
          </cell>
          <cell r="AG137">
            <v>-4.23792436108052E-4</v>
          </cell>
          <cell r="AR137">
            <v>5.4861241437870615E-3</v>
          </cell>
          <cell r="BC137">
            <v>7.8853492280009374E-3</v>
          </cell>
          <cell r="BF137">
            <v>1.3371473371787998E-2</v>
          </cell>
        </row>
        <row r="138">
          <cell r="O138">
            <v>1.43329336478799</v>
          </cell>
          <cell r="P138">
            <v>1.43733841911139</v>
          </cell>
          <cell r="Q138">
            <v>1.43654279214034</v>
          </cell>
          <cell r="U138">
            <v>-3.7041670672813701E-3</v>
          </cell>
          <cell r="V138">
            <v>-8.7202696958107203E-4</v>
          </cell>
          <cell r="W138">
            <v>-1.5745109772789499E-3</v>
          </cell>
          <cell r="Y138">
            <v>1.43040773636679</v>
          </cell>
          <cell r="Z138">
            <v>1.4330056741825199</v>
          </cell>
          <cell r="AA138">
            <v>1.4324647753064399</v>
          </cell>
          <cell r="AF138">
            <v>-8.3787208864248401E-4</v>
          </cell>
          <cell r="AG138">
            <v>-1.3352677241199699E-3</v>
          </cell>
          <cell r="AR138">
            <v>5.4861241437870615E-3</v>
          </cell>
          <cell r="BC138">
            <v>7.8853492280009374E-3</v>
          </cell>
          <cell r="BF138">
            <v>1.3371473371787998E-2</v>
          </cell>
        </row>
        <row r="139">
          <cell r="O139">
            <v>1.43329336478799</v>
          </cell>
          <cell r="P139">
            <v>1.4373670462284101</v>
          </cell>
          <cell r="Q139">
            <v>1.4366997816006</v>
          </cell>
          <cell r="U139">
            <v>-3.3776899875492998E-3</v>
          </cell>
          <cell r="V139">
            <v>-5.5945532339671895E-4</v>
          </cell>
          <cell r="W139">
            <v>-1.1131504366547901E-3</v>
          </cell>
          <cell r="Y139">
            <v>1.43040773636679</v>
          </cell>
          <cell r="Z139">
            <v>1.43303029611619</v>
          </cell>
          <cell r="AA139">
            <v>1.43257855152442</v>
          </cell>
          <cell r="AF139">
            <v>-5.2688759726141098E-4</v>
          </cell>
          <cell r="AG139">
            <v>-9.0441644778282103E-4</v>
          </cell>
          <cell r="AR139">
            <v>5.4861241437870615E-3</v>
          </cell>
          <cell r="BC139">
            <v>7.8853492280009374E-3</v>
          </cell>
          <cell r="BF139">
            <v>1.3371473371787998E-2</v>
          </cell>
        </row>
        <row r="140">
          <cell r="O140">
            <v>1.43329336478799</v>
          </cell>
          <cell r="P140">
            <v>1.43733647265336</v>
          </cell>
          <cell r="Q140">
            <v>1.43686195178232</v>
          </cell>
          <cell r="U140">
            <v>-3.53910265724562E-3</v>
          </cell>
          <cell r="V140">
            <v>-7.0095143651500405E-4</v>
          </cell>
          <cell r="W140">
            <v>-1.16528624831219E-3</v>
          </cell>
          <cell r="Y140">
            <v>1.43040773636679</v>
          </cell>
          <cell r="Z140">
            <v>1.4329942832774401</v>
          </cell>
          <cell r="AA140">
            <v>1.4326954961752001</v>
          </cell>
          <cell r="AF140">
            <v>-6.4890728803710502E-4</v>
          </cell>
          <cell r="AG140">
            <v>-9.6419427906101196E-4</v>
          </cell>
          <cell r="AR140">
            <v>5.4861241437870615E-3</v>
          </cell>
          <cell r="BC140">
            <v>7.8853492280009374E-3</v>
          </cell>
          <cell r="BF140">
            <v>1.3371473371787998E-2</v>
          </cell>
        </row>
        <row r="141">
          <cell r="O141">
            <v>1.43329336478799</v>
          </cell>
          <cell r="P141">
            <v>1.4373594449320399</v>
          </cell>
          <cell r="Q141">
            <v>1.4369730948271999</v>
          </cell>
          <cell r="U141">
            <v>-2.7259428698613499E-3</v>
          </cell>
          <cell r="V141">
            <v>9.0937583396740598E-5</v>
          </cell>
          <cell r="W141">
            <v>-2.39255956003845E-4</v>
          </cell>
          <cell r="Y141">
            <v>1.43040773636679</v>
          </cell>
          <cell r="Z141">
            <v>1.43301056464888</v>
          </cell>
          <cell r="AA141">
            <v>1.43276333352869</v>
          </cell>
          <cell r="AF141">
            <v>1.12382219370734E-4</v>
          </cell>
          <cell r="AG141">
            <v>-9.6144959994688798E-5</v>
          </cell>
          <cell r="AR141">
            <v>5.4861241437870615E-3</v>
          </cell>
          <cell r="BC141">
            <v>7.8853492280009374E-3</v>
          </cell>
          <cell r="BF141">
            <v>1.3371473371787998E-2</v>
          </cell>
        </row>
        <row r="142">
          <cell r="O142">
            <v>1.43329336478799</v>
          </cell>
          <cell r="P142">
            <v>1.4375284315947601</v>
          </cell>
          <cell r="Q142">
            <v>1.4371030691414</v>
          </cell>
          <cell r="U142">
            <v>-3.5231752653856101E-3</v>
          </cell>
          <cell r="V142">
            <v>-6.9031240610187598E-4</v>
          </cell>
          <cell r="W142">
            <v>-9.5914010910681596E-4</v>
          </cell>
          <cell r="Y142">
            <v>1.43040773636679</v>
          </cell>
          <cell r="Z142">
            <v>1.4331723773616301</v>
          </cell>
          <cell r="AA142">
            <v>1.43284994941973</v>
          </cell>
          <cell r="AF142">
            <v>-6.6074569206920101E-4</v>
          </cell>
          <cell r="AG142">
            <v>-8.3328625499761897E-4</v>
          </cell>
          <cell r="AR142">
            <v>5.4861241437870615E-3</v>
          </cell>
          <cell r="BC142">
            <v>7.8853492280009374E-3</v>
          </cell>
          <cell r="BF142">
            <v>1.3371473371787998E-2</v>
          </cell>
        </row>
        <row r="143">
          <cell r="O143">
            <v>1.43329336478799</v>
          </cell>
          <cell r="P143">
            <v>1.4377795009666201</v>
          </cell>
          <cell r="Q143">
            <v>1.4373351679756601</v>
          </cell>
          <cell r="U143">
            <v>-4.2775439656628196E-3</v>
          </cell>
          <cell r="V143">
            <v>-1.3271205821618799E-3</v>
          </cell>
          <cell r="W143">
            <v>-1.6230628317021999E-3</v>
          </cell>
          <cell r="Y143">
            <v>1.43040773636679</v>
          </cell>
          <cell r="Z143">
            <v>1.43341388319733</v>
          </cell>
          <cell r="AA143">
            <v>1.43303576155527</v>
          </cell>
          <cell r="AF143">
            <v>-1.28791975004537E-3</v>
          </cell>
          <cell r="AG143">
            <v>-1.51292005115955E-3</v>
          </cell>
          <cell r="AR143">
            <v>5.4861241437870615E-3</v>
          </cell>
          <cell r="BC143">
            <v>7.8853492280009374E-3</v>
          </cell>
          <cell r="BF143">
            <v>1.3371473371787998E-2</v>
          </cell>
        </row>
        <row r="144">
          <cell r="O144">
            <v>1.43329336478799</v>
          </cell>
          <cell r="P144">
            <v>1.43788012943202</v>
          </cell>
          <cell r="Q144">
            <v>1.4375415856645899</v>
          </cell>
          <cell r="U144">
            <v>-3.5521368107347502E-3</v>
          </cell>
          <cell r="V144">
            <v>-4.2707517742595702E-4</v>
          </cell>
          <cell r="W144">
            <v>-7.3616406302377704E-4</v>
          </cell>
          <cell r="Y144">
            <v>1.43040773636679</v>
          </cell>
          <cell r="Z144">
            <v>1.43350612729758</v>
          </cell>
          <cell r="AA144">
            <v>1.43319609758607</v>
          </cell>
          <cell r="AF144">
            <v>-3.9487712313622297E-4</v>
          </cell>
          <cell r="AG144">
            <v>-6.58702894463028E-4</v>
          </cell>
          <cell r="AR144">
            <v>6.2115312987151509E-3</v>
          </cell>
          <cell r="BC144">
            <v>7.8853492280009374E-3</v>
          </cell>
          <cell r="BF144">
            <v>1.4096880526716087E-2</v>
          </cell>
        </row>
        <row r="145">
          <cell r="O145">
            <v>1.43329336478799</v>
          </cell>
          <cell r="P145">
            <v>1.4381700064734799</v>
          </cell>
          <cell r="Q145">
            <v>1.43769789387974</v>
          </cell>
          <cell r="U145">
            <v>-4.0059672013686596E-3</v>
          </cell>
          <cell r="V145">
            <v>-8.1091921475424998E-4</v>
          </cell>
          <cell r="W145">
            <v>-1.0463933834445199E-3</v>
          </cell>
          <cell r="Y145">
            <v>1.43040773636679</v>
          </cell>
          <cell r="Z145">
            <v>1.4337833441974901</v>
          </cell>
          <cell r="AA145">
            <v>1.4333447873915299</v>
          </cell>
          <cell r="AF145">
            <v>-7.7863985544892602E-4</v>
          </cell>
          <cell r="AG145">
            <v>-9.9493697206240093E-4</v>
          </cell>
          <cell r="AR145">
            <v>5.7577009080811209E-3</v>
          </cell>
          <cell r="BC145">
            <v>7.8853492280009374E-3</v>
          </cell>
          <cell r="BF145">
            <v>1.3643050136082056E-2</v>
          </cell>
        </row>
        <row r="146">
          <cell r="O146">
            <v>1.43329336478799</v>
          </cell>
          <cell r="P146">
            <v>1.43824543638928</v>
          </cell>
          <cell r="Q146">
            <v>1.4377932403551399</v>
          </cell>
          <cell r="U146">
            <v>-3.0891194983073801E-3</v>
          </cell>
          <cell r="V146">
            <v>3.0750845301320199E-4</v>
          </cell>
          <cell r="W146">
            <v>-2.08185872666214E-5</v>
          </cell>
          <cell r="Y146">
            <v>1.43040773636679</v>
          </cell>
          <cell r="Z146">
            <v>1.4338525321450499</v>
          </cell>
          <cell r="AA146">
            <v>1.4334337608280201</v>
          </cell>
          <cell r="AF146">
            <v>3.09451315253985E-4</v>
          </cell>
          <cell r="AG146">
            <v>3.53069416425054E-6</v>
          </cell>
          <cell r="AR146">
            <v>6.6745486111423388E-3</v>
          </cell>
          <cell r="BC146">
            <v>7.8853492280009374E-3</v>
          </cell>
          <cell r="BF146">
            <v>1.4559897839143274E-2</v>
          </cell>
        </row>
        <row r="147">
          <cell r="O147">
            <v>1.43329336478799</v>
          </cell>
          <cell r="P147">
            <v>1.4385044221318399</v>
          </cell>
          <cell r="Q147">
            <v>1.4379314140980299</v>
          </cell>
          <cell r="U147">
            <v>-4.4951928835278198E-3</v>
          </cell>
          <cell r="V147">
            <v>-1.0461177685004599E-3</v>
          </cell>
          <cell r="W147">
            <v>-1.3605753184040301E-3</v>
          </cell>
          <cell r="Y147">
            <v>1.43040773636679</v>
          </cell>
          <cell r="Z147">
            <v>1.43397739566603</v>
          </cell>
          <cell r="AA147">
            <v>1.43350245986739</v>
          </cell>
          <cell r="AF147">
            <v>-1.52336669584566E-4</v>
          </cell>
          <cell r="AG147">
            <v>-4.4443956913432E-4</v>
          </cell>
          <cell r="AR147">
            <v>6.6745486111423388E-3</v>
          </cell>
          <cell r="BC147">
            <v>7.8853492280009374E-3</v>
          </cell>
          <cell r="BF147">
            <v>1.4559897839143274E-2</v>
          </cell>
        </row>
        <row r="148">
          <cell r="O148">
            <v>1.43329336478799</v>
          </cell>
          <cell r="P148">
            <v>1.4386322976838799</v>
          </cell>
          <cell r="Q148">
            <v>1.4379853583976301</v>
          </cell>
          <cell r="U148">
            <v>-4.5926534688216399E-3</v>
          </cell>
          <cell r="V148">
            <v>-9.6352394795611702E-4</v>
          </cell>
          <cell r="W148">
            <v>-1.3619392605232501E-3</v>
          </cell>
          <cell r="Y148">
            <v>1.43040773636679</v>
          </cell>
          <cell r="Z148">
            <v>1.43397784177724</v>
          </cell>
          <cell r="AA148">
            <v>1.43349175797988</v>
          </cell>
          <cell r="AF148">
            <v>-1.7835959221801801E-4</v>
          </cell>
          <cell r="AG148">
            <v>-5.0961618471012898E-4</v>
          </cell>
          <cell r="AR148">
            <v>6.6745486111423388E-3</v>
          </cell>
          <cell r="BC148">
            <v>7.8853492280009374E-3</v>
          </cell>
          <cell r="BF148">
            <v>1.4559897839143274E-2</v>
          </cell>
        </row>
        <row r="149">
          <cell r="O149">
            <v>1.43329336478799</v>
          </cell>
          <cell r="P149">
            <v>1.43866626728661</v>
          </cell>
          <cell r="Q149">
            <v>1.4380166567575099</v>
          </cell>
          <cell r="U149">
            <v>-3.6138667578362298E-3</v>
          </cell>
          <cell r="V149">
            <v>1.04153604568846E-4</v>
          </cell>
          <cell r="W149">
            <v>-3.4563804277294399E-4</v>
          </cell>
          <cell r="Y149">
            <v>1.43040773636679</v>
          </cell>
          <cell r="Z149">
            <v>1.43388915481851</v>
          </cell>
          <cell r="AA149">
            <v>1.43345972546735</v>
          </cell>
          <cell r="AF149">
            <v>7.7004702246960598E-4</v>
          </cell>
          <cell r="AG149">
            <v>4.3101374933012698E-4</v>
          </cell>
          <cell r="AR149">
            <v>6.6745486111423388E-3</v>
          </cell>
          <cell r="BC149">
            <v>7.8853492280009374E-3</v>
          </cell>
          <cell r="BF149">
            <v>1.4559897839143274E-2</v>
          </cell>
        </row>
        <row r="150">
          <cell r="O150">
            <v>1.43329336478799</v>
          </cell>
          <cell r="P150">
            <v>1.4386270484066901</v>
          </cell>
          <cell r="Q150">
            <v>1.43798176053002</v>
          </cell>
          <cell r="U150">
            <v>-3.2664044408348102E-3</v>
          </cell>
          <cell r="V150">
            <v>4.7522807162850397E-4</v>
          </cell>
          <cell r="W150">
            <v>2.35894605641675E-5</v>
          </cell>
          <cell r="Y150">
            <v>1.43040773636679</v>
          </cell>
          <cell r="Z150">
            <v>1.43373113952263</v>
          </cell>
          <cell r="AA150">
            <v>1.43336271140004</v>
          </cell>
          <cell r="AF150">
            <v>1.0528013639765901E-3</v>
          </cell>
          <cell r="AG150">
            <v>7.5327077157320897E-4</v>
          </cell>
          <cell r="AR150">
            <v>6.6745486111423388E-3</v>
          </cell>
          <cell r="BC150">
            <v>7.8853492280009374E-3</v>
          </cell>
          <cell r="BF150">
            <v>1.4559897839143274E-2</v>
          </cell>
        </row>
        <row r="151">
          <cell r="O151">
            <v>1.43329336478799</v>
          </cell>
          <cell r="P151">
            <v>1.43875181192058</v>
          </cell>
          <cell r="Q151">
            <v>1.43805562842631</v>
          </cell>
          <cell r="U151">
            <v>-3.5936640709272501E-3</v>
          </cell>
          <cell r="V151">
            <v>1.2070748783718601E-4</v>
          </cell>
          <cell r="W151">
            <v>-3.2793737863410599E-4</v>
          </cell>
          <cell r="Y151">
            <v>1.43040773636679</v>
          </cell>
          <cell r="Z151">
            <v>1.4337328185104701</v>
          </cell>
          <cell r="AA151">
            <v>1.4333716915796799</v>
          </cell>
          <cell r="AF151">
            <v>6.1473955812868595E-4</v>
          </cell>
          <cell r="AG151">
            <v>3.5773497873450199E-4</v>
          </cell>
          <cell r="AR151">
            <v>6.6745486111423388E-3</v>
          </cell>
          <cell r="BC151">
            <v>7.8853492280009374E-3</v>
          </cell>
          <cell r="BF151">
            <v>1.4559897839143274E-2</v>
          </cell>
        </row>
        <row r="152">
          <cell r="O152">
            <v>1.43329336478799</v>
          </cell>
          <cell r="P152">
            <v>1.43870072204926</v>
          </cell>
          <cell r="Q152">
            <v>1.43811457682201</v>
          </cell>
          <cell r="U152">
            <v>-3.1679148948266199E-3</v>
          </cell>
          <cell r="V152">
            <v>6.33176918747245E-4</v>
          </cell>
          <cell r="W152">
            <v>1.49179625011206E-4</v>
          </cell>
          <cell r="Y152">
            <v>1.43040773636679</v>
          </cell>
          <cell r="Z152">
            <v>1.4335608177158301</v>
          </cell>
          <cell r="AA152">
            <v>1.43336659753873</v>
          </cell>
          <cell r="AF152">
            <v>1.0433418482767699E-3</v>
          </cell>
          <cell r="AG152">
            <v>7.9143130128824998E-4</v>
          </cell>
          <cell r="AR152">
            <v>6.6745486111423388E-3</v>
          </cell>
          <cell r="BC152">
            <v>7.8853492280009374E-3</v>
          </cell>
          <cell r="BF152">
            <v>1.4559897839143274E-2</v>
          </cell>
        </row>
        <row r="153">
          <cell r="O153">
            <v>1.43329336478799</v>
          </cell>
          <cell r="P153">
            <v>1.43856953175446</v>
          </cell>
          <cell r="Q153">
            <v>1.4381745163605399</v>
          </cell>
          <cell r="U153">
            <v>-3.36572864107107E-3</v>
          </cell>
          <cell r="V153">
            <v>3.9985268485480201E-4</v>
          </cell>
          <cell r="W153">
            <v>-7.6432260510335193E-6</v>
          </cell>
          <cell r="Y153">
            <v>1.43040773636679</v>
          </cell>
          <cell r="Z153">
            <v>1.4333099807310801</v>
          </cell>
          <cell r="AA153">
            <v>1.4333619319642099</v>
          </cell>
          <cell r="AF153">
            <v>7.3257766301090897E-4</v>
          </cell>
          <cell r="AG153">
            <v>5.9708753768393595E-4</v>
          </cell>
          <cell r="AR153">
            <v>6.6745486111423388E-3</v>
          </cell>
          <cell r="BC153">
            <v>7.8853492280009374E-3</v>
          </cell>
          <cell r="BF153">
            <v>1.4559897839143274E-2</v>
          </cell>
        </row>
        <row r="154">
          <cell r="O154">
            <v>1.43329336478799</v>
          </cell>
          <cell r="P154">
            <v>1.4386004479265999</v>
          </cell>
          <cell r="Q154">
            <v>1.43824028867931</v>
          </cell>
          <cell r="U154">
            <v>-3.7670491168617002E-3</v>
          </cell>
          <cell r="V154">
            <v>-9.2658595631216705E-5</v>
          </cell>
          <cell r="W154">
            <v>-3.6728531931411401E-4</v>
          </cell>
          <cell r="Y154">
            <v>1.43040773636679</v>
          </cell>
          <cell r="Z154">
            <v>1.43321928531264</v>
          </cell>
          <cell r="AA154">
            <v>1.43336270630511</v>
          </cell>
          <cell r="AF154">
            <v>1.6530770331026301E-4</v>
          </cell>
          <cell r="AG154">
            <v>2.0155268334984199E-4</v>
          </cell>
          <cell r="AR154">
            <v>6.6745486111423388E-3</v>
          </cell>
          <cell r="BC154">
            <v>7.8853492280009374E-3</v>
          </cell>
          <cell r="BF154">
            <v>1.4559897839143274E-2</v>
          </cell>
        </row>
        <row r="155">
          <cell r="O155">
            <v>1.43329336478799</v>
          </cell>
          <cell r="P155">
            <v>1.4385702591685201</v>
          </cell>
          <cell r="Q155">
            <v>1.4383701328209999</v>
          </cell>
          <cell r="U155">
            <v>-3.79616214769736E-3</v>
          </cell>
          <cell r="V155">
            <v>-1.0028094475438601E-4</v>
          </cell>
          <cell r="W155">
            <v>-3.5066619868019699E-4</v>
          </cell>
          <cell r="Y155">
            <v>1.43040773636679</v>
          </cell>
          <cell r="Z155">
            <v>1.4330707470303099</v>
          </cell>
          <cell r="AA155">
            <v>1.4334270456139</v>
          </cell>
          <cell r="AF155">
            <v>5.7160485437308801E-5</v>
          </cell>
          <cell r="AG155">
            <v>1.5722459873058201E-4</v>
          </cell>
          <cell r="AR155">
            <v>6.6745486111423388E-3</v>
          </cell>
          <cell r="BC155">
            <v>7.8853492280009374E-3</v>
          </cell>
          <cell r="BF155">
            <v>1.4559897839143274E-2</v>
          </cell>
        </row>
        <row r="156">
          <cell r="O156">
            <v>1.43329336478799</v>
          </cell>
          <cell r="P156">
            <v>1.4385295196112</v>
          </cell>
          <cell r="Q156">
            <v>1.4383874780002399</v>
          </cell>
          <cell r="U156">
            <v>-2.8057186368871702E-3</v>
          </cell>
          <cell r="V156">
            <v>8.6917753517131401E-4</v>
          </cell>
          <cell r="W156">
            <v>7.3005310395262801E-4</v>
          </cell>
          <cell r="Y156">
            <v>1.43040773636679</v>
          </cell>
          <cell r="Z156">
            <v>1.4329116097771599</v>
          </cell>
          <cell r="AA156">
            <v>1.43338207096111</v>
          </cell>
          <cell r="AF156">
            <v>9.2319473629384101E-4</v>
          </cell>
          <cell r="AG156">
            <v>1.17178978935129E-3</v>
          </cell>
          <cell r="AR156">
            <v>6.6745486111423388E-3</v>
          </cell>
          <cell r="BC156">
            <v>7.8853492280009374E-3</v>
          </cell>
          <cell r="BF156">
            <v>1.4559897839143274E-2</v>
          </cell>
        </row>
        <row r="157">
          <cell r="O157">
            <v>1.43329336478799</v>
          </cell>
          <cell r="P157">
            <v>1.4382570195022499</v>
          </cell>
          <cell r="Q157">
            <v>1.43838072081704</v>
          </cell>
          <cell r="U157">
            <v>-2.6007100725908899E-3</v>
          </cell>
          <cell r="V157">
            <v>1.04586622149344E-3</v>
          </cell>
          <cell r="W157">
            <v>9.4712050780462504E-4</v>
          </cell>
          <cell r="Y157">
            <v>1.43040773636679</v>
          </cell>
          <cell r="Z157">
            <v>1.43264899210069</v>
          </cell>
          <cell r="AA157">
            <v>1.4333131938833601</v>
          </cell>
          <cell r="AF157">
            <v>1.0241809031191101E-3</v>
          </cell>
          <cell r="AG157">
            <v>1.35245235089841E-3</v>
          </cell>
          <cell r="AR157">
            <v>6.6745486111423388E-3</v>
          </cell>
          <cell r="BC157">
            <v>7.6803406637046675E-3</v>
          </cell>
          <cell r="BF157">
            <v>1.4354889274847005E-2</v>
          </cell>
        </row>
        <row r="158">
          <cell r="O158">
            <v>1.43329336478799</v>
          </cell>
          <cell r="P158">
            <v>1.4380321483752001</v>
          </cell>
          <cell r="Q158">
            <v>1.4383322230295399</v>
          </cell>
          <cell r="U158">
            <v>-3.0297095793660302E-3</v>
          </cell>
          <cell r="V158">
            <v>4.2741914461929002E-4</v>
          </cell>
          <cell r="W158">
            <v>5.1342324109360303E-4</v>
          </cell>
          <cell r="Y158">
            <v>1.43040773636679</v>
          </cell>
          <cell r="Z158">
            <v>1.43242917325648</v>
          </cell>
          <cell r="AA158">
            <v>1.4332035075168601</v>
          </cell>
          <cell r="AF158">
            <v>4.28667493759713E-4</v>
          </cell>
          <cell r="AG158">
            <v>8.9217800189681103E-4</v>
          </cell>
          <cell r="AR158">
            <v>6.6745486111423388E-3</v>
          </cell>
          <cell r="BC158">
            <v>8.1093401704797185E-3</v>
          </cell>
          <cell r="BF158">
            <v>1.4783888781622057E-2</v>
          </cell>
        </row>
        <row r="159">
          <cell r="O159">
            <v>1.43329336478799</v>
          </cell>
          <cell r="P159">
            <v>1.4380501851674199</v>
          </cell>
          <cell r="Q159">
            <v>1.43835822622702</v>
          </cell>
          <cell r="U159">
            <v>-3.7392465378274001E-3</v>
          </cell>
          <cell r="V159">
            <v>-4.38479788861221E-4</v>
          </cell>
          <cell r="W159">
            <v>-2.2983121956973601E-4</v>
          </cell>
          <cell r="Y159">
            <v>1.43040773636679</v>
          </cell>
          <cell r="Z159">
            <v>1.4324461974070399</v>
          </cell>
          <cell r="AA159">
            <v>1.4331676761127801</v>
          </cell>
          <cell r="AF159">
            <v>-4.2932152362165599E-4</v>
          </cell>
          <cell r="AG159">
            <v>1.1110662295878801E-4</v>
          </cell>
          <cell r="AR159">
            <v>6.6745486111423388E-3</v>
          </cell>
          <cell r="BC159">
            <v>8.8188771289412285E-3</v>
          </cell>
          <cell r="BF159">
            <v>1.5493425740083567E-2</v>
          </cell>
        </row>
        <row r="160">
          <cell r="O160">
            <v>1.43329336478799</v>
          </cell>
          <cell r="P160">
            <v>1.4379525795363799</v>
          </cell>
          <cell r="Q160">
            <v>1.4382898139715301</v>
          </cell>
          <cell r="U160">
            <v>-2.5874062203802501E-3</v>
          </cell>
          <cell r="V160">
            <v>7.2590314046536305E-4</v>
          </cell>
          <cell r="W160">
            <v>9.4008764886427604E-4</v>
          </cell>
          <cell r="Y160">
            <v>1.43040773636679</v>
          </cell>
          <cell r="Z160">
            <v>1.4323506311244101</v>
          </cell>
          <cell r="AA160">
            <v>1.4330408853235199</v>
          </cell>
          <cell r="AF160">
            <v>7.1337820863720503E-4</v>
          </cell>
          <cell r="AG160">
            <v>1.2169203834198001E-3</v>
          </cell>
          <cell r="AR160">
            <v>6.6745486111423388E-3</v>
          </cell>
          <cell r="BC160">
            <v>7.6670368114942784E-3</v>
          </cell>
          <cell r="BF160">
            <v>1.4341585422636617E-2</v>
          </cell>
        </row>
        <row r="161">
          <cell r="O161">
            <v>1.43329336478799</v>
          </cell>
          <cell r="P161">
            <v>1.4378183601793</v>
          </cell>
          <cell r="Q161">
            <v>1.4382850860499401</v>
          </cell>
          <cell r="U161">
            <v>-2.660147460087E-3</v>
          </cell>
          <cell r="V161">
            <v>5.8528600558920799E-4</v>
          </cell>
          <cell r="W161">
            <v>8.1978253999996599E-4</v>
          </cell>
          <cell r="Y161">
            <v>1.43040773636679</v>
          </cell>
          <cell r="Z161">
            <v>1.4322184444188</v>
          </cell>
          <cell r="AA161">
            <v>1.43297563146464</v>
          </cell>
          <cell r="AF161">
            <v>5.7436723603244001E-4</v>
          </cell>
          <cell r="AG161">
            <v>1.0561542508258301E-3</v>
          </cell>
          <cell r="AR161">
            <v>6.6745486111423388E-3</v>
          </cell>
          <cell r="BC161">
            <v>7.7397780512008475E-3</v>
          </cell>
          <cell r="BF161">
            <v>1.4414326662343185E-2</v>
          </cell>
        </row>
        <row r="162">
          <cell r="O162">
            <v>1.43329336478799</v>
          </cell>
          <cell r="P162">
            <v>1.43776814767214</v>
          </cell>
          <cell r="Q162">
            <v>1.4382344348606999</v>
          </cell>
          <cell r="U162">
            <v>-2.8186323747128798E-3</v>
          </cell>
          <cell r="V162">
            <v>3.33456134087354E-4</v>
          </cell>
          <cell r="W162">
            <v>6.5801043713456704E-4</v>
          </cell>
          <cell r="Y162">
            <v>1.43040773636679</v>
          </cell>
          <cell r="Z162">
            <v>1.4321701587575999</v>
          </cell>
          <cell r="AA162">
            <v>1.43286548823672</v>
          </cell>
          <cell r="AF162">
            <v>3.2372919726556898E-4</v>
          </cell>
          <cell r="AG162">
            <v>8.5227075040886105E-4</v>
          </cell>
          <cell r="AR162">
            <v>6.6745486111423388E-3</v>
          </cell>
          <cell r="BC162">
            <v>7.8982629658268782E-3</v>
          </cell>
          <cell r="BF162">
            <v>1.4572811576969215E-2</v>
          </cell>
        </row>
        <row r="163">
          <cell r="O163">
            <v>1.43329336478799</v>
          </cell>
          <cell r="P163">
            <v>1.4377951323495299</v>
          </cell>
          <cell r="Q163">
            <v>1.438182332052</v>
          </cell>
          <cell r="U163">
            <v>-3.5533488783220002E-3</v>
          </cell>
          <cell r="V163">
            <v>-4.3618368483728902E-4</v>
          </cell>
          <cell r="W163">
            <v>-1.1192306318245699E-4</v>
          </cell>
          <cell r="Y163">
            <v>1.43040773636679</v>
          </cell>
          <cell r="Z163">
            <v>1.43219927293347</v>
          </cell>
          <cell r="AA163">
            <v>1.4327546268322799</v>
          </cell>
          <cell r="AF163">
            <v>-4.4118449059558001E-4</v>
          </cell>
          <cell r="AG163">
            <v>4.4205276540935497E-5</v>
          </cell>
          <cell r="AR163">
            <v>6.6745486111423388E-3</v>
          </cell>
          <cell r="BC163">
            <v>8.6329794694358294E-3</v>
          </cell>
          <cell r="BF163">
            <v>1.5307528080578166E-2</v>
          </cell>
        </row>
        <row r="164">
          <cell r="O164">
            <v>1.43329336478799</v>
          </cell>
          <cell r="P164">
            <v>1.4378107185384801</v>
          </cell>
          <cell r="Q164">
            <v>1.43820558323254</v>
          </cell>
          <cell r="U164">
            <v>-3.8753782615502802E-3</v>
          </cell>
          <cell r="V164">
            <v>-7.39444795717193E-4</v>
          </cell>
          <cell r="W164">
            <v>-4.7018002601872298E-4</v>
          </cell>
          <cell r="Y164">
            <v>1.43040773636679</v>
          </cell>
          <cell r="Z164">
            <v>1.43221639325449</v>
          </cell>
          <cell r="AA164">
            <v>1.43271783928356</v>
          </cell>
          <cell r="AF164">
            <v>-7.2937640642466704E-4</v>
          </cell>
          <cell r="AG164">
            <v>-3.4168855859713999E-4</v>
          </cell>
          <cell r="AR164">
            <v>6.6745486111423388E-3</v>
          </cell>
          <cell r="BC164">
            <v>8.9550088526642608E-3</v>
          </cell>
          <cell r="BF164">
            <v>1.5629557463806596E-2</v>
          </cell>
        </row>
        <row r="165">
          <cell r="O165">
            <v>1.43329336478799</v>
          </cell>
          <cell r="P165">
            <v>1.43763715294566</v>
          </cell>
          <cell r="Q165">
            <v>1.43810370605709</v>
          </cell>
          <cell r="U165">
            <v>-2.5890656644229999E-3</v>
          </cell>
          <cell r="V165">
            <v>5.5770808325429405E-4</v>
          </cell>
          <cell r="W165">
            <v>8.3229950076137604E-4</v>
          </cell>
          <cell r="Y165">
            <v>1.43040773636679</v>
          </cell>
          <cell r="Z165">
            <v>1.43204796414737</v>
          </cell>
          <cell r="AA165">
            <v>1.4325593555888401</v>
          </cell>
          <cell r="AF165">
            <v>5.3310635799473205E-4</v>
          </cell>
          <cell r="AG165">
            <v>8.8316398131035401E-4</v>
          </cell>
          <cell r="AR165">
            <v>6.6745486111423388E-3</v>
          </cell>
          <cell r="BC165">
            <v>8.9550088526642608E-3</v>
          </cell>
          <cell r="BF165">
            <v>1.5629557463806596E-2</v>
          </cell>
        </row>
        <row r="166">
          <cell r="O166">
            <v>1.43329336478799</v>
          </cell>
          <cell r="P166">
            <v>1.43765605682618</v>
          </cell>
          <cell r="Q166">
            <v>1.43809278821869</v>
          </cell>
          <cell r="U166">
            <v>-2.9372316740075501E-3</v>
          </cell>
          <cell r="V166">
            <v>8.8819597872610894E-5</v>
          </cell>
          <cell r="W166">
            <v>4.1329467292374698E-4</v>
          </cell>
          <cell r="Y166">
            <v>1.43040773636679</v>
          </cell>
          <cell r="Z166">
            <v>1.43206525643511</v>
          </cell>
          <cell r="AA166">
            <v>1.43248843310614</v>
          </cell>
          <cell r="AF166">
            <v>8.8469597559044004E-5</v>
          </cell>
          <cell r="AG166">
            <v>4.4551081810066499E-4</v>
          </cell>
          <cell r="AR166">
            <v>6.6745486111423388E-3</v>
          </cell>
          <cell r="BC166">
            <v>8.9550088526642608E-3</v>
          </cell>
          <cell r="BF166">
            <v>1.5629557463806596E-2</v>
          </cell>
        </row>
        <row r="167">
          <cell r="O167">
            <v>1.43329336478799</v>
          </cell>
          <cell r="P167">
            <v>1.43767504221916</v>
          </cell>
          <cell r="Q167">
            <v>1.4379660308607101</v>
          </cell>
          <cell r="U167">
            <v>-2.73281722753849E-3</v>
          </cell>
          <cell r="V167">
            <v>3.06383228891964E-4</v>
          </cell>
          <cell r="W167">
            <v>6.1011726089400104E-4</v>
          </cell>
          <cell r="Y167">
            <v>1.43040773636679</v>
          </cell>
          <cell r="Z167">
            <v>1.43208393312347</v>
          </cell>
          <cell r="AA167">
            <v>1.43236646261208</v>
          </cell>
          <cell r="AF167">
            <v>3.0288766139952998E-4</v>
          </cell>
          <cell r="AG167">
            <v>5.9834497864211104E-4</v>
          </cell>
          <cell r="AR167">
            <v>6.6745486111423388E-3</v>
          </cell>
          <cell r="BC167">
            <v>8.9550088526642608E-3</v>
          </cell>
          <cell r="BF167">
            <v>1.5629557463806596E-2</v>
          </cell>
        </row>
        <row r="168">
          <cell r="O168">
            <v>1.43329336478799</v>
          </cell>
          <cell r="P168">
            <v>1.4377133380542699</v>
          </cell>
          <cell r="Q168">
            <v>1.43787274321473</v>
          </cell>
          <cell r="U168">
            <v>-3.29605352604682E-3</v>
          </cell>
          <cell r="V168">
            <v>-2.4364736054859301E-4</v>
          </cell>
          <cell r="W168">
            <v>-4.1265606261532403E-5</v>
          </cell>
          <cell r="Y168">
            <v>1.43040773636679</v>
          </cell>
          <cell r="Z168">
            <v>1.4320504763381501</v>
          </cell>
          <cell r="AA168">
            <v>1.43223982479732</v>
          </cell>
          <cell r="AF168">
            <v>2.6783254120506299E-4</v>
          </cell>
          <cell r="AG168">
            <v>4.6509864848080898E-4</v>
          </cell>
          <cell r="AR168">
            <v>6.6745486111423388E-3</v>
          </cell>
          <cell r="BC168">
            <v>8.9550088526642608E-3</v>
          </cell>
          <cell r="BF168">
            <v>1.5629557463806596E-2</v>
          </cell>
        </row>
        <row r="169">
          <cell r="O169">
            <v>1.43329336478799</v>
          </cell>
          <cell r="P169">
            <v>1.437697321967</v>
          </cell>
          <cell r="Q169">
            <v>1.4378737535672099</v>
          </cell>
          <cell r="U169">
            <v>-3.6279141362724702E-3</v>
          </cell>
          <cell r="V169">
            <v>-5.4887098818743804E-4</v>
          </cell>
          <cell r="W169">
            <v>-4.3800304257737702E-4</v>
          </cell>
          <cell r="Y169">
            <v>1.43040773636679</v>
          </cell>
          <cell r="Z169">
            <v>1.4319621796930599</v>
          </cell>
          <cell r="AA169">
            <v>1.4322041885500501</v>
          </cell>
          <cell r="AF169">
            <v>-7.7393140035781496E-5</v>
          </cell>
          <cell r="AG169">
            <v>5.4820036377156597E-5</v>
          </cell>
          <cell r="AR169">
            <v>6.6745486111423388E-3</v>
          </cell>
          <cell r="BC169">
            <v>8.9550088526642608E-3</v>
          </cell>
          <cell r="BF169">
            <v>1.5629557463806596E-2</v>
          </cell>
        </row>
        <row r="170">
          <cell r="O170">
            <v>1.43329336478799</v>
          </cell>
          <cell r="P170">
            <v>1.4379314300689401</v>
          </cell>
          <cell r="Q170">
            <v>1.4379420048026601</v>
          </cell>
          <cell r="U170">
            <v>-4.2152178035828897E-3</v>
          </cell>
          <cell r="V170">
            <v>-1.1473146902013301E-3</v>
          </cell>
          <cell r="W170">
            <v>-1.02460403844102E-3</v>
          </cell>
          <cell r="Y170">
            <v>1.43040773636679</v>
          </cell>
          <cell r="Z170">
            <v>1.4321187031270699</v>
          </cell>
          <cell r="AA170">
            <v>1.43223466712574</v>
          </cell>
          <cell r="AF170">
            <v>-7.1745744109891695E-4</v>
          </cell>
          <cell r="AG170">
            <v>-5.4846665882441598E-4</v>
          </cell>
          <cell r="AR170">
            <v>6.6745486111423388E-3</v>
          </cell>
          <cell r="BC170">
            <v>8.9550088526642608E-3</v>
          </cell>
          <cell r="BF170">
            <v>1.5629557463806596E-2</v>
          </cell>
        </row>
        <row r="171">
          <cell r="O171">
            <v>1.43329336478799</v>
          </cell>
          <cell r="P171">
            <v>1.43807595068861</v>
          </cell>
          <cell r="Q171">
            <v>1.43794715543396</v>
          </cell>
          <cell r="U171">
            <v>-3.66527496718163E-3</v>
          </cell>
          <cell r="V171">
            <v>-4.3454965202081901E-4</v>
          </cell>
          <cell r="W171">
            <v>-4.2719554972171499E-4</v>
          </cell>
          <cell r="Y171">
            <v>1.43040773636679</v>
          </cell>
          <cell r="Z171">
            <v>1.43218922973531</v>
          </cell>
          <cell r="AA171">
            <v>1.43220383707706</v>
          </cell>
          <cell r="AF171">
            <v>-8.0112374782360495E-5</v>
          </cell>
          <cell r="AG171">
            <v>8.5808084371156501E-7</v>
          </cell>
          <cell r="AR171">
            <v>6.6745486111423388E-3</v>
          </cell>
          <cell r="BC171">
            <v>8.9550088526642608E-3</v>
          </cell>
          <cell r="BF171">
            <v>1.5629557463806596E-2</v>
          </cell>
        </row>
        <row r="172">
          <cell r="O172">
            <v>1.43329336478799</v>
          </cell>
          <cell r="P172">
            <v>1.4382712767502801</v>
          </cell>
          <cell r="Q172">
            <v>1.4380197122112099</v>
          </cell>
          <cell r="U172">
            <v>-4.1766520528653201E-3</v>
          </cell>
          <cell r="V172">
            <v>-8.4542586919751303E-4</v>
          </cell>
          <cell r="W172">
            <v>-9.3499069534301398E-4</v>
          </cell>
          <cell r="Y172">
            <v>1.43040773636679</v>
          </cell>
          <cell r="Z172">
            <v>1.43230683664306</v>
          </cell>
          <cell r="AA172">
            <v>1.43223849770033</v>
          </cell>
          <cell r="AF172">
            <v>-5.1774993543051697E-4</v>
          </cell>
          <cell r="AG172">
            <v>-5.0755067757353705E-4</v>
          </cell>
          <cell r="AR172">
            <v>6.6745486111423388E-3</v>
          </cell>
          <cell r="BC172">
            <v>8.9550088526642608E-3</v>
          </cell>
          <cell r="BF172">
            <v>1.5629557463806596E-2</v>
          </cell>
        </row>
        <row r="173">
          <cell r="O173">
            <v>1.43329336478799</v>
          </cell>
          <cell r="P173">
            <v>1.4384666082528601</v>
          </cell>
          <cell r="Q173">
            <v>1.4381308703011999</v>
          </cell>
          <cell r="U173">
            <v>-4.9104096149273496E-3</v>
          </cell>
          <cell r="V173">
            <v>-1.4433680748254501E-3</v>
          </cell>
          <cell r="W173">
            <v>-1.6182909464519E-3</v>
          </cell>
          <cell r="Y173">
            <v>1.43040773636679</v>
          </cell>
          <cell r="Z173">
            <v>1.43241962966285</v>
          </cell>
          <cell r="AA173">
            <v>1.43230945129816</v>
          </cell>
          <cell r="AF173">
            <v>-1.13266502201387E-3</v>
          </cell>
          <cell r="AG173">
            <v>-1.1803786622363299E-3</v>
          </cell>
          <cell r="AR173">
            <v>6.6745486111423388E-3</v>
          </cell>
          <cell r="BC173">
            <v>8.9550088526642608E-3</v>
          </cell>
          <cell r="BF173">
            <v>1.5629557463806596E-2</v>
          </cell>
        </row>
        <row r="174">
          <cell r="O174">
            <v>1.43329336478799</v>
          </cell>
          <cell r="P174">
            <v>1.4384655199569001</v>
          </cell>
          <cell r="Q174">
            <v>1.4381381192476901</v>
          </cell>
          <cell r="U174">
            <v>-3.86781462738676E-3</v>
          </cell>
          <cell r="V174">
            <v>-2.6497239171015301E-4</v>
          </cell>
          <cell r="W174">
            <v>-4.9839952615725195E-4</v>
          </cell>
          <cell r="Y174">
            <v>1.43040773636679</v>
          </cell>
          <cell r="Z174">
            <v>1.4323395389056099</v>
          </cell>
          <cell r="AA174">
            <v>1.43227796608005</v>
          </cell>
          <cell r="AF174">
            <v>-1.6565614290207001E-5</v>
          </cell>
          <cell r="AG174">
            <v>-9.3486231654821796E-5</v>
          </cell>
          <cell r="AR174">
            <v>6.6745486111423388E-3</v>
          </cell>
          <cell r="BC174">
            <v>8.9550088526642608E-3</v>
          </cell>
          <cell r="BF174">
            <v>1.5629557463806596E-2</v>
          </cell>
        </row>
        <row r="175">
          <cell r="O175">
            <v>1.43329336478799</v>
          </cell>
          <cell r="P175">
            <v>1.4386302116396099</v>
          </cell>
          <cell r="Q175">
            <v>1.4381336822926301</v>
          </cell>
          <cell r="U175">
            <v>-3.73448210353208E-3</v>
          </cell>
          <cell r="V175">
            <v>-1.32396434861319E-4</v>
          </cell>
          <cell r="W175">
            <v>-3.6002648173996102E-4</v>
          </cell>
          <cell r="Y175">
            <v>1.43040773636679</v>
          </cell>
          <cell r="Z175">
            <v>1.43241974537233</v>
          </cell>
          <cell r="AA175">
            <v>1.4322338547598501</v>
          </cell>
          <cell r="AF175">
            <v>5.8927126022471897E-5</v>
          </cell>
          <cell r="AG175">
            <v>1.5938611524652499E-5</v>
          </cell>
          <cell r="AR175">
            <v>6.6745486111423388E-3</v>
          </cell>
          <cell r="BC175">
            <v>8.9550088526642608E-3</v>
          </cell>
          <cell r="BF175">
            <v>1.5629557463806596E-2</v>
          </cell>
        </row>
        <row r="176">
          <cell r="O176">
            <v>1.43329336478799</v>
          </cell>
          <cell r="P176">
            <v>1.4389151115377301</v>
          </cell>
          <cell r="Q176">
            <v>1.43828558418195</v>
          </cell>
          <cell r="U176">
            <v>-4.9171695833785303E-3</v>
          </cell>
          <cell r="V176">
            <v>-1.20059924109232E-3</v>
          </cell>
          <cell r="W176">
            <v>-1.54579917422342E-3</v>
          </cell>
          <cell r="Y176">
            <v>1.43040773636679</v>
          </cell>
          <cell r="Z176">
            <v>1.432615269374</v>
          </cell>
          <cell r="AA176">
            <v>1.4323402629045501</v>
          </cell>
          <cell r="AF176">
            <v>-1.0164837691312499E-3</v>
          </cell>
          <cell r="AG176">
            <v>-1.1462660316234601E-3</v>
          </cell>
          <cell r="AR176">
            <v>6.6745486111423388E-3</v>
          </cell>
          <cell r="BC176">
            <v>8.9550088526642608E-3</v>
          </cell>
          <cell r="BF176">
            <v>1.5629557463806596E-2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C9DD-26D6-481A-BAB3-7854DFC8D3CE}">
  <dimension ref="A1:DZ179"/>
  <sheetViews>
    <sheetView tabSelected="1" topLeftCell="AC1" workbookViewId="0">
      <selection activeCell="AG9" sqref="AG9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7.710937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2.2620118503199298</v>
      </c>
      <c r="AJ1" s="4">
        <v>0</v>
      </c>
      <c r="AK1" s="4">
        <f t="shared" ref="AK1:AQ1" si="0">AJ1-$AK12</f>
        <v>-5.0000000000000001E-4</v>
      </c>
      <c r="AL1" s="4">
        <f t="shared" si="0"/>
        <v>-1E-3</v>
      </c>
      <c r="AM1" s="4">
        <f t="shared" si="0"/>
        <v>-1.5E-3</v>
      </c>
      <c r="AN1" s="4">
        <f t="shared" si="0"/>
        <v>-2E-3</v>
      </c>
      <c r="AO1" s="4">
        <f t="shared" si="0"/>
        <v>-2.5000000000000001E-3</v>
      </c>
      <c r="AP1" s="4">
        <f t="shared" si="0"/>
        <v>-3.0000000000000001E-3</v>
      </c>
      <c r="AQ1" s="4">
        <f t="shared" si="0"/>
        <v>-3.5000000000000001E-3</v>
      </c>
      <c r="AR1" s="5" t="s">
        <v>33</v>
      </c>
      <c r="AS1" s="2"/>
      <c r="AT1" s="3">
        <f>BB16</f>
        <v>1.8764549216801019</v>
      </c>
      <c r="AU1" s="4">
        <v>0</v>
      </c>
      <c r="AV1" s="6">
        <f>AU1+$AV12</f>
        <v>5.0000000000000001E-4</v>
      </c>
      <c r="AW1" s="6">
        <f t="shared" ref="AW1:BB1" si="1">AV1+$AV12</f>
        <v>1E-3</v>
      </c>
      <c r="AX1" s="6">
        <f t="shared" si="1"/>
        <v>1.5E-3</v>
      </c>
      <c r="AY1" s="6">
        <f t="shared" si="1"/>
        <v>2E-3</v>
      </c>
      <c r="AZ1" s="6">
        <f t="shared" si="1"/>
        <v>2.5000000000000001E-3</v>
      </c>
      <c r="BA1" s="6">
        <f t="shared" si="1"/>
        <v>3.0000000000000001E-3</v>
      </c>
      <c r="BB1" s="6">
        <f t="shared" si="1"/>
        <v>3.5000000000000001E-3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22.48</v>
      </c>
      <c r="C2" s="33">
        <v>41.6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22.48</v>
      </c>
      <c r="M2" s="33">
        <v>41.6</v>
      </c>
      <c r="N2" s="34">
        <v>1.85053380782918</v>
      </c>
      <c r="O2" s="34">
        <v>1.8789764613078801</v>
      </c>
      <c r="X2" s="34">
        <v>1.85053380782918</v>
      </c>
      <c r="Y2" s="34">
        <v>1.8652915884207499</v>
      </c>
      <c r="AI2" s="4">
        <v>0</v>
      </c>
      <c r="AJ2" s="10">
        <f t="dataTable" ref="AJ2:AQ9" dt2D="1" dtr="1" r1="AI21" r2="AI22"/>
        <v>1.9092551854376489</v>
      </c>
      <c r="AK2" s="10">
        <v>2.4830179080305061</v>
      </c>
      <c r="AL2" s="10">
        <v>1.5077863502427185</v>
      </c>
      <c r="AM2" s="10">
        <v>1.0708247116583449</v>
      </c>
      <c r="AN2" s="10">
        <v>1.1406399429801799</v>
      </c>
      <c r="AO2" s="10">
        <v>1.2887956546800967</v>
      </c>
      <c r="AP2" s="10">
        <v>2.1692065028489487</v>
      </c>
      <c r="AQ2" s="10">
        <v>2.2447368561323087</v>
      </c>
      <c r="AR2"/>
      <c r="AT2" s="4">
        <v>0</v>
      </c>
      <c r="AU2" s="10">
        <f t="dataTable" ref="AU2:BB9" dt2D="1" dtr="1" r1="AT21" r2="AT22"/>
        <v>1.8242927406839531</v>
      </c>
      <c r="AV2" s="11">
        <v>2.00825473803497</v>
      </c>
      <c r="AW2" s="11">
        <v>2.0176411083027199</v>
      </c>
      <c r="AX2" s="11">
        <v>1.8764549216801019</v>
      </c>
      <c r="AY2" s="11">
        <v>1.9450853649691955</v>
      </c>
      <c r="AZ2" s="11">
        <v>1.1223061871233608</v>
      </c>
      <c r="BA2" s="11">
        <v>0.82881132304343852</v>
      </c>
      <c r="BB2" s="11">
        <v>0.32111790822513903</v>
      </c>
      <c r="BC2"/>
    </row>
    <row r="3" spans="1:130" x14ac:dyDescent="0.25">
      <c r="A3" s="1">
        <v>46027</v>
      </c>
      <c r="B3" s="33">
        <v>22.52</v>
      </c>
      <c r="C3" s="33">
        <v>41.73</v>
      </c>
      <c r="D3" s="15">
        <v>1.7777782459993501E-3</v>
      </c>
      <c r="E3" s="15">
        <v>3.1201273362434501E-3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22.52</v>
      </c>
      <c r="M3" s="33">
        <v>41.73</v>
      </c>
      <c r="N3" s="34">
        <v>1.8530195381882699</v>
      </c>
      <c r="O3" s="34">
        <v>1.8789764613078801</v>
      </c>
      <c r="R3" s="33">
        <v>42.314549908653497</v>
      </c>
      <c r="U3" s="15">
        <v>1.3910701776548601E-2</v>
      </c>
      <c r="X3" s="34">
        <v>1.8530195381882699</v>
      </c>
      <c r="Y3" s="34">
        <v>1.8652915884207499</v>
      </c>
      <c r="AB3" s="33">
        <v>42.006366571235397</v>
      </c>
      <c r="AE3" s="15">
        <v>6.6008972214724997E-3</v>
      </c>
      <c r="AI3" s="4">
        <f t="shared" ref="AI3:AI9" si="2">AI2-AK$12</f>
        <v>-5.0000000000000001E-4</v>
      </c>
      <c r="AJ3" s="10">
        <v>1.9092551854376489</v>
      </c>
      <c r="AK3" s="10">
        <v>3.0536511628497474</v>
      </c>
      <c r="AL3" s="10">
        <v>2.2012774602875793</v>
      </c>
      <c r="AM3" s="10">
        <v>1.6416886950523655</v>
      </c>
      <c r="AN3" s="10">
        <v>1.9450496049125889</v>
      </c>
      <c r="AO3" s="11">
        <v>2.2051680252859875</v>
      </c>
      <c r="AP3" s="10">
        <v>2.6010537461847947</v>
      </c>
      <c r="AQ3" s="10">
        <v>1.8360187759842448</v>
      </c>
      <c r="AR3"/>
      <c r="AT3" s="4">
        <f>AT2+AV$12</f>
        <v>5.0000000000000001E-4</v>
      </c>
      <c r="AU3" s="10">
        <v>1.8242927406839531</v>
      </c>
      <c r="AV3" s="11">
        <v>1.7373369858938847</v>
      </c>
      <c r="AW3" s="11">
        <v>1.8015543106401675</v>
      </c>
      <c r="AX3" s="11">
        <v>1.5721453572189807</v>
      </c>
      <c r="AY3" s="11">
        <v>1.527730610422493</v>
      </c>
      <c r="AZ3" s="11">
        <v>0.7118069050729201</v>
      </c>
      <c r="BA3" s="11">
        <v>0.35162898127092207</v>
      </c>
      <c r="BB3" s="11">
        <v>0.12310054816513238</v>
      </c>
      <c r="BC3"/>
    </row>
    <row r="4" spans="1:130" x14ac:dyDescent="0.25">
      <c r="A4" s="1">
        <v>46028</v>
      </c>
      <c r="B4" s="33">
        <v>22.48</v>
      </c>
      <c r="C4" s="33">
        <v>41.69</v>
      </c>
      <c r="D4" s="15">
        <v>-1.77777824599927E-3</v>
      </c>
      <c r="E4" s="15">
        <v>-9.5900271075565705E-4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22.48</v>
      </c>
      <c r="M4" s="33">
        <v>41.69</v>
      </c>
      <c r="N4" s="34">
        <v>1.85453736654804</v>
      </c>
      <c r="O4" s="34">
        <v>1.8789764613078801</v>
      </c>
      <c r="R4" s="33">
        <v>42.239390850201197</v>
      </c>
      <c r="U4" s="15">
        <v>1.3091926241305001E-2</v>
      </c>
      <c r="X4" s="34">
        <v>1.85453736654804</v>
      </c>
      <c r="Y4" s="34">
        <v>1.8652915884207499</v>
      </c>
      <c r="AB4" s="33">
        <v>41.931754907698597</v>
      </c>
      <c r="AE4" s="15">
        <v>5.7821216862289698E-3</v>
      </c>
      <c r="AG4"/>
      <c r="AI4" s="4">
        <f t="shared" si="2"/>
        <v>-1E-3</v>
      </c>
      <c r="AJ4" s="10">
        <v>1.9092551854376489</v>
      </c>
      <c r="AK4" s="11">
        <v>3.0536511628497474</v>
      </c>
      <c r="AL4" s="11">
        <v>2.0520208702763618</v>
      </c>
      <c r="AM4" s="11">
        <v>1.4403874425228218</v>
      </c>
      <c r="AN4" s="10">
        <v>1.5819238350154594</v>
      </c>
      <c r="AO4" s="11">
        <v>1.8430472942162368</v>
      </c>
      <c r="AP4" s="11">
        <v>2.2620118503199298</v>
      </c>
      <c r="AQ4" s="11">
        <v>1.7577529973741242</v>
      </c>
      <c r="AR4"/>
      <c r="AT4" s="4">
        <f t="shared" ref="AT4:AT9" si="3">AT3+AV$12</f>
        <v>1E-3</v>
      </c>
      <c r="AU4" s="10">
        <v>1.8242927406839531</v>
      </c>
      <c r="AV4" s="11">
        <v>1.7373369858938847</v>
      </c>
      <c r="AW4" s="11">
        <v>2.2607937903945796</v>
      </c>
      <c r="AX4" s="11">
        <v>1.8645475956513109</v>
      </c>
      <c r="AY4" s="11">
        <v>1.7394754706536006</v>
      </c>
      <c r="AZ4" s="11">
        <v>0.64456642444468981</v>
      </c>
      <c r="BA4" s="11">
        <v>0.33006475315183142</v>
      </c>
      <c r="BB4" s="11">
        <v>9.9386498521174746E-2</v>
      </c>
      <c r="BC4"/>
      <c r="BE4" s="8"/>
      <c r="BF4" s="8"/>
    </row>
    <row r="5" spans="1:130" x14ac:dyDescent="0.25">
      <c r="A5" s="1">
        <v>46029</v>
      </c>
      <c r="B5" s="33">
        <v>22.49</v>
      </c>
      <c r="C5" s="33">
        <v>41.7</v>
      </c>
      <c r="D5" s="15">
        <v>4.44740945733835E-4</v>
      </c>
      <c r="E5" s="15">
        <v>2.3983691205041501E-4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22.49</v>
      </c>
      <c r="M5" s="33">
        <v>41.7</v>
      </c>
      <c r="N5" s="34">
        <v>1.8541574032903501</v>
      </c>
      <c r="O5" s="34">
        <v>1.8789764613078801</v>
      </c>
      <c r="R5" s="33">
        <v>42.258180614814201</v>
      </c>
      <c r="U5" s="15">
        <v>1.32968302749886E-2</v>
      </c>
      <c r="X5" s="34">
        <v>1.8541574032903501</v>
      </c>
      <c r="Y5" s="34">
        <v>1.8652915884207499</v>
      </c>
      <c r="AB5" s="33">
        <v>41.9504078235828</v>
      </c>
      <c r="AE5" s="15">
        <v>5.9870257199125402E-3</v>
      </c>
      <c r="AG5" s="29"/>
      <c r="AI5" s="4">
        <f t="shared" si="2"/>
        <v>-1.5E-3</v>
      </c>
      <c r="AJ5" s="10">
        <v>1.9092551854376489</v>
      </c>
      <c r="AK5" s="11">
        <v>3.0536511628497474</v>
      </c>
      <c r="AL5" s="11">
        <v>2.0520208702763618</v>
      </c>
      <c r="AM5" s="11">
        <v>1.7588058946857554</v>
      </c>
      <c r="AN5" s="11">
        <v>1.5084283277745425</v>
      </c>
      <c r="AO5" s="11">
        <v>1.7824695286252226</v>
      </c>
      <c r="AP5" s="10">
        <v>2.0904742440311046</v>
      </c>
      <c r="AQ5" s="11">
        <v>1.7577529973741242</v>
      </c>
      <c r="AR5"/>
      <c r="AT5" s="4">
        <f t="shared" si="3"/>
        <v>1.5E-3</v>
      </c>
      <c r="AU5" s="10">
        <v>1.8242927406839531</v>
      </c>
      <c r="AV5" s="11">
        <v>1.7373369858938847</v>
      </c>
      <c r="AW5" s="11">
        <v>2.2607937903945796</v>
      </c>
      <c r="AX5" s="11">
        <v>2.9289610586343628</v>
      </c>
      <c r="AY5" s="11">
        <v>2.4104515896415193</v>
      </c>
      <c r="AZ5" s="11">
        <v>0.64456642444468981</v>
      </c>
      <c r="BA5" s="11">
        <v>0.33006475315183142</v>
      </c>
      <c r="BB5" s="11">
        <v>9.9386498521174746E-2</v>
      </c>
      <c r="BC5"/>
    </row>
    <row r="6" spans="1:130" x14ac:dyDescent="0.25">
      <c r="A6" s="1">
        <v>46030</v>
      </c>
      <c r="B6" s="33">
        <v>22.45</v>
      </c>
      <c r="C6" s="33">
        <v>41.57</v>
      </c>
      <c r="D6" s="15">
        <v>-1.78015178296094E-3</v>
      </c>
      <c r="E6" s="15">
        <v>-3.12237554020973E-3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22.45</v>
      </c>
      <c r="M6" s="33">
        <v>41.57</v>
      </c>
      <c r="N6" s="34">
        <v>1.85167037861915</v>
      </c>
      <c r="O6" s="34">
        <v>1.8789764613078801</v>
      </c>
      <c r="R6" s="33">
        <v>42.183021556361901</v>
      </c>
      <c r="U6" s="15">
        <v>1.4639054032237401E-2</v>
      </c>
      <c r="X6" s="34">
        <v>1.85167037861915</v>
      </c>
      <c r="Y6" s="34">
        <v>1.8652915884207499</v>
      </c>
      <c r="AB6" s="33">
        <v>41.875796160045901</v>
      </c>
      <c r="AE6" s="15">
        <v>7.3292494771612501E-3</v>
      </c>
      <c r="AG6" s="29"/>
      <c r="AI6" s="4">
        <f t="shared" si="2"/>
        <v>-2E-3</v>
      </c>
      <c r="AJ6" s="10">
        <v>1.9092551854376489</v>
      </c>
      <c r="AK6" s="11">
        <v>3.0536511628497474</v>
      </c>
      <c r="AL6" s="11">
        <v>2.0520208702763618</v>
      </c>
      <c r="AM6" s="11">
        <v>1.7588058946857554</v>
      </c>
      <c r="AN6" s="11">
        <v>1.9896437960050115</v>
      </c>
      <c r="AO6" s="11">
        <v>2.3506836598848193</v>
      </c>
      <c r="AP6" s="11">
        <v>1.9916196923105223</v>
      </c>
      <c r="AQ6" s="11">
        <v>1.7577529973741242</v>
      </c>
      <c r="AR6"/>
      <c r="AT6" s="4">
        <f t="shared" si="3"/>
        <v>2E-3</v>
      </c>
      <c r="AU6" s="10">
        <v>1.8242927406839531</v>
      </c>
      <c r="AV6" s="11">
        <v>1.7373369858938847</v>
      </c>
      <c r="AW6" s="11">
        <v>2.2607937903945796</v>
      </c>
      <c r="AX6" s="11">
        <v>2.9289610586343628</v>
      </c>
      <c r="AY6" s="11">
        <v>2.3232336568589322</v>
      </c>
      <c r="AZ6" s="11">
        <v>1.1123347473287415</v>
      </c>
      <c r="BA6" s="11">
        <v>0.80783009021185392</v>
      </c>
      <c r="BB6" s="11">
        <v>0.61852965386885672</v>
      </c>
      <c r="BC6"/>
    </row>
    <row r="7" spans="1:130" x14ac:dyDescent="0.25">
      <c r="A7" s="1">
        <v>46031</v>
      </c>
      <c r="B7" s="33">
        <v>22.39</v>
      </c>
      <c r="C7" s="33">
        <v>41.55</v>
      </c>
      <c r="D7" s="15">
        <v>-2.6761835775998299E-3</v>
      </c>
      <c r="E7" s="15">
        <v>-4.8123196308891199E-4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22.39</v>
      </c>
      <c r="M7" s="33">
        <v>41.55</v>
      </c>
      <c r="N7" s="34">
        <v>1.85573916927199</v>
      </c>
      <c r="O7" s="34">
        <v>1.8789764613078801</v>
      </c>
      <c r="R7" s="33">
        <v>42.070282968683401</v>
      </c>
      <c r="U7" s="15">
        <v>1.24441024177265E-2</v>
      </c>
      <c r="X7" s="34">
        <v>1.85573916927199</v>
      </c>
      <c r="Y7" s="34">
        <v>1.8652915884207499</v>
      </c>
      <c r="AB7" s="33">
        <v>41.763878664740702</v>
      </c>
      <c r="AE7" s="15">
        <v>5.1342978626505199E-3</v>
      </c>
      <c r="AG7"/>
      <c r="AI7" s="4">
        <f t="shared" si="2"/>
        <v>-2.5000000000000001E-3</v>
      </c>
      <c r="AJ7" s="10">
        <v>1.9092551854376489</v>
      </c>
      <c r="AK7" s="11">
        <v>3.0536511628497474</v>
      </c>
      <c r="AL7" s="11">
        <v>2.0520208702763618</v>
      </c>
      <c r="AM7" s="11">
        <v>1.7588058946857554</v>
      </c>
      <c r="AN7" s="11">
        <v>1.9896437960050115</v>
      </c>
      <c r="AO7" s="11">
        <v>1.7273730372563592</v>
      </c>
      <c r="AP7" s="11">
        <v>1.9916196923105223</v>
      </c>
      <c r="AQ7" s="11">
        <v>1.7577529973741242</v>
      </c>
      <c r="AR7"/>
      <c r="AT7" s="4">
        <f t="shared" si="3"/>
        <v>2.5000000000000001E-3</v>
      </c>
      <c r="AU7" s="10">
        <v>1.8242927406839531</v>
      </c>
      <c r="AV7" s="11">
        <v>1.7373369858938847</v>
      </c>
      <c r="AW7" s="11">
        <v>2.2607937903945796</v>
      </c>
      <c r="AX7" s="11">
        <v>2.9289610586343628</v>
      </c>
      <c r="AY7" s="11">
        <v>2.3232336568589322</v>
      </c>
      <c r="AZ7" s="11">
        <v>0.74856945751130854</v>
      </c>
      <c r="BA7" s="11">
        <v>0.41074365102223476</v>
      </c>
      <c r="BB7" s="11">
        <v>0.61852965386885672</v>
      </c>
      <c r="BC7"/>
    </row>
    <row r="8" spans="1:130" x14ac:dyDescent="0.25">
      <c r="A8" s="1">
        <v>46034</v>
      </c>
      <c r="B8" s="33">
        <v>22.44</v>
      </c>
      <c r="C8" s="33">
        <v>41.69</v>
      </c>
      <c r="D8" s="15">
        <v>2.2306500438321599E-3</v>
      </c>
      <c r="E8" s="15">
        <v>3.3637705912484398E-3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22.44</v>
      </c>
      <c r="M8" s="33">
        <v>41.69</v>
      </c>
      <c r="N8" s="34">
        <v>1.8578431372549</v>
      </c>
      <c r="O8" s="34">
        <v>1.8789764613078801</v>
      </c>
      <c r="R8" s="33">
        <v>42.164231791748797</v>
      </c>
      <c r="U8" s="15">
        <v>1.13109818703104E-2</v>
      </c>
      <c r="X8" s="34">
        <v>1.8578431372549</v>
      </c>
      <c r="Y8" s="34">
        <v>1.8652915884207499</v>
      </c>
      <c r="AB8" s="33">
        <v>41.857143244161698</v>
      </c>
      <c r="AE8" s="15">
        <v>4.0011773152341503E-3</v>
      </c>
      <c r="AG8"/>
      <c r="AI8" s="4">
        <f t="shared" si="2"/>
        <v>-3.0000000000000001E-3</v>
      </c>
      <c r="AJ8" s="10">
        <v>1.9092551854376489</v>
      </c>
      <c r="AK8" s="11">
        <v>3.0536511628497474</v>
      </c>
      <c r="AL8" s="11">
        <v>2.0520208702763618</v>
      </c>
      <c r="AM8" s="11">
        <v>1.7588058946857554</v>
      </c>
      <c r="AN8" s="11">
        <v>1.9896437960050115</v>
      </c>
      <c r="AO8" s="11">
        <v>1.7273730372563592</v>
      </c>
      <c r="AP8" s="11">
        <v>2.860648932684827</v>
      </c>
      <c r="AQ8" s="11">
        <v>1.7577529973741242</v>
      </c>
      <c r="AR8"/>
      <c r="AT8" s="4">
        <f t="shared" si="3"/>
        <v>3.0000000000000001E-3</v>
      </c>
      <c r="AU8" s="10">
        <v>1.8242927406839531</v>
      </c>
      <c r="AV8" s="11">
        <v>1.7373369858938847</v>
      </c>
      <c r="AW8" s="11">
        <v>2.2607937903945796</v>
      </c>
      <c r="AX8" s="11">
        <v>2.9289610586343628</v>
      </c>
      <c r="AY8" s="11">
        <v>2.3232336568589322</v>
      </c>
      <c r="AZ8" s="11">
        <v>0.74856945751130854</v>
      </c>
      <c r="BA8" s="11">
        <v>0.41074365102223476</v>
      </c>
      <c r="BB8" s="11">
        <v>0.61852965386885672</v>
      </c>
      <c r="BC8"/>
    </row>
    <row r="9" spans="1:130" x14ac:dyDescent="0.25">
      <c r="A9" s="1">
        <v>46035</v>
      </c>
      <c r="B9" s="33">
        <v>22.33</v>
      </c>
      <c r="C9" s="33">
        <v>41.54</v>
      </c>
      <c r="D9" s="15">
        <v>-4.9140148024291496E-3</v>
      </c>
      <c r="E9" s="15">
        <v>-3.6044734447392298E-3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22.33</v>
      </c>
      <c r="M9" s="33">
        <v>41.54</v>
      </c>
      <c r="N9" s="34">
        <v>1.8602776533811001</v>
      </c>
      <c r="O9" s="34">
        <v>1.8789764613078801</v>
      </c>
      <c r="R9" s="33">
        <v>41.957544381005</v>
      </c>
      <c r="U9" s="15">
        <v>1.0001440512620301E-2</v>
      </c>
      <c r="X9" s="34">
        <v>1.8602776533811001</v>
      </c>
      <c r="Y9" s="34">
        <v>1.8652915884207499</v>
      </c>
      <c r="AB9" s="33">
        <v>41.651961169435403</v>
      </c>
      <c r="AE9" s="15">
        <v>2.6916359575442201E-3</v>
      </c>
      <c r="AF9"/>
      <c r="AI9" s="4">
        <f t="shared" si="2"/>
        <v>-3.5000000000000001E-3</v>
      </c>
      <c r="AJ9" s="10">
        <v>1.9092551854376489</v>
      </c>
      <c r="AK9" s="11">
        <v>3.0536511628497474</v>
      </c>
      <c r="AL9" s="11">
        <v>2.0520208702763618</v>
      </c>
      <c r="AM9" s="11">
        <v>1.7588058946857554</v>
      </c>
      <c r="AN9" s="11">
        <v>1.9896437960050115</v>
      </c>
      <c r="AO9" s="11">
        <v>1.7273730372563592</v>
      </c>
      <c r="AP9" s="11">
        <v>2.860648932684827</v>
      </c>
      <c r="AQ9" s="11">
        <v>1.7577529973741242</v>
      </c>
      <c r="AR9"/>
      <c r="AT9" s="4">
        <f t="shared" si="3"/>
        <v>3.5000000000000001E-3</v>
      </c>
      <c r="AU9" s="10">
        <v>1.8242927406839531</v>
      </c>
      <c r="AV9" s="10">
        <v>1.7373369858938847</v>
      </c>
      <c r="AW9" s="10">
        <v>2.2607937903945796</v>
      </c>
      <c r="AX9" s="10">
        <v>2.9289610586343628</v>
      </c>
      <c r="AY9" s="10">
        <v>2.3232336568589322</v>
      </c>
      <c r="AZ9" s="10">
        <v>0.74856945751130854</v>
      </c>
      <c r="BA9" s="10">
        <v>0.41074365102223476</v>
      </c>
      <c r="BB9" s="10">
        <v>1.2927989100325865</v>
      </c>
      <c r="BC9"/>
    </row>
    <row r="10" spans="1:130" x14ac:dyDescent="0.25">
      <c r="A10" s="1">
        <v>46036</v>
      </c>
      <c r="B10" s="33">
        <v>22.4</v>
      </c>
      <c r="C10" s="33">
        <v>41.65</v>
      </c>
      <c r="D10" s="15">
        <v>3.12989300892756E-3</v>
      </c>
      <c r="E10" s="15">
        <v>2.64455016488536E-3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22.4</v>
      </c>
      <c r="M10" s="33">
        <v>41.65</v>
      </c>
      <c r="N10" s="34">
        <v>1.859375</v>
      </c>
      <c r="O10" s="34">
        <v>1.8789764613078801</v>
      </c>
      <c r="R10" s="33">
        <v>42.089072733296497</v>
      </c>
      <c r="U10" s="15">
        <v>1.0486783356662701E-2</v>
      </c>
      <c r="X10" s="34">
        <v>1.859375</v>
      </c>
      <c r="Y10" s="34">
        <v>1.8652915884207499</v>
      </c>
      <c r="AB10" s="33">
        <v>41.782531580624898</v>
      </c>
      <c r="AE10" s="15">
        <v>3.17697880158663E-3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22.32</v>
      </c>
      <c r="C11" s="33">
        <v>41.52</v>
      </c>
      <c r="D11" s="15">
        <v>-3.5778213478838499E-3</v>
      </c>
      <c r="E11" s="15">
        <v>-3.1261297552183901E-3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22.32</v>
      </c>
      <c r="M11" s="33">
        <v>41.52</v>
      </c>
      <c r="N11" s="34">
        <v>1.8602150537634401</v>
      </c>
      <c r="O11" s="34">
        <v>1.8789764613078801</v>
      </c>
      <c r="P11" s="34">
        <v>1.8557368508146399</v>
      </c>
      <c r="R11" s="33">
        <v>41.938754616391897</v>
      </c>
      <c r="U11" s="15">
        <v>1.0035091763997001E-2</v>
      </c>
      <c r="X11" s="34">
        <v>1.8602150537634401</v>
      </c>
      <c r="Y11" s="34">
        <v>1.8652915884207499</v>
      </c>
      <c r="Z11" s="34">
        <v>1.8557368508146399</v>
      </c>
      <c r="AB11" s="33">
        <v>41.633308253551199</v>
      </c>
      <c r="AE11" s="15">
        <v>2.72528720892105E-3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22.34</v>
      </c>
      <c r="C12" s="33">
        <v>41.51</v>
      </c>
      <c r="D12" s="15">
        <v>8.9565612794438598E-4</v>
      </c>
      <c r="E12" s="15">
        <v>-2.40876792685949E-4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22.34</v>
      </c>
      <c r="M12" s="33">
        <v>41.51</v>
      </c>
      <c r="N12" s="34">
        <v>1.85810205908683</v>
      </c>
      <c r="O12" s="34">
        <v>1.8789764613078801</v>
      </c>
      <c r="P12" s="34">
        <v>1.85649367594041</v>
      </c>
      <c r="R12" s="33">
        <v>41.976334145617997</v>
      </c>
      <c r="S12" s="33">
        <v>41.457161247199103</v>
      </c>
      <c r="U12" s="15">
        <v>1.1171624684627301E-2</v>
      </c>
      <c r="V12" s="15">
        <v>-1.27372707828626E-3</v>
      </c>
      <c r="X12" s="34">
        <v>1.85810205908683</v>
      </c>
      <c r="Y12" s="34">
        <v>1.8652915884207499</v>
      </c>
      <c r="Z12" s="34">
        <v>1.85649367594041</v>
      </c>
      <c r="AB12" s="33">
        <v>41.670614085319698</v>
      </c>
      <c r="AC12" s="33">
        <v>41.457161247199103</v>
      </c>
      <c r="AE12" s="15">
        <v>3.8618201295513499E-3</v>
      </c>
      <c r="AF12" s="15">
        <v>-1.27372707828626E-3</v>
      </c>
      <c r="AK12" s="17">
        <v>5.0000000000000001E-4</v>
      </c>
      <c r="AL12" s="18" t="s">
        <v>37</v>
      </c>
      <c r="AM12" s="19" t="s">
        <v>38</v>
      </c>
      <c r="AV12" s="17">
        <v>5.0000000000000001E-4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22.33</v>
      </c>
      <c r="C13" s="33">
        <v>41.64</v>
      </c>
      <c r="D13" s="15">
        <v>-4.4772778898822499E-4</v>
      </c>
      <c r="E13" s="15">
        <v>3.1268816818209098E-3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22.33</v>
      </c>
      <c r="M13" s="33">
        <v>41.64</v>
      </c>
      <c r="N13" s="34">
        <v>1.8647559337214501</v>
      </c>
      <c r="O13" s="34">
        <v>1.8789764613078801</v>
      </c>
      <c r="P13" s="34">
        <v>1.85766731549372</v>
      </c>
      <c r="R13" s="33">
        <v>41.957544381005</v>
      </c>
      <c r="S13" s="33">
        <v>41.4555037837493</v>
      </c>
      <c r="U13" s="15">
        <v>7.5970152138183202E-3</v>
      </c>
      <c r="V13" s="15">
        <v>-4.4405897075148202E-3</v>
      </c>
      <c r="X13" s="34">
        <v>1.8647559337214501</v>
      </c>
      <c r="Y13" s="34">
        <v>1.8652915884207499</v>
      </c>
      <c r="Z13" s="34">
        <v>1.85766731549372</v>
      </c>
      <c r="AB13" s="33">
        <v>41.651961169435403</v>
      </c>
      <c r="AC13" s="33">
        <v>41.4555037837493</v>
      </c>
      <c r="AE13" s="15">
        <v>2.8721065874245E-4</v>
      </c>
      <c r="AF13" s="15">
        <v>-4.4405897075148202E-3</v>
      </c>
    </row>
    <row r="14" spans="1:130" x14ac:dyDescent="0.25">
      <c r="A14" s="1">
        <v>46043</v>
      </c>
      <c r="B14" s="33">
        <v>22.32</v>
      </c>
      <c r="C14" s="33">
        <v>41.63</v>
      </c>
      <c r="D14" s="15">
        <v>-4.4792833895625802E-4</v>
      </c>
      <c r="E14" s="15">
        <v>-2.4018253988405001E-4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22.32</v>
      </c>
      <c r="M14" s="33">
        <v>41.63</v>
      </c>
      <c r="N14" s="34">
        <v>1.8651433691756201</v>
      </c>
      <c r="O14" s="34">
        <v>1.8789764613078801</v>
      </c>
      <c r="P14" s="34">
        <v>1.85872791575648</v>
      </c>
      <c r="R14" s="33">
        <v>41.938754616391897</v>
      </c>
      <c r="S14" s="33">
        <v>41.463134481819999</v>
      </c>
      <c r="U14" s="15">
        <v>7.3892694147461796E-3</v>
      </c>
      <c r="V14" s="15">
        <v>-4.0163545046395599E-3</v>
      </c>
      <c r="X14" s="34">
        <v>1.8651433691756201</v>
      </c>
      <c r="Y14" s="34">
        <v>1.8652915884207499</v>
      </c>
      <c r="Z14" s="34">
        <v>1.85872791575648</v>
      </c>
      <c r="AB14" s="33">
        <v>41.633308253551199</v>
      </c>
      <c r="AC14" s="33">
        <v>41.463134481819999</v>
      </c>
      <c r="AE14" s="15">
        <v>7.9464859670098003E-5</v>
      </c>
      <c r="AF14" s="15">
        <v>-4.0163545046395599E-3</v>
      </c>
      <c r="AQ14" s="20">
        <f>AVERAGE(AQ22:AQ176)</f>
        <v>7.1158023843289931E-5</v>
      </c>
      <c r="AR14" s="21" t="s">
        <v>41</v>
      </c>
      <c r="BB14" s="20">
        <f>AVERAGE(BB22:BB176)</f>
        <v>1.0516614740502902E-4</v>
      </c>
      <c r="BC14" s="21" t="s">
        <v>41</v>
      </c>
      <c r="BD14" s="22"/>
      <c r="BE14" s="20">
        <f>AVERAGE(BE22:BE176)</f>
        <v>1.7632417124831902E-4</v>
      </c>
      <c r="BF14" s="21" t="s">
        <v>41</v>
      </c>
    </row>
    <row r="15" spans="1:130" x14ac:dyDescent="0.25">
      <c r="A15" s="1">
        <v>46044</v>
      </c>
      <c r="B15" s="33">
        <v>22.46</v>
      </c>
      <c r="C15" s="33">
        <v>41.86</v>
      </c>
      <c r="D15" s="15">
        <v>6.25281179718685E-3</v>
      </c>
      <c r="E15" s="15">
        <v>5.50965581096947E-3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22.46</v>
      </c>
      <c r="M15" s="33">
        <v>41.86</v>
      </c>
      <c r="N15" s="34">
        <v>1.86375779162956</v>
      </c>
      <c r="O15" s="34">
        <v>1.8789764613078801</v>
      </c>
      <c r="P15" s="34">
        <v>1.8596879545903999</v>
      </c>
      <c r="R15" s="33">
        <v>42.201811320974997</v>
      </c>
      <c r="S15" s="33">
        <v>41.747028987890602</v>
      </c>
      <c r="U15" s="15">
        <v>8.1324254009638094E-3</v>
      </c>
      <c r="V15" s="15">
        <v>-2.7024302198121498E-3</v>
      </c>
      <c r="X15" s="34">
        <v>1.86375779162956</v>
      </c>
      <c r="Y15" s="34">
        <v>1.8652915884207499</v>
      </c>
      <c r="Z15" s="34">
        <v>1.8596879545903999</v>
      </c>
      <c r="AB15" s="33">
        <v>41.894449075930098</v>
      </c>
      <c r="AC15" s="33">
        <v>41.747028987890602</v>
      </c>
      <c r="AE15" s="15">
        <v>8.2262084588748997E-4</v>
      </c>
      <c r="AF15" s="15">
        <v>-2.7024302198121498E-3</v>
      </c>
      <c r="AQ15" s="20">
        <f>STDEV(AQ22:AQ176)</f>
        <v>4.9937784768772661E-4</v>
      </c>
      <c r="AR15" s="21" t="s">
        <v>42</v>
      </c>
      <c r="BB15" s="20">
        <f>STDEV(BB22:BB176)</f>
        <v>8.8968875029730933E-4</v>
      </c>
      <c r="BC15" s="21" t="s">
        <v>42</v>
      </c>
      <c r="BD15" s="22"/>
      <c r="BE15" s="20">
        <f>STDEV(BE22:BE176)</f>
        <v>1.0128476141587136E-3</v>
      </c>
      <c r="BF15" s="21" t="s">
        <v>42</v>
      </c>
    </row>
    <row r="16" spans="1:130" x14ac:dyDescent="0.25">
      <c r="A16" s="1">
        <v>46045</v>
      </c>
      <c r="B16" s="33">
        <v>22.64</v>
      </c>
      <c r="C16" s="33">
        <v>42.14</v>
      </c>
      <c r="D16" s="15">
        <v>7.9823040246850899E-3</v>
      </c>
      <c r="E16" s="15">
        <v>6.6666913581892896E-3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22.64</v>
      </c>
      <c r="M16" s="33">
        <v>42.14</v>
      </c>
      <c r="N16" s="34">
        <v>1.86130742049469</v>
      </c>
      <c r="O16" s="34">
        <v>1.8789764613078801</v>
      </c>
      <c r="P16" s="34">
        <v>1.86065165877796</v>
      </c>
      <c r="R16" s="33">
        <v>42.540027084010397</v>
      </c>
      <c r="S16" s="33">
        <v>42.103335291926797</v>
      </c>
      <c r="U16" s="15">
        <v>9.4480380674593304E-3</v>
      </c>
      <c r="V16" s="15">
        <v>-8.7044773954220395E-4</v>
      </c>
      <c r="X16" s="34">
        <v>1.86130742049469</v>
      </c>
      <c r="Y16" s="34">
        <v>1.8652915884207499</v>
      </c>
      <c r="Z16" s="34">
        <v>1.86065165877796</v>
      </c>
      <c r="AB16" s="33">
        <v>42.230201561845902</v>
      </c>
      <c r="AC16" s="33">
        <v>42.103335291926797</v>
      </c>
      <c r="AE16" s="15">
        <v>2.13823351238333E-3</v>
      </c>
      <c r="AF16" s="15">
        <v>-8.7044773954220395E-4</v>
      </c>
      <c r="AQ16" s="23">
        <f>SQRT(252)*AQ14/AQ15</f>
        <v>2.2620118503199298</v>
      </c>
      <c r="AR16" s="21" t="s">
        <v>43</v>
      </c>
      <c r="BB16" s="23">
        <f>SQRT(252)*BB14/BB15</f>
        <v>1.8764549216801019</v>
      </c>
      <c r="BC16" s="21" t="s">
        <v>43</v>
      </c>
      <c r="BD16" s="22"/>
      <c r="BE16" s="23">
        <f>SQRT(252)*BE14/BE15</f>
        <v>2.7635543633487702</v>
      </c>
      <c r="BF16" s="21" t="s">
        <v>43</v>
      </c>
    </row>
    <row r="17" spans="1:124" x14ac:dyDescent="0.25">
      <c r="A17" s="1">
        <v>46048</v>
      </c>
      <c r="B17" s="33">
        <v>22.81</v>
      </c>
      <c r="C17" s="33">
        <v>42.41</v>
      </c>
      <c r="D17" s="15">
        <v>7.4807829613143103E-3</v>
      </c>
      <c r="E17" s="15">
        <v>6.3867751104562404E-3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22.81</v>
      </c>
      <c r="M17" s="33">
        <v>42.41</v>
      </c>
      <c r="N17" s="34">
        <v>1.85927224901359</v>
      </c>
      <c r="O17" s="34">
        <v>1.8789764613078801</v>
      </c>
      <c r="P17" s="34">
        <v>1.86100496675212</v>
      </c>
      <c r="R17" s="33">
        <v>42.859453082432701</v>
      </c>
      <c r="S17" s="33">
        <v>42.441464336725303</v>
      </c>
      <c r="U17" s="15">
        <v>1.0542045918317601E-2</v>
      </c>
      <c r="V17" s="15">
        <v>7.4163335691231102E-4</v>
      </c>
      <c r="X17" s="34">
        <v>1.85927224901359</v>
      </c>
      <c r="Y17" s="34">
        <v>1.8652915884207499</v>
      </c>
      <c r="Z17" s="34">
        <v>1.86100496675212</v>
      </c>
      <c r="AB17" s="33">
        <v>42.547301131877397</v>
      </c>
      <c r="AC17" s="33">
        <v>42.441464336725303</v>
      </c>
      <c r="AE17" s="15">
        <v>3.2322413632416098E-3</v>
      </c>
      <c r="AF17" s="15">
        <v>7.4163335691231102E-4</v>
      </c>
    </row>
    <row r="18" spans="1:124" x14ac:dyDescent="0.25">
      <c r="A18" s="1">
        <v>46049</v>
      </c>
      <c r="B18" s="33">
        <v>23.04</v>
      </c>
      <c r="C18" s="33">
        <v>42.91</v>
      </c>
      <c r="D18" s="15">
        <v>1.00327995313939E-2</v>
      </c>
      <c r="E18" s="15">
        <v>1.1720715516934E-2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23.04</v>
      </c>
      <c r="M18" s="33">
        <v>42.91</v>
      </c>
      <c r="N18" s="34">
        <v>1.86241319444444</v>
      </c>
      <c r="O18" s="34">
        <v>1.8789764613078801</v>
      </c>
      <c r="P18" s="34">
        <v>1.8614619724710699</v>
      </c>
      <c r="R18" s="33">
        <v>43.291617668533597</v>
      </c>
      <c r="S18" s="33">
        <v>42.877554433968797</v>
      </c>
      <c r="U18" s="15">
        <v>8.8541299327772899E-3</v>
      </c>
      <c r="V18" s="15">
        <v>-7.5641665722286304E-4</v>
      </c>
      <c r="X18" s="34">
        <v>1.86241319444444</v>
      </c>
      <c r="Y18" s="34">
        <v>1.8652915884207499</v>
      </c>
      <c r="Z18" s="34">
        <v>1.8614619724710699</v>
      </c>
      <c r="AB18" s="33">
        <v>42.976318197214198</v>
      </c>
      <c r="AC18" s="33">
        <v>42.877554433968797</v>
      </c>
      <c r="AE18" s="15">
        <v>1.5443253777013099E-3</v>
      </c>
      <c r="AF18" s="15">
        <v>-7.5641665722286304E-4</v>
      </c>
      <c r="BE18" s="24">
        <f>SUM(BE22:BE176)</f>
        <v>2.7330246543489447E-2</v>
      </c>
      <c r="BF18" s="20">
        <f>BF176</f>
        <v>2.7330246543489447E-2</v>
      </c>
    </row>
    <row r="19" spans="1:124" x14ac:dyDescent="0.25">
      <c r="A19" s="1">
        <v>46050</v>
      </c>
      <c r="B19" s="33">
        <v>22.99</v>
      </c>
      <c r="C19" s="33">
        <v>42.73</v>
      </c>
      <c r="D19" s="15">
        <v>-2.17249705260037E-3</v>
      </c>
      <c r="E19" s="15">
        <v>-4.2036493474997801E-3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22.99</v>
      </c>
      <c r="M19" s="33">
        <v>42.73</v>
      </c>
      <c r="N19" s="34">
        <v>1.85863418877772</v>
      </c>
      <c r="O19" s="34">
        <v>1.8789764613078801</v>
      </c>
      <c r="P19" s="34">
        <v>1.8612976260107299</v>
      </c>
      <c r="R19" s="33">
        <v>43.197668845468201</v>
      </c>
      <c r="S19" s="33">
        <v>42.795010747109998</v>
      </c>
      <c r="U19" s="15">
        <v>1.08852822276767E-2</v>
      </c>
      <c r="V19" s="15">
        <v>1.52027480764704E-3</v>
      </c>
      <c r="X19" s="34">
        <v>1.85863418877772</v>
      </c>
      <c r="Y19" s="34">
        <v>1.8652915884207499</v>
      </c>
      <c r="Z19" s="34">
        <v>1.8612976260107299</v>
      </c>
      <c r="AB19" s="33">
        <v>42.883053617793102</v>
      </c>
      <c r="AC19" s="33">
        <v>42.795010747109998</v>
      </c>
      <c r="AE19" s="15">
        <v>3.57547767260073E-3</v>
      </c>
      <c r="AF19" s="15">
        <v>1.52027480764704E-3</v>
      </c>
      <c r="AI19" s="12"/>
      <c r="AJ19"/>
      <c r="AK19"/>
      <c r="AL19"/>
      <c r="AM19"/>
      <c r="AN19"/>
      <c r="AO19"/>
      <c r="AP19"/>
      <c r="AQ19" s="24">
        <f>SUM(AQ22:AQ176)</f>
        <v>1.1029493695709939E-2</v>
      </c>
      <c r="AR19" s="24">
        <f>AR176</f>
        <v>1.1029493695709939E-2</v>
      </c>
      <c r="AU19"/>
      <c r="AV19"/>
      <c r="AW19"/>
      <c r="AX19"/>
      <c r="AY19"/>
      <c r="AZ19"/>
      <c r="BA19"/>
      <c r="BB19" s="24">
        <f>SUM(BB22:BB176)</f>
        <v>1.6300752847779498E-2</v>
      </c>
      <c r="BC19" s="24">
        <f>BC176</f>
        <v>1.6300752847779498E-2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22.99</v>
      </c>
      <c r="C20" s="33">
        <v>42.84</v>
      </c>
      <c r="D20" s="15">
        <v>0</v>
      </c>
      <c r="E20" s="15">
        <v>2.5709959236145598E-3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22.99</v>
      </c>
      <c r="M20" s="33">
        <v>42.84</v>
      </c>
      <c r="N20" s="34">
        <v>1.8634188777729399</v>
      </c>
      <c r="O20" s="34">
        <v>1.8789764613078801</v>
      </c>
      <c r="P20" s="34">
        <v>1.86170201378803</v>
      </c>
      <c r="R20" s="33">
        <v>43.197668845468201</v>
      </c>
      <c r="S20" s="33">
        <v>42.791232421986798</v>
      </c>
      <c r="U20" s="15">
        <v>8.3142863040622898E-3</v>
      </c>
      <c r="V20" s="15">
        <v>-1.1390139299920299E-3</v>
      </c>
      <c r="X20" s="34">
        <v>1.8634188777729399</v>
      </c>
      <c r="Y20" s="34">
        <v>1.8652915884207499</v>
      </c>
      <c r="Z20" s="34">
        <v>1.86170201378803</v>
      </c>
      <c r="AB20" s="33">
        <v>42.883053617793102</v>
      </c>
      <c r="AC20" s="33">
        <v>42.791232421986798</v>
      </c>
      <c r="AE20" s="15">
        <v>1.00448174898606E-3</v>
      </c>
      <c r="AF20" s="15">
        <v>-1.1390139299920299E-3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BWX log rtn</v>
      </c>
      <c r="AP20" s="7" t="str">
        <f>E1</f>
        <v>IGOV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BWX log rtn</v>
      </c>
      <c r="BA20" s="24" t="str">
        <f>E1</f>
        <v>IGOV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22.84</v>
      </c>
      <c r="C21" s="33">
        <v>42.41</v>
      </c>
      <c r="D21" s="15">
        <v>-6.5459539872806498E-3</v>
      </c>
      <c r="E21" s="15">
        <v>-1.00880620930488E-2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22.84</v>
      </c>
      <c r="M21" s="33">
        <v>42.41</v>
      </c>
      <c r="N21" s="34">
        <v>1.8568301225919399</v>
      </c>
      <c r="O21" s="34">
        <v>1.8789764613078801</v>
      </c>
      <c r="P21" s="34">
        <v>1.8613635206708801</v>
      </c>
      <c r="Q21" s="34">
        <v>1.85855018574276</v>
      </c>
      <c r="R21" s="33">
        <v>42.915822376271997</v>
      </c>
      <c r="S21" s="33">
        <v>42.521273994918602</v>
      </c>
      <c r="U21" s="15">
        <v>1.18563944098302E-2</v>
      </c>
      <c r="V21" s="15">
        <v>2.6203317895335202E-3</v>
      </c>
      <c r="X21" s="34">
        <v>1.8568301225919399</v>
      </c>
      <c r="Y21" s="34">
        <v>1.8652915884207499</v>
      </c>
      <c r="Z21" s="34">
        <v>1.8613635206708801</v>
      </c>
      <c r="AA21" s="34">
        <v>1.85855018574276</v>
      </c>
      <c r="AB21" s="33">
        <v>42.60325987953</v>
      </c>
      <c r="AC21" s="33">
        <v>42.521273994918602</v>
      </c>
      <c r="AE21" s="15">
        <v>4.5465898547542702E-3</v>
      </c>
      <c r="AF21" s="15">
        <v>2.6203317895335202E-3</v>
      </c>
      <c r="AI21" s="26">
        <v>-3.0000000000000001E-3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1.5E-3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22.69</v>
      </c>
      <c r="C22" s="33">
        <v>42.22</v>
      </c>
      <c r="D22" s="15">
        <v>-6.5890859960589998E-3</v>
      </c>
      <c r="E22" s="15">
        <v>-4.4901410663246797E-3</v>
      </c>
      <c r="F22" s="33">
        <v>3.8260000000000002E-2</v>
      </c>
      <c r="G22" s="33">
        <v>3.8260000000000002E-2</v>
      </c>
      <c r="H22" s="33">
        <v>0</v>
      </c>
      <c r="I22" s="33">
        <v>0</v>
      </c>
      <c r="J22" s="33">
        <v>3.8260000000000002E-2</v>
      </c>
      <c r="K22" s="33">
        <v>0</v>
      </c>
      <c r="L22" s="33">
        <v>22.728259999999999</v>
      </c>
      <c r="M22" s="33">
        <v>42.22</v>
      </c>
      <c r="N22" s="34">
        <v>1.8607315998237099</v>
      </c>
      <c r="O22" s="34">
        <v>1.8789764613078801</v>
      </c>
      <c r="P22" s="34">
        <v>1.8616264747445701</v>
      </c>
      <c r="Q22" s="34">
        <v>1.85906007534249</v>
      </c>
      <c r="R22" s="33">
        <v>42.633975907075801</v>
      </c>
      <c r="S22" s="33">
        <v>42.2343382840223</v>
      </c>
      <c r="T22" s="33">
        <v>42.170503714503297</v>
      </c>
      <c r="U22" s="15">
        <v>9.7574494800959297E-3</v>
      </c>
      <c r="V22" s="15">
        <v>3.39551157499918E-4</v>
      </c>
      <c r="W22" s="15">
        <v>-1.17302987880476E-3</v>
      </c>
      <c r="X22" s="34">
        <v>1.85759930588615</v>
      </c>
      <c r="Y22" s="34">
        <v>1.8652915884207499</v>
      </c>
      <c r="Z22" s="34">
        <v>1.8613132453508101</v>
      </c>
      <c r="AA22" s="34">
        <v>1.8589034606456101</v>
      </c>
      <c r="AB22" s="33">
        <v>42.394832197439897</v>
      </c>
      <c r="AC22" s="33">
        <v>42.305554052323203</v>
      </c>
      <c r="AD22" s="33">
        <v>42.2416118446098</v>
      </c>
      <c r="AE22" s="15">
        <v>4.1324302536561597E-3</v>
      </c>
      <c r="AF22" s="15">
        <v>2.0243364861359798E-3</v>
      </c>
      <c r="AG22" s="15">
        <v>5.1175544983125603E-4</v>
      </c>
      <c r="AI22" s="26">
        <v>-1E-3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22.7</v>
      </c>
      <c r="C23" s="33">
        <v>42.38</v>
      </c>
      <c r="D23" s="15">
        <v>4.4062569560662503E-4</v>
      </c>
      <c r="E23" s="15">
        <v>3.7825104199785101E-3</v>
      </c>
      <c r="F23" s="33">
        <v>0</v>
      </c>
      <c r="G23" s="33">
        <v>3.8260000000000002E-2</v>
      </c>
      <c r="H23" s="33">
        <v>0</v>
      </c>
      <c r="I23" s="33">
        <v>0</v>
      </c>
      <c r="J23" s="33">
        <v>3.8260000000000002E-2</v>
      </c>
      <c r="K23" s="33">
        <v>0</v>
      </c>
      <c r="L23" s="33">
        <v>22.73826</v>
      </c>
      <c r="M23" s="33">
        <v>42.38</v>
      </c>
      <c r="N23" s="34">
        <v>1.8669603524228999</v>
      </c>
      <c r="O23" s="34">
        <v>1.8789764613078801</v>
      </c>
      <c r="P23" s="34">
        <v>1.86184691661471</v>
      </c>
      <c r="Q23" s="34">
        <v>1.8597571160542199</v>
      </c>
      <c r="R23" s="33">
        <v>42.652765671688897</v>
      </c>
      <c r="S23" s="33">
        <v>42.258920976701702</v>
      </c>
      <c r="T23" s="33">
        <v>42.200663710274497</v>
      </c>
      <c r="U23" s="15">
        <v>6.4155647557239898E-3</v>
      </c>
      <c r="V23" s="15">
        <v>-2.8610739478840798E-3</v>
      </c>
      <c r="W23" s="15">
        <v>-4.2406041902424496E-3</v>
      </c>
      <c r="X23" s="34">
        <v>1.8638189553642099</v>
      </c>
      <c r="Y23" s="34">
        <v>1.8652915884207499</v>
      </c>
      <c r="Z23" s="34">
        <v>1.8612195475150899</v>
      </c>
      <c r="AA23" s="34">
        <v>1.8594434315043999</v>
      </c>
      <c r="AB23" s="33">
        <v>42.4134851133241</v>
      </c>
      <c r="AC23" s="33">
        <v>42.323024514230603</v>
      </c>
      <c r="AD23" s="33">
        <v>42.268230203059701</v>
      </c>
      <c r="AE23" s="15">
        <v>7.8980395769878003E-4</v>
      </c>
      <c r="AF23" s="15">
        <v>-1.3453001162389601E-3</v>
      </c>
      <c r="AG23" s="15">
        <v>-2.6408080033759902E-3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22.64</v>
      </c>
      <c r="C24" s="33">
        <v>42.27</v>
      </c>
      <c r="D24" s="15">
        <v>-2.6466711523747601E-3</v>
      </c>
      <c r="E24" s="15">
        <v>-2.59893826145444E-3</v>
      </c>
      <c r="F24" s="33">
        <v>0</v>
      </c>
      <c r="G24" s="33">
        <v>3.8260000000000002E-2</v>
      </c>
      <c r="H24" s="33">
        <v>0</v>
      </c>
      <c r="I24" s="33">
        <v>0</v>
      </c>
      <c r="J24" s="33">
        <v>3.8260000000000002E-2</v>
      </c>
      <c r="K24" s="33">
        <v>0</v>
      </c>
      <c r="L24" s="33">
        <v>22.678260000000002</v>
      </c>
      <c r="M24" s="33">
        <v>42.27</v>
      </c>
      <c r="N24" s="34">
        <v>1.86704946996466</v>
      </c>
      <c r="O24" s="34">
        <v>1.8789764613078801</v>
      </c>
      <c r="P24" s="34">
        <v>1.86203752669361</v>
      </c>
      <c r="Q24" s="34">
        <v>1.8603827212250501</v>
      </c>
      <c r="R24" s="33">
        <v>42.540027084010397</v>
      </c>
      <c r="S24" s="33">
        <v>42.152214192157103</v>
      </c>
      <c r="T24" s="33">
        <v>42.104901107467498</v>
      </c>
      <c r="U24" s="15">
        <v>6.3678318648036497E-3</v>
      </c>
      <c r="V24" s="15">
        <v>-2.7904002612711902E-3</v>
      </c>
      <c r="W24" s="15">
        <v>-3.9134648118256503E-3</v>
      </c>
      <c r="X24" s="34">
        <v>1.8638996113458399</v>
      </c>
      <c r="Y24" s="34">
        <v>1.8652915884207499</v>
      </c>
      <c r="Z24" s="34">
        <v>1.86109517173211</v>
      </c>
      <c r="AA24" s="34">
        <v>1.8599115437442899</v>
      </c>
      <c r="AB24" s="33">
        <v>42.3015676180189</v>
      </c>
      <c r="AC24" s="33">
        <v>42.2092208156296</v>
      </c>
      <c r="AD24" s="33">
        <v>42.168941594949104</v>
      </c>
      <c r="AE24" s="15">
        <v>7.4653031448018096E-4</v>
      </c>
      <c r="AF24" s="15">
        <v>-1.4389146649413801E-3</v>
      </c>
      <c r="AG24" s="15">
        <v>-2.3936456661687298E-3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22.64</v>
      </c>
      <c r="C25" s="33">
        <v>42.18</v>
      </c>
      <c r="D25" s="15">
        <v>0</v>
      </c>
      <c r="E25" s="15">
        <v>-2.13143952807009E-3</v>
      </c>
      <c r="F25" s="33">
        <v>0</v>
      </c>
      <c r="G25" s="33">
        <v>3.8260000000000002E-2</v>
      </c>
      <c r="H25" s="33">
        <v>0</v>
      </c>
      <c r="I25" s="33">
        <v>0</v>
      </c>
      <c r="J25" s="33">
        <v>3.8260000000000002E-2</v>
      </c>
      <c r="K25" s="33">
        <v>0</v>
      </c>
      <c r="L25" s="33">
        <v>22.678260000000002</v>
      </c>
      <c r="M25" s="33">
        <v>42.18</v>
      </c>
      <c r="N25" s="34">
        <v>1.8630742049469899</v>
      </c>
      <c r="O25" s="34">
        <v>1.8789764613078801</v>
      </c>
      <c r="P25" s="34">
        <v>1.8619691680253601</v>
      </c>
      <c r="Q25" s="34">
        <v>1.8608285613078801</v>
      </c>
      <c r="R25" s="33">
        <v>42.540027084010397</v>
      </c>
      <c r="S25" s="33">
        <v>42.156529604343497</v>
      </c>
      <c r="T25" s="33">
        <v>42.1190648085352</v>
      </c>
      <c r="U25" s="15">
        <v>8.4992713928736894E-3</v>
      </c>
      <c r="V25" s="15">
        <v>-5.5658909306481195E-4</v>
      </c>
      <c r="W25" s="15">
        <v>-1.4456910575742299E-3</v>
      </c>
      <c r="X25" s="34">
        <v>1.8599310529114601</v>
      </c>
      <c r="Y25" s="34">
        <v>1.8652915884207499</v>
      </c>
      <c r="Z25" s="34">
        <v>1.8607124978603</v>
      </c>
      <c r="AA25" s="34">
        <v>1.8602002262253501</v>
      </c>
      <c r="AB25" s="33">
        <v>42.3015676180189</v>
      </c>
      <c r="AC25" s="33">
        <v>42.206400189285503</v>
      </c>
      <c r="AD25" s="33">
        <v>42.179557566034603</v>
      </c>
      <c r="AE25" s="15">
        <v>2.8779698425502099E-3</v>
      </c>
      <c r="AF25" s="15">
        <v>6.2569774484027803E-4</v>
      </c>
      <c r="AG25" s="15">
        <v>-1.0489243380688399E-5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22.68</v>
      </c>
      <c r="C26" s="33">
        <v>42.36</v>
      </c>
      <c r="D26" s="15">
        <v>1.7652255245691399E-3</v>
      </c>
      <c r="E26" s="15">
        <v>4.2583456825772397E-3</v>
      </c>
      <c r="F26" s="33">
        <v>0</v>
      </c>
      <c r="G26" s="33">
        <v>3.8260000000000002E-2</v>
      </c>
      <c r="H26" s="33">
        <v>0</v>
      </c>
      <c r="I26" s="33">
        <v>0</v>
      </c>
      <c r="J26" s="33">
        <v>3.8260000000000002E-2</v>
      </c>
      <c r="K26" s="33">
        <v>0</v>
      </c>
      <c r="L26" s="33">
        <v>22.718260000000001</v>
      </c>
      <c r="M26" s="33">
        <v>42.36</v>
      </c>
      <c r="N26" s="34">
        <v>1.8677248677248599</v>
      </c>
      <c r="O26" s="34">
        <v>1.8789764613078801</v>
      </c>
      <c r="P26" s="34">
        <v>1.8626109127483801</v>
      </c>
      <c r="Q26" s="34">
        <v>1.8616312857631701</v>
      </c>
      <c r="R26" s="33">
        <v>42.615186142462697</v>
      </c>
      <c r="S26" s="33">
        <v>42.229460730815198</v>
      </c>
      <c r="T26" s="33">
        <v>42.203591770462801</v>
      </c>
      <c r="U26" s="15">
        <v>6.0061512348656299E-3</v>
      </c>
      <c r="V26" s="15">
        <v>-3.0864216814567502E-3</v>
      </c>
      <c r="W26" s="15">
        <v>-3.6991902690060399E-3</v>
      </c>
      <c r="X26" s="34">
        <v>1.8645794176138399</v>
      </c>
      <c r="Y26" s="34">
        <v>1.8652915884207499</v>
      </c>
      <c r="Z26" s="34">
        <v>1.8610396975722101</v>
      </c>
      <c r="AA26" s="34">
        <v>1.8608456781750899</v>
      </c>
      <c r="AB26" s="33">
        <v>42.3761792815557</v>
      </c>
      <c r="AC26" s="33">
        <v>42.272150311639798</v>
      </c>
      <c r="AD26" s="33">
        <v>42.260512391446397</v>
      </c>
      <c r="AE26" s="15">
        <v>3.8187423340379801E-4</v>
      </c>
      <c r="AF26" s="15">
        <v>-2.0760365792160699E-3</v>
      </c>
      <c r="AG26" s="15">
        <v>-2.3513838803597901E-3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22.83</v>
      </c>
      <c r="C27" s="33">
        <v>42.7</v>
      </c>
      <c r="D27" s="15">
        <v>6.5919816821527399E-3</v>
      </c>
      <c r="E27" s="15">
        <v>7.9943995013733102E-3</v>
      </c>
      <c r="F27" s="33">
        <v>0</v>
      </c>
      <c r="G27" s="33">
        <v>3.8260000000000002E-2</v>
      </c>
      <c r="H27" s="33">
        <v>0</v>
      </c>
      <c r="I27" s="33">
        <v>0</v>
      </c>
      <c r="J27" s="33">
        <v>3.8260000000000002E-2</v>
      </c>
      <c r="K27" s="33">
        <v>0</v>
      </c>
      <c r="L27" s="33">
        <v>22.868259999999999</v>
      </c>
      <c r="M27" s="33">
        <v>42.7</v>
      </c>
      <c r="N27" s="34">
        <v>1.87034603591765</v>
      </c>
      <c r="O27" s="34">
        <v>1.8789764613078801</v>
      </c>
      <c r="P27" s="34">
        <v>1.86371829143878</v>
      </c>
      <c r="Q27" s="34">
        <v>1.8623616290954501</v>
      </c>
      <c r="R27" s="33">
        <v>42.897032611658901</v>
      </c>
      <c r="S27" s="33">
        <v>42.523407138045499</v>
      </c>
      <c r="T27" s="33">
        <v>42.501042253973097</v>
      </c>
      <c r="U27" s="15">
        <v>4.6037334156454196E-3</v>
      </c>
      <c r="V27" s="15">
        <v>-4.1442397254271802E-3</v>
      </c>
      <c r="W27" s="15">
        <v>-4.6703209820081297E-3</v>
      </c>
      <c r="X27" s="34">
        <v>1.86721683241313</v>
      </c>
      <c r="Y27" s="34">
        <v>1.8652915884207499</v>
      </c>
      <c r="Z27" s="34">
        <v>1.8618341559121701</v>
      </c>
      <c r="AA27" s="34">
        <v>1.86141956133214</v>
      </c>
      <c r="AB27" s="33">
        <v>42.655973019818802</v>
      </c>
      <c r="AC27" s="33">
        <v>42.558739674402801</v>
      </c>
      <c r="AD27" s="33">
        <v>42.554302788384199</v>
      </c>
      <c r="AE27" s="15">
        <v>-1.03160874460316E-3</v>
      </c>
      <c r="AF27" s="15">
        <v>-3.31368855312763E-3</v>
      </c>
      <c r="AG27" s="15">
        <v>-3.4179472165288701E-3</v>
      </c>
      <c r="AI27" s="12"/>
      <c r="AJ27">
        <f t="shared" si="6"/>
        <v>1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22.93</v>
      </c>
      <c r="C28" s="33">
        <v>42.79</v>
      </c>
      <c r="D28" s="15">
        <v>4.3706363281090597E-3</v>
      </c>
      <c r="E28" s="15">
        <v>2.1055101941464399E-3</v>
      </c>
      <c r="F28" s="33">
        <v>0</v>
      </c>
      <c r="G28" s="33">
        <v>3.8260000000000002E-2</v>
      </c>
      <c r="H28" s="33">
        <v>0</v>
      </c>
      <c r="I28" s="33">
        <v>0</v>
      </c>
      <c r="J28" s="33">
        <v>3.8260000000000002E-2</v>
      </c>
      <c r="K28" s="33">
        <v>0</v>
      </c>
      <c r="L28" s="33">
        <v>22.968260000000001</v>
      </c>
      <c r="M28" s="33">
        <v>42.79</v>
      </c>
      <c r="N28" s="34">
        <v>1.86611426079372</v>
      </c>
      <c r="O28" s="34">
        <v>1.8789764613078801</v>
      </c>
      <c r="P28" s="34">
        <v>1.86408839807371</v>
      </c>
      <c r="Q28" s="34">
        <v>1.8627751852723899</v>
      </c>
      <c r="R28" s="33">
        <v>43.084930257789701</v>
      </c>
      <c r="S28" s="33">
        <v>42.735060422691298</v>
      </c>
      <c r="T28" s="33">
        <v>42.703952155158703</v>
      </c>
      <c r="U28" s="15">
        <v>6.8688595496077904E-3</v>
      </c>
      <c r="V28" s="15">
        <v>-1.28475991935192E-3</v>
      </c>
      <c r="W28" s="15">
        <v>-2.0129581503162699E-3</v>
      </c>
      <c r="X28" s="34">
        <v>1.8630057305168</v>
      </c>
      <c r="Y28" s="34">
        <v>1.8652915884207499</v>
      </c>
      <c r="Z28" s="34">
        <v>1.8618934095194</v>
      </c>
      <c r="AA28" s="34">
        <v>1.8616776909952399</v>
      </c>
      <c r="AB28" s="33">
        <v>42.842502178660901</v>
      </c>
      <c r="AC28" s="33">
        <v>42.7630909698713</v>
      </c>
      <c r="AD28" s="33">
        <v>42.753568453762703</v>
      </c>
      <c r="AE28" s="15">
        <v>1.2262209769366901E-3</v>
      </c>
      <c r="AF28" s="15">
        <v>-6.2906040473782396E-4</v>
      </c>
      <c r="AG28" s="15">
        <v>-8.5176592696367605E-4</v>
      </c>
      <c r="AI28" s="12"/>
      <c r="AJ28">
        <f t="shared" si="6"/>
        <v>0</v>
      </c>
      <c r="AK28">
        <f t="shared" si="7"/>
        <v>1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4.3706363281090597E-3</v>
      </c>
      <c r="AP28" s="28">
        <f t="shared" si="9"/>
        <v>-2.1055101941464399E-3</v>
      </c>
      <c r="AQ28" s="28">
        <f t="shared" si="16"/>
        <v>2.2651261339626198E-3</v>
      </c>
      <c r="AR28" s="29">
        <f t="shared" si="17"/>
        <v>2.2651261339626198E-3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2.2651261339626198E-3</v>
      </c>
      <c r="BF28" s="29">
        <f t="shared" si="23"/>
        <v>2.2651261339626198E-3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22.97</v>
      </c>
      <c r="C29" s="33">
        <v>42.86</v>
      </c>
      <c r="D29" s="15">
        <v>1.7429198311938101E-3</v>
      </c>
      <c r="E29" s="15">
        <v>1.6345596167055901E-3</v>
      </c>
      <c r="F29" s="33">
        <v>0</v>
      </c>
      <c r="G29" s="33">
        <v>3.8260000000000002E-2</v>
      </c>
      <c r="H29" s="33">
        <v>0</v>
      </c>
      <c r="I29" s="33">
        <v>0</v>
      </c>
      <c r="J29" s="33">
        <v>3.8260000000000002E-2</v>
      </c>
      <c r="K29" s="33">
        <v>0</v>
      </c>
      <c r="L29" s="33">
        <v>23.00826</v>
      </c>
      <c r="M29" s="33">
        <v>42.86</v>
      </c>
      <c r="N29" s="34">
        <v>1.8659120592076599</v>
      </c>
      <c r="O29" s="34">
        <v>1.8789764613078801</v>
      </c>
      <c r="P29" s="34">
        <v>1.8648161851167</v>
      </c>
      <c r="Q29" s="34">
        <v>1.8630569055637201</v>
      </c>
      <c r="R29" s="33">
        <v>43.160089316242001</v>
      </c>
      <c r="S29" s="33">
        <v>42.818110503753203</v>
      </c>
      <c r="T29" s="33">
        <v>42.7879460057069</v>
      </c>
      <c r="U29" s="15">
        <v>6.9772197640961802E-3</v>
      </c>
      <c r="V29" s="15">
        <v>-9.7783434621163999E-4</v>
      </c>
      <c r="W29" s="15">
        <v>-1.68256250505116E-3</v>
      </c>
      <c r="X29" s="34">
        <v>1.86280926936674</v>
      </c>
      <c r="Y29" s="34">
        <v>1.8652915884207499</v>
      </c>
      <c r="Z29" s="34">
        <v>1.8623109175783099</v>
      </c>
      <c r="AA29" s="34">
        <v>1.86180427179452</v>
      </c>
      <c r="AB29" s="33">
        <v>42.917113842197701</v>
      </c>
      <c r="AC29" s="33">
        <v>42.838927658509</v>
      </c>
      <c r="AD29" s="33">
        <v>42.833964350618203</v>
      </c>
      <c r="AE29" s="15">
        <v>1.33168040004617E-3</v>
      </c>
      <c r="AF29" s="15">
        <v>-4.9177609315278201E-4</v>
      </c>
      <c r="AG29" s="15">
        <v>-6.0764256573229102E-4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2.2651261339626198E-3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2.2651261339626198E-3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23.04</v>
      </c>
      <c r="C30" s="33">
        <v>42.88</v>
      </c>
      <c r="D30" s="15">
        <v>3.0428191266836501E-3</v>
      </c>
      <c r="E30" s="15">
        <v>4.6652671711558798E-4</v>
      </c>
      <c r="F30" s="33">
        <v>0</v>
      </c>
      <c r="G30" s="33">
        <v>3.8260000000000002E-2</v>
      </c>
      <c r="H30" s="33">
        <v>0</v>
      </c>
      <c r="I30" s="33">
        <v>0</v>
      </c>
      <c r="J30" s="33">
        <v>3.8260000000000002E-2</v>
      </c>
      <c r="K30" s="33">
        <v>0</v>
      </c>
      <c r="L30" s="33">
        <v>23.07826</v>
      </c>
      <c r="M30" s="33">
        <v>42.88</v>
      </c>
      <c r="N30" s="34">
        <v>1.8611111111111101</v>
      </c>
      <c r="O30" s="34">
        <v>1.8789764613078801</v>
      </c>
      <c r="P30" s="34">
        <v>1.86458540845052</v>
      </c>
      <c r="Q30" s="34">
        <v>1.8631437111192699</v>
      </c>
      <c r="R30" s="33">
        <v>43.291617668533597</v>
      </c>
      <c r="S30" s="33">
        <v>42.965364905088897</v>
      </c>
      <c r="T30" s="33">
        <v>42.924831104188101</v>
      </c>
      <c r="U30" s="15">
        <v>9.5535121736639202E-3</v>
      </c>
      <c r="V30" s="15">
        <v>1.9888070444028698E-3</v>
      </c>
      <c r="W30" s="15">
        <v>1.0449553408736301E-3</v>
      </c>
      <c r="X30" s="34">
        <v>1.85802569171159</v>
      </c>
      <c r="Y30" s="34">
        <v>1.8652915884207499</v>
      </c>
      <c r="Z30" s="34">
        <v>1.8617715989721699</v>
      </c>
      <c r="AA30" s="34">
        <v>1.8617368063801001</v>
      </c>
      <c r="AB30" s="33">
        <v>43.047684253387203</v>
      </c>
      <c r="AC30" s="33">
        <v>42.978895556710803</v>
      </c>
      <c r="AD30" s="33">
        <v>42.967203053584697</v>
      </c>
      <c r="AE30" s="15">
        <v>3.9029206408244198E-3</v>
      </c>
      <c r="AF30" s="15">
        <v>2.3036774420531199E-3</v>
      </c>
      <c r="AG30" s="15">
        <v>2.0315882282944801E-3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2.2651261339626198E-3</v>
      </c>
      <c r="AT30" s="12"/>
      <c r="AU30">
        <f t="shared" si="10"/>
        <v>1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2.2651261339626198E-3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23.08</v>
      </c>
      <c r="C31" s="33">
        <v>42.94</v>
      </c>
      <c r="D31" s="15">
        <v>1.73460581220837E-3</v>
      </c>
      <c r="E31" s="15">
        <v>1.3982756880883301E-3</v>
      </c>
      <c r="F31" s="33">
        <v>0</v>
      </c>
      <c r="G31" s="33">
        <v>3.8260000000000002E-2</v>
      </c>
      <c r="H31" s="33">
        <v>0</v>
      </c>
      <c r="I31" s="33">
        <v>0</v>
      </c>
      <c r="J31" s="33">
        <v>3.8260000000000002E-2</v>
      </c>
      <c r="K31" s="33">
        <v>0</v>
      </c>
      <c r="L31" s="33">
        <v>23.118259999999999</v>
      </c>
      <c r="M31" s="33">
        <v>42.94</v>
      </c>
      <c r="N31" s="34">
        <v>1.86048526863084</v>
      </c>
      <c r="O31" s="34">
        <v>1.8789764613078801</v>
      </c>
      <c r="P31" s="34">
        <v>1.8649509230544099</v>
      </c>
      <c r="Q31" s="34">
        <v>1.86315722186264</v>
      </c>
      <c r="R31" s="33">
        <v>43.366776726985897</v>
      </c>
      <c r="S31" s="33">
        <v>43.034631227037998</v>
      </c>
      <c r="T31" s="33">
        <v>43.001356852632902</v>
      </c>
      <c r="U31" s="15">
        <v>9.889842297784E-3</v>
      </c>
      <c r="V31" s="15">
        <v>2.20137647357605E-3</v>
      </c>
      <c r="W31" s="15">
        <v>1.42787745748215E-3</v>
      </c>
      <c r="X31" s="34">
        <v>1.8574062234787501</v>
      </c>
      <c r="Y31" s="34">
        <v>1.8652915884207499</v>
      </c>
      <c r="Z31" s="34">
        <v>1.8618292090608499</v>
      </c>
      <c r="AA31" s="34">
        <v>1.86159636486587</v>
      </c>
      <c r="AB31" s="33">
        <v>43.122295916924003</v>
      </c>
      <c r="AC31" s="33">
        <v>43.040919885654397</v>
      </c>
      <c r="AD31" s="33">
        <v>43.0401155414649</v>
      </c>
      <c r="AE31" s="15">
        <v>4.2363775592754701E-3</v>
      </c>
      <c r="AF31" s="15">
        <v>2.3474959824562E-3</v>
      </c>
      <c r="AG31" s="15">
        <v>2.3288079128805398E-3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2.2651261339626198E-3</v>
      </c>
      <c r="AT31" s="12"/>
      <c r="AU31">
        <f t="shared" si="10"/>
        <v>1</v>
      </c>
      <c r="AV31">
        <f t="shared" si="11"/>
        <v>0</v>
      </c>
      <c r="AW31">
        <f t="shared" si="18"/>
        <v>1</v>
      </c>
      <c r="AX31">
        <f t="shared" si="5"/>
        <v>1</v>
      </c>
      <c r="AY31">
        <f t="shared" si="19"/>
        <v>1</v>
      </c>
      <c r="AZ31" s="28">
        <f t="shared" si="12"/>
        <v>-1.73460581220837E-3</v>
      </c>
      <c r="BA31" s="28">
        <f t="shared" si="13"/>
        <v>1.3982756880883301E-3</v>
      </c>
      <c r="BB31" s="28">
        <f t="shared" si="20"/>
        <v>-3.363301241200399E-4</v>
      </c>
      <c r="BC31" s="29">
        <f t="shared" si="21"/>
        <v>-3.363301241200399E-4</v>
      </c>
      <c r="BE31" s="29">
        <f t="shared" si="22"/>
        <v>-3.363301241200399E-4</v>
      </c>
      <c r="BF31" s="29">
        <f t="shared" si="23"/>
        <v>1.9287960098425799E-3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23.07</v>
      </c>
      <c r="C32" s="33">
        <v>42.97</v>
      </c>
      <c r="D32" s="15">
        <v>-4.33369454236399E-4</v>
      </c>
      <c r="E32" s="15">
        <v>6.9840533626886999E-4</v>
      </c>
      <c r="F32" s="33">
        <v>0</v>
      </c>
      <c r="G32" s="33">
        <v>3.8260000000000002E-2</v>
      </c>
      <c r="H32" s="33">
        <v>0</v>
      </c>
      <c r="I32" s="33">
        <v>0</v>
      </c>
      <c r="J32" s="33">
        <v>3.8260000000000002E-2</v>
      </c>
      <c r="K32" s="33">
        <v>0</v>
      </c>
      <c r="L32" s="33">
        <v>23.108260000000001</v>
      </c>
      <c r="M32" s="33">
        <v>42.97</v>
      </c>
      <c r="N32" s="34">
        <v>1.8625921109666199</v>
      </c>
      <c r="O32" s="34">
        <v>1.8789764613078801</v>
      </c>
      <c r="P32" s="34">
        <v>1.8651369741687001</v>
      </c>
      <c r="Q32" s="34">
        <v>1.86338172445663</v>
      </c>
      <c r="R32" s="33">
        <v>43.347986962372801</v>
      </c>
      <c r="S32" s="33">
        <v>43.0244177948653</v>
      </c>
      <c r="T32" s="33">
        <v>42.983037108371299</v>
      </c>
      <c r="U32" s="15">
        <v>8.7580675072786197E-3</v>
      </c>
      <c r="V32" s="15">
        <v>1.2656124321673401E-3</v>
      </c>
      <c r="W32" s="15">
        <v>3.0335422481592898E-4</v>
      </c>
      <c r="X32" s="34">
        <v>1.8595082451036899</v>
      </c>
      <c r="Y32" s="34">
        <v>1.8652915884207499</v>
      </c>
      <c r="Z32" s="34">
        <v>1.86202010298261</v>
      </c>
      <c r="AA32" s="34">
        <v>1.8616666741667101</v>
      </c>
      <c r="AB32" s="33">
        <v>43.103643001039799</v>
      </c>
      <c r="AC32" s="33">
        <v>43.023633438572602</v>
      </c>
      <c r="AD32" s="33">
        <v>43.018252814375302</v>
      </c>
      <c r="AE32" s="15">
        <v>3.1053201368885898E-3</v>
      </c>
      <c r="AF32" s="15">
        <v>1.2473817742622499E-3</v>
      </c>
      <c r="AG32" s="15">
        <v>1.1223118940311601E-3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2.2651261339626198E-3</v>
      </c>
      <c r="AT32" s="12"/>
      <c r="AU32">
        <f t="shared" si="10"/>
        <v>0</v>
      </c>
      <c r="AV32">
        <f t="shared" si="11"/>
        <v>0</v>
      </c>
      <c r="AW32">
        <f t="shared" si="18"/>
        <v>1</v>
      </c>
      <c r="AX32">
        <f t="shared" si="5"/>
        <v>1</v>
      </c>
      <c r="AY32">
        <f t="shared" si="19"/>
        <v>1</v>
      </c>
      <c r="AZ32" s="28">
        <f t="shared" si="12"/>
        <v>4.33369454236399E-4</v>
      </c>
      <c r="BA32" s="28">
        <f t="shared" si="13"/>
        <v>6.9840533626886999E-4</v>
      </c>
      <c r="BB32" s="28">
        <f t="shared" si="20"/>
        <v>1.131774790505269E-3</v>
      </c>
      <c r="BC32" s="29">
        <f t="shared" si="21"/>
        <v>7.9544466638522908E-4</v>
      </c>
      <c r="BE32" s="29">
        <f t="shared" si="22"/>
        <v>1.131774790505269E-3</v>
      </c>
      <c r="BF32" s="29">
        <f t="shared" si="23"/>
        <v>3.0605708003478491E-3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22.93</v>
      </c>
      <c r="C33" s="33">
        <v>42.67</v>
      </c>
      <c r="D33" s="15">
        <v>-6.0869753158491902E-3</v>
      </c>
      <c r="E33" s="15">
        <v>-7.0061005869950597E-3</v>
      </c>
      <c r="F33" s="33">
        <v>0</v>
      </c>
      <c r="G33" s="33">
        <v>3.8260000000000002E-2</v>
      </c>
      <c r="H33" s="33">
        <v>0</v>
      </c>
      <c r="I33" s="33">
        <v>0</v>
      </c>
      <c r="J33" s="33">
        <v>3.8260000000000002E-2</v>
      </c>
      <c r="K33" s="33">
        <v>0</v>
      </c>
      <c r="L33" s="33">
        <v>22.968260000000001</v>
      </c>
      <c r="M33" s="33">
        <v>42.67</v>
      </c>
      <c r="N33" s="34">
        <v>1.86088094199738</v>
      </c>
      <c r="O33" s="34">
        <v>1.8789764613078801</v>
      </c>
      <c r="P33" s="34">
        <v>1.8645290331261499</v>
      </c>
      <c r="Q33" s="34">
        <v>1.8631879748704301</v>
      </c>
      <c r="R33" s="33">
        <v>43.084930257789701</v>
      </c>
      <c r="S33" s="33">
        <v>42.767590817688401</v>
      </c>
      <c r="T33" s="33">
        <v>42.727342941790702</v>
      </c>
      <c r="U33" s="15">
        <v>9.6771927784246592E-3</v>
      </c>
      <c r="V33" s="15">
        <v>2.2844946632414702E-3</v>
      </c>
      <c r="W33" s="15">
        <v>1.3429680229808099E-3</v>
      </c>
      <c r="X33" s="34">
        <v>1.85778112926273</v>
      </c>
      <c r="Y33" s="34">
        <v>1.8652915884207499</v>
      </c>
      <c r="Z33" s="34">
        <v>1.8614163203724601</v>
      </c>
      <c r="AA33" s="34">
        <v>1.86131793394377</v>
      </c>
      <c r="AB33" s="33">
        <v>42.842502178660901</v>
      </c>
      <c r="AC33" s="33">
        <v>42.767361850531302</v>
      </c>
      <c r="AD33" s="33">
        <v>42.759244205596303</v>
      </c>
      <c r="AE33" s="15">
        <v>4.0345542057535497E-3</v>
      </c>
      <c r="AF33" s="15">
        <v>2.2791408949891902E-3</v>
      </c>
      <c r="AG33" s="15">
        <v>2.0893135340368401E-3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2.2651261339626198E-3</v>
      </c>
      <c r="AT33" s="12"/>
      <c r="AU33">
        <f t="shared" si="10"/>
        <v>1</v>
      </c>
      <c r="AV33">
        <f t="shared" si="11"/>
        <v>0</v>
      </c>
      <c r="AW33">
        <f t="shared" si="18"/>
        <v>1</v>
      </c>
      <c r="AX33">
        <f t="shared" si="5"/>
        <v>1</v>
      </c>
      <c r="AY33">
        <f t="shared" si="19"/>
        <v>1</v>
      </c>
      <c r="AZ33" s="28">
        <f t="shared" si="12"/>
        <v>6.0869753158491902E-3</v>
      </c>
      <c r="BA33" s="28">
        <f t="shared" si="13"/>
        <v>-7.0061005869950597E-3</v>
      </c>
      <c r="BB33" s="28">
        <f t="shared" si="20"/>
        <v>-9.1912527114586945E-4</v>
      </c>
      <c r="BC33" s="29">
        <f t="shared" si="21"/>
        <v>-1.2368060476064036E-4</v>
      </c>
      <c r="BE33" s="29">
        <f t="shared" si="22"/>
        <v>-9.1912527114586945E-4</v>
      </c>
      <c r="BF33" s="29">
        <f t="shared" si="23"/>
        <v>2.1414455292019796E-3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22.92</v>
      </c>
      <c r="C34" s="33">
        <v>42.67</v>
      </c>
      <c r="D34" s="15">
        <v>-4.3620502327420402E-4</v>
      </c>
      <c r="E34" s="15">
        <v>0</v>
      </c>
      <c r="F34" s="33">
        <v>0</v>
      </c>
      <c r="G34" s="33">
        <v>3.8260000000000002E-2</v>
      </c>
      <c r="H34" s="33">
        <v>0</v>
      </c>
      <c r="I34" s="33">
        <v>0</v>
      </c>
      <c r="J34" s="33">
        <v>3.8260000000000002E-2</v>
      </c>
      <c r="K34" s="33">
        <v>0</v>
      </c>
      <c r="L34" s="33">
        <v>22.958259999999999</v>
      </c>
      <c r="M34" s="33">
        <v>42.67</v>
      </c>
      <c r="N34" s="34">
        <v>1.8616928446771299</v>
      </c>
      <c r="O34" s="34">
        <v>1.8789764613078801</v>
      </c>
      <c r="P34" s="34">
        <v>1.8639933705973999</v>
      </c>
      <c r="Q34" s="34">
        <v>1.8630154486455099</v>
      </c>
      <c r="R34" s="33">
        <v>43.066140493176597</v>
      </c>
      <c r="S34" s="33">
        <v>42.735005439251402</v>
      </c>
      <c r="T34" s="33">
        <v>42.7042683840303</v>
      </c>
      <c r="U34" s="15">
        <v>9.2409877551505298E-3</v>
      </c>
      <c r="V34" s="15">
        <v>1.52228669667522E-3</v>
      </c>
      <c r="W34" s="15">
        <v>8.0278019406476698E-4</v>
      </c>
      <c r="X34" s="34">
        <v>1.85859032870957</v>
      </c>
      <c r="Y34" s="34">
        <v>1.8652915884207499</v>
      </c>
      <c r="Z34" s="34">
        <v>1.86088539210883</v>
      </c>
      <c r="AA34" s="34">
        <v>1.86099028192047</v>
      </c>
      <c r="AB34" s="33">
        <v>42.823849262776697</v>
      </c>
      <c r="AC34" s="33">
        <v>42.734879851354201</v>
      </c>
      <c r="AD34" s="33">
        <v>42.732621070143999</v>
      </c>
      <c r="AE34" s="15">
        <v>3.59907596102542E-3</v>
      </c>
      <c r="AF34" s="15">
        <v>1.51934793299932E-3</v>
      </c>
      <c r="AG34" s="15">
        <v>1.4664908543107801E-3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2.2651261339626198E-3</v>
      </c>
      <c r="AT34" s="12"/>
      <c r="AU34">
        <f t="shared" si="10"/>
        <v>0</v>
      </c>
      <c r="AV34">
        <f t="shared" si="11"/>
        <v>0</v>
      </c>
      <c r="AW34">
        <f t="shared" si="18"/>
        <v>1</v>
      </c>
      <c r="AX34">
        <f t="shared" si="5"/>
        <v>1</v>
      </c>
      <c r="AY34">
        <f t="shared" si="19"/>
        <v>1</v>
      </c>
      <c r="AZ34" s="28">
        <f t="shared" si="12"/>
        <v>4.3620502327420402E-4</v>
      </c>
      <c r="BA34" s="28">
        <f t="shared" si="13"/>
        <v>0</v>
      </c>
      <c r="BB34" s="28">
        <f t="shared" si="20"/>
        <v>4.3620502327420402E-4</v>
      </c>
      <c r="BC34" s="29">
        <f t="shared" si="21"/>
        <v>3.1252441851356365E-4</v>
      </c>
      <c r="BE34" s="29">
        <f t="shared" si="22"/>
        <v>4.3620502327420402E-4</v>
      </c>
      <c r="BF34" s="29">
        <f t="shared" si="23"/>
        <v>2.5776505524761836E-3</v>
      </c>
      <c r="BH34" s="29"/>
    </row>
    <row r="35" spans="1:124" x14ac:dyDescent="0.25">
      <c r="A35" s="1">
        <v>46073</v>
      </c>
      <c r="B35" s="33">
        <v>22.93</v>
      </c>
      <c r="C35" s="33">
        <v>42.77</v>
      </c>
      <c r="D35" s="15">
        <v>4.3620502327419702E-4</v>
      </c>
      <c r="E35" s="15">
        <v>2.3408250389085998E-3</v>
      </c>
      <c r="F35" s="33">
        <v>0</v>
      </c>
      <c r="G35" s="33">
        <v>3.8260000000000002E-2</v>
      </c>
      <c r="H35" s="33">
        <v>0</v>
      </c>
      <c r="I35" s="33">
        <v>0</v>
      </c>
      <c r="J35" s="33">
        <v>3.8260000000000002E-2</v>
      </c>
      <c r="K35" s="33">
        <v>0</v>
      </c>
      <c r="L35" s="33">
        <v>22.968260000000001</v>
      </c>
      <c r="M35" s="33">
        <v>42.77</v>
      </c>
      <c r="N35" s="34">
        <v>1.86524204099433</v>
      </c>
      <c r="O35" s="34">
        <v>1.8789764613078801</v>
      </c>
      <c r="P35" s="34">
        <v>1.8642101542021301</v>
      </c>
      <c r="Q35" s="34">
        <v>1.86308966111374</v>
      </c>
      <c r="R35" s="33">
        <v>43.084930257789701</v>
      </c>
      <c r="S35" s="33">
        <v>42.741367987798299</v>
      </c>
      <c r="T35" s="33">
        <v>42.718944237441498</v>
      </c>
      <c r="U35" s="15">
        <v>7.3363677395159596E-3</v>
      </c>
      <c r="V35" s="15">
        <v>-6.6966565838835399E-4</v>
      </c>
      <c r="W35" s="15">
        <v>-1.19444143529746E-3</v>
      </c>
      <c r="X35" s="34">
        <v>1.86213496364112</v>
      </c>
      <c r="Y35" s="34">
        <v>1.8652915884207499</v>
      </c>
      <c r="Z35" s="34">
        <v>1.8611057831818001</v>
      </c>
      <c r="AA35" s="34">
        <v>1.8609091405210501</v>
      </c>
      <c r="AB35" s="33">
        <v>42.842502178660901</v>
      </c>
      <c r="AC35" s="33">
        <v>42.741299516157603</v>
      </c>
      <c r="AD35" s="33">
        <v>42.743708652622701</v>
      </c>
      <c r="AE35" s="15">
        <v>1.6937291668447001E-3</v>
      </c>
      <c r="AF35" s="15">
        <v>-6.7126765895042799E-4</v>
      </c>
      <c r="AG35" s="15">
        <v>-6.1490370654973103E-4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2.2651261339626198E-3</v>
      </c>
      <c r="AT35" s="12"/>
      <c r="AU35">
        <f t="shared" si="10"/>
        <v>0</v>
      </c>
      <c r="AV35">
        <f t="shared" si="11"/>
        <v>1</v>
      </c>
      <c r="AW35">
        <f t="shared" si="18"/>
        <v>1</v>
      </c>
      <c r="AX35">
        <f t="shared" si="5"/>
        <v>1</v>
      </c>
      <c r="AY35">
        <f t="shared" si="19"/>
        <v>1</v>
      </c>
      <c r="AZ35" s="28">
        <f t="shared" si="12"/>
        <v>-4.3620502327419702E-4</v>
      </c>
      <c r="BA35" s="28">
        <f t="shared" si="13"/>
        <v>2.3408250389085998E-3</v>
      </c>
      <c r="BB35" s="28">
        <f t="shared" si="20"/>
        <v>1.9046200156344027E-3</v>
      </c>
      <c r="BC35" s="29">
        <f t="shared" si="21"/>
        <v>2.2171444341479666E-3</v>
      </c>
      <c r="BE35" s="29">
        <f t="shared" si="22"/>
        <v>1.9046200156344027E-3</v>
      </c>
      <c r="BF35" s="29">
        <f t="shared" si="23"/>
        <v>4.4822705681105864E-3</v>
      </c>
      <c r="BH35" s="29"/>
    </row>
    <row r="36" spans="1:124" x14ac:dyDescent="0.25">
      <c r="A36" s="1">
        <v>46076</v>
      </c>
      <c r="B36" s="33">
        <v>23.05</v>
      </c>
      <c r="C36" s="33">
        <v>42.82</v>
      </c>
      <c r="D36" s="15">
        <v>5.21967257284448E-3</v>
      </c>
      <c r="E36" s="15">
        <v>1.1683609227194E-3</v>
      </c>
      <c r="F36" s="33">
        <v>0</v>
      </c>
      <c r="G36" s="33">
        <v>3.8260000000000002E-2</v>
      </c>
      <c r="H36" s="33">
        <v>0</v>
      </c>
      <c r="I36" s="33">
        <v>0</v>
      </c>
      <c r="J36" s="33">
        <v>3.8260000000000002E-2</v>
      </c>
      <c r="K36" s="33">
        <v>0</v>
      </c>
      <c r="L36" s="33">
        <v>23.088259999999998</v>
      </c>
      <c r="M36" s="33">
        <v>42.82</v>
      </c>
      <c r="N36" s="34">
        <v>1.85770065075921</v>
      </c>
      <c r="O36" s="34">
        <v>1.8789764613078801</v>
      </c>
      <c r="P36" s="34">
        <v>1.86320773250556</v>
      </c>
      <c r="Q36" s="34">
        <v>1.86290932262697</v>
      </c>
      <c r="R36" s="33">
        <v>43.310407433146601</v>
      </c>
      <c r="S36" s="33">
        <v>42.9700440543591</v>
      </c>
      <c r="T36" s="33">
        <v>42.944216688671901</v>
      </c>
      <c r="U36" s="15">
        <v>1.13876793896408E-2</v>
      </c>
      <c r="V36" s="15">
        <v>3.4979398601030199E-3</v>
      </c>
      <c r="W36" s="15">
        <v>2.8967040177195701E-3</v>
      </c>
      <c r="X36" s="34">
        <v>1.8546222192577499</v>
      </c>
      <c r="Y36" s="34">
        <v>1.8652915884207499</v>
      </c>
      <c r="Z36" s="34">
        <v>1.86011006334619</v>
      </c>
      <c r="AA36" s="34">
        <v>1.8605748804591999</v>
      </c>
      <c r="AB36" s="33">
        <v>43.066337169271399</v>
      </c>
      <c r="AC36" s="33">
        <v>42.969694209605002</v>
      </c>
      <c r="AD36" s="33">
        <v>42.965154072726598</v>
      </c>
      <c r="AE36" s="15">
        <v>5.7363686212761203E-3</v>
      </c>
      <c r="AF36" s="15">
        <v>3.4897982306035598E-3</v>
      </c>
      <c r="AG36" s="15">
        <v>3.3841336027268E-3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2.2651261339626198E-3</v>
      </c>
      <c r="AT36" s="12"/>
      <c r="AU36">
        <f t="shared" si="10"/>
        <v>1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2.2171444341479666E-3</v>
      </c>
      <c r="BE36" s="29">
        <f t="shared" si="22"/>
        <v>0</v>
      </c>
      <c r="BF36" s="29">
        <f t="shared" si="23"/>
        <v>4.4822705681105864E-3</v>
      </c>
      <c r="BH36" s="29"/>
    </row>
    <row r="37" spans="1:124" x14ac:dyDescent="0.25">
      <c r="A37" s="1">
        <v>46077</v>
      </c>
      <c r="B37" s="33">
        <v>22.99</v>
      </c>
      <c r="C37" s="33">
        <v>42.74</v>
      </c>
      <c r="D37" s="15">
        <v>-2.6064306675674699E-3</v>
      </c>
      <c r="E37" s="15">
        <v>-1.8700332705351499E-3</v>
      </c>
      <c r="F37" s="33">
        <v>0</v>
      </c>
      <c r="G37" s="33">
        <v>3.8260000000000002E-2</v>
      </c>
      <c r="H37" s="33">
        <v>0</v>
      </c>
      <c r="I37" s="33">
        <v>0</v>
      </c>
      <c r="J37" s="33">
        <v>3.8260000000000002E-2</v>
      </c>
      <c r="K37" s="33">
        <v>0</v>
      </c>
      <c r="L37" s="33">
        <v>23.02826</v>
      </c>
      <c r="M37" s="33">
        <v>42.74</v>
      </c>
      <c r="N37" s="34">
        <v>1.8590691605045599</v>
      </c>
      <c r="O37" s="34">
        <v>1.8789764613078801</v>
      </c>
      <c r="P37" s="34">
        <v>1.8620800449642601</v>
      </c>
      <c r="Q37" s="34">
        <v>1.8628991682015199</v>
      </c>
      <c r="R37" s="33">
        <v>43.197668845468201</v>
      </c>
      <c r="S37" s="33">
        <v>42.835145770303001</v>
      </c>
      <c r="T37" s="33">
        <v>42.828285327194102</v>
      </c>
      <c r="U37" s="15">
        <v>1.06512819926086E-2</v>
      </c>
      <c r="V37" s="15">
        <v>2.2236785845362599E-3</v>
      </c>
      <c r="W37" s="15">
        <v>2.06350654763208E-3</v>
      </c>
      <c r="X37" s="34">
        <v>1.8559804344748501</v>
      </c>
      <c r="Y37" s="34">
        <v>1.8652915884207499</v>
      </c>
      <c r="Z37" s="34">
        <v>1.8589864235523601</v>
      </c>
      <c r="AA37" s="34">
        <v>1.8604102897322601</v>
      </c>
      <c r="AB37" s="33">
        <v>42.9544196739661</v>
      </c>
      <c r="AC37" s="33">
        <v>42.835098167352498</v>
      </c>
      <c r="AD37" s="33">
        <v>42.845802096683499</v>
      </c>
      <c r="AE37" s="15">
        <v>5.0042960150116699E-3</v>
      </c>
      <c r="AF37" s="15">
        <v>2.2225672780138198E-3</v>
      </c>
      <c r="AG37" s="15">
        <v>2.4724229483816299E-3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2.2651261339626198E-3</v>
      </c>
      <c r="AT37" s="12"/>
      <c r="AU37">
        <f t="shared" si="10"/>
        <v>1</v>
      </c>
      <c r="AV37">
        <f t="shared" si="11"/>
        <v>0</v>
      </c>
      <c r="AW37">
        <f t="shared" si="18"/>
        <v>1</v>
      </c>
      <c r="AX37">
        <f t="shared" si="5"/>
        <v>1</v>
      </c>
      <c r="AY37">
        <f t="shared" si="19"/>
        <v>1</v>
      </c>
      <c r="AZ37" s="28">
        <f t="shared" si="12"/>
        <v>2.6064306675674699E-3</v>
      </c>
      <c r="BA37" s="28">
        <f t="shared" si="13"/>
        <v>-1.8700332705351499E-3</v>
      </c>
      <c r="BB37" s="28">
        <f t="shared" si="20"/>
        <v>7.3639739703231996E-4</v>
      </c>
      <c r="BC37" s="29">
        <f t="shared" si="21"/>
        <v>2.9535418311802866E-3</v>
      </c>
      <c r="BE37" s="29">
        <f t="shared" si="22"/>
        <v>7.3639739703231996E-4</v>
      </c>
      <c r="BF37" s="29">
        <f t="shared" si="23"/>
        <v>5.2186679651429063E-3</v>
      </c>
      <c r="BH37" s="29"/>
    </row>
    <row r="38" spans="1:124" x14ac:dyDescent="0.25">
      <c r="A38" s="1">
        <v>46078</v>
      </c>
      <c r="B38" s="33">
        <v>22.98</v>
      </c>
      <c r="C38" s="33">
        <v>42.81</v>
      </c>
      <c r="D38" s="15">
        <v>-4.3506635448050898E-4</v>
      </c>
      <c r="E38" s="15">
        <v>1.6364702658532E-3</v>
      </c>
      <c r="F38" s="33">
        <v>0</v>
      </c>
      <c r="G38" s="33">
        <v>3.8260000000000002E-2</v>
      </c>
      <c r="H38" s="33">
        <v>0</v>
      </c>
      <c r="I38" s="33">
        <v>0</v>
      </c>
      <c r="J38" s="33">
        <v>3.8260000000000002E-2</v>
      </c>
      <c r="K38" s="33">
        <v>0</v>
      </c>
      <c r="L38" s="33">
        <v>23.018260000000001</v>
      </c>
      <c r="M38" s="33">
        <v>42.81</v>
      </c>
      <c r="N38" s="34">
        <v>1.8629242819843299</v>
      </c>
      <c r="O38" s="34">
        <v>1.8789764613078801</v>
      </c>
      <c r="P38" s="34">
        <v>1.8617610470833199</v>
      </c>
      <c r="Q38" s="34">
        <v>1.8629247225785099</v>
      </c>
      <c r="R38" s="33">
        <v>43.178879080855097</v>
      </c>
      <c r="S38" s="33">
        <v>42.7905994332787</v>
      </c>
      <c r="T38" s="33">
        <v>42.809422885270997</v>
      </c>
      <c r="U38" s="15">
        <v>8.5797453722750196E-3</v>
      </c>
      <c r="V38" s="15">
        <v>-4.5328110274725898E-4</v>
      </c>
      <c r="W38" s="15">
        <v>-1.34809301336635E-5</v>
      </c>
      <c r="X38" s="34">
        <v>1.8598278062720599</v>
      </c>
      <c r="Y38" s="34">
        <v>1.8652915884207499</v>
      </c>
      <c r="Z38" s="34">
        <v>1.8586686311278899</v>
      </c>
      <c r="AA38" s="34">
        <v>1.86028102032364</v>
      </c>
      <c r="AB38" s="33">
        <v>42.935766758081897</v>
      </c>
      <c r="AC38" s="33">
        <v>42.790632833798398</v>
      </c>
      <c r="AD38" s="33">
        <v>42.823407755732703</v>
      </c>
      <c r="AE38" s="15">
        <v>2.9334823869582999E-3</v>
      </c>
      <c r="AF38" s="15">
        <v>-4.5250054563515202E-4</v>
      </c>
      <c r="AG38" s="15">
        <v>3.1314311070068901E-4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2.2651261339626198E-3</v>
      </c>
      <c r="AT38" s="12"/>
      <c r="AU38">
        <f t="shared" si="10"/>
        <v>0</v>
      </c>
      <c r="AV38">
        <f t="shared" si="11"/>
        <v>0</v>
      </c>
      <c r="AW38">
        <f t="shared" si="18"/>
        <v>1</v>
      </c>
      <c r="AX38">
        <f t="shared" si="5"/>
        <v>1</v>
      </c>
      <c r="AY38">
        <f t="shared" si="19"/>
        <v>1</v>
      </c>
      <c r="AZ38" s="28">
        <f t="shared" si="12"/>
        <v>4.3506635448050898E-4</v>
      </c>
      <c r="BA38" s="28">
        <f t="shared" si="13"/>
        <v>1.6364702658532E-3</v>
      </c>
      <c r="BB38" s="28">
        <f t="shared" si="20"/>
        <v>2.071536620333709E-3</v>
      </c>
      <c r="BC38" s="29">
        <f t="shared" si="21"/>
        <v>5.0250784515139951E-3</v>
      </c>
      <c r="BE38" s="29">
        <f t="shared" si="22"/>
        <v>2.071536620333709E-3</v>
      </c>
      <c r="BF38" s="29">
        <f t="shared" si="23"/>
        <v>7.2902045854766149E-3</v>
      </c>
      <c r="BH38" s="29"/>
    </row>
    <row r="39" spans="1:124" x14ac:dyDescent="0.25">
      <c r="A39" s="1">
        <v>46079</v>
      </c>
      <c r="B39" s="33">
        <v>23.03</v>
      </c>
      <c r="C39" s="33">
        <v>42.86</v>
      </c>
      <c r="D39" s="15">
        <v>2.1734414119842301E-3</v>
      </c>
      <c r="E39" s="15">
        <v>1.16726988857624E-3</v>
      </c>
      <c r="F39" s="33">
        <v>0</v>
      </c>
      <c r="G39" s="33">
        <v>3.8260000000000002E-2</v>
      </c>
      <c r="H39" s="33">
        <v>0</v>
      </c>
      <c r="I39" s="33">
        <v>0</v>
      </c>
      <c r="J39" s="33">
        <v>3.8260000000000002E-2</v>
      </c>
      <c r="K39" s="33">
        <v>0</v>
      </c>
      <c r="L39" s="33">
        <v>23.068259999999999</v>
      </c>
      <c r="M39" s="33">
        <v>42.86</v>
      </c>
      <c r="N39" s="34">
        <v>1.8610508033000399</v>
      </c>
      <c r="O39" s="34">
        <v>1.8789764613078801</v>
      </c>
      <c r="P39" s="34">
        <v>1.8612749214925599</v>
      </c>
      <c r="Q39" s="34">
        <v>1.86304555330463</v>
      </c>
      <c r="R39" s="33">
        <v>43.272827903920501</v>
      </c>
      <c r="S39" s="33">
        <v>42.876356914328902</v>
      </c>
      <c r="T39" s="33">
        <v>42.903156360983203</v>
      </c>
      <c r="U39" s="15">
        <v>9.5859168956830901E-3</v>
      </c>
      <c r="V39" s="15">
        <v>3.81563087493768E-4</v>
      </c>
      <c r="W39" s="15">
        <v>1.00640803013887E-3</v>
      </c>
      <c r="X39" s="34">
        <v>1.8579641464072201</v>
      </c>
      <c r="Y39" s="34">
        <v>1.8652915884207499</v>
      </c>
      <c r="Z39" s="34">
        <v>1.8581841188319299</v>
      </c>
      <c r="AA39" s="34">
        <v>1.8602475182051199</v>
      </c>
      <c r="AB39" s="33">
        <v>43.029031337503</v>
      </c>
      <c r="AC39" s="33">
        <v>42.876251236702203</v>
      </c>
      <c r="AD39" s="33">
        <v>42.913446249891201</v>
      </c>
      <c r="AE39" s="15">
        <v>3.9360452224582202E-3</v>
      </c>
      <c r="AF39" s="15">
        <v>3.7909837816522599E-4</v>
      </c>
      <c r="AG39" s="15">
        <v>1.24621917726474E-3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2.2651261339626198E-3</v>
      </c>
      <c r="AT39" s="12"/>
      <c r="AU39">
        <f t="shared" si="10"/>
        <v>0</v>
      </c>
      <c r="AV39">
        <f t="shared" si="11"/>
        <v>0</v>
      </c>
      <c r="AW39">
        <f t="shared" si="18"/>
        <v>1</v>
      </c>
      <c r="AX39">
        <f t="shared" si="5"/>
        <v>1</v>
      </c>
      <c r="AY39">
        <f t="shared" si="19"/>
        <v>1</v>
      </c>
      <c r="AZ39" s="28">
        <f t="shared" si="12"/>
        <v>-2.1734414119842301E-3</v>
      </c>
      <c r="BA39" s="28">
        <f t="shared" si="13"/>
        <v>1.16726988857624E-3</v>
      </c>
      <c r="BB39" s="28">
        <f t="shared" si="20"/>
        <v>-1.0061715234079901E-3</v>
      </c>
      <c r="BC39" s="29">
        <f t="shared" si="21"/>
        <v>4.0189069281060053E-3</v>
      </c>
      <c r="BE39" s="29">
        <f t="shared" si="22"/>
        <v>-1.0061715234079901E-3</v>
      </c>
      <c r="BF39" s="29">
        <f t="shared" si="23"/>
        <v>6.284033062068625E-3</v>
      </c>
      <c r="BH39" s="29"/>
    </row>
    <row r="40" spans="1:124" x14ac:dyDescent="0.25">
      <c r="A40" s="1">
        <v>46080</v>
      </c>
      <c r="B40" s="33">
        <v>23.03</v>
      </c>
      <c r="C40" s="33">
        <v>42.99</v>
      </c>
      <c r="D40" s="15">
        <v>0</v>
      </c>
      <c r="E40" s="15">
        <v>3.02854046275921E-3</v>
      </c>
      <c r="F40" s="33">
        <v>0</v>
      </c>
      <c r="G40" s="33">
        <v>3.8260000000000002E-2</v>
      </c>
      <c r="H40" s="33">
        <v>0</v>
      </c>
      <c r="I40" s="33">
        <v>0</v>
      </c>
      <c r="J40" s="33">
        <v>3.8260000000000002E-2</v>
      </c>
      <c r="K40" s="33">
        <v>0</v>
      </c>
      <c r="L40" s="33">
        <v>23.068259999999999</v>
      </c>
      <c r="M40" s="33">
        <v>42.99</v>
      </c>
      <c r="N40" s="34">
        <v>1.8666956144159701</v>
      </c>
      <c r="O40" s="34">
        <v>1.8789764613078801</v>
      </c>
      <c r="P40" s="34">
        <v>1.86183337182304</v>
      </c>
      <c r="Q40" s="34">
        <v>1.8632093901367801</v>
      </c>
      <c r="R40" s="33">
        <v>43.272827903920501</v>
      </c>
      <c r="S40" s="33">
        <v>42.865161441973598</v>
      </c>
      <c r="T40" s="33">
        <v>42.905939092605699</v>
      </c>
      <c r="U40" s="15">
        <v>6.5573764329237196E-3</v>
      </c>
      <c r="V40" s="15">
        <v>-2.9081220956644598E-3</v>
      </c>
      <c r="W40" s="15">
        <v>-1.95727376912555E-3</v>
      </c>
      <c r="X40" s="34">
        <v>1.86359959528807</v>
      </c>
      <c r="Y40" s="34">
        <v>1.8652915884207499</v>
      </c>
      <c r="Z40" s="34">
        <v>1.85874150918958</v>
      </c>
      <c r="AA40" s="34">
        <v>1.86025655408088</v>
      </c>
      <c r="AB40" s="33">
        <v>43.029031337503</v>
      </c>
      <c r="AC40" s="33">
        <v>42.865074381086004</v>
      </c>
      <c r="AD40" s="33">
        <v>42.912673414310497</v>
      </c>
      <c r="AE40" s="15">
        <v>9.0750475969873898E-4</v>
      </c>
      <c r="AF40" s="15">
        <v>-2.9101531384289601E-3</v>
      </c>
      <c r="AG40" s="15">
        <v>-1.8003306184045499E-3</v>
      </c>
      <c r="AI40" s="12"/>
      <c r="AJ40">
        <f t="shared" si="6"/>
        <v>0</v>
      </c>
      <c r="AK40">
        <f t="shared" si="7"/>
        <v>0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2.2651261339626198E-3</v>
      </c>
      <c r="AT40" s="12"/>
      <c r="AU40">
        <f t="shared" si="10"/>
        <v>0</v>
      </c>
      <c r="AV40">
        <f t="shared" si="11"/>
        <v>1</v>
      </c>
      <c r="AW40">
        <f t="shared" si="18"/>
        <v>1</v>
      </c>
      <c r="AX40">
        <f t="shared" si="5"/>
        <v>0</v>
      </c>
      <c r="AY40">
        <f t="shared" si="19"/>
        <v>1</v>
      </c>
      <c r="AZ40" s="28">
        <f t="shared" si="12"/>
        <v>0</v>
      </c>
      <c r="BA40" s="28">
        <f t="shared" si="13"/>
        <v>3.02854046275921E-3</v>
      </c>
      <c r="BB40" s="28">
        <f t="shared" si="20"/>
        <v>3.02854046275921E-3</v>
      </c>
      <c r="BC40" s="29">
        <f t="shared" si="21"/>
        <v>7.0474473908652153E-3</v>
      </c>
      <c r="BE40" s="29">
        <f t="shared" si="22"/>
        <v>3.02854046275921E-3</v>
      </c>
      <c r="BF40" s="29">
        <f t="shared" si="23"/>
        <v>9.312573524827835E-3</v>
      </c>
      <c r="BH40" s="29"/>
    </row>
    <row r="41" spans="1:124" x14ac:dyDescent="0.25">
      <c r="A41" s="1">
        <v>46083</v>
      </c>
      <c r="B41" s="33">
        <v>22.72</v>
      </c>
      <c r="C41" s="33">
        <v>42.49</v>
      </c>
      <c r="D41" s="15">
        <v>-1.35521199796432E-2</v>
      </c>
      <c r="E41" s="15">
        <v>-1.16987763814699E-2</v>
      </c>
      <c r="F41" s="33">
        <v>4.0980000000000003E-2</v>
      </c>
      <c r="G41" s="33">
        <v>7.9240000000000005E-2</v>
      </c>
      <c r="H41" s="33">
        <v>0</v>
      </c>
      <c r="I41" s="33">
        <v>0</v>
      </c>
      <c r="J41" s="33">
        <v>7.9240000000000005E-2</v>
      </c>
      <c r="K41" s="33">
        <v>0</v>
      </c>
      <c r="L41" s="33">
        <v>22.799239999999902</v>
      </c>
      <c r="M41" s="33">
        <v>42.49</v>
      </c>
      <c r="N41" s="34">
        <v>1.8701584507042199</v>
      </c>
      <c r="O41" s="34">
        <v>1.8789764613078801</v>
      </c>
      <c r="P41" s="34">
        <v>1.86280069003038</v>
      </c>
      <c r="Q41" s="34">
        <v>1.8638758065423899</v>
      </c>
      <c r="R41" s="33">
        <v>42.690345200914997</v>
      </c>
      <c r="S41" s="33">
        <v>42.300854207819597</v>
      </c>
      <c r="T41" s="33">
        <v>42.332117343907697</v>
      </c>
      <c r="U41" s="15">
        <v>4.7040328347503499E-3</v>
      </c>
      <c r="V41" s="15">
        <v>-4.46147424009597E-3</v>
      </c>
      <c r="W41" s="15">
        <v>-3.7226809084444099E-3</v>
      </c>
      <c r="X41" s="34">
        <v>1.86365861318184</v>
      </c>
      <c r="Y41" s="34">
        <v>1.8652915884207499</v>
      </c>
      <c r="Z41" s="34">
        <v>1.8593667481598899</v>
      </c>
      <c r="AA41" s="34">
        <v>1.8605979786103699</v>
      </c>
      <c r="AB41" s="33">
        <v>42.527230594385998</v>
      </c>
      <c r="AC41" s="33">
        <v>42.3778937659756</v>
      </c>
      <c r="AD41" s="33">
        <v>42.412435638062902</v>
      </c>
      <c r="AE41" s="15">
        <v>8.7583649821760395E-4</v>
      </c>
      <c r="AF41" s="15">
        <v>-2.64190129517404E-3</v>
      </c>
      <c r="AG41" s="15">
        <v>-1.82714154035292E-3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2.2651261339626198E-3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7.0474473908652153E-3</v>
      </c>
      <c r="BE41" s="29">
        <f t="shared" si="22"/>
        <v>0</v>
      </c>
      <c r="BF41" s="29">
        <f t="shared" si="23"/>
        <v>9.312573524827835E-3</v>
      </c>
      <c r="BH41" s="29"/>
    </row>
    <row r="42" spans="1:124" x14ac:dyDescent="0.25">
      <c r="A42" s="1">
        <v>46084</v>
      </c>
      <c r="B42" s="33">
        <v>22.49</v>
      </c>
      <c r="C42" s="33">
        <v>42.13</v>
      </c>
      <c r="D42" s="15">
        <v>-1.01748278817263E-2</v>
      </c>
      <c r="E42" s="15">
        <v>-8.5086781357950302E-3</v>
      </c>
      <c r="F42" s="33">
        <v>0</v>
      </c>
      <c r="G42" s="33">
        <v>7.9240000000000005E-2</v>
      </c>
      <c r="H42" s="33">
        <v>0</v>
      </c>
      <c r="I42" s="33">
        <v>0</v>
      </c>
      <c r="J42" s="33">
        <v>7.9240000000000005E-2</v>
      </c>
      <c r="K42" s="33">
        <v>0</v>
      </c>
      <c r="L42" s="33">
        <v>22.569239999999901</v>
      </c>
      <c r="M42" s="33">
        <v>42.13</v>
      </c>
      <c r="N42" s="34">
        <v>1.8732770120053299</v>
      </c>
      <c r="O42" s="34">
        <v>1.8789764613078801</v>
      </c>
      <c r="P42" s="34">
        <v>1.86386918013425</v>
      </c>
      <c r="Q42" s="34">
        <v>1.8645030771514799</v>
      </c>
      <c r="R42" s="33">
        <v>42.258180614814201</v>
      </c>
      <c r="S42" s="33">
        <v>41.894387518783297</v>
      </c>
      <c r="T42" s="33">
        <v>41.918566889138503</v>
      </c>
      <c r="U42" s="15">
        <v>3.0378830888193298E-3</v>
      </c>
      <c r="V42" s="15">
        <v>-5.6082074672381696E-3</v>
      </c>
      <c r="W42" s="15">
        <v>-5.0312233674215303E-3</v>
      </c>
      <c r="X42" s="34">
        <v>1.8666999863531</v>
      </c>
      <c r="Y42" s="34">
        <v>1.8652915884207499</v>
      </c>
      <c r="Z42" s="34">
        <v>1.8600859222848301</v>
      </c>
      <c r="AA42" s="34">
        <v>1.8610530126337199</v>
      </c>
      <c r="AB42" s="33">
        <v>42.098213529049197</v>
      </c>
      <c r="AC42" s="33">
        <v>41.964494387240201</v>
      </c>
      <c r="AD42" s="33">
        <v>41.992282322772397</v>
      </c>
      <c r="AE42" s="15">
        <v>-7.5477019226528799E-4</v>
      </c>
      <c r="AF42" s="15">
        <v>-3.9361869681257301E-3</v>
      </c>
      <c r="AG42" s="15">
        <v>-3.2742288121360599E-3</v>
      </c>
      <c r="AI42" s="12"/>
      <c r="AJ42">
        <f t="shared" si="6"/>
        <v>1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2.2651261339626198E-3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7.0474473908652153E-3</v>
      </c>
      <c r="BE42" s="29">
        <f t="shared" si="22"/>
        <v>0</v>
      </c>
      <c r="BF42" s="29">
        <f t="shared" si="23"/>
        <v>9.312573524827835E-3</v>
      </c>
      <c r="BH42" s="29"/>
    </row>
    <row r="43" spans="1:124" x14ac:dyDescent="0.25">
      <c r="A43" s="1">
        <v>46085</v>
      </c>
      <c r="B43" s="33">
        <v>22.57</v>
      </c>
      <c r="C43" s="33">
        <v>42.22</v>
      </c>
      <c r="D43" s="15">
        <v>3.5508248582200902E-3</v>
      </c>
      <c r="E43" s="15">
        <v>2.1339664292492999E-3</v>
      </c>
      <c r="F43" s="33">
        <v>0</v>
      </c>
      <c r="G43" s="33">
        <v>7.9240000000000005E-2</v>
      </c>
      <c r="H43" s="33">
        <v>0</v>
      </c>
      <c r="I43" s="33">
        <v>0</v>
      </c>
      <c r="J43" s="33">
        <v>7.9240000000000005E-2</v>
      </c>
      <c r="K43" s="33">
        <v>0</v>
      </c>
      <c r="L43" s="33">
        <v>22.649239999999999</v>
      </c>
      <c r="M43" s="33">
        <v>42.22</v>
      </c>
      <c r="N43" s="34">
        <v>1.8706247230837301</v>
      </c>
      <c r="O43" s="34">
        <v>1.8789764613078801</v>
      </c>
      <c r="P43" s="34">
        <v>1.8648435582428899</v>
      </c>
      <c r="Q43" s="34">
        <v>1.86468629568452</v>
      </c>
      <c r="R43" s="33">
        <v>42.4084987317189</v>
      </c>
      <c r="S43" s="33">
        <v>42.067527395630101</v>
      </c>
      <c r="T43" s="33">
        <v>42.0818344513089</v>
      </c>
      <c r="U43" s="15">
        <v>4.4547415177900304E-3</v>
      </c>
      <c r="V43" s="15">
        <v>-3.6179201216336898E-3</v>
      </c>
      <c r="W43" s="15">
        <v>-3.2778805657152602E-3</v>
      </c>
      <c r="X43" s="34">
        <v>1.8640802075478</v>
      </c>
      <c r="Y43" s="34">
        <v>1.8652915884207499</v>
      </c>
      <c r="Z43" s="34">
        <v>1.86071583011334</v>
      </c>
      <c r="AA43" s="34">
        <v>1.8610660752429</v>
      </c>
      <c r="AB43" s="33">
        <v>42.247436856122903</v>
      </c>
      <c r="AC43" s="33">
        <v>42.129532474450599</v>
      </c>
      <c r="AD43" s="33">
        <v>42.151436335864197</v>
      </c>
      <c r="AE43" s="15">
        <v>6.4964341547648101E-4</v>
      </c>
      <c r="AF43" s="15">
        <v>-2.1450637030097901E-3</v>
      </c>
      <c r="AG43" s="15">
        <v>-1.62528178270263E-3</v>
      </c>
      <c r="AI43" s="12"/>
      <c r="AJ43">
        <f t="shared" si="6"/>
        <v>0</v>
      </c>
      <c r="AK43">
        <f t="shared" si="7"/>
        <v>0</v>
      </c>
      <c r="AL43">
        <f t="shared" si="14"/>
        <v>1</v>
      </c>
      <c r="AM43">
        <f t="shared" si="4"/>
        <v>1</v>
      </c>
      <c r="AN43">
        <f t="shared" si="15"/>
        <v>1</v>
      </c>
      <c r="AO43" s="28">
        <f t="shared" si="8"/>
        <v>3.5508248582200902E-3</v>
      </c>
      <c r="AP43" s="28">
        <f t="shared" si="9"/>
        <v>-2.1339664292492999E-3</v>
      </c>
      <c r="AQ43" s="28">
        <f t="shared" si="16"/>
        <v>1.4168584289707903E-3</v>
      </c>
      <c r="AR43" s="29">
        <f t="shared" si="17"/>
        <v>3.6819845629334101E-3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7.0474473908652153E-3</v>
      </c>
      <c r="BE43" s="29">
        <f t="shared" si="22"/>
        <v>1.4168584289707903E-3</v>
      </c>
      <c r="BF43" s="29">
        <f t="shared" si="23"/>
        <v>1.0729431953798624E-2</v>
      </c>
      <c r="BH43" s="29"/>
    </row>
    <row r="44" spans="1:124" x14ac:dyDescent="0.25">
      <c r="A44" s="1">
        <v>46086</v>
      </c>
      <c r="B44" s="33">
        <v>22.4</v>
      </c>
      <c r="C44" s="33">
        <v>41.88</v>
      </c>
      <c r="D44" s="15">
        <v>-7.5606319684501898E-3</v>
      </c>
      <c r="E44" s="15">
        <v>-8.0856564178383699E-3</v>
      </c>
      <c r="F44" s="33">
        <v>0</v>
      </c>
      <c r="G44" s="33">
        <v>7.9240000000000005E-2</v>
      </c>
      <c r="H44" s="33">
        <v>0</v>
      </c>
      <c r="I44" s="33">
        <v>0</v>
      </c>
      <c r="J44" s="33">
        <v>7.9240000000000005E-2</v>
      </c>
      <c r="K44" s="33">
        <v>0</v>
      </c>
      <c r="L44" s="33">
        <v>22.479239999999901</v>
      </c>
      <c r="M44" s="33">
        <v>41.88</v>
      </c>
      <c r="N44" s="34">
        <v>1.8696428571428501</v>
      </c>
      <c r="O44" s="34">
        <v>1.8789764613078801</v>
      </c>
      <c r="P44" s="34">
        <v>1.86563855948946</v>
      </c>
      <c r="Q44" s="34">
        <v>1.8648159650434299</v>
      </c>
      <c r="R44" s="33">
        <v>42.089072733296497</v>
      </c>
      <c r="S44" s="33">
        <v>41.772495704640697</v>
      </c>
      <c r="T44" s="33">
        <v>41.768973023333203</v>
      </c>
      <c r="U44" s="15">
        <v>4.9797659671782001E-3</v>
      </c>
      <c r="V44" s="15">
        <v>-2.57026054362007E-3</v>
      </c>
      <c r="W44" s="15">
        <v>-2.65459426107065E-3</v>
      </c>
      <c r="X44" s="34">
        <v>1.8630523095976499</v>
      </c>
      <c r="Y44" s="34">
        <v>1.8652915884207499</v>
      </c>
      <c r="Z44" s="34">
        <v>1.8611620282021499</v>
      </c>
      <c r="AA44" s="34">
        <v>1.8610237101554901</v>
      </c>
      <c r="AB44" s="33">
        <v>41.930337286091401</v>
      </c>
      <c r="AC44" s="33">
        <v>41.827477716917002</v>
      </c>
      <c r="AD44" s="33">
        <v>41.835350961243201</v>
      </c>
      <c r="AE44" s="15">
        <v>1.20121917591924E-3</v>
      </c>
      <c r="AF44" s="15">
        <v>-1.2549007904196401E-3</v>
      </c>
      <c r="AG44" s="15">
        <v>-1.06668711240202E-3</v>
      </c>
      <c r="AI44" s="12"/>
      <c r="AJ44">
        <f t="shared" si="6"/>
        <v>0</v>
      </c>
      <c r="AK44">
        <f t="shared" si="7"/>
        <v>0</v>
      </c>
      <c r="AL44">
        <f t="shared" si="14"/>
        <v>1</v>
      </c>
      <c r="AM44">
        <f t="shared" si="4"/>
        <v>1</v>
      </c>
      <c r="AN44">
        <f t="shared" si="15"/>
        <v>1</v>
      </c>
      <c r="AO44" s="28">
        <f t="shared" si="8"/>
        <v>-7.5606319684501898E-3</v>
      </c>
      <c r="AP44" s="28">
        <f t="shared" si="9"/>
        <v>8.0856564178383699E-3</v>
      </c>
      <c r="AQ44" s="28">
        <f t="shared" si="16"/>
        <v>5.2502444938818012E-4</v>
      </c>
      <c r="AR44" s="29">
        <f t="shared" si="17"/>
        <v>4.2070090123215902E-3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7.0474473908652153E-3</v>
      </c>
      <c r="BE44" s="29">
        <f t="shared" si="22"/>
        <v>5.2502444938818012E-4</v>
      </c>
      <c r="BF44" s="29">
        <f t="shared" si="23"/>
        <v>1.1254456403186805E-2</v>
      </c>
      <c r="BH44" s="29"/>
    </row>
    <row r="45" spans="1:124" x14ac:dyDescent="0.25">
      <c r="A45" s="1">
        <v>46087</v>
      </c>
      <c r="B45" s="33">
        <v>22.36</v>
      </c>
      <c r="C45" s="33">
        <v>41.83</v>
      </c>
      <c r="D45" s="15">
        <v>-1.78731057409575E-3</v>
      </c>
      <c r="E45" s="15">
        <v>-1.19460054822917E-3</v>
      </c>
      <c r="F45" s="33">
        <v>0</v>
      </c>
      <c r="G45" s="33">
        <v>7.9240000000000005E-2</v>
      </c>
      <c r="H45" s="33">
        <v>0</v>
      </c>
      <c r="I45" s="33">
        <v>0</v>
      </c>
      <c r="J45" s="33">
        <v>7.9240000000000005E-2</v>
      </c>
      <c r="K45" s="33">
        <v>0</v>
      </c>
      <c r="L45" s="33">
        <v>22.439239999999899</v>
      </c>
      <c r="M45" s="33">
        <v>41.83</v>
      </c>
      <c r="N45" s="34">
        <v>1.87075134168157</v>
      </c>
      <c r="O45" s="34">
        <v>1.8789764613078801</v>
      </c>
      <c r="P45" s="34">
        <v>1.8661894895581801</v>
      </c>
      <c r="Q45" s="34">
        <v>1.86519982188016</v>
      </c>
      <c r="R45" s="33">
        <v>42.013913674844197</v>
      </c>
      <c r="S45" s="33">
        <v>41.715678190184398</v>
      </c>
      <c r="T45" s="33">
        <v>41.697284978371101</v>
      </c>
      <c r="U45" s="15">
        <v>4.3870559413115703E-3</v>
      </c>
      <c r="V45" s="15">
        <v>-2.7367515267370402E-3</v>
      </c>
      <c r="W45" s="15">
        <v>-3.17776720134425E-3</v>
      </c>
      <c r="X45" s="34">
        <v>1.8641451314750399</v>
      </c>
      <c r="Y45" s="34">
        <v>1.8652915884207499</v>
      </c>
      <c r="Z45" s="34">
        <v>1.8613630449855401</v>
      </c>
      <c r="AA45" s="34">
        <v>1.8612344140836701</v>
      </c>
      <c r="AB45" s="33">
        <v>41.855725622554502</v>
      </c>
      <c r="AC45" s="33">
        <v>41.763061429714803</v>
      </c>
      <c r="AD45" s="33">
        <v>41.759957677869501</v>
      </c>
      <c r="AE45" s="15">
        <v>6.1481508760412003E-4</v>
      </c>
      <c r="AF45" s="15">
        <v>-1.6015344682422301E-3</v>
      </c>
      <c r="AG45" s="15">
        <v>-1.6758553412152999E-3</v>
      </c>
      <c r="AI45" s="12"/>
      <c r="AJ45">
        <f t="shared" si="6"/>
        <v>0</v>
      </c>
      <c r="AK45">
        <f t="shared" si="7"/>
        <v>0</v>
      </c>
      <c r="AL45">
        <f t="shared" si="14"/>
        <v>1</v>
      </c>
      <c r="AM45">
        <f t="shared" si="4"/>
        <v>1</v>
      </c>
      <c r="AN45">
        <f t="shared" si="15"/>
        <v>1</v>
      </c>
      <c r="AO45" s="28">
        <f t="shared" si="8"/>
        <v>-1.78731057409575E-3</v>
      </c>
      <c r="AP45" s="28">
        <f t="shared" si="9"/>
        <v>1.19460054822917E-3</v>
      </c>
      <c r="AQ45" s="28">
        <f t="shared" si="16"/>
        <v>-5.9271002586657991E-4</v>
      </c>
      <c r="AR45" s="29">
        <f t="shared" si="17"/>
        <v>3.6142989864550103E-3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7.0474473908652153E-3</v>
      </c>
      <c r="BE45" s="29">
        <f t="shared" si="22"/>
        <v>-5.9271002586657991E-4</v>
      </c>
      <c r="BF45" s="29">
        <f t="shared" si="23"/>
        <v>1.0661746377320225E-2</v>
      </c>
      <c r="BH45" s="29"/>
    </row>
    <row r="46" spans="1:124" x14ac:dyDescent="0.25">
      <c r="A46" s="1">
        <v>46090</v>
      </c>
      <c r="B46" s="33">
        <v>22.41</v>
      </c>
      <c r="C46" s="33">
        <v>41.84</v>
      </c>
      <c r="D46" s="15">
        <v>2.2336395259372E-3</v>
      </c>
      <c r="E46" s="15">
        <v>2.3903430256047499E-4</v>
      </c>
      <c r="F46" s="33">
        <v>0</v>
      </c>
      <c r="G46" s="33">
        <v>7.9240000000000005E-2</v>
      </c>
      <c r="H46" s="33">
        <v>0</v>
      </c>
      <c r="I46" s="33">
        <v>0</v>
      </c>
      <c r="J46" s="33">
        <v>7.9240000000000005E-2</v>
      </c>
      <c r="K46" s="33">
        <v>0</v>
      </c>
      <c r="L46" s="33">
        <v>22.489239999999999</v>
      </c>
      <c r="M46" s="33">
        <v>41.84</v>
      </c>
      <c r="N46" s="34">
        <v>1.8670236501561801</v>
      </c>
      <c r="O46" s="34">
        <v>1.8789764613078801</v>
      </c>
      <c r="P46" s="34">
        <v>1.86712178949788</v>
      </c>
      <c r="Q46" s="34">
        <v>1.8651647610017199</v>
      </c>
      <c r="R46" s="33">
        <v>42.107862497909601</v>
      </c>
      <c r="S46" s="33">
        <v>41.821306460998898</v>
      </c>
      <c r="T46" s="33">
        <v>41.7991280083343</v>
      </c>
      <c r="U46" s="15">
        <v>6.3816611646882503E-3</v>
      </c>
      <c r="V46" s="15">
        <v>-4.4688614373572202E-4</v>
      </c>
      <c r="W46" s="15">
        <v>-9.7734148818329593E-4</v>
      </c>
      <c r="X46" s="34">
        <v>1.8604452618229801</v>
      </c>
      <c r="Y46" s="34">
        <v>1.8652915884207499</v>
      </c>
      <c r="Z46" s="34">
        <v>1.8619453492420599</v>
      </c>
      <c r="AA46" s="34">
        <v>1.8610277062941201</v>
      </c>
      <c r="AB46" s="33">
        <v>41.948990201975597</v>
      </c>
      <c r="AC46" s="33">
        <v>41.8606402458106</v>
      </c>
      <c r="AD46" s="33">
        <v>41.857747434586997</v>
      </c>
      <c r="AE46" s="15">
        <v>2.6015414002129602E-3</v>
      </c>
      <c r="AF46" s="15">
        <v>4.9319207519600398E-4</v>
      </c>
      <c r="AG46" s="15">
        <v>4.24083930500926E-4</v>
      </c>
      <c r="AI46" s="12"/>
      <c r="AJ46">
        <f t="shared" si="6"/>
        <v>0</v>
      </c>
      <c r="AK46">
        <f t="shared" si="7"/>
        <v>1</v>
      </c>
      <c r="AL46">
        <f t="shared" si="14"/>
        <v>1</v>
      </c>
      <c r="AM46">
        <f t="shared" si="4"/>
        <v>1</v>
      </c>
      <c r="AN46">
        <f t="shared" si="15"/>
        <v>1</v>
      </c>
      <c r="AO46" s="28">
        <f t="shared" si="8"/>
        <v>2.2336395259372E-3</v>
      </c>
      <c r="AP46" s="28">
        <f t="shared" si="9"/>
        <v>-2.3903430256047499E-4</v>
      </c>
      <c r="AQ46" s="28">
        <f t="shared" si="16"/>
        <v>1.9946052233767251E-3</v>
      </c>
      <c r="AR46" s="29">
        <f t="shared" si="17"/>
        <v>5.6089042098317349E-3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7.0474473908652153E-3</v>
      </c>
      <c r="BE46" s="29">
        <f t="shared" si="22"/>
        <v>1.9946052233767251E-3</v>
      </c>
      <c r="BF46" s="29">
        <f t="shared" si="23"/>
        <v>1.265635160069695E-2</v>
      </c>
      <c r="BH46" s="29"/>
    </row>
    <row r="47" spans="1:124" x14ac:dyDescent="0.25">
      <c r="A47" s="1">
        <v>46091</v>
      </c>
      <c r="B47" s="33">
        <v>22.39</v>
      </c>
      <c r="C47" s="33">
        <v>41.85</v>
      </c>
      <c r="D47" s="15">
        <v>-8.9285720217210701E-4</v>
      </c>
      <c r="E47" s="15">
        <v>2.3897717881686301E-4</v>
      </c>
      <c r="F47" s="33">
        <v>0</v>
      </c>
      <c r="G47" s="33">
        <v>7.9240000000000005E-2</v>
      </c>
      <c r="H47" s="33">
        <v>0</v>
      </c>
      <c r="I47" s="33">
        <v>0</v>
      </c>
      <c r="J47" s="33">
        <v>7.9240000000000005E-2</v>
      </c>
      <c r="K47" s="33">
        <v>0</v>
      </c>
      <c r="L47" s="33">
        <v>22.469239999999999</v>
      </c>
      <c r="M47" s="33">
        <v>41.85</v>
      </c>
      <c r="N47" s="34">
        <v>1.8691380080393001</v>
      </c>
      <c r="O47" s="34">
        <v>1.8789764613078801</v>
      </c>
      <c r="P47" s="34">
        <v>1.8681286742513501</v>
      </c>
      <c r="Q47" s="34">
        <v>1.8651043596078001</v>
      </c>
      <c r="R47" s="33">
        <v>42.070282968683401</v>
      </c>
      <c r="S47" s="33">
        <v>41.804856866857598</v>
      </c>
      <c r="T47" s="33">
        <v>41.761038998828603</v>
      </c>
      <c r="U47" s="15">
        <v>5.2498267836993198E-3</v>
      </c>
      <c r="V47" s="15">
        <v>-1.0792711676315999E-3</v>
      </c>
      <c r="W47" s="15">
        <v>-2.12797343045936E-3</v>
      </c>
      <c r="X47" s="34">
        <v>1.8625463077522799</v>
      </c>
      <c r="Y47" s="34">
        <v>1.8652915884207499</v>
      </c>
      <c r="Z47" s="34">
        <v>1.8626019365698001</v>
      </c>
      <c r="AA47" s="34">
        <v>1.8607941800610801</v>
      </c>
      <c r="AB47" s="33">
        <v>41.911684370207198</v>
      </c>
      <c r="AC47" s="33">
        <v>41.8364969190037</v>
      </c>
      <c r="AD47" s="33">
        <v>41.815878179372298</v>
      </c>
      <c r="AE47" s="15">
        <v>1.4728543682467701E-3</v>
      </c>
      <c r="AF47" s="15">
        <v>-3.2270632922928199E-4</v>
      </c>
      <c r="AG47" s="15">
        <v>-8.1566878306969998E-4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5.6089042098317349E-3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7.0474473908652153E-3</v>
      </c>
      <c r="BE47" s="29">
        <f t="shared" si="22"/>
        <v>0</v>
      </c>
      <c r="BF47" s="29">
        <f t="shared" si="23"/>
        <v>1.265635160069695E-2</v>
      </c>
      <c r="BH47" s="29"/>
    </row>
    <row r="48" spans="1:124" x14ac:dyDescent="0.25">
      <c r="A48" s="1">
        <v>46092</v>
      </c>
      <c r="B48" s="33">
        <v>22.28</v>
      </c>
      <c r="C48" s="33">
        <v>41.52</v>
      </c>
      <c r="D48" s="15">
        <v>-4.9250155515801102E-3</v>
      </c>
      <c r="E48" s="15">
        <v>-7.9165580778511307E-3</v>
      </c>
      <c r="F48" s="33">
        <v>0</v>
      </c>
      <c r="G48" s="33">
        <v>7.9240000000000005E-2</v>
      </c>
      <c r="H48" s="33">
        <v>0</v>
      </c>
      <c r="I48" s="33">
        <v>0</v>
      </c>
      <c r="J48" s="33">
        <v>7.9240000000000005E-2</v>
      </c>
      <c r="K48" s="33">
        <v>0</v>
      </c>
      <c r="L48" s="33">
        <v>22.35924</v>
      </c>
      <c r="M48" s="33">
        <v>41.52</v>
      </c>
      <c r="N48" s="34">
        <v>1.8635547576301601</v>
      </c>
      <c r="O48" s="34">
        <v>1.8789764613078801</v>
      </c>
      <c r="P48" s="34">
        <v>1.8681917218159401</v>
      </c>
      <c r="Q48" s="34">
        <v>1.8649763844496301</v>
      </c>
      <c r="R48" s="33">
        <v>41.863595557939597</v>
      </c>
      <c r="S48" s="33">
        <v>41.621906862320202</v>
      </c>
      <c r="T48" s="33">
        <v>41.554525132061897</v>
      </c>
      <c r="U48" s="15">
        <v>8.2413693099701504E-3</v>
      </c>
      <c r="V48" s="15">
        <v>2.4513970679504601E-3</v>
      </c>
      <c r="W48" s="15">
        <v>8.3118462596784397E-4</v>
      </c>
      <c r="X48" s="34">
        <v>1.8569504151303799</v>
      </c>
      <c r="Y48" s="34">
        <v>1.8652915884207499</v>
      </c>
      <c r="Z48" s="34">
        <v>1.8623141974556401</v>
      </c>
      <c r="AA48" s="34">
        <v>1.8604914142917599</v>
      </c>
      <c r="AB48" s="33">
        <v>41.706502295480902</v>
      </c>
      <c r="AC48" s="33">
        <v>41.646363724229097</v>
      </c>
      <c r="AD48" s="33">
        <v>41.605943662588999</v>
      </c>
      <c r="AE48" s="15">
        <v>4.4818081385134901E-3</v>
      </c>
      <c r="AF48" s="15">
        <v>3.0388204031507001E-3</v>
      </c>
      <c r="AG48" s="15">
        <v>2.06779470825321E-3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5.6089042098317349E-3</v>
      </c>
      <c r="AT48" s="12"/>
      <c r="AU48">
        <f t="shared" si="10"/>
        <v>1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7.0474473908652153E-3</v>
      </c>
      <c r="BE48" s="29">
        <f t="shared" si="22"/>
        <v>0</v>
      </c>
      <c r="BF48" s="29">
        <f t="shared" si="23"/>
        <v>1.265635160069695E-2</v>
      </c>
      <c r="BH48" s="29"/>
    </row>
    <row r="49" spans="1:60" x14ac:dyDescent="0.25">
      <c r="A49" s="1">
        <v>46093</v>
      </c>
      <c r="B49" s="33">
        <v>22.07</v>
      </c>
      <c r="C49" s="33">
        <v>41.21</v>
      </c>
      <c r="D49" s="15">
        <v>-9.4701947904383202E-3</v>
      </c>
      <c r="E49" s="15">
        <v>-7.4942935069072496E-3</v>
      </c>
      <c r="F49" s="33">
        <v>0</v>
      </c>
      <c r="G49" s="33">
        <v>7.9240000000000005E-2</v>
      </c>
      <c r="H49" s="33">
        <v>0</v>
      </c>
      <c r="I49" s="33">
        <v>0</v>
      </c>
      <c r="J49" s="33">
        <v>7.9240000000000005E-2</v>
      </c>
      <c r="K49" s="33">
        <v>0</v>
      </c>
      <c r="L49" s="33">
        <v>22.149239999999999</v>
      </c>
      <c r="M49" s="33">
        <v>41.21</v>
      </c>
      <c r="N49" s="34">
        <v>1.86724059809696</v>
      </c>
      <c r="O49" s="34">
        <v>1.8789764613078801</v>
      </c>
      <c r="P49" s="34">
        <v>1.8688107012956301</v>
      </c>
      <c r="Q49" s="34">
        <v>1.86504281139409</v>
      </c>
      <c r="R49" s="33">
        <v>41.469010501064901</v>
      </c>
      <c r="S49" s="33">
        <v>41.230991300477797</v>
      </c>
      <c r="T49" s="33">
        <v>41.160028804803297</v>
      </c>
      <c r="U49" s="15">
        <v>6.2654680264392299E-3</v>
      </c>
      <c r="V49" s="15">
        <v>5.0924426308596095E-4</v>
      </c>
      <c r="W49" s="15">
        <v>-1.2133345599676601E-3</v>
      </c>
      <c r="X49" s="34">
        <v>1.86056045263855</v>
      </c>
      <c r="Y49" s="34">
        <v>1.8652915884207499</v>
      </c>
      <c r="Z49" s="34">
        <v>1.86257382807877</v>
      </c>
      <c r="AA49" s="34">
        <v>1.86037897345535</v>
      </c>
      <c r="AB49" s="33">
        <v>41.314791061912501</v>
      </c>
      <c r="AC49" s="33">
        <v>41.248844114852297</v>
      </c>
      <c r="AD49" s="33">
        <v>41.208470853087697</v>
      </c>
      <c r="AE49" s="15">
        <v>2.53962759279386E-3</v>
      </c>
      <c r="AF49" s="15">
        <v>9.4214557923165399E-4</v>
      </c>
      <c r="AG49" s="15">
        <v>-3.7106898407668003E-5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5.6089042098317349E-3</v>
      </c>
      <c r="AT49" s="12"/>
      <c r="AU49">
        <f t="shared" si="10"/>
        <v>0</v>
      </c>
      <c r="AV49">
        <f t="shared" si="11"/>
        <v>1</v>
      </c>
      <c r="AW49">
        <f t="shared" si="18"/>
        <v>1</v>
      </c>
      <c r="AX49">
        <f t="shared" si="5"/>
        <v>1</v>
      </c>
      <c r="AY49">
        <f t="shared" si="19"/>
        <v>1</v>
      </c>
      <c r="AZ49" s="28">
        <f t="shared" si="12"/>
        <v>9.4701947904383202E-3</v>
      </c>
      <c r="BA49" s="28">
        <f t="shared" si="13"/>
        <v>-7.4942935069072496E-3</v>
      </c>
      <c r="BB49" s="28">
        <f t="shared" si="20"/>
        <v>1.9759012835310705E-3</v>
      </c>
      <c r="BC49" s="29">
        <f t="shared" si="21"/>
        <v>9.0233486743962858E-3</v>
      </c>
      <c r="BE49" s="29">
        <f t="shared" si="22"/>
        <v>1.9759012835310705E-3</v>
      </c>
      <c r="BF49" s="29">
        <f t="shared" si="23"/>
        <v>1.4632252884228021E-2</v>
      </c>
      <c r="BH49" s="29"/>
    </row>
    <row r="50" spans="1:60" x14ac:dyDescent="0.25">
      <c r="A50" s="1">
        <v>46094</v>
      </c>
      <c r="B50" s="33">
        <v>21.9</v>
      </c>
      <c r="C50" s="33">
        <v>40.799999999999997</v>
      </c>
      <c r="D50" s="15">
        <v>-7.7325834461899204E-3</v>
      </c>
      <c r="E50" s="15">
        <v>-9.9988639406100692E-3</v>
      </c>
      <c r="F50" s="33">
        <v>0</v>
      </c>
      <c r="G50" s="33">
        <v>7.9240000000000005E-2</v>
      </c>
      <c r="H50" s="33">
        <v>0</v>
      </c>
      <c r="I50" s="33">
        <v>0</v>
      </c>
      <c r="J50" s="33">
        <v>7.9240000000000005E-2</v>
      </c>
      <c r="K50" s="33">
        <v>0</v>
      </c>
      <c r="L50" s="33">
        <v>21.979239999999901</v>
      </c>
      <c r="M50" s="33">
        <v>40.799999999999997</v>
      </c>
      <c r="N50" s="34">
        <v>1.86301369863013</v>
      </c>
      <c r="O50" s="34">
        <v>1.8789764613078801</v>
      </c>
      <c r="P50" s="34">
        <v>1.8684425097170401</v>
      </c>
      <c r="Q50" s="34">
        <v>1.8651379407700399</v>
      </c>
      <c r="R50" s="33">
        <v>41.149584502642597</v>
      </c>
      <c r="S50" s="33">
        <v>40.926954358374303</v>
      </c>
      <c r="T50" s="33">
        <v>40.844437569530697</v>
      </c>
      <c r="U50" s="15">
        <v>8.5317485208593492E-3</v>
      </c>
      <c r="V50" s="15">
        <v>3.1067953403260701E-3</v>
      </c>
      <c r="W50" s="15">
        <v>1.08856341574926E-3</v>
      </c>
      <c r="X50" s="34">
        <v>1.8562971240133801</v>
      </c>
      <c r="Y50" s="34">
        <v>1.8652915884207499</v>
      </c>
      <c r="Z50" s="34">
        <v>1.8618435809513001</v>
      </c>
      <c r="AA50" s="34">
        <v>1.86029254507044</v>
      </c>
      <c r="AB50" s="33">
        <v>40.997691491881</v>
      </c>
      <c r="AC50" s="33">
        <v>40.937957185062103</v>
      </c>
      <c r="AD50" s="33">
        <v>40.889715948528902</v>
      </c>
      <c r="AE50" s="15">
        <v>4.8336786329287902E-3</v>
      </c>
      <c r="AF50" s="15">
        <v>3.3755998023742399E-3</v>
      </c>
      <c r="AG50" s="15">
        <v>2.19650622009821E-3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5.6089042098317349E-3</v>
      </c>
      <c r="AT50" s="12"/>
      <c r="AU50">
        <f t="shared" si="10"/>
        <v>1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9.0233486743962858E-3</v>
      </c>
      <c r="BE50" s="29">
        <f t="shared" si="22"/>
        <v>0</v>
      </c>
      <c r="BF50" s="29">
        <f t="shared" si="23"/>
        <v>1.4632252884228021E-2</v>
      </c>
      <c r="BH50" s="29"/>
    </row>
    <row r="51" spans="1:60" x14ac:dyDescent="0.25">
      <c r="A51" s="1">
        <v>46097</v>
      </c>
      <c r="B51" s="33">
        <v>22.09</v>
      </c>
      <c r="C51" s="33">
        <v>41.24</v>
      </c>
      <c r="D51" s="15">
        <v>8.6383806095707595E-3</v>
      </c>
      <c r="E51" s="15">
        <v>1.07265777386433E-2</v>
      </c>
      <c r="F51" s="33">
        <v>0</v>
      </c>
      <c r="G51" s="33">
        <v>7.9240000000000005E-2</v>
      </c>
      <c r="H51" s="33">
        <v>0</v>
      </c>
      <c r="I51" s="33">
        <v>0</v>
      </c>
      <c r="J51" s="33">
        <v>7.9240000000000005E-2</v>
      </c>
      <c r="K51" s="33">
        <v>0</v>
      </c>
      <c r="L51" s="33">
        <v>22.169239999999999</v>
      </c>
      <c r="M51" s="33">
        <v>41.24</v>
      </c>
      <c r="N51" s="34">
        <v>1.8669081032141199</v>
      </c>
      <c r="O51" s="34">
        <v>1.8789764613078801</v>
      </c>
      <c r="P51" s="34">
        <v>1.86811747496803</v>
      </c>
      <c r="Q51" s="34">
        <v>1.8654590824992101</v>
      </c>
      <c r="R51" s="33">
        <v>41.5065900302911</v>
      </c>
      <c r="S51" s="33">
        <v>41.273895039649503</v>
      </c>
      <c r="T51" s="33">
        <v>41.200897111610303</v>
      </c>
      <c r="U51" s="15">
        <v>6.4435513917868604E-3</v>
      </c>
      <c r="V51" s="15">
        <v>8.2155960616772596E-4</v>
      </c>
      <c r="W51" s="15">
        <v>-9.4862847669151598E-4</v>
      </c>
      <c r="X51" s="34">
        <v>1.8602351726987401</v>
      </c>
      <c r="Y51" s="34">
        <v>1.8652915884207499</v>
      </c>
      <c r="Z51" s="34">
        <v>1.86150123690299</v>
      </c>
      <c r="AA51" s="34">
        <v>1.8604339925314399</v>
      </c>
      <c r="AB51" s="33">
        <v>41.352096893680901</v>
      </c>
      <c r="AC51" s="33">
        <v>41.2756571885689</v>
      </c>
      <c r="AD51" s="33">
        <v>41.241271901877496</v>
      </c>
      <c r="AE51" s="15">
        <v>2.7144718859987401E-3</v>
      </c>
      <c r="AF51" s="15">
        <v>8.6425272495623397E-4</v>
      </c>
      <c r="AG51" s="15">
        <v>3.0840986039807099E-5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5.6089042098317349E-3</v>
      </c>
      <c r="AT51" s="12"/>
      <c r="AU51">
        <f t="shared" si="10"/>
        <v>0</v>
      </c>
      <c r="AV51">
        <f t="shared" si="11"/>
        <v>0</v>
      </c>
      <c r="AW51">
        <f t="shared" si="18"/>
        <v>1</v>
      </c>
      <c r="AX51">
        <f t="shared" si="5"/>
        <v>1</v>
      </c>
      <c r="AY51">
        <f t="shared" si="19"/>
        <v>1</v>
      </c>
      <c r="AZ51" s="28">
        <f t="shared" si="12"/>
        <v>-8.6383806095707595E-3</v>
      </c>
      <c r="BA51" s="28">
        <f t="shared" si="13"/>
        <v>1.07265777386433E-2</v>
      </c>
      <c r="BB51" s="28">
        <f t="shared" si="20"/>
        <v>2.0881971290725408E-3</v>
      </c>
      <c r="BC51" s="29">
        <f t="shared" si="21"/>
        <v>1.1111545803468827E-2</v>
      </c>
      <c r="BE51" s="29">
        <f t="shared" si="22"/>
        <v>2.0881971290725408E-3</v>
      </c>
      <c r="BF51" s="29">
        <f t="shared" si="23"/>
        <v>1.672045001330056E-2</v>
      </c>
      <c r="BH51" s="29"/>
    </row>
    <row r="52" spans="1:60" x14ac:dyDescent="0.25">
      <c r="A52" s="1">
        <v>46098</v>
      </c>
      <c r="B52" s="33">
        <v>22.16</v>
      </c>
      <c r="C52" s="33">
        <v>41.44</v>
      </c>
      <c r="D52" s="15">
        <v>3.1638444470573398E-3</v>
      </c>
      <c r="E52" s="15">
        <v>4.8379388024684502E-3</v>
      </c>
      <c r="F52" s="33">
        <v>0</v>
      </c>
      <c r="G52" s="33">
        <v>7.9240000000000005E-2</v>
      </c>
      <c r="H52" s="33">
        <v>0</v>
      </c>
      <c r="I52" s="33">
        <v>0</v>
      </c>
      <c r="J52" s="33">
        <v>7.9240000000000005E-2</v>
      </c>
      <c r="K52" s="33">
        <v>0</v>
      </c>
      <c r="L52" s="33">
        <v>22.239239999999999</v>
      </c>
      <c r="M52" s="33">
        <v>41.44</v>
      </c>
      <c r="N52" s="34">
        <v>1.87003610108303</v>
      </c>
      <c r="O52" s="34">
        <v>1.8789764613078801</v>
      </c>
      <c r="P52" s="34">
        <v>1.8677933838758001</v>
      </c>
      <c r="Q52" s="34">
        <v>1.86583128200503</v>
      </c>
      <c r="R52" s="33">
        <v>41.638118382582597</v>
      </c>
      <c r="S52" s="33">
        <v>41.397483245291703</v>
      </c>
      <c r="T52" s="33">
        <v>41.3385732681825</v>
      </c>
      <c r="U52" s="15">
        <v>4.7694570363757101E-3</v>
      </c>
      <c r="V52" s="15">
        <v>-1.02651014434607E-3</v>
      </c>
      <c r="W52" s="15">
        <v>-2.4505564319504602E-3</v>
      </c>
      <c r="X52" s="34">
        <v>1.8633730289344399</v>
      </c>
      <c r="Y52" s="34">
        <v>1.8652915884207499</v>
      </c>
      <c r="Z52" s="34">
        <v>1.8611685411611201</v>
      </c>
      <c r="AA52" s="34">
        <v>1.8606272317229799</v>
      </c>
      <c r="AB52" s="33">
        <v>41.482667304870397</v>
      </c>
      <c r="AC52" s="33">
        <v>41.398372767782497</v>
      </c>
      <c r="AD52" s="33">
        <v>41.374638064065003</v>
      </c>
      <c r="AE52" s="15">
        <v>1.0290867388288601E-3</v>
      </c>
      <c r="AF52" s="15">
        <v>-1.00502301844994E-3</v>
      </c>
      <c r="AG52" s="15">
        <v>-1.57851198857533E-3</v>
      </c>
      <c r="AI52" s="12"/>
      <c r="AJ52">
        <f t="shared" si="6"/>
        <v>0</v>
      </c>
      <c r="AK52">
        <f t="shared" si="7"/>
        <v>0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5.6089042098317349E-3</v>
      </c>
      <c r="AT52" s="12"/>
      <c r="AU52">
        <f t="shared" si="10"/>
        <v>0</v>
      </c>
      <c r="AV52">
        <f t="shared" si="11"/>
        <v>1</v>
      </c>
      <c r="AW52">
        <f t="shared" si="18"/>
        <v>1</v>
      </c>
      <c r="AX52">
        <f t="shared" si="5"/>
        <v>1</v>
      </c>
      <c r="AY52">
        <f t="shared" si="19"/>
        <v>1</v>
      </c>
      <c r="AZ52" s="28">
        <f t="shared" si="12"/>
        <v>-3.1638444470573398E-3</v>
      </c>
      <c r="BA52" s="28">
        <f t="shared" si="13"/>
        <v>4.8379388024684502E-3</v>
      </c>
      <c r="BB52" s="28">
        <f t="shared" si="20"/>
        <v>1.6740943554111104E-3</v>
      </c>
      <c r="BC52" s="29">
        <f t="shared" si="21"/>
        <v>1.2785640158879938E-2</v>
      </c>
      <c r="BE52" s="29">
        <f t="shared" si="22"/>
        <v>1.6740943554111104E-3</v>
      </c>
      <c r="BF52" s="29">
        <f t="shared" si="23"/>
        <v>1.8394544368711671E-2</v>
      </c>
      <c r="BH52" s="29"/>
    </row>
    <row r="53" spans="1:60" x14ac:dyDescent="0.25">
      <c r="A53" s="1">
        <v>46099</v>
      </c>
      <c r="B53" s="33">
        <v>21.97</v>
      </c>
      <c r="C53" s="33">
        <v>41.04</v>
      </c>
      <c r="D53" s="15">
        <v>-8.6109754825642298E-3</v>
      </c>
      <c r="E53" s="15">
        <v>-9.6993970887135003E-3</v>
      </c>
      <c r="F53" s="33">
        <v>0</v>
      </c>
      <c r="G53" s="33">
        <v>7.9240000000000005E-2</v>
      </c>
      <c r="H53" s="33">
        <v>0</v>
      </c>
      <c r="I53" s="33">
        <v>0</v>
      </c>
      <c r="J53" s="33">
        <v>7.9240000000000005E-2</v>
      </c>
      <c r="K53" s="33">
        <v>0</v>
      </c>
      <c r="L53" s="33">
        <v>22.049239999999902</v>
      </c>
      <c r="M53" s="33">
        <v>41.04</v>
      </c>
      <c r="N53" s="34">
        <v>1.8680018206645399</v>
      </c>
      <c r="O53" s="34">
        <v>1.8789764613078801</v>
      </c>
      <c r="P53" s="34">
        <v>1.86753109363388</v>
      </c>
      <c r="Q53" s="34">
        <v>1.8661873259383801</v>
      </c>
      <c r="R53" s="33">
        <v>41.281112854934101</v>
      </c>
      <c r="S53" s="33">
        <v>41.035420643751401</v>
      </c>
      <c r="T53" s="33">
        <v>40.992313265650502</v>
      </c>
      <c r="U53" s="15">
        <v>5.8578786425248202E-3</v>
      </c>
      <c r="V53" s="15">
        <v>-1.11588980412248E-4</v>
      </c>
      <c r="W53" s="15">
        <v>-1.16263306062336E-3</v>
      </c>
      <c r="X53" s="34">
        <v>1.86128864305527</v>
      </c>
      <c r="Y53" s="34">
        <v>1.8652915884207499</v>
      </c>
      <c r="Z53" s="34">
        <v>1.8608893847118699</v>
      </c>
      <c r="AA53" s="34">
        <v>1.8608026074126101</v>
      </c>
      <c r="AB53" s="33">
        <v>41.128261903070403</v>
      </c>
      <c r="AC53" s="33">
        <v>41.037351844511598</v>
      </c>
      <c r="AD53" s="33">
        <v>41.025416382795598</v>
      </c>
      <c r="AE53" s="15">
        <v>2.1483218695986499E-3</v>
      </c>
      <c r="AF53" s="15">
        <v>-6.4528287762242694E-5</v>
      </c>
      <c r="AG53" s="15">
        <v>-3.5541444863515102E-4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5.6089042098317349E-3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1.2785640158879938E-2</v>
      </c>
      <c r="BE53" s="29">
        <f t="shared" si="22"/>
        <v>0</v>
      </c>
      <c r="BF53" s="29">
        <f t="shared" si="23"/>
        <v>1.8394544368711671E-2</v>
      </c>
      <c r="BH53" s="29"/>
    </row>
    <row r="54" spans="1:60" x14ac:dyDescent="0.25">
      <c r="A54" s="1">
        <v>46100</v>
      </c>
      <c r="B54" s="33">
        <v>22.19</v>
      </c>
      <c r="C54" s="33">
        <v>41.49</v>
      </c>
      <c r="D54" s="15">
        <v>9.9638505479837693E-3</v>
      </c>
      <c r="E54" s="15">
        <v>1.0905233482262499E-2</v>
      </c>
      <c r="F54" s="33">
        <v>0</v>
      </c>
      <c r="G54" s="33">
        <v>7.9240000000000005E-2</v>
      </c>
      <c r="H54" s="33">
        <v>0</v>
      </c>
      <c r="I54" s="33">
        <v>0</v>
      </c>
      <c r="J54" s="33">
        <v>7.9240000000000005E-2</v>
      </c>
      <c r="K54" s="33">
        <v>0</v>
      </c>
      <c r="L54" s="33">
        <v>22.26924</v>
      </c>
      <c r="M54" s="33">
        <v>41.49</v>
      </c>
      <c r="N54" s="34">
        <v>1.86976115367282</v>
      </c>
      <c r="O54" s="34">
        <v>1.8789764613078801</v>
      </c>
      <c r="P54" s="34">
        <v>1.8675429232868801</v>
      </c>
      <c r="Q54" s="34">
        <v>1.8665907413881699</v>
      </c>
      <c r="R54" s="33">
        <v>41.6944876764219</v>
      </c>
      <c r="S54" s="33">
        <v>41.440514967735901</v>
      </c>
      <c r="T54" s="33">
        <v>41.410696762572798</v>
      </c>
      <c r="U54" s="15">
        <v>4.9164957082462003E-3</v>
      </c>
      <c r="V54" s="15">
        <v>-1.19340964315603E-3</v>
      </c>
      <c r="W54" s="15">
        <v>-1.9132109792570401E-3</v>
      </c>
      <c r="X54" s="34">
        <v>1.8631080360173899</v>
      </c>
      <c r="Y54" s="34">
        <v>1.8652915884207499</v>
      </c>
      <c r="Z54" s="34">
        <v>1.86089495735385</v>
      </c>
      <c r="AA54" s="34">
        <v>1.8610284927780001</v>
      </c>
      <c r="AB54" s="33">
        <v>41.538626052523</v>
      </c>
      <c r="AC54" s="33">
        <v>41.440592321601102</v>
      </c>
      <c r="AD54" s="33">
        <v>41.4386598570971</v>
      </c>
      <c r="AE54" s="15">
        <v>1.1713082678667299E-3</v>
      </c>
      <c r="AF54" s="15">
        <v>-1.19154302076941E-3</v>
      </c>
      <c r="AG54" s="15">
        <v>-1.2381762722398701E-3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5.6089042098317349E-3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1.2785640158879938E-2</v>
      </c>
      <c r="BE54" s="29">
        <f t="shared" si="22"/>
        <v>0</v>
      </c>
      <c r="BF54" s="29">
        <f t="shared" si="23"/>
        <v>1.8394544368711671E-2</v>
      </c>
      <c r="BH54" s="29"/>
    </row>
    <row r="55" spans="1:60" x14ac:dyDescent="0.25">
      <c r="A55" s="1">
        <v>46101</v>
      </c>
      <c r="B55" s="33">
        <v>21.92</v>
      </c>
      <c r="C55" s="33">
        <v>40.950000000000003</v>
      </c>
      <c r="D55" s="15">
        <v>-1.2242274864687701E-2</v>
      </c>
      <c r="E55" s="15">
        <v>-1.3100624045697999E-2</v>
      </c>
      <c r="F55" s="33">
        <v>0</v>
      </c>
      <c r="G55" s="33">
        <v>7.9240000000000005E-2</v>
      </c>
      <c r="H55" s="33">
        <v>0</v>
      </c>
      <c r="I55" s="33">
        <v>0</v>
      </c>
      <c r="J55" s="33">
        <v>7.9240000000000005E-2</v>
      </c>
      <c r="K55" s="33">
        <v>0</v>
      </c>
      <c r="L55" s="33">
        <v>21.99924</v>
      </c>
      <c r="M55" s="33">
        <v>40.950000000000003</v>
      </c>
      <c r="N55" s="34">
        <v>1.86815693430656</v>
      </c>
      <c r="O55" s="34">
        <v>1.8789764613078801</v>
      </c>
      <c r="P55" s="34">
        <v>1.86728348254938</v>
      </c>
      <c r="Q55" s="34">
        <v>1.8667364860537801</v>
      </c>
      <c r="R55" s="33">
        <v>41.187164031868697</v>
      </c>
      <c r="S55" s="33">
        <v>40.936540878448497</v>
      </c>
      <c r="T55" s="33">
        <v>40.915669051228697</v>
      </c>
      <c r="U55" s="15">
        <v>5.7748448892565099E-3</v>
      </c>
      <c r="V55" s="15">
        <v>-3.2872610146460999E-4</v>
      </c>
      <c r="W55" s="15">
        <v>-8.3871422982523096E-4</v>
      </c>
      <c r="X55" s="34">
        <v>1.8614279402379299</v>
      </c>
      <c r="Y55" s="34">
        <v>1.8652915884207499</v>
      </c>
      <c r="Z55" s="34">
        <v>1.86062323823013</v>
      </c>
      <c r="AA55" s="34">
        <v>1.86099314160784</v>
      </c>
      <c r="AB55" s="33">
        <v>41.034997323649399</v>
      </c>
      <c r="AC55" s="33">
        <v>40.938274781617103</v>
      </c>
      <c r="AD55" s="33">
        <v>40.941212459461497</v>
      </c>
      <c r="AE55" s="15">
        <v>2.0734855614281599E-3</v>
      </c>
      <c r="AF55" s="15">
        <v>-2.8637111953536598E-4</v>
      </c>
      <c r="AG55" s="15">
        <v>-2.1461498269007099E-4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5.6089042098317349E-3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1.2785640158879938E-2</v>
      </c>
      <c r="BE55" s="29">
        <f t="shared" si="22"/>
        <v>0</v>
      </c>
      <c r="BF55" s="29">
        <f t="shared" si="23"/>
        <v>1.8394544368711671E-2</v>
      </c>
      <c r="BH55" s="29"/>
    </row>
    <row r="56" spans="1:60" x14ac:dyDescent="0.25">
      <c r="A56" s="1">
        <v>46104</v>
      </c>
      <c r="B56" s="33">
        <v>22.12</v>
      </c>
      <c r="C56" s="33">
        <v>41.26</v>
      </c>
      <c r="D56" s="15">
        <v>9.0827145743192193E-3</v>
      </c>
      <c r="E56" s="15">
        <v>7.5416973440272997E-3</v>
      </c>
      <c r="F56" s="33">
        <v>0</v>
      </c>
      <c r="G56" s="33">
        <v>7.9240000000000005E-2</v>
      </c>
      <c r="H56" s="33">
        <v>0</v>
      </c>
      <c r="I56" s="33">
        <v>0</v>
      </c>
      <c r="J56" s="33">
        <v>7.9240000000000005E-2</v>
      </c>
      <c r="K56" s="33">
        <v>0</v>
      </c>
      <c r="L56" s="33">
        <v>22.19924</v>
      </c>
      <c r="M56" s="33">
        <v>41.26</v>
      </c>
      <c r="N56" s="34">
        <v>1.8652802893309199</v>
      </c>
      <c r="O56" s="34">
        <v>1.8789764613078801</v>
      </c>
      <c r="P56" s="34">
        <v>1.8671091464668499</v>
      </c>
      <c r="Q56" s="34">
        <v>1.86711546798237</v>
      </c>
      <c r="R56" s="33">
        <v>41.562959324130297</v>
      </c>
      <c r="S56" s="33">
        <v>41.304310633992301</v>
      </c>
      <c r="T56" s="33">
        <v>41.292211071509698</v>
      </c>
      <c r="U56" s="15">
        <v>7.3158621195485102E-3</v>
      </c>
      <c r="V56" s="15">
        <v>1.0733605817411099E-3</v>
      </c>
      <c r="W56" s="15">
        <v>7.8038062763794401E-4</v>
      </c>
      <c r="X56" s="34">
        <v>1.8586221870658599</v>
      </c>
      <c r="Y56" s="34">
        <v>1.8652915884207499</v>
      </c>
      <c r="Z56" s="34">
        <v>1.8604409307544201</v>
      </c>
      <c r="AA56" s="34">
        <v>1.86119313999824</v>
      </c>
      <c r="AB56" s="33">
        <v>41.408055641333497</v>
      </c>
      <c r="AC56" s="33">
        <v>41.304421815048002</v>
      </c>
      <c r="AD56" s="33">
        <v>41.312633388906399</v>
      </c>
      <c r="AE56" s="15">
        <v>3.58193496833313E-3</v>
      </c>
      <c r="AF56" s="15">
        <v>1.0760523324162101E-3</v>
      </c>
      <c r="AG56" s="15">
        <v>1.27483874195799E-3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5.6089042098317349E-3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1.2785640158879938E-2</v>
      </c>
      <c r="BE56" s="29">
        <f t="shared" si="22"/>
        <v>0</v>
      </c>
      <c r="BF56" s="29">
        <f t="shared" si="23"/>
        <v>1.8394544368711671E-2</v>
      </c>
      <c r="BH56" s="29"/>
    </row>
    <row r="57" spans="1:60" x14ac:dyDescent="0.25">
      <c r="A57" s="1">
        <v>46105</v>
      </c>
      <c r="B57" s="33">
        <v>21.98</v>
      </c>
      <c r="C57" s="33">
        <v>41.07</v>
      </c>
      <c r="D57" s="15">
        <v>-6.34922767865878E-3</v>
      </c>
      <c r="E57" s="15">
        <v>-4.6155796746385298E-3</v>
      </c>
      <c r="F57" s="33">
        <v>0</v>
      </c>
      <c r="G57" s="33">
        <v>7.9240000000000005E-2</v>
      </c>
      <c r="H57" s="33">
        <v>0</v>
      </c>
      <c r="I57" s="33">
        <v>0</v>
      </c>
      <c r="J57" s="33">
        <v>7.9240000000000005E-2</v>
      </c>
      <c r="K57" s="33">
        <v>0</v>
      </c>
      <c r="L57" s="33">
        <v>22.059239999999999</v>
      </c>
      <c r="M57" s="33">
        <v>41.07</v>
      </c>
      <c r="N57" s="34">
        <v>1.86851683348498</v>
      </c>
      <c r="O57" s="34">
        <v>1.8789764613078801</v>
      </c>
      <c r="P57" s="34">
        <v>1.8670470290114201</v>
      </c>
      <c r="Q57" s="34">
        <v>1.86758785163139</v>
      </c>
      <c r="R57" s="33">
        <v>41.299902619547197</v>
      </c>
      <c r="S57" s="33">
        <v>41.039059039341502</v>
      </c>
      <c r="T57" s="33">
        <v>41.039197986252503</v>
      </c>
      <c r="U57" s="15">
        <v>5.5822141155282799E-3</v>
      </c>
      <c r="V57" s="15">
        <v>-7.5365526008908102E-4</v>
      </c>
      <c r="W57" s="15">
        <v>-7.5026954221447104E-4</v>
      </c>
      <c r="X57" s="34">
        <v>1.8618048491244401</v>
      </c>
      <c r="Y57" s="34">
        <v>1.8652915884207499</v>
      </c>
      <c r="Z57" s="34">
        <v>1.8603667848916401</v>
      </c>
      <c r="AA57" s="34">
        <v>1.8614843607307201</v>
      </c>
      <c r="AB57" s="33">
        <v>41.146914818954599</v>
      </c>
      <c r="AC57" s="33">
        <v>41.0399129973353</v>
      </c>
      <c r="AD57" s="33">
        <v>41.056506161574902</v>
      </c>
      <c r="AE57" s="15">
        <v>1.87102232094668E-3</v>
      </c>
      <c r="AF57" s="15">
        <v>-7.3284705617054197E-4</v>
      </c>
      <c r="AG57" s="15">
        <v>-3.2861104598698102E-4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5.6089042098317349E-3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1.2785640158879938E-2</v>
      </c>
      <c r="BE57" s="29">
        <f t="shared" si="22"/>
        <v>0</v>
      </c>
      <c r="BF57" s="29">
        <f t="shared" si="23"/>
        <v>1.8394544368711671E-2</v>
      </c>
      <c r="BH57" s="29"/>
    </row>
    <row r="58" spans="1:60" x14ac:dyDescent="0.25">
      <c r="A58" s="1">
        <v>46106</v>
      </c>
      <c r="B58" s="33">
        <v>22.04</v>
      </c>
      <c r="C58" s="33">
        <v>41.22</v>
      </c>
      <c r="D58" s="15">
        <v>2.7260353092384E-3</v>
      </c>
      <c r="E58" s="15">
        <v>3.6456474938456299E-3</v>
      </c>
      <c r="F58" s="33">
        <v>0</v>
      </c>
      <c r="G58" s="33">
        <v>7.9240000000000005E-2</v>
      </c>
      <c r="H58" s="33">
        <v>0</v>
      </c>
      <c r="I58" s="33">
        <v>0</v>
      </c>
      <c r="J58" s="33">
        <v>7.9240000000000005E-2</v>
      </c>
      <c r="K58" s="33">
        <v>0</v>
      </c>
      <c r="L58" s="33">
        <v>22.119239999999898</v>
      </c>
      <c r="M58" s="33">
        <v>41.22</v>
      </c>
      <c r="N58" s="34">
        <v>1.8702359346642401</v>
      </c>
      <c r="O58" s="34">
        <v>1.8789764613078801</v>
      </c>
      <c r="P58" s="34">
        <v>1.8677151467148301</v>
      </c>
      <c r="Q58" s="34">
        <v>1.8679534342653801</v>
      </c>
      <c r="R58" s="33">
        <v>41.412641207225697</v>
      </c>
      <c r="S58" s="33">
        <v>41.149716519411797</v>
      </c>
      <c r="T58" s="33">
        <v>41.161636249955798</v>
      </c>
      <c r="U58" s="15">
        <v>4.6626019309208696E-3</v>
      </c>
      <c r="V58" s="15">
        <v>-1.7065373201478799E-3</v>
      </c>
      <c r="W58" s="15">
        <v>-1.4169118863210401E-3</v>
      </c>
      <c r="X58" s="34">
        <v>1.86353599852436</v>
      </c>
      <c r="Y58" s="34">
        <v>1.8652915884207499</v>
      </c>
      <c r="Z58" s="34">
        <v>1.86102534323104</v>
      </c>
      <c r="AA58" s="34">
        <v>1.86166977034334</v>
      </c>
      <c r="AB58" s="33">
        <v>41.258832314259898</v>
      </c>
      <c r="AC58" s="33">
        <v>41.149899403046597</v>
      </c>
      <c r="AD58" s="33">
        <v>41.174619331249502</v>
      </c>
      <c r="AE58" s="15">
        <v>9.4163110799768996E-4</v>
      </c>
      <c r="AF58" s="15">
        <v>-1.70209298264431E-3</v>
      </c>
      <c r="AG58" s="15">
        <v>-1.10154458404132E-3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5.6089042098317349E-3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1.2785640158879938E-2</v>
      </c>
      <c r="BE58" s="29">
        <f t="shared" si="22"/>
        <v>0</v>
      </c>
      <c r="BF58" s="29">
        <f t="shared" si="23"/>
        <v>1.8394544368711671E-2</v>
      </c>
      <c r="BH58" s="29"/>
    </row>
    <row r="59" spans="1:60" x14ac:dyDescent="0.25">
      <c r="A59" s="1">
        <v>46107</v>
      </c>
      <c r="B59" s="33">
        <v>21.8</v>
      </c>
      <c r="C59" s="33">
        <v>40.69</v>
      </c>
      <c r="D59" s="15">
        <v>-1.0949014489670301E-2</v>
      </c>
      <c r="E59" s="15">
        <v>-1.29412134487143E-2</v>
      </c>
      <c r="F59" s="33">
        <v>0</v>
      </c>
      <c r="G59" s="33">
        <v>7.9240000000000005E-2</v>
      </c>
      <c r="H59" s="33">
        <v>0</v>
      </c>
      <c r="I59" s="33">
        <v>0</v>
      </c>
      <c r="J59" s="33">
        <v>7.9240000000000005E-2</v>
      </c>
      <c r="K59" s="33">
        <v>0</v>
      </c>
      <c r="L59" s="33">
        <v>21.879239999999999</v>
      </c>
      <c r="M59" s="33">
        <v>40.69</v>
      </c>
      <c r="N59" s="34">
        <v>1.86651376146788</v>
      </c>
      <c r="O59" s="34">
        <v>1.8789764613078801</v>
      </c>
      <c r="P59" s="34">
        <v>1.8676424630519199</v>
      </c>
      <c r="Q59" s="34">
        <v>1.86822658217378</v>
      </c>
      <c r="R59" s="33">
        <v>40.961686856511797</v>
      </c>
      <c r="S59" s="33">
        <v>40.716190198383401</v>
      </c>
      <c r="T59" s="33">
        <v>40.721384866985403</v>
      </c>
      <c r="U59" s="15">
        <v>6.6548008899648898E-3</v>
      </c>
      <c r="V59" s="15">
        <v>6.43444908137547E-4</v>
      </c>
      <c r="W59" s="15">
        <v>7.7101915393051304E-4</v>
      </c>
      <c r="X59" s="34">
        <v>1.85975381228964</v>
      </c>
      <c r="Y59" s="34">
        <v>1.8652915884207499</v>
      </c>
      <c r="Z59" s="34">
        <v>1.8609446791961399</v>
      </c>
      <c r="AA59" s="34">
        <v>1.8617592536374601</v>
      </c>
      <c r="AB59" s="33">
        <v>40.811162333038901</v>
      </c>
      <c r="AC59" s="33">
        <v>40.717820130634301</v>
      </c>
      <c r="AD59" s="33">
        <v>40.731919706086799</v>
      </c>
      <c r="AE59" s="15">
        <v>2.9732685726217099E-3</v>
      </c>
      <c r="AF59" s="15">
        <v>6.8347565805508602E-4</v>
      </c>
      <c r="AG59" s="15">
        <v>1.02969102035377E-3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5.6089042098317349E-3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1.2785640158879938E-2</v>
      </c>
      <c r="BE59" s="29">
        <f t="shared" si="22"/>
        <v>0</v>
      </c>
      <c r="BF59" s="29">
        <f t="shared" si="23"/>
        <v>1.8394544368711671E-2</v>
      </c>
      <c r="BH59" s="29"/>
    </row>
    <row r="60" spans="1:60" x14ac:dyDescent="0.25">
      <c r="A60" s="1">
        <v>46108</v>
      </c>
      <c r="B60" s="33">
        <v>21.73</v>
      </c>
      <c r="C60" s="33">
        <v>40.54</v>
      </c>
      <c r="D60" s="15">
        <v>-3.2161755267050601E-3</v>
      </c>
      <c r="E60" s="15">
        <v>-3.6932209897445499E-3</v>
      </c>
      <c r="F60" s="33">
        <v>0</v>
      </c>
      <c r="G60" s="33">
        <v>7.9240000000000005E-2</v>
      </c>
      <c r="H60" s="33">
        <v>0</v>
      </c>
      <c r="I60" s="33">
        <v>0</v>
      </c>
      <c r="J60" s="33">
        <v>7.9240000000000005E-2</v>
      </c>
      <c r="K60" s="33">
        <v>0</v>
      </c>
      <c r="L60" s="33">
        <v>21.809239999999999</v>
      </c>
      <c r="M60" s="33">
        <v>40.54</v>
      </c>
      <c r="N60" s="34">
        <v>1.86562356189599</v>
      </c>
      <c r="O60" s="34">
        <v>1.8789764613078801</v>
      </c>
      <c r="P60" s="34">
        <v>1.8679034493785101</v>
      </c>
      <c r="Q60" s="34">
        <v>1.8681729795477799</v>
      </c>
      <c r="R60" s="33">
        <v>40.830158504220201</v>
      </c>
      <c r="S60" s="33">
        <v>40.583870722118398</v>
      </c>
      <c r="T60" s="33">
        <v>40.596563630636197</v>
      </c>
      <c r="U60" s="15">
        <v>7.1318463530044701E-3</v>
      </c>
      <c r="V60" s="15">
        <v>1.0815737958397801E-3</v>
      </c>
      <c r="W60" s="15">
        <v>1.39428236219513E-3</v>
      </c>
      <c r="X60" s="34">
        <v>1.85884515003732</v>
      </c>
      <c r="Y60" s="34">
        <v>1.8652915884207499</v>
      </c>
      <c r="Z60" s="34">
        <v>1.86119948179854</v>
      </c>
      <c r="AA60" s="34">
        <v>1.86152153137492</v>
      </c>
      <c r="AB60" s="33">
        <v>40.680591921849498</v>
      </c>
      <c r="AC60" s="33">
        <v>40.585789135311799</v>
      </c>
      <c r="AD60" s="33">
        <v>40.603554384800198</v>
      </c>
      <c r="AE60" s="15">
        <v>3.46198073524441E-3</v>
      </c>
      <c r="AF60" s="15">
        <v>1.1288430143423301E-3</v>
      </c>
      <c r="AG60" s="15">
        <v>1.5664681755205301E-3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5.6089042098317349E-3</v>
      </c>
      <c r="AT60" s="12"/>
      <c r="AU60">
        <f t="shared" si="10"/>
        <v>1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1.2785640158879938E-2</v>
      </c>
      <c r="BE60" s="29">
        <f t="shared" si="22"/>
        <v>0</v>
      </c>
      <c r="BF60" s="29">
        <f t="shared" si="23"/>
        <v>1.8394544368711671E-2</v>
      </c>
      <c r="BH60" s="29"/>
    </row>
    <row r="61" spans="1:60" x14ac:dyDescent="0.25">
      <c r="A61" s="1">
        <v>46111</v>
      </c>
      <c r="B61" s="33">
        <v>21.72</v>
      </c>
      <c r="C61" s="33">
        <v>40.56</v>
      </c>
      <c r="D61" s="15">
        <v>-4.60299202603675E-4</v>
      </c>
      <c r="E61" s="15">
        <v>4.9321825907374999E-4</v>
      </c>
      <c r="F61" s="33">
        <v>0</v>
      </c>
      <c r="G61" s="33">
        <v>7.9240000000000005E-2</v>
      </c>
      <c r="H61" s="33">
        <v>0</v>
      </c>
      <c r="I61" s="33">
        <v>0</v>
      </c>
      <c r="J61" s="33">
        <v>7.9240000000000005E-2</v>
      </c>
      <c r="K61" s="33">
        <v>0</v>
      </c>
      <c r="L61" s="33">
        <v>21.799239999999902</v>
      </c>
      <c r="M61" s="33">
        <v>40.56</v>
      </c>
      <c r="N61" s="34">
        <v>1.8674033149171201</v>
      </c>
      <c r="O61" s="34">
        <v>1.8789764613078801</v>
      </c>
      <c r="P61" s="34">
        <v>1.86795297054881</v>
      </c>
      <c r="Q61" s="34">
        <v>1.86803522275842</v>
      </c>
      <c r="R61" s="33">
        <v>40.811368739607197</v>
      </c>
      <c r="S61" s="33">
        <v>40.570862920501298</v>
      </c>
      <c r="T61" s="33">
        <v>40.576717115777697</v>
      </c>
      <c r="U61" s="15">
        <v>6.1783288913271599E-3</v>
      </c>
      <c r="V61" s="15">
        <v>2.6778762545318199E-4</v>
      </c>
      <c r="W61" s="15">
        <v>4.1207277318067398E-4</v>
      </c>
      <c r="X61" s="34">
        <v>1.86061532420396</v>
      </c>
      <c r="Y61" s="34">
        <v>1.8652915884207499</v>
      </c>
      <c r="Z61" s="34">
        <v>1.8612374969490599</v>
      </c>
      <c r="AA61" s="34">
        <v>1.8613693669260301</v>
      </c>
      <c r="AB61" s="33">
        <v>40.661939005965202</v>
      </c>
      <c r="AC61" s="33">
        <v>40.572734191602002</v>
      </c>
      <c r="AD61" s="33">
        <v>40.579754627609397</v>
      </c>
      <c r="AE61" s="15">
        <v>2.51013607253132E-3</v>
      </c>
      <c r="AF61" s="15">
        <v>3.1391008409905902E-4</v>
      </c>
      <c r="AG61" s="15">
        <v>4.8692846288430301E-4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5.6089042098317349E-3</v>
      </c>
      <c r="AT61" s="12"/>
      <c r="AU61">
        <f t="shared" si="10"/>
        <v>0</v>
      </c>
      <c r="AV61">
        <f t="shared" si="11"/>
        <v>0</v>
      </c>
      <c r="AW61">
        <f t="shared" si="18"/>
        <v>1</v>
      </c>
      <c r="AX61">
        <f t="shared" si="5"/>
        <v>1</v>
      </c>
      <c r="AY61">
        <f t="shared" si="19"/>
        <v>1</v>
      </c>
      <c r="AZ61" s="28">
        <f t="shared" si="12"/>
        <v>4.60299202603675E-4</v>
      </c>
      <c r="BA61" s="28">
        <f t="shared" si="13"/>
        <v>4.9321825907374999E-4</v>
      </c>
      <c r="BB61" s="28">
        <f t="shared" si="20"/>
        <v>9.5351746167742499E-4</v>
      </c>
      <c r="BC61" s="29">
        <f t="shared" si="21"/>
        <v>1.3739157620557363E-2</v>
      </c>
      <c r="BE61" s="29">
        <f t="shared" si="22"/>
        <v>9.5351746167742499E-4</v>
      </c>
      <c r="BF61" s="29">
        <f t="shared" si="23"/>
        <v>1.9348061830389097E-2</v>
      </c>
      <c r="BH61" s="29"/>
    </row>
    <row r="62" spans="1:60" x14ac:dyDescent="0.25">
      <c r="A62" s="1">
        <v>46112</v>
      </c>
      <c r="B62" s="33">
        <v>21.95</v>
      </c>
      <c r="C62" s="33">
        <v>41.06</v>
      </c>
      <c r="D62" s="15">
        <v>1.05336444554456E-2</v>
      </c>
      <c r="E62" s="15">
        <v>1.2252052307859701E-2</v>
      </c>
      <c r="F62" s="33">
        <v>0</v>
      </c>
      <c r="G62" s="33">
        <v>7.9240000000000005E-2</v>
      </c>
      <c r="H62" s="33">
        <v>0</v>
      </c>
      <c r="I62" s="33">
        <v>0</v>
      </c>
      <c r="J62" s="33">
        <v>7.9240000000000005E-2</v>
      </c>
      <c r="K62" s="33">
        <v>0</v>
      </c>
      <c r="L62" s="33">
        <v>22.029239999999898</v>
      </c>
      <c r="M62" s="33">
        <v>41.06</v>
      </c>
      <c r="N62" s="34">
        <v>1.8706150341685599</v>
      </c>
      <c r="O62" s="34">
        <v>1.8789764613078801</v>
      </c>
      <c r="P62" s="34">
        <v>1.86801086385736</v>
      </c>
      <c r="Q62" s="34">
        <v>1.8679021238665801</v>
      </c>
      <c r="R62" s="33">
        <v>41.243533325708</v>
      </c>
      <c r="S62" s="33">
        <v>41.001567703546399</v>
      </c>
      <c r="T62" s="33">
        <v>41.003373139547399</v>
      </c>
      <c r="U62" s="15">
        <v>4.4599210389130199E-3</v>
      </c>
      <c r="V62" s="15">
        <v>-1.4241089456178699E-3</v>
      </c>
      <c r="W62" s="15">
        <v>-1.3800765743311001E-3</v>
      </c>
      <c r="X62" s="34">
        <v>1.8638863619443899</v>
      </c>
      <c r="Y62" s="34">
        <v>1.8652915884207499</v>
      </c>
      <c r="Z62" s="34">
        <v>1.8612888302500601</v>
      </c>
      <c r="AA62" s="34">
        <v>1.86122868570559</v>
      </c>
      <c r="AB62" s="33">
        <v>41.090956071302003</v>
      </c>
      <c r="AC62" s="33">
        <v>41.001647517290202</v>
      </c>
      <c r="AD62" s="33">
        <v>41.004552512661498</v>
      </c>
      <c r="AE62" s="15">
        <v>7.5363877056686297E-4</v>
      </c>
      <c r="AF62" s="15">
        <v>-1.4221623452671699E-3</v>
      </c>
      <c r="AG62" s="15">
        <v>-1.35131415643443E-3</v>
      </c>
      <c r="AI62" s="12"/>
      <c r="AJ62">
        <f t="shared" si="6"/>
        <v>0</v>
      </c>
      <c r="AK62">
        <f t="shared" si="7"/>
        <v>0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5.6089042098317349E-3</v>
      </c>
      <c r="AT62" s="12"/>
      <c r="AU62">
        <f t="shared" si="10"/>
        <v>0</v>
      </c>
      <c r="AV62">
        <f t="shared" si="11"/>
        <v>1</v>
      </c>
      <c r="AW62">
        <f t="shared" si="18"/>
        <v>1</v>
      </c>
      <c r="AX62">
        <f t="shared" si="5"/>
        <v>0</v>
      </c>
      <c r="AY62">
        <f t="shared" si="19"/>
        <v>1</v>
      </c>
      <c r="AZ62" s="28">
        <f t="shared" si="12"/>
        <v>-1.05336444554456E-2</v>
      </c>
      <c r="BA62" s="28">
        <f t="shared" si="13"/>
        <v>1.2252052307859701E-2</v>
      </c>
      <c r="BB62" s="28">
        <f t="shared" si="20"/>
        <v>1.718407852414101E-3</v>
      </c>
      <c r="BC62" s="29">
        <f t="shared" si="21"/>
        <v>1.5457565472971464E-2</v>
      </c>
      <c r="BE62" s="29">
        <f t="shared" si="22"/>
        <v>1.718407852414101E-3</v>
      </c>
      <c r="BF62" s="29">
        <f t="shared" si="23"/>
        <v>2.10664696828032E-2</v>
      </c>
      <c r="BH62" s="29"/>
    </row>
    <row r="63" spans="1:60" x14ac:dyDescent="0.25">
      <c r="A63" s="1">
        <v>46113</v>
      </c>
      <c r="B63" s="33">
        <v>21.96</v>
      </c>
      <c r="C63" s="33">
        <v>41.16</v>
      </c>
      <c r="D63" s="15">
        <v>4.5547712014959099E-4</v>
      </c>
      <c r="E63" s="15">
        <v>2.4324993750611899E-3</v>
      </c>
      <c r="F63" s="33">
        <v>4.5359999999999998E-2</v>
      </c>
      <c r="G63" s="33">
        <v>0.1246</v>
      </c>
      <c r="H63" s="33">
        <v>0</v>
      </c>
      <c r="I63" s="33">
        <v>0</v>
      </c>
      <c r="J63" s="33">
        <v>0.1246</v>
      </c>
      <c r="K63" s="33">
        <v>0</v>
      </c>
      <c r="L63" s="33">
        <v>22.084599999999998</v>
      </c>
      <c r="M63" s="33">
        <v>41.16</v>
      </c>
      <c r="N63" s="34">
        <v>1.87431693989071</v>
      </c>
      <c r="O63" s="34">
        <v>1.8789764613078801</v>
      </c>
      <c r="P63" s="34">
        <v>1.8686423757799799</v>
      </c>
      <c r="Q63" s="34">
        <v>1.8680867347069301</v>
      </c>
      <c r="R63" s="33">
        <v>41.262323090321097</v>
      </c>
      <c r="S63" s="33">
        <v>41.021518570307698</v>
      </c>
      <c r="T63" s="33">
        <v>41.019130640110198</v>
      </c>
      <c r="U63" s="15">
        <v>2.4828987840012102E-3</v>
      </c>
      <c r="V63" s="15">
        <v>-3.3701387653109799E-3</v>
      </c>
      <c r="W63" s="15">
        <v>-3.4283521076281498E-3</v>
      </c>
      <c r="X63" s="34">
        <v>1.86374215516694</v>
      </c>
      <c r="Y63" s="34">
        <v>1.8652915884207499</v>
      </c>
      <c r="Z63" s="34">
        <v>1.8615341814612201</v>
      </c>
      <c r="AA63" s="34">
        <v>1.86121178308655</v>
      </c>
      <c r="AB63" s="33">
        <v>41.194218613636998</v>
      </c>
      <c r="AC63" s="33">
        <v>41.105819300540396</v>
      </c>
      <c r="AD63" s="33">
        <v>41.104491032333698</v>
      </c>
      <c r="AE63" s="15">
        <v>8.3101063144798003E-4</v>
      </c>
      <c r="AF63" s="15">
        <v>-1.3172106654746199E-3</v>
      </c>
      <c r="AG63" s="15">
        <v>-1.3495245735826E-3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5.6089042098317349E-3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1.5457565472971464E-2</v>
      </c>
      <c r="BE63" s="29">
        <f t="shared" si="22"/>
        <v>0</v>
      </c>
      <c r="BF63" s="29">
        <f t="shared" si="23"/>
        <v>2.10664696828032E-2</v>
      </c>
      <c r="BH63" s="29"/>
    </row>
    <row r="64" spans="1:60" x14ac:dyDescent="0.25">
      <c r="A64" s="1">
        <v>46114</v>
      </c>
      <c r="B64" s="33">
        <v>21.88</v>
      </c>
      <c r="C64" s="33">
        <v>40.99</v>
      </c>
      <c r="D64" s="15">
        <v>-3.6496390875494999E-3</v>
      </c>
      <c r="E64" s="15">
        <v>-4.1387764496025803E-3</v>
      </c>
      <c r="F64" s="33">
        <v>0</v>
      </c>
      <c r="G64" s="33">
        <v>0.1246</v>
      </c>
      <c r="H64" s="33">
        <v>0</v>
      </c>
      <c r="I64" s="33">
        <v>0</v>
      </c>
      <c r="J64" s="33">
        <v>0.1246</v>
      </c>
      <c r="K64" s="33">
        <v>0</v>
      </c>
      <c r="L64" s="33">
        <v>22.0046</v>
      </c>
      <c r="M64" s="33">
        <v>40.99</v>
      </c>
      <c r="N64" s="34">
        <v>1.8734003656307101</v>
      </c>
      <c r="O64" s="34">
        <v>1.8789764613078801</v>
      </c>
      <c r="P64" s="34">
        <v>1.8690062969757699</v>
      </c>
      <c r="Q64" s="34">
        <v>1.8682746101313199</v>
      </c>
      <c r="R64" s="33">
        <v>41.112004973416397</v>
      </c>
      <c r="S64" s="33">
        <v>40.885895182066001</v>
      </c>
      <c r="T64" s="33">
        <v>40.873737755387701</v>
      </c>
      <c r="U64" s="15">
        <v>2.9720361460542398E-3</v>
      </c>
      <c r="V64" s="15">
        <v>-2.54299201992519E-3</v>
      </c>
      <c r="W64" s="15">
        <v>-2.84038637777876E-3</v>
      </c>
      <c r="X64" s="34">
        <v>1.8627923252410801</v>
      </c>
      <c r="Y64" s="34">
        <v>1.8652915884207499</v>
      </c>
      <c r="Z64" s="34">
        <v>1.8615026103835901</v>
      </c>
      <c r="AA64" s="34">
        <v>1.8611987838687201</v>
      </c>
      <c r="AB64" s="33">
        <v>41.044995286563299</v>
      </c>
      <c r="AC64" s="33">
        <v>40.962315049381701</v>
      </c>
      <c r="AD64" s="33">
        <v>40.955220802106297</v>
      </c>
      <c r="AE64" s="15">
        <v>1.34077644814703E-3</v>
      </c>
      <c r="AF64" s="15">
        <v>-6.7563562187909201E-4</v>
      </c>
      <c r="AG64" s="15">
        <v>-8.4884022866767801E-4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5.6089042098317349E-3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1.5457565472971464E-2</v>
      </c>
      <c r="BE64" s="29">
        <f t="shared" si="22"/>
        <v>0</v>
      </c>
      <c r="BF64" s="29">
        <f t="shared" si="23"/>
        <v>2.10664696828032E-2</v>
      </c>
      <c r="BH64" s="29"/>
    </row>
    <row r="65" spans="1:60" x14ac:dyDescent="0.25">
      <c r="A65" s="1">
        <v>46118</v>
      </c>
      <c r="B65" s="33">
        <v>21.86</v>
      </c>
      <c r="C65" s="33">
        <v>40.89</v>
      </c>
      <c r="D65" s="15">
        <v>-9.1449480538793003E-4</v>
      </c>
      <c r="E65" s="15">
        <v>-2.44260013969533E-3</v>
      </c>
      <c r="F65" s="33">
        <v>0</v>
      </c>
      <c r="G65" s="33">
        <v>0.1246</v>
      </c>
      <c r="H65" s="33">
        <v>0</v>
      </c>
      <c r="I65" s="33">
        <v>0</v>
      </c>
      <c r="J65" s="33">
        <v>0.1246</v>
      </c>
      <c r="K65" s="33">
        <v>0</v>
      </c>
      <c r="L65" s="33">
        <v>21.9846</v>
      </c>
      <c r="M65" s="33">
        <v>40.89</v>
      </c>
      <c r="N65" s="34">
        <v>1.8705397987191199</v>
      </c>
      <c r="O65" s="34">
        <v>1.8789764613078801</v>
      </c>
      <c r="P65" s="34">
        <v>1.8692445834170199</v>
      </c>
      <c r="Q65" s="34">
        <v>1.8682640329832001</v>
      </c>
      <c r="R65" s="33">
        <v>41.074425444190297</v>
      </c>
      <c r="S65" s="33">
        <v>40.856477651890302</v>
      </c>
      <c r="T65" s="33">
        <v>40.840482977470799</v>
      </c>
      <c r="U65" s="15">
        <v>4.5001414803617296E-3</v>
      </c>
      <c r="V65" s="15">
        <v>-8.2015399199064599E-4</v>
      </c>
      <c r="W65" s="15">
        <v>-1.21171506110951E-3</v>
      </c>
      <c r="X65" s="34">
        <v>1.8599383204606801</v>
      </c>
      <c r="Y65" s="34">
        <v>1.8652915884207499</v>
      </c>
      <c r="Z65" s="34">
        <v>1.8613536484058699</v>
      </c>
      <c r="AA65" s="34">
        <v>1.860988443318</v>
      </c>
      <c r="AB65" s="33">
        <v>41.0076894547949</v>
      </c>
      <c r="AC65" s="33">
        <v>40.924390288239202</v>
      </c>
      <c r="AD65" s="33">
        <v>40.917710783840299</v>
      </c>
      <c r="AE65" s="15">
        <v>2.87406242081558E-3</v>
      </c>
      <c r="AF65" s="15">
        <v>8.4069049817626104E-4</v>
      </c>
      <c r="AG65" s="15">
        <v>6.7746144305139697E-4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5.6089042098317349E-3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1.5457565472971464E-2</v>
      </c>
      <c r="BE65" s="29">
        <f t="shared" si="22"/>
        <v>0</v>
      </c>
      <c r="BF65" s="29">
        <f t="shared" si="23"/>
        <v>2.10664696828032E-2</v>
      </c>
      <c r="BH65" s="29"/>
    </row>
    <row r="66" spans="1:60" x14ac:dyDescent="0.25">
      <c r="A66" s="1">
        <v>46119</v>
      </c>
      <c r="B66" s="33">
        <v>21.93</v>
      </c>
      <c r="C66" s="33">
        <v>41.1</v>
      </c>
      <c r="D66" s="15">
        <v>3.1970796814044101E-3</v>
      </c>
      <c r="E66" s="15">
        <v>5.1225871256379198E-3</v>
      </c>
      <c r="F66" s="33">
        <v>0</v>
      </c>
      <c r="G66" s="33">
        <v>0.1246</v>
      </c>
      <c r="H66" s="33">
        <v>0</v>
      </c>
      <c r="I66" s="33">
        <v>0</v>
      </c>
      <c r="J66" s="33">
        <v>0.1246</v>
      </c>
      <c r="K66" s="33">
        <v>0</v>
      </c>
      <c r="L66" s="33">
        <v>22.054600000000001</v>
      </c>
      <c r="M66" s="33">
        <v>41.1</v>
      </c>
      <c r="N66" s="34">
        <v>1.8741450068399399</v>
      </c>
      <c r="O66" s="34">
        <v>1.8789764613078801</v>
      </c>
      <c r="P66" s="34">
        <v>1.87013105516793</v>
      </c>
      <c r="Q66" s="34">
        <v>1.8686201008173899</v>
      </c>
      <c r="R66" s="33">
        <v>41.205953796481801</v>
      </c>
      <c r="S66" s="33">
        <v>40.992533714335401</v>
      </c>
      <c r="T66" s="33">
        <v>40.9710302433217</v>
      </c>
      <c r="U66" s="15">
        <v>2.5746340361279501E-3</v>
      </c>
      <c r="V66" s="15">
        <v>-2.6181759093284098E-3</v>
      </c>
      <c r="W66" s="15">
        <v>-3.14288397395532E-3</v>
      </c>
      <c r="X66" s="34">
        <v>1.86355680901036</v>
      </c>
      <c r="Y66" s="34">
        <v>1.8652915884207499</v>
      </c>
      <c r="Z66" s="34">
        <v>1.86184711060032</v>
      </c>
      <c r="AA66" s="34">
        <v>1.8611440206773699</v>
      </c>
      <c r="AB66" s="33">
        <v>41.138259865984402</v>
      </c>
      <c r="AC66" s="33">
        <v>41.051410174132101</v>
      </c>
      <c r="AD66" s="33">
        <v>41.043355722001202</v>
      </c>
      <c r="AE66" s="15">
        <v>9.3046396670104698E-4</v>
      </c>
      <c r="AF66" s="15">
        <v>-1.18293359617251E-3</v>
      </c>
      <c r="AG66" s="15">
        <v>-1.3791568771276499E-3</v>
      </c>
      <c r="AI66" s="12"/>
      <c r="AJ66">
        <f t="shared" si="6"/>
        <v>0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5.6089042098317349E-3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1.5457565472971464E-2</v>
      </c>
      <c r="BE66" s="29">
        <f t="shared" si="22"/>
        <v>0</v>
      </c>
      <c r="BF66" s="29">
        <f t="shared" si="23"/>
        <v>2.10664696828032E-2</v>
      </c>
      <c r="BH66" s="29"/>
    </row>
    <row r="67" spans="1:60" x14ac:dyDescent="0.25">
      <c r="A67" s="1">
        <v>46120</v>
      </c>
      <c r="B67" s="33">
        <v>22.25</v>
      </c>
      <c r="C67" s="33">
        <v>41.68</v>
      </c>
      <c r="D67" s="15">
        <v>1.44864461824523E-2</v>
      </c>
      <c r="E67" s="15">
        <v>1.4013275942922499E-2</v>
      </c>
      <c r="F67" s="33">
        <v>0</v>
      </c>
      <c r="G67" s="33">
        <v>0.1246</v>
      </c>
      <c r="H67" s="33">
        <v>0</v>
      </c>
      <c r="I67" s="33">
        <v>0</v>
      </c>
      <c r="J67" s="33">
        <v>0.1246</v>
      </c>
      <c r="K67" s="33">
        <v>0</v>
      </c>
      <c r="L67" s="33">
        <v>22.374600000000001</v>
      </c>
      <c r="M67" s="33">
        <v>41.68</v>
      </c>
      <c r="N67" s="34">
        <v>1.87325842696629</v>
      </c>
      <c r="O67" s="34">
        <v>1.8789764613078801</v>
      </c>
      <c r="P67" s="34">
        <v>1.8706052145160601</v>
      </c>
      <c r="Q67" s="34">
        <v>1.8688261217637401</v>
      </c>
      <c r="R67" s="33">
        <v>41.807226264100301</v>
      </c>
      <c r="S67" s="33">
        <v>41.610415977486397</v>
      </c>
      <c r="T67" s="33">
        <v>41.576797243187002</v>
      </c>
      <c r="U67" s="15">
        <v>3.04780427565791E-3</v>
      </c>
      <c r="V67" s="15">
        <v>-1.6708774445613999E-3</v>
      </c>
      <c r="W67" s="15">
        <v>-2.4791443603068399E-3</v>
      </c>
      <c r="X67" s="34">
        <v>1.8628265980173899</v>
      </c>
      <c r="Y67" s="34">
        <v>1.8652915884207499</v>
      </c>
      <c r="Z67" s="34">
        <v>1.86194928548961</v>
      </c>
      <c r="AA67" s="34">
        <v>1.8611580351906301</v>
      </c>
      <c r="AB67" s="33">
        <v>41.735153174278999</v>
      </c>
      <c r="AC67" s="33">
        <v>41.658084360837897</v>
      </c>
      <c r="AD67" s="33">
        <v>41.642353005047902</v>
      </c>
      <c r="AE67" s="15">
        <v>1.3223780144823801E-3</v>
      </c>
      <c r="AF67" s="15">
        <v>-5.2594536664247104E-4</v>
      </c>
      <c r="AG67" s="15">
        <v>-9.0364700842137898E-4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5.6089042098317349E-3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1.5457565472971464E-2</v>
      </c>
      <c r="BE67" s="29">
        <f t="shared" si="22"/>
        <v>0</v>
      </c>
      <c r="BF67" s="29">
        <f t="shared" si="23"/>
        <v>2.10664696828032E-2</v>
      </c>
      <c r="BH67" s="29"/>
    </row>
    <row r="68" spans="1:60" x14ac:dyDescent="0.25">
      <c r="A68" s="1">
        <v>46121</v>
      </c>
      <c r="B68" s="33">
        <v>22.22</v>
      </c>
      <c r="C68" s="33">
        <v>41.7</v>
      </c>
      <c r="D68" s="15">
        <v>-1.3492244007653801E-3</v>
      </c>
      <c r="E68" s="15">
        <v>4.7973135964446601E-4</v>
      </c>
      <c r="F68" s="33">
        <v>0</v>
      </c>
      <c r="G68" s="33">
        <v>0.1246</v>
      </c>
      <c r="H68" s="33">
        <v>0</v>
      </c>
      <c r="I68" s="33">
        <v>0</v>
      </c>
      <c r="J68" s="33">
        <v>0.1246</v>
      </c>
      <c r="K68" s="33">
        <v>0</v>
      </c>
      <c r="L68" s="33">
        <v>22.3446</v>
      </c>
      <c r="M68" s="33">
        <v>41.7</v>
      </c>
      <c r="N68" s="34">
        <v>1.8766876687668701</v>
      </c>
      <c r="O68" s="34">
        <v>1.8789764613078801</v>
      </c>
      <c r="P68" s="34">
        <v>1.87125038792632</v>
      </c>
      <c r="Q68" s="34">
        <v>1.8694827673205701</v>
      </c>
      <c r="R68" s="33">
        <v>41.750856970261097</v>
      </c>
      <c r="S68" s="33">
        <v>41.564847866546799</v>
      </c>
      <c r="T68" s="33">
        <v>41.525316425590297</v>
      </c>
      <c r="U68" s="15">
        <v>1.2188485152481599E-3</v>
      </c>
      <c r="V68" s="15">
        <v>-3.2463219620038398E-3</v>
      </c>
      <c r="W68" s="15">
        <v>-4.1978532118442302E-3</v>
      </c>
      <c r="X68" s="34">
        <v>1.86622271152761</v>
      </c>
      <c r="Y68" s="34">
        <v>1.8652915884207499</v>
      </c>
      <c r="Z68" s="34">
        <v>1.86221795678994</v>
      </c>
      <c r="AA68" s="34">
        <v>1.8616216500104901</v>
      </c>
      <c r="AB68" s="33">
        <v>41.679194426626403</v>
      </c>
      <c r="AC68" s="33">
        <v>41.604512004551196</v>
      </c>
      <c r="AD68" s="33">
        <v>41.586831833120499</v>
      </c>
      <c r="AE68" s="15">
        <v>-4.9905912256565104E-4</v>
      </c>
      <c r="AF68" s="15">
        <v>-2.2925057712097898E-3</v>
      </c>
      <c r="AG68" s="15">
        <v>-2.7175541207452099E-3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5.6089042098317349E-3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1.5457565472971464E-2</v>
      </c>
      <c r="BE68" s="29">
        <f t="shared" si="22"/>
        <v>0</v>
      </c>
      <c r="BF68" s="29">
        <f t="shared" si="23"/>
        <v>2.10664696828032E-2</v>
      </c>
      <c r="BH68" s="29"/>
    </row>
    <row r="69" spans="1:60" x14ac:dyDescent="0.25">
      <c r="A69" s="1">
        <v>46122</v>
      </c>
      <c r="B69" s="33">
        <v>22.17</v>
      </c>
      <c r="C69" s="33">
        <v>41.62</v>
      </c>
      <c r="D69" s="15">
        <v>-2.2527605832637402E-3</v>
      </c>
      <c r="E69" s="15">
        <v>-1.92030783926756E-3</v>
      </c>
      <c r="F69" s="33">
        <v>0</v>
      </c>
      <c r="G69" s="33">
        <v>0.1246</v>
      </c>
      <c r="H69" s="33">
        <v>0</v>
      </c>
      <c r="I69" s="33">
        <v>0</v>
      </c>
      <c r="J69" s="33">
        <v>0.1246</v>
      </c>
      <c r="K69" s="33">
        <v>0</v>
      </c>
      <c r="L69" s="33">
        <v>22.294599999999999</v>
      </c>
      <c r="M69" s="33">
        <v>41.62</v>
      </c>
      <c r="N69" s="34">
        <v>1.8773116824537599</v>
      </c>
      <c r="O69" s="34">
        <v>1.8789764613078801</v>
      </c>
      <c r="P69" s="34">
        <v>1.8723301800249099</v>
      </c>
      <c r="Q69" s="34">
        <v>1.86998632153841</v>
      </c>
      <c r="R69" s="33">
        <v>41.656908147195701</v>
      </c>
      <c r="S69" s="33">
        <v>41.485621100326597</v>
      </c>
      <c r="T69" s="33">
        <v>41.446432951497201</v>
      </c>
      <c r="U69" s="15">
        <v>8.8639577125208596E-4</v>
      </c>
      <c r="V69" s="15">
        <v>-3.2339332769317801E-3</v>
      </c>
      <c r="W69" s="15">
        <v>-4.1789997459621602E-3</v>
      </c>
      <c r="X69" s="34">
        <v>1.86681976801557</v>
      </c>
      <c r="Y69" s="34">
        <v>1.8652915884207499</v>
      </c>
      <c r="Z69" s="34">
        <v>1.86292455236253</v>
      </c>
      <c r="AA69" s="34">
        <v>1.8619346157793399</v>
      </c>
      <c r="AB69" s="33">
        <v>41.585929847205399</v>
      </c>
      <c r="AC69" s="33">
        <v>41.517404459448997</v>
      </c>
      <c r="AD69" s="33">
        <v>41.504110038323901</v>
      </c>
      <c r="AE69" s="15">
        <v>-8.1893573598114096E-4</v>
      </c>
      <c r="AF69" s="15">
        <v>-2.4680970809252498E-3</v>
      </c>
      <c r="AG69" s="15">
        <v>-2.7883615646363499E-3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5.6089042098317349E-3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1.5457565472971464E-2</v>
      </c>
      <c r="BE69" s="29">
        <f t="shared" si="22"/>
        <v>0</v>
      </c>
      <c r="BF69" s="29">
        <f t="shared" si="23"/>
        <v>2.10664696828032E-2</v>
      </c>
      <c r="BH69" s="29"/>
    </row>
    <row r="70" spans="1:60" x14ac:dyDescent="0.25">
      <c r="A70" s="1">
        <v>46125</v>
      </c>
      <c r="B70" s="33">
        <v>22.21</v>
      </c>
      <c r="C70" s="33">
        <v>41.69</v>
      </c>
      <c r="D70" s="15">
        <v>1.8026142781158701E-3</v>
      </c>
      <c r="E70" s="15">
        <v>1.6804709272172E-3</v>
      </c>
      <c r="F70" s="33">
        <v>0</v>
      </c>
      <c r="G70" s="33">
        <v>0.1246</v>
      </c>
      <c r="H70" s="33">
        <v>0</v>
      </c>
      <c r="I70" s="33">
        <v>0</v>
      </c>
      <c r="J70" s="33">
        <v>0.1246</v>
      </c>
      <c r="K70" s="33">
        <v>0</v>
      </c>
      <c r="L70" s="33">
        <v>22.334599999999998</v>
      </c>
      <c r="M70" s="33">
        <v>41.69</v>
      </c>
      <c r="N70" s="34">
        <v>1.87708239531742</v>
      </c>
      <c r="O70" s="34">
        <v>1.8789764613078801</v>
      </c>
      <c r="P70" s="34">
        <v>1.87347606336705</v>
      </c>
      <c r="Q70" s="34">
        <v>1.87068975637278</v>
      </c>
      <c r="R70" s="33">
        <v>41.732067205648001</v>
      </c>
      <c r="S70" s="33">
        <v>41.584453298353203</v>
      </c>
      <c r="T70" s="33">
        <v>41.532396201368201</v>
      </c>
      <c r="U70" s="15">
        <v>1.00853912215064E-3</v>
      </c>
      <c r="V70" s="15">
        <v>-2.5349132653429002E-3</v>
      </c>
      <c r="W70" s="15">
        <v>-3.7875378319638599E-3</v>
      </c>
      <c r="X70" s="34">
        <v>1.8666105504463899</v>
      </c>
      <c r="Y70" s="34">
        <v>1.8652915884207499</v>
      </c>
      <c r="Z70" s="34">
        <v>1.8637010924034401</v>
      </c>
      <c r="AA70" s="34">
        <v>1.86245028710099</v>
      </c>
      <c r="AB70" s="33">
        <v>41.660541510742199</v>
      </c>
      <c r="AC70" s="33">
        <v>41.607674707196203</v>
      </c>
      <c r="AD70" s="33">
        <v>41.585564869585298</v>
      </c>
      <c r="AE70" s="15">
        <v>-7.0685780680967904E-4</v>
      </c>
      <c r="AF70" s="15">
        <v>-1.97665348757739E-3</v>
      </c>
      <c r="AG70" s="15">
        <v>-2.5081831706145201E-3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5.6089042098317349E-3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1.5457565472971464E-2</v>
      </c>
      <c r="BE70" s="29">
        <f t="shared" si="22"/>
        <v>0</v>
      </c>
      <c r="BF70" s="29">
        <f t="shared" si="23"/>
        <v>2.10664696828032E-2</v>
      </c>
      <c r="BH70" s="29"/>
    </row>
    <row r="71" spans="1:60" x14ac:dyDescent="0.25">
      <c r="A71" s="1">
        <v>46126</v>
      </c>
      <c r="B71" s="33">
        <v>22.38</v>
      </c>
      <c r="C71" s="33">
        <v>41.98</v>
      </c>
      <c r="D71" s="15">
        <v>7.6250649774430596E-3</v>
      </c>
      <c r="E71" s="15">
        <v>6.9320224997813703E-3</v>
      </c>
      <c r="F71" s="33">
        <v>0</v>
      </c>
      <c r="G71" s="33">
        <v>0.1246</v>
      </c>
      <c r="H71" s="33">
        <v>0</v>
      </c>
      <c r="I71" s="33">
        <v>0</v>
      </c>
      <c r="J71" s="33">
        <v>0.1246</v>
      </c>
      <c r="K71" s="33">
        <v>0</v>
      </c>
      <c r="L71" s="33">
        <v>22.5046</v>
      </c>
      <c r="M71" s="33">
        <v>41.98</v>
      </c>
      <c r="N71" s="34">
        <v>1.875781948168</v>
      </c>
      <c r="O71" s="34">
        <v>1.8789764613078801</v>
      </c>
      <c r="P71" s="34">
        <v>1.87431392669214</v>
      </c>
      <c r="Q71" s="34">
        <v>1.87113344862047</v>
      </c>
      <c r="R71" s="33">
        <v>42.051493204070397</v>
      </c>
      <c r="S71" s="33">
        <v>41.928394298154601</v>
      </c>
      <c r="T71" s="33">
        <v>41.8660367476228</v>
      </c>
      <c r="U71" s="15">
        <v>1.7015815998123499E-3</v>
      </c>
      <c r="V71" s="15">
        <v>-1.23004876409979E-3</v>
      </c>
      <c r="W71" s="15">
        <v>-2.71839497672082E-3</v>
      </c>
      <c r="X71" s="34">
        <v>1.8653964078455001</v>
      </c>
      <c r="Y71" s="34">
        <v>1.8652915884207499</v>
      </c>
      <c r="Z71" s="34">
        <v>1.8641792007675899</v>
      </c>
      <c r="AA71" s="34">
        <v>1.86270834885833</v>
      </c>
      <c r="AB71" s="33">
        <v>41.977641080773701</v>
      </c>
      <c r="AC71" s="33">
        <v>41.941847604102499</v>
      </c>
      <c r="AD71" s="33">
        <v>41.913698731093</v>
      </c>
      <c r="AE71" s="15">
        <v>-5.6193080141396898E-5</v>
      </c>
      <c r="AF71" s="15">
        <v>-9.0923638158882597E-4</v>
      </c>
      <c r="AG71" s="15">
        <v>-1.58060220763195E-3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5.6089042098317349E-3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1.5457565472971464E-2</v>
      </c>
      <c r="BE71" s="29">
        <f t="shared" si="22"/>
        <v>0</v>
      </c>
      <c r="BF71" s="29">
        <f t="shared" si="23"/>
        <v>2.10664696828032E-2</v>
      </c>
      <c r="BH71" s="29"/>
    </row>
    <row r="72" spans="1:60" x14ac:dyDescent="0.25">
      <c r="A72" s="1">
        <v>46127</v>
      </c>
      <c r="B72" s="33">
        <v>22.34</v>
      </c>
      <c r="C72" s="33">
        <v>41.97</v>
      </c>
      <c r="D72" s="15">
        <v>-1.78890924272448E-3</v>
      </c>
      <c r="E72" s="15">
        <v>-2.38237046987417E-4</v>
      </c>
      <c r="F72" s="33">
        <v>0</v>
      </c>
      <c r="G72" s="33">
        <v>0.1246</v>
      </c>
      <c r="H72" s="33">
        <v>0</v>
      </c>
      <c r="I72" s="33">
        <v>0</v>
      </c>
      <c r="J72" s="33">
        <v>0.1246</v>
      </c>
      <c r="K72" s="33">
        <v>0</v>
      </c>
      <c r="L72" s="33">
        <v>22.464600000000001</v>
      </c>
      <c r="M72" s="33">
        <v>41.97</v>
      </c>
      <c r="N72" s="34">
        <v>1.87869292748433</v>
      </c>
      <c r="O72" s="34">
        <v>1.8789764613078801</v>
      </c>
      <c r="P72" s="34">
        <v>1.8751217160237099</v>
      </c>
      <c r="Q72" s="34">
        <v>1.8715662899405401</v>
      </c>
      <c r="R72" s="33">
        <v>41.976334145617997</v>
      </c>
      <c r="S72" s="33">
        <v>41.872173122302399</v>
      </c>
      <c r="T72" s="33">
        <v>41.801121242181402</v>
      </c>
      <c r="U72" s="15">
        <v>1.5090940407534099E-4</v>
      </c>
      <c r="V72" s="15">
        <v>-2.3335970061100198E-3</v>
      </c>
      <c r="W72" s="15">
        <v>-4.0319141989116902E-3</v>
      </c>
      <c r="X72" s="34">
        <v>1.86827274912529</v>
      </c>
      <c r="Y72" s="34">
        <v>1.8652915884207499</v>
      </c>
      <c r="Z72" s="34">
        <v>1.8646178394856801</v>
      </c>
      <c r="AA72" s="34">
        <v>1.86295333486787</v>
      </c>
      <c r="AB72" s="33">
        <v>41.903029417236901</v>
      </c>
      <c r="AC72" s="33">
        <v>41.878040073563703</v>
      </c>
      <c r="AD72" s="33">
        <v>41.844997973762801</v>
      </c>
      <c r="AE72" s="15">
        <v>-1.5969519036350701E-3</v>
      </c>
      <c r="AF72" s="15">
        <v>-2.19349106376035E-3</v>
      </c>
      <c r="AG72" s="15">
        <v>-2.9828102831066499E-3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5.6089042098317349E-3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1.5457565472971464E-2</v>
      </c>
      <c r="BE72" s="29">
        <f t="shared" si="22"/>
        <v>0</v>
      </c>
      <c r="BF72" s="29">
        <f t="shared" si="23"/>
        <v>2.10664696828032E-2</v>
      </c>
      <c r="BH72" s="29"/>
    </row>
    <row r="73" spans="1:60" x14ac:dyDescent="0.25">
      <c r="A73" s="1">
        <v>46128</v>
      </c>
      <c r="B73" s="33">
        <v>22.27</v>
      </c>
      <c r="C73" s="33">
        <v>41.86</v>
      </c>
      <c r="D73" s="15">
        <v>-3.13831237177842E-3</v>
      </c>
      <c r="E73" s="15">
        <v>-2.62436032764576E-3</v>
      </c>
      <c r="F73" s="33">
        <v>0</v>
      </c>
      <c r="G73" s="33">
        <v>0.1246</v>
      </c>
      <c r="H73" s="33">
        <v>0</v>
      </c>
      <c r="I73" s="33">
        <v>0</v>
      </c>
      <c r="J73" s="33">
        <v>0.1246</v>
      </c>
      <c r="K73" s="33">
        <v>0</v>
      </c>
      <c r="L73" s="33">
        <v>22.394600000000001</v>
      </c>
      <c r="M73" s="33">
        <v>41.86</v>
      </c>
      <c r="N73" s="34">
        <v>1.8796587337224899</v>
      </c>
      <c r="O73" s="34">
        <v>1.8789764613078801</v>
      </c>
      <c r="P73" s="34">
        <v>1.87565589540689</v>
      </c>
      <c r="Q73" s="34">
        <v>1.8721491355934401</v>
      </c>
      <c r="R73" s="33">
        <v>41.844805793326501</v>
      </c>
      <c r="S73" s="33">
        <v>41.758960615848203</v>
      </c>
      <c r="T73" s="33">
        <v>41.679781276975802</v>
      </c>
      <c r="U73" s="15">
        <v>-3.6304264005733E-4</v>
      </c>
      <c r="V73" s="15">
        <v>-2.41666322045432E-3</v>
      </c>
      <c r="W73" s="15">
        <v>-4.31456725983447E-3</v>
      </c>
      <c r="X73" s="34">
        <v>1.86920061086154</v>
      </c>
      <c r="Y73" s="34">
        <v>1.8652915884207499</v>
      </c>
      <c r="Z73" s="34">
        <v>1.8651636850551401</v>
      </c>
      <c r="AA73" s="34">
        <v>1.8633489332581801</v>
      </c>
      <c r="AB73" s="33">
        <v>41.772459006047399</v>
      </c>
      <c r="AC73" s="33">
        <v>41.757370668146102</v>
      </c>
      <c r="AD73" s="33">
        <v>41.720094753032001</v>
      </c>
      <c r="AE73" s="15">
        <v>-2.09347009437451E-3</v>
      </c>
      <c r="AF73" s="15">
        <v>-2.4547383532535299E-3</v>
      </c>
      <c r="AG73" s="15">
        <v>-3.3478157221834099E-3</v>
      </c>
      <c r="AI73" s="12"/>
      <c r="AJ73">
        <f t="shared" si="6"/>
        <v>1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5.6089042098317349E-3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1.5457565472971464E-2</v>
      </c>
      <c r="BE73" s="29">
        <f t="shared" si="22"/>
        <v>0</v>
      </c>
      <c r="BF73" s="29">
        <f t="shared" si="23"/>
        <v>2.10664696828032E-2</v>
      </c>
      <c r="BH73" s="29"/>
    </row>
    <row r="74" spans="1:60" x14ac:dyDescent="0.25">
      <c r="A74" s="1">
        <v>46129</v>
      </c>
      <c r="B74" s="33">
        <v>22.42</v>
      </c>
      <c r="C74" s="33">
        <v>42.13</v>
      </c>
      <c r="D74" s="15">
        <v>6.7129363747376299E-3</v>
      </c>
      <c r="E74" s="15">
        <v>6.4293589730716602E-3</v>
      </c>
      <c r="F74" s="33">
        <v>0</v>
      </c>
      <c r="G74" s="33">
        <v>0.1246</v>
      </c>
      <c r="H74" s="33">
        <v>0</v>
      </c>
      <c r="I74" s="33">
        <v>0</v>
      </c>
      <c r="J74" s="33">
        <v>0.1246</v>
      </c>
      <c r="K74" s="33">
        <v>0</v>
      </c>
      <c r="L74" s="33">
        <v>22.544599999999999</v>
      </c>
      <c r="M74" s="33">
        <v>42.13</v>
      </c>
      <c r="N74" s="34">
        <v>1.8791257805530699</v>
      </c>
      <c r="O74" s="34">
        <v>1.8789764613078801</v>
      </c>
      <c r="P74" s="34">
        <v>1.87622843689913</v>
      </c>
      <c r="Q74" s="34">
        <v>1.87261736693745</v>
      </c>
      <c r="R74" s="33">
        <v>42.126652262522697</v>
      </c>
      <c r="S74" s="33">
        <v>42.0522051750226</v>
      </c>
      <c r="T74" s="33">
        <v>41.973583620004902</v>
      </c>
      <c r="U74" s="15">
        <v>-7.9465238391071097E-5</v>
      </c>
      <c r="V74" s="15">
        <v>-1.84824921042074E-3</v>
      </c>
      <c r="W74" s="15">
        <v>-3.7196170152264201E-3</v>
      </c>
      <c r="X74" s="34">
        <v>1.86874018611995</v>
      </c>
      <c r="Y74" s="34">
        <v>1.8652915884207499</v>
      </c>
      <c r="Z74" s="34">
        <v>1.86575847114303</v>
      </c>
      <c r="AA74" s="34">
        <v>1.86363054076331</v>
      </c>
      <c r="AB74" s="33">
        <v>42.052252744310501</v>
      </c>
      <c r="AC74" s="33">
        <v>42.049369214094199</v>
      </c>
      <c r="AD74" s="33">
        <v>42.008456360732502</v>
      </c>
      <c r="AE74" s="15">
        <v>-1.8471180150213299E-3</v>
      </c>
      <c r="AF74" s="15">
        <v>-1.9156905383644199E-3</v>
      </c>
      <c r="AG74" s="15">
        <v>-2.8891360519185099E-3</v>
      </c>
      <c r="AI74" s="12"/>
      <c r="AJ74">
        <f t="shared" si="6"/>
        <v>0</v>
      </c>
      <c r="AK74">
        <f t="shared" si="7"/>
        <v>0</v>
      </c>
      <c r="AL74">
        <f t="shared" si="14"/>
        <v>1</v>
      </c>
      <c r="AM74">
        <f t="shared" si="4"/>
        <v>1</v>
      </c>
      <c r="AN74">
        <f t="shared" si="15"/>
        <v>1</v>
      </c>
      <c r="AO74" s="28">
        <f t="shared" si="8"/>
        <v>6.7129363747376299E-3</v>
      </c>
      <c r="AP74" s="28">
        <f t="shared" si="9"/>
        <v>-6.4293589730716602E-3</v>
      </c>
      <c r="AQ74" s="28">
        <f t="shared" si="16"/>
        <v>2.8357740166596972E-4</v>
      </c>
      <c r="AR74" s="29">
        <f t="shared" si="17"/>
        <v>5.8924816114977047E-3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1.5457565472971464E-2</v>
      </c>
      <c r="BE74" s="29">
        <f t="shared" si="22"/>
        <v>2.8357740166596972E-4</v>
      </c>
      <c r="BF74" s="29">
        <f t="shared" si="23"/>
        <v>2.1350047084469172E-2</v>
      </c>
      <c r="BH74" s="29"/>
    </row>
    <row r="75" spans="1:60" x14ac:dyDescent="0.25">
      <c r="A75" s="1">
        <v>46132</v>
      </c>
      <c r="B75" s="33">
        <v>22.45</v>
      </c>
      <c r="C75" s="33">
        <v>42.11</v>
      </c>
      <c r="D75" s="15">
        <v>1.33719654424933E-3</v>
      </c>
      <c r="E75" s="15">
        <v>-4.7483381708885298E-4</v>
      </c>
      <c r="F75" s="33">
        <v>0</v>
      </c>
      <c r="G75" s="33">
        <v>0.1246</v>
      </c>
      <c r="H75" s="33">
        <v>0</v>
      </c>
      <c r="I75" s="33">
        <v>0</v>
      </c>
      <c r="J75" s="33">
        <v>0.1246</v>
      </c>
      <c r="K75" s="33">
        <v>0</v>
      </c>
      <c r="L75" s="33">
        <v>22.5746</v>
      </c>
      <c r="M75" s="33">
        <v>42.11</v>
      </c>
      <c r="N75" s="34">
        <v>1.87572383073496</v>
      </c>
      <c r="O75" s="34">
        <v>1.8789764613078801</v>
      </c>
      <c r="P75" s="34">
        <v>1.8767468401007099</v>
      </c>
      <c r="Q75" s="34">
        <v>1.87299571175887</v>
      </c>
      <c r="R75" s="33">
        <v>42.183021556361901</v>
      </c>
      <c r="S75" s="33">
        <v>42.121328408385502</v>
      </c>
      <c r="T75" s="33">
        <v>42.040259887745798</v>
      </c>
      <c r="U75" s="15">
        <v>1.73256512294705E-3</v>
      </c>
      <c r="V75" s="15">
        <v>2.6898325523095701E-4</v>
      </c>
      <c r="W75" s="15">
        <v>-1.65751426826088E-3</v>
      </c>
      <c r="X75" s="34">
        <v>1.8653708149867501</v>
      </c>
      <c r="Y75" s="34">
        <v>1.8652915884207499</v>
      </c>
      <c r="Z75" s="34">
        <v>1.86630172059564</v>
      </c>
      <c r="AA75" s="34">
        <v>1.86382768450075</v>
      </c>
      <c r="AB75" s="33">
        <v>42.108211491963203</v>
      </c>
      <c r="AC75" s="33">
        <v>42.118751182665498</v>
      </c>
      <c r="AD75" s="33">
        <v>42.070714005515498</v>
      </c>
      <c r="AE75" s="15">
        <v>-4.2473189714498598E-5</v>
      </c>
      <c r="AF75" s="15">
        <v>2.0779561786509401E-4</v>
      </c>
      <c r="AG75" s="15">
        <v>-9.3337287051309099E-4</v>
      </c>
      <c r="AI75" s="12"/>
      <c r="AJ75">
        <f t="shared" si="6"/>
        <v>0</v>
      </c>
      <c r="AK75">
        <f t="shared" si="7"/>
        <v>1</v>
      </c>
      <c r="AL75">
        <f t="shared" si="14"/>
        <v>1</v>
      </c>
      <c r="AM75">
        <f t="shared" si="4"/>
        <v>1</v>
      </c>
      <c r="AN75">
        <f t="shared" si="15"/>
        <v>1</v>
      </c>
      <c r="AO75" s="28">
        <f t="shared" si="8"/>
        <v>1.33719654424933E-3</v>
      </c>
      <c r="AP75" s="28">
        <f t="shared" si="9"/>
        <v>4.7483381708885298E-4</v>
      </c>
      <c r="AQ75" s="28">
        <f t="shared" si="16"/>
        <v>1.812030361338183E-3</v>
      </c>
      <c r="AR75" s="29">
        <f t="shared" si="17"/>
        <v>7.7045119728358872E-3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1.5457565472971464E-2</v>
      </c>
      <c r="BE75" s="29">
        <f t="shared" si="22"/>
        <v>1.812030361338183E-3</v>
      </c>
      <c r="BF75" s="29">
        <f t="shared" si="23"/>
        <v>2.3162077445807356E-2</v>
      </c>
      <c r="BH75" s="29"/>
    </row>
    <row r="76" spans="1:60" x14ac:dyDescent="0.25">
      <c r="A76" s="1">
        <v>46133</v>
      </c>
      <c r="B76" s="33">
        <v>22.24</v>
      </c>
      <c r="C76" s="33">
        <v>41.76</v>
      </c>
      <c r="D76" s="15">
        <v>-9.3981448058816607E-3</v>
      </c>
      <c r="E76" s="15">
        <v>-8.3462985994531298E-3</v>
      </c>
      <c r="F76" s="33">
        <v>0</v>
      </c>
      <c r="G76" s="33">
        <v>0.1246</v>
      </c>
      <c r="H76" s="33">
        <v>0</v>
      </c>
      <c r="I76" s="33">
        <v>0</v>
      </c>
      <c r="J76" s="33">
        <v>0.1246</v>
      </c>
      <c r="K76" s="33">
        <v>0</v>
      </c>
      <c r="L76" s="33">
        <v>22.364599999999999</v>
      </c>
      <c r="M76" s="33">
        <v>41.76</v>
      </c>
      <c r="N76" s="34">
        <v>1.8776978417266099</v>
      </c>
      <c r="O76" s="34">
        <v>1.8789764613078801</v>
      </c>
      <c r="P76" s="34">
        <v>1.8771021235893799</v>
      </c>
      <c r="Q76" s="34">
        <v>1.8736165893786501</v>
      </c>
      <c r="R76" s="33">
        <v>41.788436499487297</v>
      </c>
      <c r="S76" s="33">
        <v>41.738849723839898</v>
      </c>
      <c r="T76" s="33">
        <v>41.655424629517299</v>
      </c>
      <c r="U76" s="15">
        <v>6.8071891651850104E-4</v>
      </c>
      <c r="V76" s="15">
        <v>-5.0660043060022405E-4</v>
      </c>
      <c r="W76" s="15">
        <v>-2.50734023674317E-3</v>
      </c>
      <c r="X76" s="34">
        <v>1.86723661500764</v>
      </c>
      <c r="Y76" s="34">
        <v>1.8652915884207499</v>
      </c>
      <c r="Z76" s="34">
        <v>1.8666697011953599</v>
      </c>
      <c r="AA76" s="34">
        <v>1.86425840589784</v>
      </c>
      <c r="AB76" s="33">
        <v>41.716500258394802</v>
      </c>
      <c r="AC76" s="33">
        <v>41.739091460433201</v>
      </c>
      <c r="AD76" s="33">
        <v>41.683760632785599</v>
      </c>
      <c r="AE76" s="15">
        <v>-1.0422033843755299E-3</v>
      </c>
      <c r="AF76" s="15">
        <v>-5.0080880254035995E-4</v>
      </c>
      <c r="AG76" s="15">
        <v>-1.82732388498689E-3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7.7045119728358872E-3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1.5457565472971464E-2</v>
      </c>
      <c r="BE76" s="29">
        <f t="shared" si="22"/>
        <v>0</v>
      </c>
      <c r="BF76" s="29">
        <f t="shared" si="23"/>
        <v>2.3162077445807356E-2</v>
      </c>
      <c r="BH76" s="29"/>
    </row>
    <row r="77" spans="1:60" x14ac:dyDescent="0.25">
      <c r="A77" s="1">
        <v>46134</v>
      </c>
      <c r="B77" s="33">
        <v>22.25</v>
      </c>
      <c r="C77" s="33">
        <v>41.73</v>
      </c>
      <c r="D77" s="15">
        <v>4.4953922986764499E-4</v>
      </c>
      <c r="E77" s="15">
        <v>-7.1864897092202497E-4</v>
      </c>
      <c r="F77" s="33">
        <v>0</v>
      </c>
      <c r="G77" s="33">
        <v>0.1246</v>
      </c>
      <c r="H77" s="33">
        <v>0</v>
      </c>
      <c r="I77" s="33">
        <v>0</v>
      </c>
      <c r="J77" s="33">
        <v>0.1246</v>
      </c>
      <c r="K77" s="33">
        <v>0</v>
      </c>
      <c r="L77" s="33">
        <v>22.374600000000001</v>
      </c>
      <c r="M77" s="33">
        <v>41.73</v>
      </c>
      <c r="N77" s="34">
        <v>1.87550561797752</v>
      </c>
      <c r="O77" s="34">
        <v>1.8789764613078801</v>
      </c>
      <c r="P77" s="34">
        <v>1.8773268426905001</v>
      </c>
      <c r="Q77" s="34">
        <v>1.87396602860328</v>
      </c>
      <c r="R77" s="33">
        <v>41.807226264100301</v>
      </c>
      <c r="S77" s="33">
        <v>41.7655222498638</v>
      </c>
      <c r="T77" s="33">
        <v>41.687969113675102</v>
      </c>
      <c r="U77" s="15">
        <v>1.8489071173082301E-3</v>
      </c>
      <c r="V77" s="15">
        <v>8.5087801237269597E-4</v>
      </c>
      <c r="W77" s="15">
        <v>-1.0077178892816999E-3</v>
      </c>
      <c r="X77" s="34">
        <v>1.8650612748384301</v>
      </c>
      <c r="Y77" s="34">
        <v>1.8652915884207499</v>
      </c>
      <c r="Z77" s="34">
        <v>1.8668931688774699</v>
      </c>
      <c r="AA77" s="34">
        <v>1.8644212271835401</v>
      </c>
      <c r="AB77" s="33">
        <v>41.735153174278999</v>
      </c>
      <c r="AC77" s="33">
        <v>41.7659878963658</v>
      </c>
      <c r="AD77" s="33">
        <v>41.712036128601902</v>
      </c>
      <c r="AE77" s="15">
        <v>1.2348085613276801E-4</v>
      </c>
      <c r="AF77" s="15">
        <v>8.62027014736935E-4</v>
      </c>
      <c r="AG77" s="15">
        <v>-4.30571268608957E-4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7.7045119728358872E-3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1.5457565472971464E-2</v>
      </c>
      <c r="BE77" s="29">
        <f t="shared" si="22"/>
        <v>0</v>
      </c>
      <c r="BF77" s="29">
        <f t="shared" si="23"/>
        <v>2.3162077445807356E-2</v>
      </c>
      <c r="BH77" s="29"/>
    </row>
    <row r="78" spans="1:60" x14ac:dyDescent="0.25">
      <c r="A78" s="1">
        <v>46135</v>
      </c>
      <c r="B78" s="33">
        <v>22.17</v>
      </c>
      <c r="C78" s="33">
        <v>41.65</v>
      </c>
      <c r="D78" s="15">
        <v>-3.6019849840290899E-3</v>
      </c>
      <c r="E78" s="15">
        <v>-1.9189259906095401E-3</v>
      </c>
      <c r="F78" s="33">
        <v>0</v>
      </c>
      <c r="G78" s="33">
        <v>0.1246</v>
      </c>
      <c r="H78" s="33">
        <v>0</v>
      </c>
      <c r="I78" s="33">
        <v>0</v>
      </c>
      <c r="J78" s="33">
        <v>0.1246</v>
      </c>
      <c r="K78" s="33">
        <v>0</v>
      </c>
      <c r="L78" s="33">
        <v>22.294599999999999</v>
      </c>
      <c r="M78" s="33">
        <v>41.65</v>
      </c>
      <c r="N78" s="34">
        <v>1.8786648624266999</v>
      </c>
      <c r="O78" s="34">
        <v>1.8789764613078801</v>
      </c>
      <c r="P78" s="34">
        <v>1.87752456205649</v>
      </c>
      <c r="Q78" s="34">
        <v>1.8743874749914</v>
      </c>
      <c r="R78" s="33">
        <v>41.656908147195701</v>
      </c>
      <c r="S78" s="33">
        <v>41.620336102448597</v>
      </c>
      <c r="T78" s="33">
        <v>41.545826854134802</v>
      </c>
      <c r="U78" s="15">
        <v>1.6584812388873501E-4</v>
      </c>
      <c r="V78" s="15">
        <v>-7.1247217663977596E-4</v>
      </c>
      <c r="W78" s="15">
        <v>-2.50428907909001E-3</v>
      </c>
      <c r="X78" s="34">
        <v>1.86816538533994</v>
      </c>
      <c r="Y78" s="34">
        <v>1.8652915884207499</v>
      </c>
      <c r="Z78" s="34">
        <v>1.8670874362587</v>
      </c>
      <c r="AA78" s="34">
        <v>1.86465269652432</v>
      </c>
      <c r="AB78" s="33">
        <v>41.585929847205399</v>
      </c>
      <c r="AC78" s="33">
        <v>41.621636442855603</v>
      </c>
      <c r="AD78" s="33">
        <v>41.566525491566203</v>
      </c>
      <c r="AE78" s="15">
        <v>-1.5394833833445099E-3</v>
      </c>
      <c r="AF78" s="15">
        <v>-6.8122975487989502E-4</v>
      </c>
      <c r="AG78" s="15">
        <v>-2.00620095439694E-3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7.7045119728358872E-3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1.5457565472971464E-2</v>
      </c>
      <c r="BE78" s="29">
        <f t="shared" si="22"/>
        <v>0</v>
      </c>
      <c r="BF78" s="29">
        <f t="shared" si="23"/>
        <v>2.3162077445807356E-2</v>
      </c>
      <c r="BH78" s="29"/>
    </row>
    <row r="79" spans="1:60" x14ac:dyDescent="0.25">
      <c r="A79" s="1">
        <v>46136</v>
      </c>
      <c r="B79" s="33">
        <v>22.25</v>
      </c>
      <c r="C79" s="33">
        <v>41.83</v>
      </c>
      <c r="D79" s="15">
        <v>3.6019849840291402E-3</v>
      </c>
      <c r="E79" s="15">
        <v>4.3124168412552802E-3</v>
      </c>
      <c r="F79" s="33">
        <v>0</v>
      </c>
      <c r="G79" s="33">
        <v>0.1246</v>
      </c>
      <c r="H79" s="33">
        <v>0</v>
      </c>
      <c r="I79" s="33">
        <v>0</v>
      </c>
      <c r="J79" s="33">
        <v>0.1246</v>
      </c>
      <c r="K79" s="33">
        <v>0</v>
      </c>
      <c r="L79" s="33">
        <v>22.374600000000001</v>
      </c>
      <c r="M79" s="33">
        <v>41.83</v>
      </c>
      <c r="N79" s="34">
        <v>1.88</v>
      </c>
      <c r="O79" s="34">
        <v>1.8789764613078801</v>
      </c>
      <c r="P79" s="34">
        <v>1.87779339381111</v>
      </c>
      <c r="Q79" s="34">
        <v>1.87506178691801</v>
      </c>
      <c r="R79" s="33">
        <v>41.807226264100301</v>
      </c>
      <c r="S79" s="33">
        <v>41.7749215057569</v>
      </c>
      <c r="T79" s="33">
        <v>41.705121318558803</v>
      </c>
      <c r="U79" s="15">
        <v>-5.4458373333773295E-4</v>
      </c>
      <c r="V79" s="15">
        <v>-1.31758995090921E-3</v>
      </c>
      <c r="W79" s="15">
        <v>-2.9898507956026199E-3</v>
      </c>
      <c r="X79" s="34">
        <v>1.8695306284805</v>
      </c>
      <c r="Y79" s="34">
        <v>1.8652915884207499</v>
      </c>
      <c r="Z79" s="34">
        <v>1.8673585223051901</v>
      </c>
      <c r="AA79" s="34">
        <v>1.86514153733386</v>
      </c>
      <c r="AB79" s="33">
        <v>41.735153174278999</v>
      </c>
      <c r="AC79" s="33">
        <v>41.775334551314003</v>
      </c>
      <c r="AD79" s="33">
        <v>41.720858223653103</v>
      </c>
      <c r="AE79" s="15">
        <v>-2.2700099945130799E-3</v>
      </c>
      <c r="AF79" s="15">
        <v>-1.3077025950454799E-3</v>
      </c>
      <c r="AG79" s="15">
        <v>-2.6125844963680398E-3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7.7045119728358872E-3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1.5457565472971464E-2</v>
      </c>
      <c r="BE79" s="29">
        <f t="shared" si="22"/>
        <v>0</v>
      </c>
      <c r="BF79" s="29">
        <f t="shared" si="23"/>
        <v>2.3162077445807356E-2</v>
      </c>
      <c r="BH79" s="29"/>
    </row>
    <row r="80" spans="1:60" x14ac:dyDescent="0.25">
      <c r="A80" s="1">
        <v>46139</v>
      </c>
      <c r="B80" s="33">
        <v>22.19</v>
      </c>
      <c r="C80" s="33">
        <v>41.71</v>
      </c>
      <c r="D80" s="15">
        <v>-2.7002716677466398E-3</v>
      </c>
      <c r="E80" s="15">
        <v>-2.8728772452531401E-3</v>
      </c>
      <c r="F80" s="33">
        <v>0</v>
      </c>
      <c r="G80" s="33">
        <v>0.1246</v>
      </c>
      <c r="H80" s="33">
        <v>0</v>
      </c>
      <c r="I80" s="33">
        <v>0</v>
      </c>
      <c r="J80" s="33">
        <v>0.1246</v>
      </c>
      <c r="K80" s="33">
        <v>0</v>
      </c>
      <c r="L80" s="33">
        <v>22.314599999999999</v>
      </c>
      <c r="M80" s="33">
        <v>41.71</v>
      </c>
      <c r="N80" s="34">
        <v>1.8796755295178</v>
      </c>
      <c r="O80" s="34">
        <v>1.8789764613078801</v>
      </c>
      <c r="P80" s="34">
        <v>1.8780527072311499</v>
      </c>
      <c r="Q80" s="34">
        <v>1.8757643852990999</v>
      </c>
      <c r="R80" s="33">
        <v>41.6944876764219</v>
      </c>
      <c r="S80" s="33">
        <v>41.6682354086686</v>
      </c>
      <c r="T80" s="33">
        <v>41.607621051710701</v>
      </c>
      <c r="U80" s="15">
        <v>-3.7197815583100502E-4</v>
      </c>
      <c r="V80" s="15">
        <v>-1.0018104753511099E-3</v>
      </c>
      <c r="W80" s="15">
        <v>-2.4575593619757001E-3</v>
      </c>
      <c r="X80" s="34">
        <v>1.8691798194903699</v>
      </c>
      <c r="Y80" s="34">
        <v>1.8652915884207499</v>
      </c>
      <c r="Z80" s="34">
        <v>1.86761544920959</v>
      </c>
      <c r="AA80" s="34">
        <v>1.8656582708065099</v>
      </c>
      <c r="AB80" s="33">
        <v>41.623235678973799</v>
      </c>
      <c r="AC80" s="33">
        <v>41.669358481831502</v>
      </c>
      <c r="AD80" s="33">
        <v>41.619887348990297</v>
      </c>
      <c r="AE80" s="15">
        <v>-2.0823468972808699E-3</v>
      </c>
      <c r="AF80" s="15">
        <v>-9.7485809742452905E-4</v>
      </c>
      <c r="AG80" s="15">
        <v>-2.1627939027152299E-3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7.7045119728358872E-3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1.5457565472971464E-2</v>
      </c>
      <c r="BE80" s="29">
        <f t="shared" si="22"/>
        <v>0</v>
      </c>
      <c r="BF80" s="29">
        <f t="shared" si="23"/>
        <v>2.3162077445807356E-2</v>
      </c>
      <c r="BH80" s="29"/>
    </row>
    <row r="81" spans="1:60" x14ac:dyDescent="0.25">
      <c r="A81" s="1">
        <v>46140</v>
      </c>
      <c r="B81" s="33">
        <v>22.13</v>
      </c>
      <c r="C81" s="33">
        <v>41.6</v>
      </c>
      <c r="D81" s="15">
        <v>-2.7075828815443801E-3</v>
      </c>
      <c r="E81" s="15">
        <v>-2.6407409416362802E-3</v>
      </c>
      <c r="F81" s="33">
        <v>0</v>
      </c>
      <c r="G81" s="33">
        <v>0.1246</v>
      </c>
      <c r="H81" s="33">
        <v>0</v>
      </c>
      <c r="I81" s="33">
        <v>0</v>
      </c>
      <c r="J81" s="33">
        <v>0.1246</v>
      </c>
      <c r="K81" s="33">
        <v>0</v>
      </c>
      <c r="L81" s="33">
        <v>22.2546</v>
      </c>
      <c r="M81" s="33">
        <v>41.6</v>
      </c>
      <c r="N81" s="34">
        <v>1.87980117487573</v>
      </c>
      <c r="O81" s="34">
        <v>1.8789764613078801</v>
      </c>
      <c r="P81" s="34">
        <v>1.87845462990192</v>
      </c>
      <c r="Q81" s="34">
        <v>1.8763842782970299</v>
      </c>
      <c r="R81" s="33">
        <v>41.5817490887434</v>
      </c>
      <c r="S81" s="33">
        <v>41.561306411025399</v>
      </c>
      <c r="T81" s="33">
        <v>41.510665846669099</v>
      </c>
      <c r="U81" s="15">
        <v>-4.3882009573913703E-4</v>
      </c>
      <c r="V81" s="15">
        <v>-9.30567193727825E-4</v>
      </c>
      <c r="W81" s="15">
        <v>-2.14976469808042E-3</v>
      </c>
      <c r="X81" s="34">
        <v>1.8692764641916699</v>
      </c>
      <c r="Y81" s="34">
        <v>1.8652915884207499</v>
      </c>
      <c r="Z81" s="34">
        <v>1.8680034548442099</v>
      </c>
      <c r="AA81" s="34">
        <v>1.8660913278058999</v>
      </c>
      <c r="AB81" s="33">
        <v>41.5113181836685</v>
      </c>
      <c r="AC81" s="33">
        <v>41.563034775979901</v>
      </c>
      <c r="AD81" s="33">
        <v>41.5194785534907</v>
      </c>
      <c r="AE81" s="15">
        <v>-2.1340498965845799E-3</v>
      </c>
      <c r="AF81" s="15">
        <v>-8.8898214342732402E-4</v>
      </c>
      <c r="AG81" s="15">
        <v>-1.93748741208102E-3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7.7045119728358872E-3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1.5457565472971464E-2</v>
      </c>
      <c r="BE81" s="29">
        <f t="shared" si="22"/>
        <v>0</v>
      </c>
      <c r="BF81" s="29">
        <f t="shared" si="23"/>
        <v>2.3162077445807356E-2</v>
      </c>
      <c r="BH81" s="29"/>
    </row>
    <row r="82" spans="1:60" x14ac:dyDescent="0.25">
      <c r="A82" s="1">
        <v>46141</v>
      </c>
      <c r="B82" s="33">
        <v>21.98</v>
      </c>
      <c r="C82" s="33">
        <v>41.31</v>
      </c>
      <c r="D82" s="15">
        <v>-6.8012050874829101E-3</v>
      </c>
      <c r="E82" s="15">
        <v>-6.9955658585444599E-3</v>
      </c>
      <c r="F82" s="33">
        <v>0</v>
      </c>
      <c r="G82" s="33">
        <v>0.1246</v>
      </c>
      <c r="H82" s="33">
        <v>0</v>
      </c>
      <c r="I82" s="33">
        <v>0</v>
      </c>
      <c r="J82" s="33">
        <v>0.1246</v>
      </c>
      <c r="K82" s="33">
        <v>0</v>
      </c>
      <c r="L82" s="33">
        <v>22.104600000000001</v>
      </c>
      <c r="M82" s="33">
        <v>41.31</v>
      </c>
      <c r="N82" s="34">
        <v>1.8794358507734299</v>
      </c>
      <c r="O82" s="34">
        <v>1.8789764613078801</v>
      </c>
      <c r="P82" s="34">
        <v>1.8785289222308299</v>
      </c>
      <c r="Q82" s="34">
        <v>1.8768253191272699</v>
      </c>
      <c r="R82" s="33">
        <v>41.299902619547197</v>
      </c>
      <c r="S82" s="33">
        <v>41.288432765244302</v>
      </c>
      <c r="T82" s="33">
        <v>41.242926436968801</v>
      </c>
      <c r="U82" s="15">
        <v>-2.4445932467773401E-4</v>
      </c>
      <c r="V82" s="15">
        <v>-5.2221899432664995E-4</v>
      </c>
      <c r="W82" s="15">
        <v>-1.6249836483213001E-3</v>
      </c>
      <c r="X82" s="34">
        <v>1.8688417795390999</v>
      </c>
      <c r="Y82" s="34">
        <v>1.8652915884207499</v>
      </c>
      <c r="Z82" s="34">
        <v>1.8680603578855901</v>
      </c>
      <c r="AA82" s="34">
        <v>1.8663390986856401</v>
      </c>
      <c r="AB82" s="33">
        <v>41.231524445405398</v>
      </c>
      <c r="AC82" s="33">
        <v>41.291469167949401</v>
      </c>
      <c r="AD82" s="33">
        <v>41.249202364618398</v>
      </c>
      <c r="AE82" s="15">
        <v>-1.9014811942645101E-3</v>
      </c>
      <c r="AF82" s="15">
        <v>-4.4868045443113998E-4</v>
      </c>
      <c r="AG82" s="15">
        <v>-1.47282543024915E-3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7.7045119728358872E-3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1.5457565472971464E-2</v>
      </c>
      <c r="BE82" s="29">
        <f t="shared" si="22"/>
        <v>0</v>
      </c>
      <c r="BF82" s="29">
        <f t="shared" si="23"/>
        <v>2.3162077445807356E-2</v>
      </c>
      <c r="BH82" s="29"/>
    </row>
    <row r="83" spans="1:60" x14ac:dyDescent="0.25">
      <c r="A83" s="1">
        <v>46142</v>
      </c>
      <c r="B83" s="33">
        <v>22.27</v>
      </c>
      <c r="C83" s="33">
        <v>41.88</v>
      </c>
      <c r="D83" s="15">
        <v>1.31075322938008E-2</v>
      </c>
      <c r="E83" s="15">
        <v>1.3703784593663001E-2</v>
      </c>
      <c r="F83" s="33">
        <v>0</v>
      </c>
      <c r="G83" s="33">
        <v>0.1246</v>
      </c>
      <c r="H83" s="33">
        <v>0</v>
      </c>
      <c r="I83" s="33">
        <v>0</v>
      </c>
      <c r="J83" s="33">
        <v>0.1246</v>
      </c>
      <c r="K83" s="33">
        <v>0</v>
      </c>
      <c r="L83" s="33">
        <v>22.394600000000001</v>
      </c>
      <c r="M83" s="33">
        <v>41.88</v>
      </c>
      <c r="N83" s="34">
        <v>1.88055680287382</v>
      </c>
      <c r="O83" s="34">
        <v>1.8789764613078801</v>
      </c>
      <c r="P83" s="34">
        <v>1.87861872914596</v>
      </c>
      <c r="Q83" s="34">
        <v>1.8771373122764301</v>
      </c>
      <c r="R83" s="33">
        <v>41.844805793326501</v>
      </c>
      <c r="S83" s="33">
        <v>41.8348390980807</v>
      </c>
      <c r="T83" s="33">
        <v>41.796899856964401</v>
      </c>
      <c r="U83" s="15">
        <v>-8.4071162453977196E-4</v>
      </c>
      <c r="V83" s="15">
        <v>-1.07892236995806E-3</v>
      </c>
      <c r="W83" s="15">
        <v>-1.9862153233954202E-3</v>
      </c>
      <c r="X83" s="34">
        <v>1.8700936832986499</v>
      </c>
      <c r="Y83" s="34">
        <v>1.8652915884207499</v>
      </c>
      <c r="Z83" s="34">
        <v>1.8681496651292999</v>
      </c>
      <c r="AA83" s="34">
        <v>1.86665667509222</v>
      </c>
      <c r="AB83" s="33">
        <v>41.772459006047399</v>
      </c>
      <c r="AC83" s="33">
        <v>41.834464490704697</v>
      </c>
      <c r="AD83" s="33">
        <v>41.795917579425399</v>
      </c>
      <c r="AE83" s="15">
        <v>-2.5711390788570499E-3</v>
      </c>
      <c r="AF83" s="15">
        <v>-1.08787684573117E-3</v>
      </c>
      <c r="AG83" s="15">
        <v>-2.0097168052019502E-3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7.7045119728358872E-3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1.5457565472971464E-2</v>
      </c>
      <c r="BE83" s="29">
        <f t="shared" si="22"/>
        <v>0</v>
      </c>
      <c r="BF83" s="29">
        <f t="shared" si="23"/>
        <v>2.3162077445807356E-2</v>
      </c>
      <c r="BH83" s="29"/>
    </row>
    <row r="84" spans="1:60" x14ac:dyDescent="0.25">
      <c r="A84" s="1">
        <v>46143</v>
      </c>
      <c r="B84" s="33">
        <v>22.23</v>
      </c>
      <c r="C84" s="33">
        <v>41.82</v>
      </c>
      <c r="D84" s="15">
        <v>-1.7977532931709799E-3</v>
      </c>
      <c r="E84" s="15">
        <v>-1.4336920018486899E-3</v>
      </c>
      <c r="F84" s="33">
        <v>4.3720000000000002E-2</v>
      </c>
      <c r="G84" s="33">
        <v>0.16832</v>
      </c>
      <c r="H84" s="33">
        <v>0</v>
      </c>
      <c r="I84" s="33">
        <v>0</v>
      </c>
      <c r="J84" s="33">
        <v>0.16832</v>
      </c>
      <c r="K84" s="33">
        <v>0</v>
      </c>
      <c r="L84" s="33">
        <v>22.398319999999998</v>
      </c>
      <c r="M84" s="33">
        <v>41.82</v>
      </c>
      <c r="N84" s="34">
        <v>1.88124156545209</v>
      </c>
      <c r="O84" s="34">
        <v>1.8789764613078801</v>
      </c>
      <c r="P84" s="34">
        <v>1.8788303076358599</v>
      </c>
      <c r="Q84" s="34">
        <v>1.8775293722674999</v>
      </c>
      <c r="R84" s="33">
        <v>41.7696467348742</v>
      </c>
      <c r="S84" s="33">
        <v>41.761694348914801</v>
      </c>
      <c r="T84" s="33">
        <v>41.728762451905098</v>
      </c>
      <c r="U84" s="15">
        <v>-1.2047729158622101E-3</v>
      </c>
      <c r="V84" s="15">
        <v>-1.3951777598449999E-3</v>
      </c>
      <c r="W84" s="15">
        <v>-2.1840559138170102E-3</v>
      </c>
      <c r="X84" s="34">
        <v>1.8671043185381699</v>
      </c>
      <c r="Y84" s="34">
        <v>1.8652915884207499</v>
      </c>
      <c r="Z84" s="34">
        <v>1.86798607837112</v>
      </c>
      <c r="AA84" s="34">
        <v>1.8668722747570701</v>
      </c>
      <c r="AB84" s="33">
        <v>41.7793978907564</v>
      </c>
      <c r="AC84" s="33">
        <v>41.843414007459003</v>
      </c>
      <c r="AD84" s="33">
        <v>41.809973538851601</v>
      </c>
      <c r="AE84" s="15">
        <v>-9.7134939868983195E-4</v>
      </c>
      <c r="AF84" s="15">
        <v>5.5971916393976397E-4</v>
      </c>
      <c r="AG84" s="15">
        <v>-2.3978152263050799E-4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7.7045119728358872E-3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1.5457565472971464E-2</v>
      </c>
      <c r="BE84" s="29">
        <f t="shared" si="22"/>
        <v>0</v>
      </c>
      <c r="BF84" s="29">
        <f t="shared" si="23"/>
        <v>2.3162077445807356E-2</v>
      </c>
      <c r="BH84" s="29"/>
    </row>
    <row r="85" spans="1:60" x14ac:dyDescent="0.25">
      <c r="A85" s="1">
        <v>46146</v>
      </c>
      <c r="B85" s="33">
        <v>22.13</v>
      </c>
      <c r="C85" s="33">
        <v>41.63</v>
      </c>
      <c r="D85" s="15">
        <v>-4.5085739131469601E-3</v>
      </c>
      <c r="E85" s="15">
        <v>-4.5536327936034201E-3</v>
      </c>
      <c r="F85" s="33">
        <v>0</v>
      </c>
      <c r="G85" s="33">
        <v>0.16832</v>
      </c>
      <c r="H85" s="33">
        <v>0</v>
      </c>
      <c r="I85" s="33">
        <v>0</v>
      </c>
      <c r="J85" s="33">
        <v>0.16832</v>
      </c>
      <c r="K85" s="33">
        <v>0</v>
      </c>
      <c r="L85" s="33">
        <v>22.29832</v>
      </c>
      <c r="M85" s="33">
        <v>41.63</v>
      </c>
      <c r="N85" s="34">
        <v>1.881156800723</v>
      </c>
      <c r="O85" s="34">
        <v>1.8789764613078801</v>
      </c>
      <c r="P85" s="34">
        <v>1.8793736046346701</v>
      </c>
      <c r="Q85" s="34">
        <v>1.8780602223676901</v>
      </c>
      <c r="R85" s="33">
        <v>41.5817490887434</v>
      </c>
      <c r="S85" s="33">
        <v>41.578514707981697</v>
      </c>
      <c r="T85" s="33">
        <v>41.5497250082798</v>
      </c>
      <c r="U85" s="15">
        <v>-1.15971403540568E-3</v>
      </c>
      <c r="V85" s="15">
        <v>-1.2375007237976599E-3</v>
      </c>
      <c r="W85" s="15">
        <v>-1.93015825994395E-3</v>
      </c>
      <c r="X85" s="34">
        <v>1.86695679315751</v>
      </c>
      <c r="Y85" s="34">
        <v>1.8652915884207499</v>
      </c>
      <c r="Z85" s="34">
        <v>1.8681446761881999</v>
      </c>
      <c r="AA85" s="34">
        <v>1.8672231983919201</v>
      </c>
      <c r="AB85" s="33">
        <v>41.592868731914301</v>
      </c>
      <c r="AC85" s="33">
        <v>41.652951331064401</v>
      </c>
      <c r="AD85" s="33">
        <v>41.628115381661203</v>
      </c>
      <c r="AE85" s="15">
        <v>-8.9233334816018898E-4</v>
      </c>
      <c r="AF85" s="15">
        <v>5.5116518515892796E-4</v>
      </c>
      <c r="AG85" s="15">
        <v>-4.52717030743557E-5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7.7045119728358872E-3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1.5457565472971464E-2</v>
      </c>
      <c r="BE85" s="29">
        <f t="shared" si="22"/>
        <v>0</v>
      </c>
      <c r="BF85" s="29">
        <f t="shared" si="23"/>
        <v>2.3162077445807356E-2</v>
      </c>
      <c r="BH85" s="29"/>
    </row>
    <row r="86" spans="1:60" x14ac:dyDescent="0.25">
      <c r="A86" s="1">
        <v>46147</v>
      </c>
      <c r="B86" s="33">
        <v>22.13</v>
      </c>
      <c r="C86" s="33">
        <v>41.78</v>
      </c>
      <c r="D86" s="15">
        <v>0</v>
      </c>
      <c r="E86" s="15">
        <v>3.5966949215356799E-3</v>
      </c>
      <c r="F86" s="33">
        <v>0</v>
      </c>
      <c r="G86" s="33">
        <v>0.16832</v>
      </c>
      <c r="H86" s="33">
        <v>0</v>
      </c>
      <c r="I86" s="33">
        <v>0</v>
      </c>
      <c r="J86" s="33">
        <v>0.16832</v>
      </c>
      <c r="K86" s="33">
        <v>0</v>
      </c>
      <c r="L86" s="33">
        <v>22.29832</v>
      </c>
      <c r="M86" s="33">
        <v>41.78</v>
      </c>
      <c r="N86" s="34">
        <v>1.88793492995933</v>
      </c>
      <c r="O86" s="34">
        <v>1.8789764613078801</v>
      </c>
      <c r="P86" s="34">
        <v>1.8803973134579399</v>
      </c>
      <c r="Q86" s="34">
        <v>1.8787497185236599</v>
      </c>
      <c r="R86" s="33">
        <v>41.5817490887434</v>
      </c>
      <c r="S86" s="33">
        <v>41.590537870565299</v>
      </c>
      <c r="T86" s="33">
        <v>41.561472720997102</v>
      </c>
      <c r="U86" s="15">
        <v>-4.75640895694122E-3</v>
      </c>
      <c r="V86" s="15">
        <v>-4.5450697675094099E-3</v>
      </c>
      <c r="W86" s="15">
        <v>-5.2441545050918997E-3</v>
      </c>
      <c r="X86" s="34">
        <v>1.8736837573413601</v>
      </c>
      <c r="Y86" s="34">
        <v>1.8652915884207499</v>
      </c>
      <c r="Z86" s="34">
        <v>1.86878939042157</v>
      </c>
      <c r="AA86" s="34">
        <v>1.8677295458084699</v>
      </c>
      <c r="AB86" s="33">
        <v>41.592868731914301</v>
      </c>
      <c r="AC86" s="33">
        <v>41.656487795940897</v>
      </c>
      <c r="AD86" s="33">
        <v>41.6359403891665</v>
      </c>
      <c r="AE86" s="15">
        <v>-4.4890282696958298E-3</v>
      </c>
      <c r="AF86" s="15">
        <v>-2.9606302360165198E-3</v>
      </c>
      <c r="AG86" s="15">
        <v>-3.4540101899669601E-3</v>
      </c>
      <c r="AI86" s="12"/>
      <c r="AJ86">
        <f t="shared" ref="AJ86:AJ149" si="26">IF($AG86&lt;AI$21,1,0)</f>
        <v>1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7.7045119728358872E-3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1.5457565472971464E-2</v>
      </c>
      <c r="BE86" s="29">
        <f t="shared" si="22"/>
        <v>0</v>
      </c>
      <c r="BF86" s="29">
        <f t="shared" si="23"/>
        <v>2.3162077445807356E-2</v>
      </c>
      <c r="BH86" s="29"/>
    </row>
    <row r="87" spans="1:60" x14ac:dyDescent="0.25">
      <c r="A87" s="1">
        <v>46148</v>
      </c>
      <c r="B87" s="33">
        <v>22.34</v>
      </c>
      <c r="C87" s="33">
        <v>42.18</v>
      </c>
      <c r="D87" s="15">
        <v>9.4446395780964296E-3</v>
      </c>
      <c r="E87" s="15">
        <v>9.5284189222087593E-3</v>
      </c>
      <c r="F87" s="33">
        <v>0</v>
      </c>
      <c r="G87" s="33">
        <v>0.16832</v>
      </c>
      <c r="H87" s="33">
        <v>0</v>
      </c>
      <c r="I87" s="33">
        <v>0</v>
      </c>
      <c r="J87" s="33">
        <v>0.16832</v>
      </c>
      <c r="K87" s="33">
        <v>0</v>
      </c>
      <c r="L87" s="33">
        <v>22.508320000000001</v>
      </c>
      <c r="M87" s="33">
        <v>42.18</v>
      </c>
      <c r="N87" s="34">
        <v>1.8880931065353601</v>
      </c>
      <c r="O87" s="34">
        <v>1.8789764613078801</v>
      </c>
      <c r="P87" s="34">
        <v>1.88165606231372</v>
      </c>
      <c r="Q87" s="34">
        <v>1.87949145250211</v>
      </c>
      <c r="R87" s="33">
        <v>41.976334145617997</v>
      </c>
      <c r="S87" s="33">
        <v>42.008075982650404</v>
      </c>
      <c r="T87" s="33">
        <v>41.971268711818603</v>
      </c>
      <c r="U87" s="15">
        <v>-4.8401883010537501E-3</v>
      </c>
      <c r="V87" s="15">
        <v>-4.0842899505074397E-3</v>
      </c>
      <c r="W87" s="15">
        <v>-4.9608691456078198E-3</v>
      </c>
      <c r="X87" s="34">
        <v>1.8739737128315199</v>
      </c>
      <c r="Y87" s="34">
        <v>1.8652915884207499</v>
      </c>
      <c r="Z87" s="34">
        <v>1.86968063422088</v>
      </c>
      <c r="AA87" s="34">
        <v>1.8682869015491701</v>
      </c>
      <c r="AB87" s="33">
        <v>41.984579965482602</v>
      </c>
      <c r="AC87" s="33">
        <v>42.0633096122137</v>
      </c>
      <c r="AD87" s="33">
        <v>42.039454290511699</v>
      </c>
      <c r="AE87" s="15">
        <v>-4.6437678599853599E-3</v>
      </c>
      <c r="AF87" s="15">
        <v>-2.7703199922570702E-3</v>
      </c>
      <c r="AG87" s="15">
        <v>-3.3376098465916098E-3</v>
      </c>
      <c r="AI87" s="12"/>
      <c r="AJ87">
        <f t="shared" si="26"/>
        <v>1</v>
      </c>
      <c r="AK87">
        <f t="shared" si="27"/>
        <v>0</v>
      </c>
      <c r="AL87">
        <f t="shared" ref="AL87:AL150" si="34">AN87</f>
        <v>1</v>
      </c>
      <c r="AM87">
        <f t="shared" si="24"/>
        <v>1</v>
      </c>
      <c r="AN87">
        <f t="shared" ref="AN87:AN150" si="35">IF(AJ86,1,IF(AK86,0,AL86))*AM86</f>
        <v>1</v>
      </c>
      <c r="AO87" s="28">
        <f t="shared" si="28"/>
        <v>9.4446395780964296E-3</v>
      </c>
      <c r="AP87" s="28">
        <f t="shared" si="29"/>
        <v>-9.5284189222087593E-3</v>
      </c>
      <c r="AQ87" s="28">
        <f t="shared" ref="AQ87:AQ150" si="36">AO87+AP87</f>
        <v>-8.3779344112329748E-5</v>
      </c>
      <c r="AR87" s="29">
        <f t="shared" ref="AR87:AR150" si="37">AR86+AQ87</f>
        <v>7.6207326287235574E-3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1.5457565472971464E-2</v>
      </c>
      <c r="BE87" s="29">
        <f t="shared" ref="BE87:BE150" si="42">AQ87+BB87</f>
        <v>-8.3779344112329748E-5</v>
      </c>
      <c r="BF87" s="29">
        <f t="shared" ref="BF87:BF150" si="43">BF86+BE87</f>
        <v>2.3078298101695024E-2</v>
      </c>
      <c r="BH87" s="29"/>
    </row>
    <row r="88" spans="1:60" x14ac:dyDescent="0.25">
      <c r="A88" s="1">
        <v>46149</v>
      </c>
      <c r="B88" s="33">
        <v>22.31</v>
      </c>
      <c r="C88" s="33">
        <v>42.06</v>
      </c>
      <c r="D88" s="15">
        <v>-1.34378519661353E-3</v>
      </c>
      <c r="E88" s="15">
        <v>-2.8490047760747102E-3</v>
      </c>
      <c r="F88" s="33">
        <v>0</v>
      </c>
      <c r="G88" s="33">
        <v>0.16832</v>
      </c>
      <c r="H88" s="33">
        <v>0</v>
      </c>
      <c r="I88" s="33">
        <v>0</v>
      </c>
      <c r="J88" s="33">
        <v>0.16832</v>
      </c>
      <c r="K88" s="33">
        <v>0</v>
      </c>
      <c r="L88" s="33">
        <v>22.47832</v>
      </c>
      <c r="M88" s="33">
        <v>42.06</v>
      </c>
      <c r="N88" s="34">
        <v>1.8852532496638199</v>
      </c>
      <c r="O88" s="34">
        <v>1.8789764613078801</v>
      </c>
      <c r="P88" s="34">
        <v>1.88231490103744</v>
      </c>
      <c r="Q88" s="34">
        <v>1.87991973154696</v>
      </c>
      <c r="R88" s="33">
        <v>41.919964851778801</v>
      </c>
      <c r="S88" s="33">
        <v>41.979746750219199</v>
      </c>
      <c r="T88" s="33">
        <v>41.931454305322198</v>
      </c>
      <c r="U88" s="15">
        <v>-3.3349687215924999E-3</v>
      </c>
      <c r="V88" s="15">
        <v>-1.9098885296282501E-3</v>
      </c>
      <c r="W88" s="15">
        <v>-3.0609255692926698E-3</v>
      </c>
      <c r="X88" s="34">
        <v>1.87113627708832</v>
      </c>
      <c r="Y88" s="34">
        <v>1.8652915884207499</v>
      </c>
      <c r="Z88" s="34">
        <v>1.86997772339572</v>
      </c>
      <c r="AA88" s="34">
        <v>1.8685325798272101</v>
      </c>
      <c r="AB88" s="33">
        <v>41.928621217829999</v>
      </c>
      <c r="AC88" s="33">
        <v>42.027279593819898</v>
      </c>
      <c r="AD88" s="33">
        <v>41.995950824830899</v>
      </c>
      <c r="AE88" s="15">
        <v>-3.1284925843617899E-3</v>
      </c>
      <c r="AF88" s="15">
        <v>-7.7824869563094395E-4</v>
      </c>
      <c r="AG88" s="15">
        <v>-1.52396557142302E-3</v>
      </c>
      <c r="AI88" s="12"/>
      <c r="AJ88">
        <f t="shared" si="26"/>
        <v>0</v>
      </c>
      <c r="AK88">
        <f t="shared" si="27"/>
        <v>0</v>
      </c>
      <c r="AL88">
        <f t="shared" si="34"/>
        <v>1</v>
      </c>
      <c r="AM88">
        <f t="shared" si="24"/>
        <v>1</v>
      </c>
      <c r="AN88">
        <f t="shared" si="35"/>
        <v>1</v>
      </c>
      <c r="AO88" s="28">
        <f t="shared" si="28"/>
        <v>-1.34378519661353E-3</v>
      </c>
      <c r="AP88" s="28">
        <f t="shared" si="29"/>
        <v>2.8490047760747102E-3</v>
      </c>
      <c r="AQ88" s="28">
        <f t="shared" si="36"/>
        <v>1.5052195794611801E-3</v>
      </c>
      <c r="AR88" s="29">
        <f t="shared" si="37"/>
        <v>9.1259522081847382E-3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1.5457565472971464E-2</v>
      </c>
      <c r="BE88" s="29">
        <f t="shared" si="42"/>
        <v>1.5052195794611801E-3</v>
      </c>
      <c r="BF88" s="29">
        <f t="shared" si="43"/>
        <v>2.4583517681156204E-2</v>
      </c>
      <c r="BH88" s="29"/>
    </row>
    <row r="89" spans="1:60" x14ac:dyDescent="0.25">
      <c r="A89" s="1">
        <v>46150</v>
      </c>
      <c r="B89" s="33">
        <v>22.39</v>
      </c>
      <c r="C89" s="33">
        <v>42.27</v>
      </c>
      <c r="D89" s="15">
        <v>3.5794221662223602E-3</v>
      </c>
      <c r="E89" s="15">
        <v>4.9804443041447499E-3</v>
      </c>
      <c r="F89" s="33">
        <v>0</v>
      </c>
      <c r="G89" s="33">
        <v>0.16832</v>
      </c>
      <c r="H89" s="33">
        <v>0</v>
      </c>
      <c r="I89" s="33">
        <v>0</v>
      </c>
      <c r="J89" s="33">
        <v>0.16832</v>
      </c>
      <c r="K89" s="33">
        <v>0</v>
      </c>
      <c r="L89" s="33">
        <v>22.558319999999998</v>
      </c>
      <c r="M89" s="33">
        <v>42.27</v>
      </c>
      <c r="N89" s="34">
        <v>1.88789638231353</v>
      </c>
      <c r="O89" s="34">
        <v>1.8789764613078801</v>
      </c>
      <c r="P89" s="34">
        <v>1.88310453926879</v>
      </c>
      <c r="Q89" s="34">
        <v>1.88044896653995</v>
      </c>
      <c r="R89" s="33">
        <v>42.070282968683401</v>
      </c>
      <c r="S89" s="33">
        <v>42.145030634228199</v>
      </c>
      <c r="T89" s="33">
        <v>42.091402789336499</v>
      </c>
      <c r="U89" s="15">
        <v>-4.73599085951492E-3</v>
      </c>
      <c r="V89" s="15">
        <v>-2.9608342525855201E-3</v>
      </c>
      <c r="W89" s="15">
        <v>-4.2341040233330003E-3</v>
      </c>
      <c r="X89" s="34">
        <v>1.8738097517900201</v>
      </c>
      <c r="Y89" s="34">
        <v>1.8652915884207499</v>
      </c>
      <c r="Z89" s="34">
        <v>1.8704056357266701</v>
      </c>
      <c r="AA89" s="34">
        <v>1.86888207901593</v>
      </c>
      <c r="AB89" s="33">
        <v>42.077844544903698</v>
      </c>
      <c r="AC89" s="33">
        <v>42.183555877232102</v>
      </c>
      <c r="AD89" s="33">
        <v>42.150955866167799</v>
      </c>
      <c r="AE89" s="15">
        <v>-4.5562702533882204E-3</v>
      </c>
      <c r="AF89" s="15">
        <v>-2.0471406339020899E-3</v>
      </c>
      <c r="AG89" s="15">
        <v>-2.8202526615686801E-3</v>
      </c>
      <c r="AI89" s="12"/>
      <c r="AJ89">
        <f t="shared" si="26"/>
        <v>0</v>
      </c>
      <c r="AK89">
        <f t="shared" si="27"/>
        <v>0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3.5794221662223602E-3</v>
      </c>
      <c r="AP89" s="28">
        <f t="shared" si="29"/>
        <v>-4.9804443041447499E-3</v>
      </c>
      <c r="AQ89" s="28">
        <f t="shared" si="36"/>
        <v>-1.4010221379223897E-3</v>
      </c>
      <c r="AR89" s="29">
        <f t="shared" si="37"/>
        <v>7.7249300702623485E-3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1.5457565472971464E-2</v>
      </c>
      <c r="BE89" s="29">
        <f t="shared" si="42"/>
        <v>-1.4010221379223897E-3</v>
      </c>
      <c r="BF89" s="29">
        <f t="shared" si="43"/>
        <v>2.3182495543233813E-2</v>
      </c>
      <c r="BH89" s="29"/>
    </row>
    <row r="90" spans="1:60" x14ac:dyDescent="0.25">
      <c r="A90" s="1">
        <v>46153</v>
      </c>
      <c r="B90" s="33">
        <v>22.29</v>
      </c>
      <c r="C90" s="33">
        <v>42.07</v>
      </c>
      <c r="D90" s="15">
        <v>-4.4762832128860796E-3</v>
      </c>
      <c r="E90" s="15">
        <v>-4.7427169762690796E-3</v>
      </c>
      <c r="F90" s="33">
        <v>0</v>
      </c>
      <c r="G90" s="33">
        <v>0.16832</v>
      </c>
      <c r="H90" s="33">
        <v>0</v>
      </c>
      <c r="I90" s="33">
        <v>0</v>
      </c>
      <c r="J90" s="33">
        <v>0.16832</v>
      </c>
      <c r="K90" s="33">
        <v>0</v>
      </c>
      <c r="L90" s="33">
        <v>22.458320000000001</v>
      </c>
      <c r="M90" s="33">
        <v>42.07</v>
      </c>
      <c r="N90" s="34">
        <v>1.88739344997756</v>
      </c>
      <c r="O90" s="34">
        <v>1.8789764613078801</v>
      </c>
      <c r="P90" s="34">
        <v>1.8838763313147699</v>
      </c>
      <c r="Q90" s="34">
        <v>1.88096451927296</v>
      </c>
      <c r="R90" s="33">
        <v>41.882385322552601</v>
      </c>
      <c r="S90" s="33">
        <v>41.974400180301402</v>
      </c>
      <c r="T90" s="33">
        <v>41.915207464175502</v>
      </c>
      <c r="U90" s="15">
        <v>-4.4695570961319304E-3</v>
      </c>
      <c r="V90" s="15">
        <v>-2.2749846682312601E-3</v>
      </c>
      <c r="W90" s="15">
        <v>-3.6861898845008401E-3</v>
      </c>
      <c r="X90" s="34">
        <v>1.8732478653790601</v>
      </c>
      <c r="Y90" s="34">
        <v>1.8652915884207499</v>
      </c>
      <c r="Z90" s="34">
        <v>1.8708124403155399</v>
      </c>
      <c r="AA90" s="34">
        <v>1.86921394476256</v>
      </c>
      <c r="AB90" s="33">
        <v>41.891315386061599</v>
      </c>
      <c r="AC90" s="33">
        <v>42.006168296953</v>
      </c>
      <c r="AD90" s="33">
        <v>41.971951772805099</v>
      </c>
      <c r="AE90" s="15">
        <v>-4.2563621801324E-3</v>
      </c>
      <c r="AF90" s="15">
        <v>-1.5184258893862501E-3</v>
      </c>
      <c r="AG90" s="15">
        <v>-2.3333173399905801E-3</v>
      </c>
      <c r="AI90" s="12"/>
      <c r="AJ90">
        <f t="shared" si="26"/>
        <v>0</v>
      </c>
      <c r="AK90">
        <f t="shared" si="27"/>
        <v>0</v>
      </c>
      <c r="AL90">
        <f t="shared" si="34"/>
        <v>1</v>
      </c>
      <c r="AM90">
        <f t="shared" si="24"/>
        <v>1</v>
      </c>
      <c r="AN90">
        <f t="shared" si="35"/>
        <v>1</v>
      </c>
      <c r="AO90" s="28">
        <f t="shared" si="28"/>
        <v>-4.4762832128860796E-3</v>
      </c>
      <c r="AP90" s="28">
        <f t="shared" si="29"/>
        <v>4.7427169762690796E-3</v>
      </c>
      <c r="AQ90" s="28">
        <f t="shared" si="36"/>
        <v>2.6643376338299999E-4</v>
      </c>
      <c r="AR90" s="29">
        <f t="shared" si="37"/>
        <v>7.9913638336453485E-3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1.5457565472971464E-2</v>
      </c>
      <c r="BE90" s="29">
        <f t="shared" si="42"/>
        <v>2.6643376338299999E-4</v>
      </c>
      <c r="BF90" s="29">
        <f t="shared" si="43"/>
        <v>2.3448929306616812E-2</v>
      </c>
      <c r="BH90" s="29"/>
    </row>
    <row r="91" spans="1:60" x14ac:dyDescent="0.25">
      <c r="A91" s="1">
        <v>46154</v>
      </c>
      <c r="B91" s="33">
        <v>22.14</v>
      </c>
      <c r="C91" s="33">
        <v>41.71</v>
      </c>
      <c r="D91" s="15">
        <v>-6.75222011728655E-3</v>
      </c>
      <c r="E91" s="15">
        <v>-8.5939893935756701E-3</v>
      </c>
      <c r="F91" s="33">
        <v>0</v>
      </c>
      <c r="G91" s="33">
        <v>0.16832</v>
      </c>
      <c r="H91" s="33">
        <v>0</v>
      </c>
      <c r="I91" s="33">
        <v>0</v>
      </c>
      <c r="J91" s="33">
        <v>0.16832</v>
      </c>
      <c r="K91" s="33">
        <v>0</v>
      </c>
      <c r="L91" s="33">
        <v>22.308319999999998</v>
      </c>
      <c r="M91" s="33">
        <v>41.71</v>
      </c>
      <c r="N91" s="34">
        <v>1.8839205058717201</v>
      </c>
      <c r="O91" s="34">
        <v>1.8789764613078801</v>
      </c>
      <c r="P91" s="34">
        <v>1.8842882644143599</v>
      </c>
      <c r="Q91" s="34">
        <v>1.88137144715814</v>
      </c>
      <c r="R91" s="33">
        <v>41.600538853356497</v>
      </c>
      <c r="S91" s="33">
        <v>41.709021975309</v>
      </c>
      <c r="T91" s="33">
        <v>41.644554456703297</v>
      </c>
      <c r="U91" s="15">
        <v>-2.6277878198428099E-3</v>
      </c>
      <c r="V91" s="15">
        <v>-2.3448481362440799E-5</v>
      </c>
      <c r="W91" s="15">
        <v>-1.5702934811727999E-3</v>
      </c>
      <c r="X91" s="34">
        <v>1.8697060110308601</v>
      </c>
      <c r="Y91" s="34">
        <v>1.8652915884207499</v>
      </c>
      <c r="Z91" s="34">
        <v>1.87085539499946</v>
      </c>
      <c r="AA91" s="34">
        <v>1.86942942492183</v>
      </c>
      <c r="AB91" s="33">
        <v>41.611521647798497</v>
      </c>
      <c r="AC91" s="33">
        <v>41.734682578540003</v>
      </c>
      <c r="AD91" s="33">
        <v>41.699022828225701</v>
      </c>
      <c r="AE91" s="15">
        <v>-2.3638166012563402E-3</v>
      </c>
      <c r="AF91" s="15">
        <v>5.9159142313566597E-4</v>
      </c>
      <c r="AG91" s="15">
        <v>-2.6321305454612298E-4</v>
      </c>
      <c r="AI91" s="12"/>
      <c r="AJ91">
        <f t="shared" si="26"/>
        <v>0</v>
      </c>
      <c r="AK91">
        <f t="shared" si="27"/>
        <v>1</v>
      </c>
      <c r="AL91">
        <f t="shared" si="34"/>
        <v>1</v>
      </c>
      <c r="AM91">
        <f t="shared" si="24"/>
        <v>1</v>
      </c>
      <c r="AN91">
        <f t="shared" si="35"/>
        <v>1</v>
      </c>
      <c r="AO91" s="28">
        <f t="shared" si="28"/>
        <v>-6.75222011728655E-3</v>
      </c>
      <c r="AP91" s="28">
        <f t="shared" si="29"/>
        <v>8.5939893935756701E-3</v>
      </c>
      <c r="AQ91" s="28">
        <f t="shared" si="36"/>
        <v>1.8417692762891201E-3</v>
      </c>
      <c r="AR91" s="29">
        <f t="shared" si="37"/>
        <v>9.8331331099344686E-3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1.5457565472971464E-2</v>
      </c>
      <c r="BE91" s="29">
        <f t="shared" si="42"/>
        <v>1.8417692762891201E-3</v>
      </c>
      <c r="BF91" s="29">
        <f t="shared" si="43"/>
        <v>2.5290698582905932E-2</v>
      </c>
      <c r="BH91" s="29"/>
    </row>
    <row r="92" spans="1:60" x14ac:dyDescent="0.25">
      <c r="A92" s="1">
        <v>46155</v>
      </c>
      <c r="B92" s="33">
        <v>22.11</v>
      </c>
      <c r="C92" s="33">
        <v>41.74</v>
      </c>
      <c r="D92" s="15">
        <v>-1.35593241113595E-3</v>
      </c>
      <c r="E92" s="15">
        <v>7.1899344020074296E-4</v>
      </c>
      <c r="F92" s="33">
        <v>0</v>
      </c>
      <c r="G92" s="33">
        <v>0.16832</v>
      </c>
      <c r="H92" s="33">
        <v>0</v>
      </c>
      <c r="I92" s="33">
        <v>0</v>
      </c>
      <c r="J92" s="33">
        <v>0.16832</v>
      </c>
      <c r="K92" s="33">
        <v>0</v>
      </c>
      <c r="L92" s="33">
        <v>22.278320000000001</v>
      </c>
      <c r="M92" s="33">
        <v>41.74</v>
      </c>
      <c r="N92" s="34">
        <v>1.8878335594753499</v>
      </c>
      <c r="O92" s="34">
        <v>1.8789764613078801</v>
      </c>
      <c r="P92" s="34">
        <v>1.8851280352845601</v>
      </c>
      <c r="Q92" s="34">
        <v>1.88182847875769</v>
      </c>
      <c r="R92" s="33">
        <v>41.544169559517201</v>
      </c>
      <c r="S92" s="33">
        <v>41.661613526201698</v>
      </c>
      <c r="T92" s="33">
        <v>41.597122696666602</v>
      </c>
      <c r="U92" s="15">
        <v>-4.7027136711796404E-3</v>
      </c>
      <c r="V92" s="15">
        <v>-1.87973574047478E-3</v>
      </c>
      <c r="W92" s="15">
        <v>-3.4289027194249898E-3</v>
      </c>
      <c r="X92" s="34">
        <v>1.87357035898577</v>
      </c>
      <c r="Y92" s="34">
        <v>1.8652915884207499</v>
      </c>
      <c r="Z92" s="34">
        <v>1.87132825294412</v>
      </c>
      <c r="AA92" s="34">
        <v>1.86969430541486</v>
      </c>
      <c r="AB92" s="33">
        <v>41.555562900145901</v>
      </c>
      <c r="AC92" s="33">
        <v>41.6795151635243</v>
      </c>
      <c r="AD92" s="33">
        <v>41.647746945824601</v>
      </c>
      <c r="AE92" s="15">
        <v>-4.4285048292787401E-3</v>
      </c>
      <c r="AF92" s="15">
        <v>-1.4501366246615899E-3</v>
      </c>
      <c r="AG92" s="15">
        <v>-2.21262943757035E-3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9.8331331099344686E-3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1.5457565472971464E-2</v>
      </c>
      <c r="BE92" s="29">
        <f t="shared" si="42"/>
        <v>0</v>
      </c>
      <c r="BF92" s="29">
        <f t="shared" si="43"/>
        <v>2.5290698582905932E-2</v>
      </c>
      <c r="BH92" s="29"/>
    </row>
    <row r="93" spans="1:60" x14ac:dyDescent="0.25">
      <c r="A93" s="1">
        <v>46156</v>
      </c>
      <c r="B93" s="33">
        <v>22.05</v>
      </c>
      <c r="C93" s="33">
        <v>41.52</v>
      </c>
      <c r="D93" s="15">
        <v>-2.7173929764999099E-3</v>
      </c>
      <c r="E93" s="15">
        <v>-5.2846627914214803E-3</v>
      </c>
      <c r="F93" s="33">
        <v>0</v>
      </c>
      <c r="G93" s="33">
        <v>0.16832</v>
      </c>
      <c r="H93" s="33">
        <v>0</v>
      </c>
      <c r="I93" s="33">
        <v>0</v>
      </c>
      <c r="J93" s="33">
        <v>0.16832</v>
      </c>
      <c r="K93" s="33">
        <v>0</v>
      </c>
      <c r="L93" s="33">
        <v>22.218319999999999</v>
      </c>
      <c r="M93" s="33">
        <v>41.52</v>
      </c>
      <c r="N93" s="34">
        <v>1.88299319727891</v>
      </c>
      <c r="O93" s="34">
        <v>1.8789764613078801</v>
      </c>
      <c r="P93" s="34">
        <v>1.8853716747250699</v>
      </c>
      <c r="Q93" s="34">
        <v>1.88199520193551</v>
      </c>
      <c r="R93" s="33">
        <v>41.4314309718388</v>
      </c>
      <c r="S93" s="33">
        <v>41.567073178024501</v>
      </c>
      <c r="T93" s="33">
        <v>41.494317956607198</v>
      </c>
      <c r="U93" s="15">
        <v>-2.13544385625805E-3</v>
      </c>
      <c r="V93" s="15">
        <v>1.1331048564019099E-3</v>
      </c>
      <c r="W93" s="15">
        <v>-6.1873770318777695E-4</v>
      </c>
      <c r="X93" s="34">
        <v>1.8687281486628999</v>
      </c>
      <c r="Y93" s="34">
        <v>1.8652915884207499</v>
      </c>
      <c r="Z93" s="34">
        <v>1.87119169948055</v>
      </c>
      <c r="AA93" s="34">
        <v>1.8696706823049201</v>
      </c>
      <c r="AB93" s="33">
        <v>41.443645404840602</v>
      </c>
      <c r="AC93" s="33">
        <v>41.577769948953502</v>
      </c>
      <c r="AD93" s="33">
        <v>41.541466379885101</v>
      </c>
      <c r="AE93" s="15">
        <v>-1.8406765118568699E-3</v>
      </c>
      <c r="AF93" s="15">
        <v>1.3904093526451501E-3</v>
      </c>
      <c r="AG93" s="15">
        <v>5.1687939783921495E-4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9.8331331099344686E-3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1.5457565472971464E-2</v>
      </c>
      <c r="BE93" s="29">
        <f t="shared" si="42"/>
        <v>0</v>
      </c>
      <c r="BF93" s="29">
        <f t="shared" si="43"/>
        <v>2.5290698582905932E-2</v>
      </c>
      <c r="BH93" s="29"/>
    </row>
    <row r="94" spans="1:60" x14ac:dyDescent="0.25">
      <c r="A94" s="1">
        <v>46157</v>
      </c>
      <c r="B94" s="33">
        <v>21.81</v>
      </c>
      <c r="C94" s="33">
        <v>41.01</v>
      </c>
      <c r="D94" s="15">
        <v>-1.09440216793173E-2</v>
      </c>
      <c r="E94" s="15">
        <v>-1.2359299453665399E-2</v>
      </c>
      <c r="F94" s="33">
        <v>0</v>
      </c>
      <c r="G94" s="33">
        <v>0.16832</v>
      </c>
      <c r="H94" s="33">
        <v>0</v>
      </c>
      <c r="I94" s="33">
        <v>0</v>
      </c>
      <c r="J94" s="33">
        <v>0.16832</v>
      </c>
      <c r="K94" s="33">
        <v>0</v>
      </c>
      <c r="L94" s="33">
        <v>21.97832</v>
      </c>
      <c r="M94" s="33">
        <v>41.01</v>
      </c>
      <c r="N94" s="34">
        <v>1.8803301237964201</v>
      </c>
      <c r="O94" s="34">
        <v>1.8789764613078801</v>
      </c>
      <c r="P94" s="34">
        <v>1.8852805305595</v>
      </c>
      <c r="Q94" s="34">
        <v>1.8820554190976799</v>
      </c>
      <c r="R94" s="33">
        <v>40.9804766211249</v>
      </c>
      <c r="S94" s="33">
        <v>41.119956225753697</v>
      </c>
      <c r="T94" s="33">
        <v>41.046315354213597</v>
      </c>
      <c r="U94" s="15">
        <v>-7.2016608191016295E-4</v>
      </c>
      <c r="V94" s="15">
        <v>2.67761719358578E-3</v>
      </c>
      <c r="W94" s="15">
        <v>8.8513251973076597E-4</v>
      </c>
      <c r="X94" s="34">
        <v>1.86592969799329</v>
      </c>
      <c r="Y94" s="34">
        <v>1.8652915884207499</v>
      </c>
      <c r="Z94" s="34">
        <v>1.87107423742606</v>
      </c>
      <c r="AA94" s="34">
        <v>1.8695301578985899</v>
      </c>
      <c r="AB94" s="33">
        <v>40.995975423619598</v>
      </c>
      <c r="AC94" s="33">
        <v>41.125649952527397</v>
      </c>
      <c r="AD94" s="33">
        <v>41.092220550316</v>
      </c>
      <c r="AE94" s="15">
        <v>-3.42037917227478E-4</v>
      </c>
      <c r="AF94" s="15">
        <v>2.8160738734573599E-3</v>
      </c>
      <c r="AG94" s="15">
        <v>2.0028831681018302E-3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9.8331331099344686E-3</v>
      </c>
      <c r="AT94" s="12"/>
      <c r="AU94">
        <f t="shared" si="30"/>
        <v>1</v>
      </c>
      <c r="AV94">
        <f t="shared" si="31"/>
        <v>0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1.5457565472971464E-2</v>
      </c>
      <c r="BE94" s="29">
        <f t="shared" si="42"/>
        <v>0</v>
      </c>
      <c r="BF94" s="29">
        <f t="shared" si="43"/>
        <v>2.5290698582905932E-2</v>
      </c>
      <c r="BH94" s="29"/>
    </row>
    <row r="95" spans="1:60" x14ac:dyDescent="0.25">
      <c r="A95" s="1">
        <v>46160</v>
      </c>
      <c r="B95" s="33">
        <v>21.9</v>
      </c>
      <c r="C95" s="33">
        <v>41.27</v>
      </c>
      <c r="D95" s="15">
        <v>4.1180566089175398E-3</v>
      </c>
      <c r="E95" s="15">
        <v>6.3199043605226901E-3</v>
      </c>
      <c r="F95" s="33">
        <v>0</v>
      </c>
      <c r="G95" s="33">
        <v>0.16832</v>
      </c>
      <c r="H95" s="33">
        <v>0</v>
      </c>
      <c r="I95" s="33">
        <v>0</v>
      </c>
      <c r="J95" s="33">
        <v>0.16832</v>
      </c>
      <c r="K95" s="33">
        <v>0</v>
      </c>
      <c r="L95" s="33">
        <v>22.06832</v>
      </c>
      <c r="M95" s="33">
        <v>41.27</v>
      </c>
      <c r="N95" s="34">
        <v>1.88447488584474</v>
      </c>
      <c r="O95" s="34">
        <v>1.8789764613078801</v>
      </c>
      <c r="P95" s="34">
        <v>1.8856123390716699</v>
      </c>
      <c r="Q95" s="34">
        <v>1.88249297185317</v>
      </c>
      <c r="R95" s="33">
        <v>41.149584502642597</v>
      </c>
      <c r="S95" s="33">
        <v>41.287643619253103</v>
      </c>
      <c r="T95" s="33">
        <v>41.217013678239297</v>
      </c>
      <c r="U95" s="15">
        <v>-2.9220138335153099E-3</v>
      </c>
      <c r="V95" s="15">
        <v>4.2742546294360098E-4</v>
      </c>
      <c r="W95" s="15">
        <v>-1.2847192954567801E-3</v>
      </c>
      <c r="X95" s="34">
        <v>1.8701015754710799</v>
      </c>
      <c r="Y95" s="34">
        <v>1.8652915884207499</v>
      </c>
      <c r="Z95" s="34">
        <v>1.87138871565742</v>
      </c>
      <c r="AA95" s="34">
        <v>1.8697666959228101</v>
      </c>
      <c r="AB95" s="33">
        <v>41.1638516665775</v>
      </c>
      <c r="AC95" s="33">
        <v>41.291465015274298</v>
      </c>
      <c r="AD95" s="33">
        <v>41.2573897741567</v>
      </c>
      <c r="AE95" s="15">
        <v>-2.5753592715926001E-3</v>
      </c>
      <c r="AF95" s="15">
        <v>5.1997661994116601E-4</v>
      </c>
      <c r="AG95" s="15">
        <v>-3.0560098837258999E-4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9.8331331099344686E-3</v>
      </c>
      <c r="AT95" s="12"/>
      <c r="AU95">
        <f t="shared" si="30"/>
        <v>0</v>
      </c>
      <c r="AV95">
        <f t="shared" si="31"/>
        <v>1</v>
      </c>
      <c r="AW95">
        <f t="shared" si="38"/>
        <v>1</v>
      </c>
      <c r="AX95">
        <f t="shared" si="25"/>
        <v>1</v>
      </c>
      <c r="AY95">
        <f t="shared" si="39"/>
        <v>1</v>
      </c>
      <c r="AZ95" s="28">
        <f t="shared" si="32"/>
        <v>-4.1180566089175398E-3</v>
      </c>
      <c r="BA95" s="28">
        <f t="shared" si="33"/>
        <v>6.3199043605226901E-3</v>
      </c>
      <c r="BB95" s="28">
        <f t="shared" si="40"/>
        <v>2.2018477516051503E-3</v>
      </c>
      <c r="BC95" s="29">
        <f t="shared" si="41"/>
        <v>1.7659413224576613E-2</v>
      </c>
      <c r="BE95" s="29">
        <f t="shared" si="42"/>
        <v>2.2018477516051503E-3</v>
      </c>
      <c r="BF95" s="29">
        <f t="shared" si="43"/>
        <v>2.7492546334511082E-2</v>
      </c>
      <c r="BH95" s="29"/>
    </row>
    <row r="96" spans="1:60" x14ac:dyDescent="0.25">
      <c r="A96" s="1">
        <v>46161</v>
      </c>
      <c r="B96" s="33">
        <v>21.74</v>
      </c>
      <c r="C96" s="33">
        <v>41.03</v>
      </c>
      <c r="D96" s="15">
        <v>-7.3327551293917896E-3</v>
      </c>
      <c r="E96" s="15">
        <v>-5.8323373103957802E-3</v>
      </c>
      <c r="F96" s="33">
        <v>0</v>
      </c>
      <c r="G96" s="33">
        <v>0.16832</v>
      </c>
      <c r="H96" s="33">
        <v>0</v>
      </c>
      <c r="I96" s="33">
        <v>0</v>
      </c>
      <c r="J96" s="33">
        <v>0.16832</v>
      </c>
      <c r="K96" s="33">
        <v>0</v>
      </c>
      <c r="L96" s="33">
        <v>21.90832</v>
      </c>
      <c r="M96" s="33">
        <v>41.03</v>
      </c>
      <c r="N96" s="34">
        <v>1.88730450781968</v>
      </c>
      <c r="O96" s="34">
        <v>1.8789764613078801</v>
      </c>
      <c r="P96" s="34">
        <v>1.8855492968577101</v>
      </c>
      <c r="Q96" s="34">
        <v>1.8829733051578199</v>
      </c>
      <c r="R96" s="33">
        <v>40.848948268833297</v>
      </c>
      <c r="S96" s="33">
        <v>40.9932122514182</v>
      </c>
      <c r="T96" s="33">
        <v>40.925397208088</v>
      </c>
      <c r="U96" s="15">
        <v>-4.4224316525112396E-3</v>
      </c>
      <c r="V96" s="15">
        <v>-8.9700829895938299E-4</v>
      </c>
      <c r="W96" s="15">
        <v>-2.5526774874167499E-3</v>
      </c>
      <c r="X96" s="34">
        <v>1.8728044870624401</v>
      </c>
      <c r="Y96" s="34">
        <v>1.8652915884207499</v>
      </c>
      <c r="Z96" s="34">
        <v>1.8713007886295301</v>
      </c>
      <c r="AA96" s="34">
        <v>1.87004508952555</v>
      </c>
      <c r="AB96" s="33">
        <v>40.865405012430202</v>
      </c>
      <c r="AC96" s="33">
        <v>40.998982827011801</v>
      </c>
      <c r="AD96" s="33">
        <v>40.9634470996196</v>
      </c>
      <c r="AE96" s="15">
        <v>-4.0196445494251999E-3</v>
      </c>
      <c r="AF96" s="15">
        <v>-7.5624915481048796E-4</v>
      </c>
      <c r="AG96" s="15">
        <v>-1.6233715583452201E-3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9.8331331099344686E-3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1.7659413224576613E-2</v>
      </c>
      <c r="BE96" s="29">
        <f t="shared" si="42"/>
        <v>0</v>
      </c>
      <c r="BF96" s="29">
        <f t="shared" si="43"/>
        <v>2.7492546334511082E-2</v>
      </c>
      <c r="BH96" s="29"/>
    </row>
    <row r="97" spans="1:60" x14ac:dyDescent="0.25">
      <c r="A97" s="1">
        <v>46162</v>
      </c>
      <c r="B97" s="33">
        <v>21.95</v>
      </c>
      <c r="C97" s="33">
        <v>41.42</v>
      </c>
      <c r="D97" s="15">
        <v>9.6132578281170108E-3</v>
      </c>
      <c r="E97" s="15">
        <v>9.4603495133433503E-3</v>
      </c>
      <c r="F97" s="33">
        <v>0</v>
      </c>
      <c r="G97" s="33">
        <v>0.16832</v>
      </c>
      <c r="H97" s="33">
        <v>0</v>
      </c>
      <c r="I97" s="33">
        <v>0</v>
      </c>
      <c r="J97" s="33">
        <v>0.16832</v>
      </c>
      <c r="K97" s="33">
        <v>0</v>
      </c>
      <c r="L97" s="33">
        <v>22.118320000000001</v>
      </c>
      <c r="M97" s="33">
        <v>41.42</v>
      </c>
      <c r="N97" s="34">
        <v>1.8870159453302899</v>
      </c>
      <c r="O97" s="34">
        <v>1.8789764613078801</v>
      </c>
      <c r="P97" s="34">
        <v>1.8854415807372</v>
      </c>
      <c r="Q97" s="34">
        <v>1.8835488215254601</v>
      </c>
      <c r="R97" s="33">
        <v>41.243533325708</v>
      </c>
      <c r="S97" s="33">
        <v>41.387807066026802</v>
      </c>
      <c r="T97" s="33">
        <v>41.331264048214301</v>
      </c>
      <c r="U97" s="15">
        <v>-4.2695233377377101E-3</v>
      </c>
      <c r="V97" s="15">
        <v>-7.7753382768348995E-4</v>
      </c>
      <c r="W97" s="15">
        <v>-2.1446436333751998E-3</v>
      </c>
      <c r="X97" s="34">
        <v>1.8726557894089599</v>
      </c>
      <c r="Y97" s="34">
        <v>1.8652915884207499</v>
      </c>
      <c r="Z97" s="34">
        <v>1.87116899628727</v>
      </c>
      <c r="AA97" s="34">
        <v>1.8704248152540699</v>
      </c>
      <c r="AB97" s="33">
        <v>41.257116245998503</v>
      </c>
      <c r="AC97" s="33">
        <v>41.390029659160298</v>
      </c>
      <c r="AD97" s="33">
        <v>41.362255704554798</v>
      </c>
      <c r="AE97" s="15">
        <v>-3.9402430112476699E-3</v>
      </c>
      <c r="AF97" s="15">
        <v>-7.2383362912845995E-4</v>
      </c>
      <c r="AG97" s="15">
        <v>-1.39508894313732E-3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9.8331331099344686E-3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1.7659413224576613E-2</v>
      </c>
      <c r="BE97" s="29">
        <f t="shared" si="42"/>
        <v>0</v>
      </c>
      <c r="BF97" s="29">
        <f t="shared" si="43"/>
        <v>2.7492546334511082E-2</v>
      </c>
      <c r="BH97" s="29"/>
    </row>
    <row r="98" spans="1:60" x14ac:dyDescent="0.25">
      <c r="A98" s="1">
        <v>46163</v>
      </c>
      <c r="B98" s="33">
        <v>21.94</v>
      </c>
      <c r="C98" s="33">
        <v>41.43</v>
      </c>
      <c r="D98" s="15">
        <v>-4.5568467409612401E-4</v>
      </c>
      <c r="E98" s="15">
        <v>2.4140012187237901E-4</v>
      </c>
      <c r="F98" s="33">
        <v>0</v>
      </c>
      <c r="G98" s="33">
        <v>0.16832</v>
      </c>
      <c r="H98" s="33">
        <v>0</v>
      </c>
      <c r="I98" s="33">
        <v>0</v>
      </c>
      <c r="J98" s="33">
        <v>0.16832</v>
      </c>
      <c r="K98" s="33">
        <v>0</v>
      </c>
      <c r="L98" s="33">
        <v>22.108319999999999</v>
      </c>
      <c r="M98" s="33">
        <v>41.43</v>
      </c>
      <c r="N98" s="34">
        <v>1.8883318140382801</v>
      </c>
      <c r="O98" s="34">
        <v>1.8789764613078801</v>
      </c>
      <c r="P98" s="34">
        <v>1.8857494371746499</v>
      </c>
      <c r="Q98" s="34">
        <v>1.88403216910604</v>
      </c>
      <c r="R98" s="33">
        <v>41.224743561094897</v>
      </c>
      <c r="S98" s="33">
        <v>41.366588281374298</v>
      </c>
      <c r="T98" s="33">
        <v>41.325061144268702</v>
      </c>
      <c r="U98" s="15">
        <v>-4.96660813370608E-3</v>
      </c>
      <c r="V98" s="15">
        <v>-1.53174743887949E-3</v>
      </c>
      <c r="W98" s="15">
        <v>-2.53613278818685E-3</v>
      </c>
      <c r="X98" s="34">
        <v>1.87395514448859</v>
      </c>
      <c r="Y98" s="34">
        <v>1.8652915884207499</v>
      </c>
      <c r="Z98" s="34">
        <v>1.8714508830273</v>
      </c>
      <c r="AA98" s="34">
        <v>1.8707143032115101</v>
      </c>
      <c r="AB98" s="33">
        <v>41.2384633301143</v>
      </c>
      <c r="AC98" s="33">
        <v>41.3684029439978</v>
      </c>
      <c r="AD98" s="33">
        <v>41.351950351577997</v>
      </c>
      <c r="AE98" s="15">
        <v>-4.6338592711948502E-3</v>
      </c>
      <c r="AF98" s="15">
        <v>-1.4878805671492601E-3</v>
      </c>
      <c r="AG98" s="15">
        <v>-1.8856688255718601E-3</v>
      </c>
      <c r="AI98" s="12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9.8331331099344686E-3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1.7659413224576613E-2</v>
      </c>
      <c r="BE98" s="29">
        <f t="shared" si="42"/>
        <v>0</v>
      </c>
      <c r="BF98" s="29">
        <f t="shared" si="43"/>
        <v>2.7492546334511082E-2</v>
      </c>
      <c r="BH98" s="29"/>
    </row>
    <row r="99" spans="1:60" x14ac:dyDescent="0.25">
      <c r="A99" s="1">
        <v>46164</v>
      </c>
      <c r="B99" s="33">
        <v>21.93</v>
      </c>
      <c r="C99" s="33">
        <v>41.43</v>
      </c>
      <c r="D99" s="15">
        <v>-4.55892417287445E-4</v>
      </c>
      <c r="E99" s="15">
        <v>0</v>
      </c>
      <c r="F99" s="33">
        <v>0</v>
      </c>
      <c r="G99" s="33">
        <v>0.16832</v>
      </c>
      <c r="H99" s="33">
        <v>0</v>
      </c>
      <c r="I99" s="33">
        <v>0</v>
      </c>
      <c r="J99" s="33">
        <v>0.16832</v>
      </c>
      <c r="K99" s="33">
        <v>0</v>
      </c>
      <c r="L99" s="33">
        <v>22.098320000000001</v>
      </c>
      <c r="M99" s="33">
        <v>41.43</v>
      </c>
      <c r="N99" s="34">
        <v>1.8891928864569001</v>
      </c>
      <c r="O99" s="34">
        <v>1.8789764613078801</v>
      </c>
      <c r="P99" s="34">
        <v>1.8858790875889899</v>
      </c>
      <c r="Q99" s="34">
        <v>1.8844918134288899</v>
      </c>
      <c r="R99" s="33">
        <v>41.205953796481801</v>
      </c>
      <c r="S99" s="33">
        <v>41.354485157240099</v>
      </c>
      <c r="T99" s="33">
        <v>41.316825468495601</v>
      </c>
      <c r="U99" s="15">
        <v>-5.4225005509934403E-3</v>
      </c>
      <c r="V99" s="15">
        <v>-1.8243723702892701E-3</v>
      </c>
      <c r="W99" s="15">
        <v>-2.7354427540644101E-3</v>
      </c>
      <c r="X99" s="34">
        <v>1.87480315245683</v>
      </c>
      <c r="Y99" s="34">
        <v>1.8652915884207499</v>
      </c>
      <c r="Z99" s="34">
        <v>1.87155022309398</v>
      </c>
      <c r="AA99" s="34">
        <v>1.8709779294103199</v>
      </c>
      <c r="AB99" s="33">
        <v>41.219810414230103</v>
      </c>
      <c r="AC99" s="33">
        <v>41.355920477419801</v>
      </c>
      <c r="AD99" s="33">
        <v>41.339643300944999</v>
      </c>
      <c r="AE99" s="15">
        <v>-5.0862800012287102E-3</v>
      </c>
      <c r="AF99" s="15">
        <v>-1.7896652456205E-3</v>
      </c>
      <c r="AG99" s="15">
        <v>-2.1833302970787399E-3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9.8331331099344686E-3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1.7659413224576613E-2</v>
      </c>
      <c r="BE99" s="29">
        <f t="shared" si="42"/>
        <v>0</v>
      </c>
      <c r="BF99" s="29">
        <f t="shared" si="43"/>
        <v>2.7492546334511082E-2</v>
      </c>
      <c r="BH99" s="29"/>
    </row>
    <row r="100" spans="1:60" x14ac:dyDescent="0.25">
      <c r="A100" s="1">
        <v>46168</v>
      </c>
      <c r="B100" s="33">
        <v>22.04</v>
      </c>
      <c r="C100" s="33">
        <v>41.68</v>
      </c>
      <c r="D100" s="15">
        <v>5.0034218549168397E-3</v>
      </c>
      <c r="E100" s="15">
        <v>6.0161413558009504E-3</v>
      </c>
      <c r="F100" s="33">
        <v>0</v>
      </c>
      <c r="G100" s="33">
        <v>0.16832</v>
      </c>
      <c r="H100" s="33">
        <v>0</v>
      </c>
      <c r="I100" s="33">
        <v>0</v>
      </c>
      <c r="J100" s="33">
        <v>0.16832</v>
      </c>
      <c r="K100" s="33">
        <v>0</v>
      </c>
      <c r="L100" s="33">
        <v>22.208320000000001</v>
      </c>
      <c r="M100" s="33">
        <v>41.68</v>
      </c>
      <c r="N100" s="34">
        <v>1.89110707803992</v>
      </c>
      <c r="O100" s="34">
        <v>1.8789764613078801</v>
      </c>
      <c r="P100" s="34">
        <v>1.88625045039522</v>
      </c>
      <c r="Q100" s="34">
        <v>1.8850633908549901</v>
      </c>
      <c r="R100" s="33">
        <v>41.412641207225697</v>
      </c>
      <c r="S100" s="33">
        <v>41.564775090461303</v>
      </c>
      <c r="T100" s="33">
        <v>41.534199567972699</v>
      </c>
      <c r="U100" s="15">
        <v>-6.4352200518775502E-3</v>
      </c>
      <c r="V100" s="15">
        <v>-2.7683415085449198E-3</v>
      </c>
      <c r="W100" s="15">
        <v>-3.5042236056230698E-3</v>
      </c>
      <c r="X100" s="34">
        <v>1.8767741098831401</v>
      </c>
      <c r="Y100" s="34">
        <v>1.8652915884207499</v>
      </c>
      <c r="Z100" s="34">
        <v>1.87190284754439</v>
      </c>
      <c r="AA100" s="34">
        <v>1.87135764392996</v>
      </c>
      <c r="AB100" s="33">
        <v>41.424992488956399</v>
      </c>
      <c r="AC100" s="33">
        <v>41.563986250542499</v>
      </c>
      <c r="AD100" s="33">
        <v>41.551276569281903</v>
      </c>
      <c r="AE100" s="15">
        <v>-6.1370154491831802E-3</v>
      </c>
      <c r="AF100" s="15">
        <v>-2.78732025684087E-3</v>
      </c>
      <c r="AG100" s="15">
        <v>-3.0931529265204598E-3</v>
      </c>
      <c r="AI100" s="12"/>
      <c r="AJ100">
        <f t="shared" si="26"/>
        <v>1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9.8331331099344686E-3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1.7659413224576613E-2</v>
      </c>
      <c r="BE100" s="29">
        <f t="shared" si="42"/>
        <v>0</v>
      </c>
      <c r="BF100" s="29">
        <f t="shared" si="43"/>
        <v>2.7492546334511082E-2</v>
      </c>
      <c r="BH100" s="29"/>
    </row>
    <row r="101" spans="1:60" x14ac:dyDescent="0.25">
      <c r="A101" s="1">
        <v>46169</v>
      </c>
      <c r="B101" s="33">
        <v>22.04</v>
      </c>
      <c r="C101" s="33">
        <v>41.68</v>
      </c>
      <c r="D101" s="15">
        <v>0</v>
      </c>
      <c r="E101" s="15">
        <v>0</v>
      </c>
      <c r="F101" s="33">
        <v>0</v>
      </c>
      <c r="G101" s="33">
        <v>0.16832</v>
      </c>
      <c r="H101" s="33">
        <v>0</v>
      </c>
      <c r="I101" s="33">
        <v>0</v>
      </c>
      <c r="J101" s="33">
        <v>0.16832</v>
      </c>
      <c r="K101" s="33">
        <v>0</v>
      </c>
      <c r="L101" s="33">
        <v>22.208320000000001</v>
      </c>
      <c r="M101" s="33">
        <v>41.68</v>
      </c>
      <c r="N101" s="34">
        <v>1.89110707803992</v>
      </c>
      <c r="O101" s="34">
        <v>1.8789764613078801</v>
      </c>
      <c r="P101" s="34">
        <v>1.8869691076120401</v>
      </c>
      <c r="Q101" s="34">
        <v>1.8856286860132001</v>
      </c>
      <c r="R101" s="33">
        <v>41.412641207225697</v>
      </c>
      <c r="S101" s="33">
        <v>41.572959926710702</v>
      </c>
      <c r="T101" s="33">
        <v>41.546797134444098</v>
      </c>
      <c r="U101" s="15">
        <v>-6.4352200518775502E-3</v>
      </c>
      <c r="V101" s="15">
        <v>-2.5714432823858401E-3</v>
      </c>
      <c r="W101" s="15">
        <v>-3.2009637250743298E-3</v>
      </c>
      <c r="X101" s="34">
        <v>1.8767741098831401</v>
      </c>
      <c r="Y101" s="34">
        <v>1.8652915884207499</v>
      </c>
      <c r="Z101" s="34">
        <v>1.8726096574296101</v>
      </c>
      <c r="AA101" s="34">
        <v>1.8717325262145299</v>
      </c>
      <c r="AB101" s="33">
        <v>41.424992488956399</v>
      </c>
      <c r="AC101" s="33">
        <v>41.571817447176997</v>
      </c>
      <c r="AD101" s="33">
        <v>41.559709390842698</v>
      </c>
      <c r="AE101" s="15">
        <v>-6.1370154491831802E-3</v>
      </c>
      <c r="AF101" s="15">
        <v>-2.5989249732368898E-3</v>
      </c>
      <c r="AG101" s="15">
        <v>-2.8902237591597701E-3</v>
      </c>
      <c r="AI101" s="12"/>
      <c r="AJ101">
        <f t="shared" si="26"/>
        <v>0</v>
      </c>
      <c r="AK101">
        <f t="shared" si="27"/>
        <v>0</v>
      </c>
      <c r="AL101">
        <f t="shared" si="34"/>
        <v>1</v>
      </c>
      <c r="AM101">
        <f t="shared" si="24"/>
        <v>1</v>
      </c>
      <c r="AN101">
        <f t="shared" si="35"/>
        <v>1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9.8331331099344686E-3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1.7659413224576613E-2</v>
      </c>
      <c r="BE101" s="29">
        <f t="shared" si="42"/>
        <v>0</v>
      </c>
      <c r="BF101" s="29">
        <f t="shared" si="43"/>
        <v>2.7492546334511082E-2</v>
      </c>
      <c r="BH101" s="29"/>
    </row>
    <row r="102" spans="1:60" x14ac:dyDescent="0.25">
      <c r="A102" s="1">
        <v>46170</v>
      </c>
      <c r="B102" s="33">
        <v>22.11</v>
      </c>
      <c r="C102" s="33">
        <v>41.93</v>
      </c>
      <c r="D102" s="15">
        <v>3.1710105846412301E-3</v>
      </c>
      <c r="E102" s="15">
        <v>5.9801637375598302E-3</v>
      </c>
      <c r="F102" s="33">
        <v>0</v>
      </c>
      <c r="G102" s="33">
        <v>0.16832</v>
      </c>
      <c r="H102" s="33">
        <v>0</v>
      </c>
      <c r="I102" s="33">
        <v>0</v>
      </c>
      <c r="J102" s="33">
        <v>0.16832</v>
      </c>
      <c r="K102" s="33">
        <v>0</v>
      </c>
      <c r="L102" s="33">
        <v>22.278320000000001</v>
      </c>
      <c r="M102" s="33">
        <v>41.93</v>
      </c>
      <c r="N102" s="34">
        <v>1.8964269561284399</v>
      </c>
      <c r="O102" s="34">
        <v>1.8789764613078801</v>
      </c>
      <c r="P102" s="34">
        <v>1.8878284472773501</v>
      </c>
      <c r="Q102" s="34">
        <v>1.88647824128095</v>
      </c>
      <c r="R102" s="33">
        <v>41.544169559517201</v>
      </c>
      <c r="S102" s="33">
        <v>41.720886969302299</v>
      </c>
      <c r="T102" s="33">
        <v>41.691250247752002</v>
      </c>
      <c r="U102" s="15">
        <v>-9.2443732047961594E-3</v>
      </c>
      <c r="V102" s="15">
        <v>-4.9996712256993496E-3</v>
      </c>
      <c r="W102" s="15">
        <v>-5.71028058750765E-3</v>
      </c>
      <c r="X102" s="34">
        <v>1.88209882971426</v>
      </c>
      <c r="Y102" s="34">
        <v>1.8652915884207499</v>
      </c>
      <c r="Z102" s="34">
        <v>1.87346250450246</v>
      </c>
      <c r="AA102" s="34">
        <v>1.8723953787232901</v>
      </c>
      <c r="AB102" s="33">
        <v>41.555562900145901</v>
      </c>
      <c r="AC102" s="33">
        <v>41.718597183307402</v>
      </c>
      <c r="AD102" s="33">
        <v>41.699056173415897</v>
      </c>
      <c r="AE102" s="15">
        <v>-8.9701643628953207E-3</v>
      </c>
      <c r="AF102" s="15">
        <v>-5.0545561766015103E-3</v>
      </c>
      <c r="AG102" s="15">
        <v>-5.5230663650959102E-3</v>
      </c>
      <c r="AI102" s="12"/>
      <c r="AJ102">
        <f t="shared" si="26"/>
        <v>1</v>
      </c>
      <c r="AK102">
        <f t="shared" si="27"/>
        <v>0</v>
      </c>
      <c r="AL102">
        <f t="shared" si="34"/>
        <v>1</v>
      </c>
      <c r="AM102">
        <f t="shared" si="24"/>
        <v>1</v>
      </c>
      <c r="AN102">
        <f t="shared" si="35"/>
        <v>1</v>
      </c>
      <c r="AO102" s="28">
        <f t="shared" si="28"/>
        <v>3.1710105846412301E-3</v>
      </c>
      <c r="AP102" s="28">
        <f t="shared" si="29"/>
        <v>-5.9801637375598302E-3</v>
      </c>
      <c r="AQ102" s="28">
        <f t="shared" si="36"/>
        <v>-2.8091531529186001E-3</v>
      </c>
      <c r="AR102" s="29">
        <f t="shared" si="37"/>
        <v>7.023979957015869E-3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1.7659413224576613E-2</v>
      </c>
      <c r="BE102" s="29">
        <f t="shared" si="42"/>
        <v>-2.8091531529186001E-3</v>
      </c>
      <c r="BF102" s="29">
        <f t="shared" si="43"/>
        <v>2.4683393181592482E-2</v>
      </c>
      <c r="BH102" s="29"/>
    </row>
    <row r="103" spans="1:60" x14ac:dyDescent="0.25">
      <c r="A103" s="1">
        <v>46171</v>
      </c>
      <c r="B103" s="33">
        <v>22.17</v>
      </c>
      <c r="C103" s="33">
        <v>41.98</v>
      </c>
      <c r="D103" s="15">
        <v>2.71002875886537E-3</v>
      </c>
      <c r="E103" s="15">
        <v>1.1917532098156E-3</v>
      </c>
      <c r="F103" s="33">
        <v>0</v>
      </c>
      <c r="G103" s="33">
        <v>0.16832</v>
      </c>
      <c r="H103" s="33">
        <v>0</v>
      </c>
      <c r="I103" s="33">
        <v>0</v>
      </c>
      <c r="J103" s="33">
        <v>0.16832</v>
      </c>
      <c r="K103" s="33">
        <v>0</v>
      </c>
      <c r="L103" s="33">
        <v>22.33832</v>
      </c>
      <c r="M103" s="33">
        <v>41.98</v>
      </c>
      <c r="N103" s="34">
        <v>1.893549842129</v>
      </c>
      <c r="O103" s="34">
        <v>1.8789764613078801</v>
      </c>
      <c r="P103" s="34">
        <v>1.88888411176236</v>
      </c>
      <c r="Q103" s="34">
        <v>1.8871278932437101</v>
      </c>
      <c r="R103" s="33">
        <v>41.656908147195701</v>
      </c>
      <c r="S103" s="33">
        <v>41.853156676139001</v>
      </c>
      <c r="T103" s="33">
        <v>41.823222609198801</v>
      </c>
      <c r="U103" s="15">
        <v>-7.7260976557464098E-3</v>
      </c>
      <c r="V103" s="15">
        <v>-3.0260919589484999E-3</v>
      </c>
      <c r="W103" s="15">
        <v>-3.7415643174023299E-3</v>
      </c>
      <c r="X103" s="34">
        <v>1.87928187974744</v>
      </c>
      <c r="Y103" s="34">
        <v>1.8652915884207499</v>
      </c>
      <c r="Z103" s="34">
        <v>1.8745178776109199</v>
      </c>
      <c r="AA103" s="34">
        <v>1.8728547885457301</v>
      </c>
      <c r="AB103" s="33">
        <v>41.667480395451101</v>
      </c>
      <c r="AC103" s="33">
        <v>41.850004933577502</v>
      </c>
      <c r="AD103" s="33">
        <v>41.826167136442201</v>
      </c>
      <c r="AE103" s="15">
        <v>-7.4723364581656604E-3</v>
      </c>
      <c r="AF103" s="15">
        <v>-3.1013995698514298E-3</v>
      </c>
      <c r="AG103" s="15">
        <v>-3.6711626742216299E-3</v>
      </c>
      <c r="AI103" s="12"/>
      <c r="AJ103">
        <f t="shared" si="26"/>
        <v>1</v>
      </c>
      <c r="AK103">
        <f t="shared" si="27"/>
        <v>0</v>
      </c>
      <c r="AL103">
        <f t="shared" si="34"/>
        <v>1</v>
      </c>
      <c r="AM103">
        <f t="shared" si="24"/>
        <v>0</v>
      </c>
      <c r="AN103">
        <f t="shared" si="35"/>
        <v>1</v>
      </c>
      <c r="AO103" s="28">
        <f t="shared" si="28"/>
        <v>2.71002875886537E-3</v>
      </c>
      <c r="AP103" s="28">
        <f t="shared" si="29"/>
        <v>-1.1917532098156E-3</v>
      </c>
      <c r="AQ103" s="28">
        <f t="shared" si="36"/>
        <v>1.51827554904977E-3</v>
      </c>
      <c r="AR103" s="29">
        <f t="shared" si="37"/>
        <v>8.5422555060656394E-3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1.7659413224576613E-2</v>
      </c>
      <c r="BE103" s="29">
        <f t="shared" si="42"/>
        <v>1.51827554904977E-3</v>
      </c>
      <c r="BF103" s="29">
        <f t="shared" si="43"/>
        <v>2.6201668730642252E-2</v>
      </c>
      <c r="BH103" s="29"/>
    </row>
    <row r="104" spans="1:60" x14ac:dyDescent="0.25">
      <c r="A104" s="1">
        <v>46174</v>
      </c>
      <c r="B104" s="33">
        <v>22.03</v>
      </c>
      <c r="C104" s="33">
        <v>41.77</v>
      </c>
      <c r="D104" s="15">
        <v>-6.33486281396832E-3</v>
      </c>
      <c r="E104" s="15">
        <v>-5.0149358834027796E-3</v>
      </c>
      <c r="F104" s="33">
        <v>4.5019999999999998E-2</v>
      </c>
      <c r="G104" s="33">
        <v>0.21334</v>
      </c>
      <c r="H104" s="33">
        <v>0</v>
      </c>
      <c r="I104" s="33">
        <v>0</v>
      </c>
      <c r="J104" s="33">
        <v>0.21334</v>
      </c>
      <c r="K104" s="33">
        <v>0</v>
      </c>
      <c r="L104" s="33">
        <v>22.24334</v>
      </c>
      <c r="M104" s="33">
        <v>41.77</v>
      </c>
      <c r="N104" s="34">
        <v>1.8960508397639499</v>
      </c>
      <c r="O104" s="34">
        <v>1.8789764613078801</v>
      </c>
      <c r="P104" s="34">
        <v>1.89045618335911</v>
      </c>
      <c r="Q104" s="34">
        <v>1.88786835695931</v>
      </c>
      <c r="R104" s="33">
        <v>41.393851442612601</v>
      </c>
      <c r="S104" s="33">
        <v>41.612116982124903</v>
      </c>
      <c r="T104" s="33">
        <v>41.573427488159098</v>
      </c>
      <c r="U104" s="15">
        <v>-9.04602458631199E-3</v>
      </c>
      <c r="V104" s="15">
        <v>-3.7869800450163402E-3</v>
      </c>
      <c r="W104" s="15">
        <v>-4.7171776412913702E-3</v>
      </c>
      <c r="X104" s="34">
        <v>1.8778654644491299</v>
      </c>
      <c r="Y104" s="34">
        <v>1.8652915884207499</v>
      </c>
      <c r="Z104" s="34">
        <v>1.8757114542565001</v>
      </c>
      <c r="AA104" s="34">
        <v>1.8733928458412801</v>
      </c>
      <c r="AB104" s="33">
        <v>41.4903150003829</v>
      </c>
      <c r="AC104" s="33">
        <v>41.695538487778101</v>
      </c>
      <c r="AD104" s="33">
        <v>41.658545832250901</v>
      </c>
      <c r="AE104" s="15">
        <v>-6.7183519930088401E-3</v>
      </c>
      <c r="AF104" s="15">
        <v>-1.7842461290058099E-3</v>
      </c>
      <c r="AG104" s="15">
        <v>-2.6718488963481898E-3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8.5422555060656394E-3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1.7659413224576613E-2</v>
      </c>
      <c r="BE104" s="29">
        <f t="shared" si="42"/>
        <v>0</v>
      </c>
      <c r="BF104" s="29">
        <f t="shared" si="43"/>
        <v>2.6201668730642252E-2</v>
      </c>
      <c r="BH104" s="29"/>
    </row>
    <row r="105" spans="1:60" x14ac:dyDescent="0.25">
      <c r="A105" s="1">
        <v>46175</v>
      </c>
      <c r="B105" s="33">
        <v>22.02</v>
      </c>
      <c r="C105" s="33">
        <v>41.8</v>
      </c>
      <c r="D105" s="15">
        <v>-4.5402951971796203E-4</v>
      </c>
      <c r="E105" s="15">
        <v>7.1796102162656396E-4</v>
      </c>
      <c r="F105" s="33">
        <v>0</v>
      </c>
      <c r="G105" s="33">
        <v>0.21334</v>
      </c>
      <c r="H105" s="33">
        <v>0</v>
      </c>
      <c r="I105" s="33">
        <v>0</v>
      </c>
      <c r="J105" s="33">
        <v>0.21334</v>
      </c>
      <c r="K105" s="33">
        <v>0</v>
      </c>
      <c r="L105" s="33">
        <v>22.233339999999998</v>
      </c>
      <c r="M105" s="33">
        <v>41.8</v>
      </c>
      <c r="N105" s="34">
        <v>1.8982742960944501</v>
      </c>
      <c r="O105" s="34">
        <v>1.8789764613078801</v>
      </c>
      <c r="P105" s="34">
        <v>1.89183612438409</v>
      </c>
      <c r="Q105" s="34">
        <v>1.8887242317278801</v>
      </c>
      <c r="R105" s="33">
        <v>41.375061677999497</v>
      </c>
      <c r="S105" s="33">
        <v>41.627845157567798</v>
      </c>
      <c r="T105" s="33">
        <v>41.570861220243998</v>
      </c>
      <c r="U105" s="15">
        <v>-1.02180151276565E-2</v>
      </c>
      <c r="V105" s="15">
        <v>-4.1270414322422903E-3</v>
      </c>
      <c r="W105" s="15">
        <v>-5.49686913065654E-3</v>
      </c>
      <c r="X105" s="34">
        <v>1.8800594062790299</v>
      </c>
      <c r="Y105" s="34">
        <v>1.8652915884207499</v>
      </c>
      <c r="Z105" s="34">
        <v>1.8767072373372999</v>
      </c>
      <c r="AA105" s="34">
        <v>1.8740479764973601</v>
      </c>
      <c r="AB105" s="33">
        <v>41.471662084498703</v>
      </c>
      <c r="AC105" s="33">
        <v>41.703330504379302</v>
      </c>
      <c r="AD105" s="33">
        <v>41.651780095156802</v>
      </c>
      <c r="AE105" s="15">
        <v>-7.8859868737680798E-3</v>
      </c>
      <c r="AF105" s="15">
        <v>-2.3153457047147899E-3</v>
      </c>
      <c r="AG105" s="15">
        <v>-3.5522324516433701E-3</v>
      </c>
      <c r="AI105" s="12"/>
      <c r="AJ105">
        <f t="shared" si="26"/>
        <v>1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8.5422555060656394E-3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1.7659413224576613E-2</v>
      </c>
      <c r="BE105" s="29">
        <f t="shared" si="42"/>
        <v>0</v>
      </c>
      <c r="BF105" s="29">
        <f t="shared" si="43"/>
        <v>2.6201668730642252E-2</v>
      </c>
      <c r="BH105" s="29"/>
    </row>
    <row r="106" spans="1:60" x14ac:dyDescent="0.25">
      <c r="A106" s="1">
        <v>46176</v>
      </c>
      <c r="B106" s="33">
        <v>21.89</v>
      </c>
      <c r="C106" s="33">
        <v>41.45</v>
      </c>
      <c r="D106" s="15">
        <v>-5.9212197597622498E-3</v>
      </c>
      <c r="E106" s="15">
        <v>-8.4084579494065493E-3</v>
      </c>
      <c r="F106" s="33">
        <v>0</v>
      </c>
      <c r="G106" s="33">
        <v>0.21334</v>
      </c>
      <c r="H106" s="33">
        <v>0</v>
      </c>
      <c r="I106" s="33">
        <v>0</v>
      </c>
      <c r="J106" s="33">
        <v>0.21334</v>
      </c>
      <c r="K106" s="33">
        <v>0</v>
      </c>
      <c r="L106" s="33">
        <v>22.103339999999999</v>
      </c>
      <c r="M106" s="33">
        <v>41.45</v>
      </c>
      <c r="N106" s="34">
        <v>1.89355870260392</v>
      </c>
      <c r="O106" s="34">
        <v>1.8789764613078801</v>
      </c>
      <c r="P106" s="34">
        <v>1.8924615438625101</v>
      </c>
      <c r="Q106" s="34">
        <v>1.8890054203601101</v>
      </c>
      <c r="R106" s="33">
        <v>41.1307947380295</v>
      </c>
      <c r="S106" s="33">
        <v>41.412292762767699</v>
      </c>
      <c r="T106" s="33">
        <v>41.344173432523299</v>
      </c>
      <c r="U106" s="15">
        <v>-7.73077693801237E-3</v>
      </c>
      <c r="V106" s="15">
        <v>-9.1011818712317396E-4</v>
      </c>
      <c r="W106" s="15">
        <v>-2.55637856436544E-3</v>
      </c>
      <c r="X106" s="34">
        <v>1.8752821971702001</v>
      </c>
      <c r="Y106" s="34">
        <v>1.8652915884207499</v>
      </c>
      <c r="Z106" s="34">
        <v>1.8769550083480699</v>
      </c>
      <c r="AA106" s="34">
        <v>1.8741278984887999</v>
      </c>
      <c r="AB106" s="33">
        <v>41.229174178004001</v>
      </c>
      <c r="AC106" s="33">
        <v>41.481498147327002</v>
      </c>
      <c r="AD106" s="33">
        <v>41.422719600833098</v>
      </c>
      <c r="AE106" s="15">
        <v>-5.3417647016059996E-3</v>
      </c>
      <c r="AF106" s="15">
        <v>7.5961846934648203E-4</v>
      </c>
      <c r="AG106" s="15">
        <v>-6.5836864733291903E-4</v>
      </c>
      <c r="AI106" s="12"/>
      <c r="AJ106">
        <f t="shared" si="26"/>
        <v>0</v>
      </c>
      <c r="AK106">
        <f t="shared" si="27"/>
        <v>1</v>
      </c>
      <c r="AL106">
        <f t="shared" si="34"/>
        <v>1</v>
      </c>
      <c r="AM106">
        <f t="shared" si="24"/>
        <v>1</v>
      </c>
      <c r="AN106">
        <f t="shared" si="35"/>
        <v>1</v>
      </c>
      <c r="AO106" s="28">
        <f t="shared" si="28"/>
        <v>-5.9212197597622498E-3</v>
      </c>
      <c r="AP106" s="28">
        <f t="shared" si="29"/>
        <v>8.4084579494065493E-3</v>
      </c>
      <c r="AQ106" s="28">
        <f t="shared" si="36"/>
        <v>2.4872381896442995E-3</v>
      </c>
      <c r="AR106" s="29">
        <f t="shared" si="37"/>
        <v>1.1029493695709939E-2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1.7659413224576613E-2</v>
      </c>
      <c r="BE106" s="29">
        <f t="shared" si="42"/>
        <v>2.4872381896442995E-3</v>
      </c>
      <c r="BF106" s="29">
        <f t="shared" si="43"/>
        <v>2.8688906920286552E-2</v>
      </c>
      <c r="BH106" s="29"/>
    </row>
    <row r="107" spans="1:60" x14ac:dyDescent="0.25">
      <c r="A107" s="1">
        <v>46177</v>
      </c>
      <c r="B107" s="33">
        <v>21.93</v>
      </c>
      <c r="C107" s="33">
        <v>41.54</v>
      </c>
      <c r="D107" s="15">
        <v>1.82565089502514E-3</v>
      </c>
      <c r="E107" s="15">
        <v>2.1689368666622699E-3</v>
      </c>
      <c r="F107" s="33">
        <v>0</v>
      </c>
      <c r="G107" s="33">
        <v>0.21334</v>
      </c>
      <c r="H107" s="33">
        <v>0</v>
      </c>
      <c r="I107" s="33">
        <v>0</v>
      </c>
      <c r="J107" s="33">
        <v>0.21334</v>
      </c>
      <c r="K107" s="33">
        <v>0</v>
      </c>
      <c r="L107" s="33">
        <v>22.143339999999998</v>
      </c>
      <c r="M107" s="33">
        <v>41.54</v>
      </c>
      <c r="N107" s="34">
        <v>1.8942088463292199</v>
      </c>
      <c r="O107" s="34">
        <v>1.8789764613078801</v>
      </c>
      <c r="P107" s="34">
        <v>1.8931808339623999</v>
      </c>
      <c r="Q107" s="34">
        <v>1.8893112073498</v>
      </c>
      <c r="R107" s="33">
        <v>41.205953796481801</v>
      </c>
      <c r="S107" s="33">
        <v>41.5016816569049</v>
      </c>
      <c r="T107" s="33">
        <v>41.425888868497303</v>
      </c>
      <c r="U107" s="15">
        <v>-8.0740629096493106E-3</v>
      </c>
      <c r="V107" s="15">
        <v>-9.2287017917053898E-4</v>
      </c>
      <c r="W107" s="15">
        <v>-2.75079806929051E-3</v>
      </c>
      <c r="X107" s="34">
        <v>1.87595909198883</v>
      </c>
      <c r="Y107" s="34">
        <v>1.8652915884207499</v>
      </c>
      <c r="Z107" s="34">
        <v>1.87728533860606</v>
      </c>
      <c r="AA107" s="34">
        <v>1.87422716744666</v>
      </c>
      <c r="AB107" s="33">
        <v>41.303785841540801</v>
      </c>
      <c r="AC107" s="33">
        <v>41.562052914554201</v>
      </c>
      <c r="AD107" s="33">
        <v>41.499451259723003</v>
      </c>
      <c r="AE107" s="15">
        <v>-5.7026558167331204E-3</v>
      </c>
      <c r="AF107" s="15">
        <v>5.3074296719559104E-4</v>
      </c>
      <c r="AG107" s="15">
        <v>-9.7661395600920397E-4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1.1029493695709939E-2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1.7659413224576613E-2</v>
      </c>
      <c r="BE107" s="29">
        <f t="shared" si="42"/>
        <v>0</v>
      </c>
      <c r="BF107" s="29">
        <f t="shared" si="43"/>
        <v>2.8688906920286552E-2</v>
      </c>
      <c r="BH107" s="29"/>
    </row>
    <row r="108" spans="1:60" x14ac:dyDescent="0.25">
      <c r="A108" s="1">
        <v>46178</v>
      </c>
      <c r="B108" s="33">
        <v>21.74</v>
      </c>
      <c r="C108" s="33">
        <v>41.17</v>
      </c>
      <c r="D108" s="15">
        <v>-8.7016807367334796E-3</v>
      </c>
      <c r="E108" s="15">
        <v>-8.9469826661528092E-3</v>
      </c>
      <c r="F108" s="33">
        <v>0</v>
      </c>
      <c r="G108" s="33">
        <v>0.21334</v>
      </c>
      <c r="H108" s="33">
        <v>0</v>
      </c>
      <c r="I108" s="33">
        <v>0</v>
      </c>
      <c r="J108" s="33">
        <v>0.21334</v>
      </c>
      <c r="K108" s="33">
        <v>0</v>
      </c>
      <c r="L108" s="33">
        <v>21.953339999999901</v>
      </c>
      <c r="M108" s="33">
        <v>41.17</v>
      </c>
      <c r="N108" s="34">
        <v>1.8937442502299899</v>
      </c>
      <c r="O108" s="34">
        <v>1.8789764613078801</v>
      </c>
      <c r="P108" s="34">
        <v>1.89372207758157</v>
      </c>
      <c r="Q108" s="34">
        <v>1.8897357573781099</v>
      </c>
      <c r="R108" s="33">
        <v>40.848948268833297</v>
      </c>
      <c r="S108" s="33">
        <v>41.157751330342698</v>
      </c>
      <c r="T108" s="33">
        <v>41.073625647784802</v>
      </c>
      <c r="U108" s="15">
        <v>-7.8287609802297608E-3</v>
      </c>
      <c r="V108" s="15">
        <v>-2.9755871014838602E-4</v>
      </c>
      <c r="W108" s="15">
        <v>-2.3436319974548701E-3</v>
      </c>
      <c r="X108" s="34">
        <v>1.87534106427541</v>
      </c>
      <c r="Y108" s="34">
        <v>1.8652915884207499</v>
      </c>
      <c r="Z108" s="34">
        <v>1.87742393058474</v>
      </c>
      <c r="AA108" s="34">
        <v>1.8744374068060199</v>
      </c>
      <c r="AB108" s="33">
        <v>40.949380439740899</v>
      </c>
      <c r="AC108" s="33">
        <v>41.212683315433999</v>
      </c>
      <c r="AD108" s="33">
        <v>41.145546244193604</v>
      </c>
      <c r="AE108" s="15">
        <v>-5.3731552738459998E-3</v>
      </c>
      <c r="AF108" s="15">
        <v>1.0362206603514001E-3</v>
      </c>
      <c r="AG108" s="15">
        <v>-5.9414673512989396E-4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1.1029493695709939E-2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1.7659413224576613E-2</v>
      </c>
      <c r="BE108" s="29">
        <f t="shared" si="42"/>
        <v>0</v>
      </c>
      <c r="BF108" s="29">
        <f t="shared" si="43"/>
        <v>2.8688906920286552E-2</v>
      </c>
      <c r="BH108" s="29"/>
    </row>
    <row r="109" spans="1:60" x14ac:dyDescent="0.25">
      <c r="A109" s="1">
        <v>46181</v>
      </c>
      <c r="B109" s="33">
        <v>21.7</v>
      </c>
      <c r="C109" s="33">
        <v>41.08</v>
      </c>
      <c r="D109" s="15">
        <v>-1.84162114664947E-3</v>
      </c>
      <c r="E109" s="15">
        <v>-2.1884507214558701E-3</v>
      </c>
      <c r="F109" s="33">
        <v>0</v>
      </c>
      <c r="G109" s="33">
        <v>0.21334</v>
      </c>
      <c r="H109" s="33">
        <v>0</v>
      </c>
      <c r="I109" s="33">
        <v>0</v>
      </c>
      <c r="J109" s="33">
        <v>0.21334</v>
      </c>
      <c r="K109" s="33">
        <v>0</v>
      </c>
      <c r="L109" s="33">
        <v>21.913339999999899</v>
      </c>
      <c r="M109" s="33">
        <v>41.08</v>
      </c>
      <c r="N109" s="34">
        <v>1.8930875576036801</v>
      </c>
      <c r="O109" s="34">
        <v>1.8789764613078801</v>
      </c>
      <c r="P109" s="34">
        <v>1.89411154469625</v>
      </c>
      <c r="Q109" s="34">
        <v>1.88999531614262</v>
      </c>
      <c r="R109" s="33">
        <v>40.773789210380997</v>
      </c>
      <c r="S109" s="33">
        <v>41.093769083520201</v>
      </c>
      <c r="T109" s="33">
        <v>41.007265935105103</v>
      </c>
      <c r="U109" s="15">
        <v>-7.4819314054233796E-3</v>
      </c>
      <c r="V109" s="15">
        <v>3.3512114151942603E-4</v>
      </c>
      <c r="W109" s="15">
        <v>-1.77211612789898E-3</v>
      </c>
      <c r="X109" s="34">
        <v>1.8746571722977801</v>
      </c>
      <c r="Y109" s="34">
        <v>1.8652915884207499</v>
      </c>
      <c r="Z109" s="34">
        <v>1.8774093325688399</v>
      </c>
      <c r="AA109" s="34">
        <v>1.87447977783141</v>
      </c>
      <c r="AB109" s="33">
        <v>40.874768776204</v>
      </c>
      <c r="AC109" s="33">
        <v>41.140628915039898</v>
      </c>
      <c r="AD109" s="33">
        <v>41.075184204058701</v>
      </c>
      <c r="AE109" s="15">
        <v>-5.0084127102160503E-3</v>
      </c>
      <c r="AF109" s="15">
        <v>1.4747862386590501E-3</v>
      </c>
      <c r="AG109" s="15">
        <v>-1.17236568658642E-4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1.1029493695709939E-2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1.7659413224576613E-2</v>
      </c>
      <c r="BE109" s="29">
        <f t="shared" si="42"/>
        <v>0</v>
      </c>
      <c r="BF109" s="29">
        <f t="shared" si="43"/>
        <v>2.8688906920286552E-2</v>
      </c>
      <c r="BH109" s="29"/>
    </row>
    <row r="110" spans="1:60" x14ac:dyDescent="0.25">
      <c r="A110" s="1">
        <v>46182</v>
      </c>
      <c r="B110" s="33">
        <v>21.78</v>
      </c>
      <c r="C110" s="33">
        <v>41.15</v>
      </c>
      <c r="D110" s="15">
        <v>3.6798569584006102E-3</v>
      </c>
      <c r="E110" s="15">
        <v>1.7025420627212601E-3</v>
      </c>
      <c r="F110" s="33">
        <v>0</v>
      </c>
      <c r="G110" s="33">
        <v>0.21334</v>
      </c>
      <c r="H110" s="33">
        <v>0</v>
      </c>
      <c r="I110" s="33">
        <v>0</v>
      </c>
      <c r="J110" s="33">
        <v>0.21334</v>
      </c>
      <c r="K110" s="33">
        <v>0</v>
      </c>
      <c r="L110" s="33">
        <v>21.99334</v>
      </c>
      <c r="M110" s="33">
        <v>41.15</v>
      </c>
      <c r="N110" s="34">
        <v>1.8893480257116599</v>
      </c>
      <c r="O110" s="34">
        <v>1.8789764613078801</v>
      </c>
      <c r="P110" s="34">
        <v>1.8939356394634199</v>
      </c>
      <c r="Q110" s="34">
        <v>1.8900930449293201</v>
      </c>
      <c r="R110" s="33">
        <v>40.924107327285597</v>
      </c>
      <c r="S110" s="33">
        <v>41.253749443484402</v>
      </c>
      <c r="T110" s="33">
        <v>41.164097985586302</v>
      </c>
      <c r="U110" s="15">
        <v>-5.5046165097440399E-3</v>
      </c>
      <c r="V110" s="15">
        <v>2.51807712647972E-3</v>
      </c>
      <c r="W110" s="15">
        <v>3.4254121879970001E-4</v>
      </c>
      <c r="X110" s="34">
        <v>1.87102095452532</v>
      </c>
      <c r="Y110" s="34">
        <v>1.8652915884207499</v>
      </c>
      <c r="Z110" s="34">
        <v>1.87683401703305</v>
      </c>
      <c r="AA110" s="34">
        <v>1.87436843228872</v>
      </c>
      <c r="AB110" s="33">
        <v>41.023992103277699</v>
      </c>
      <c r="AC110" s="33">
        <v>41.290501770359498</v>
      </c>
      <c r="AD110" s="33">
        <v>41.226071076970698</v>
      </c>
      <c r="AE110" s="15">
        <v>-3.0668583151967801E-3</v>
      </c>
      <c r="AF110" s="15">
        <v>3.4085650469173599E-3</v>
      </c>
      <c r="AG110" s="15">
        <v>1.8469222336083399E-3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1.1029493695709939E-2</v>
      </c>
      <c r="AT110" s="12"/>
      <c r="AU110">
        <f t="shared" si="30"/>
        <v>1</v>
      </c>
      <c r="AV110">
        <f t="shared" si="31"/>
        <v>0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1.7659413224576613E-2</v>
      </c>
      <c r="BE110" s="29">
        <f t="shared" si="42"/>
        <v>0</v>
      </c>
      <c r="BF110" s="29">
        <f t="shared" si="43"/>
        <v>2.8688906920286552E-2</v>
      </c>
      <c r="BH110" s="29"/>
    </row>
    <row r="111" spans="1:60" x14ac:dyDescent="0.25">
      <c r="A111" s="1">
        <v>46183</v>
      </c>
      <c r="B111" s="33">
        <v>21.72</v>
      </c>
      <c r="C111" s="33">
        <v>41.08</v>
      </c>
      <c r="D111" s="15">
        <v>-2.7586224390798602E-3</v>
      </c>
      <c r="E111" s="15">
        <v>-1.7025420627213299E-3</v>
      </c>
      <c r="F111" s="33">
        <v>0</v>
      </c>
      <c r="G111" s="33">
        <v>0.21334</v>
      </c>
      <c r="H111" s="33">
        <v>0</v>
      </c>
      <c r="I111" s="33">
        <v>0</v>
      </c>
      <c r="J111" s="33">
        <v>0.21334</v>
      </c>
      <c r="K111" s="33">
        <v>0</v>
      </c>
      <c r="L111" s="33">
        <v>21.933339999999902</v>
      </c>
      <c r="M111" s="33">
        <v>41.08</v>
      </c>
      <c r="N111" s="34">
        <v>1.89134438305709</v>
      </c>
      <c r="O111" s="34">
        <v>1.8789764613078801</v>
      </c>
      <c r="P111" s="34">
        <v>1.89395936996514</v>
      </c>
      <c r="Q111" s="34">
        <v>1.8904642387885899</v>
      </c>
      <c r="R111" s="33">
        <v>40.811368739607197</v>
      </c>
      <c r="S111" s="33">
        <v>41.136282089145602</v>
      </c>
      <c r="T111" s="33">
        <v>41.052820935865</v>
      </c>
      <c r="U111" s="15">
        <v>-6.5606968861026101E-3</v>
      </c>
      <c r="V111" s="15">
        <v>1.36912291597876E-3</v>
      </c>
      <c r="W111" s="15">
        <v>-6.6183201349690498E-4</v>
      </c>
      <c r="X111" s="34">
        <v>1.8729477589824399</v>
      </c>
      <c r="Y111" s="34">
        <v>1.8652915884207499</v>
      </c>
      <c r="Z111" s="34">
        <v>1.87645138194298</v>
      </c>
      <c r="AA111" s="34">
        <v>1.8745305196863</v>
      </c>
      <c r="AB111" s="33">
        <v>40.9120746079725</v>
      </c>
      <c r="AC111" s="33">
        <v>41.1652386191518</v>
      </c>
      <c r="AD111" s="33">
        <v>41.111160110655497</v>
      </c>
      <c r="AE111" s="15">
        <v>-4.09614289243008E-3</v>
      </c>
      <c r="AF111" s="15">
        <v>2.0727923245581802E-3</v>
      </c>
      <c r="AG111" s="15">
        <v>7.5823512179432398E-4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1.1029493695709939E-2</v>
      </c>
      <c r="AT111" s="12"/>
      <c r="AU111">
        <f t="shared" si="30"/>
        <v>0</v>
      </c>
      <c r="AV111">
        <f t="shared" si="31"/>
        <v>0</v>
      </c>
      <c r="AW111">
        <f t="shared" si="38"/>
        <v>1</v>
      </c>
      <c r="AX111">
        <f t="shared" si="25"/>
        <v>1</v>
      </c>
      <c r="AY111">
        <f t="shared" si="39"/>
        <v>1</v>
      </c>
      <c r="AZ111" s="28">
        <f t="shared" si="32"/>
        <v>2.7586224390798602E-3</v>
      </c>
      <c r="BA111" s="28">
        <f t="shared" si="33"/>
        <v>-1.7025420627213299E-3</v>
      </c>
      <c r="BB111" s="28">
        <f t="shared" si="40"/>
        <v>1.0560803763585303E-3</v>
      </c>
      <c r="BC111" s="29">
        <f t="shared" si="41"/>
        <v>1.8715493600935142E-2</v>
      </c>
      <c r="BE111" s="29">
        <f t="shared" si="42"/>
        <v>1.0560803763585303E-3</v>
      </c>
      <c r="BF111" s="29">
        <f t="shared" si="43"/>
        <v>2.9744987296645084E-2</v>
      </c>
      <c r="BH111" s="29"/>
    </row>
    <row r="112" spans="1:60" x14ac:dyDescent="0.25">
      <c r="A112" s="1">
        <v>46184</v>
      </c>
      <c r="B112" s="33">
        <v>21.94</v>
      </c>
      <c r="C112" s="33">
        <v>41.5</v>
      </c>
      <c r="D112" s="15">
        <v>1.0077959781349601E-2</v>
      </c>
      <c r="E112" s="15">
        <v>1.0172042176295099E-2</v>
      </c>
      <c r="F112" s="33">
        <v>0</v>
      </c>
      <c r="G112" s="33">
        <v>0.21334</v>
      </c>
      <c r="H112" s="33">
        <v>0</v>
      </c>
      <c r="I112" s="33">
        <v>0</v>
      </c>
      <c r="J112" s="33">
        <v>0.21334</v>
      </c>
      <c r="K112" s="33">
        <v>0</v>
      </c>
      <c r="L112" s="33">
        <v>22.15334</v>
      </c>
      <c r="M112" s="33">
        <v>41.5</v>
      </c>
      <c r="N112" s="34">
        <v>1.89152233363719</v>
      </c>
      <c r="O112" s="34">
        <v>1.8789764613078801</v>
      </c>
      <c r="P112" s="34">
        <v>1.8934689077160201</v>
      </c>
      <c r="Q112" s="34">
        <v>1.89064867749668</v>
      </c>
      <c r="R112" s="33">
        <v>41.224743561094897</v>
      </c>
      <c r="S112" s="33">
        <v>41.553468577035297</v>
      </c>
      <c r="T112" s="33">
        <v>41.4767853990218</v>
      </c>
      <c r="U112" s="15">
        <v>-6.6547792810482198E-3</v>
      </c>
      <c r="V112" s="15">
        <v>1.2875701722813301E-3</v>
      </c>
      <c r="W112" s="15">
        <v>-5.5954449120306795E-4</v>
      </c>
      <c r="X112" s="34">
        <v>1.87330668874309</v>
      </c>
      <c r="Y112" s="34">
        <v>1.8652915884207499</v>
      </c>
      <c r="Z112" s="34">
        <v>1.8755721678458701</v>
      </c>
      <c r="AA112" s="34">
        <v>1.8745173361741601</v>
      </c>
      <c r="AB112" s="33">
        <v>41.322438757424997</v>
      </c>
      <c r="AC112" s="33">
        <v>41.569665457652903</v>
      </c>
      <c r="AD112" s="33">
        <v>41.527111942987297</v>
      </c>
      <c r="AE112" s="15">
        <v>-4.2877634920234298E-3</v>
      </c>
      <c r="AF112" s="15">
        <v>1.67727830854662E-3</v>
      </c>
      <c r="AG112" s="15">
        <v>6.5308652358417102E-4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1.1029493695709939E-2</v>
      </c>
      <c r="AT112" s="12"/>
      <c r="AU112">
        <f t="shared" si="30"/>
        <v>0</v>
      </c>
      <c r="AV112">
        <f t="shared" si="31"/>
        <v>0</v>
      </c>
      <c r="AW112">
        <f t="shared" si="38"/>
        <v>1</v>
      </c>
      <c r="AX112">
        <f t="shared" si="25"/>
        <v>1</v>
      </c>
      <c r="AY112">
        <f t="shared" si="39"/>
        <v>1</v>
      </c>
      <c r="AZ112" s="28">
        <f t="shared" si="32"/>
        <v>-1.0077959781349601E-2</v>
      </c>
      <c r="BA112" s="28">
        <f t="shared" si="33"/>
        <v>1.0172042176295099E-2</v>
      </c>
      <c r="BB112" s="28">
        <f t="shared" si="40"/>
        <v>9.4082394945498721E-5</v>
      </c>
      <c r="BC112" s="29">
        <f t="shared" si="41"/>
        <v>1.880957599588064E-2</v>
      </c>
      <c r="BE112" s="29">
        <f t="shared" si="42"/>
        <v>9.4082394945498721E-5</v>
      </c>
      <c r="BF112" s="29">
        <f t="shared" si="43"/>
        <v>2.9839069691590583E-2</v>
      </c>
      <c r="BH112" s="29"/>
    </row>
    <row r="113" spans="1:60" x14ac:dyDescent="0.25">
      <c r="A113" s="1">
        <v>46185</v>
      </c>
      <c r="B113" s="33">
        <v>21.94</v>
      </c>
      <c r="C113" s="33">
        <v>41.49</v>
      </c>
      <c r="D113" s="15">
        <v>0</v>
      </c>
      <c r="E113" s="15">
        <v>-2.4099289187599901E-4</v>
      </c>
      <c r="F113" s="33">
        <v>0</v>
      </c>
      <c r="G113" s="33">
        <v>0.21334</v>
      </c>
      <c r="H113" s="33">
        <v>0</v>
      </c>
      <c r="I113" s="33">
        <v>0</v>
      </c>
      <c r="J113" s="33">
        <v>0.21334</v>
      </c>
      <c r="K113" s="33">
        <v>0</v>
      </c>
      <c r="L113" s="33">
        <v>22.15334</v>
      </c>
      <c r="M113" s="33">
        <v>41.49</v>
      </c>
      <c r="N113" s="34">
        <v>1.8910665451230599</v>
      </c>
      <c r="O113" s="34">
        <v>1.8789764613078801</v>
      </c>
      <c r="P113" s="34">
        <v>1.8932205780154201</v>
      </c>
      <c r="Q113" s="34">
        <v>1.8910523448888901</v>
      </c>
      <c r="R113" s="33">
        <v>41.224743561094897</v>
      </c>
      <c r="S113" s="33">
        <v>41.542707835289399</v>
      </c>
      <c r="T113" s="33">
        <v>41.480831984277302</v>
      </c>
      <c r="U113" s="15">
        <v>-6.41378638917218E-3</v>
      </c>
      <c r="V113" s="15">
        <v>1.2695681916961199E-3</v>
      </c>
      <c r="W113" s="15">
        <v>-2.20993704431206E-4</v>
      </c>
      <c r="X113" s="34">
        <v>1.87285528954099</v>
      </c>
      <c r="Y113" s="34">
        <v>1.8652915884207499</v>
      </c>
      <c r="Z113" s="34">
        <v>1.87492950882522</v>
      </c>
      <c r="AA113" s="34">
        <v>1.87472369321807</v>
      </c>
      <c r="AB113" s="33">
        <v>41.322438757424997</v>
      </c>
      <c r="AC113" s="33">
        <v>41.550187928826603</v>
      </c>
      <c r="AD113" s="33">
        <v>41.526819884160602</v>
      </c>
      <c r="AE113" s="15">
        <v>-4.0467706001474004E-3</v>
      </c>
      <c r="AF113" s="15">
        <v>1.4496099025695199E-3</v>
      </c>
      <c r="AG113" s="15">
        <v>8.8704642327588304E-4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1.1029493695709939E-2</v>
      </c>
      <c r="AT113" s="12"/>
      <c r="AU113">
        <f t="shared" si="30"/>
        <v>0</v>
      </c>
      <c r="AV113">
        <f t="shared" si="31"/>
        <v>0</v>
      </c>
      <c r="AW113">
        <f t="shared" si="38"/>
        <v>1</v>
      </c>
      <c r="AX113">
        <f t="shared" si="25"/>
        <v>1</v>
      </c>
      <c r="AY113">
        <f t="shared" si="39"/>
        <v>1</v>
      </c>
      <c r="AZ113" s="28">
        <f t="shared" si="32"/>
        <v>0</v>
      </c>
      <c r="BA113" s="28">
        <f t="shared" si="33"/>
        <v>-2.4099289187599901E-4</v>
      </c>
      <c r="BB113" s="28">
        <f t="shared" si="40"/>
        <v>-2.4099289187599901E-4</v>
      </c>
      <c r="BC113" s="29">
        <f t="shared" si="41"/>
        <v>1.8568583104004641E-2</v>
      </c>
      <c r="BE113" s="29">
        <f t="shared" si="42"/>
        <v>-2.4099289187599901E-4</v>
      </c>
      <c r="BF113" s="29">
        <f t="shared" si="43"/>
        <v>2.9598076799714584E-2</v>
      </c>
      <c r="BH113" s="29"/>
    </row>
    <row r="114" spans="1:60" x14ac:dyDescent="0.25">
      <c r="A114" s="1">
        <v>46188</v>
      </c>
      <c r="B114" s="33">
        <v>22</v>
      </c>
      <c r="C114" s="33">
        <v>41.58</v>
      </c>
      <c r="D114" s="15">
        <v>2.7309985112315099E-3</v>
      </c>
      <c r="E114" s="15">
        <v>2.1668480850902901E-3</v>
      </c>
      <c r="F114" s="33">
        <v>0</v>
      </c>
      <c r="G114" s="33">
        <v>0.21334</v>
      </c>
      <c r="H114" s="33">
        <v>0</v>
      </c>
      <c r="I114" s="33">
        <v>0</v>
      </c>
      <c r="J114" s="33">
        <v>0.21334</v>
      </c>
      <c r="K114" s="33">
        <v>0</v>
      </c>
      <c r="L114" s="33">
        <v>22.213339999999999</v>
      </c>
      <c r="M114" s="33">
        <v>41.58</v>
      </c>
      <c r="N114" s="34">
        <v>1.89</v>
      </c>
      <c r="O114" s="34">
        <v>1.8789764613078801</v>
      </c>
      <c r="P114" s="34">
        <v>1.8926154940390301</v>
      </c>
      <c r="Q114" s="34">
        <v>1.8915358386990699</v>
      </c>
      <c r="R114" s="33">
        <v>41.337482148773397</v>
      </c>
      <c r="S114" s="33">
        <v>41.650852716339301</v>
      </c>
      <c r="T114" s="33">
        <v>41.603151587555701</v>
      </c>
      <c r="U114" s="15">
        <v>-5.8496359630307799E-3</v>
      </c>
      <c r="V114" s="15">
        <v>1.7025593549057001E-3</v>
      </c>
      <c r="W114" s="15">
        <v>5.5664128400166905E-4</v>
      </c>
      <c r="X114" s="34">
        <v>1.87184817771663</v>
      </c>
      <c r="Y114" s="34">
        <v>1.8652915884207499</v>
      </c>
      <c r="Z114" s="34">
        <v>1.87432778015197</v>
      </c>
      <c r="AA114" s="34">
        <v>1.8750196172042399</v>
      </c>
      <c r="AB114" s="33">
        <v>41.434356252730304</v>
      </c>
      <c r="AC114" s="33">
        <v>41.648446655567703</v>
      </c>
      <c r="AD114" s="33">
        <v>41.643874803508702</v>
      </c>
      <c r="AE114" s="15">
        <v>-3.5088845659421602E-3</v>
      </c>
      <c r="AF114" s="15">
        <v>1.6447903030543799E-3</v>
      </c>
      <c r="AG114" s="15">
        <v>1.5350118268758501E-3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1.1029493695709939E-2</v>
      </c>
      <c r="AT114" s="12"/>
      <c r="AU114">
        <f t="shared" si="30"/>
        <v>1</v>
      </c>
      <c r="AV114">
        <f t="shared" si="31"/>
        <v>0</v>
      </c>
      <c r="AW114">
        <f t="shared" si="38"/>
        <v>1</v>
      </c>
      <c r="AX114">
        <f t="shared" si="25"/>
        <v>1</v>
      </c>
      <c r="AY114">
        <f t="shared" si="39"/>
        <v>1</v>
      </c>
      <c r="AZ114" s="28">
        <f t="shared" si="32"/>
        <v>-2.7309985112315099E-3</v>
      </c>
      <c r="BA114" s="28">
        <f t="shared" si="33"/>
        <v>2.1668480850902901E-3</v>
      </c>
      <c r="BB114" s="28">
        <f t="shared" si="40"/>
        <v>-5.6415042614121978E-4</v>
      </c>
      <c r="BC114" s="29">
        <f t="shared" si="41"/>
        <v>1.8004432677863422E-2</v>
      </c>
      <c r="BE114" s="29">
        <f t="shared" si="42"/>
        <v>-5.6415042614121978E-4</v>
      </c>
      <c r="BF114" s="29">
        <f t="shared" si="43"/>
        <v>2.9033926373573365E-2</v>
      </c>
      <c r="BH114" s="29"/>
    </row>
    <row r="115" spans="1:60" x14ac:dyDescent="0.25">
      <c r="A115" s="1">
        <v>46189</v>
      </c>
      <c r="B115" s="33">
        <v>22.06</v>
      </c>
      <c r="C115" s="33">
        <v>41.72</v>
      </c>
      <c r="D115" s="15">
        <v>2.7235604670405198E-3</v>
      </c>
      <c r="E115" s="15">
        <v>3.3613477027049201E-3</v>
      </c>
      <c r="F115" s="33">
        <v>0</v>
      </c>
      <c r="G115" s="33">
        <v>0.21334</v>
      </c>
      <c r="H115" s="33">
        <v>0</v>
      </c>
      <c r="I115" s="33">
        <v>0</v>
      </c>
      <c r="J115" s="33">
        <v>0.21334</v>
      </c>
      <c r="K115" s="33">
        <v>0</v>
      </c>
      <c r="L115" s="33">
        <v>22.273339999999902</v>
      </c>
      <c r="M115" s="33">
        <v>41.72</v>
      </c>
      <c r="N115" s="34">
        <v>1.8912058023572</v>
      </c>
      <c r="O115" s="34">
        <v>1.8789764613078801</v>
      </c>
      <c r="P115" s="34">
        <v>1.8919086446653</v>
      </c>
      <c r="Q115" s="34">
        <v>1.8918723845246901</v>
      </c>
      <c r="R115" s="33">
        <v>41.450220736451797</v>
      </c>
      <c r="S115" s="33">
        <v>41.751097798501</v>
      </c>
      <c r="T115" s="33">
        <v>41.727280601701501</v>
      </c>
      <c r="U115" s="15">
        <v>-6.4874231986951003E-3</v>
      </c>
      <c r="V115" s="15">
        <v>7.4511539347076896E-4</v>
      </c>
      <c r="W115" s="15">
        <v>1.7449584138797599E-4</v>
      </c>
      <c r="X115" s="34">
        <v>1.87309132801816</v>
      </c>
      <c r="Y115" s="34">
        <v>1.8652915884207499</v>
      </c>
      <c r="Z115" s="34">
        <v>1.8736309723258799</v>
      </c>
      <c r="AA115" s="34">
        <v>1.8751691048315899</v>
      </c>
      <c r="AB115" s="33">
        <v>41.546273748035503</v>
      </c>
      <c r="AC115" s="33">
        <v>41.747539918770201</v>
      </c>
      <c r="AD115" s="33">
        <v>41.762949440659902</v>
      </c>
      <c r="AE115" s="15">
        <v>-4.1727940070883001E-3</v>
      </c>
      <c r="AF115" s="15">
        <v>6.5989532688746E-4</v>
      </c>
      <c r="AG115" s="15">
        <v>1.0289393160385601E-3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1.1029493695709939E-2</v>
      </c>
      <c r="AT115" s="12"/>
      <c r="AU115">
        <f t="shared" si="30"/>
        <v>0</v>
      </c>
      <c r="AV115">
        <f t="shared" si="31"/>
        <v>0</v>
      </c>
      <c r="AW115">
        <f t="shared" si="38"/>
        <v>1</v>
      </c>
      <c r="AX115">
        <f t="shared" si="25"/>
        <v>1</v>
      </c>
      <c r="AY115">
        <f t="shared" si="39"/>
        <v>1</v>
      </c>
      <c r="AZ115" s="28">
        <f t="shared" si="32"/>
        <v>-2.7235604670405198E-3</v>
      </c>
      <c r="BA115" s="28">
        <f t="shared" si="33"/>
        <v>3.3613477027049201E-3</v>
      </c>
      <c r="BB115" s="28">
        <f t="shared" si="40"/>
        <v>6.3778723566440022E-4</v>
      </c>
      <c r="BC115" s="29">
        <f t="shared" si="41"/>
        <v>1.8642219913527824E-2</v>
      </c>
      <c r="BE115" s="29">
        <f t="shared" si="42"/>
        <v>6.3778723566440022E-4</v>
      </c>
      <c r="BF115" s="29">
        <f t="shared" si="43"/>
        <v>2.9671713609237767E-2</v>
      </c>
      <c r="BH115" s="29"/>
    </row>
    <row r="116" spans="1:60" x14ac:dyDescent="0.25">
      <c r="A116" s="1">
        <v>46190</v>
      </c>
      <c r="B116" s="33">
        <v>21.87</v>
      </c>
      <c r="C116" s="33">
        <v>41.33</v>
      </c>
      <c r="D116" s="15">
        <v>-8.6501791366798194E-3</v>
      </c>
      <c r="E116" s="15">
        <v>-9.3920016089307293E-3</v>
      </c>
      <c r="F116" s="33">
        <v>0</v>
      </c>
      <c r="G116" s="33">
        <v>0.21334</v>
      </c>
      <c r="H116" s="33">
        <v>0</v>
      </c>
      <c r="I116" s="33">
        <v>0</v>
      </c>
      <c r="J116" s="33">
        <v>0.21334</v>
      </c>
      <c r="K116" s="33">
        <v>0</v>
      </c>
      <c r="L116" s="33">
        <v>22.08334</v>
      </c>
      <c r="M116" s="33">
        <v>41.33</v>
      </c>
      <c r="N116" s="34">
        <v>1.8898033836305399</v>
      </c>
      <c r="O116" s="34">
        <v>1.8789764613078801</v>
      </c>
      <c r="P116" s="34">
        <v>1.89153311276796</v>
      </c>
      <c r="Q116" s="34">
        <v>1.89199732831524</v>
      </c>
      <c r="R116" s="33">
        <v>41.093215208803301</v>
      </c>
      <c r="S116" s="33">
        <v>41.376042058830201</v>
      </c>
      <c r="T116" s="33">
        <v>41.375249049555102</v>
      </c>
      <c r="U116" s="15">
        <v>-5.7456007264443301E-3</v>
      </c>
      <c r="V116" s="15">
        <v>1.1133905683400099E-3</v>
      </c>
      <c r="W116" s="15">
        <v>1.0942244800655099E-3</v>
      </c>
      <c r="X116" s="34">
        <v>1.87154660481611</v>
      </c>
      <c r="Y116" s="34">
        <v>1.8652915884207499</v>
      </c>
      <c r="Z116" s="34">
        <v>1.87325741309048</v>
      </c>
      <c r="AA116" s="34">
        <v>1.87510621071927</v>
      </c>
      <c r="AB116" s="33">
        <v>41.191868346235601</v>
      </c>
      <c r="AC116" s="33">
        <v>41.376029796403103</v>
      </c>
      <c r="AD116" s="33">
        <v>41.409996899491702</v>
      </c>
      <c r="AE116" s="15">
        <v>-3.3477618852281901E-3</v>
      </c>
      <c r="AF116" s="15">
        <v>1.11309420290128E-3</v>
      </c>
      <c r="AG116" s="15">
        <v>1.9336941604138199E-3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1.1029493695709939E-2</v>
      </c>
      <c r="AT116" s="12"/>
      <c r="AU116">
        <f t="shared" si="30"/>
        <v>1</v>
      </c>
      <c r="AV116">
        <f t="shared" si="31"/>
        <v>0</v>
      </c>
      <c r="AW116">
        <f t="shared" si="38"/>
        <v>1</v>
      </c>
      <c r="AX116">
        <f t="shared" si="25"/>
        <v>1</v>
      </c>
      <c r="AY116">
        <f t="shared" si="39"/>
        <v>1</v>
      </c>
      <c r="AZ116" s="28">
        <f t="shared" si="32"/>
        <v>8.6501791366798194E-3</v>
      </c>
      <c r="BA116" s="28">
        <f t="shared" si="33"/>
        <v>-9.3920016089307293E-3</v>
      </c>
      <c r="BB116" s="28">
        <f t="shared" si="40"/>
        <v>-7.4182247225090987E-4</v>
      </c>
      <c r="BC116" s="29">
        <f t="shared" si="41"/>
        <v>1.7900397441276916E-2</v>
      </c>
      <c r="BE116" s="29">
        <f t="shared" si="42"/>
        <v>-7.4182247225090987E-4</v>
      </c>
      <c r="BF116" s="29">
        <f t="shared" si="43"/>
        <v>2.8929891136986859E-2</v>
      </c>
      <c r="BH116" s="29"/>
    </row>
    <row r="117" spans="1:60" x14ac:dyDescent="0.25">
      <c r="A117" s="1">
        <v>46191</v>
      </c>
      <c r="B117" s="33">
        <v>21.82</v>
      </c>
      <c r="C117" s="33">
        <v>41.2</v>
      </c>
      <c r="D117" s="15">
        <v>-2.28885428375171E-3</v>
      </c>
      <c r="E117" s="15">
        <v>-3.1503721681601202E-3</v>
      </c>
      <c r="F117" s="33">
        <v>0</v>
      </c>
      <c r="G117" s="33">
        <v>0.21334</v>
      </c>
      <c r="H117" s="33">
        <v>0</v>
      </c>
      <c r="I117" s="33">
        <v>0</v>
      </c>
      <c r="J117" s="33">
        <v>0.21334</v>
      </c>
      <c r="K117" s="33">
        <v>0</v>
      </c>
      <c r="L117" s="33">
        <v>22.033339999999999</v>
      </c>
      <c r="M117" s="33">
        <v>41.2</v>
      </c>
      <c r="N117" s="34">
        <v>1.8881759853345499</v>
      </c>
      <c r="O117" s="34">
        <v>1.8789764613078801</v>
      </c>
      <c r="P117" s="34">
        <v>1.89092982666849</v>
      </c>
      <c r="Q117" s="34">
        <v>1.8920553303154499</v>
      </c>
      <c r="R117" s="33">
        <v>40.999266385737897</v>
      </c>
      <c r="S117" s="33">
        <v>41.273252520596998</v>
      </c>
      <c r="T117" s="33">
        <v>41.283381703838501</v>
      </c>
      <c r="U117" s="15">
        <v>-4.8840828420359198E-3</v>
      </c>
      <c r="V117" s="15">
        <v>1.77639507649047E-3</v>
      </c>
      <c r="W117" s="15">
        <v>2.0217825825947101E-3</v>
      </c>
      <c r="X117" s="34">
        <v>1.8698935340715399</v>
      </c>
      <c r="Y117" s="34">
        <v>1.8652915884207499</v>
      </c>
      <c r="Z117" s="34">
        <v>1.8726508572987499</v>
      </c>
      <c r="AA117" s="34">
        <v>1.8749680979523999</v>
      </c>
      <c r="AB117" s="33">
        <v>41.098603766814499</v>
      </c>
      <c r="AC117" s="33">
        <v>41.274117490142999</v>
      </c>
      <c r="AD117" s="33">
        <v>41.314852676889501</v>
      </c>
      <c r="AE117" s="15">
        <v>-2.4641070406908501E-3</v>
      </c>
      <c r="AF117" s="15">
        <v>1.79735200209322E-3</v>
      </c>
      <c r="AG117" s="15">
        <v>2.7838079408796E-3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1.1029493695709939E-2</v>
      </c>
      <c r="AT117" s="12"/>
      <c r="AU117">
        <f t="shared" si="30"/>
        <v>1</v>
      </c>
      <c r="AV117">
        <f t="shared" si="31"/>
        <v>0</v>
      </c>
      <c r="AW117">
        <f t="shared" si="38"/>
        <v>1</v>
      </c>
      <c r="AX117">
        <f t="shared" si="25"/>
        <v>1</v>
      </c>
      <c r="AY117">
        <f t="shared" si="39"/>
        <v>1</v>
      </c>
      <c r="AZ117" s="28">
        <f t="shared" si="32"/>
        <v>2.28885428375171E-3</v>
      </c>
      <c r="BA117" s="28">
        <f t="shared" si="33"/>
        <v>-3.1503721681601202E-3</v>
      </c>
      <c r="BB117" s="28">
        <f t="shared" si="40"/>
        <v>-8.6151788440841023E-4</v>
      </c>
      <c r="BC117" s="29">
        <f t="shared" si="41"/>
        <v>1.7038879556868506E-2</v>
      </c>
      <c r="BE117" s="29">
        <f t="shared" si="42"/>
        <v>-8.6151788440841023E-4</v>
      </c>
      <c r="BF117" s="29">
        <f t="shared" si="43"/>
        <v>2.8068373252578448E-2</v>
      </c>
      <c r="BH117" s="29"/>
    </row>
    <row r="118" spans="1:60" x14ac:dyDescent="0.25">
      <c r="A118" s="1">
        <v>46195</v>
      </c>
      <c r="B118" s="33">
        <v>21.72</v>
      </c>
      <c r="C118" s="33">
        <v>41.02</v>
      </c>
      <c r="D118" s="15">
        <v>-4.5934853391900897E-3</v>
      </c>
      <c r="E118" s="15">
        <v>-4.3785037112461199E-3</v>
      </c>
      <c r="F118" s="33">
        <v>0</v>
      </c>
      <c r="G118" s="33">
        <v>0.21334</v>
      </c>
      <c r="H118" s="33">
        <v>0</v>
      </c>
      <c r="I118" s="33">
        <v>0</v>
      </c>
      <c r="J118" s="33">
        <v>0.21334</v>
      </c>
      <c r="K118" s="33">
        <v>0</v>
      </c>
      <c r="L118" s="33">
        <v>21.933339999999902</v>
      </c>
      <c r="M118" s="33">
        <v>41.02</v>
      </c>
      <c r="N118" s="34">
        <v>1.88858195211786</v>
      </c>
      <c r="O118" s="34">
        <v>1.8789764613078801</v>
      </c>
      <c r="P118" s="34">
        <v>1.8904135968572799</v>
      </c>
      <c r="Q118" s="34">
        <v>1.8920678372194299</v>
      </c>
      <c r="R118" s="33">
        <v>40.811368739607197</v>
      </c>
      <c r="S118" s="33">
        <v>41.070995835239799</v>
      </c>
      <c r="T118" s="33">
        <v>41.095441774451601</v>
      </c>
      <c r="U118" s="15">
        <v>-5.09906446997971E-3</v>
      </c>
      <c r="V118" s="15">
        <v>1.2424222968854201E-3</v>
      </c>
      <c r="W118" s="15">
        <v>1.8374569763554599E-3</v>
      </c>
      <c r="X118" s="34">
        <v>1.8702121975038899</v>
      </c>
      <c r="Y118" s="34">
        <v>1.8652915884207499</v>
      </c>
      <c r="Z118" s="34">
        <v>1.8721379706215999</v>
      </c>
      <c r="AA118" s="34">
        <v>1.8747809506031701</v>
      </c>
      <c r="AB118" s="33">
        <v>40.9120746079725</v>
      </c>
      <c r="AC118" s="33">
        <v>41.073487954424998</v>
      </c>
      <c r="AD118" s="33">
        <v>41.124312781543402</v>
      </c>
      <c r="AE118" s="15">
        <v>-2.6345104763072702E-3</v>
      </c>
      <c r="AF118" s="15">
        <v>1.30309877985772E-3</v>
      </c>
      <c r="AG118" s="15">
        <v>2.5397458224933902E-3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1.1029493695709939E-2</v>
      </c>
      <c r="AT118" s="12"/>
      <c r="AU118">
        <f t="shared" si="30"/>
        <v>1</v>
      </c>
      <c r="AV118">
        <f t="shared" si="31"/>
        <v>0</v>
      </c>
      <c r="AW118">
        <f t="shared" si="38"/>
        <v>1</v>
      </c>
      <c r="AX118">
        <f t="shared" si="25"/>
        <v>1</v>
      </c>
      <c r="AY118">
        <f t="shared" si="39"/>
        <v>1</v>
      </c>
      <c r="AZ118" s="28">
        <f t="shared" si="32"/>
        <v>4.5934853391900897E-3</v>
      </c>
      <c r="BA118" s="28">
        <f t="shared" si="33"/>
        <v>-4.3785037112461199E-3</v>
      </c>
      <c r="BB118" s="28">
        <f t="shared" si="40"/>
        <v>2.1498162794396976E-4</v>
      </c>
      <c r="BC118" s="29">
        <f t="shared" si="41"/>
        <v>1.7253861184812477E-2</v>
      </c>
      <c r="BE118" s="29">
        <f t="shared" si="42"/>
        <v>2.1498162794396976E-4</v>
      </c>
      <c r="BF118" s="29">
        <f t="shared" si="43"/>
        <v>2.8283354880522419E-2</v>
      </c>
      <c r="BH118" s="29"/>
    </row>
    <row r="119" spans="1:60" x14ac:dyDescent="0.25">
      <c r="A119" s="1">
        <v>46196</v>
      </c>
      <c r="B119" s="33">
        <v>21.67</v>
      </c>
      <c r="C119" s="33">
        <v>40.909999999999997</v>
      </c>
      <c r="D119" s="15">
        <v>-2.30467951746691E-3</v>
      </c>
      <c r="E119" s="15">
        <v>-2.6852207029275498E-3</v>
      </c>
      <c r="F119" s="33">
        <v>0</v>
      </c>
      <c r="G119" s="33">
        <v>0.21334</v>
      </c>
      <c r="H119" s="33">
        <v>0</v>
      </c>
      <c r="I119" s="33">
        <v>0</v>
      </c>
      <c r="J119" s="33">
        <v>0.21334</v>
      </c>
      <c r="K119" s="33">
        <v>0</v>
      </c>
      <c r="L119" s="33">
        <v>21.88334</v>
      </c>
      <c r="M119" s="33">
        <v>40.909999999999997</v>
      </c>
      <c r="N119" s="34">
        <v>1.8878634056299</v>
      </c>
      <c r="O119" s="34">
        <v>1.8789764613078801</v>
      </c>
      <c r="P119" s="34">
        <v>1.8898911816599</v>
      </c>
      <c r="Q119" s="34">
        <v>1.8920013631780801</v>
      </c>
      <c r="R119" s="33">
        <v>40.7174199165418</v>
      </c>
      <c r="S119" s="33">
        <v>40.965262643897397</v>
      </c>
      <c r="T119" s="33">
        <v>41.001110032545</v>
      </c>
      <c r="U119" s="15">
        <v>-4.7185232845190998E-3</v>
      </c>
      <c r="V119" s="15">
        <v>1.3499230537999799E-3</v>
      </c>
      <c r="W119" s="15">
        <v>2.2246083610220901E-3</v>
      </c>
      <c r="X119" s="34">
        <v>1.86945868409484</v>
      </c>
      <c r="Y119" s="34">
        <v>1.8652915884207499</v>
      </c>
      <c r="Z119" s="34">
        <v>1.8716181218012999</v>
      </c>
      <c r="AA119" s="34">
        <v>1.87451372718507</v>
      </c>
      <c r="AB119" s="33">
        <v>40.818810028551397</v>
      </c>
      <c r="AC119" s="33">
        <v>40.968631738022403</v>
      </c>
      <c r="AD119" s="33">
        <v>41.026468967572399</v>
      </c>
      <c r="AE119" s="15">
        <v>-2.2315266613647101E-3</v>
      </c>
      <c r="AF119" s="15">
        <v>1.4321623798417399E-3</v>
      </c>
      <c r="AG119" s="15">
        <v>2.842911037862E-3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1.1029493695709939E-2</v>
      </c>
      <c r="AT119" s="12"/>
      <c r="AU119">
        <f t="shared" si="30"/>
        <v>1</v>
      </c>
      <c r="AV119">
        <f t="shared" si="31"/>
        <v>0</v>
      </c>
      <c r="AW119">
        <f t="shared" si="38"/>
        <v>1</v>
      </c>
      <c r="AX119">
        <f t="shared" si="25"/>
        <v>1</v>
      </c>
      <c r="AY119">
        <f t="shared" si="39"/>
        <v>1</v>
      </c>
      <c r="AZ119" s="28">
        <f t="shared" si="32"/>
        <v>2.30467951746691E-3</v>
      </c>
      <c r="BA119" s="28">
        <f t="shared" si="33"/>
        <v>-2.6852207029275498E-3</v>
      </c>
      <c r="BB119" s="28">
        <f t="shared" si="40"/>
        <v>-3.8054118546063977E-4</v>
      </c>
      <c r="BC119" s="29">
        <f t="shared" si="41"/>
        <v>1.6873319999351835E-2</v>
      </c>
      <c r="BE119" s="29">
        <f t="shared" si="42"/>
        <v>-3.8054118546063977E-4</v>
      </c>
      <c r="BF119" s="29">
        <f t="shared" si="43"/>
        <v>2.7902813695061777E-2</v>
      </c>
      <c r="BH119" s="29"/>
    </row>
    <row r="120" spans="1:60" x14ac:dyDescent="0.25">
      <c r="A120" s="1">
        <v>46197</v>
      </c>
      <c r="B120" s="33">
        <v>21.66</v>
      </c>
      <c r="C120" s="33">
        <v>40.97</v>
      </c>
      <c r="D120" s="15">
        <v>-4.61573975423151E-4</v>
      </c>
      <c r="E120" s="15">
        <v>1.46555961747258E-3</v>
      </c>
      <c r="F120" s="33">
        <v>0</v>
      </c>
      <c r="G120" s="33">
        <v>0.21334</v>
      </c>
      <c r="H120" s="33">
        <v>0</v>
      </c>
      <c r="I120" s="33">
        <v>0</v>
      </c>
      <c r="J120" s="33">
        <v>0.21334</v>
      </c>
      <c r="K120" s="33">
        <v>0</v>
      </c>
      <c r="L120" s="33">
        <v>21.873339999999999</v>
      </c>
      <c r="M120" s="33">
        <v>40.97</v>
      </c>
      <c r="N120" s="34">
        <v>1.8915050784856799</v>
      </c>
      <c r="O120" s="34">
        <v>1.8789764613078801</v>
      </c>
      <c r="P120" s="34">
        <v>1.8901068869373101</v>
      </c>
      <c r="Q120" s="34">
        <v>1.8920212632003699</v>
      </c>
      <c r="R120" s="33">
        <v>40.698630151928697</v>
      </c>
      <c r="S120" s="33">
        <v>40.935042994753601</v>
      </c>
      <c r="T120" s="33">
        <v>40.980749526437201</v>
      </c>
      <c r="U120" s="15">
        <v>-6.6456568774148897E-3</v>
      </c>
      <c r="V120" s="15">
        <v>-8.5359841325481796E-4</v>
      </c>
      <c r="W120" s="15">
        <v>2.6234113930712798E-4</v>
      </c>
      <c r="X120" s="34">
        <v>1.87305642393891</v>
      </c>
      <c r="Y120" s="34">
        <v>1.8652915884207499</v>
      </c>
      <c r="Z120" s="34">
        <v>1.8718216687426601</v>
      </c>
      <c r="AA120" s="34">
        <v>1.87432784288786</v>
      </c>
      <c r="AB120" s="33">
        <v>40.8001571126672</v>
      </c>
      <c r="AC120" s="33">
        <v>40.9385395283213</v>
      </c>
      <c r="AD120" s="33">
        <v>41.0018760893863</v>
      </c>
      <c r="AE120" s="15">
        <v>-4.1541593554097799E-3</v>
      </c>
      <c r="AF120" s="15">
        <v>-7.6818542747543396E-4</v>
      </c>
      <c r="AG120" s="15">
        <v>7.7773237636566102E-4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1.1029493695709939E-2</v>
      </c>
      <c r="AT120" s="12"/>
      <c r="AU120">
        <f t="shared" si="30"/>
        <v>0</v>
      </c>
      <c r="AV120">
        <f t="shared" si="31"/>
        <v>0</v>
      </c>
      <c r="AW120">
        <f t="shared" si="38"/>
        <v>1</v>
      </c>
      <c r="AX120">
        <f t="shared" si="25"/>
        <v>1</v>
      </c>
      <c r="AY120">
        <f t="shared" si="39"/>
        <v>1</v>
      </c>
      <c r="AZ120" s="28">
        <f t="shared" si="32"/>
        <v>4.61573975423151E-4</v>
      </c>
      <c r="BA120" s="28">
        <f t="shared" si="33"/>
        <v>1.46555961747258E-3</v>
      </c>
      <c r="BB120" s="28">
        <f t="shared" si="40"/>
        <v>1.9271335928957309E-3</v>
      </c>
      <c r="BC120" s="29">
        <f t="shared" si="41"/>
        <v>1.8800453592247565E-2</v>
      </c>
      <c r="BE120" s="29">
        <f t="shared" si="42"/>
        <v>1.9271335928957309E-3</v>
      </c>
      <c r="BF120" s="29">
        <f t="shared" si="43"/>
        <v>2.9829947287957508E-2</v>
      </c>
      <c r="BH120" s="29"/>
    </row>
    <row r="121" spans="1:60" x14ac:dyDescent="0.25">
      <c r="A121" s="1">
        <v>46198</v>
      </c>
      <c r="B121" s="33">
        <v>21.68</v>
      </c>
      <c r="C121" s="33">
        <v>41</v>
      </c>
      <c r="D121" s="15">
        <v>9.2293499860089797E-4</v>
      </c>
      <c r="E121" s="15">
        <v>7.3197514552809299E-4</v>
      </c>
      <c r="F121" s="33">
        <v>0</v>
      </c>
      <c r="G121" s="33">
        <v>0.21334</v>
      </c>
      <c r="H121" s="33">
        <v>0</v>
      </c>
      <c r="I121" s="33">
        <v>0</v>
      </c>
      <c r="J121" s="33">
        <v>0.21334</v>
      </c>
      <c r="K121" s="33">
        <v>0</v>
      </c>
      <c r="L121" s="33">
        <v>21.893339999999998</v>
      </c>
      <c r="M121" s="33">
        <v>41</v>
      </c>
      <c r="N121" s="34">
        <v>1.89114391143911</v>
      </c>
      <c r="O121" s="34">
        <v>1.8789764613078801</v>
      </c>
      <c r="P121" s="34">
        <v>1.89008683977551</v>
      </c>
      <c r="Q121" s="34">
        <v>1.89202310487032</v>
      </c>
      <c r="R121" s="33">
        <v>40.736209681154797</v>
      </c>
      <c r="S121" s="33">
        <v>40.977517308800799</v>
      </c>
      <c r="T121" s="33">
        <v>41.019020986184003</v>
      </c>
      <c r="U121" s="15">
        <v>-6.4546970243421001E-3</v>
      </c>
      <c r="V121" s="15">
        <v>-5.4850872533988902E-4</v>
      </c>
      <c r="W121" s="15">
        <v>4.6381891166979799E-4</v>
      </c>
      <c r="X121" s="34">
        <v>1.87271562950194</v>
      </c>
      <c r="Y121" s="34">
        <v>1.8652915884207499</v>
      </c>
      <c r="Z121" s="34">
        <v>1.8717984557946099</v>
      </c>
      <c r="AA121" s="34">
        <v>1.8741249188688001</v>
      </c>
      <c r="AB121" s="33">
        <v>40.8374629444356</v>
      </c>
      <c r="AC121" s="33">
        <v>40.980428213150503</v>
      </c>
      <c r="AD121" s="33">
        <v>41.035296735810498</v>
      </c>
      <c r="AE121" s="15">
        <v>-3.9721971681479003E-3</v>
      </c>
      <c r="AF121" s="15">
        <v>-4.7747462773510302E-4</v>
      </c>
      <c r="AG121" s="15">
        <v>8.6052563696601802E-4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1.1029493695709939E-2</v>
      </c>
      <c r="AT121" s="12"/>
      <c r="AU121">
        <f t="shared" si="30"/>
        <v>0</v>
      </c>
      <c r="AV121">
        <f t="shared" si="31"/>
        <v>0</v>
      </c>
      <c r="AW121">
        <f t="shared" si="38"/>
        <v>1</v>
      </c>
      <c r="AX121">
        <f t="shared" si="25"/>
        <v>1</v>
      </c>
      <c r="AY121">
        <f t="shared" si="39"/>
        <v>1</v>
      </c>
      <c r="AZ121" s="28">
        <f t="shared" si="32"/>
        <v>-9.2293499860089797E-4</v>
      </c>
      <c r="BA121" s="28">
        <f t="shared" si="33"/>
        <v>7.3197514552809299E-4</v>
      </c>
      <c r="BB121" s="28">
        <f t="shared" si="40"/>
        <v>-1.9095985307280498E-4</v>
      </c>
      <c r="BC121" s="29">
        <f t="shared" si="41"/>
        <v>1.8609493739174761E-2</v>
      </c>
      <c r="BE121" s="29">
        <f t="shared" si="42"/>
        <v>-1.9095985307280498E-4</v>
      </c>
      <c r="BF121" s="29">
        <f t="shared" si="43"/>
        <v>2.9638987434884703E-2</v>
      </c>
      <c r="BH121" s="29"/>
    </row>
    <row r="122" spans="1:60" x14ac:dyDescent="0.25">
      <c r="A122" s="1">
        <v>46199</v>
      </c>
      <c r="B122" s="33">
        <v>21.73</v>
      </c>
      <c r="C122" s="33">
        <v>41.04</v>
      </c>
      <c r="D122" s="15">
        <v>2.3036176968927501E-3</v>
      </c>
      <c r="E122" s="15">
        <v>9.7513415820629095E-4</v>
      </c>
      <c r="F122" s="33">
        <v>0</v>
      </c>
      <c r="G122" s="33">
        <v>0.21334</v>
      </c>
      <c r="H122" s="33">
        <v>0</v>
      </c>
      <c r="I122" s="33">
        <v>0</v>
      </c>
      <c r="J122" s="33">
        <v>0.21334</v>
      </c>
      <c r="K122" s="33">
        <v>0</v>
      </c>
      <c r="L122" s="33">
        <v>21.943339999999999</v>
      </c>
      <c r="M122" s="33">
        <v>41.04</v>
      </c>
      <c r="N122" s="34">
        <v>1.8886332259548999</v>
      </c>
      <c r="O122" s="34">
        <v>1.8789764613078801</v>
      </c>
      <c r="P122" s="34">
        <v>1.8897979290072799</v>
      </c>
      <c r="Q122" s="34">
        <v>1.8916334183616501</v>
      </c>
      <c r="R122" s="33">
        <v>40.830158504220201</v>
      </c>
      <c r="S122" s="33">
        <v>41.0715870283219</v>
      </c>
      <c r="T122" s="33">
        <v>41.113662068832198</v>
      </c>
      <c r="U122" s="15">
        <v>-5.1262134856555697E-3</v>
      </c>
      <c r="V122" s="15">
        <v>7.6936839301658996E-4</v>
      </c>
      <c r="W122" s="15">
        <v>1.79327583744169E-3</v>
      </c>
      <c r="X122" s="34">
        <v>1.8702713442894201</v>
      </c>
      <c r="Y122" s="34">
        <v>1.8652915884207499</v>
      </c>
      <c r="Z122" s="34">
        <v>1.87149492134924</v>
      </c>
      <c r="AA122" s="34">
        <v>1.8735335445975501</v>
      </c>
      <c r="AB122" s="33">
        <v>40.930727523856703</v>
      </c>
      <c r="AC122" s="33">
        <v>41.073509926976101</v>
      </c>
      <c r="AD122" s="33">
        <v>41.1245602972105</v>
      </c>
      <c r="AE122" s="15">
        <v>-2.6661356845893002E-3</v>
      </c>
      <c r="AF122" s="15">
        <v>8.1618551846622197E-4</v>
      </c>
      <c r="AG122" s="15">
        <v>2.0583163047209899E-3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1.1029493695709939E-2</v>
      </c>
      <c r="AT122" s="12"/>
      <c r="AU122">
        <f t="shared" si="30"/>
        <v>1</v>
      </c>
      <c r="AV122">
        <f t="shared" si="31"/>
        <v>0</v>
      </c>
      <c r="AW122">
        <f t="shared" si="38"/>
        <v>1</v>
      </c>
      <c r="AX122">
        <f t="shared" si="25"/>
        <v>1</v>
      </c>
      <c r="AY122">
        <f t="shared" si="39"/>
        <v>1</v>
      </c>
      <c r="AZ122" s="28">
        <f t="shared" si="32"/>
        <v>-2.3036176968927501E-3</v>
      </c>
      <c r="BA122" s="28">
        <f t="shared" si="33"/>
        <v>9.7513415820629095E-4</v>
      </c>
      <c r="BB122" s="28">
        <f t="shared" si="40"/>
        <v>-1.3284835386864592E-3</v>
      </c>
      <c r="BC122" s="29">
        <f t="shared" si="41"/>
        <v>1.7281010200488302E-2</v>
      </c>
      <c r="BE122" s="29">
        <f t="shared" si="42"/>
        <v>-1.3284835386864592E-3</v>
      </c>
      <c r="BF122" s="29">
        <f t="shared" si="43"/>
        <v>2.8310503896198245E-2</v>
      </c>
      <c r="BH122" s="29"/>
    </row>
    <row r="123" spans="1:60" x14ac:dyDescent="0.25">
      <c r="A123" s="1">
        <v>46202</v>
      </c>
      <c r="B123" s="33">
        <v>21.75</v>
      </c>
      <c r="C123" s="33">
        <v>41.16</v>
      </c>
      <c r="D123" s="15">
        <v>9.1996326635479704E-4</v>
      </c>
      <c r="E123" s="15">
        <v>2.9197101033346202E-3</v>
      </c>
      <c r="F123" s="33">
        <v>0</v>
      </c>
      <c r="G123" s="33">
        <v>0.21334</v>
      </c>
      <c r="H123" s="33">
        <v>0</v>
      </c>
      <c r="I123" s="33">
        <v>0</v>
      </c>
      <c r="J123" s="33">
        <v>0.21334</v>
      </c>
      <c r="K123" s="33">
        <v>0</v>
      </c>
      <c r="L123" s="33">
        <v>21.963339999999999</v>
      </c>
      <c r="M123" s="33">
        <v>41.16</v>
      </c>
      <c r="N123" s="34">
        <v>1.8924137931034399</v>
      </c>
      <c r="O123" s="34">
        <v>1.8789764613078801</v>
      </c>
      <c r="P123" s="34">
        <v>1.8899326538053201</v>
      </c>
      <c r="Q123" s="34">
        <v>1.89157661591037</v>
      </c>
      <c r="R123" s="33">
        <v>40.8677380334464</v>
      </c>
      <c r="S123" s="33">
        <v>41.1031049559084</v>
      </c>
      <c r="T123" s="33">
        <v>41.143026849365903</v>
      </c>
      <c r="U123" s="15">
        <v>-7.1259603226354702E-3</v>
      </c>
      <c r="V123" s="15">
        <v>-1.38324594467537E-3</v>
      </c>
      <c r="W123" s="15">
        <v>-4.1245508274571701E-4</v>
      </c>
      <c r="X123" s="34">
        <v>1.8740319095365201</v>
      </c>
      <c r="Y123" s="34">
        <v>1.8652915884207499</v>
      </c>
      <c r="Z123" s="34">
        <v>1.8716125833488</v>
      </c>
      <c r="AA123" s="34">
        <v>1.8732710460870099</v>
      </c>
      <c r="AB123" s="33">
        <v>40.968033355625103</v>
      </c>
      <c r="AC123" s="33">
        <v>41.104279265866701</v>
      </c>
      <c r="AD123" s="33">
        <v>41.149054241401302</v>
      </c>
      <c r="AE123" s="15">
        <v>-4.6748226186352796E-3</v>
      </c>
      <c r="AF123" s="15">
        <v>-1.35467649268458E-3</v>
      </c>
      <c r="AG123" s="15">
        <v>-2.6596730491051501E-4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1.1029493695709939E-2</v>
      </c>
      <c r="AT123" s="12"/>
      <c r="AU123">
        <f t="shared" si="30"/>
        <v>0</v>
      </c>
      <c r="AV123">
        <f t="shared" si="31"/>
        <v>1</v>
      </c>
      <c r="AW123">
        <f t="shared" si="38"/>
        <v>1</v>
      </c>
      <c r="AX123">
        <f t="shared" si="25"/>
        <v>1</v>
      </c>
      <c r="AY123">
        <f t="shared" si="39"/>
        <v>1</v>
      </c>
      <c r="AZ123" s="28">
        <f t="shared" si="32"/>
        <v>-9.1996326635479704E-4</v>
      </c>
      <c r="BA123" s="28">
        <f t="shared" si="33"/>
        <v>2.9197101033346202E-3</v>
      </c>
      <c r="BB123" s="28">
        <f t="shared" si="40"/>
        <v>1.9997468369798233E-3</v>
      </c>
      <c r="BC123" s="29">
        <f t="shared" si="41"/>
        <v>1.9280757037468125E-2</v>
      </c>
      <c r="BE123" s="29">
        <f t="shared" si="42"/>
        <v>1.9997468369798233E-3</v>
      </c>
      <c r="BF123" s="29">
        <f t="shared" si="43"/>
        <v>3.0310250733178067E-2</v>
      </c>
      <c r="BH123" s="29"/>
    </row>
    <row r="124" spans="1:60" x14ac:dyDescent="0.25">
      <c r="A124" s="1">
        <v>46203</v>
      </c>
      <c r="B124" s="33">
        <v>21.68</v>
      </c>
      <c r="C124" s="33">
        <v>41.03</v>
      </c>
      <c r="D124" s="15">
        <v>-3.2235809632476702E-3</v>
      </c>
      <c r="E124" s="15">
        <v>-3.1634045117540201E-3</v>
      </c>
      <c r="F124" s="33">
        <v>0</v>
      </c>
      <c r="G124" s="33">
        <v>0.21334</v>
      </c>
      <c r="H124" s="33">
        <v>0</v>
      </c>
      <c r="I124" s="33">
        <v>0</v>
      </c>
      <c r="J124" s="33">
        <v>0.21334</v>
      </c>
      <c r="K124" s="33">
        <v>0</v>
      </c>
      <c r="L124" s="33">
        <v>21.893339999999998</v>
      </c>
      <c r="M124" s="33">
        <v>41.03</v>
      </c>
      <c r="N124" s="34">
        <v>1.8925276752767499</v>
      </c>
      <c r="O124" s="34">
        <v>1.8789764613078801</v>
      </c>
      <c r="P124" s="34">
        <v>1.8901854213329901</v>
      </c>
      <c r="Q124" s="34">
        <v>1.89140045768601</v>
      </c>
      <c r="R124" s="33">
        <v>40.736209681154797</v>
      </c>
      <c r="S124" s="33">
        <v>40.973739934499399</v>
      </c>
      <c r="T124" s="33">
        <v>41.009381032936901</v>
      </c>
      <c r="U124" s="15">
        <v>-7.1861367741290899E-3</v>
      </c>
      <c r="V124" s="15">
        <v>-1.3721343532019799E-3</v>
      </c>
      <c r="W124" s="15">
        <v>-5.0266024042654503E-4</v>
      </c>
      <c r="X124" s="34">
        <v>1.87408590923084</v>
      </c>
      <c r="Y124" s="34">
        <v>1.8652915884207499</v>
      </c>
      <c r="Z124" s="34">
        <v>1.8718363565002201</v>
      </c>
      <c r="AA124" s="34">
        <v>1.87308206832609</v>
      </c>
      <c r="AB124" s="33">
        <v>40.8374629444356</v>
      </c>
      <c r="AC124" s="33">
        <v>40.975850635533597</v>
      </c>
      <c r="AD124" s="33">
        <v>41.012159924138601</v>
      </c>
      <c r="AE124" s="15">
        <v>-4.7036369179348598E-3</v>
      </c>
      <c r="AF124" s="15">
        <v>-1.32062217309191E-3</v>
      </c>
      <c r="AG124" s="15">
        <v>-4.3490020640693701E-4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1.1029493695709939E-2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1.9280757037468125E-2</v>
      </c>
      <c r="BE124" s="29">
        <f t="shared" si="42"/>
        <v>0</v>
      </c>
      <c r="BF124" s="29">
        <f t="shared" si="43"/>
        <v>3.0310250733178067E-2</v>
      </c>
      <c r="BH124" s="29"/>
    </row>
    <row r="125" spans="1:60" x14ac:dyDescent="0.25">
      <c r="A125" s="1">
        <v>46204</v>
      </c>
      <c r="B125" s="33">
        <v>21.59</v>
      </c>
      <c r="C125" s="33">
        <v>40.9</v>
      </c>
      <c r="D125" s="15">
        <v>-4.1599320447295004E-3</v>
      </c>
      <c r="E125" s="15">
        <v>-3.1734434053387098E-3</v>
      </c>
      <c r="F125" s="33">
        <v>4.4130000000000003E-2</v>
      </c>
      <c r="G125" s="33">
        <v>0.25746999999999998</v>
      </c>
      <c r="H125" s="33">
        <v>0</v>
      </c>
      <c r="I125" s="33">
        <v>0</v>
      </c>
      <c r="J125" s="33">
        <v>0.25746999999999998</v>
      </c>
      <c r="K125" s="33">
        <v>0</v>
      </c>
      <c r="L125" s="33">
        <v>21.847470000000001</v>
      </c>
      <c r="M125" s="33">
        <v>40.9</v>
      </c>
      <c r="N125" s="34">
        <v>1.8943955534969801</v>
      </c>
      <c r="O125" s="34">
        <v>1.8789764613078801</v>
      </c>
      <c r="P125" s="34">
        <v>1.8905043964469701</v>
      </c>
      <c r="Q125" s="34">
        <v>1.8912065205561399</v>
      </c>
      <c r="R125" s="33">
        <v>40.567101799637101</v>
      </c>
      <c r="S125" s="33">
        <v>40.809103246579397</v>
      </c>
      <c r="T125" s="33">
        <v>40.835335881440997</v>
      </c>
      <c r="U125" s="15">
        <v>-8.1726254135198202E-3</v>
      </c>
      <c r="V125" s="15">
        <v>-2.2248877372237201E-3</v>
      </c>
      <c r="W125" s="15">
        <v>-1.5822809401289399E-3</v>
      </c>
      <c r="X125" s="34">
        <v>1.87207031294699</v>
      </c>
      <c r="Y125" s="34">
        <v>1.8652915884207499</v>
      </c>
      <c r="Z125" s="34">
        <v>1.8717342549931</v>
      </c>
      <c r="AA125" s="34">
        <v>1.8726826136594901</v>
      </c>
      <c r="AB125" s="33">
        <v>40.751902019274802</v>
      </c>
      <c r="AC125" s="33">
        <v>40.894888643547802</v>
      </c>
      <c r="AD125" s="33">
        <v>40.922104295292399</v>
      </c>
      <c r="AE125" s="15">
        <v>-3.6275491315155999E-3</v>
      </c>
      <c r="AF125" s="15">
        <v>-1.2497985004985001E-4</v>
      </c>
      <c r="AG125" s="15">
        <v>5.4030132860853695E-4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1.1029493695709939E-2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1.9280757037468125E-2</v>
      </c>
      <c r="BE125" s="29">
        <f t="shared" si="42"/>
        <v>0</v>
      </c>
      <c r="BF125" s="29">
        <f t="shared" si="43"/>
        <v>3.0310250733178067E-2</v>
      </c>
      <c r="BH125" s="29"/>
    </row>
    <row r="126" spans="1:60" x14ac:dyDescent="0.25">
      <c r="A126" s="1">
        <v>46205</v>
      </c>
      <c r="B126" s="33">
        <v>21.68</v>
      </c>
      <c r="C126" s="33">
        <v>41.04</v>
      </c>
      <c r="D126" s="15">
        <v>4.1599320447295697E-3</v>
      </c>
      <c r="E126" s="15">
        <v>3.4171378137580299E-3</v>
      </c>
      <c r="F126" s="33">
        <v>0</v>
      </c>
      <c r="G126" s="33">
        <v>0.25746999999999998</v>
      </c>
      <c r="H126" s="33">
        <v>0</v>
      </c>
      <c r="I126" s="33">
        <v>0</v>
      </c>
      <c r="J126" s="33">
        <v>0.25746999999999998</v>
      </c>
      <c r="K126" s="33">
        <v>0</v>
      </c>
      <c r="L126" s="33">
        <v>21.937470000000001</v>
      </c>
      <c r="M126" s="33">
        <v>41.04</v>
      </c>
      <c r="N126" s="34">
        <v>1.8929889298892899</v>
      </c>
      <c r="O126" s="34">
        <v>1.8789764613078801</v>
      </c>
      <c r="P126" s="34">
        <v>1.89082295107285</v>
      </c>
      <c r="Q126" s="34">
        <v>1.8911780319203999</v>
      </c>
      <c r="R126" s="33">
        <v>40.736209681154797</v>
      </c>
      <c r="S126" s="33">
        <v>40.986135314970397</v>
      </c>
      <c r="T126" s="33">
        <v>41.0013573656571</v>
      </c>
      <c r="U126" s="15">
        <v>-7.4298311825483796E-3</v>
      </c>
      <c r="V126" s="15">
        <v>-1.31335439772513E-3</v>
      </c>
      <c r="W126" s="15">
        <v>-9.4202822677133004E-4</v>
      </c>
      <c r="X126" s="34">
        <v>1.8707717890896201</v>
      </c>
      <c r="Y126" s="34">
        <v>1.8652915884207499</v>
      </c>
      <c r="Z126" s="34">
        <v>1.8716567734204499</v>
      </c>
      <c r="AA126" s="34">
        <v>1.8724570932554601</v>
      </c>
      <c r="AB126" s="33">
        <v>40.919778262232597</v>
      </c>
      <c r="AC126" s="33">
        <v>41.061114066883498</v>
      </c>
      <c r="AD126" s="33">
        <v>41.081918656676798</v>
      </c>
      <c r="AE126" s="15">
        <v>-2.9336786052880301E-3</v>
      </c>
      <c r="AF126" s="15">
        <v>5.1434301687689897E-4</v>
      </c>
      <c r="AG126" s="15">
        <v>1.0208884790606501E-3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1.1029493695709939E-2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1.9280757037468125E-2</v>
      </c>
      <c r="BE126" s="29">
        <f t="shared" si="42"/>
        <v>0</v>
      </c>
      <c r="BF126" s="29">
        <f t="shared" si="43"/>
        <v>3.0310250733178067E-2</v>
      </c>
      <c r="BH126" s="29"/>
    </row>
    <row r="127" spans="1:60" x14ac:dyDescent="0.25">
      <c r="A127" s="1">
        <v>46209</v>
      </c>
      <c r="B127" s="33">
        <v>21.67</v>
      </c>
      <c r="C127" s="33">
        <v>40.97</v>
      </c>
      <c r="D127" s="15">
        <v>-4.6136102317763199E-4</v>
      </c>
      <c r="E127" s="15">
        <v>-1.70710930373443E-3</v>
      </c>
      <c r="F127" s="33">
        <v>0</v>
      </c>
      <c r="G127" s="33">
        <v>0.25746999999999998</v>
      </c>
      <c r="H127" s="33">
        <v>0</v>
      </c>
      <c r="I127" s="33">
        <v>0</v>
      </c>
      <c r="J127" s="33">
        <v>0.25746999999999998</v>
      </c>
      <c r="K127" s="33">
        <v>0</v>
      </c>
      <c r="L127" s="33">
        <v>21.92747</v>
      </c>
      <c r="M127" s="33">
        <v>40.97</v>
      </c>
      <c r="N127" s="34">
        <v>1.89063221042916</v>
      </c>
      <c r="O127" s="34">
        <v>1.8789764613078801</v>
      </c>
      <c r="P127" s="34">
        <v>1.8910685735823101</v>
      </c>
      <c r="Q127" s="34">
        <v>1.8909992001253999</v>
      </c>
      <c r="R127" s="33">
        <v>40.7174199165418</v>
      </c>
      <c r="S127" s="33">
        <v>40.974133349748598</v>
      </c>
      <c r="T127" s="33">
        <v>40.981827951715204</v>
      </c>
      <c r="U127" s="15">
        <v>-6.1840829019916997E-3</v>
      </c>
      <c r="V127" s="15">
        <v>1.00882139653654E-4</v>
      </c>
      <c r="W127" s="15">
        <v>2.8865620433430098E-4</v>
      </c>
      <c r="X127" s="34">
        <v>1.86843260987245</v>
      </c>
      <c r="Y127" s="34">
        <v>1.8652915884207499</v>
      </c>
      <c r="Z127" s="34">
        <v>1.87151068100054</v>
      </c>
      <c r="AA127" s="34">
        <v>1.8720807691496399</v>
      </c>
      <c r="AB127" s="33">
        <v>40.901125346348401</v>
      </c>
      <c r="AC127" s="33">
        <v>41.0406977494738</v>
      </c>
      <c r="AD127" s="33">
        <v>41.058246738646403</v>
      </c>
      <c r="AE127" s="15">
        <v>-1.6825143078951399E-3</v>
      </c>
      <c r="AF127" s="15">
        <v>1.72411085203959E-3</v>
      </c>
      <c r="AG127" s="15">
        <v>2.1516191360822401E-3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1.1029493695709939E-2</v>
      </c>
      <c r="AT127" s="12"/>
      <c r="AU127">
        <f t="shared" si="30"/>
        <v>1</v>
      </c>
      <c r="AV127">
        <f t="shared" si="31"/>
        <v>0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1.9280757037468125E-2</v>
      </c>
      <c r="BE127" s="29">
        <f t="shared" si="42"/>
        <v>0</v>
      </c>
      <c r="BF127" s="29">
        <f t="shared" si="43"/>
        <v>3.0310250733178067E-2</v>
      </c>
      <c r="BH127" s="29"/>
    </row>
    <row r="128" spans="1:60" x14ac:dyDescent="0.25">
      <c r="A128" s="1">
        <v>46210</v>
      </c>
      <c r="B128" s="33">
        <v>21.55</v>
      </c>
      <c r="C128" s="33">
        <v>40.75</v>
      </c>
      <c r="D128" s="15">
        <v>-5.5529989985109197E-3</v>
      </c>
      <c r="E128" s="15">
        <v>-5.3842518719079699E-3</v>
      </c>
      <c r="F128" s="33">
        <v>0</v>
      </c>
      <c r="G128" s="33">
        <v>0.25746999999999998</v>
      </c>
      <c r="H128" s="33">
        <v>0</v>
      </c>
      <c r="I128" s="33">
        <v>0</v>
      </c>
      <c r="J128" s="33">
        <v>0.25746999999999998</v>
      </c>
      <c r="K128" s="33">
        <v>0</v>
      </c>
      <c r="L128" s="33">
        <v>21.807469999999999</v>
      </c>
      <c r="M128" s="33">
        <v>40.75</v>
      </c>
      <c r="N128" s="34">
        <v>1.8909512761020799</v>
      </c>
      <c r="O128" s="34">
        <v>1.8789764613078801</v>
      </c>
      <c r="P128" s="34">
        <v>1.89130550598073</v>
      </c>
      <c r="Q128" s="34">
        <v>1.8908595514190101</v>
      </c>
      <c r="R128" s="33">
        <v>40.491942741184801</v>
      </c>
      <c r="S128" s="33">
        <v>40.752527760698797</v>
      </c>
      <c r="T128" s="33">
        <v>40.751032762702401</v>
      </c>
      <c r="U128" s="15">
        <v>-6.3528300285946703E-3</v>
      </c>
      <c r="V128" s="15">
        <v>6.2029013555613499E-5</v>
      </c>
      <c r="W128" s="15">
        <v>2.5343548849302701E-5</v>
      </c>
      <c r="X128" s="34">
        <v>1.8686257507175199</v>
      </c>
      <c r="Y128" s="34">
        <v>1.8652915884207499</v>
      </c>
      <c r="Z128" s="34">
        <v>1.8713520363219001</v>
      </c>
      <c r="AA128" s="34">
        <v>1.87174500347175</v>
      </c>
      <c r="AB128" s="33">
        <v>40.677290355737902</v>
      </c>
      <c r="AC128" s="33">
        <v>40.812913030598899</v>
      </c>
      <c r="AD128" s="33">
        <v>40.825345210807797</v>
      </c>
      <c r="AE128" s="15">
        <v>-1.7858794826440801E-3</v>
      </c>
      <c r="AF128" s="15">
        <v>1.54268749701283E-3</v>
      </c>
      <c r="AG128" s="15">
        <v>1.8472550018279099E-3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1.1029493695709939E-2</v>
      </c>
      <c r="AT128" s="12"/>
      <c r="AU128">
        <f t="shared" si="30"/>
        <v>1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8">
        <f t="shared" si="32"/>
        <v>5.5529989985109197E-3</v>
      </c>
      <c r="BA128" s="28">
        <f t="shared" si="33"/>
        <v>-5.3842518719079699E-3</v>
      </c>
      <c r="BB128" s="28">
        <f t="shared" si="40"/>
        <v>1.6874712660294982E-4</v>
      </c>
      <c r="BC128" s="29">
        <f t="shared" si="41"/>
        <v>1.9449504164071076E-2</v>
      </c>
      <c r="BE128" s="29">
        <f t="shared" si="42"/>
        <v>1.6874712660294982E-4</v>
      </c>
      <c r="BF128" s="29">
        <f t="shared" si="43"/>
        <v>3.0478997859781018E-2</v>
      </c>
      <c r="BH128" s="29"/>
    </row>
    <row r="129" spans="1:60" x14ac:dyDescent="0.25">
      <c r="A129" s="1">
        <v>46211</v>
      </c>
      <c r="B129" s="33">
        <v>21.5</v>
      </c>
      <c r="C129" s="33">
        <v>40.659999999999997</v>
      </c>
      <c r="D129" s="15">
        <v>-2.32288141613974E-3</v>
      </c>
      <c r="E129" s="15">
        <v>-2.2110314866712602E-3</v>
      </c>
      <c r="F129" s="33">
        <v>0</v>
      </c>
      <c r="G129" s="33">
        <v>0.25746999999999998</v>
      </c>
      <c r="H129" s="33">
        <v>0</v>
      </c>
      <c r="I129" s="33">
        <v>0</v>
      </c>
      <c r="J129" s="33">
        <v>0.25746999999999998</v>
      </c>
      <c r="K129" s="33">
        <v>0</v>
      </c>
      <c r="L129" s="33">
        <v>21.757470000000001</v>
      </c>
      <c r="M129" s="33">
        <v>40.659999999999997</v>
      </c>
      <c r="N129" s="34">
        <v>1.89116279069767</v>
      </c>
      <c r="O129" s="34">
        <v>1.8789764613078801</v>
      </c>
      <c r="P129" s="34">
        <v>1.8916354444875101</v>
      </c>
      <c r="Q129" s="34">
        <v>1.89076331307371</v>
      </c>
      <c r="R129" s="33">
        <v>40.397993918119397</v>
      </c>
      <c r="S129" s="33">
        <v>40.663068378585798</v>
      </c>
      <c r="T129" s="33">
        <v>40.653480355508698</v>
      </c>
      <c r="U129" s="15">
        <v>-6.4646799580632399E-3</v>
      </c>
      <c r="V129" s="15">
        <v>7.5461456347825307E-5</v>
      </c>
      <c r="W129" s="15">
        <v>-1.6035826966803401E-4</v>
      </c>
      <c r="X129" s="34">
        <v>1.8687834569000801</v>
      </c>
      <c r="Y129" s="34">
        <v>1.8652915884207499</v>
      </c>
      <c r="Z129" s="34">
        <v>1.8712845136024301</v>
      </c>
      <c r="AA129" s="34">
        <v>1.8714513177018699</v>
      </c>
      <c r="AB129" s="33">
        <v>40.584025776316899</v>
      </c>
      <c r="AC129" s="33">
        <v>40.7158857897128</v>
      </c>
      <c r="AD129" s="33">
        <v>40.724435760686603</v>
      </c>
      <c r="AE129" s="15">
        <v>-1.87027280105969E-3</v>
      </c>
      <c r="AF129" s="15">
        <v>1.3735223391187501E-3</v>
      </c>
      <c r="AG129" s="15">
        <v>1.58349132849374E-3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1.1029493695709939E-2</v>
      </c>
      <c r="AT129" s="12"/>
      <c r="AU129">
        <f t="shared" si="30"/>
        <v>1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28">
        <f t="shared" si="32"/>
        <v>2.32288141613974E-3</v>
      </c>
      <c r="BA129" s="28">
        <f t="shared" si="33"/>
        <v>-2.2110314866712602E-3</v>
      </c>
      <c r="BB129" s="28">
        <f t="shared" si="40"/>
        <v>1.1184992946847985E-4</v>
      </c>
      <c r="BC129" s="29">
        <f t="shared" si="41"/>
        <v>1.9561354093539554E-2</v>
      </c>
      <c r="BE129" s="29">
        <f t="shared" si="42"/>
        <v>1.1184992946847985E-4</v>
      </c>
      <c r="BF129" s="29">
        <f t="shared" si="43"/>
        <v>3.0590847789249496E-2</v>
      </c>
      <c r="BH129" s="29"/>
    </row>
    <row r="130" spans="1:60" x14ac:dyDescent="0.25">
      <c r="A130" s="1">
        <v>46212</v>
      </c>
      <c r="B130" s="33">
        <v>21.52</v>
      </c>
      <c r="C130" s="33">
        <v>40.75</v>
      </c>
      <c r="D130" s="15">
        <v>9.2980015996652705E-4</v>
      </c>
      <c r="E130" s="15">
        <v>2.2110314866712099E-3</v>
      </c>
      <c r="F130" s="33">
        <v>0</v>
      </c>
      <c r="G130" s="33">
        <v>0.25746999999999998</v>
      </c>
      <c r="H130" s="33">
        <v>0</v>
      </c>
      <c r="I130" s="33">
        <v>0</v>
      </c>
      <c r="J130" s="33">
        <v>0.25746999999999998</v>
      </c>
      <c r="K130" s="33">
        <v>0</v>
      </c>
      <c r="L130" s="33">
        <v>21.777470000000001</v>
      </c>
      <c r="M130" s="33">
        <v>40.75</v>
      </c>
      <c r="N130" s="34">
        <v>1.8935873605947899</v>
      </c>
      <c r="O130" s="34">
        <v>1.8789764613078801</v>
      </c>
      <c r="P130" s="34">
        <v>1.89184367269842</v>
      </c>
      <c r="Q130" s="34">
        <v>1.8909752798178601</v>
      </c>
      <c r="R130" s="33">
        <v>40.435573447345597</v>
      </c>
      <c r="S130" s="33">
        <v>40.707994765371197</v>
      </c>
      <c r="T130" s="33">
        <v>40.689226497346198</v>
      </c>
      <c r="U130" s="15">
        <v>-7.74591128476795E-3</v>
      </c>
      <c r="V130" s="15">
        <v>-1.0313349468759399E-3</v>
      </c>
      <c r="W130" s="15">
        <v>-1.49248750384229E-3</v>
      </c>
      <c r="X130" s="34">
        <v>1.87119991440695</v>
      </c>
      <c r="Y130" s="34">
        <v>1.8652915884207499</v>
      </c>
      <c r="Z130" s="34">
        <v>1.87109886264923</v>
      </c>
      <c r="AA130" s="34">
        <v>1.87146026569595</v>
      </c>
      <c r="AB130" s="33">
        <v>40.621331608085299</v>
      </c>
      <c r="AC130" s="33">
        <v>40.7518423564416</v>
      </c>
      <c r="AD130" s="33">
        <v>40.755474927712903</v>
      </c>
      <c r="AE130" s="15">
        <v>-3.1625019920579001E-3</v>
      </c>
      <c r="AF130" s="15">
        <v>4.5210179025643901E-5</v>
      </c>
      <c r="AG130" s="15">
        <v>1.34345029607881E-4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1.1029493695709939E-2</v>
      </c>
      <c r="AT130" s="12"/>
      <c r="AU130">
        <f t="shared" si="30"/>
        <v>0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-9.2980015996652705E-4</v>
      </c>
      <c r="BA130" s="28">
        <f t="shared" si="33"/>
        <v>2.2110314866712099E-3</v>
      </c>
      <c r="BB130" s="28">
        <f t="shared" si="40"/>
        <v>1.2812313267046827E-3</v>
      </c>
      <c r="BC130" s="29">
        <f t="shared" si="41"/>
        <v>2.0842585420244236E-2</v>
      </c>
      <c r="BE130" s="29">
        <f t="shared" si="42"/>
        <v>1.2812313267046827E-3</v>
      </c>
      <c r="BF130" s="29">
        <f t="shared" si="43"/>
        <v>3.1872079115954181E-2</v>
      </c>
      <c r="BH130" s="29"/>
    </row>
    <row r="131" spans="1:60" x14ac:dyDescent="0.25">
      <c r="A131" s="1">
        <v>46213</v>
      </c>
      <c r="B131" s="33">
        <v>21.59</v>
      </c>
      <c r="C131" s="33">
        <v>40.840000000000003</v>
      </c>
      <c r="D131" s="15">
        <v>3.2475092331322301E-3</v>
      </c>
      <c r="E131" s="15">
        <v>2.2061536095932099E-3</v>
      </c>
      <c r="F131" s="33">
        <v>0</v>
      </c>
      <c r="G131" s="33">
        <v>0.25746999999999998</v>
      </c>
      <c r="H131" s="33">
        <v>0</v>
      </c>
      <c r="I131" s="33">
        <v>0</v>
      </c>
      <c r="J131" s="33">
        <v>0.25746999999999998</v>
      </c>
      <c r="K131" s="33">
        <v>0</v>
      </c>
      <c r="L131" s="33">
        <v>21.847470000000001</v>
      </c>
      <c r="M131" s="33">
        <v>40.840000000000003</v>
      </c>
      <c r="N131" s="34">
        <v>1.89161648911533</v>
      </c>
      <c r="O131" s="34">
        <v>1.8789764613078801</v>
      </c>
      <c r="P131" s="34">
        <v>1.8918909304660401</v>
      </c>
      <c r="Q131" s="34">
        <v>1.8909888851207699</v>
      </c>
      <c r="R131" s="33">
        <v>40.567101799637101</v>
      </c>
      <c r="S131" s="33">
        <v>40.844904893558898</v>
      </c>
      <c r="T131" s="33">
        <v>40.826156291267701</v>
      </c>
      <c r="U131" s="15">
        <v>-6.7045556612287003E-3</v>
      </c>
      <c r="V131" s="15">
        <v>1.2009302260256599E-4</v>
      </c>
      <c r="W131" s="15">
        <v>-3.39031723630922E-4</v>
      </c>
      <c r="X131" s="34">
        <v>1.8693239995294599</v>
      </c>
      <c r="Y131" s="34">
        <v>1.8652915884207499</v>
      </c>
      <c r="Z131" s="34">
        <v>1.87075969965199</v>
      </c>
      <c r="AA131" s="34">
        <v>1.8712790777232999</v>
      </c>
      <c r="AB131" s="33">
        <v>40.751902019274802</v>
      </c>
      <c r="AC131" s="33">
        <v>40.878776268763303</v>
      </c>
      <c r="AD131" s="33">
        <v>40.886672010984299</v>
      </c>
      <c r="AE131" s="15">
        <v>-2.1594793792244602E-3</v>
      </c>
      <c r="AF131" s="15">
        <v>9.4901743379286103E-4</v>
      </c>
      <c r="AG131" s="15">
        <v>1.14214894377942E-3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1.1029493695709939E-2</v>
      </c>
      <c r="AT131" s="12"/>
      <c r="AU131">
        <f t="shared" si="30"/>
        <v>0</v>
      </c>
      <c r="AV131">
        <f t="shared" si="31"/>
        <v>0</v>
      </c>
      <c r="AW131">
        <f t="shared" si="38"/>
        <v>1</v>
      </c>
      <c r="AX131">
        <f t="shared" si="25"/>
        <v>1</v>
      </c>
      <c r="AY131">
        <f t="shared" si="39"/>
        <v>1</v>
      </c>
      <c r="AZ131" s="28">
        <f t="shared" si="32"/>
        <v>-3.2475092331322301E-3</v>
      </c>
      <c r="BA131" s="28">
        <f t="shared" si="33"/>
        <v>2.2061536095932099E-3</v>
      </c>
      <c r="BB131" s="28">
        <f t="shared" si="40"/>
        <v>-1.0413556235390202E-3</v>
      </c>
      <c r="BC131" s="29">
        <f t="shared" si="41"/>
        <v>1.9801229796705216E-2</v>
      </c>
      <c r="BE131" s="29">
        <f t="shared" si="42"/>
        <v>-1.0413556235390202E-3</v>
      </c>
      <c r="BF131" s="29">
        <f t="shared" si="43"/>
        <v>3.0830723492415162E-2</v>
      </c>
      <c r="BH131" s="29"/>
    </row>
    <row r="132" spans="1:60" x14ac:dyDescent="0.25">
      <c r="A132" s="1">
        <v>46216</v>
      </c>
      <c r="B132" s="33">
        <v>21.45</v>
      </c>
      <c r="C132" s="33">
        <v>40.58</v>
      </c>
      <c r="D132" s="15">
        <v>-6.5055991526900298E-3</v>
      </c>
      <c r="E132" s="15">
        <v>-6.3866588987961902E-3</v>
      </c>
      <c r="F132" s="33">
        <v>0</v>
      </c>
      <c r="G132" s="33">
        <v>0.25746999999999998</v>
      </c>
      <c r="H132" s="33">
        <v>0</v>
      </c>
      <c r="I132" s="33">
        <v>0</v>
      </c>
      <c r="J132" s="33">
        <v>0.25746999999999998</v>
      </c>
      <c r="K132" s="33">
        <v>0</v>
      </c>
      <c r="L132" s="33">
        <v>21.707470000000001</v>
      </c>
      <c r="M132" s="33">
        <v>40.58</v>
      </c>
      <c r="N132" s="34">
        <v>1.8918414918414901</v>
      </c>
      <c r="O132" s="34">
        <v>1.8789764613078801</v>
      </c>
      <c r="P132" s="34">
        <v>1.8922117570546999</v>
      </c>
      <c r="Q132" s="34">
        <v>1.89100484303099</v>
      </c>
      <c r="R132" s="33">
        <v>40.304045095054001</v>
      </c>
      <c r="S132" s="33">
        <v>40.581060458496601</v>
      </c>
      <c r="T132" s="33">
        <v>40.561711585840698</v>
      </c>
      <c r="U132" s="15">
        <v>-6.8234959151225903E-3</v>
      </c>
      <c r="V132" s="15">
        <v>2.61321991290378E-5</v>
      </c>
      <c r="W132" s="15">
        <v>-4.5077714313741303E-4</v>
      </c>
      <c r="X132" s="34">
        <v>1.86940256050106</v>
      </c>
      <c r="Y132" s="34">
        <v>1.8652915884207499</v>
      </c>
      <c r="Z132" s="34">
        <v>1.87067282127315</v>
      </c>
      <c r="AA132" s="34">
        <v>1.8710838713111999</v>
      </c>
      <c r="AB132" s="33">
        <v>40.490761196895903</v>
      </c>
      <c r="AC132" s="33">
        <v>40.609460057404597</v>
      </c>
      <c r="AD132" s="33">
        <v>40.620734441306197</v>
      </c>
      <c r="AE132" s="15">
        <v>-2.2015049033420699E-3</v>
      </c>
      <c r="AF132" s="15">
        <v>7.25711408272177E-4</v>
      </c>
      <c r="AG132" s="15">
        <v>1.00330237167226E-3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1.1029493695709939E-2</v>
      </c>
      <c r="AT132" s="12"/>
      <c r="AU132">
        <f t="shared" si="30"/>
        <v>0</v>
      </c>
      <c r="AV132">
        <f t="shared" si="31"/>
        <v>0</v>
      </c>
      <c r="AW132">
        <f t="shared" si="38"/>
        <v>1</v>
      </c>
      <c r="AX132">
        <f t="shared" si="25"/>
        <v>1</v>
      </c>
      <c r="AY132">
        <f t="shared" si="39"/>
        <v>1</v>
      </c>
      <c r="AZ132" s="28">
        <f t="shared" si="32"/>
        <v>6.5055991526900298E-3</v>
      </c>
      <c r="BA132" s="28">
        <f t="shared" si="33"/>
        <v>-6.3866588987961902E-3</v>
      </c>
      <c r="BB132" s="28">
        <f t="shared" si="40"/>
        <v>1.1894025389383965E-4</v>
      </c>
      <c r="BC132" s="29">
        <f t="shared" si="41"/>
        <v>1.9920170050599054E-2</v>
      </c>
      <c r="BE132" s="29">
        <f t="shared" si="42"/>
        <v>1.1894025389383965E-4</v>
      </c>
      <c r="BF132" s="29">
        <f t="shared" si="43"/>
        <v>3.0949663746309003E-2</v>
      </c>
      <c r="BH132" s="29"/>
    </row>
    <row r="133" spans="1:60" x14ac:dyDescent="0.25">
      <c r="A133" s="1">
        <v>46217</v>
      </c>
      <c r="B133" s="33">
        <v>21.59</v>
      </c>
      <c r="C133" s="33">
        <v>40.799999999999997</v>
      </c>
      <c r="D133" s="15">
        <v>6.5055991526899604E-3</v>
      </c>
      <c r="E133" s="15">
        <v>5.4067470124472498E-3</v>
      </c>
      <c r="F133" s="33">
        <v>0</v>
      </c>
      <c r="G133" s="33">
        <v>0.25746999999999998</v>
      </c>
      <c r="H133" s="33">
        <v>0</v>
      </c>
      <c r="I133" s="33">
        <v>0</v>
      </c>
      <c r="J133" s="33">
        <v>0.25746999999999998</v>
      </c>
      <c r="K133" s="33">
        <v>0</v>
      </c>
      <c r="L133" s="33">
        <v>21.847470000000001</v>
      </c>
      <c r="M133" s="33">
        <v>40.799999999999997</v>
      </c>
      <c r="N133" s="34">
        <v>1.8897637795275499</v>
      </c>
      <c r="O133" s="34">
        <v>1.8789764613078801</v>
      </c>
      <c r="P133" s="34">
        <v>1.8919467556971099</v>
      </c>
      <c r="Q133" s="34">
        <v>1.89093970475121</v>
      </c>
      <c r="R133" s="33">
        <v>40.567101799637101</v>
      </c>
      <c r="S133" s="33">
        <v>40.852851834810998</v>
      </c>
      <c r="T133" s="33">
        <v>40.826794561039101</v>
      </c>
      <c r="U133" s="15">
        <v>-5.7246437748797903E-3</v>
      </c>
      <c r="V133" s="15">
        <v>1.2945498168022199E-3</v>
      </c>
      <c r="W133" s="15">
        <v>6.5651388482542903E-4</v>
      </c>
      <c r="X133" s="34">
        <v>1.8674931239177801</v>
      </c>
      <c r="Y133" s="34">
        <v>1.8652915884207499</v>
      </c>
      <c r="Z133" s="34">
        <v>1.8700189427112699</v>
      </c>
      <c r="AA133" s="34">
        <v>1.8708157630300399</v>
      </c>
      <c r="AB133" s="33">
        <v>40.751902019274802</v>
      </c>
      <c r="AC133" s="33">
        <v>40.869468342580603</v>
      </c>
      <c r="AD133" s="33">
        <v>40.878448745955303</v>
      </c>
      <c r="AE133" s="15">
        <v>-1.1795674928754901E-3</v>
      </c>
      <c r="AF133" s="15">
        <v>1.7012075808619199E-3</v>
      </c>
      <c r="AG133" s="15">
        <v>1.92091723783366E-3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1.1029493695709939E-2</v>
      </c>
      <c r="AT133" s="12"/>
      <c r="AU133">
        <f t="shared" si="30"/>
        <v>1</v>
      </c>
      <c r="AV133">
        <f t="shared" si="31"/>
        <v>0</v>
      </c>
      <c r="AW133">
        <f t="shared" si="38"/>
        <v>1</v>
      </c>
      <c r="AX133">
        <f t="shared" si="25"/>
        <v>1</v>
      </c>
      <c r="AY133">
        <f t="shared" si="39"/>
        <v>1</v>
      </c>
      <c r="AZ133" s="28">
        <f t="shared" si="32"/>
        <v>-6.5055991526899604E-3</v>
      </c>
      <c r="BA133" s="28">
        <f t="shared" si="33"/>
        <v>5.4067470124472498E-3</v>
      </c>
      <c r="BB133" s="28">
        <f t="shared" si="40"/>
        <v>-1.0988521402427107E-3</v>
      </c>
      <c r="BC133" s="29">
        <f t="shared" si="41"/>
        <v>1.8821317910356343E-2</v>
      </c>
      <c r="BE133" s="29">
        <f t="shared" si="42"/>
        <v>-1.0988521402427107E-3</v>
      </c>
      <c r="BF133" s="29">
        <f t="shared" si="43"/>
        <v>2.9850811606066292E-2</v>
      </c>
      <c r="BH133" s="29"/>
    </row>
    <row r="134" spans="1:60" x14ac:dyDescent="0.25">
      <c r="A134" s="1">
        <v>46218</v>
      </c>
      <c r="B134" s="33">
        <v>21.66</v>
      </c>
      <c r="C134" s="33">
        <v>41</v>
      </c>
      <c r="D134" s="15">
        <v>3.2369970461284701E-3</v>
      </c>
      <c r="E134" s="15">
        <v>4.8899852941917702E-3</v>
      </c>
      <c r="F134" s="33">
        <v>0</v>
      </c>
      <c r="G134" s="33">
        <v>0.25746999999999998</v>
      </c>
      <c r="H134" s="33">
        <v>0</v>
      </c>
      <c r="I134" s="33">
        <v>0</v>
      </c>
      <c r="J134" s="33">
        <v>0.25746999999999998</v>
      </c>
      <c r="K134" s="33">
        <v>0</v>
      </c>
      <c r="L134" s="33">
        <v>21.917470000000002</v>
      </c>
      <c r="M134" s="33">
        <v>41</v>
      </c>
      <c r="N134" s="34">
        <v>1.8928901200369299</v>
      </c>
      <c r="O134" s="34">
        <v>1.8789764613078801</v>
      </c>
      <c r="P134" s="34">
        <v>1.8919830001731299</v>
      </c>
      <c r="Q134" s="34">
        <v>1.8910842107530601</v>
      </c>
      <c r="R134" s="33">
        <v>40.698630151928697</v>
      </c>
      <c r="S134" s="33">
        <v>40.979566728399497</v>
      </c>
      <c r="T134" s="33">
        <v>40.957754004911301</v>
      </c>
      <c r="U134" s="15">
        <v>-7.3776320229429898E-3</v>
      </c>
      <c r="V134" s="15">
        <v>-4.9849670690081996E-4</v>
      </c>
      <c r="W134" s="15">
        <v>-1.03092134095488E-3</v>
      </c>
      <c r="X134" s="34">
        <v>1.8706538665274699</v>
      </c>
      <c r="Y134" s="34">
        <v>1.8652915884207499</v>
      </c>
      <c r="Z134" s="34">
        <v>1.8696757384409399</v>
      </c>
      <c r="AA134" s="34">
        <v>1.87075604747058</v>
      </c>
      <c r="AB134" s="33">
        <v>40.882472430464198</v>
      </c>
      <c r="AC134" s="33">
        <v>40.986084076306099</v>
      </c>
      <c r="AD134" s="33">
        <v>41.003548361737998</v>
      </c>
      <c r="AE134" s="15">
        <v>-2.87064244044516E-3</v>
      </c>
      <c r="AF134" s="15">
        <v>-3.3947038657187198E-4</v>
      </c>
      <c r="AG134" s="15">
        <v>8.6541663406596202E-5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1.1029493695709939E-2</v>
      </c>
      <c r="AT134" s="12"/>
      <c r="AU134">
        <f t="shared" si="30"/>
        <v>0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-3.2369970461284701E-3</v>
      </c>
      <c r="BA134" s="28">
        <f t="shared" si="33"/>
        <v>4.8899852941917702E-3</v>
      </c>
      <c r="BB134" s="28">
        <f t="shared" si="40"/>
        <v>1.6529882480633001E-3</v>
      </c>
      <c r="BC134" s="29">
        <f t="shared" si="41"/>
        <v>2.0474306158419643E-2</v>
      </c>
      <c r="BE134" s="29">
        <f t="shared" si="42"/>
        <v>1.6529882480633001E-3</v>
      </c>
      <c r="BF134" s="29">
        <f t="shared" si="43"/>
        <v>3.1503799854129592E-2</v>
      </c>
      <c r="BH134" s="29"/>
    </row>
    <row r="135" spans="1:60" x14ac:dyDescent="0.25">
      <c r="A135" s="1">
        <v>46219</v>
      </c>
      <c r="B135" s="33">
        <v>21.59</v>
      </c>
      <c r="C135" s="33">
        <v>40.85</v>
      </c>
      <c r="D135" s="15">
        <v>-3.23699704612853E-3</v>
      </c>
      <c r="E135" s="15">
        <v>-3.6652453982959098E-3</v>
      </c>
      <c r="F135" s="33">
        <v>0</v>
      </c>
      <c r="G135" s="33">
        <v>0.25746999999999998</v>
      </c>
      <c r="H135" s="33">
        <v>0</v>
      </c>
      <c r="I135" s="33">
        <v>0</v>
      </c>
      <c r="J135" s="33">
        <v>0.25746999999999998</v>
      </c>
      <c r="K135" s="33">
        <v>0</v>
      </c>
      <c r="L135" s="33">
        <v>21.847470000000001</v>
      </c>
      <c r="M135" s="33">
        <v>40.85</v>
      </c>
      <c r="N135" s="34">
        <v>1.8920796665122701</v>
      </c>
      <c r="O135" s="34">
        <v>1.8789764613078801</v>
      </c>
      <c r="P135" s="34">
        <v>1.8917514114746601</v>
      </c>
      <c r="Q135" s="34">
        <v>1.89112790396081</v>
      </c>
      <c r="R135" s="33">
        <v>40.567101799637101</v>
      </c>
      <c r="S135" s="33">
        <v>40.847912973737898</v>
      </c>
      <c r="T135" s="33">
        <v>40.828508110158602</v>
      </c>
      <c r="U135" s="15">
        <v>-6.9493836707758003E-3</v>
      </c>
      <c r="V135" s="15">
        <v>-5.1091299313673899E-5</v>
      </c>
      <c r="W135" s="15">
        <v>-5.2625570262237998E-4</v>
      </c>
      <c r="X135" s="34">
        <v>1.8697817184323799</v>
      </c>
      <c r="Y135" s="34">
        <v>1.8652915884207499</v>
      </c>
      <c r="Z135" s="34">
        <v>1.86944687898948</v>
      </c>
      <c r="AA135" s="34">
        <v>1.8705905669912899</v>
      </c>
      <c r="AB135" s="33">
        <v>40.751902019274802</v>
      </c>
      <c r="AC135" s="33">
        <v>40.847684605316303</v>
      </c>
      <c r="AD135" s="33">
        <v>40.871286624432102</v>
      </c>
      <c r="AE135" s="15">
        <v>-2.4043073887714699E-3</v>
      </c>
      <c r="AF135" s="15">
        <v>-5.6682014807495999E-5</v>
      </c>
      <c r="AG135" s="15">
        <v>5.20956675862711E-4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1.1029493695709939E-2</v>
      </c>
      <c r="AT135" s="12"/>
      <c r="AU135">
        <f t="shared" si="30"/>
        <v>0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8">
        <f t="shared" si="32"/>
        <v>3.23699704612853E-3</v>
      </c>
      <c r="BA135" s="28">
        <f t="shared" si="33"/>
        <v>-3.6652453982959098E-3</v>
      </c>
      <c r="BB135" s="28">
        <f t="shared" si="40"/>
        <v>-4.2824835216737989E-4</v>
      </c>
      <c r="BC135" s="29">
        <f t="shared" si="41"/>
        <v>2.0046057806252262E-2</v>
      </c>
      <c r="BE135" s="29">
        <f t="shared" si="42"/>
        <v>-4.2824835216737989E-4</v>
      </c>
      <c r="BF135" s="29">
        <f t="shared" si="43"/>
        <v>3.1075551501962211E-2</v>
      </c>
      <c r="BH135" s="29"/>
    </row>
    <row r="136" spans="1:60" x14ac:dyDescent="0.25">
      <c r="A136" s="1">
        <v>46220</v>
      </c>
      <c r="B136" s="33">
        <v>21.56</v>
      </c>
      <c r="C136" s="33">
        <v>40.770000000000003</v>
      </c>
      <c r="D136" s="15">
        <v>-1.39049848591964E-3</v>
      </c>
      <c r="E136" s="15">
        <v>-1.9603044748497901E-3</v>
      </c>
      <c r="F136" s="33">
        <v>0</v>
      </c>
      <c r="G136" s="33">
        <v>0.25746999999999998</v>
      </c>
      <c r="H136" s="33">
        <v>0</v>
      </c>
      <c r="I136" s="33">
        <v>0</v>
      </c>
      <c r="J136" s="33">
        <v>0.25746999999999998</v>
      </c>
      <c r="K136" s="33">
        <v>0</v>
      </c>
      <c r="L136" s="33">
        <v>21.81747</v>
      </c>
      <c r="M136" s="33">
        <v>40.770000000000003</v>
      </c>
      <c r="N136" s="34">
        <v>1.89100185528756</v>
      </c>
      <c r="O136" s="34">
        <v>1.8789764613078801</v>
      </c>
      <c r="P136" s="34">
        <v>1.8915527040144799</v>
      </c>
      <c r="Q136" s="34">
        <v>1.89118782754367</v>
      </c>
      <c r="R136" s="33">
        <v>40.510732505797897</v>
      </c>
      <c r="S136" s="33">
        <v>40.786160431393597</v>
      </c>
      <c r="T136" s="33">
        <v>40.772717609395201</v>
      </c>
      <c r="U136" s="15">
        <v>-6.3795776818455696E-3</v>
      </c>
      <c r="V136" s="15">
        <v>3.9630192298691303E-4</v>
      </c>
      <c r="W136" s="15">
        <v>6.6654864491358601E-5</v>
      </c>
      <c r="X136" s="34">
        <v>1.86868596587963</v>
      </c>
      <c r="Y136" s="34">
        <v>1.8652915884207499</v>
      </c>
      <c r="Z136" s="34">
        <v>1.86923829666848</v>
      </c>
      <c r="AA136" s="34">
        <v>1.87044753504446</v>
      </c>
      <c r="AB136" s="33">
        <v>40.695943271622198</v>
      </c>
      <c r="AC136" s="33">
        <v>40.786601198946599</v>
      </c>
      <c r="AD136" s="33">
        <v>40.811553577615499</v>
      </c>
      <c r="AE136" s="15">
        <v>-1.81810326630413E-3</v>
      </c>
      <c r="AF136" s="15">
        <v>4.0710865661148902E-4</v>
      </c>
      <c r="AG136" s="15">
        <v>1.01870041416956E-3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1.1029493695709939E-2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1.39049848591964E-3</v>
      </c>
      <c r="BA136" s="28">
        <f t="shared" si="33"/>
        <v>-1.9603044748497901E-3</v>
      </c>
      <c r="BB136" s="28">
        <f t="shared" si="40"/>
        <v>-5.6980598893015006E-4</v>
      </c>
      <c r="BC136" s="29">
        <f t="shared" si="41"/>
        <v>1.9476251817322113E-2</v>
      </c>
      <c r="BE136" s="29">
        <f t="shared" si="42"/>
        <v>-5.6980598893015006E-4</v>
      </c>
      <c r="BF136" s="29">
        <f t="shared" si="43"/>
        <v>3.0505745513032062E-2</v>
      </c>
      <c r="BH136" s="29"/>
    </row>
    <row r="137" spans="1:60" x14ac:dyDescent="0.25">
      <c r="A137" s="1">
        <v>46223</v>
      </c>
      <c r="B137" s="33">
        <v>21.51</v>
      </c>
      <c r="C137" s="33">
        <v>40.68</v>
      </c>
      <c r="D137" s="15">
        <v>-2.3218027611575601E-3</v>
      </c>
      <c r="E137" s="15">
        <v>-2.2099456508029502E-3</v>
      </c>
      <c r="F137" s="33">
        <v>0</v>
      </c>
      <c r="G137" s="33">
        <v>0.25746999999999998</v>
      </c>
      <c r="H137" s="33">
        <v>0</v>
      </c>
      <c r="I137" s="33">
        <v>0</v>
      </c>
      <c r="J137" s="33">
        <v>0.25746999999999998</v>
      </c>
      <c r="K137" s="33">
        <v>0</v>
      </c>
      <c r="L137" s="33">
        <v>21.767469999999999</v>
      </c>
      <c r="M137" s="33">
        <v>40.68</v>
      </c>
      <c r="N137" s="34">
        <v>1.8912133891213301</v>
      </c>
      <c r="O137" s="34">
        <v>1.8789764613078801</v>
      </c>
      <c r="P137" s="34">
        <v>1.8916108218837</v>
      </c>
      <c r="Q137" s="34">
        <v>1.8913396977329999</v>
      </c>
      <c r="R137" s="33">
        <v>40.4167836827325</v>
      </c>
      <c r="S137" s="33">
        <v>40.687298663351598</v>
      </c>
      <c r="T137" s="33">
        <v>40.6794501704643</v>
      </c>
      <c r="U137" s="15">
        <v>-6.4914347922002897E-3</v>
      </c>
      <c r="V137" s="15">
        <v>1.7940041002035301E-4</v>
      </c>
      <c r="W137" s="15">
        <v>-1.3516058294708E-5</v>
      </c>
      <c r="X137" s="34">
        <v>1.86884373792636</v>
      </c>
      <c r="Y137" s="34">
        <v>1.8652915884207499</v>
      </c>
      <c r="Z137" s="34">
        <v>1.8692794094738701</v>
      </c>
      <c r="AA137" s="34">
        <v>1.87039504523721</v>
      </c>
      <c r="AB137" s="33">
        <v>40.602678692201103</v>
      </c>
      <c r="AC137" s="33">
        <v>40.688588545582299</v>
      </c>
      <c r="AD137" s="33">
        <v>40.714910605654403</v>
      </c>
      <c r="AE137" s="15">
        <v>-1.9025291086781401E-3</v>
      </c>
      <c r="AF137" s="15">
        <v>2.1110223902690199E-4</v>
      </c>
      <c r="AG137" s="15">
        <v>8.5780812425203005E-4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1.1029493695709939E-2</v>
      </c>
      <c r="AT137" s="12"/>
      <c r="AU137">
        <f t="shared" si="30"/>
        <v>0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2.3218027611575601E-3</v>
      </c>
      <c r="BA137" s="28">
        <f t="shared" si="33"/>
        <v>-2.2099456508029502E-3</v>
      </c>
      <c r="BB137" s="28">
        <f t="shared" si="40"/>
        <v>1.1185711035460993E-4</v>
      </c>
      <c r="BC137" s="29">
        <f t="shared" si="41"/>
        <v>1.9588108927676724E-2</v>
      </c>
      <c r="BE137" s="29">
        <f t="shared" si="42"/>
        <v>1.1185711035460993E-4</v>
      </c>
      <c r="BF137" s="29">
        <f t="shared" si="43"/>
        <v>3.0617602623386673E-2</v>
      </c>
      <c r="BH137" s="29"/>
    </row>
    <row r="138" spans="1:60" x14ac:dyDescent="0.25">
      <c r="A138" s="1">
        <v>46224</v>
      </c>
      <c r="B138" s="33">
        <v>21.46</v>
      </c>
      <c r="C138" s="33">
        <v>40.58</v>
      </c>
      <c r="D138" s="15">
        <v>-2.3272060770862502E-3</v>
      </c>
      <c r="E138" s="15">
        <v>-2.4612367826905698E-3</v>
      </c>
      <c r="F138" s="33">
        <v>0</v>
      </c>
      <c r="G138" s="33">
        <v>0.25746999999999998</v>
      </c>
      <c r="H138" s="33">
        <v>0</v>
      </c>
      <c r="I138" s="33">
        <v>0</v>
      </c>
      <c r="J138" s="33">
        <v>0.25746999999999998</v>
      </c>
      <c r="K138" s="33">
        <v>0</v>
      </c>
      <c r="L138" s="33">
        <v>21.717469999999999</v>
      </c>
      <c r="M138" s="33">
        <v>40.58</v>
      </c>
      <c r="N138" s="34">
        <v>1.8909599254426801</v>
      </c>
      <c r="O138" s="34">
        <v>1.8789764613078801</v>
      </c>
      <c r="P138" s="34">
        <v>1.8916116868177599</v>
      </c>
      <c r="Q138" s="34">
        <v>1.8914585963992501</v>
      </c>
      <c r="R138" s="33">
        <v>40.322834859667097</v>
      </c>
      <c r="S138" s="33">
        <v>40.593968237624303</v>
      </c>
      <c r="T138" s="33">
        <v>40.5881499133503</v>
      </c>
      <c r="U138" s="15">
        <v>-6.3574040865960199E-3</v>
      </c>
      <c r="V138" s="15">
        <v>3.44155597304542E-4</v>
      </c>
      <c r="W138" s="15">
        <v>2.00815551086586E-4</v>
      </c>
      <c r="X138" s="34">
        <v>1.8685417776564199</v>
      </c>
      <c r="Y138" s="34">
        <v>1.8652915884207499</v>
      </c>
      <c r="Z138" s="34">
        <v>1.86927101216776</v>
      </c>
      <c r="AA138" s="34">
        <v>1.87031152424483</v>
      </c>
      <c r="AB138" s="33">
        <v>40.5094141127801</v>
      </c>
      <c r="AC138" s="33">
        <v>40.596019496866496</v>
      </c>
      <c r="AD138" s="33">
        <v>40.620248283087697</v>
      </c>
      <c r="AE138" s="15">
        <v>-1.74094006770759E-3</v>
      </c>
      <c r="AF138" s="15">
        <v>3.9468545449353599E-4</v>
      </c>
      <c r="AG138" s="15">
        <v>9.91334071876068E-4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1.1029493695709939E-2</v>
      </c>
      <c r="AT138" s="12"/>
      <c r="AU138">
        <f t="shared" si="30"/>
        <v>0</v>
      </c>
      <c r="AV138">
        <f t="shared" si="31"/>
        <v>0</v>
      </c>
      <c r="AW138">
        <f t="shared" si="38"/>
        <v>1</v>
      </c>
      <c r="AX138">
        <f t="shared" si="25"/>
        <v>1</v>
      </c>
      <c r="AY138">
        <f t="shared" si="39"/>
        <v>1</v>
      </c>
      <c r="AZ138" s="28">
        <f t="shared" si="32"/>
        <v>2.3272060770862502E-3</v>
      </c>
      <c r="BA138" s="28">
        <f t="shared" si="33"/>
        <v>-2.4612367826905698E-3</v>
      </c>
      <c r="BB138" s="28">
        <f t="shared" si="40"/>
        <v>-1.3403070560431959E-4</v>
      </c>
      <c r="BC138" s="29">
        <f t="shared" si="41"/>
        <v>1.9454078222072405E-2</v>
      </c>
      <c r="BE138" s="29">
        <f t="shared" si="42"/>
        <v>-1.3403070560431959E-4</v>
      </c>
      <c r="BF138" s="29">
        <f t="shared" si="43"/>
        <v>3.0483571917782355E-2</v>
      </c>
      <c r="BH138" s="29"/>
    </row>
    <row r="139" spans="1:60" x14ac:dyDescent="0.25">
      <c r="A139" s="1">
        <v>46225</v>
      </c>
      <c r="B139" s="33">
        <v>21.46</v>
      </c>
      <c r="C139" s="33">
        <v>40.549999999999997</v>
      </c>
      <c r="D139" s="15">
        <v>0</v>
      </c>
      <c r="E139" s="15">
        <v>-7.39553836246755E-4</v>
      </c>
      <c r="F139" s="33">
        <v>0</v>
      </c>
      <c r="G139" s="33">
        <v>0.25746999999999998</v>
      </c>
      <c r="H139" s="33">
        <v>0</v>
      </c>
      <c r="I139" s="33">
        <v>0</v>
      </c>
      <c r="J139" s="33">
        <v>0.25746999999999998</v>
      </c>
      <c r="K139" s="33">
        <v>0</v>
      </c>
      <c r="L139" s="33">
        <v>21.717469999999999</v>
      </c>
      <c r="M139" s="33">
        <v>40.549999999999997</v>
      </c>
      <c r="N139" s="34">
        <v>1.88956197576887</v>
      </c>
      <c r="O139" s="34">
        <v>1.8789764613078801</v>
      </c>
      <c r="P139" s="34">
        <v>1.89145160532488</v>
      </c>
      <c r="Q139" s="34">
        <v>1.89154352490619</v>
      </c>
      <c r="R139" s="33">
        <v>40.322834859667097</v>
      </c>
      <c r="S139" s="33">
        <v>40.593986799109203</v>
      </c>
      <c r="T139" s="33">
        <v>40.590701478727901</v>
      </c>
      <c r="U139" s="15">
        <v>-5.6178502503492402E-3</v>
      </c>
      <c r="V139" s="15">
        <v>1.0841666808094699E-3</v>
      </c>
      <c r="W139" s="15">
        <v>1.00323219789597E-3</v>
      </c>
      <c r="X139" s="34">
        <v>1.86716040128062</v>
      </c>
      <c r="Y139" s="34">
        <v>1.8652915884207499</v>
      </c>
      <c r="Z139" s="34">
        <v>1.8691087066058101</v>
      </c>
      <c r="AA139" s="34">
        <v>1.8701966101041201</v>
      </c>
      <c r="AB139" s="33">
        <v>40.5094141127801</v>
      </c>
      <c r="AC139" s="33">
        <v>40.595837128623003</v>
      </c>
      <c r="AD139" s="33">
        <v>40.618434418441502</v>
      </c>
      <c r="AE139" s="15">
        <v>-1.00138623146077E-3</v>
      </c>
      <c r="AF139" s="15">
        <v>1.1297470115605699E-3</v>
      </c>
      <c r="AG139" s="15">
        <v>1.6862327121933199E-3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1.1029493695709939E-2</v>
      </c>
      <c r="AT139" s="12"/>
      <c r="AU139">
        <f t="shared" si="30"/>
        <v>1</v>
      </c>
      <c r="AV139">
        <f t="shared" si="31"/>
        <v>0</v>
      </c>
      <c r="AW139">
        <f t="shared" si="38"/>
        <v>1</v>
      </c>
      <c r="AX139">
        <f t="shared" si="25"/>
        <v>1</v>
      </c>
      <c r="AY139">
        <f t="shared" si="39"/>
        <v>1</v>
      </c>
      <c r="AZ139" s="28">
        <f t="shared" si="32"/>
        <v>0</v>
      </c>
      <c r="BA139" s="28">
        <f t="shared" si="33"/>
        <v>-7.39553836246755E-4</v>
      </c>
      <c r="BB139" s="28">
        <f t="shared" si="40"/>
        <v>-7.39553836246755E-4</v>
      </c>
      <c r="BC139" s="29">
        <f t="shared" si="41"/>
        <v>1.8714524385825649E-2</v>
      </c>
      <c r="BE139" s="29">
        <f t="shared" si="42"/>
        <v>-7.39553836246755E-4</v>
      </c>
      <c r="BF139" s="29">
        <f t="shared" si="43"/>
        <v>2.9744018081535598E-2</v>
      </c>
      <c r="BH139" s="29"/>
    </row>
    <row r="140" spans="1:60" x14ac:dyDescent="0.25">
      <c r="A140" s="1">
        <v>46226</v>
      </c>
      <c r="B140" s="33">
        <v>21.36</v>
      </c>
      <c r="C140" s="33">
        <v>40.35</v>
      </c>
      <c r="D140" s="15">
        <v>-4.6707231105583401E-3</v>
      </c>
      <c r="E140" s="15">
        <v>-4.9443858454639601E-3</v>
      </c>
      <c r="F140" s="33">
        <v>0</v>
      </c>
      <c r="G140" s="33">
        <v>0.25746999999999998</v>
      </c>
      <c r="H140" s="33">
        <v>0</v>
      </c>
      <c r="I140" s="33">
        <v>0</v>
      </c>
      <c r="J140" s="33">
        <v>0.25746999999999998</v>
      </c>
      <c r="K140" s="33">
        <v>0</v>
      </c>
      <c r="L140" s="33">
        <v>21.617470000000001</v>
      </c>
      <c r="M140" s="33">
        <v>40.35</v>
      </c>
      <c r="N140" s="34">
        <v>1.8890449438202199</v>
      </c>
      <c r="O140" s="34">
        <v>1.8789764613078801</v>
      </c>
      <c r="P140" s="34">
        <v>1.89099736364742</v>
      </c>
      <c r="Q140" s="34">
        <v>1.89142051817292</v>
      </c>
      <c r="R140" s="33">
        <v>40.134937213536297</v>
      </c>
      <c r="S140" s="33">
        <v>40.401406289739498</v>
      </c>
      <c r="T140" s="33">
        <v>40.403369691996303</v>
      </c>
      <c r="U140" s="15">
        <v>-5.34418751544357E-3</v>
      </c>
      <c r="V140" s="15">
        <v>1.27319879729093E-3</v>
      </c>
      <c r="W140" s="15">
        <v>1.32179499060706E-3</v>
      </c>
      <c r="X140" s="34">
        <v>1.86654590014465</v>
      </c>
      <c r="Y140" s="34">
        <v>1.8652915884207499</v>
      </c>
      <c r="Z140" s="34">
        <v>1.8686433051795801</v>
      </c>
      <c r="AA140" s="34">
        <v>1.8698710839144099</v>
      </c>
      <c r="AB140" s="33">
        <v>40.322884953938001</v>
      </c>
      <c r="AC140" s="33">
        <v>40.405401391790001</v>
      </c>
      <c r="AD140" s="33">
        <v>40.428919113027597</v>
      </c>
      <c r="AE140" s="15">
        <v>-6.7222207557101601E-4</v>
      </c>
      <c r="AF140" s="15">
        <v>1.3720791309756401E-3</v>
      </c>
      <c r="AG140" s="15">
        <v>1.95395380386868E-3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1.1029493695709939E-2</v>
      </c>
      <c r="AT140" s="12"/>
      <c r="AU140">
        <f t="shared" si="30"/>
        <v>1</v>
      </c>
      <c r="AV140">
        <f t="shared" si="31"/>
        <v>0</v>
      </c>
      <c r="AW140">
        <f t="shared" si="38"/>
        <v>1</v>
      </c>
      <c r="AX140">
        <f t="shared" si="25"/>
        <v>1</v>
      </c>
      <c r="AY140">
        <f t="shared" si="39"/>
        <v>1</v>
      </c>
      <c r="AZ140" s="28">
        <f t="shared" si="32"/>
        <v>4.6707231105583401E-3</v>
      </c>
      <c r="BA140" s="28">
        <f t="shared" si="33"/>
        <v>-4.9443858454639601E-3</v>
      </c>
      <c r="BB140" s="28">
        <f t="shared" si="40"/>
        <v>-2.736627349056199E-4</v>
      </c>
      <c r="BC140" s="29">
        <f t="shared" si="41"/>
        <v>1.8440861650920029E-2</v>
      </c>
      <c r="BE140" s="29">
        <f t="shared" si="42"/>
        <v>-2.736627349056199E-4</v>
      </c>
      <c r="BF140" s="29">
        <f t="shared" si="43"/>
        <v>2.9470355346629978E-2</v>
      </c>
      <c r="BH140" s="29"/>
    </row>
    <row r="141" spans="1:60" x14ac:dyDescent="0.25">
      <c r="A141" s="1">
        <v>46227</v>
      </c>
      <c r="B141" s="33">
        <v>21.4</v>
      </c>
      <c r="C141" s="33">
        <v>40.44</v>
      </c>
      <c r="D141" s="15">
        <v>1.8709079358116001E-3</v>
      </c>
      <c r="E141" s="15">
        <v>2.22799943631271E-3</v>
      </c>
      <c r="F141" s="33">
        <v>0</v>
      </c>
      <c r="G141" s="33">
        <v>0.25746999999999998</v>
      </c>
      <c r="H141" s="33">
        <v>0</v>
      </c>
      <c r="I141" s="33">
        <v>0</v>
      </c>
      <c r="J141" s="33">
        <v>0.25746999999999998</v>
      </c>
      <c r="K141" s="33">
        <v>0</v>
      </c>
      <c r="L141" s="33">
        <v>21.65747</v>
      </c>
      <c r="M141" s="33">
        <v>40.44</v>
      </c>
      <c r="N141" s="34">
        <v>1.8897196261682201</v>
      </c>
      <c r="O141" s="34">
        <v>1.8789764613078801</v>
      </c>
      <c r="P141" s="34">
        <v>1.89080767735271</v>
      </c>
      <c r="Q141" s="34">
        <v>1.8913493039093801</v>
      </c>
      <c r="R141" s="33">
        <v>40.210096271988597</v>
      </c>
      <c r="S141" s="33">
        <v>40.467343582054902</v>
      </c>
      <c r="T141" s="33">
        <v>40.4763990889006</v>
      </c>
      <c r="U141" s="15">
        <v>-5.7012790159446302E-3</v>
      </c>
      <c r="V141" s="15">
        <v>6.7592339299261397E-4</v>
      </c>
      <c r="W141" s="15">
        <v>8.9967155646062703E-4</v>
      </c>
      <c r="X141" s="34">
        <v>1.8672541160163201</v>
      </c>
      <c r="Y141" s="34">
        <v>1.8652915884207499</v>
      </c>
      <c r="Z141" s="34">
        <v>1.86843631682827</v>
      </c>
      <c r="AA141" s="34">
        <v>1.86959800824013</v>
      </c>
      <c r="AB141" s="33">
        <v>40.3974966174748</v>
      </c>
      <c r="AC141" s="33">
        <v>40.470086322627701</v>
      </c>
      <c r="AD141" s="33">
        <v>40.496676903743797</v>
      </c>
      <c r="AE141" s="15">
        <v>-1.05157601905894E-3</v>
      </c>
      <c r="AF141" s="15">
        <v>7.4369773613848001E-4</v>
      </c>
      <c r="AG141" s="15">
        <v>1.4005248343828599E-3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1.1029493695709939E-2</v>
      </c>
      <c r="AT141" s="12"/>
      <c r="AU141">
        <f t="shared" si="30"/>
        <v>0</v>
      </c>
      <c r="AV141">
        <f t="shared" si="31"/>
        <v>0</v>
      </c>
      <c r="AW141">
        <f t="shared" si="38"/>
        <v>1</v>
      </c>
      <c r="AX141">
        <f t="shared" si="25"/>
        <v>1</v>
      </c>
      <c r="AY141">
        <f t="shared" si="39"/>
        <v>1</v>
      </c>
      <c r="AZ141" s="28">
        <f t="shared" si="32"/>
        <v>-1.8709079358116001E-3</v>
      </c>
      <c r="BA141" s="28">
        <f t="shared" si="33"/>
        <v>2.22799943631271E-3</v>
      </c>
      <c r="BB141" s="28">
        <f t="shared" si="40"/>
        <v>3.5709150050110988E-4</v>
      </c>
      <c r="BC141" s="29">
        <f t="shared" si="41"/>
        <v>1.8797953151421139E-2</v>
      </c>
      <c r="BE141" s="29">
        <f t="shared" si="42"/>
        <v>3.5709150050110988E-4</v>
      </c>
      <c r="BF141" s="29">
        <f t="shared" si="43"/>
        <v>2.9827446847131088E-2</v>
      </c>
      <c r="BH141" s="29"/>
    </row>
    <row r="142" spans="1:60" x14ac:dyDescent="0.25">
      <c r="A142" s="1">
        <v>46230</v>
      </c>
      <c r="B142" s="33">
        <v>21.44</v>
      </c>
      <c r="C142" s="33">
        <v>40.549999999999997</v>
      </c>
      <c r="D142" s="15">
        <v>1.86741417479546E-3</v>
      </c>
      <c r="E142" s="15">
        <v>2.7163864091513E-3</v>
      </c>
      <c r="F142" s="33">
        <v>0</v>
      </c>
      <c r="G142" s="33">
        <v>0.25746999999999998</v>
      </c>
      <c r="H142" s="33">
        <v>0</v>
      </c>
      <c r="I142" s="33">
        <v>0</v>
      </c>
      <c r="J142" s="33">
        <v>0.25746999999999998</v>
      </c>
      <c r="K142" s="33">
        <v>0</v>
      </c>
      <c r="L142" s="33">
        <v>21.697469999999999</v>
      </c>
      <c r="M142" s="33">
        <v>40.549999999999997</v>
      </c>
      <c r="N142" s="34">
        <v>1.89132462686567</v>
      </c>
      <c r="O142" s="34">
        <v>1.8789764613078801</v>
      </c>
      <c r="P142" s="34">
        <v>1.8907559908551299</v>
      </c>
      <c r="Q142" s="34">
        <v>1.89148387395491</v>
      </c>
      <c r="R142" s="33">
        <v>40.285255330440997</v>
      </c>
      <c r="S142" s="33">
        <v>40.5389166024422</v>
      </c>
      <c r="T142" s="33">
        <v>40.550529075817103</v>
      </c>
      <c r="U142" s="15">
        <v>-6.5502512503004097E-3</v>
      </c>
      <c r="V142" s="15">
        <v>-2.7336405741105102E-4</v>
      </c>
      <c r="W142" s="15">
        <v>1.3047407289814201E-5</v>
      </c>
      <c r="X142" s="34">
        <v>1.8688814871042501</v>
      </c>
      <c r="Y142" s="34">
        <v>1.8652915884207499</v>
      </c>
      <c r="Z142" s="34">
        <v>1.8683842094885901</v>
      </c>
      <c r="AA142" s="34">
        <v>1.8695285153808701</v>
      </c>
      <c r="AB142" s="33">
        <v>40.4721082810117</v>
      </c>
      <c r="AC142" s="33">
        <v>40.540340931291901</v>
      </c>
      <c r="AD142" s="33">
        <v>40.565546695850003</v>
      </c>
      <c r="AE142" s="15">
        <v>-1.92272812044121E-3</v>
      </c>
      <c r="AF142" s="15">
        <v>-2.3822982226480999E-4</v>
      </c>
      <c r="AG142" s="15">
        <v>3.83322227949348E-4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1.1029493695709939E-2</v>
      </c>
      <c r="AT142" s="12"/>
      <c r="AU142">
        <f t="shared" si="30"/>
        <v>0</v>
      </c>
      <c r="AV142">
        <f t="shared" si="31"/>
        <v>0</v>
      </c>
      <c r="AW142">
        <f t="shared" si="38"/>
        <v>1</v>
      </c>
      <c r="AX142">
        <f t="shared" si="25"/>
        <v>1</v>
      </c>
      <c r="AY142">
        <f t="shared" si="39"/>
        <v>1</v>
      </c>
      <c r="AZ142" s="28">
        <f t="shared" si="32"/>
        <v>-1.86741417479546E-3</v>
      </c>
      <c r="BA142" s="28">
        <f t="shared" si="33"/>
        <v>2.7163864091513E-3</v>
      </c>
      <c r="BB142" s="28">
        <f t="shared" si="40"/>
        <v>8.4897223435583999E-4</v>
      </c>
      <c r="BC142" s="29">
        <f t="shared" si="41"/>
        <v>1.9646925385776979E-2</v>
      </c>
      <c r="BE142" s="29">
        <f t="shared" si="42"/>
        <v>8.4897223435583999E-4</v>
      </c>
      <c r="BF142" s="29">
        <f t="shared" si="43"/>
        <v>3.0676419081486928E-2</v>
      </c>
      <c r="BH142" s="29"/>
    </row>
    <row r="143" spans="1:60" x14ac:dyDescent="0.25">
      <c r="A143" s="1">
        <v>46231</v>
      </c>
      <c r="B143" s="33">
        <v>21.47</v>
      </c>
      <c r="C143" s="33">
        <v>40.659999999999997</v>
      </c>
      <c r="D143" s="15">
        <v>1.3982756880883301E-3</v>
      </c>
      <c r="E143" s="15">
        <v>2.70902763877862E-3</v>
      </c>
      <c r="F143" s="33">
        <v>0</v>
      </c>
      <c r="G143" s="33">
        <v>0.25746999999999998</v>
      </c>
      <c r="H143" s="33">
        <v>0</v>
      </c>
      <c r="I143" s="33">
        <v>0</v>
      </c>
      <c r="J143" s="33">
        <v>0.25746999999999998</v>
      </c>
      <c r="K143" s="33">
        <v>0</v>
      </c>
      <c r="L143" s="33">
        <v>21.72747</v>
      </c>
      <c r="M143" s="33">
        <v>40.659999999999997</v>
      </c>
      <c r="N143" s="34">
        <v>1.89380530973451</v>
      </c>
      <c r="O143" s="34">
        <v>1.8789764613078801</v>
      </c>
      <c r="P143" s="34">
        <v>1.8911601438758301</v>
      </c>
      <c r="Q143" s="34">
        <v>1.8915534497864701</v>
      </c>
      <c r="R143" s="33">
        <v>40.3416246242802</v>
      </c>
      <c r="S143" s="33">
        <v>40.594531123659699</v>
      </c>
      <c r="T143" s="33">
        <v>40.610158773812103</v>
      </c>
      <c r="U143" s="15">
        <v>-7.8610032009908005E-3</v>
      </c>
      <c r="V143" s="15">
        <v>-1.61145205325114E-3</v>
      </c>
      <c r="W143" s="15">
        <v>-1.22655678759508E-3</v>
      </c>
      <c r="X143" s="34">
        <v>1.8713637620947099</v>
      </c>
      <c r="Y143" s="34">
        <v>1.8652915884207499</v>
      </c>
      <c r="Z143" s="34">
        <v>1.86877127330628</v>
      </c>
      <c r="AA143" s="34">
        <v>1.8693951080087801</v>
      </c>
      <c r="AB143" s="33">
        <v>40.528067028664303</v>
      </c>
      <c r="AC143" s="33">
        <v>40.5952618601371</v>
      </c>
      <c r="AD143" s="33">
        <v>40.620124732082402</v>
      </c>
      <c r="AE143" s="15">
        <v>-3.2500610569267002E-3</v>
      </c>
      <c r="AF143" s="15">
        <v>-1.59345135512114E-3</v>
      </c>
      <c r="AG143" s="15">
        <v>-9.8118134655947797E-4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1.1029493695709939E-2</v>
      </c>
      <c r="AT143" s="12"/>
      <c r="AU143">
        <f t="shared" si="30"/>
        <v>0</v>
      </c>
      <c r="AV143">
        <f t="shared" si="31"/>
        <v>1</v>
      </c>
      <c r="AW143">
        <f t="shared" si="38"/>
        <v>1</v>
      </c>
      <c r="AX143">
        <f t="shared" si="25"/>
        <v>1</v>
      </c>
      <c r="AY143">
        <f t="shared" si="39"/>
        <v>1</v>
      </c>
      <c r="AZ143" s="28">
        <f t="shared" si="32"/>
        <v>-1.3982756880883301E-3</v>
      </c>
      <c r="BA143" s="28">
        <f t="shared" si="33"/>
        <v>2.70902763877862E-3</v>
      </c>
      <c r="BB143" s="28">
        <f t="shared" si="40"/>
        <v>1.3107519506902899E-3</v>
      </c>
      <c r="BC143" s="29">
        <f t="shared" si="41"/>
        <v>2.0957677336467268E-2</v>
      </c>
      <c r="BE143" s="29">
        <f t="shared" si="42"/>
        <v>1.3107519506902899E-3</v>
      </c>
      <c r="BF143" s="29">
        <f t="shared" si="43"/>
        <v>3.1987171032177221E-2</v>
      </c>
      <c r="BH143" s="29"/>
    </row>
    <row r="144" spans="1:60" x14ac:dyDescent="0.25">
      <c r="A144" s="1">
        <v>46232</v>
      </c>
      <c r="B144" s="33">
        <v>21.5</v>
      </c>
      <c r="C144" s="33">
        <v>40.68</v>
      </c>
      <c r="D144" s="15">
        <v>1.39632324292743E-3</v>
      </c>
      <c r="E144" s="15">
        <v>4.9176298015866796E-4</v>
      </c>
      <c r="F144" s="33">
        <v>0</v>
      </c>
      <c r="G144" s="33">
        <v>0.25746999999999998</v>
      </c>
      <c r="H144" s="33">
        <v>0</v>
      </c>
      <c r="I144" s="33">
        <v>0</v>
      </c>
      <c r="J144" s="33">
        <v>0.25746999999999998</v>
      </c>
      <c r="K144" s="33">
        <v>0</v>
      </c>
      <c r="L144" s="33">
        <v>21.757470000000001</v>
      </c>
      <c r="M144" s="33">
        <v>40.68</v>
      </c>
      <c r="N144" s="34">
        <v>1.89209302325581</v>
      </c>
      <c r="O144" s="34">
        <v>1.8789764613078801</v>
      </c>
      <c r="P144" s="34">
        <v>1.8910804341977101</v>
      </c>
      <c r="Q144" s="34">
        <v>1.89153171718542</v>
      </c>
      <c r="R144" s="33">
        <v>40.397993918119397</v>
      </c>
      <c r="S144" s="33">
        <v>40.659943093330298</v>
      </c>
      <c r="T144" s="33">
        <v>40.668399170409103</v>
      </c>
      <c r="U144" s="15">
        <v>-6.9564429382219101E-3</v>
      </c>
      <c r="V144" s="15">
        <v>-4.9316255491167705E-4</v>
      </c>
      <c r="W144" s="15">
        <v>-2.8521347163030402E-4</v>
      </c>
      <c r="X144" s="34">
        <v>1.86970268142389</v>
      </c>
      <c r="Y144" s="34">
        <v>1.8652915884207499</v>
      </c>
      <c r="Z144" s="34">
        <v>1.8686761547959201</v>
      </c>
      <c r="AA144" s="34">
        <v>1.8691759466184299</v>
      </c>
      <c r="AB144" s="33">
        <v>40.584025776316899</v>
      </c>
      <c r="AC144" s="33">
        <v>40.6597349158233</v>
      </c>
      <c r="AD144" s="33">
        <v>40.673307980647799</v>
      </c>
      <c r="AE144" s="15">
        <v>-2.3620357812184E-3</v>
      </c>
      <c r="AF144" s="15">
        <v>-4.9828253354777796E-4</v>
      </c>
      <c r="AG144" s="15">
        <v>-1.6451744946449301E-4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1.1029493695709939E-2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2.0957677336467268E-2</v>
      </c>
      <c r="BE144" s="29">
        <f t="shared" si="42"/>
        <v>0</v>
      </c>
      <c r="BF144" s="29">
        <f t="shared" si="43"/>
        <v>3.1987171032177221E-2</v>
      </c>
      <c r="BH144" s="29"/>
    </row>
    <row r="145" spans="1:60" x14ac:dyDescent="0.25">
      <c r="A145" s="1">
        <v>46233</v>
      </c>
      <c r="B145" s="33">
        <v>21.77</v>
      </c>
      <c r="C145" s="33">
        <v>41.15</v>
      </c>
      <c r="D145" s="15">
        <v>1.24799401128389E-2</v>
      </c>
      <c r="E145" s="15">
        <v>1.14873559427196E-2</v>
      </c>
      <c r="F145" s="33">
        <v>0</v>
      </c>
      <c r="G145" s="33">
        <v>0.25746999999999998</v>
      </c>
      <c r="H145" s="33">
        <v>0</v>
      </c>
      <c r="I145" s="33">
        <v>0</v>
      </c>
      <c r="J145" s="33">
        <v>0.25746999999999998</v>
      </c>
      <c r="K145" s="33">
        <v>0</v>
      </c>
      <c r="L145" s="33">
        <v>22.027470000000001</v>
      </c>
      <c r="M145" s="33">
        <v>41.15</v>
      </c>
      <c r="N145" s="34">
        <v>1.89021589343132</v>
      </c>
      <c r="O145" s="34">
        <v>1.8789764613078801</v>
      </c>
      <c r="P145" s="34">
        <v>1.89089405688962</v>
      </c>
      <c r="Q145" s="34">
        <v>1.8913227341821399</v>
      </c>
      <c r="R145" s="33">
        <v>40.9053175626726</v>
      </c>
      <c r="S145" s="33">
        <v>41.168821052484297</v>
      </c>
      <c r="T145" s="33">
        <v>41.178645483126701</v>
      </c>
      <c r="U145" s="15">
        <v>-5.96385876810242E-3</v>
      </c>
      <c r="V145" s="15">
        <v>4.5727216623521E-4</v>
      </c>
      <c r="W145" s="15">
        <v>6.9588134517670805E-4</v>
      </c>
      <c r="X145" s="34">
        <v>1.8681219404679701</v>
      </c>
      <c r="Y145" s="34">
        <v>1.8652915884207499</v>
      </c>
      <c r="Z145" s="34">
        <v>1.8685101769994801</v>
      </c>
      <c r="AA145" s="34">
        <v>1.8689785279944799</v>
      </c>
      <c r="AB145" s="33">
        <v>41.0876545051905</v>
      </c>
      <c r="AC145" s="33">
        <v>41.162207939482599</v>
      </c>
      <c r="AD145" s="33">
        <v>41.173217088859097</v>
      </c>
      <c r="AE145" s="15">
        <v>-1.5162277457604499E-3</v>
      </c>
      <c r="AF145" s="15">
        <v>2.9662524861772701E-4</v>
      </c>
      <c r="AG145" s="15">
        <v>5.6404718609732703E-4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1.1029493695709939E-2</v>
      </c>
      <c r="AT145" s="12"/>
      <c r="AU145">
        <f t="shared" si="30"/>
        <v>0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2.0957677336467268E-2</v>
      </c>
      <c r="BE145" s="29">
        <f t="shared" si="42"/>
        <v>0</v>
      </c>
      <c r="BF145" s="29">
        <f t="shared" si="43"/>
        <v>3.1987171032177221E-2</v>
      </c>
      <c r="BH145" s="29"/>
    </row>
    <row r="146" spans="1:60" x14ac:dyDescent="0.25">
      <c r="A146" s="1">
        <v>46234</v>
      </c>
      <c r="B146" s="33">
        <v>21.72</v>
      </c>
      <c r="C146" s="33">
        <v>41.01</v>
      </c>
      <c r="D146" s="15">
        <v>-2.2993801807213699E-3</v>
      </c>
      <c r="E146" s="15">
        <v>-3.40798771911092E-3</v>
      </c>
      <c r="F146" s="33">
        <v>0</v>
      </c>
      <c r="G146" s="33">
        <v>0.25746999999999998</v>
      </c>
      <c r="H146" s="33">
        <v>0</v>
      </c>
      <c r="I146" s="33">
        <v>0</v>
      </c>
      <c r="J146" s="33">
        <v>0.25746999999999998</v>
      </c>
      <c r="K146" s="33">
        <v>0</v>
      </c>
      <c r="L146" s="33">
        <v>21.97747</v>
      </c>
      <c r="M146" s="33">
        <v>41.01</v>
      </c>
      <c r="N146" s="34">
        <v>1.88812154696132</v>
      </c>
      <c r="O146" s="34">
        <v>1.8789764613078801</v>
      </c>
      <c r="P146" s="34">
        <v>1.8906060260569899</v>
      </c>
      <c r="Q146" s="34">
        <v>1.89107936503574</v>
      </c>
      <c r="R146" s="33">
        <v>40.811368739607197</v>
      </c>
      <c r="S146" s="33">
        <v>41.070218915642599</v>
      </c>
      <c r="T146" s="33">
        <v>41.079529786436098</v>
      </c>
      <c r="U146" s="15">
        <v>-4.8552512297129298E-3</v>
      </c>
      <c r="V146" s="15">
        <v>1.46731885568964E-3</v>
      </c>
      <c r="W146" s="15">
        <v>1.6939993015944899E-3</v>
      </c>
      <c r="X146" s="34">
        <v>1.8660018646368299</v>
      </c>
      <c r="Y146" s="34">
        <v>1.8652915884207499</v>
      </c>
      <c r="Z146" s="34">
        <v>1.8682417668752</v>
      </c>
      <c r="AA146" s="34">
        <v>1.8687400317718399</v>
      </c>
      <c r="AB146" s="33">
        <v>40.994389925769497</v>
      </c>
      <c r="AC146" s="33">
        <v>41.065126359700798</v>
      </c>
      <c r="AD146" s="33">
        <v>41.0754195296429</v>
      </c>
      <c r="AE146" s="15">
        <v>-3.8071314067834102E-4</v>
      </c>
      <c r="AF146" s="15">
        <v>1.3433148491028999E-3</v>
      </c>
      <c r="AG146" s="15">
        <v>1.5939382138368599E-3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1.1029493695709939E-2</v>
      </c>
      <c r="AT146" s="12"/>
      <c r="AU146">
        <f t="shared" si="30"/>
        <v>1</v>
      </c>
      <c r="AV146">
        <f t="shared" si="31"/>
        <v>0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2.0957677336467268E-2</v>
      </c>
      <c r="BE146" s="29">
        <f t="shared" si="42"/>
        <v>0</v>
      </c>
      <c r="BF146" s="29">
        <f t="shared" si="43"/>
        <v>3.1987171032177221E-2</v>
      </c>
      <c r="BH146" s="29"/>
    </row>
    <row r="147" spans="1:60" x14ac:dyDescent="0.25">
      <c r="A147" s="1">
        <v>46237</v>
      </c>
      <c r="B147" s="33">
        <v>21.77</v>
      </c>
      <c r="C147" s="33">
        <v>41.24</v>
      </c>
      <c r="D147" s="15">
        <v>2.29938018072151E-3</v>
      </c>
      <c r="E147" s="15">
        <v>5.5927197447914901E-3</v>
      </c>
      <c r="F147" s="33">
        <v>4.546E-2</v>
      </c>
      <c r="G147" s="33">
        <v>0.30292999999999998</v>
      </c>
      <c r="H147" s="33">
        <v>0</v>
      </c>
      <c r="I147" s="33">
        <v>0</v>
      </c>
      <c r="J147" s="33">
        <v>0.30292999999999998</v>
      </c>
      <c r="K147" s="33">
        <v>0</v>
      </c>
      <c r="L147" s="33">
        <v>22.072929999999999</v>
      </c>
      <c r="M147" s="33">
        <v>41.24</v>
      </c>
      <c r="N147" s="34">
        <v>1.89435002296738</v>
      </c>
      <c r="O147" s="34">
        <v>1.8789764613078801</v>
      </c>
      <c r="P147" s="34">
        <v>1.8909196894416</v>
      </c>
      <c r="Q147" s="34">
        <v>1.8912652556626499</v>
      </c>
      <c r="R147" s="33">
        <v>40.9053175626726</v>
      </c>
      <c r="S147" s="33">
        <v>41.158493187260802</v>
      </c>
      <c r="T147" s="33">
        <v>41.1687977768281</v>
      </c>
      <c r="U147" s="15">
        <v>-8.1485907937828596E-3</v>
      </c>
      <c r="V147" s="15">
        <v>-1.97835752015511E-3</v>
      </c>
      <c r="W147" s="15">
        <v>-1.72802523057288E-3</v>
      </c>
      <c r="X147" s="34">
        <v>1.86835186810269</v>
      </c>
      <c r="Y147" s="34">
        <v>1.8652915884207499</v>
      </c>
      <c r="Z147" s="34">
        <v>1.8681925798928301</v>
      </c>
      <c r="AA147" s="34">
        <v>1.8687359946833499</v>
      </c>
      <c r="AB147" s="33">
        <v>41.172450660800102</v>
      </c>
      <c r="AC147" s="33">
        <v>41.237569743312697</v>
      </c>
      <c r="AD147" s="33">
        <v>41.248567909497702</v>
      </c>
      <c r="AE147" s="15">
        <v>-1.63929973651652E-3</v>
      </c>
      <c r="AF147" s="15">
        <v>-5.89313360117091E-5</v>
      </c>
      <c r="AG147" s="15">
        <v>2.0773568375958599E-4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1.1029493695709939E-2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2.0957677336467268E-2</v>
      </c>
      <c r="BE147" s="29">
        <f t="shared" si="42"/>
        <v>0</v>
      </c>
      <c r="BF147" s="29">
        <f t="shared" si="43"/>
        <v>3.1987171032177221E-2</v>
      </c>
      <c r="BH147" s="29"/>
    </row>
    <row r="148" spans="1:60" x14ac:dyDescent="0.25">
      <c r="A148" s="1">
        <v>46238</v>
      </c>
      <c r="B148" s="33">
        <v>21.88</v>
      </c>
      <c r="C148" s="33">
        <v>41.38</v>
      </c>
      <c r="D148" s="15">
        <v>5.0401023073243E-3</v>
      </c>
      <c r="E148" s="15">
        <v>3.38901316863784E-3</v>
      </c>
      <c r="F148" s="33">
        <v>0</v>
      </c>
      <c r="G148" s="33">
        <v>0.30292999999999998</v>
      </c>
      <c r="H148" s="33">
        <v>0</v>
      </c>
      <c r="I148" s="33">
        <v>0</v>
      </c>
      <c r="J148" s="33">
        <v>0.30292999999999998</v>
      </c>
      <c r="K148" s="33">
        <v>0</v>
      </c>
      <c r="L148" s="33">
        <v>22.182929999999999</v>
      </c>
      <c r="M148" s="33">
        <v>41.38</v>
      </c>
      <c r="N148" s="34">
        <v>1.89122486288848</v>
      </c>
      <c r="O148" s="34">
        <v>1.8789764613078801</v>
      </c>
      <c r="P148" s="34">
        <v>1.89094618318618</v>
      </c>
      <c r="Q148" s="34">
        <v>1.8912789350019701</v>
      </c>
      <c r="R148" s="33">
        <v>41.112004973416397</v>
      </c>
      <c r="S148" s="33">
        <v>41.373322804982202</v>
      </c>
      <c r="T148" s="33">
        <v>41.380883793898803</v>
      </c>
      <c r="U148" s="15">
        <v>-6.4975016550965197E-3</v>
      </c>
      <c r="V148" s="15">
        <v>-1.6137587726676699E-4</v>
      </c>
      <c r="W148" s="15">
        <v>2.13577685109931E-5</v>
      </c>
      <c r="X148" s="34">
        <v>1.8653983040112301</v>
      </c>
      <c r="Y148" s="34">
        <v>1.8652915884207499</v>
      </c>
      <c r="Z148" s="34">
        <v>1.8678782325283101</v>
      </c>
      <c r="AA148" s="34">
        <v>1.8685746223480399</v>
      </c>
      <c r="AB148" s="33">
        <v>41.377632735526397</v>
      </c>
      <c r="AC148" s="33">
        <v>41.441985226282199</v>
      </c>
      <c r="AD148" s="33">
        <v>41.454039758541199</v>
      </c>
      <c r="AE148" s="15">
        <v>-5.7209574415082801E-5</v>
      </c>
      <c r="AF148" s="15">
        <v>1.49683052600209E-3</v>
      </c>
      <c r="AG148" s="15">
        <v>1.7876655170938199E-3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1.1029493695709939E-2</v>
      </c>
      <c r="AT148" s="12"/>
      <c r="AU148">
        <f t="shared" si="30"/>
        <v>1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2.0957677336467268E-2</v>
      </c>
      <c r="BE148" s="29">
        <f t="shared" si="42"/>
        <v>0</v>
      </c>
      <c r="BF148" s="29">
        <f t="shared" si="43"/>
        <v>3.1987171032177221E-2</v>
      </c>
      <c r="BH148" s="29"/>
    </row>
    <row r="149" spans="1:60" x14ac:dyDescent="0.25">
      <c r="A149" s="1">
        <v>46239</v>
      </c>
      <c r="B149" s="33">
        <v>21.91</v>
      </c>
      <c r="C149" s="33">
        <v>41.46</v>
      </c>
      <c r="D149" s="15">
        <v>1.3701760535947099E-3</v>
      </c>
      <c r="E149" s="15">
        <v>1.9314346902364399E-3</v>
      </c>
      <c r="F149" s="33">
        <v>0</v>
      </c>
      <c r="G149" s="33">
        <v>0.30292999999999998</v>
      </c>
      <c r="H149" s="33">
        <v>0</v>
      </c>
      <c r="I149" s="33">
        <v>0</v>
      </c>
      <c r="J149" s="33">
        <v>0.30292999999999998</v>
      </c>
      <c r="K149" s="33">
        <v>0</v>
      </c>
      <c r="L149" s="33">
        <v>22.21293</v>
      </c>
      <c r="M149" s="33">
        <v>41.46</v>
      </c>
      <c r="N149" s="34">
        <v>1.8922866271109</v>
      </c>
      <c r="O149" s="34">
        <v>1.8789764613078801</v>
      </c>
      <c r="P149" s="34">
        <v>1.8912186483203799</v>
      </c>
      <c r="Q149" s="34">
        <v>1.8913351268226299</v>
      </c>
      <c r="R149" s="33">
        <v>41.1683742672557</v>
      </c>
      <c r="S149" s="33">
        <v>41.430630873609203</v>
      </c>
      <c r="T149" s="33">
        <v>41.437921465893197</v>
      </c>
      <c r="U149" s="15">
        <v>-7.0587602917382402E-3</v>
      </c>
      <c r="V149" s="15">
        <v>-7.0862357567201605E-4</v>
      </c>
      <c r="W149" s="15">
        <v>-5.3266799066476898E-4</v>
      </c>
      <c r="X149" s="34">
        <v>1.8664804688080301</v>
      </c>
      <c r="Y149" s="34">
        <v>1.8652915884207499</v>
      </c>
      <c r="Z149" s="34">
        <v>1.86781023928106</v>
      </c>
      <c r="AA149" s="34">
        <v>1.8684594729434301</v>
      </c>
      <c r="AB149" s="33">
        <v>41.433591483179001</v>
      </c>
      <c r="AC149" s="33">
        <v>41.491048427675203</v>
      </c>
      <c r="AD149" s="33">
        <v>41.506517285993397</v>
      </c>
      <c r="AE149" s="15">
        <v>-6.3716669146214903E-4</v>
      </c>
      <c r="AF149" s="15">
        <v>7.48596424367627E-4</v>
      </c>
      <c r="AG149" s="15">
        <v>1.12135093503983E-3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1.1029493695709939E-2</v>
      </c>
      <c r="AT149" s="12"/>
      <c r="AU149">
        <f t="shared" si="30"/>
        <v>0</v>
      </c>
      <c r="AV149">
        <f t="shared" si="31"/>
        <v>0</v>
      </c>
      <c r="AW149">
        <f t="shared" si="38"/>
        <v>1</v>
      </c>
      <c r="AX149">
        <f t="shared" ref="AX149:AX176" si="45">IF(F150+H150&gt;0,0,1)</f>
        <v>1</v>
      </c>
      <c r="AY149">
        <f t="shared" si="39"/>
        <v>1</v>
      </c>
      <c r="AZ149" s="28">
        <f t="shared" si="32"/>
        <v>-1.3701760535947099E-3</v>
      </c>
      <c r="BA149" s="28">
        <f t="shared" si="33"/>
        <v>1.9314346902364399E-3</v>
      </c>
      <c r="BB149" s="28">
        <f t="shared" si="40"/>
        <v>5.6125863664173003E-4</v>
      </c>
      <c r="BC149" s="29">
        <f t="shared" si="41"/>
        <v>2.1518935973108999E-2</v>
      </c>
      <c r="BE149" s="29">
        <f t="shared" si="42"/>
        <v>5.6125863664173003E-4</v>
      </c>
      <c r="BF149" s="29">
        <f t="shared" si="43"/>
        <v>3.2548429668818948E-2</v>
      </c>
      <c r="BH149" s="29"/>
    </row>
    <row r="150" spans="1:60" x14ac:dyDescent="0.25">
      <c r="A150" s="1">
        <v>46240</v>
      </c>
      <c r="B150" s="33">
        <v>21.86</v>
      </c>
      <c r="C150" s="33">
        <v>41.27</v>
      </c>
      <c r="D150" s="15">
        <v>-2.2846708589826402E-3</v>
      </c>
      <c r="E150" s="15">
        <v>-4.5932632431430701E-3</v>
      </c>
      <c r="F150" s="33">
        <v>0</v>
      </c>
      <c r="G150" s="33">
        <v>0.30292999999999998</v>
      </c>
      <c r="H150" s="33">
        <v>0</v>
      </c>
      <c r="I150" s="33">
        <v>0</v>
      </c>
      <c r="J150" s="33">
        <v>0.30292999999999998</v>
      </c>
      <c r="K150" s="33">
        <v>0</v>
      </c>
      <c r="L150" s="33">
        <v>22.162929999999999</v>
      </c>
      <c r="M150" s="33">
        <v>41.27</v>
      </c>
      <c r="N150" s="34">
        <v>1.8879231473010001</v>
      </c>
      <c r="O150" s="34">
        <v>1.8789764613078801</v>
      </c>
      <c r="P150" s="34">
        <v>1.89110646866846</v>
      </c>
      <c r="Q150" s="34">
        <v>1.89105191615794</v>
      </c>
      <c r="R150" s="33">
        <v>41.074425444190297</v>
      </c>
      <c r="S150" s="33">
        <v>41.342039652283603</v>
      </c>
      <c r="T150" s="33">
        <v>41.344585872342797</v>
      </c>
      <c r="U150" s="15">
        <v>-4.7501679075779802E-3</v>
      </c>
      <c r="V150" s="15">
        <v>1.7440477404300199E-3</v>
      </c>
      <c r="W150" s="15">
        <v>1.80563496916987E-3</v>
      </c>
      <c r="X150" s="34">
        <v>1.86211841123894</v>
      </c>
      <c r="Y150" s="34">
        <v>1.8652915884207499</v>
      </c>
      <c r="Z150" s="34">
        <v>1.86736749039048</v>
      </c>
      <c r="AA150" s="34">
        <v>1.8680053977850299</v>
      </c>
      <c r="AB150" s="33">
        <v>41.340326903757997</v>
      </c>
      <c r="AC150" s="33">
        <v>41.396147586469297</v>
      </c>
      <c r="AD150" s="33">
        <v>41.410536506682298</v>
      </c>
      <c r="AE150" s="15">
        <v>1.7026181443207701E-3</v>
      </c>
      <c r="AF150" s="15">
        <v>3.0519792701128299E-3</v>
      </c>
      <c r="AG150" s="15">
        <v>3.3995096782032498E-3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1.1029493695709939E-2</v>
      </c>
      <c r="AT150" s="12"/>
      <c r="AU150">
        <f t="shared" ref="AU150:AU176" si="50">IF($AG150&gt;AT$21,1,0)</f>
        <v>1</v>
      </c>
      <c r="AV150">
        <f t="shared" ref="AV150:AV176" si="51">IF($AG150&lt;AT$22,1,0)</f>
        <v>0</v>
      </c>
      <c r="AW150">
        <f t="shared" si="38"/>
        <v>1</v>
      </c>
      <c r="AX150">
        <f t="shared" si="45"/>
        <v>1</v>
      </c>
      <c r="AY150">
        <f t="shared" si="39"/>
        <v>1</v>
      </c>
      <c r="AZ150" s="28">
        <f t="shared" ref="AZ150:AZ176" si="52">-AY150*D150</f>
        <v>2.2846708589826402E-3</v>
      </c>
      <c r="BA150" s="28">
        <f t="shared" ref="BA150:BA176" si="53">AY150*$E150</f>
        <v>-4.5932632431430701E-3</v>
      </c>
      <c r="BB150" s="28">
        <f t="shared" si="40"/>
        <v>-2.30859238416043E-3</v>
      </c>
      <c r="BC150" s="29">
        <f t="shared" si="41"/>
        <v>1.9210343588948568E-2</v>
      </c>
      <c r="BE150" s="29">
        <f t="shared" si="42"/>
        <v>-2.30859238416043E-3</v>
      </c>
      <c r="BF150" s="29">
        <f t="shared" si="43"/>
        <v>3.0239837284658518E-2</v>
      </c>
      <c r="BH150" s="29"/>
    </row>
    <row r="151" spans="1:60" x14ac:dyDescent="0.25">
      <c r="A151" s="1">
        <v>46241</v>
      </c>
      <c r="B151" s="33">
        <v>21.99</v>
      </c>
      <c r="C151" s="33">
        <v>41.45</v>
      </c>
      <c r="D151" s="15">
        <v>5.92932181827716E-3</v>
      </c>
      <c r="E151" s="15">
        <v>4.3520378168134602E-3</v>
      </c>
      <c r="F151" s="33">
        <v>0</v>
      </c>
      <c r="G151" s="33">
        <v>0.30292999999999998</v>
      </c>
      <c r="H151" s="33">
        <v>0</v>
      </c>
      <c r="I151" s="33">
        <v>0</v>
      </c>
      <c r="J151" s="33">
        <v>0.30292999999999998</v>
      </c>
      <c r="K151" s="33">
        <v>0</v>
      </c>
      <c r="L151" s="33">
        <v>22.292929999999998</v>
      </c>
      <c r="M151" s="33">
        <v>41.45</v>
      </c>
      <c r="N151" s="34">
        <v>1.88494770350159</v>
      </c>
      <c r="O151" s="34">
        <v>1.8789764613078801</v>
      </c>
      <c r="P151" s="34">
        <v>1.8906292764018</v>
      </c>
      <c r="Q151" s="34">
        <v>1.89071847687725</v>
      </c>
      <c r="R151" s="33">
        <v>41.3186923841603</v>
      </c>
      <c r="S151" s="33">
        <v>41.585431246019503</v>
      </c>
      <c r="T151" s="33">
        <v>41.584231636313199</v>
      </c>
      <c r="U151" s="15">
        <v>-3.1728839061141698E-3</v>
      </c>
      <c r="V151" s="15">
        <v>3.2620139156968402E-3</v>
      </c>
      <c r="W151" s="15">
        <v>3.23316662535517E-3</v>
      </c>
      <c r="X151" s="34">
        <v>1.8593338784986899</v>
      </c>
      <c r="Y151" s="34">
        <v>1.8652915884207499</v>
      </c>
      <c r="Z151" s="34">
        <v>1.86657546663872</v>
      </c>
      <c r="AA151" s="34">
        <v>1.8675058917334999</v>
      </c>
      <c r="AB151" s="33">
        <v>41.5828148102527</v>
      </c>
      <c r="AC151" s="33">
        <v>41.6290927475508</v>
      </c>
      <c r="AD151" s="33">
        <v>41.643313572444001</v>
      </c>
      <c r="AE151" s="15">
        <v>3.1990948115491998E-3</v>
      </c>
      <c r="AF151" s="15">
        <v>4.3113861512760502E-3</v>
      </c>
      <c r="AG151" s="15">
        <v>4.6529356671326603E-3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1.1029493695709939E-2</v>
      </c>
      <c r="AT151" s="12"/>
      <c r="AU151">
        <f t="shared" si="50"/>
        <v>1</v>
      </c>
      <c r="AV151">
        <f t="shared" si="51"/>
        <v>0</v>
      </c>
      <c r="AW151">
        <f t="shared" ref="AW151:AW176" si="58">AY151</f>
        <v>1</v>
      </c>
      <c r="AX151">
        <f t="shared" si="45"/>
        <v>1</v>
      </c>
      <c r="AY151">
        <f t="shared" ref="AY151:AY176" si="59">IF(AU150,1,IF(AV150,0,AW150))*AX150</f>
        <v>1</v>
      </c>
      <c r="AZ151" s="28">
        <f t="shared" si="52"/>
        <v>-5.92932181827716E-3</v>
      </c>
      <c r="BA151" s="28">
        <f t="shared" si="53"/>
        <v>4.3520378168134602E-3</v>
      </c>
      <c r="BB151" s="28">
        <f t="shared" ref="BB151:BB176" si="60">AZ151+BA151</f>
        <v>-1.5772840014636998E-3</v>
      </c>
      <c r="BC151" s="29">
        <f t="shared" ref="BC151:BC176" si="61">BC150+BB151</f>
        <v>1.7633059587484869E-2</v>
      </c>
      <c r="BE151" s="29">
        <f t="shared" ref="BE151:BE176" si="62">AQ151+BB151</f>
        <v>-1.5772840014636998E-3</v>
      </c>
      <c r="BF151" s="29">
        <f t="shared" ref="BF151:BF176" si="63">BF150+BE151</f>
        <v>2.8662553283194819E-2</v>
      </c>
      <c r="BH151" s="29"/>
    </row>
    <row r="152" spans="1:60" x14ac:dyDescent="0.25">
      <c r="A152" s="1">
        <v>46244</v>
      </c>
      <c r="B152" s="33">
        <v>21.79</v>
      </c>
      <c r="C152" s="33">
        <v>41.19</v>
      </c>
      <c r="D152" s="15">
        <v>-9.1366556101412505E-3</v>
      </c>
      <c r="E152" s="15">
        <v>-6.2923731333147702E-3</v>
      </c>
      <c r="F152" s="33">
        <v>0</v>
      </c>
      <c r="G152" s="33">
        <v>0.30292999999999998</v>
      </c>
      <c r="H152" s="33">
        <v>0</v>
      </c>
      <c r="I152" s="33">
        <v>0</v>
      </c>
      <c r="J152" s="33">
        <v>0.30292999999999998</v>
      </c>
      <c r="K152" s="33">
        <v>0</v>
      </c>
      <c r="L152" s="33">
        <v>22.092929999999999</v>
      </c>
      <c r="M152" s="33">
        <v>41.19</v>
      </c>
      <c r="N152" s="34">
        <v>1.8903166590178899</v>
      </c>
      <c r="O152" s="34">
        <v>1.8789764613078801</v>
      </c>
      <c r="P152" s="34">
        <v>1.8905284796170201</v>
      </c>
      <c r="Q152" s="34">
        <v>1.8906422352360801</v>
      </c>
      <c r="R152" s="33">
        <v>40.942897091898701</v>
      </c>
      <c r="S152" s="33">
        <v>41.1968119327952</v>
      </c>
      <c r="T152" s="33">
        <v>41.198755611155399</v>
      </c>
      <c r="U152" s="15">
        <v>-6.0171663829406297E-3</v>
      </c>
      <c r="V152" s="15">
        <v>1.65364641524373E-4</v>
      </c>
      <c r="W152" s="15">
        <v>2.1254383862217901E-4</v>
      </c>
      <c r="X152" s="34">
        <v>1.8643973434035199</v>
      </c>
      <c r="Y152" s="34">
        <v>1.8652915884207499</v>
      </c>
      <c r="Z152" s="34">
        <v>1.8661270522686499</v>
      </c>
      <c r="AA152" s="34">
        <v>1.8672556308786199</v>
      </c>
      <c r="AB152" s="33">
        <v>41.209756492568502</v>
      </c>
      <c r="AC152" s="33">
        <v>41.238121124166703</v>
      </c>
      <c r="AD152" s="33">
        <v>41.258676940655803</v>
      </c>
      <c r="AE152" s="15">
        <v>4.7952794493857302E-4</v>
      </c>
      <c r="AF152" s="15">
        <v>1.16759011311432E-3</v>
      </c>
      <c r="AG152" s="15">
        <v>1.6659322887296599E-3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1.1029493695709939E-2</v>
      </c>
      <c r="AT152" s="12"/>
      <c r="AU152">
        <f t="shared" si="50"/>
        <v>1</v>
      </c>
      <c r="AV152">
        <f t="shared" si="51"/>
        <v>0</v>
      </c>
      <c r="AW152">
        <f t="shared" si="58"/>
        <v>1</v>
      </c>
      <c r="AX152">
        <f t="shared" si="45"/>
        <v>1</v>
      </c>
      <c r="AY152">
        <f t="shared" si="59"/>
        <v>1</v>
      </c>
      <c r="AZ152" s="28">
        <f t="shared" si="52"/>
        <v>9.1366556101412505E-3</v>
      </c>
      <c r="BA152" s="28">
        <f t="shared" si="53"/>
        <v>-6.2923731333147702E-3</v>
      </c>
      <c r="BB152" s="28">
        <f t="shared" si="60"/>
        <v>2.8442824768264803E-3</v>
      </c>
      <c r="BC152" s="29">
        <f t="shared" si="61"/>
        <v>2.047734206431135E-2</v>
      </c>
      <c r="BE152" s="29">
        <f t="shared" si="62"/>
        <v>2.8442824768264803E-3</v>
      </c>
      <c r="BF152" s="29">
        <f t="shared" si="63"/>
        <v>3.15068357600213E-2</v>
      </c>
      <c r="BH152" s="29"/>
    </row>
    <row r="153" spans="1:60" x14ac:dyDescent="0.25">
      <c r="A153" s="1">
        <v>46245</v>
      </c>
      <c r="B153" s="33">
        <v>21.83</v>
      </c>
      <c r="C153" s="33">
        <v>41.24</v>
      </c>
      <c r="D153" s="15">
        <v>1.8340216053240399E-3</v>
      </c>
      <c r="E153" s="15">
        <v>1.2131507007699901E-3</v>
      </c>
      <c r="F153" s="33">
        <v>0</v>
      </c>
      <c r="G153" s="33">
        <v>0.30292999999999998</v>
      </c>
      <c r="H153" s="33">
        <v>0</v>
      </c>
      <c r="I153" s="33">
        <v>0</v>
      </c>
      <c r="J153" s="33">
        <v>0.30292999999999998</v>
      </c>
      <c r="K153" s="33">
        <v>0</v>
      </c>
      <c r="L153" s="33">
        <v>22.132929999999899</v>
      </c>
      <c r="M153" s="33">
        <v>41.24</v>
      </c>
      <c r="N153" s="34">
        <v>1.8891433806688001</v>
      </c>
      <c r="O153" s="34">
        <v>1.8789764613078801</v>
      </c>
      <c r="P153" s="34">
        <v>1.89006228671045</v>
      </c>
      <c r="Q153" s="34">
        <v>1.89061121529314</v>
      </c>
      <c r="R153" s="33">
        <v>41.018056150351001</v>
      </c>
      <c r="S153" s="33">
        <v>41.270236710039597</v>
      </c>
      <c r="T153" s="33">
        <v>41.272719995203602</v>
      </c>
      <c r="U153" s="15">
        <v>-5.3962954783866902E-3</v>
      </c>
      <c r="V153" s="15">
        <v>7.3292024356797695E-4</v>
      </c>
      <c r="W153" s="15">
        <v>7.9308976653740101E-4</v>
      </c>
      <c r="X153" s="34">
        <v>1.86328696652454</v>
      </c>
      <c r="Y153" s="34">
        <v>1.8652915884207499</v>
      </c>
      <c r="Z153" s="34">
        <v>1.86531937271163</v>
      </c>
      <c r="AA153" s="34">
        <v>1.8670453230089601</v>
      </c>
      <c r="AB153" s="33">
        <v>41.284368156105401</v>
      </c>
      <c r="AC153" s="33">
        <v>41.302859418968403</v>
      </c>
      <c r="AD153" s="33">
        <v>41.327838170342403</v>
      </c>
      <c r="AE153" s="15">
        <v>1.07527416135802E-3</v>
      </c>
      <c r="AF153" s="15">
        <v>1.52307374768633E-3</v>
      </c>
      <c r="AG153" s="15">
        <v>2.1276614581508301E-3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1.1029493695709939E-2</v>
      </c>
      <c r="AT153" s="12"/>
      <c r="AU153">
        <f t="shared" si="50"/>
        <v>1</v>
      </c>
      <c r="AV153">
        <f t="shared" si="51"/>
        <v>0</v>
      </c>
      <c r="AW153">
        <f t="shared" si="58"/>
        <v>1</v>
      </c>
      <c r="AX153">
        <f t="shared" si="45"/>
        <v>1</v>
      </c>
      <c r="AY153">
        <f t="shared" si="59"/>
        <v>1</v>
      </c>
      <c r="AZ153" s="28">
        <f t="shared" si="52"/>
        <v>-1.8340216053240399E-3</v>
      </c>
      <c r="BA153" s="28">
        <f t="shared" si="53"/>
        <v>1.2131507007699901E-3</v>
      </c>
      <c r="BB153" s="28">
        <f t="shared" si="60"/>
        <v>-6.2087090455404986E-4</v>
      </c>
      <c r="BC153" s="29">
        <f t="shared" si="61"/>
        <v>1.9856471159757302E-2</v>
      </c>
      <c r="BE153" s="29">
        <f t="shared" si="62"/>
        <v>-6.2087090455404986E-4</v>
      </c>
      <c r="BF153" s="29">
        <f t="shared" si="63"/>
        <v>3.0885964855467251E-2</v>
      </c>
      <c r="BH153" s="29"/>
    </row>
    <row r="154" spans="1:60" x14ac:dyDescent="0.25">
      <c r="A154" s="1">
        <v>46246</v>
      </c>
      <c r="B154" s="33">
        <v>21.84</v>
      </c>
      <c r="C154" s="33">
        <v>41.19</v>
      </c>
      <c r="D154" s="15">
        <v>4.57980314851896E-4</v>
      </c>
      <c r="E154" s="15">
        <v>-1.2131507007699101E-3</v>
      </c>
      <c r="F154" s="33">
        <v>0</v>
      </c>
      <c r="G154" s="33">
        <v>0.30292999999999998</v>
      </c>
      <c r="H154" s="33">
        <v>0</v>
      </c>
      <c r="I154" s="33">
        <v>0</v>
      </c>
      <c r="J154" s="33">
        <v>0.30292999999999998</v>
      </c>
      <c r="K154" s="33">
        <v>0</v>
      </c>
      <c r="L154" s="33">
        <v>22.14293</v>
      </c>
      <c r="M154" s="33">
        <v>41.19</v>
      </c>
      <c r="N154" s="34">
        <v>1.8859890109890101</v>
      </c>
      <c r="O154" s="34">
        <v>1.8789764613078801</v>
      </c>
      <c r="P154" s="34">
        <v>1.8894518854837701</v>
      </c>
      <c r="Q154" s="34">
        <v>1.89026615984074</v>
      </c>
      <c r="R154" s="33">
        <v>41.036845914964097</v>
      </c>
      <c r="S154" s="33">
        <v>41.278960341756303</v>
      </c>
      <c r="T154" s="33">
        <v>41.290948942002203</v>
      </c>
      <c r="U154" s="15">
        <v>-3.7251644627648798E-3</v>
      </c>
      <c r="V154" s="15">
        <v>2.15742688868849E-3</v>
      </c>
      <c r="W154" s="15">
        <v>2.4478135545854501E-3</v>
      </c>
      <c r="X154" s="34">
        <v>1.86018742777039</v>
      </c>
      <c r="Y154" s="34">
        <v>1.8652915884207499</v>
      </c>
      <c r="Z154" s="34">
        <v>1.8643678473462799</v>
      </c>
      <c r="AA154" s="34">
        <v>1.8665220010710999</v>
      </c>
      <c r="AB154" s="33">
        <v>41.303021071989598</v>
      </c>
      <c r="AC154" s="33">
        <v>41.303636297597599</v>
      </c>
      <c r="AD154" s="33">
        <v>41.3418538942148</v>
      </c>
      <c r="AE154" s="15">
        <v>2.7401382865556699E-3</v>
      </c>
      <c r="AF154" s="15">
        <v>2.7550335898561202E-3</v>
      </c>
      <c r="AG154" s="15">
        <v>3.6798898464426898E-3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1.1029493695709939E-2</v>
      </c>
      <c r="AT154" s="12"/>
      <c r="AU154">
        <f t="shared" si="50"/>
        <v>1</v>
      </c>
      <c r="AV154">
        <f t="shared" si="51"/>
        <v>0</v>
      </c>
      <c r="AW154">
        <f t="shared" si="58"/>
        <v>1</v>
      </c>
      <c r="AX154">
        <f t="shared" si="45"/>
        <v>1</v>
      </c>
      <c r="AY154">
        <f t="shared" si="59"/>
        <v>1</v>
      </c>
      <c r="AZ154" s="28">
        <f t="shared" si="52"/>
        <v>-4.57980314851896E-4</v>
      </c>
      <c r="BA154" s="28">
        <f t="shared" si="53"/>
        <v>-1.2131507007699101E-3</v>
      </c>
      <c r="BB154" s="28">
        <f t="shared" si="60"/>
        <v>-1.6711310156218061E-3</v>
      </c>
      <c r="BC154" s="29">
        <f t="shared" si="61"/>
        <v>1.8185340144135496E-2</v>
      </c>
      <c r="BE154" s="29">
        <f t="shared" si="62"/>
        <v>-1.6711310156218061E-3</v>
      </c>
      <c r="BF154" s="29">
        <f t="shared" si="63"/>
        <v>2.9214833839845446E-2</v>
      </c>
      <c r="BH154" s="29"/>
    </row>
    <row r="155" spans="1:60" x14ac:dyDescent="0.25">
      <c r="A155" s="1">
        <v>46247</v>
      </c>
      <c r="B155" s="33">
        <v>21.83</v>
      </c>
      <c r="C155" s="33">
        <v>41.29</v>
      </c>
      <c r="D155" s="15">
        <v>-4.5798031485187502E-4</v>
      </c>
      <c r="E155" s="15">
        <v>2.42483145000943E-3</v>
      </c>
      <c r="F155" s="33">
        <v>0</v>
      </c>
      <c r="G155" s="33">
        <v>0.30292999999999998</v>
      </c>
      <c r="H155" s="33">
        <v>0</v>
      </c>
      <c r="I155" s="33">
        <v>0</v>
      </c>
      <c r="J155" s="33">
        <v>0.30292999999999998</v>
      </c>
      <c r="K155" s="33">
        <v>0</v>
      </c>
      <c r="L155" s="33">
        <v>22.132929999999899</v>
      </c>
      <c r="M155" s="33">
        <v>41.29</v>
      </c>
      <c r="N155" s="34">
        <v>1.8914338066880401</v>
      </c>
      <c r="O155" s="34">
        <v>1.8789764613078801</v>
      </c>
      <c r="P155" s="34">
        <v>1.88957367680944</v>
      </c>
      <c r="Q155" s="34">
        <v>1.89023386684953</v>
      </c>
      <c r="R155" s="33">
        <v>41.018056150351001</v>
      </c>
      <c r="S155" s="33">
        <v>41.246734660110697</v>
      </c>
      <c r="T155" s="33">
        <v>41.264510269323402</v>
      </c>
      <c r="U155" s="15">
        <v>-6.6079762276263204E-3</v>
      </c>
      <c r="V155" s="15">
        <v>-1.0483900054977201E-3</v>
      </c>
      <c r="W155" s="15">
        <v>-6.1752486698456904E-4</v>
      </c>
      <c r="X155" s="34">
        <v>1.8655460438360301</v>
      </c>
      <c r="Y155" s="34">
        <v>1.8652915884207499</v>
      </c>
      <c r="Z155" s="34">
        <v>1.8641102576830899</v>
      </c>
      <c r="AA155" s="34">
        <v>1.86631021734129</v>
      </c>
      <c r="AB155" s="33">
        <v>41.284368156105401</v>
      </c>
      <c r="AC155" s="33">
        <v>41.263923059565997</v>
      </c>
      <c r="AD155" s="33">
        <v>41.311600793166697</v>
      </c>
      <c r="AE155" s="15">
        <v>-1.3640658788148001E-4</v>
      </c>
      <c r="AF155" s="15">
        <v>-6.3175535055868301E-4</v>
      </c>
      <c r="AG155" s="15">
        <v>5.2301150224000803E-4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1.1029493695709939E-2</v>
      </c>
      <c r="AT155" s="12"/>
      <c r="AU155">
        <f t="shared" si="50"/>
        <v>0</v>
      </c>
      <c r="AV155">
        <f t="shared" si="51"/>
        <v>0</v>
      </c>
      <c r="AW155">
        <f t="shared" si="58"/>
        <v>1</v>
      </c>
      <c r="AX155">
        <f t="shared" si="45"/>
        <v>1</v>
      </c>
      <c r="AY155">
        <f t="shared" si="59"/>
        <v>1</v>
      </c>
      <c r="AZ155" s="28">
        <f t="shared" si="52"/>
        <v>4.5798031485187502E-4</v>
      </c>
      <c r="BA155" s="28">
        <f t="shared" si="53"/>
        <v>2.42483145000943E-3</v>
      </c>
      <c r="BB155" s="28">
        <f t="shared" si="60"/>
        <v>2.8828117648613052E-3</v>
      </c>
      <c r="BC155" s="29">
        <f t="shared" si="61"/>
        <v>2.1068151908996802E-2</v>
      </c>
      <c r="BE155" s="29">
        <f t="shared" si="62"/>
        <v>2.8828117648613052E-3</v>
      </c>
      <c r="BF155" s="29">
        <f t="shared" si="63"/>
        <v>3.2097645604706751E-2</v>
      </c>
      <c r="BH155" s="29"/>
    </row>
    <row r="156" spans="1:60" x14ac:dyDescent="0.25">
      <c r="A156" s="1">
        <v>46248</v>
      </c>
      <c r="B156" s="33">
        <v>21.78</v>
      </c>
      <c r="C156" s="33">
        <v>41.2</v>
      </c>
      <c r="D156" s="15">
        <v>-2.29305305703799E-3</v>
      </c>
      <c r="E156" s="15">
        <v>-2.1820835425180899E-3</v>
      </c>
      <c r="F156" s="33">
        <v>0</v>
      </c>
      <c r="G156" s="33">
        <v>0.30292999999999998</v>
      </c>
      <c r="H156" s="33">
        <v>0</v>
      </c>
      <c r="I156" s="33">
        <v>0</v>
      </c>
      <c r="J156" s="33">
        <v>0.30292999999999998</v>
      </c>
      <c r="K156" s="33">
        <v>0</v>
      </c>
      <c r="L156" s="33">
        <v>22.082930000000001</v>
      </c>
      <c r="M156" s="33">
        <v>41.2</v>
      </c>
      <c r="N156" s="34">
        <v>1.8916437098255201</v>
      </c>
      <c r="O156" s="34">
        <v>1.8789764613078801</v>
      </c>
      <c r="P156" s="34">
        <v>1.88992589309586</v>
      </c>
      <c r="Q156" s="34">
        <v>1.89026595957643</v>
      </c>
      <c r="R156" s="33">
        <v>40.924107327285597</v>
      </c>
      <c r="S156" s="33">
        <v>41.154914680909698</v>
      </c>
      <c r="T156" s="33">
        <v>41.169293619982803</v>
      </c>
      <c r="U156" s="15">
        <v>-6.7189457421460803E-3</v>
      </c>
      <c r="V156" s="15">
        <v>-1.0949030490535101E-3</v>
      </c>
      <c r="W156" s="15">
        <v>-7.4557836033498201E-4</v>
      </c>
      <c r="X156" s="34">
        <v>1.8656944526835799</v>
      </c>
      <c r="Y156" s="34">
        <v>1.8652915884207499</v>
      </c>
      <c r="Z156" s="34">
        <v>1.8640795164877699</v>
      </c>
      <c r="AA156" s="34">
        <v>1.86616064168148</v>
      </c>
      <c r="AB156" s="33">
        <v>41.191103576684299</v>
      </c>
      <c r="AC156" s="33">
        <v>41.165016332697697</v>
      </c>
      <c r="AD156" s="33">
        <v>41.213597887832499</v>
      </c>
      <c r="AE156" s="15">
        <v>-2.1595592154969901E-4</v>
      </c>
      <c r="AF156" s="15">
        <v>-8.4947884341298504E-4</v>
      </c>
      <c r="AG156" s="15">
        <v>3.2999136803600301E-4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1.1029493695709939E-2</v>
      </c>
      <c r="AT156" s="12"/>
      <c r="AU156">
        <f t="shared" si="50"/>
        <v>0</v>
      </c>
      <c r="AV156">
        <f t="shared" si="51"/>
        <v>0</v>
      </c>
      <c r="AW156">
        <f t="shared" si="58"/>
        <v>1</v>
      </c>
      <c r="AX156">
        <f t="shared" si="45"/>
        <v>1</v>
      </c>
      <c r="AY156">
        <f t="shared" si="59"/>
        <v>1</v>
      </c>
      <c r="AZ156" s="28">
        <f t="shared" si="52"/>
        <v>2.29305305703799E-3</v>
      </c>
      <c r="BA156" s="28">
        <f t="shared" si="53"/>
        <v>-2.1820835425180899E-3</v>
      </c>
      <c r="BB156" s="28">
        <f t="shared" si="60"/>
        <v>1.1096951451990003E-4</v>
      </c>
      <c r="BC156" s="29">
        <f t="shared" si="61"/>
        <v>2.1179121423516703E-2</v>
      </c>
      <c r="BE156" s="29">
        <f t="shared" si="62"/>
        <v>1.1096951451990003E-4</v>
      </c>
      <c r="BF156" s="29">
        <f t="shared" si="63"/>
        <v>3.2208615119226652E-2</v>
      </c>
      <c r="BH156" s="29"/>
    </row>
    <row r="157" spans="1:60" x14ac:dyDescent="0.25">
      <c r="A157" s="1">
        <v>46251</v>
      </c>
      <c r="B157" s="33">
        <v>21.77</v>
      </c>
      <c r="C157" s="33">
        <v>41.22</v>
      </c>
      <c r="D157" s="15">
        <v>-4.59242258358364E-4</v>
      </c>
      <c r="E157" s="15">
        <v>4.8531910683206702E-4</v>
      </c>
      <c r="F157" s="33">
        <v>0</v>
      </c>
      <c r="G157" s="33">
        <v>0.30292999999999998</v>
      </c>
      <c r="H157" s="33">
        <v>0</v>
      </c>
      <c r="I157" s="33">
        <v>0</v>
      </c>
      <c r="J157" s="33">
        <v>0.30292999999999998</v>
      </c>
      <c r="K157" s="33">
        <v>0</v>
      </c>
      <c r="L157" s="33">
        <v>22.072929999999999</v>
      </c>
      <c r="M157" s="33">
        <v>41.22</v>
      </c>
      <c r="N157" s="34">
        <v>1.8934313275149199</v>
      </c>
      <c r="O157" s="34">
        <v>1.8789764613078801</v>
      </c>
      <c r="P157" s="34">
        <v>1.8898340235506199</v>
      </c>
      <c r="Q157" s="34">
        <v>1.8903768564961101</v>
      </c>
      <c r="R157" s="33">
        <v>40.9053175626726</v>
      </c>
      <c r="S157" s="33">
        <v>41.143686692697003</v>
      </c>
      <c r="T157" s="33">
        <v>41.151089939978903</v>
      </c>
      <c r="U157" s="15">
        <v>-7.6635071073366604E-3</v>
      </c>
      <c r="V157" s="15">
        <v>-1.8530819152252299E-3</v>
      </c>
      <c r="W157" s="15">
        <v>-1.6731616917351601E-3</v>
      </c>
      <c r="X157" s="34">
        <v>1.86744578087277</v>
      </c>
      <c r="Y157" s="34">
        <v>1.8652915884207499</v>
      </c>
      <c r="Z157" s="34">
        <v>1.86398890776477</v>
      </c>
      <c r="AA157" s="34">
        <v>1.8660907438287999</v>
      </c>
      <c r="AB157" s="33">
        <v>41.172450660800102</v>
      </c>
      <c r="AC157" s="33">
        <v>41.145696681868301</v>
      </c>
      <c r="AD157" s="33">
        <v>41.191633212590503</v>
      </c>
      <c r="AE157" s="15">
        <v>-1.15421605007027E-3</v>
      </c>
      <c r="AF157" s="15">
        <v>-1.80423019002434E-3</v>
      </c>
      <c r="AG157" s="15">
        <v>-6.88417094139043E-4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1.1029493695709939E-2</v>
      </c>
      <c r="AT157" s="12"/>
      <c r="AU157">
        <f t="shared" si="50"/>
        <v>0</v>
      </c>
      <c r="AV157">
        <f t="shared" si="51"/>
        <v>1</v>
      </c>
      <c r="AW157">
        <f t="shared" si="58"/>
        <v>1</v>
      </c>
      <c r="AX157">
        <f t="shared" si="45"/>
        <v>1</v>
      </c>
      <c r="AY157">
        <f t="shared" si="59"/>
        <v>1</v>
      </c>
      <c r="AZ157" s="28">
        <f t="shared" si="52"/>
        <v>4.59242258358364E-4</v>
      </c>
      <c r="BA157" s="28">
        <f t="shared" si="53"/>
        <v>4.8531910683206702E-4</v>
      </c>
      <c r="BB157" s="28">
        <f t="shared" si="60"/>
        <v>9.4456136519043108E-4</v>
      </c>
      <c r="BC157" s="29">
        <f t="shared" si="61"/>
        <v>2.2123682788707133E-2</v>
      </c>
      <c r="BE157" s="29">
        <f t="shared" si="62"/>
        <v>9.4456136519043108E-4</v>
      </c>
      <c r="BF157" s="29">
        <f t="shared" si="63"/>
        <v>3.3153176484417082E-2</v>
      </c>
      <c r="BH157" s="29"/>
    </row>
    <row r="158" spans="1:60" x14ac:dyDescent="0.25">
      <c r="A158" s="1">
        <v>46252</v>
      </c>
      <c r="B158" s="33">
        <v>21.74</v>
      </c>
      <c r="C158" s="33">
        <v>41.11</v>
      </c>
      <c r="D158" s="15">
        <v>-1.3789935533927E-3</v>
      </c>
      <c r="E158" s="15">
        <v>-2.6721745525259601E-3</v>
      </c>
      <c r="F158" s="33">
        <v>0</v>
      </c>
      <c r="G158" s="33">
        <v>0.30292999999999998</v>
      </c>
      <c r="H158" s="33">
        <v>0</v>
      </c>
      <c r="I158" s="33">
        <v>0</v>
      </c>
      <c r="J158" s="33">
        <v>0.30292999999999998</v>
      </c>
      <c r="K158" s="33">
        <v>0</v>
      </c>
      <c r="L158" s="33">
        <v>22.042929999999998</v>
      </c>
      <c r="M158" s="33">
        <v>41.11</v>
      </c>
      <c r="N158" s="34">
        <v>1.8909843606255701</v>
      </c>
      <c r="O158" s="34">
        <v>1.8789764613078801</v>
      </c>
      <c r="P158" s="34">
        <v>1.8898099733243201</v>
      </c>
      <c r="Q158" s="34">
        <v>1.8903780782552499</v>
      </c>
      <c r="R158" s="33">
        <v>40.848948268833297</v>
      </c>
      <c r="S158" s="33">
        <v>41.084991671990402</v>
      </c>
      <c r="T158" s="33">
        <v>41.096792860225399</v>
      </c>
      <c r="U158" s="15">
        <v>-6.3703261082035199E-3</v>
      </c>
      <c r="V158" s="15">
        <v>-6.0851222860392297E-4</v>
      </c>
      <c r="W158" s="15">
        <v>-3.2131505021993799E-4</v>
      </c>
      <c r="X158" s="34">
        <v>1.8649970761600201</v>
      </c>
      <c r="Y158" s="34">
        <v>1.8652915884207499</v>
      </c>
      <c r="Z158" s="34">
        <v>1.8639487849796501</v>
      </c>
      <c r="AA158" s="34">
        <v>1.86591350875398</v>
      </c>
      <c r="AB158" s="33">
        <v>41.116491913147499</v>
      </c>
      <c r="AC158" s="33">
        <v>41.0877770146354</v>
      </c>
      <c r="AD158" s="33">
        <v>41.134107639866301</v>
      </c>
      <c r="AE158" s="15">
        <v>1.5790320151040101E-4</v>
      </c>
      <c r="AF158" s="15">
        <v>-5.4071987620925798E-4</v>
      </c>
      <c r="AG158" s="15">
        <v>5.8624602414935798E-4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1.1029493695709939E-2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2.2123682788707133E-2</v>
      </c>
      <c r="BE158" s="29">
        <f t="shared" si="62"/>
        <v>0</v>
      </c>
      <c r="BF158" s="29">
        <f t="shared" si="63"/>
        <v>3.3153176484417082E-2</v>
      </c>
      <c r="BH158" s="29"/>
    </row>
    <row r="159" spans="1:60" x14ac:dyDescent="0.25">
      <c r="A159" s="1">
        <v>46253</v>
      </c>
      <c r="B159" s="33">
        <v>21.98</v>
      </c>
      <c r="C159" s="33">
        <v>41.53</v>
      </c>
      <c r="D159" s="15">
        <v>1.0979067282412E-2</v>
      </c>
      <c r="E159" s="15">
        <v>1.0164656732875201E-2</v>
      </c>
      <c r="F159" s="33">
        <v>0</v>
      </c>
      <c r="G159" s="33">
        <v>0.30292999999999998</v>
      </c>
      <c r="H159" s="33">
        <v>0</v>
      </c>
      <c r="I159" s="33">
        <v>0</v>
      </c>
      <c r="J159" s="33">
        <v>0.30292999999999998</v>
      </c>
      <c r="K159" s="33">
        <v>0</v>
      </c>
      <c r="L159" s="33">
        <v>22.28293</v>
      </c>
      <c r="M159" s="33">
        <v>41.53</v>
      </c>
      <c r="N159" s="34">
        <v>1.8894449499545001</v>
      </c>
      <c r="O159" s="34">
        <v>1.8789764613078801</v>
      </c>
      <c r="P159" s="34">
        <v>1.8895258056086801</v>
      </c>
      <c r="Q159" s="34">
        <v>1.89037222696453</v>
      </c>
      <c r="R159" s="33">
        <v>41.299902619547197</v>
      </c>
      <c r="S159" s="33">
        <v>41.538023213668701</v>
      </c>
      <c r="T159" s="33">
        <v>41.5505101600505</v>
      </c>
      <c r="U159" s="15">
        <v>-5.5559155586666397E-3</v>
      </c>
      <c r="V159" s="15">
        <v>1.9317213491586101E-4</v>
      </c>
      <c r="W159" s="15">
        <v>4.9374180364817602E-4</v>
      </c>
      <c r="X159" s="34">
        <v>1.86375849136536</v>
      </c>
      <c r="Y159" s="34">
        <v>1.8652915884207499</v>
      </c>
      <c r="Z159" s="34">
        <v>1.86367658723538</v>
      </c>
      <c r="AA159" s="34">
        <v>1.86574341325822</v>
      </c>
      <c r="AB159" s="33">
        <v>41.564161894368503</v>
      </c>
      <c r="AC159" s="33">
        <v>41.534240299286701</v>
      </c>
      <c r="AD159" s="33">
        <v>41.578020101619501</v>
      </c>
      <c r="AE159" s="15">
        <v>8.2224540243040799E-4</v>
      </c>
      <c r="AF159" s="15">
        <v>1.02096865633757E-4</v>
      </c>
      <c r="AG159" s="15">
        <v>1.15560704983055E-3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1.1029493695709939E-2</v>
      </c>
      <c r="AT159" s="12"/>
      <c r="AU159">
        <f t="shared" si="50"/>
        <v>0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2.2123682788707133E-2</v>
      </c>
      <c r="BE159" s="29">
        <f t="shared" si="62"/>
        <v>0</v>
      </c>
      <c r="BF159" s="29">
        <f t="shared" si="63"/>
        <v>3.3153176484417082E-2</v>
      </c>
      <c r="BH159" s="29"/>
    </row>
    <row r="160" spans="1:60" x14ac:dyDescent="0.25">
      <c r="A160" s="1">
        <v>46254</v>
      </c>
      <c r="B160" s="33">
        <v>21.93</v>
      </c>
      <c r="C160" s="33">
        <v>41.46</v>
      </c>
      <c r="D160" s="15">
        <v>-2.2773865456785199E-3</v>
      </c>
      <c r="E160" s="15">
        <v>-1.68695063502862E-3</v>
      </c>
      <c r="F160" s="33">
        <v>0</v>
      </c>
      <c r="G160" s="33">
        <v>0.30292999999999998</v>
      </c>
      <c r="H160" s="33">
        <v>0</v>
      </c>
      <c r="I160" s="33">
        <v>0</v>
      </c>
      <c r="J160" s="33">
        <v>0.30292999999999998</v>
      </c>
      <c r="K160" s="33">
        <v>0</v>
      </c>
      <c r="L160" s="33">
        <v>22.23293</v>
      </c>
      <c r="M160" s="33">
        <v>41.46</v>
      </c>
      <c r="N160" s="34">
        <v>1.8905608755129899</v>
      </c>
      <c r="O160" s="34">
        <v>1.8789764613078801</v>
      </c>
      <c r="P160" s="34">
        <v>1.8897895784298799</v>
      </c>
      <c r="Q160" s="34">
        <v>1.8904480235491701</v>
      </c>
      <c r="R160" s="33">
        <v>41.205953796481801</v>
      </c>
      <c r="S160" s="33">
        <v>41.437300916998502</v>
      </c>
      <c r="T160" s="33">
        <v>41.455862937332299</v>
      </c>
      <c r="U160" s="15">
        <v>-6.1463514693165296E-3</v>
      </c>
      <c r="V160" s="15">
        <v>-5.4764348941810002E-4</v>
      </c>
      <c r="W160" s="15">
        <v>-9.9789413618761003E-5</v>
      </c>
      <c r="X160" s="34">
        <v>1.86480144542352</v>
      </c>
      <c r="Y160" s="34">
        <v>1.8652915884207499</v>
      </c>
      <c r="Z160" s="34">
        <v>1.8639448906538401</v>
      </c>
      <c r="AA160" s="34">
        <v>1.86565619052216</v>
      </c>
      <c r="AB160" s="33">
        <v>41.470897314947401</v>
      </c>
      <c r="AC160" s="33">
        <v>41.434991106643203</v>
      </c>
      <c r="AD160" s="33">
        <v>41.480942704931103</v>
      </c>
      <c r="AE160" s="15">
        <v>2.6280470519492801E-4</v>
      </c>
      <c r="AF160" s="15">
        <v>-6.0338734057630299E-4</v>
      </c>
      <c r="AG160" s="15">
        <v>5.0500282956197505E-4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1.1029493695709939E-2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2.2123682788707133E-2</v>
      </c>
      <c r="BE160" s="29">
        <f t="shared" si="62"/>
        <v>0</v>
      </c>
      <c r="BF160" s="29">
        <f t="shared" si="63"/>
        <v>3.3153176484417082E-2</v>
      </c>
      <c r="BH160" s="29"/>
    </row>
    <row r="161" spans="1:60" x14ac:dyDescent="0.25">
      <c r="A161" s="1">
        <v>46255</v>
      </c>
      <c r="B161" s="33">
        <v>21.96</v>
      </c>
      <c r="C161" s="33">
        <v>41.49</v>
      </c>
      <c r="D161" s="15">
        <v>1.36705421153309E-3</v>
      </c>
      <c r="E161" s="15">
        <v>7.2332733714302504E-4</v>
      </c>
      <c r="F161" s="33">
        <v>0</v>
      </c>
      <c r="G161" s="33">
        <v>0.30292999999999998</v>
      </c>
      <c r="H161" s="33">
        <v>0</v>
      </c>
      <c r="I161" s="33">
        <v>0</v>
      </c>
      <c r="J161" s="33">
        <v>0.30292999999999998</v>
      </c>
      <c r="K161" s="33">
        <v>0</v>
      </c>
      <c r="L161" s="33">
        <v>22.262930000000001</v>
      </c>
      <c r="M161" s="33">
        <v>41.49</v>
      </c>
      <c r="N161" s="34">
        <v>1.88934426229508</v>
      </c>
      <c r="O161" s="34">
        <v>1.8789764613078801</v>
      </c>
      <c r="P161" s="34">
        <v>1.89022923430923</v>
      </c>
      <c r="Q161" s="34">
        <v>1.89042925535552</v>
      </c>
      <c r="R161" s="33">
        <v>41.262323090321097</v>
      </c>
      <c r="S161" s="33">
        <v>41.4997791423203</v>
      </c>
      <c r="T161" s="33">
        <v>41.514238597139901</v>
      </c>
      <c r="U161" s="15">
        <v>-5.5026245949264399E-3</v>
      </c>
      <c r="V161" s="15">
        <v>2.3567100591583701E-4</v>
      </c>
      <c r="W161" s="15">
        <v>5.8403277323079196E-4</v>
      </c>
      <c r="X161" s="34">
        <v>1.8636360982134801</v>
      </c>
      <c r="Y161" s="34">
        <v>1.8652915884207499</v>
      </c>
      <c r="Z161" s="34">
        <v>1.8643751126253201</v>
      </c>
      <c r="AA161" s="34">
        <v>1.8654752896320199</v>
      </c>
      <c r="AB161" s="33">
        <v>41.526856062600103</v>
      </c>
      <c r="AC161" s="33">
        <v>41.4968746244842</v>
      </c>
      <c r="AD161" s="33">
        <v>41.534973173661697</v>
      </c>
      <c r="AE161" s="15">
        <v>8.8791762949324399E-4</v>
      </c>
      <c r="AF161" s="15">
        <v>1.6567980252502699E-4</v>
      </c>
      <c r="AG161" s="15">
        <v>1.0833650729714999E-3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1.1029493695709939E-2</v>
      </c>
      <c r="AT161" s="12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2.2123682788707133E-2</v>
      </c>
      <c r="BE161" s="29">
        <f t="shared" si="62"/>
        <v>0</v>
      </c>
      <c r="BF161" s="29">
        <f t="shared" si="63"/>
        <v>3.3153176484417082E-2</v>
      </c>
      <c r="BH161" s="29"/>
    </row>
    <row r="162" spans="1:60" x14ac:dyDescent="0.25">
      <c r="A162" s="1">
        <v>46258</v>
      </c>
      <c r="B162" s="33">
        <v>21.95</v>
      </c>
      <c r="C162" s="33">
        <v>41.47</v>
      </c>
      <c r="D162" s="15">
        <v>-4.5547712014961799E-4</v>
      </c>
      <c r="E162" s="15">
        <v>-4.8216008648672097E-4</v>
      </c>
      <c r="F162" s="33">
        <v>0</v>
      </c>
      <c r="G162" s="33">
        <v>0.30292999999999998</v>
      </c>
      <c r="H162" s="33">
        <v>0</v>
      </c>
      <c r="I162" s="33">
        <v>0</v>
      </c>
      <c r="J162" s="33">
        <v>0.30292999999999998</v>
      </c>
      <c r="K162" s="33">
        <v>0</v>
      </c>
      <c r="L162" s="33">
        <v>22.252929999999999</v>
      </c>
      <c r="M162" s="33">
        <v>41.47</v>
      </c>
      <c r="N162" s="34">
        <v>1.88929384965831</v>
      </c>
      <c r="O162" s="34">
        <v>1.8789764613078801</v>
      </c>
      <c r="P162" s="34">
        <v>1.8901269533732701</v>
      </c>
      <c r="Q162" s="34">
        <v>1.89032771649515</v>
      </c>
      <c r="R162" s="33">
        <v>41.243533325708</v>
      </c>
      <c r="S162" s="33">
        <v>41.490531693087704</v>
      </c>
      <c r="T162" s="33">
        <v>41.494922155053601</v>
      </c>
      <c r="U162" s="15">
        <v>-5.4759416285893904E-3</v>
      </c>
      <c r="V162" s="15">
        <v>4.9497497395281002E-4</v>
      </c>
      <c r="W162" s="15">
        <v>6.0078778249715505E-4</v>
      </c>
      <c r="X162" s="34">
        <v>1.8635748191361701</v>
      </c>
      <c r="Y162" s="34">
        <v>1.8652915884207499</v>
      </c>
      <c r="Z162" s="34">
        <v>1.86429286019859</v>
      </c>
      <c r="AA162" s="34">
        <v>1.86520995623362</v>
      </c>
      <c r="AB162" s="33">
        <v>41.5082031467159</v>
      </c>
      <c r="AC162" s="33">
        <v>41.487808874993398</v>
      </c>
      <c r="AD162" s="33">
        <v>41.512291036911201</v>
      </c>
      <c r="AE162" s="15">
        <v>9.2079963090138997E-4</v>
      </c>
      <c r="AF162" s="15">
        <v>4.2934777349028398E-4</v>
      </c>
      <c r="AG162" s="15">
        <v>1.0192786929407E-3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1.1029493695709939E-2</v>
      </c>
      <c r="AT162" s="12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2.2123682788707133E-2</v>
      </c>
      <c r="BE162" s="29">
        <f t="shared" si="62"/>
        <v>0</v>
      </c>
      <c r="BF162" s="29">
        <f t="shared" si="63"/>
        <v>3.3153176484417082E-2</v>
      </c>
      <c r="BH162" s="29"/>
    </row>
    <row r="163" spans="1:60" x14ac:dyDescent="0.25">
      <c r="A163" s="1">
        <v>46259</v>
      </c>
      <c r="B163" s="33">
        <v>22.04</v>
      </c>
      <c r="C163" s="33">
        <v>41.72</v>
      </c>
      <c r="D163" s="15">
        <v>4.0918447635333102E-3</v>
      </c>
      <c r="E163" s="15">
        <v>6.0103558742816898E-3</v>
      </c>
      <c r="F163" s="33">
        <v>0</v>
      </c>
      <c r="G163" s="33">
        <v>0.30292999999999998</v>
      </c>
      <c r="H163" s="33">
        <v>0</v>
      </c>
      <c r="I163" s="33">
        <v>0</v>
      </c>
      <c r="J163" s="33">
        <v>0.30292999999999998</v>
      </c>
      <c r="K163" s="33">
        <v>0</v>
      </c>
      <c r="L163" s="33">
        <v>22.342929999999999</v>
      </c>
      <c r="M163" s="33">
        <v>41.72</v>
      </c>
      <c r="N163" s="34">
        <v>1.8929219600725899</v>
      </c>
      <c r="O163" s="34">
        <v>1.8789764613078801</v>
      </c>
      <c r="P163" s="34">
        <v>1.89050481131365</v>
      </c>
      <c r="Q163" s="34">
        <v>1.89028354901205</v>
      </c>
      <c r="R163" s="33">
        <v>41.412641207225697</v>
      </c>
      <c r="S163" s="33">
        <v>41.658398052347003</v>
      </c>
      <c r="T163" s="33">
        <v>41.662822871553097</v>
      </c>
      <c r="U163" s="15">
        <v>-7.3944527393377197E-3</v>
      </c>
      <c r="V163" s="15">
        <v>-1.4776479352111101E-3</v>
      </c>
      <c r="W163" s="15">
        <v>-1.3714368364973399E-3</v>
      </c>
      <c r="X163" s="34">
        <v>1.8672573382273401</v>
      </c>
      <c r="Y163" s="34">
        <v>1.8652915884207499</v>
      </c>
      <c r="Z163" s="34">
        <v>1.8646898973688699</v>
      </c>
      <c r="AA163" s="34">
        <v>1.86500463504025</v>
      </c>
      <c r="AB163" s="33">
        <v>41.676079389673703</v>
      </c>
      <c r="AC163" s="33">
        <v>41.653764874916902</v>
      </c>
      <c r="AD163" s="33">
        <v>41.674255487430798</v>
      </c>
      <c r="AE163" s="15">
        <v>-1.05330165898168E-3</v>
      </c>
      <c r="AF163" s="15">
        <v>-1.58887244966729E-3</v>
      </c>
      <c r="AG163" s="15">
        <v>-1.09706638400303E-3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1.1029493695709939E-2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2.2123682788707133E-2</v>
      </c>
      <c r="BE163" s="29">
        <f t="shared" si="62"/>
        <v>0</v>
      </c>
      <c r="BF163" s="29">
        <f t="shared" si="63"/>
        <v>3.3153176484417082E-2</v>
      </c>
      <c r="BH163" s="29"/>
    </row>
    <row r="164" spans="1:60" x14ac:dyDescent="0.25">
      <c r="A164" s="1">
        <v>46260</v>
      </c>
      <c r="B164" s="33">
        <v>21.93</v>
      </c>
      <c r="C164" s="33">
        <v>41.49</v>
      </c>
      <c r="D164" s="15">
        <v>-5.0034218549168501E-3</v>
      </c>
      <c r="E164" s="15">
        <v>-5.52819578779513E-3</v>
      </c>
      <c r="F164" s="33">
        <v>0</v>
      </c>
      <c r="G164" s="33">
        <v>0.30292999999999998</v>
      </c>
      <c r="H164" s="33">
        <v>0</v>
      </c>
      <c r="I164" s="33">
        <v>0</v>
      </c>
      <c r="J164" s="33">
        <v>0.30292999999999998</v>
      </c>
      <c r="K164" s="33">
        <v>0</v>
      </c>
      <c r="L164" s="33">
        <v>22.23293</v>
      </c>
      <c r="M164" s="33">
        <v>41.49</v>
      </c>
      <c r="N164" s="34">
        <v>1.8919288645690799</v>
      </c>
      <c r="O164" s="34">
        <v>1.8789764613078801</v>
      </c>
      <c r="P164" s="34">
        <v>1.8910987966716599</v>
      </c>
      <c r="Q164" s="34">
        <v>1.89027534107771</v>
      </c>
      <c r="R164" s="33">
        <v>41.205953796481801</v>
      </c>
      <c r="S164" s="33">
        <v>41.458770512108501</v>
      </c>
      <c r="T164" s="33">
        <v>41.453918229834301</v>
      </c>
      <c r="U164" s="15">
        <v>-6.8696788064596297E-3</v>
      </c>
      <c r="V164" s="15">
        <v>-7.5298257404482298E-4</v>
      </c>
      <c r="W164" s="15">
        <v>-8.7002816388854099E-4</v>
      </c>
      <c r="X164" s="34">
        <v>1.8661507952393099</v>
      </c>
      <c r="Y164" s="34">
        <v>1.8652915884207499</v>
      </c>
      <c r="Z164" s="34">
        <v>1.8652862341157599</v>
      </c>
      <c r="AA164" s="34">
        <v>1.8648270407310199</v>
      </c>
      <c r="AB164" s="33">
        <v>41.470897314947401</v>
      </c>
      <c r="AC164" s="33">
        <v>41.457519959909298</v>
      </c>
      <c r="AD164" s="33">
        <v>41.464517500525503</v>
      </c>
      <c r="AE164" s="15">
        <v>-4.6052263194804499E-4</v>
      </c>
      <c r="AF164" s="15">
        <v>-7.8314678404926602E-4</v>
      </c>
      <c r="AG164" s="15">
        <v>-6.1437281642569698E-4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1.1029493695709939E-2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2.2123682788707133E-2</v>
      </c>
      <c r="BE164" s="29">
        <f t="shared" si="62"/>
        <v>0</v>
      </c>
      <c r="BF164" s="29">
        <f t="shared" si="63"/>
        <v>3.3153176484417082E-2</v>
      </c>
      <c r="BH164" s="29"/>
    </row>
    <row r="165" spans="1:60" x14ac:dyDescent="0.25">
      <c r="A165" s="1">
        <v>46261</v>
      </c>
      <c r="B165" s="33">
        <v>21.91</v>
      </c>
      <c r="C165" s="33">
        <v>41.42</v>
      </c>
      <c r="D165" s="15">
        <v>-9.1240882242170102E-4</v>
      </c>
      <c r="E165" s="15">
        <v>-1.6885783773384799E-3</v>
      </c>
      <c r="F165" s="33">
        <v>0</v>
      </c>
      <c r="G165" s="33">
        <v>0.30292999999999998</v>
      </c>
      <c r="H165" s="33">
        <v>0</v>
      </c>
      <c r="I165" s="33">
        <v>0</v>
      </c>
      <c r="J165" s="33">
        <v>0.30292999999999998</v>
      </c>
      <c r="K165" s="33">
        <v>0</v>
      </c>
      <c r="L165" s="33">
        <v>22.21293</v>
      </c>
      <c r="M165" s="33">
        <v>41.42</v>
      </c>
      <c r="N165" s="34">
        <v>1.8904609767229501</v>
      </c>
      <c r="O165" s="34">
        <v>1.8789764613078801</v>
      </c>
      <c r="P165" s="34">
        <v>1.8910015136751499</v>
      </c>
      <c r="Q165" s="34">
        <v>1.8902875952422999</v>
      </c>
      <c r="R165" s="33">
        <v>41.1683742672557</v>
      </c>
      <c r="S165" s="33">
        <v>41.433974635076098</v>
      </c>
      <c r="T165" s="33">
        <v>41.415932723012801</v>
      </c>
      <c r="U165" s="15">
        <v>-6.09350925154282E-3</v>
      </c>
      <c r="V165" s="15">
        <v>3.37331679505903E-4</v>
      </c>
      <c r="W165" s="15">
        <v>-9.8200789360923104E-5</v>
      </c>
      <c r="X165" s="34">
        <v>1.86467971582317</v>
      </c>
      <c r="Y165" s="34">
        <v>1.8652915884207499</v>
      </c>
      <c r="Z165" s="34">
        <v>1.86519960131447</v>
      </c>
      <c r="AA165" s="34">
        <v>1.86465492949878</v>
      </c>
      <c r="AB165" s="33">
        <v>41.433591483179001</v>
      </c>
      <c r="AC165" s="33">
        <v>41.433472548376997</v>
      </c>
      <c r="AD165" s="33">
        <v>41.423272517865399</v>
      </c>
      <c r="AE165" s="15">
        <v>3.28084348733227E-4</v>
      </c>
      <c r="AF165" s="15">
        <v>3.2521385239319198E-4</v>
      </c>
      <c r="AG165" s="15">
        <v>7.9005036079581102E-5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1.1029493695709939E-2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2.2123682788707133E-2</v>
      </c>
      <c r="BE165" s="29">
        <f t="shared" si="62"/>
        <v>0</v>
      </c>
      <c r="BF165" s="29">
        <f t="shared" si="63"/>
        <v>3.3153176484417082E-2</v>
      </c>
      <c r="BH165" s="29"/>
    </row>
    <row r="166" spans="1:60" x14ac:dyDescent="0.25">
      <c r="A166" s="1">
        <v>46262</v>
      </c>
      <c r="B166" s="33">
        <v>21.8</v>
      </c>
      <c r="C166" s="33">
        <v>41.2</v>
      </c>
      <c r="D166" s="15">
        <v>-5.0331838123318399E-3</v>
      </c>
      <c r="E166" s="15">
        <v>-5.3255996119573696E-3</v>
      </c>
      <c r="F166" s="33">
        <v>0</v>
      </c>
      <c r="G166" s="33">
        <v>0.30292999999999998</v>
      </c>
      <c r="H166" s="33">
        <v>0</v>
      </c>
      <c r="I166" s="33">
        <v>0</v>
      </c>
      <c r="J166" s="33">
        <v>0.30292999999999998</v>
      </c>
      <c r="K166" s="33">
        <v>0</v>
      </c>
      <c r="L166" s="33">
        <v>22.102930000000001</v>
      </c>
      <c r="M166" s="33">
        <v>41.2</v>
      </c>
      <c r="N166" s="34">
        <v>1.8899082568807299</v>
      </c>
      <c r="O166" s="34">
        <v>1.8789764613078801</v>
      </c>
      <c r="P166" s="34">
        <v>1.8908279683806699</v>
      </c>
      <c r="Q166" s="34">
        <v>1.8903769307382701</v>
      </c>
      <c r="R166" s="33">
        <v>40.961686856511797</v>
      </c>
      <c r="S166" s="33">
        <v>41.223832998118397</v>
      </c>
      <c r="T166" s="33">
        <v>41.208269576282099</v>
      </c>
      <c r="U166" s="15">
        <v>-5.8010934519173198E-3</v>
      </c>
      <c r="V166" s="15">
        <v>5.7830357836348596E-4</v>
      </c>
      <c r="W166" s="15">
        <v>2.0069772978946099E-4</v>
      </c>
      <c r="X166" s="34">
        <v>1.8640062652327001</v>
      </c>
      <c r="Y166" s="34">
        <v>1.8652915884207499</v>
      </c>
      <c r="Z166" s="34">
        <v>1.8650307825693799</v>
      </c>
      <c r="AA166" s="34">
        <v>1.8645551495285699</v>
      </c>
      <c r="AB166" s="33">
        <v>41.228409408452698</v>
      </c>
      <c r="AC166" s="33">
        <v>41.226376223881701</v>
      </c>
      <c r="AD166" s="33">
        <v>41.214337380866503</v>
      </c>
      <c r="AE166" s="15">
        <v>6.8931111934736203E-4</v>
      </c>
      <c r="AF166" s="15">
        <v>6.3999476843285799E-4</v>
      </c>
      <c r="AG166" s="15">
        <v>3.4793414512237602E-4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1.1029493695709939E-2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2.2123682788707133E-2</v>
      </c>
      <c r="BE166" s="29">
        <f t="shared" si="62"/>
        <v>0</v>
      </c>
      <c r="BF166" s="29">
        <f t="shared" si="63"/>
        <v>3.3153176484417082E-2</v>
      </c>
      <c r="BH166" s="29"/>
    </row>
    <row r="167" spans="1:60" x14ac:dyDescent="0.25">
      <c r="A167" s="1">
        <v>46265</v>
      </c>
      <c r="B167" s="33">
        <v>21.82</v>
      </c>
      <c r="C167" s="33">
        <v>41.21</v>
      </c>
      <c r="D167" s="15">
        <v>9.1701060988140601E-4</v>
      </c>
      <c r="E167" s="15">
        <v>2.42688995245176E-4</v>
      </c>
      <c r="F167" s="33">
        <v>0</v>
      </c>
      <c r="G167" s="33">
        <v>0.30292999999999998</v>
      </c>
      <c r="H167" s="33">
        <v>0</v>
      </c>
      <c r="I167" s="33">
        <v>0</v>
      </c>
      <c r="J167" s="33">
        <v>0.30292999999999998</v>
      </c>
      <c r="K167" s="33">
        <v>0</v>
      </c>
      <c r="L167" s="33">
        <v>22.12293</v>
      </c>
      <c r="M167" s="33">
        <v>41.21</v>
      </c>
      <c r="N167" s="34">
        <v>1.8886342804766201</v>
      </c>
      <c r="O167" s="34">
        <v>1.8789764613078801</v>
      </c>
      <c r="P167" s="34">
        <v>1.8903482636768401</v>
      </c>
      <c r="Q167" s="34">
        <v>1.89009114361373</v>
      </c>
      <c r="R167" s="33">
        <v>40.999266385737897</v>
      </c>
      <c r="S167" s="33">
        <v>41.257866270066302</v>
      </c>
      <c r="T167" s="33">
        <v>41.248024628708997</v>
      </c>
      <c r="U167" s="15">
        <v>-5.1267718372811303E-3</v>
      </c>
      <c r="V167" s="15">
        <v>1.16084670566998E-3</v>
      </c>
      <c r="W167" s="15">
        <v>9.2227849443659595E-4</v>
      </c>
      <c r="X167" s="34">
        <v>1.8627731498494999</v>
      </c>
      <c r="Y167" s="34">
        <v>1.8652915884207499</v>
      </c>
      <c r="Z167" s="34">
        <v>1.86456351946706</v>
      </c>
      <c r="AA167" s="34">
        <v>1.8642762136159099</v>
      </c>
      <c r="AB167" s="33">
        <v>41.265715240221198</v>
      </c>
      <c r="AC167" s="33">
        <v>41.259945450627797</v>
      </c>
      <c r="AD167" s="33">
        <v>41.249423054160197</v>
      </c>
      <c r="AE167" s="15">
        <v>1.35107039773101E-3</v>
      </c>
      <c r="AF167" s="15">
        <v>1.21124020298906E-3</v>
      </c>
      <c r="AG167" s="15">
        <v>9.5618076634002502E-4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1.1029493695709939E-2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2.2123682788707133E-2</v>
      </c>
      <c r="BE167" s="29">
        <f t="shared" si="62"/>
        <v>0</v>
      </c>
      <c r="BF167" s="29">
        <f t="shared" si="63"/>
        <v>3.3153176484417082E-2</v>
      </c>
      <c r="BH167" s="29"/>
    </row>
    <row r="168" spans="1:60" x14ac:dyDescent="0.25">
      <c r="A168" s="1">
        <v>46266</v>
      </c>
      <c r="B168" s="33">
        <v>21.65</v>
      </c>
      <c r="C168" s="33">
        <v>40.92</v>
      </c>
      <c r="D168" s="15">
        <v>-7.8215259564259898E-3</v>
      </c>
      <c r="E168" s="15">
        <v>-7.0620042673002403E-3</v>
      </c>
      <c r="F168" s="33">
        <v>4.4215999999999998E-2</v>
      </c>
      <c r="G168" s="33">
        <v>0.34714599999999901</v>
      </c>
      <c r="H168" s="33">
        <v>0</v>
      </c>
      <c r="I168" s="33">
        <v>0</v>
      </c>
      <c r="J168" s="33">
        <v>0.34714599999999901</v>
      </c>
      <c r="K168" s="33">
        <v>0</v>
      </c>
      <c r="L168" s="33">
        <v>21.997145999999901</v>
      </c>
      <c r="M168" s="33">
        <v>40.92</v>
      </c>
      <c r="N168" s="34">
        <v>1.89006928406466</v>
      </c>
      <c r="O168" s="34">
        <v>1.8789764613078801</v>
      </c>
      <c r="P168" s="34">
        <v>1.8902567560207499</v>
      </c>
      <c r="Q168" s="34">
        <v>1.89003336467254</v>
      </c>
      <c r="R168" s="33">
        <v>40.6798403873156</v>
      </c>
      <c r="S168" s="33">
        <v>40.926039908603698</v>
      </c>
      <c r="T168" s="33">
        <v>40.920473259237298</v>
      </c>
      <c r="U168" s="15">
        <v>-5.8862935264067896E-3</v>
      </c>
      <c r="V168" s="15">
        <v>1.4759195732471199E-4</v>
      </c>
      <c r="W168" s="15">
        <v>1.15654081285446E-5</v>
      </c>
      <c r="X168" s="34">
        <v>1.86024132403358</v>
      </c>
      <c r="Y168" s="34">
        <v>1.8652915884207499</v>
      </c>
      <c r="Z168" s="34">
        <v>1.86408794425441</v>
      </c>
      <c r="AA168" s="34">
        <v>1.8640183646170301</v>
      </c>
      <c r="AB168" s="33">
        <v>41.031091403063201</v>
      </c>
      <c r="AC168" s="33">
        <v>41.015075963990697</v>
      </c>
      <c r="AD168" s="33">
        <v>41.008756055236503</v>
      </c>
      <c r="AE168" s="15">
        <v>2.7111651402962999E-3</v>
      </c>
      <c r="AF168" s="15">
        <v>2.3207644722370402E-3</v>
      </c>
      <c r="AG168" s="15">
        <v>2.1666651425387901E-3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1.1029493695709939E-2</v>
      </c>
      <c r="AT168" s="12"/>
      <c r="AU168">
        <f t="shared" si="50"/>
        <v>1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2.2123682788707133E-2</v>
      </c>
      <c r="BE168" s="29">
        <f t="shared" si="62"/>
        <v>0</v>
      </c>
      <c r="BF168" s="29">
        <f t="shared" si="63"/>
        <v>3.3153176484417082E-2</v>
      </c>
      <c r="BH168" s="29"/>
    </row>
    <row r="169" spans="1:60" x14ac:dyDescent="0.25">
      <c r="A169" s="1">
        <v>46267</v>
      </c>
      <c r="B169" s="33">
        <v>21.72</v>
      </c>
      <c r="C169" s="33">
        <v>41.09</v>
      </c>
      <c r="D169" s="15">
        <v>3.2280406172359001E-3</v>
      </c>
      <c r="E169" s="15">
        <v>4.1458418118926399E-3</v>
      </c>
      <c r="F169" s="33">
        <v>0</v>
      </c>
      <c r="G169" s="33">
        <v>0.34714599999999901</v>
      </c>
      <c r="H169" s="33">
        <v>0</v>
      </c>
      <c r="I169" s="33">
        <v>0</v>
      </c>
      <c r="J169" s="33">
        <v>0.34714599999999901</v>
      </c>
      <c r="K169" s="33">
        <v>0</v>
      </c>
      <c r="L169" s="33">
        <v>22.067145999999902</v>
      </c>
      <c r="M169" s="33">
        <v>41.09</v>
      </c>
      <c r="N169" s="34">
        <v>1.89180478821362</v>
      </c>
      <c r="O169" s="34">
        <v>1.8789764613078801</v>
      </c>
      <c r="P169" s="34">
        <v>1.89049273984666</v>
      </c>
      <c r="Q169" s="34">
        <v>1.8900092727276701</v>
      </c>
      <c r="R169" s="33">
        <v>40.811368739607197</v>
      </c>
      <c r="S169" s="33">
        <v>41.056376740770801</v>
      </c>
      <c r="T169" s="33">
        <v>41.051524680687599</v>
      </c>
      <c r="U169" s="15">
        <v>-6.80409472106361E-3</v>
      </c>
      <c r="V169" s="15">
        <v>-8.1861823834251295E-4</v>
      </c>
      <c r="W169" s="15">
        <v>-9.3680564795420903E-4</v>
      </c>
      <c r="X169" s="34">
        <v>1.86204414472084</v>
      </c>
      <c r="Y169" s="34">
        <v>1.8652915884207499</v>
      </c>
      <c r="Z169" s="34">
        <v>1.8639165095899599</v>
      </c>
      <c r="AA169" s="34">
        <v>1.86379654841267</v>
      </c>
      <c r="AB169" s="33">
        <v>41.161661814252703</v>
      </c>
      <c r="AC169" s="33">
        <v>41.135100822702</v>
      </c>
      <c r="AD169" s="33">
        <v>41.133565398685299</v>
      </c>
      <c r="AE169" s="15">
        <v>1.74250175143876E-3</v>
      </c>
      <c r="AF169" s="15">
        <v>1.0970087424351199E-3</v>
      </c>
      <c r="AG169" s="15">
        <v>1.05968167521973E-3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1.1029493695709939E-2</v>
      </c>
      <c r="AT169" s="12"/>
      <c r="AU169">
        <f t="shared" si="50"/>
        <v>0</v>
      </c>
      <c r="AV169">
        <f t="shared" si="51"/>
        <v>0</v>
      </c>
      <c r="AW169">
        <f t="shared" si="58"/>
        <v>1</v>
      </c>
      <c r="AX169">
        <f t="shared" si="45"/>
        <v>1</v>
      </c>
      <c r="AY169">
        <f t="shared" si="59"/>
        <v>1</v>
      </c>
      <c r="AZ169" s="28">
        <f t="shared" si="52"/>
        <v>-3.2280406172359001E-3</v>
      </c>
      <c r="BA169" s="28">
        <f t="shared" si="53"/>
        <v>4.1458418118926399E-3</v>
      </c>
      <c r="BB169" s="28">
        <f t="shared" si="60"/>
        <v>9.1780119465673972E-4</v>
      </c>
      <c r="BC169" s="29">
        <f t="shared" si="61"/>
        <v>2.3041483983363871E-2</v>
      </c>
      <c r="BE169" s="29">
        <f t="shared" si="62"/>
        <v>9.1780119465673972E-4</v>
      </c>
      <c r="BF169" s="29">
        <f t="shared" si="63"/>
        <v>3.407097767907382E-2</v>
      </c>
      <c r="BH169" s="29"/>
    </row>
    <row r="170" spans="1:60" x14ac:dyDescent="0.25">
      <c r="A170" s="1">
        <v>46268</v>
      </c>
      <c r="B170" s="33">
        <v>21.94</v>
      </c>
      <c r="C170" s="33">
        <v>41.35</v>
      </c>
      <c r="D170" s="15">
        <v>1.0077959781349601E-2</v>
      </c>
      <c r="E170" s="15">
        <v>6.3076385743818103E-3</v>
      </c>
      <c r="F170" s="33">
        <v>0</v>
      </c>
      <c r="G170" s="33">
        <v>0.34714599999999901</v>
      </c>
      <c r="H170" s="33">
        <v>0</v>
      </c>
      <c r="I170" s="33">
        <v>0</v>
      </c>
      <c r="J170" s="33">
        <v>0.34714599999999901</v>
      </c>
      <c r="K170" s="33">
        <v>0</v>
      </c>
      <c r="L170" s="33">
        <v>22.287146</v>
      </c>
      <c r="M170" s="33">
        <v>41.35</v>
      </c>
      <c r="N170" s="34">
        <v>1.8846855059252501</v>
      </c>
      <c r="O170" s="34">
        <v>1.8789764613078801</v>
      </c>
      <c r="P170" s="34">
        <v>1.88990520288789</v>
      </c>
      <c r="Q170" s="34">
        <v>1.88984739065889</v>
      </c>
      <c r="R170" s="33">
        <v>41.224743561094897</v>
      </c>
      <c r="S170" s="33">
        <v>41.477410712235901</v>
      </c>
      <c r="T170" s="33">
        <v>41.466803443645198</v>
      </c>
      <c r="U170" s="15">
        <v>-3.0337735140959E-3</v>
      </c>
      <c r="V170" s="15">
        <v>3.07653738385266E-3</v>
      </c>
      <c r="W170" s="15">
        <v>2.8207686420206801E-3</v>
      </c>
      <c r="X170" s="34">
        <v>1.85532952491987</v>
      </c>
      <c r="Y170" s="34">
        <v>1.8652915884207499</v>
      </c>
      <c r="Z170" s="34">
        <v>1.8629693175396</v>
      </c>
      <c r="AA170" s="34">
        <v>1.8634571040967201</v>
      </c>
      <c r="AB170" s="33">
        <v>41.5720259637053</v>
      </c>
      <c r="AC170" s="33">
        <v>41.541379381041899</v>
      </c>
      <c r="AD170" s="33">
        <v>41.538705788769398</v>
      </c>
      <c r="AE170" s="15">
        <v>5.3550668041799903E-3</v>
      </c>
      <c r="AF170" s="15">
        <v>4.6176025184814203E-3</v>
      </c>
      <c r="AG170" s="15">
        <v>4.5532407097995699E-3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1.1029493695709939E-2</v>
      </c>
      <c r="AT170" s="12"/>
      <c r="AU170">
        <f t="shared" si="50"/>
        <v>1</v>
      </c>
      <c r="AV170">
        <f t="shared" si="51"/>
        <v>0</v>
      </c>
      <c r="AW170">
        <f t="shared" si="58"/>
        <v>1</v>
      </c>
      <c r="AX170">
        <f t="shared" si="45"/>
        <v>1</v>
      </c>
      <c r="AY170">
        <f t="shared" si="59"/>
        <v>1</v>
      </c>
      <c r="AZ170" s="28">
        <f t="shared" si="52"/>
        <v>-1.0077959781349601E-2</v>
      </c>
      <c r="BA170" s="28">
        <f t="shared" si="53"/>
        <v>6.3076385743818103E-3</v>
      </c>
      <c r="BB170" s="28">
        <f t="shared" si="60"/>
        <v>-3.7703212069677902E-3</v>
      </c>
      <c r="BC170" s="29">
        <f t="shared" si="61"/>
        <v>1.9271162776396081E-2</v>
      </c>
      <c r="BE170" s="29">
        <f t="shared" si="62"/>
        <v>-3.7703212069677902E-3</v>
      </c>
      <c r="BF170" s="29">
        <f t="shared" si="63"/>
        <v>3.030065647210603E-2</v>
      </c>
      <c r="BH170" s="29"/>
    </row>
    <row r="171" spans="1:60" x14ac:dyDescent="0.25">
      <c r="A171" s="1">
        <v>46269</v>
      </c>
      <c r="B171" s="33">
        <v>21.93</v>
      </c>
      <c r="C171" s="33">
        <v>41.38</v>
      </c>
      <c r="D171" s="15">
        <v>-4.55892417287445E-4</v>
      </c>
      <c r="E171" s="15">
        <v>7.2525084769666404E-4</v>
      </c>
      <c r="F171" s="33">
        <v>0</v>
      </c>
      <c r="G171" s="33">
        <v>0.34714599999999901</v>
      </c>
      <c r="H171" s="33">
        <v>0</v>
      </c>
      <c r="I171" s="33">
        <v>0</v>
      </c>
      <c r="J171" s="33">
        <v>0.34714599999999901</v>
      </c>
      <c r="K171" s="33">
        <v>0</v>
      </c>
      <c r="L171" s="33">
        <v>22.277145999999998</v>
      </c>
      <c r="M171" s="33">
        <v>41.38</v>
      </c>
      <c r="N171" s="34">
        <v>1.8869129046967601</v>
      </c>
      <c r="O171" s="34">
        <v>1.8789764613078801</v>
      </c>
      <c r="P171" s="34">
        <v>1.88966206712806</v>
      </c>
      <c r="Q171" s="34">
        <v>1.8899456507186401</v>
      </c>
      <c r="R171" s="33">
        <v>41.205953796481801</v>
      </c>
      <c r="S171" s="33">
        <v>41.445621099331497</v>
      </c>
      <c r="T171" s="33">
        <v>41.444353277149403</v>
      </c>
      <c r="U171" s="15">
        <v>-4.2149167790800097E-3</v>
      </c>
      <c r="V171" s="15">
        <v>1.58456072386368E-3</v>
      </c>
      <c r="W171" s="15">
        <v>1.5539702407160101E-3</v>
      </c>
      <c r="X171" s="34">
        <v>1.8575090363909199</v>
      </c>
      <c r="Y171" s="34">
        <v>1.8652915884207499</v>
      </c>
      <c r="Z171" s="34">
        <v>1.86235661135734</v>
      </c>
      <c r="AA171" s="34">
        <v>1.86336586199133</v>
      </c>
      <c r="AB171" s="33">
        <v>41.553373047821097</v>
      </c>
      <c r="AC171" s="33">
        <v>41.501639480350001</v>
      </c>
      <c r="AD171" s="33">
        <v>41.512505972699898</v>
      </c>
      <c r="AE171" s="15">
        <v>4.1810261420802599E-3</v>
      </c>
      <c r="AF171" s="15">
        <v>2.93525968953593E-3</v>
      </c>
      <c r="AG171" s="15">
        <v>3.1970582626010698E-3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1.1029493695709939E-2</v>
      </c>
      <c r="AT171" s="12"/>
      <c r="AU171">
        <f t="shared" si="50"/>
        <v>1</v>
      </c>
      <c r="AV171">
        <f t="shared" si="51"/>
        <v>0</v>
      </c>
      <c r="AW171">
        <f t="shared" si="58"/>
        <v>1</v>
      </c>
      <c r="AX171">
        <f t="shared" si="45"/>
        <v>1</v>
      </c>
      <c r="AY171">
        <f t="shared" si="59"/>
        <v>1</v>
      </c>
      <c r="AZ171" s="28">
        <f t="shared" si="52"/>
        <v>4.55892417287445E-4</v>
      </c>
      <c r="BA171" s="28">
        <f t="shared" si="53"/>
        <v>7.2525084769666404E-4</v>
      </c>
      <c r="BB171" s="28">
        <f t="shared" si="60"/>
        <v>1.181143264984109E-3</v>
      </c>
      <c r="BC171" s="29">
        <f t="shared" si="61"/>
        <v>2.0452306041380191E-2</v>
      </c>
      <c r="BE171" s="29">
        <f t="shared" si="62"/>
        <v>1.181143264984109E-3</v>
      </c>
      <c r="BF171" s="29">
        <f t="shared" si="63"/>
        <v>3.1481799737090137E-2</v>
      </c>
      <c r="BH171" s="29"/>
    </row>
    <row r="172" spans="1:60" x14ac:dyDescent="0.25">
      <c r="A172" s="1">
        <v>46273</v>
      </c>
      <c r="B172" s="33">
        <v>22.01</v>
      </c>
      <c r="C172" s="33">
        <v>41.43</v>
      </c>
      <c r="D172" s="15">
        <v>3.6413331085735799E-3</v>
      </c>
      <c r="E172" s="15">
        <v>1.20758377191336E-3</v>
      </c>
      <c r="F172" s="33">
        <v>0</v>
      </c>
      <c r="G172" s="33">
        <v>0.34714599999999901</v>
      </c>
      <c r="H172" s="33">
        <v>0</v>
      </c>
      <c r="I172" s="33">
        <v>0</v>
      </c>
      <c r="J172" s="33">
        <v>0.34714599999999901</v>
      </c>
      <c r="K172" s="33">
        <v>0</v>
      </c>
      <c r="L172" s="33">
        <v>22.357146</v>
      </c>
      <c r="M172" s="33">
        <v>41.43</v>
      </c>
      <c r="N172" s="34">
        <v>1.88232621535665</v>
      </c>
      <c r="O172" s="34">
        <v>1.8789764613078801</v>
      </c>
      <c r="P172" s="34">
        <v>1.88896530369789</v>
      </c>
      <c r="Q172" s="34">
        <v>1.8895461285355799</v>
      </c>
      <c r="R172" s="33">
        <v>41.356271913386401</v>
      </c>
      <c r="S172" s="33">
        <v>41.591462097488602</v>
      </c>
      <c r="T172" s="33">
        <v>41.597703772317402</v>
      </c>
      <c r="U172" s="15">
        <v>-1.7811674424198501E-3</v>
      </c>
      <c r="V172" s="15">
        <v>3.8896520725597902E-3</v>
      </c>
      <c r="W172" s="15">
        <v>4.0397118736239003E-3</v>
      </c>
      <c r="X172" s="34">
        <v>1.85309878103403</v>
      </c>
      <c r="Y172" s="34">
        <v>1.8652915884207499</v>
      </c>
      <c r="Z172" s="34">
        <v>1.8613090075471299</v>
      </c>
      <c r="AA172" s="34">
        <v>1.8628009338728599</v>
      </c>
      <c r="AB172" s="33">
        <v>41.702596374894704</v>
      </c>
      <c r="AC172" s="33">
        <v>41.636978664181399</v>
      </c>
      <c r="AD172" s="33">
        <v>41.6595426279561</v>
      </c>
      <c r="AE172" s="15">
        <v>6.5581339640983201E-3</v>
      </c>
      <c r="AF172" s="15">
        <v>4.9834265278788804E-3</v>
      </c>
      <c r="AG172" s="15">
        <v>5.5252009976070196E-3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1.1029493695709939E-2</v>
      </c>
      <c r="AT172" s="12"/>
      <c r="AU172">
        <f t="shared" si="50"/>
        <v>1</v>
      </c>
      <c r="AV172">
        <f t="shared" si="51"/>
        <v>0</v>
      </c>
      <c r="AW172">
        <f t="shared" si="58"/>
        <v>1</v>
      </c>
      <c r="AX172">
        <f t="shared" si="45"/>
        <v>1</v>
      </c>
      <c r="AY172">
        <f t="shared" si="59"/>
        <v>1</v>
      </c>
      <c r="AZ172" s="28">
        <f t="shared" si="52"/>
        <v>-3.6413331085735799E-3</v>
      </c>
      <c r="BA172" s="28">
        <f t="shared" si="53"/>
        <v>1.20758377191336E-3</v>
      </c>
      <c r="BB172" s="28">
        <f t="shared" si="60"/>
        <v>-2.4337493366602199E-3</v>
      </c>
      <c r="BC172" s="29">
        <f t="shared" si="61"/>
        <v>1.8018556704719971E-2</v>
      </c>
      <c r="BE172" s="29">
        <f t="shared" si="62"/>
        <v>-2.4337493366602199E-3</v>
      </c>
      <c r="BF172" s="29">
        <f t="shared" si="63"/>
        <v>2.9048050400429917E-2</v>
      </c>
      <c r="BH172" s="29"/>
    </row>
    <row r="173" spans="1:60" x14ac:dyDescent="0.25">
      <c r="A173" s="1">
        <v>46274</v>
      </c>
      <c r="B173" s="33">
        <v>21.97</v>
      </c>
      <c r="C173" s="33">
        <v>41.25</v>
      </c>
      <c r="D173" s="15">
        <v>-1.81900914185163E-3</v>
      </c>
      <c r="E173" s="15">
        <v>-4.3541433086203901E-3</v>
      </c>
      <c r="F173" s="33">
        <v>0</v>
      </c>
      <c r="G173" s="33">
        <v>0.34714599999999901</v>
      </c>
      <c r="H173" s="33">
        <v>0</v>
      </c>
      <c r="I173" s="33">
        <v>0</v>
      </c>
      <c r="J173" s="33">
        <v>0.34714599999999901</v>
      </c>
      <c r="K173" s="33">
        <v>0</v>
      </c>
      <c r="L173" s="33">
        <v>22.317145999999902</v>
      </c>
      <c r="M173" s="33">
        <v>41.25</v>
      </c>
      <c r="N173" s="34">
        <v>1.87756030951297</v>
      </c>
      <c r="O173" s="34">
        <v>1.8789764613078801</v>
      </c>
      <c r="P173" s="34">
        <v>1.88742913864193</v>
      </c>
      <c r="Q173" s="34">
        <v>1.88896697497779</v>
      </c>
      <c r="R173" s="33">
        <v>41.281112854934101</v>
      </c>
      <c r="S173" s="33">
        <v>41.5005677222427</v>
      </c>
      <c r="T173" s="33">
        <v>41.513328443926802</v>
      </c>
      <c r="U173" s="15">
        <v>7.5396672434906598E-4</v>
      </c>
      <c r="V173" s="15">
        <v>6.0559944164342502E-3</v>
      </c>
      <c r="W173" s="15">
        <v>6.3634302163162598E-3</v>
      </c>
      <c r="X173" s="34">
        <v>1.8483546238394399</v>
      </c>
      <c r="Y173" s="34">
        <v>1.8652915884207499</v>
      </c>
      <c r="Z173" s="34">
        <v>1.8594187361083401</v>
      </c>
      <c r="AA173" s="34">
        <v>1.8620543167385999</v>
      </c>
      <c r="AB173" s="33">
        <v>41.627984711357897</v>
      </c>
      <c r="AC173" s="33">
        <v>41.539104872544399</v>
      </c>
      <c r="AD173" s="33">
        <v>41.572400410176897</v>
      </c>
      <c r="AE173" s="15">
        <v>9.1215377266207296E-3</v>
      </c>
      <c r="AF173" s="15">
        <v>6.9841568685265303E-3</v>
      </c>
      <c r="AG173" s="15">
        <v>7.7853826266328901E-3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1.1029493695709939E-2</v>
      </c>
      <c r="AT173" s="12"/>
      <c r="AU173">
        <f t="shared" si="50"/>
        <v>1</v>
      </c>
      <c r="AV173">
        <f t="shared" si="51"/>
        <v>0</v>
      </c>
      <c r="AW173">
        <f t="shared" si="58"/>
        <v>1</v>
      </c>
      <c r="AX173">
        <f t="shared" si="45"/>
        <v>1</v>
      </c>
      <c r="AY173">
        <f t="shared" si="59"/>
        <v>1</v>
      </c>
      <c r="AZ173" s="28">
        <f t="shared" si="52"/>
        <v>1.81900914185163E-3</v>
      </c>
      <c r="BA173" s="28">
        <f t="shared" si="53"/>
        <v>-4.3541433086203901E-3</v>
      </c>
      <c r="BB173" s="28">
        <f t="shared" si="60"/>
        <v>-2.5351341667687599E-3</v>
      </c>
      <c r="BC173" s="29">
        <f t="shared" si="61"/>
        <v>1.5483422537951212E-2</v>
      </c>
      <c r="BE173" s="29">
        <f t="shared" si="62"/>
        <v>-2.5351341667687599E-3</v>
      </c>
      <c r="BF173" s="29">
        <f t="shared" si="63"/>
        <v>2.6512916233661157E-2</v>
      </c>
      <c r="BH173" s="29"/>
    </row>
    <row r="174" spans="1:60" x14ac:dyDescent="0.25">
      <c r="A174" s="1">
        <v>46275</v>
      </c>
      <c r="B174" s="33">
        <v>21.77</v>
      </c>
      <c r="C174" s="33">
        <v>40.93</v>
      </c>
      <c r="D174" s="15">
        <v>-9.1450111500627294E-3</v>
      </c>
      <c r="E174" s="15">
        <v>-7.7878222763783402E-3</v>
      </c>
      <c r="F174" s="33">
        <v>0</v>
      </c>
      <c r="G174" s="33">
        <v>0.34714599999999901</v>
      </c>
      <c r="H174" s="33">
        <v>0</v>
      </c>
      <c r="I174" s="33">
        <v>0</v>
      </c>
      <c r="J174" s="33">
        <v>0.34714599999999901</v>
      </c>
      <c r="K174" s="33">
        <v>0</v>
      </c>
      <c r="L174" s="33">
        <v>22.117145999999899</v>
      </c>
      <c r="M174" s="33">
        <v>40.93</v>
      </c>
      <c r="N174" s="34">
        <v>1.88011024345429</v>
      </c>
      <c r="O174" s="34">
        <v>1.8789764613078801</v>
      </c>
      <c r="P174" s="34">
        <v>1.8862472765304501</v>
      </c>
      <c r="Q174" s="34">
        <v>1.88867303660106</v>
      </c>
      <c r="R174" s="33">
        <v>40.9053175626726</v>
      </c>
      <c r="S174" s="33">
        <v>41.089332348234898</v>
      </c>
      <c r="T174" s="33">
        <v>41.122811045266602</v>
      </c>
      <c r="U174" s="15">
        <v>-6.0322214933531803E-4</v>
      </c>
      <c r="V174" s="15">
        <v>3.8852437370924201E-3</v>
      </c>
      <c r="W174" s="15">
        <v>4.6996903018067396E-3</v>
      </c>
      <c r="X174" s="34">
        <v>1.85060043461303</v>
      </c>
      <c r="Y174" s="34">
        <v>1.8652915884207499</v>
      </c>
      <c r="Z174" s="34">
        <v>1.8578637000457101</v>
      </c>
      <c r="AA174" s="34">
        <v>1.86157496708073</v>
      </c>
      <c r="AB174" s="33">
        <v>41.254926393673699</v>
      </c>
      <c r="AC174" s="33">
        <v>41.125035661643601</v>
      </c>
      <c r="AD174" s="33">
        <v>41.183327183237999</v>
      </c>
      <c r="AE174" s="15">
        <v>7.9072428708801303E-3</v>
      </c>
      <c r="AF174" s="15">
        <v>4.7537857332773303E-3</v>
      </c>
      <c r="AG174" s="15">
        <v>6.17020392761756E-3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1.1029493695709939E-2</v>
      </c>
      <c r="AT174" s="12"/>
      <c r="AU174">
        <f t="shared" si="50"/>
        <v>1</v>
      </c>
      <c r="AV174">
        <f t="shared" si="51"/>
        <v>0</v>
      </c>
      <c r="AW174">
        <f t="shared" si="58"/>
        <v>1</v>
      </c>
      <c r="AX174">
        <f t="shared" si="45"/>
        <v>1</v>
      </c>
      <c r="AY174">
        <f t="shared" si="59"/>
        <v>1</v>
      </c>
      <c r="AZ174" s="28">
        <f t="shared" si="52"/>
        <v>9.1450111500627294E-3</v>
      </c>
      <c r="BA174" s="28">
        <f t="shared" si="53"/>
        <v>-7.7878222763783402E-3</v>
      </c>
      <c r="BB174" s="28">
        <f t="shared" si="60"/>
        <v>1.3571888736843892E-3</v>
      </c>
      <c r="BC174" s="29">
        <f t="shared" si="61"/>
        <v>1.6840611411635599E-2</v>
      </c>
      <c r="BE174" s="29">
        <f t="shared" si="62"/>
        <v>1.3571888736843892E-3</v>
      </c>
      <c r="BF174" s="29">
        <f t="shared" si="63"/>
        <v>2.7870105107345548E-2</v>
      </c>
      <c r="BH174" s="29"/>
    </row>
    <row r="175" spans="1:60" x14ac:dyDescent="0.25">
      <c r="A175" s="1">
        <v>46276</v>
      </c>
      <c r="B175" s="33">
        <v>21.77</v>
      </c>
      <c r="C175" s="33">
        <v>40.92</v>
      </c>
      <c r="D175" s="15">
        <v>0</v>
      </c>
      <c r="E175" s="15">
        <v>-2.44349420885831E-4</v>
      </c>
      <c r="F175" s="33">
        <v>0</v>
      </c>
      <c r="G175" s="33">
        <v>0.34714599999999901</v>
      </c>
      <c r="H175" s="33">
        <v>0</v>
      </c>
      <c r="I175" s="33">
        <v>0</v>
      </c>
      <c r="J175" s="33">
        <v>0.34714599999999901</v>
      </c>
      <c r="K175" s="33">
        <v>0</v>
      </c>
      <c r="L175" s="33">
        <v>22.117145999999899</v>
      </c>
      <c r="M175" s="33">
        <v>40.92</v>
      </c>
      <c r="N175" s="34">
        <v>1.87965089572806</v>
      </c>
      <c r="O175" s="34">
        <v>1.8789764613078801</v>
      </c>
      <c r="P175" s="34">
        <v>1.88516626843096</v>
      </c>
      <c r="Q175" s="34">
        <v>1.88808389105306</v>
      </c>
      <c r="R175" s="33">
        <v>40.9053175626726</v>
      </c>
      <c r="S175" s="33">
        <v>41.063603210068003</v>
      </c>
      <c r="T175" s="33">
        <v>41.116412006805</v>
      </c>
      <c r="U175" s="15">
        <v>-3.58872728449515E-4</v>
      </c>
      <c r="V175" s="15">
        <v>3.5032214079426002E-3</v>
      </c>
      <c r="W175" s="15">
        <v>4.7884196125560696E-3</v>
      </c>
      <c r="X175" s="34">
        <v>1.85014829671061</v>
      </c>
      <c r="Y175" s="34">
        <v>1.8652915884207499</v>
      </c>
      <c r="Z175" s="34">
        <v>1.8564105581344501</v>
      </c>
      <c r="AA175" s="34">
        <v>1.86080507972446</v>
      </c>
      <c r="AB175" s="33">
        <v>41.254926393673699</v>
      </c>
      <c r="AC175" s="33">
        <v>41.090642702011202</v>
      </c>
      <c r="AD175" s="33">
        <v>41.172725336869803</v>
      </c>
      <c r="AE175" s="15">
        <v>8.1515922917661694E-3</v>
      </c>
      <c r="AF175" s="15">
        <v>4.1614830137651901E-3</v>
      </c>
      <c r="AG175" s="15">
        <v>6.1570896624169504E-3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1.1029493695709939E-2</v>
      </c>
      <c r="AT175" s="12"/>
      <c r="AU175">
        <f t="shared" si="50"/>
        <v>1</v>
      </c>
      <c r="AV175">
        <f t="shared" si="51"/>
        <v>0</v>
      </c>
      <c r="AW175">
        <f t="shared" si="58"/>
        <v>1</v>
      </c>
      <c r="AX175">
        <f t="shared" si="45"/>
        <v>1</v>
      </c>
      <c r="AY175">
        <f t="shared" si="59"/>
        <v>1</v>
      </c>
      <c r="AZ175" s="28">
        <f t="shared" si="52"/>
        <v>0</v>
      </c>
      <c r="BA175" s="28">
        <f t="shared" si="53"/>
        <v>-2.44349420885831E-4</v>
      </c>
      <c r="BB175" s="28">
        <f t="shared" si="60"/>
        <v>-2.44349420885831E-4</v>
      </c>
      <c r="BC175" s="29">
        <f t="shared" si="61"/>
        <v>1.6596261990749768E-2</v>
      </c>
      <c r="BE175" s="29">
        <f t="shared" si="62"/>
        <v>-2.44349420885831E-4</v>
      </c>
      <c r="BF175" s="29">
        <f t="shared" si="63"/>
        <v>2.7625755686459717E-2</v>
      </c>
      <c r="BH175" s="29"/>
    </row>
    <row r="176" spans="1:60" x14ac:dyDescent="0.25">
      <c r="A176" s="1">
        <v>46279</v>
      </c>
      <c r="B176" s="33">
        <v>21.67</v>
      </c>
      <c r="C176" s="33">
        <v>40.72</v>
      </c>
      <c r="D176" s="15">
        <v>-4.6040596981882596E-3</v>
      </c>
      <c r="E176" s="15">
        <v>-4.89956884115853E-3</v>
      </c>
      <c r="F176" s="33">
        <v>0</v>
      </c>
      <c r="G176" s="33">
        <v>0.34714599999999901</v>
      </c>
      <c r="H176" s="33">
        <v>0</v>
      </c>
      <c r="I176" s="33">
        <v>0</v>
      </c>
      <c r="J176" s="33">
        <v>0.34714599999999901</v>
      </c>
      <c r="K176" s="33">
        <v>0</v>
      </c>
      <c r="L176" s="33">
        <v>22.017146</v>
      </c>
      <c r="M176" s="33">
        <v>40.72</v>
      </c>
      <c r="N176" s="34">
        <v>1.87909552376557</v>
      </c>
      <c r="O176" s="34">
        <v>1.8789764613078801</v>
      </c>
      <c r="P176" s="34">
        <v>1.8840849951194401</v>
      </c>
      <c r="Q176" s="34">
        <v>1.8874564817500601</v>
      </c>
      <c r="R176" s="33">
        <v>40.7174199165418</v>
      </c>
      <c r="S176" s="33">
        <v>40.851553036898999</v>
      </c>
      <c r="T176" s="33">
        <v>40.9147779191198</v>
      </c>
      <c r="U176" s="15">
        <v>-6.3363585479341505E-5</v>
      </c>
      <c r="V176" s="15">
        <v>3.2254663802212002E-3</v>
      </c>
      <c r="W176" s="15">
        <v>4.7719438626336102E-3</v>
      </c>
      <c r="X176" s="34">
        <v>1.8494676830502901</v>
      </c>
      <c r="Y176" s="34">
        <v>1.8652915884207499</v>
      </c>
      <c r="Z176" s="34">
        <v>1.8549566999162099</v>
      </c>
      <c r="AA176" s="34">
        <v>1.8599937412428</v>
      </c>
      <c r="AB176" s="33">
        <v>41.0683972348317</v>
      </c>
      <c r="AC176" s="33">
        <v>40.872862294387801</v>
      </c>
      <c r="AD176" s="33">
        <v>40.969617117835199</v>
      </c>
      <c r="AE176" s="15">
        <v>8.5195297597224096E-3</v>
      </c>
      <c r="AF176" s="15">
        <v>3.7469569992818101E-3</v>
      </c>
      <c r="AG176" s="15">
        <v>6.1113738453413297E-3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1.1029493695709939E-2</v>
      </c>
      <c r="AT176" s="12"/>
      <c r="AU176">
        <f t="shared" si="50"/>
        <v>1</v>
      </c>
      <c r="AV176">
        <f t="shared" si="51"/>
        <v>0</v>
      </c>
      <c r="AW176">
        <f t="shared" si="58"/>
        <v>1</v>
      </c>
      <c r="AX176">
        <f t="shared" si="45"/>
        <v>1</v>
      </c>
      <c r="AY176">
        <f t="shared" si="59"/>
        <v>1</v>
      </c>
      <c r="AZ176" s="28">
        <f t="shared" si="52"/>
        <v>4.6040596981882596E-3</v>
      </c>
      <c r="BA176" s="28">
        <f t="shared" si="53"/>
        <v>-4.89956884115853E-3</v>
      </c>
      <c r="BB176" s="28">
        <f t="shared" si="60"/>
        <v>-2.9550914297027039E-4</v>
      </c>
      <c r="BC176" s="29">
        <f t="shared" si="61"/>
        <v>1.6300752847779498E-2</v>
      </c>
      <c r="BE176" s="29">
        <f t="shared" si="62"/>
        <v>-2.9550914297027039E-4</v>
      </c>
      <c r="BF176" s="29">
        <f t="shared" si="63"/>
        <v>2.7330246543489447E-2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2026-09-22T13:07:32Z</dcterms:created>
  <dcterms:modified xsi:type="dcterms:W3CDTF">2026-09-22T13:17:51Z</dcterms:modified>
</cp:coreProperties>
</file>