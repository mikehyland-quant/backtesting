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D80FF833-3DE4-4249-A70B-0172BF4ACF01}" xr6:coauthVersionLast="47" xr6:coauthVersionMax="47" xr10:uidLastSave="{00000000-0000-0000-0000-000000000000}"/>
  <bookViews>
    <workbookView xWindow="-108" yWindow="-108" windowWidth="23256" windowHeight="12456" xr2:uid="{0F2BEB1D-D4A9-40F3-B6F6-C0D46D5A8C77}"/>
  </bookViews>
  <sheets>
    <sheet name="BNDX_IAGG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A23" i="1" l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2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2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3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2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2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3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2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1" i="1"/>
  <c r="S4" i="1"/>
  <c r="S5" i="1"/>
  <c r="S6" i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S109" i="1" s="1"/>
  <c r="S110" i="1" s="1"/>
  <c r="S111" i="1" s="1"/>
  <c r="S112" i="1" s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 s="1"/>
  <c r="S143" i="1" s="1"/>
  <c r="S144" i="1" s="1"/>
  <c r="S145" i="1" s="1"/>
  <c r="S146" i="1" s="1"/>
  <c r="S147" i="1" s="1"/>
  <c r="S148" i="1" s="1"/>
  <c r="S149" i="1" s="1"/>
  <c r="S150" i="1" s="1"/>
  <c r="S151" i="1" s="1"/>
  <c r="S152" i="1" s="1"/>
  <c r="S153" i="1" s="1"/>
  <c r="S154" i="1" s="1"/>
  <c r="S155" i="1" s="1"/>
  <c r="S156" i="1" s="1"/>
  <c r="S3" i="1"/>
  <c r="S2" i="1"/>
  <c r="P42" i="1"/>
  <c r="Q42" i="1"/>
  <c r="R42" i="1" s="1"/>
  <c r="P43" i="1"/>
  <c r="Q43" i="1"/>
  <c r="R43" i="1"/>
  <c r="P44" i="1"/>
  <c r="Q44" i="1"/>
  <c r="R44" i="1"/>
  <c r="P45" i="1"/>
  <c r="Q45" i="1"/>
  <c r="R45" i="1"/>
  <c r="P46" i="1"/>
  <c r="Q46" i="1"/>
  <c r="R46" i="1"/>
  <c r="P47" i="1"/>
  <c r="R47" i="1" s="1"/>
  <c r="Q47" i="1"/>
  <c r="P48" i="1"/>
  <c r="Q48" i="1"/>
  <c r="R48" i="1"/>
  <c r="P49" i="1"/>
  <c r="Q49" i="1"/>
  <c r="R49" i="1"/>
  <c r="P50" i="1"/>
  <c r="Q50" i="1"/>
  <c r="R50" i="1"/>
  <c r="P51" i="1"/>
  <c r="Q51" i="1"/>
  <c r="R51" i="1"/>
  <c r="P52" i="1"/>
  <c r="Q52" i="1"/>
  <c r="R52" i="1"/>
  <c r="P53" i="1"/>
  <c r="Q53" i="1"/>
  <c r="R53" i="1"/>
  <c r="P54" i="1"/>
  <c r="Q54" i="1"/>
  <c r="R54" i="1"/>
  <c r="P55" i="1"/>
  <c r="Q55" i="1"/>
  <c r="R55" i="1"/>
  <c r="P56" i="1"/>
  <c r="Q56" i="1"/>
  <c r="R56" i="1" s="1"/>
  <c r="P57" i="1"/>
  <c r="Q57" i="1"/>
  <c r="R57" i="1"/>
  <c r="P58" i="1"/>
  <c r="Q58" i="1"/>
  <c r="R58" i="1"/>
  <c r="P59" i="1"/>
  <c r="Q59" i="1"/>
  <c r="R59" i="1"/>
  <c r="P60" i="1"/>
  <c r="Q60" i="1"/>
  <c r="R60" i="1"/>
  <c r="P61" i="1"/>
  <c r="R61" i="1" s="1"/>
  <c r="Q61" i="1"/>
  <c r="P62" i="1"/>
  <c r="Q62" i="1"/>
  <c r="R62" i="1"/>
  <c r="P63" i="1"/>
  <c r="Q63" i="1"/>
  <c r="R63" i="1"/>
  <c r="P64" i="1"/>
  <c r="Q64" i="1"/>
  <c r="R64" i="1"/>
  <c r="P65" i="1"/>
  <c r="Q65" i="1"/>
  <c r="R65" i="1"/>
  <c r="P66" i="1"/>
  <c r="Q66" i="1"/>
  <c r="R66" i="1"/>
  <c r="P67" i="1"/>
  <c r="Q67" i="1"/>
  <c r="R67" i="1"/>
  <c r="P68" i="1"/>
  <c r="Q68" i="1"/>
  <c r="R68" i="1"/>
  <c r="P69" i="1"/>
  <c r="Q69" i="1"/>
  <c r="R69" i="1"/>
  <c r="P70" i="1"/>
  <c r="Q70" i="1"/>
  <c r="R70" i="1" s="1"/>
  <c r="P71" i="1"/>
  <c r="Q71" i="1"/>
  <c r="R71" i="1"/>
  <c r="P72" i="1"/>
  <c r="Q72" i="1"/>
  <c r="R72" i="1"/>
  <c r="P73" i="1"/>
  <c r="Q73" i="1"/>
  <c r="R73" i="1"/>
  <c r="P74" i="1"/>
  <c r="Q74" i="1"/>
  <c r="R74" i="1"/>
  <c r="P75" i="1"/>
  <c r="R75" i="1" s="1"/>
  <c r="Q75" i="1"/>
  <c r="P76" i="1"/>
  <c r="Q76" i="1"/>
  <c r="R76" i="1"/>
  <c r="P77" i="1"/>
  <c r="Q77" i="1"/>
  <c r="R77" i="1"/>
  <c r="P78" i="1"/>
  <c r="Q78" i="1"/>
  <c r="R78" i="1"/>
  <c r="P79" i="1"/>
  <c r="Q79" i="1"/>
  <c r="R79" i="1"/>
  <c r="P80" i="1"/>
  <c r="Q80" i="1"/>
  <c r="R80" i="1"/>
  <c r="P81" i="1"/>
  <c r="Q81" i="1"/>
  <c r="R81" i="1"/>
  <c r="P82" i="1"/>
  <c r="Q82" i="1"/>
  <c r="R82" i="1"/>
  <c r="P83" i="1"/>
  <c r="Q83" i="1"/>
  <c r="R83" i="1"/>
  <c r="P84" i="1"/>
  <c r="Q84" i="1"/>
  <c r="R84" i="1" s="1"/>
  <c r="P85" i="1"/>
  <c r="Q85" i="1"/>
  <c r="R85" i="1"/>
  <c r="P86" i="1"/>
  <c r="Q86" i="1"/>
  <c r="R86" i="1"/>
  <c r="P87" i="1"/>
  <c r="Q87" i="1"/>
  <c r="R87" i="1"/>
  <c r="P88" i="1"/>
  <c r="Q88" i="1"/>
  <c r="R88" i="1"/>
  <c r="P89" i="1"/>
  <c r="R89" i="1" s="1"/>
  <c r="Q89" i="1"/>
  <c r="P90" i="1"/>
  <c r="Q90" i="1"/>
  <c r="R90" i="1"/>
  <c r="P91" i="1"/>
  <c r="Q91" i="1"/>
  <c r="R91" i="1"/>
  <c r="P92" i="1"/>
  <c r="Q92" i="1"/>
  <c r="R92" i="1"/>
  <c r="P93" i="1"/>
  <c r="Q93" i="1"/>
  <c r="R93" i="1"/>
  <c r="P94" i="1"/>
  <c r="Q94" i="1"/>
  <c r="R94" i="1"/>
  <c r="P95" i="1"/>
  <c r="Q95" i="1"/>
  <c r="R95" i="1"/>
  <c r="P96" i="1"/>
  <c r="Q96" i="1"/>
  <c r="R96" i="1"/>
  <c r="P97" i="1"/>
  <c r="Q97" i="1"/>
  <c r="R97" i="1"/>
  <c r="P98" i="1"/>
  <c r="Q98" i="1"/>
  <c r="R98" i="1" s="1"/>
  <c r="P99" i="1"/>
  <c r="Q99" i="1"/>
  <c r="R99" i="1"/>
  <c r="P100" i="1"/>
  <c r="Q100" i="1"/>
  <c r="R100" i="1"/>
  <c r="P101" i="1"/>
  <c r="Q101" i="1"/>
  <c r="R101" i="1"/>
  <c r="P102" i="1"/>
  <c r="Q102" i="1"/>
  <c r="R102" i="1"/>
  <c r="P103" i="1"/>
  <c r="R103" i="1" s="1"/>
  <c r="Q103" i="1"/>
  <c r="P104" i="1"/>
  <c r="Q104" i="1"/>
  <c r="R104" i="1"/>
  <c r="P105" i="1"/>
  <c r="Q105" i="1"/>
  <c r="R105" i="1"/>
  <c r="P106" i="1"/>
  <c r="Q106" i="1"/>
  <c r="R106" i="1"/>
  <c r="P107" i="1"/>
  <c r="Q107" i="1"/>
  <c r="R107" i="1"/>
  <c r="P108" i="1"/>
  <c r="Q108" i="1"/>
  <c r="R108" i="1"/>
  <c r="P109" i="1"/>
  <c r="Q109" i="1"/>
  <c r="R109" i="1"/>
  <c r="P110" i="1"/>
  <c r="Q110" i="1"/>
  <c r="R110" i="1"/>
  <c r="P111" i="1"/>
  <c r="Q111" i="1"/>
  <c r="R111" i="1"/>
  <c r="P112" i="1"/>
  <c r="Q112" i="1"/>
  <c r="R112" i="1" s="1"/>
  <c r="P113" i="1"/>
  <c r="Q113" i="1"/>
  <c r="R113" i="1"/>
  <c r="P114" i="1"/>
  <c r="Q114" i="1"/>
  <c r="R114" i="1"/>
  <c r="P115" i="1"/>
  <c r="Q115" i="1"/>
  <c r="R115" i="1"/>
  <c r="P116" i="1"/>
  <c r="Q116" i="1"/>
  <c r="R116" i="1"/>
  <c r="P117" i="1"/>
  <c r="R117" i="1" s="1"/>
  <c r="Q117" i="1"/>
  <c r="P118" i="1"/>
  <c r="Q118" i="1"/>
  <c r="R118" i="1"/>
  <c r="P119" i="1"/>
  <c r="Q119" i="1"/>
  <c r="R119" i="1"/>
  <c r="P120" i="1"/>
  <c r="Q120" i="1"/>
  <c r="R120" i="1"/>
  <c r="P121" i="1"/>
  <c r="Q121" i="1"/>
  <c r="R121" i="1"/>
  <c r="P122" i="1"/>
  <c r="Q122" i="1"/>
  <c r="R122" i="1"/>
  <c r="P123" i="1"/>
  <c r="Q123" i="1"/>
  <c r="R123" i="1"/>
  <c r="P124" i="1"/>
  <c r="Q124" i="1"/>
  <c r="R124" i="1"/>
  <c r="P125" i="1"/>
  <c r="Q125" i="1"/>
  <c r="R125" i="1"/>
  <c r="P126" i="1"/>
  <c r="Q126" i="1"/>
  <c r="R126" i="1" s="1"/>
  <c r="P127" i="1"/>
  <c r="Q127" i="1"/>
  <c r="R127" i="1"/>
  <c r="P128" i="1"/>
  <c r="Q128" i="1"/>
  <c r="R128" i="1"/>
  <c r="P129" i="1"/>
  <c r="Q129" i="1"/>
  <c r="R129" i="1"/>
  <c r="P130" i="1"/>
  <c r="Q130" i="1"/>
  <c r="R130" i="1"/>
  <c r="P131" i="1"/>
  <c r="R131" i="1" s="1"/>
  <c r="Q131" i="1"/>
  <c r="P132" i="1"/>
  <c r="Q132" i="1"/>
  <c r="R132" i="1"/>
  <c r="P133" i="1"/>
  <c r="Q133" i="1"/>
  <c r="R133" i="1"/>
  <c r="P134" i="1"/>
  <c r="Q134" i="1"/>
  <c r="R134" i="1"/>
  <c r="P135" i="1"/>
  <c r="Q135" i="1"/>
  <c r="R135" i="1"/>
  <c r="P136" i="1"/>
  <c r="Q136" i="1"/>
  <c r="R136" i="1"/>
  <c r="P137" i="1"/>
  <c r="Q137" i="1"/>
  <c r="R137" i="1"/>
  <c r="P138" i="1"/>
  <c r="Q138" i="1"/>
  <c r="R138" i="1"/>
  <c r="P139" i="1"/>
  <c r="Q139" i="1"/>
  <c r="R139" i="1"/>
  <c r="P140" i="1"/>
  <c r="Q140" i="1"/>
  <c r="R140" i="1" s="1"/>
  <c r="P141" i="1"/>
  <c r="Q141" i="1"/>
  <c r="R141" i="1"/>
  <c r="P142" i="1"/>
  <c r="Q142" i="1"/>
  <c r="R142" i="1"/>
  <c r="P143" i="1"/>
  <c r="Q143" i="1"/>
  <c r="R143" i="1"/>
  <c r="P144" i="1"/>
  <c r="Q144" i="1"/>
  <c r="R144" i="1"/>
  <c r="P145" i="1"/>
  <c r="R145" i="1" s="1"/>
  <c r="Q145" i="1"/>
  <c r="P146" i="1"/>
  <c r="Q146" i="1"/>
  <c r="R146" i="1"/>
  <c r="P147" i="1"/>
  <c r="Q147" i="1"/>
  <c r="R147" i="1"/>
  <c r="P148" i="1"/>
  <c r="Q148" i="1"/>
  <c r="R148" i="1"/>
  <c r="P149" i="1"/>
  <c r="Q149" i="1"/>
  <c r="R149" i="1"/>
  <c r="P150" i="1"/>
  <c r="Q150" i="1"/>
  <c r="R150" i="1"/>
  <c r="P151" i="1"/>
  <c r="Q151" i="1"/>
  <c r="R151" i="1"/>
  <c r="P152" i="1"/>
  <c r="Q152" i="1"/>
  <c r="R152" i="1"/>
  <c r="P153" i="1"/>
  <c r="Q153" i="1"/>
  <c r="R153" i="1"/>
  <c r="P154" i="1"/>
  <c r="Q154" i="1"/>
  <c r="R154" i="1" s="1"/>
  <c r="P155" i="1"/>
  <c r="Q155" i="1"/>
  <c r="R155" i="1"/>
  <c r="P156" i="1"/>
  <c r="Q156" i="1"/>
  <c r="R156" i="1"/>
  <c r="Q41" i="1"/>
  <c r="R41" i="1" s="1"/>
  <c r="P41" i="1"/>
  <c r="AT156" i="1" l="1"/>
  <c r="AS156" i="1"/>
  <c r="AI156" i="1"/>
  <c r="AH156" i="1"/>
  <c r="AD156" i="1"/>
  <c r="AC156" i="1"/>
  <c r="AT155" i="1"/>
  <c r="AS155" i="1"/>
  <c r="AV156" i="1" s="1"/>
  <c r="AI155" i="1"/>
  <c r="AH155" i="1"/>
  <c r="AD155" i="1"/>
  <c r="AC155" i="1"/>
  <c r="AT154" i="1"/>
  <c r="AS154" i="1"/>
  <c r="AI154" i="1"/>
  <c r="AH154" i="1"/>
  <c r="AD154" i="1"/>
  <c r="AC154" i="1"/>
  <c r="AT153" i="1"/>
  <c r="AS153" i="1"/>
  <c r="AV154" i="1" s="1"/>
  <c r="AI153" i="1"/>
  <c r="AH153" i="1"/>
  <c r="AD153" i="1"/>
  <c r="AC153" i="1"/>
  <c r="AT152" i="1"/>
  <c r="AS152" i="1"/>
  <c r="AV153" i="1" s="1"/>
  <c r="AW153" i="1" s="1"/>
  <c r="AI152" i="1"/>
  <c r="AH152" i="1"/>
  <c r="AD152" i="1"/>
  <c r="AC152" i="1"/>
  <c r="AT151" i="1"/>
  <c r="AS151" i="1"/>
  <c r="AI151" i="1"/>
  <c r="AH151" i="1"/>
  <c r="AD151" i="1"/>
  <c r="AC151" i="1"/>
  <c r="AT150" i="1"/>
  <c r="AS150" i="1"/>
  <c r="AV151" i="1" s="1"/>
  <c r="AW151" i="1" s="1"/>
  <c r="AI150" i="1"/>
  <c r="AH150" i="1"/>
  <c r="AD150" i="1"/>
  <c r="AC150" i="1"/>
  <c r="AT149" i="1"/>
  <c r="AS149" i="1"/>
  <c r="AI149" i="1"/>
  <c r="AH149" i="1"/>
  <c r="AK150" i="1" s="1"/>
  <c r="AD149" i="1"/>
  <c r="AC149" i="1"/>
  <c r="AT148" i="1"/>
  <c r="AS148" i="1"/>
  <c r="AV149" i="1" s="1"/>
  <c r="AJ148" i="1"/>
  <c r="AI148" i="1"/>
  <c r="AH148" i="1"/>
  <c r="AK149" i="1" s="1"/>
  <c r="AJ149" i="1" s="1"/>
  <c r="AD148" i="1"/>
  <c r="AC148" i="1"/>
  <c r="AT147" i="1"/>
  <c r="AS147" i="1"/>
  <c r="AV148" i="1" s="1"/>
  <c r="AX148" i="1" s="1"/>
  <c r="AI147" i="1"/>
  <c r="AH147" i="1"/>
  <c r="AK148" i="1" s="1"/>
  <c r="AM148" i="1" s="1"/>
  <c r="AD147" i="1"/>
  <c r="AC147" i="1"/>
  <c r="AT146" i="1"/>
  <c r="AS146" i="1"/>
  <c r="AI146" i="1"/>
  <c r="AH146" i="1"/>
  <c r="AD146" i="1"/>
  <c r="AC146" i="1"/>
  <c r="AT145" i="1"/>
  <c r="AS145" i="1"/>
  <c r="AI145" i="1"/>
  <c r="AH145" i="1"/>
  <c r="AD145" i="1"/>
  <c r="AC145" i="1"/>
  <c r="AT144" i="1"/>
  <c r="AS144" i="1"/>
  <c r="AI144" i="1"/>
  <c r="AH144" i="1"/>
  <c r="AD144" i="1"/>
  <c r="AC144" i="1"/>
  <c r="AT143" i="1"/>
  <c r="AS143" i="1"/>
  <c r="AV144" i="1" s="1"/>
  <c r="AI143" i="1"/>
  <c r="AH143" i="1"/>
  <c r="AD143" i="1"/>
  <c r="AC143" i="1"/>
  <c r="AT142" i="1"/>
  <c r="AS142" i="1"/>
  <c r="AV143" i="1" s="1"/>
  <c r="AW143" i="1" s="1"/>
  <c r="AI142" i="1"/>
  <c r="AH142" i="1"/>
  <c r="AD142" i="1"/>
  <c r="AC142" i="1"/>
  <c r="AT141" i="1"/>
  <c r="AS141" i="1"/>
  <c r="AJ141" i="1"/>
  <c r="AI141" i="1"/>
  <c r="AH141" i="1"/>
  <c r="AD141" i="1"/>
  <c r="AC141" i="1"/>
  <c r="AT140" i="1"/>
  <c r="AS140" i="1"/>
  <c r="AI140" i="1"/>
  <c r="AH140" i="1"/>
  <c r="AK141" i="1" s="1"/>
  <c r="AM141" i="1" s="1"/>
  <c r="AD140" i="1"/>
  <c r="AC140" i="1"/>
  <c r="AT139" i="1"/>
  <c r="AS139" i="1"/>
  <c r="AV140" i="1" s="1"/>
  <c r="AI139" i="1"/>
  <c r="AH139" i="1"/>
  <c r="AD139" i="1"/>
  <c r="AC139" i="1"/>
  <c r="AT138" i="1"/>
  <c r="AS138" i="1"/>
  <c r="AV139" i="1" s="1"/>
  <c r="AW139" i="1" s="1"/>
  <c r="AI138" i="1"/>
  <c r="AH138" i="1"/>
  <c r="AD138" i="1"/>
  <c r="AC138" i="1"/>
  <c r="AT137" i="1"/>
  <c r="AS137" i="1"/>
  <c r="AI137" i="1"/>
  <c r="AH137" i="1"/>
  <c r="AD137" i="1"/>
  <c r="AC137" i="1"/>
  <c r="AT136" i="1"/>
  <c r="AS136" i="1"/>
  <c r="AV137" i="1" s="1"/>
  <c r="AU138" i="1" s="1"/>
  <c r="AI136" i="1"/>
  <c r="AH136" i="1"/>
  <c r="AD136" i="1"/>
  <c r="AC136" i="1"/>
  <c r="AT135" i="1"/>
  <c r="AS135" i="1"/>
  <c r="AV136" i="1" s="1"/>
  <c r="AI135" i="1"/>
  <c r="AH135" i="1"/>
  <c r="AD135" i="1"/>
  <c r="AC135" i="1"/>
  <c r="AT134" i="1"/>
  <c r="AS134" i="1"/>
  <c r="AI134" i="1"/>
  <c r="AH134" i="1"/>
  <c r="AD134" i="1"/>
  <c r="AC134" i="1"/>
  <c r="AT133" i="1"/>
  <c r="AS133" i="1"/>
  <c r="AI133" i="1"/>
  <c r="AH133" i="1"/>
  <c r="AD133" i="1"/>
  <c r="AC133" i="1"/>
  <c r="AT132" i="1"/>
  <c r="AS132" i="1"/>
  <c r="AI132" i="1"/>
  <c r="AH132" i="1"/>
  <c r="AD132" i="1"/>
  <c r="AC132" i="1"/>
  <c r="AV131" i="1"/>
  <c r="AW131" i="1" s="1"/>
  <c r="AT131" i="1"/>
  <c r="AS131" i="1"/>
  <c r="AI131" i="1"/>
  <c r="AH131" i="1"/>
  <c r="AD131" i="1"/>
  <c r="AC131" i="1"/>
  <c r="AT130" i="1"/>
  <c r="AS130" i="1"/>
  <c r="AI130" i="1"/>
  <c r="AH130" i="1"/>
  <c r="AD130" i="1"/>
  <c r="AC130" i="1"/>
  <c r="AT129" i="1"/>
  <c r="AS129" i="1"/>
  <c r="AI129" i="1"/>
  <c r="AH129" i="1"/>
  <c r="AD129" i="1"/>
  <c r="AC129" i="1"/>
  <c r="AT128" i="1"/>
  <c r="AS128" i="1"/>
  <c r="AI128" i="1"/>
  <c r="AH128" i="1"/>
  <c r="AK129" i="1" s="1"/>
  <c r="AJ129" i="1" s="1"/>
  <c r="AD128" i="1"/>
  <c r="AC128" i="1"/>
  <c r="AV127" i="1"/>
  <c r="AX127" i="1" s="1"/>
  <c r="AT127" i="1"/>
  <c r="AS127" i="1"/>
  <c r="AV128" i="1" s="1"/>
  <c r="AI127" i="1"/>
  <c r="AH127" i="1"/>
  <c r="AD127" i="1"/>
  <c r="AC127" i="1"/>
  <c r="AT126" i="1"/>
  <c r="AS126" i="1"/>
  <c r="AI126" i="1"/>
  <c r="AH126" i="1"/>
  <c r="AD126" i="1"/>
  <c r="AC126" i="1"/>
  <c r="AT125" i="1"/>
  <c r="AS125" i="1"/>
  <c r="AV126" i="1" s="1"/>
  <c r="AI125" i="1"/>
  <c r="AH125" i="1"/>
  <c r="AD125" i="1"/>
  <c r="AC125" i="1"/>
  <c r="AT124" i="1"/>
  <c r="AS124" i="1"/>
  <c r="AI124" i="1"/>
  <c r="AH124" i="1"/>
  <c r="AD124" i="1"/>
  <c r="AC124" i="1"/>
  <c r="AT123" i="1"/>
  <c r="AS123" i="1"/>
  <c r="AV124" i="1" s="1"/>
  <c r="AI123" i="1"/>
  <c r="AH123" i="1"/>
  <c r="AD123" i="1"/>
  <c r="AC123" i="1"/>
  <c r="AT122" i="1"/>
  <c r="AS122" i="1"/>
  <c r="AI122" i="1"/>
  <c r="AH122" i="1"/>
  <c r="AD122" i="1"/>
  <c r="AC122" i="1"/>
  <c r="AT121" i="1"/>
  <c r="AS121" i="1"/>
  <c r="AI121" i="1"/>
  <c r="AH121" i="1"/>
  <c r="AD121" i="1"/>
  <c r="AC121" i="1"/>
  <c r="AT120" i="1"/>
  <c r="AS120" i="1"/>
  <c r="AV121" i="1" s="1"/>
  <c r="AI120" i="1"/>
  <c r="AH120" i="1"/>
  <c r="AD120" i="1"/>
  <c r="AC120" i="1"/>
  <c r="AT119" i="1"/>
  <c r="AS119" i="1"/>
  <c r="AV120" i="1" s="1"/>
  <c r="AI119" i="1"/>
  <c r="AH119" i="1"/>
  <c r="AD119" i="1"/>
  <c r="AC119" i="1"/>
  <c r="AT118" i="1"/>
  <c r="AS118" i="1"/>
  <c r="AI118" i="1"/>
  <c r="AH118" i="1"/>
  <c r="AD118" i="1"/>
  <c r="AC118" i="1"/>
  <c r="AT117" i="1"/>
  <c r="AS117" i="1"/>
  <c r="AI117" i="1"/>
  <c r="AH117" i="1"/>
  <c r="AK118" i="1" s="1"/>
  <c r="AD117" i="1"/>
  <c r="AC117" i="1"/>
  <c r="AT116" i="1"/>
  <c r="AS116" i="1"/>
  <c r="AI116" i="1"/>
  <c r="AH116" i="1"/>
  <c r="AD116" i="1"/>
  <c r="AC116" i="1"/>
  <c r="AT115" i="1"/>
  <c r="AS115" i="1"/>
  <c r="AI115" i="1"/>
  <c r="AH115" i="1"/>
  <c r="AD115" i="1"/>
  <c r="AC115" i="1"/>
  <c r="AT114" i="1"/>
  <c r="AS114" i="1"/>
  <c r="AI114" i="1"/>
  <c r="AH114" i="1"/>
  <c r="AD114" i="1"/>
  <c r="AC114" i="1"/>
  <c r="AT113" i="1"/>
  <c r="AS113" i="1"/>
  <c r="AV114" i="1" s="1"/>
  <c r="AW114" i="1" s="1"/>
  <c r="AI113" i="1"/>
  <c r="AH113" i="1"/>
  <c r="AD113" i="1"/>
  <c r="AC113" i="1"/>
  <c r="AT112" i="1"/>
  <c r="AS112" i="1"/>
  <c r="AI112" i="1"/>
  <c r="AH112" i="1"/>
  <c r="AD112" i="1"/>
  <c r="AC112" i="1"/>
  <c r="AT111" i="1"/>
  <c r="AS111" i="1"/>
  <c r="AI111" i="1"/>
  <c r="AH111" i="1"/>
  <c r="AK112" i="1" s="1"/>
  <c r="AL112" i="1" s="1"/>
  <c r="AD111" i="1"/>
  <c r="AC111" i="1"/>
  <c r="AT110" i="1"/>
  <c r="AS110" i="1"/>
  <c r="AI110" i="1"/>
  <c r="AH110" i="1"/>
  <c r="AD110" i="1"/>
  <c r="AC110" i="1"/>
  <c r="AT109" i="1"/>
  <c r="AS109" i="1"/>
  <c r="AI109" i="1"/>
  <c r="AH109" i="1"/>
  <c r="AD109" i="1"/>
  <c r="AC109" i="1"/>
  <c r="AT108" i="1"/>
  <c r="AS108" i="1"/>
  <c r="AI108" i="1"/>
  <c r="AH108" i="1"/>
  <c r="AK109" i="1" s="1"/>
  <c r="AD108" i="1"/>
  <c r="AC108" i="1"/>
  <c r="AT107" i="1"/>
  <c r="AS107" i="1"/>
  <c r="AI107" i="1"/>
  <c r="AH107" i="1"/>
  <c r="AK108" i="1" s="1"/>
  <c r="AD107" i="1"/>
  <c r="AC107" i="1"/>
  <c r="AT106" i="1"/>
  <c r="AS106" i="1"/>
  <c r="AI106" i="1"/>
  <c r="AH106" i="1"/>
  <c r="AK107" i="1" s="1"/>
  <c r="AD106" i="1"/>
  <c r="AC106" i="1"/>
  <c r="AT105" i="1"/>
  <c r="AS105" i="1"/>
  <c r="AI105" i="1"/>
  <c r="AH105" i="1"/>
  <c r="AD105" i="1"/>
  <c r="AC105" i="1"/>
  <c r="AT104" i="1"/>
  <c r="AS104" i="1"/>
  <c r="AV105" i="1" s="1"/>
  <c r="AU106" i="1" s="1"/>
  <c r="AI104" i="1"/>
  <c r="AH104" i="1"/>
  <c r="AD104" i="1"/>
  <c r="AC104" i="1"/>
  <c r="AT103" i="1"/>
  <c r="AS103" i="1"/>
  <c r="AI103" i="1"/>
  <c r="AH103" i="1"/>
  <c r="AD103" i="1"/>
  <c r="AC103" i="1"/>
  <c r="AW102" i="1"/>
  <c r="AY102" i="1" s="1"/>
  <c r="AT102" i="1"/>
  <c r="AS102" i="1"/>
  <c r="AV103" i="1" s="1"/>
  <c r="AI102" i="1"/>
  <c r="AH102" i="1"/>
  <c r="AD102" i="1"/>
  <c r="AC102" i="1"/>
  <c r="AT101" i="1"/>
  <c r="AS101" i="1"/>
  <c r="AV102" i="1" s="1"/>
  <c r="AX102" i="1" s="1"/>
  <c r="AI101" i="1"/>
  <c r="AH101" i="1"/>
  <c r="AD101" i="1"/>
  <c r="AC101" i="1"/>
  <c r="AV100" i="1"/>
  <c r="AX100" i="1" s="1"/>
  <c r="AT100" i="1"/>
  <c r="AS100" i="1"/>
  <c r="AV101" i="1" s="1"/>
  <c r="AX101" i="1" s="1"/>
  <c r="AI100" i="1"/>
  <c r="AH100" i="1"/>
  <c r="AD100" i="1"/>
  <c r="AC100" i="1"/>
  <c r="AT99" i="1"/>
  <c r="AS99" i="1"/>
  <c r="AI99" i="1"/>
  <c r="AH99" i="1"/>
  <c r="AD99" i="1"/>
  <c r="AC99" i="1"/>
  <c r="AT98" i="1"/>
  <c r="AS98" i="1"/>
  <c r="AK98" i="1"/>
  <c r="AI98" i="1"/>
  <c r="AH98" i="1"/>
  <c r="AK99" i="1" s="1"/>
  <c r="AD98" i="1"/>
  <c r="AC98" i="1"/>
  <c r="AT97" i="1"/>
  <c r="AS97" i="1"/>
  <c r="AI97" i="1"/>
  <c r="AH97" i="1"/>
  <c r="AD97" i="1"/>
  <c r="AC97" i="1"/>
  <c r="AT96" i="1"/>
  <c r="AS96" i="1"/>
  <c r="AI96" i="1"/>
  <c r="AH96" i="1"/>
  <c r="AK97" i="1" s="1"/>
  <c r="AM97" i="1" s="1"/>
  <c r="AD96" i="1"/>
  <c r="AC96" i="1"/>
  <c r="AT95" i="1"/>
  <c r="AS95" i="1"/>
  <c r="AI95" i="1"/>
  <c r="AH95" i="1"/>
  <c r="AK96" i="1" s="1"/>
  <c r="AM96" i="1" s="1"/>
  <c r="AD95" i="1"/>
  <c r="AC95" i="1"/>
  <c r="AT94" i="1"/>
  <c r="AS94" i="1"/>
  <c r="AV95" i="1" s="1"/>
  <c r="AI94" i="1"/>
  <c r="AH94" i="1"/>
  <c r="AK95" i="1" s="1"/>
  <c r="AM95" i="1" s="1"/>
  <c r="AD94" i="1"/>
  <c r="AC94" i="1"/>
  <c r="AT93" i="1"/>
  <c r="AS93" i="1"/>
  <c r="AI93" i="1"/>
  <c r="AH93" i="1"/>
  <c r="AD93" i="1"/>
  <c r="AC93" i="1"/>
  <c r="AT92" i="1"/>
  <c r="AS92" i="1"/>
  <c r="AI92" i="1"/>
  <c r="AH92" i="1"/>
  <c r="AK93" i="1" s="1"/>
  <c r="AJ93" i="1" s="1"/>
  <c r="AK94" i="1" s="1"/>
  <c r="AJ94" i="1" s="1"/>
  <c r="AD92" i="1"/>
  <c r="AC92" i="1"/>
  <c r="AT91" i="1"/>
  <c r="AS91" i="1"/>
  <c r="AI91" i="1"/>
  <c r="AH91" i="1"/>
  <c r="AD91" i="1"/>
  <c r="AC91" i="1"/>
  <c r="AT90" i="1"/>
  <c r="AS90" i="1"/>
  <c r="AI90" i="1"/>
  <c r="AH90" i="1"/>
  <c r="AK91" i="1" s="1"/>
  <c r="AM91" i="1" s="1"/>
  <c r="AD90" i="1"/>
  <c r="AC90" i="1"/>
  <c r="AT89" i="1"/>
  <c r="AS89" i="1"/>
  <c r="AI89" i="1"/>
  <c r="AH89" i="1"/>
  <c r="AK90" i="1" s="1"/>
  <c r="AJ90" i="1" s="1"/>
  <c r="AD89" i="1"/>
  <c r="AC89" i="1"/>
  <c r="AT88" i="1"/>
  <c r="AS88" i="1"/>
  <c r="AI88" i="1"/>
  <c r="AH88" i="1"/>
  <c r="AD88" i="1"/>
  <c r="AC88" i="1"/>
  <c r="AT87" i="1"/>
  <c r="AS87" i="1"/>
  <c r="AI87" i="1"/>
  <c r="AH87" i="1"/>
  <c r="AD87" i="1"/>
  <c r="AC87" i="1"/>
  <c r="AT86" i="1"/>
  <c r="AS86" i="1"/>
  <c r="AI86" i="1"/>
  <c r="AH86" i="1"/>
  <c r="AD86" i="1"/>
  <c r="AC86" i="1"/>
  <c r="AT85" i="1"/>
  <c r="AS85" i="1"/>
  <c r="AI85" i="1"/>
  <c r="AH85" i="1"/>
  <c r="AK86" i="1" s="1"/>
  <c r="AD85" i="1"/>
  <c r="AC85" i="1"/>
  <c r="AX84" i="1"/>
  <c r="AW84" i="1"/>
  <c r="AY84" i="1" s="1"/>
  <c r="AT84" i="1"/>
  <c r="AS84" i="1"/>
  <c r="AI84" i="1"/>
  <c r="AH84" i="1"/>
  <c r="AD84" i="1"/>
  <c r="AC84" i="1"/>
  <c r="AT83" i="1"/>
  <c r="AS83" i="1"/>
  <c r="AV84" i="1" s="1"/>
  <c r="AU85" i="1" s="1"/>
  <c r="AV86" i="1" s="1"/>
  <c r="AI83" i="1"/>
  <c r="AH83" i="1"/>
  <c r="AD83" i="1"/>
  <c r="AC83" i="1"/>
  <c r="AV82" i="1"/>
  <c r="AW82" i="1" s="1"/>
  <c r="AT82" i="1"/>
  <c r="AS82" i="1"/>
  <c r="AI82" i="1"/>
  <c r="AH82" i="1"/>
  <c r="AD82" i="1"/>
  <c r="AC82" i="1"/>
  <c r="AT81" i="1"/>
  <c r="AS81" i="1"/>
  <c r="AI81" i="1"/>
  <c r="AH81" i="1"/>
  <c r="AD81" i="1"/>
  <c r="AC81" i="1"/>
  <c r="AT80" i="1"/>
  <c r="AS80" i="1"/>
  <c r="AV81" i="1" s="1"/>
  <c r="AI80" i="1"/>
  <c r="AH80" i="1"/>
  <c r="AD80" i="1"/>
  <c r="AC80" i="1"/>
  <c r="AT79" i="1"/>
  <c r="AS79" i="1"/>
  <c r="AI79" i="1"/>
  <c r="AH79" i="1"/>
  <c r="AK80" i="1" s="1"/>
  <c r="AD79" i="1"/>
  <c r="AC79" i="1"/>
  <c r="AT78" i="1"/>
  <c r="AS78" i="1"/>
  <c r="AV79" i="1" s="1"/>
  <c r="AI78" i="1"/>
  <c r="AH78" i="1"/>
  <c r="AD78" i="1"/>
  <c r="AC78" i="1"/>
  <c r="AT77" i="1"/>
  <c r="AS77" i="1"/>
  <c r="AI77" i="1"/>
  <c r="AH77" i="1"/>
  <c r="AD77" i="1"/>
  <c r="AC77" i="1"/>
  <c r="AT76" i="1"/>
  <c r="AS76" i="1"/>
  <c r="AI76" i="1"/>
  <c r="AH76" i="1"/>
  <c r="AD76" i="1"/>
  <c r="AC76" i="1"/>
  <c r="AT75" i="1"/>
  <c r="AS75" i="1"/>
  <c r="AI75" i="1"/>
  <c r="AH75" i="1"/>
  <c r="AD75" i="1"/>
  <c r="AC75" i="1"/>
  <c r="AT74" i="1"/>
  <c r="AS74" i="1"/>
  <c r="AV75" i="1" s="1"/>
  <c r="AW75" i="1" s="1"/>
  <c r="AI74" i="1"/>
  <c r="AH74" i="1"/>
  <c r="AD74" i="1"/>
  <c r="AC74" i="1"/>
  <c r="AT73" i="1"/>
  <c r="AS73" i="1"/>
  <c r="AI73" i="1"/>
  <c r="AH73" i="1"/>
  <c r="AD73" i="1"/>
  <c r="AC73" i="1"/>
  <c r="AT72" i="1"/>
  <c r="AS72" i="1"/>
  <c r="AI72" i="1"/>
  <c r="AH72" i="1"/>
  <c r="AD72" i="1"/>
  <c r="AC72" i="1"/>
  <c r="AT71" i="1"/>
  <c r="AS71" i="1"/>
  <c r="AV72" i="1" s="1"/>
  <c r="AI71" i="1"/>
  <c r="AH71" i="1"/>
  <c r="AD71" i="1"/>
  <c r="AC71" i="1"/>
  <c r="AT70" i="1"/>
  <c r="AS70" i="1"/>
  <c r="AI70" i="1"/>
  <c r="AH70" i="1"/>
  <c r="AD70" i="1"/>
  <c r="AC70" i="1"/>
  <c r="AT69" i="1"/>
  <c r="AS69" i="1"/>
  <c r="AI69" i="1"/>
  <c r="AH69" i="1"/>
  <c r="AD69" i="1"/>
  <c r="AC69" i="1"/>
  <c r="AT68" i="1"/>
  <c r="AS68" i="1"/>
  <c r="AI68" i="1"/>
  <c r="AH68" i="1"/>
  <c r="AD68" i="1"/>
  <c r="AC68" i="1"/>
  <c r="AT67" i="1"/>
  <c r="AS67" i="1"/>
  <c r="AI67" i="1"/>
  <c r="AH67" i="1"/>
  <c r="AD67" i="1"/>
  <c r="AC67" i="1"/>
  <c r="AT66" i="1"/>
  <c r="AS66" i="1"/>
  <c r="AI66" i="1"/>
  <c r="AH66" i="1"/>
  <c r="AD66" i="1"/>
  <c r="AC66" i="1"/>
  <c r="AT65" i="1"/>
  <c r="AS65" i="1"/>
  <c r="AI65" i="1"/>
  <c r="AH65" i="1"/>
  <c r="AD65" i="1"/>
  <c r="AC65" i="1"/>
  <c r="AT64" i="1"/>
  <c r="AS64" i="1"/>
  <c r="AI64" i="1"/>
  <c r="AH64" i="1"/>
  <c r="AD64" i="1"/>
  <c r="AC64" i="1"/>
  <c r="AT63" i="1"/>
  <c r="AS63" i="1"/>
  <c r="AI63" i="1"/>
  <c r="AH63" i="1"/>
  <c r="AD63" i="1"/>
  <c r="AC63" i="1"/>
  <c r="AT62" i="1"/>
  <c r="AS62" i="1"/>
  <c r="AI62" i="1"/>
  <c r="AH62" i="1"/>
  <c r="AD62" i="1"/>
  <c r="AC62" i="1"/>
  <c r="AV61" i="1"/>
  <c r="AU62" i="1" s="1"/>
  <c r="AT61" i="1"/>
  <c r="AS61" i="1"/>
  <c r="AU63" i="1" s="1"/>
  <c r="AI61" i="1"/>
  <c r="AH61" i="1"/>
  <c r="AD61" i="1"/>
  <c r="AC61" i="1"/>
  <c r="AT60" i="1"/>
  <c r="AS60" i="1"/>
  <c r="AI60" i="1"/>
  <c r="AH60" i="1"/>
  <c r="AK61" i="1" s="1"/>
  <c r="AD60" i="1"/>
  <c r="AC60" i="1"/>
  <c r="AT59" i="1"/>
  <c r="AS59" i="1"/>
  <c r="AV60" i="1" s="1"/>
  <c r="AI59" i="1"/>
  <c r="AH59" i="1"/>
  <c r="AK60" i="1" s="1"/>
  <c r="AD59" i="1"/>
  <c r="AC59" i="1"/>
  <c r="AT58" i="1"/>
  <c r="AS58" i="1"/>
  <c r="AI58" i="1"/>
  <c r="AH58" i="1"/>
  <c r="AK59" i="1" s="1"/>
  <c r="AD58" i="1"/>
  <c r="AC58" i="1"/>
  <c r="AV57" i="1"/>
  <c r="AU58" i="1" s="1"/>
  <c r="AT57" i="1"/>
  <c r="AS57" i="1"/>
  <c r="AV58" i="1" s="1"/>
  <c r="AW58" i="1" s="1"/>
  <c r="AI57" i="1"/>
  <c r="AH57" i="1"/>
  <c r="AD57" i="1"/>
  <c r="AC57" i="1"/>
  <c r="AT56" i="1"/>
  <c r="AS56" i="1"/>
  <c r="AI56" i="1"/>
  <c r="AH56" i="1"/>
  <c r="AD56" i="1"/>
  <c r="AC56" i="1"/>
  <c r="AT55" i="1"/>
  <c r="AS55" i="1"/>
  <c r="AV56" i="1" s="1"/>
  <c r="AI55" i="1"/>
  <c r="AH55" i="1"/>
  <c r="AD55" i="1"/>
  <c r="AC55" i="1"/>
  <c r="AT54" i="1"/>
  <c r="AS54" i="1"/>
  <c r="AV55" i="1" s="1"/>
  <c r="AI54" i="1"/>
  <c r="AH54" i="1"/>
  <c r="AD54" i="1"/>
  <c r="AC54" i="1"/>
  <c r="AT53" i="1"/>
  <c r="AS53" i="1"/>
  <c r="AV54" i="1" s="1"/>
  <c r="AI53" i="1"/>
  <c r="AH53" i="1"/>
  <c r="AK54" i="1" s="1"/>
  <c r="AJ54" i="1" s="1"/>
  <c r="AD53" i="1"/>
  <c r="AC53" i="1"/>
  <c r="AX52" i="1"/>
  <c r="AT52" i="1"/>
  <c r="AS52" i="1"/>
  <c r="AK52" i="1"/>
  <c r="AI52" i="1"/>
  <c r="AH52" i="1"/>
  <c r="AK53" i="1" s="1"/>
  <c r="AM53" i="1" s="1"/>
  <c r="AD52" i="1"/>
  <c r="AC52" i="1"/>
  <c r="AV51" i="1"/>
  <c r="AU52" i="1" s="1"/>
  <c r="AT51" i="1"/>
  <c r="AS51" i="1"/>
  <c r="AV52" i="1" s="1"/>
  <c r="AU53" i="1" s="1"/>
  <c r="AI51" i="1"/>
  <c r="AH51" i="1"/>
  <c r="AD51" i="1"/>
  <c r="AC51" i="1"/>
  <c r="AV50" i="1"/>
  <c r="AX50" i="1" s="1"/>
  <c r="AT50" i="1"/>
  <c r="AS50" i="1"/>
  <c r="AI50" i="1"/>
  <c r="AH50" i="1"/>
  <c r="AD50" i="1"/>
  <c r="AC50" i="1"/>
  <c r="AT49" i="1"/>
  <c r="AS49" i="1"/>
  <c r="AI49" i="1"/>
  <c r="AH49" i="1"/>
  <c r="AD49" i="1"/>
  <c r="AC49" i="1"/>
  <c r="AT48" i="1"/>
  <c r="AS48" i="1"/>
  <c r="AV49" i="1" s="1"/>
  <c r="AU50" i="1" s="1"/>
  <c r="AI48" i="1"/>
  <c r="AH48" i="1"/>
  <c r="AK49" i="1" s="1"/>
  <c r="AJ49" i="1" s="1"/>
  <c r="AD48" i="1"/>
  <c r="AC48" i="1"/>
  <c r="AT47" i="1"/>
  <c r="AS47" i="1"/>
  <c r="AI47" i="1"/>
  <c r="AH47" i="1"/>
  <c r="AK48" i="1" s="1"/>
  <c r="AJ48" i="1" s="1"/>
  <c r="AD47" i="1"/>
  <c r="AC47" i="1"/>
  <c r="AV46" i="1"/>
  <c r="AT46" i="1"/>
  <c r="AS46" i="1"/>
  <c r="AI46" i="1"/>
  <c r="AH46" i="1"/>
  <c r="AD46" i="1"/>
  <c r="AC46" i="1"/>
  <c r="AT45" i="1"/>
  <c r="AS45" i="1"/>
  <c r="AI45" i="1"/>
  <c r="AH45" i="1"/>
  <c r="AK46" i="1" s="1"/>
  <c r="AD45" i="1"/>
  <c r="AC45" i="1"/>
  <c r="AT44" i="1"/>
  <c r="AS44" i="1"/>
  <c r="AI44" i="1"/>
  <c r="AH44" i="1"/>
  <c r="AK45" i="1" s="1"/>
  <c r="AD44" i="1"/>
  <c r="AC44" i="1"/>
  <c r="AT43" i="1"/>
  <c r="AS43" i="1"/>
  <c r="AI43" i="1"/>
  <c r="AH43" i="1"/>
  <c r="AD43" i="1"/>
  <c r="AC43" i="1"/>
  <c r="AT42" i="1"/>
  <c r="AS42" i="1"/>
  <c r="AI42" i="1"/>
  <c r="AH42" i="1"/>
  <c r="AD42" i="1"/>
  <c r="AC42" i="1"/>
  <c r="AT41" i="1"/>
  <c r="AS41" i="1"/>
  <c r="AI41" i="1"/>
  <c r="AH41" i="1"/>
  <c r="AD41" i="1"/>
  <c r="AC41" i="1"/>
  <c r="AT40" i="1"/>
  <c r="AS40" i="1"/>
  <c r="AI40" i="1"/>
  <c r="AH40" i="1"/>
  <c r="AD40" i="1"/>
  <c r="AC40" i="1"/>
  <c r="AT39" i="1"/>
  <c r="AS39" i="1"/>
  <c r="AV40" i="1" s="1"/>
  <c r="AI39" i="1"/>
  <c r="AH39" i="1"/>
  <c r="AD39" i="1"/>
  <c r="AC39" i="1"/>
  <c r="AT38" i="1"/>
  <c r="AS38" i="1"/>
  <c r="AV39" i="1" s="1"/>
  <c r="AU40" i="1" s="1"/>
  <c r="AI38" i="1"/>
  <c r="AH38" i="1"/>
  <c r="AD38" i="1"/>
  <c r="AC38" i="1"/>
  <c r="AT37" i="1"/>
  <c r="AS37" i="1"/>
  <c r="AV38" i="1" s="1"/>
  <c r="AI37" i="1"/>
  <c r="AH37" i="1"/>
  <c r="AD37" i="1"/>
  <c r="AC37" i="1"/>
  <c r="AT36" i="1"/>
  <c r="AS36" i="1"/>
  <c r="AI36" i="1"/>
  <c r="AH36" i="1"/>
  <c r="AD36" i="1"/>
  <c r="AC36" i="1"/>
  <c r="AT35" i="1"/>
  <c r="AS35" i="1"/>
  <c r="AV36" i="1" s="1"/>
  <c r="AW36" i="1" s="1"/>
  <c r="AI35" i="1"/>
  <c r="AH35" i="1"/>
  <c r="AD35" i="1"/>
  <c r="AC35" i="1"/>
  <c r="AT34" i="1"/>
  <c r="AS34" i="1"/>
  <c r="AV35" i="1" s="1"/>
  <c r="AW35" i="1" s="1"/>
  <c r="AI34" i="1"/>
  <c r="AH34" i="1"/>
  <c r="AD34" i="1"/>
  <c r="AC34" i="1"/>
  <c r="AT33" i="1"/>
  <c r="AS33" i="1"/>
  <c r="AI33" i="1"/>
  <c r="AH33" i="1"/>
  <c r="AD33" i="1"/>
  <c r="AC33" i="1"/>
  <c r="AT32" i="1"/>
  <c r="AS32" i="1"/>
  <c r="AI32" i="1"/>
  <c r="AH32" i="1"/>
  <c r="AD32" i="1"/>
  <c r="AC32" i="1"/>
  <c r="AT31" i="1"/>
  <c r="AS31" i="1"/>
  <c r="AI31" i="1"/>
  <c r="AH31" i="1"/>
  <c r="AD31" i="1"/>
  <c r="AC31" i="1"/>
  <c r="AT30" i="1"/>
  <c r="AS30" i="1"/>
  <c r="AV31" i="1" s="1"/>
  <c r="AU32" i="1" s="1"/>
  <c r="AI30" i="1"/>
  <c r="AH30" i="1"/>
  <c r="AD30" i="1"/>
  <c r="AC30" i="1"/>
  <c r="AT29" i="1"/>
  <c r="AS29" i="1"/>
  <c r="AI29" i="1"/>
  <c r="AH29" i="1"/>
  <c r="AD29" i="1"/>
  <c r="AC29" i="1"/>
  <c r="AT28" i="1"/>
  <c r="AS28" i="1"/>
  <c r="AV29" i="1" s="1"/>
  <c r="AI28" i="1"/>
  <c r="AH28" i="1"/>
  <c r="AD28" i="1"/>
  <c r="AC28" i="1"/>
  <c r="AT27" i="1"/>
  <c r="AS27" i="1"/>
  <c r="AV28" i="1" s="1"/>
  <c r="AU29" i="1" s="1"/>
  <c r="AI27" i="1"/>
  <c r="AH27" i="1"/>
  <c r="AD27" i="1"/>
  <c r="AC27" i="1"/>
  <c r="AT26" i="1"/>
  <c r="AS26" i="1"/>
  <c r="AI26" i="1"/>
  <c r="AH26" i="1"/>
  <c r="AD26" i="1"/>
  <c r="AC26" i="1"/>
  <c r="AT25" i="1"/>
  <c r="AS25" i="1"/>
  <c r="AV26" i="1" s="1"/>
  <c r="AI25" i="1"/>
  <c r="AH25" i="1"/>
  <c r="AD25" i="1"/>
  <c r="AC25" i="1"/>
  <c r="AT24" i="1"/>
  <c r="AS24" i="1"/>
  <c r="AV25" i="1" s="1"/>
  <c r="AI24" i="1"/>
  <c r="AH24" i="1"/>
  <c r="AD24" i="1"/>
  <c r="AC24" i="1"/>
  <c r="AV23" i="1"/>
  <c r="AU23" i="1"/>
  <c r="AT23" i="1"/>
  <c r="AS23" i="1"/>
  <c r="AV24" i="1" s="1"/>
  <c r="AI23" i="1"/>
  <c r="AH23" i="1"/>
  <c r="AK24" i="1" s="1"/>
  <c r="AJ24" i="1" s="1"/>
  <c r="AK25" i="1" s="1"/>
  <c r="AD23" i="1"/>
  <c r="AC23" i="1"/>
  <c r="AX22" i="1"/>
  <c r="AV22" i="1"/>
  <c r="AU22" i="1"/>
  <c r="AT22" i="1"/>
  <c r="AS22" i="1"/>
  <c r="AK22" i="1"/>
  <c r="AM22" i="1" s="1"/>
  <c r="AJ22" i="1"/>
  <c r="AI22" i="1"/>
  <c r="AH22" i="1"/>
  <c r="AD22" i="1"/>
  <c r="AC22" i="1"/>
  <c r="AW22" i="1" s="1"/>
  <c r="AY22" i="1" s="1"/>
  <c r="AD21" i="1"/>
  <c r="AC21" i="1"/>
  <c r="AD20" i="1"/>
  <c r="AC20" i="1"/>
  <c r="AD19" i="1"/>
  <c r="AC19" i="1"/>
  <c r="AD18" i="1"/>
  <c r="AC18" i="1"/>
  <c r="AD17" i="1"/>
  <c r="AC17" i="1"/>
  <c r="AD16" i="1"/>
  <c r="AC16" i="1"/>
  <c r="AD15" i="1"/>
  <c r="AC15" i="1"/>
  <c r="AD14" i="1"/>
  <c r="AC14" i="1"/>
  <c r="AD13" i="1"/>
  <c r="AC13" i="1"/>
  <c r="AD12" i="1"/>
  <c r="AC12" i="1"/>
  <c r="AD11" i="1"/>
  <c r="AC11" i="1"/>
  <c r="AD10" i="1"/>
  <c r="AC10" i="1"/>
  <c r="AD9" i="1"/>
  <c r="AC9" i="1"/>
  <c r="AD8" i="1"/>
  <c r="AC8" i="1"/>
  <c r="AD7" i="1"/>
  <c r="AC7" i="1"/>
  <c r="AD6" i="1"/>
  <c r="AC6" i="1"/>
  <c r="AD5" i="1"/>
  <c r="AC5" i="1"/>
  <c r="AD4" i="1"/>
  <c r="AC4" i="1"/>
  <c r="AD3" i="1"/>
  <c r="AC3" i="1"/>
  <c r="AD1" i="1"/>
  <c r="AC1" i="1"/>
  <c r="AW86" i="1" l="1"/>
  <c r="AU87" i="1"/>
  <c r="AV68" i="1"/>
  <c r="AX68" i="1" s="1"/>
  <c r="AK50" i="1"/>
  <c r="AK47" i="1"/>
  <c r="AL148" i="1"/>
  <c r="AN148" i="1" s="1"/>
  <c r="AU127" i="1"/>
  <c r="AX126" i="1"/>
  <c r="AW126" i="1"/>
  <c r="AY126" i="1" s="1"/>
  <c r="AU57" i="1"/>
  <c r="AX56" i="1"/>
  <c r="AU141" i="1"/>
  <c r="AW140" i="1"/>
  <c r="AL118" i="1"/>
  <c r="AN118" i="1" s="1"/>
  <c r="AJ118" i="1"/>
  <c r="AU155" i="1"/>
  <c r="AX154" i="1"/>
  <c r="AW154" i="1"/>
  <c r="AU145" i="1"/>
  <c r="AW144" i="1"/>
  <c r="AX120" i="1"/>
  <c r="AU121" i="1"/>
  <c r="AU69" i="1"/>
  <c r="AV70" i="1" s="1"/>
  <c r="AL47" i="1"/>
  <c r="AN47" i="1" s="1"/>
  <c r="AJ47" i="1"/>
  <c r="AV66" i="1"/>
  <c r="AW66" i="1" s="1"/>
  <c r="AX151" i="1"/>
  <c r="AY151" i="1" s="1"/>
  <c r="AV64" i="1"/>
  <c r="AU65" i="1" s="1"/>
  <c r="AK44" i="1"/>
  <c r="AJ44" i="1" s="1"/>
  <c r="AK125" i="1"/>
  <c r="AM125" i="1" s="1"/>
  <c r="AX49" i="1"/>
  <c r="AK63" i="1"/>
  <c r="AJ63" i="1" s="1"/>
  <c r="AK64" i="1" s="1"/>
  <c r="AK119" i="1"/>
  <c r="AL119" i="1" s="1"/>
  <c r="AK32" i="1"/>
  <c r="AM32" i="1" s="1"/>
  <c r="AV76" i="1"/>
  <c r="AX76" i="1" s="1"/>
  <c r="AU152" i="1"/>
  <c r="AV30" i="1"/>
  <c r="AU31" i="1" s="1"/>
  <c r="AV32" i="1" s="1"/>
  <c r="AK83" i="1"/>
  <c r="AM83" i="1" s="1"/>
  <c r="AK62" i="1"/>
  <c r="AL62" i="1" s="1"/>
  <c r="AX57" i="1"/>
  <c r="AK151" i="1"/>
  <c r="AM151" i="1" s="1"/>
  <c r="AK57" i="1"/>
  <c r="AL57" i="1" s="1"/>
  <c r="AX86" i="1"/>
  <c r="AW31" i="1"/>
  <c r="AW49" i="1"/>
  <c r="AY49" i="1" s="1"/>
  <c r="AW57" i="1"/>
  <c r="AV63" i="1"/>
  <c r="AX63" i="1" s="1"/>
  <c r="AJ95" i="1"/>
  <c r="AJ97" i="1"/>
  <c r="AV123" i="1"/>
  <c r="AU124" i="1" s="1"/>
  <c r="AV125" i="1" s="1"/>
  <c r="AK142" i="1"/>
  <c r="AL142" i="1" s="1"/>
  <c r="AV37" i="1"/>
  <c r="AU38" i="1" s="1"/>
  <c r="AW56" i="1"/>
  <c r="AY56" i="1" s="1"/>
  <c r="AV107" i="1"/>
  <c r="AU108" i="1" s="1"/>
  <c r="AV109" i="1" s="1"/>
  <c r="AU110" i="1" s="1"/>
  <c r="AV111" i="1" s="1"/>
  <c r="AV122" i="1"/>
  <c r="AW122" i="1" s="1"/>
  <c r="AV77" i="1"/>
  <c r="AX77" i="1" s="1"/>
  <c r="AK55" i="1"/>
  <c r="AW105" i="1"/>
  <c r="AX105" i="1"/>
  <c r="AV34" i="1"/>
  <c r="AU35" i="1" s="1"/>
  <c r="AL95" i="1"/>
  <c r="AN95" i="1" s="1"/>
  <c r="AU154" i="1"/>
  <c r="AV155" i="1" s="1"/>
  <c r="AW155" i="1" s="1"/>
  <c r="AV41" i="1"/>
  <c r="AU42" i="1" s="1"/>
  <c r="AU51" i="1"/>
  <c r="AK56" i="1"/>
  <c r="AJ56" i="1" s="1"/>
  <c r="AK58" i="1"/>
  <c r="AJ58" i="1" s="1"/>
  <c r="AX82" i="1"/>
  <c r="AY82" i="1" s="1"/>
  <c r="AU101" i="1"/>
  <c r="AU103" i="1"/>
  <c r="AK111" i="1"/>
  <c r="AJ111" i="1" s="1"/>
  <c r="AU132" i="1"/>
  <c r="AV133" i="1" s="1"/>
  <c r="AU134" i="1" s="1"/>
  <c r="AV152" i="1"/>
  <c r="AX152" i="1" s="1"/>
  <c r="AU102" i="1"/>
  <c r="AL111" i="1"/>
  <c r="AM118" i="1"/>
  <c r="AX143" i="1"/>
  <c r="AY143" i="1" s="1"/>
  <c r="AL97" i="1"/>
  <c r="AN97" i="1" s="1"/>
  <c r="AX139" i="1"/>
  <c r="AY139" i="1" s="1"/>
  <c r="AL141" i="1"/>
  <c r="AN141" i="1" s="1"/>
  <c r="AU144" i="1"/>
  <c r="AV145" i="1" s="1"/>
  <c r="AW145" i="1" s="1"/>
  <c r="AX129" i="1"/>
  <c r="AW127" i="1"/>
  <c r="AY127" i="1" s="1"/>
  <c r="AW77" i="1"/>
  <c r="AY77" i="1" s="1"/>
  <c r="AK133" i="1"/>
  <c r="AJ133" i="1" s="1"/>
  <c r="AK134" i="1" s="1"/>
  <c r="AJ91" i="1"/>
  <c r="AW101" i="1"/>
  <c r="AY101" i="1" s="1"/>
  <c r="AU36" i="1"/>
  <c r="AM47" i="1"/>
  <c r="AM54" i="1"/>
  <c r="AL91" i="1"/>
  <c r="AN91" i="1" s="1"/>
  <c r="AJ96" i="1"/>
  <c r="AV53" i="1"/>
  <c r="AU128" i="1"/>
  <c r="AV129" i="1" s="1"/>
  <c r="AW129" i="1" s="1"/>
  <c r="AL94" i="1"/>
  <c r="AK23" i="1"/>
  <c r="AL49" i="1"/>
  <c r="AL96" i="1"/>
  <c r="AN96" i="1" s="1"/>
  <c r="AW40" i="1"/>
  <c r="AU41" i="1"/>
  <c r="AV42" i="1" s="1"/>
  <c r="AX40" i="1"/>
  <c r="AW24" i="1"/>
  <c r="AX24" i="1"/>
  <c r="AU25" i="1"/>
  <c r="AW26" i="1"/>
  <c r="AU27" i="1"/>
  <c r="AX26" i="1"/>
  <c r="AM50" i="1"/>
  <c r="AL50" i="1"/>
  <c r="AJ50" i="1"/>
  <c r="AW63" i="1"/>
  <c r="AW28" i="1"/>
  <c r="AV88" i="1"/>
  <c r="AL93" i="1"/>
  <c r="AX28" i="1"/>
  <c r="AX55" i="1"/>
  <c r="AU56" i="1"/>
  <c r="AW55" i="1"/>
  <c r="AM93" i="1"/>
  <c r="AX156" i="1"/>
  <c r="AW156" i="1"/>
  <c r="AX25" i="1"/>
  <c r="AW25" i="1"/>
  <c r="AY25" i="1" s="1"/>
  <c r="AM52" i="1"/>
  <c r="AL52" i="1"/>
  <c r="AN52" i="1" s="1"/>
  <c r="AJ52" i="1"/>
  <c r="AX121" i="1"/>
  <c r="AW121" i="1"/>
  <c r="AU122" i="1"/>
  <c r="AM150" i="1"/>
  <c r="AL150" i="1"/>
  <c r="AN150" i="1" s="1"/>
  <c r="AJ150" i="1"/>
  <c r="AZ22" i="1"/>
  <c r="AL25" i="1"/>
  <c r="AM25" i="1"/>
  <c r="AJ25" i="1"/>
  <c r="AK26" i="1" s="1"/>
  <c r="AW61" i="1"/>
  <c r="AX79" i="1"/>
  <c r="AU80" i="1"/>
  <c r="AW79" i="1"/>
  <c r="AM49" i="1"/>
  <c r="AX61" i="1"/>
  <c r="AM108" i="1"/>
  <c r="AJ108" i="1"/>
  <c r="AL108" i="1"/>
  <c r="AL125" i="1"/>
  <c r="AU54" i="1"/>
  <c r="AX53" i="1"/>
  <c r="AW53" i="1"/>
  <c r="AL149" i="1"/>
  <c r="AM149" i="1"/>
  <c r="AU153" i="1"/>
  <c r="AU26" i="1"/>
  <c r="AW81" i="1"/>
  <c r="AX81" i="1"/>
  <c r="AU82" i="1"/>
  <c r="AL107" i="1"/>
  <c r="AJ107" i="1"/>
  <c r="AM107" i="1"/>
  <c r="AX128" i="1"/>
  <c r="AW128" i="1"/>
  <c r="AY128" i="1" s="1"/>
  <c r="AU129" i="1"/>
  <c r="AV130" i="1" s="1"/>
  <c r="AM55" i="1"/>
  <c r="AL55" i="1"/>
  <c r="AJ55" i="1"/>
  <c r="AW100" i="1"/>
  <c r="AY100" i="1" s="1"/>
  <c r="AU24" i="1"/>
  <c r="AX23" i="1"/>
  <c r="AX46" i="1"/>
  <c r="AU47" i="1"/>
  <c r="AV48" i="1" s="1"/>
  <c r="AX95" i="1"/>
  <c r="AU96" i="1"/>
  <c r="AV97" i="1" s="1"/>
  <c r="AW95" i="1"/>
  <c r="AJ60" i="1"/>
  <c r="AM60" i="1"/>
  <c r="AL60" i="1"/>
  <c r="AW23" i="1"/>
  <c r="AW46" i="1"/>
  <c r="AU61" i="1"/>
  <c r="AX60" i="1"/>
  <c r="AW60" i="1"/>
  <c r="AJ80" i="1"/>
  <c r="AK81" i="1" s="1"/>
  <c r="AM80" i="1"/>
  <c r="AL80" i="1"/>
  <c r="AX36" i="1"/>
  <c r="AY36" i="1" s="1"/>
  <c r="AM45" i="1"/>
  <c r="AL45" i="1"/>
  <c r="AJ45" i="1"/>
  <c r="AL48" i="1"/>
  <c r="AW51" i="1"/>
  <c r="AL58" i="1"/>
  <c r="AM59" i="1"/>
  <c r="AL59" i="1"/>
  <c r="AN59" i="1" s="1"/>
  <c r="AJ59" i="1"/>
  <c r="AM90" i="1"/>
  <c r="AX124" i="1"/>
  <c r="AU125" i="1"/>
  <c r="AW124" i="1"/>
  <c r="AX35" i="1"/>
  <c r="AY35" i="1" s="1"/>
  <c r="AU37" i="1"/>
  <c r="AM48" i="1"/>
  <c r="AW50" i="1"/>
  <c r="AY50" i="1" s="1"/>
  <c r="AX51" i="1"/>
  <c r="AL90" i="1"/>
  <c r="AJ23" i="1"/>
  <c r="AM23" i="1"/>
  <c r="AL23" i="1"/>
  <c r="AN23" i="1" s="1"/>
  <c r="AL46" i="1"/>
  <c r="AJ46" i="1"/>
  <c r="AW68" i="1"/>
  <c r="AU83" i="1"/>
  <c r="AW136" i="1"/>
  <c r="AX136" i="1"/>
  <c r="AU137" i="1"/>
  <c r="AV138" i="1" s="1"/>
  <c r="AV33" i="1"/>
  <c r="AM46" i="1"/>
  <c r="AX103" i="1"/>
  <c r="AU104" i="1"/>
  <c r="AW103" i="1"/>
  <c r="AM109" i="1"/>
  <c r="AL109" i="1"/>
  <c r="AJ109" i="1"/>
  <c r="AK110" i="1" s="1"/>
  <c r="AL110" i="1" s="1"/>
  <c r="AM112" i="1"/>
  <c r="AN112" i="1" s="1"/>
  <c r="AJ112" i="1"/>
  <c r="AK113" i="1" s="1"/>
  <c r="AX29" i="1"/>
  <c r="AU30" i="1"/>
  <c r="AW29" i="1"/>
  <c r="AM86" i="1"/>
  <c r="AL86" i="1"/>
  <c r="AJ86" i="1"/>
  <c r="AK87" i="1" s="1"/>
  <c r="AL87" i="1" s="1"/>
  <c r="AX114" i="1"/>
  <c r="AY114" i="1" s="1"/>
  <c r="AU115" i="1"/>
  <c r="AV116" i="1" s="1"/>
  <c r="AX31" i="1"/>
  <c r="AX34" i="1"/>
  <c r="AW34" i="1"/>
  <c r="AU59" i="1"/>
  <c r="AX58" i="1"/>
  <c r="AY58" i="1" s="1"/>
  <c r="AW72" i="1"/>
  <c r="AU73" i="1"/>
  <c r="AV74" i="1" s="1"/>
  <c r="AW74" i="1" s="1"/>
  <c r="AX72" i="1"/>
  <c r="AM99" i="1"/>
  <c r="AL99" i="1"/>
  <c r="AJ99" i="1"/>
  <c r="AK100" i="1" s="1"/>
  <c r="AM119" i="1"/>
  <c r="AJ119" i="1"/>
  <c r="AK120" i="1" s="1"/>
  <c r="AL22" i="1"/>
  <c r="AN22" i="1" s="1"/>
  <c r="AL24" i="1"/>
  <c r="AV43" i="1"/>
  <c r="AW62" i="1"/>
  <c r="AM98" i="1"/>
  <c r="AJ98" i="1"/>
  <c r="AL32" i="1"/>
  <c r="AN32" i="1" s="1"/>
  <c r="AJ32" i="1"/>
  <c r="AK33" i="1" s="1"/>
  <c r="AW38" i="1"/>
  <c r="AU39" i="1"/>
  <c r="AX38" i="1"/>
  <c r="AX39" i="1"/>
  <c r="AW39" i="1"/>
  <c r="AM24" i="1"/>
  <c r="AK51" i="1"/>
  <c r="AL53" i="1"/>
  <c r="AN53" i="1" s="1"/>
  <c r="AJ53" i="1"/>
  <c r="AL54" i="1"/>
  <c r="AJ61" i="1"/>
  <c r="AM61" i="1"/>
  <c r="AL61" i="1"/>
  <c r="AX62" i="1"/>
  <c r="AM94" i="1"/>
  <c r="AL98" i="1"/>
  <c r="AV113" i="1"/>
  <c r="AV135" i="1"/>
  <c r="AU140" i="1"/>
  <c r="AV141" i="1" s="1"/>
  <c r="AV73" i="1"/>
  <c r="AW120" i="1"/>
  <c r="AY120" i="1" s="1"/>
  <c r="AW133" i="1"/>
  <c r="AW54" i="1"/>
  <c r="AU55" i="1"/>
  <c r="AX54" i="1"/>
  <c r="AX133" i="1"/>
  <c r="AX149" i="1"/>
  <c r="AU150" i="1"/>
  <c r="AW149" i="1"/>
  <c r="AV27" i="1"/>
  <c r="AK92" i="1"/>
  <c r="AL129" i="1"/>
  <c r="AW137" i="1"/>
  <c r="AX153" i="1"/>
  <c r="AY153" i="1" s="1"/>
  <c r="AV59" i="1"/>
  <c r="AX75" i="1"/>
  <c r="AY75" i="1" s="1"/>
  <c r="AU76" i="1"/>
  <c r="AM129" i="1"/>
  <c r="AX131" i="1"/>
  <c r="AY131" i="1" s="1"/>
  <c r="AW52" i="1"/>
  <c r="AY52" i="1" s="1"/>
  <c r="AX137" i="1"/>
  <c r="AV142" i="1"/>
  <c r="AV146" i="1"/>
  <c r="AX140" i="1"/>
  <c r="AX144" i="1"/>
  <c r="AY144" i="1" s="1"/>
  <c r="AV132" i="1"/>
  <c r="AK130" i="1"/>
  <c r="AV104" i="1"/>
  <c r="AW148" i="1"/>
  <c r="AY148" i="1" s="1"/>
  <c r="BB148" i="1" s="1"/>
  <c r="AU149" i="1"/>
  <c r="AV150" i="1" s="1"/>
  <c r="AY154" i="1" l="1"/>
  <c r="AJ125" i="1"/>
  <c r="AK126" i="1" s="1"/>
  <c r="AY129" i="1"/>
  <c r="AX107" i="1"/>
  <c r="AW109" i="1"/>
  <c r="AX109" i="1"/>
  <c r="AY140" i="1"/>
  <c r="AW123" i="1"/>
  <c r="AU67" i="1"/>
  <c r="AX123" i="1"/>
  <c r="AX66" i="1"/>
  <c r="AY66" i="1" s="1"/>
  <c r="AX64" i="1"/>
  <c r="AY57" i="1"/>
  <c r="AY72" i="1"/>
  <c r="AY40" i="1"/>
  <c r="AW37" i="1"/>
  <c r="AY37" i="1" s="1"/>
  <c r="AY86" i="1"/>
  <c r="AN119" i="1"/>
  <c r="AL56" i="1"/>
  <c r="AL44" i="1"/>
  <c r="AM44" i="1"/>
  <c r="AJ151" i="1"/>
  <c r="AK152" i="1" s="1"/>
  <c r="AJ152" i="1" s="1"/>
  <c r="AK153" i="1" s="1"/>
  <c r="AL151" i="1"/>
  <c r="AN151" i="1" s="1"/>
  <c r="AM142" i="1"/>
  <c r="AN54" i="1"/>
  <c r="AJ142" i="1"/>
  <c r="AK143" i="1" s="1"/>
  <c r="AL143" i="1" s="1"/>
  <c r="AM58" i="1"/>
  <c r="AN58" i="1" s="1"/>
  <c r="BB58" i="1" s="1"/>
  <c r="AM57" i="1"/>
  <c r="AN57" i="1" s="1"/>
  <c r="BB57" i="1" s="1"/>
  <c r="AU139" i="1"/>
  <c r="AX138" i="1"/>
  <c r="AW138" i="1"/>
  <c r="AY138" i="1" s="1"/>
  <c r="AW111" i="1"/>
  <c r="AX111" i="1"/>
  <c r="AU112" i="1"/>
  <c r="AU98" i="1"/>
  <c r="AV99" i="1" s="1"/>
  <c r="AX97" i="1"/>
  <c r="AW97" i="1"/>
  <c r="AY97" i="1" s="1"/>
  <c r="BB97" i="1" s="1"/>
  <c r="AW70" i="1"/>
  <c r="AU71" i="1"/>
  <c r="AX70" i="1"/>
  <c r="AU49" i="1"/>
  <c r="AX48" i="1"/>
  <c r="AW48" i="1"/>
  <c r="AU131" i="1"/>
  <c r="AW130" i="1"/>
  <c r="AX130" i="1"/>
  <c r="AL126" i="1"/>
  <c r="AM126" i="1"/>
  <c r="AN126" i="1" s="1"/>
  <c r="BB126" i="1" s="1"/>
  <c r="AJ126" i="1"/>
  <c r="AK127" i="1" s="1"/>
  <c r="AM110" i="1"/>
  <c r="AN110" i="1" s="1"/>
  <c r="AY31" i="1"/>
  <c r="AU156" i="1"/>
  <c r="AN49" i="1"/>
  <c r="BB49" i="1" s="1"/>
  <c r="AX37" i="1"/>
  <c r="AY26" i="1"/>
  <c r="AM111" i="1"/>
  <c r="AN111" i="1" s="1"/>
  <c r="AY62" i="1"/>
  <c r="AX155" i="1"/>
  <c r="AY155" i="1" s="1"/>
  <c r="AN107" i="1"/>
  <c r="AY53" i="1"/>
  <c r="AU123" i="1"/>
  <c r="AU78" i="1"/>
  <c r="AU77" i="1"/>
  <c r="AV78" i="1" s="1"/>
  <c r="AW76" i="1"/>
  <c r="AM56" i="1"/>
  <c r="BB151" i="1"/>
  <c r="AJ110" i="1"/>
  <c r="AM62" i="1"/>
  <c r="AN62" i="1" s="1"/>
  <c r="AM63" i="1"/>
  <c r="AX122" i="1"/>
  <c r="AY122" i="1" s="1"/>
  <c r="AU130" i="1"/>
  <c r="AJ62" i="1"/>
  <c r="AY136" i="1"/>
  <c r="AL63" i="1"/>
  <c r="AW30" i="1"/>
  <c r="AY79" i="1"/>
  <c r="AJ57" i="1"/>
  <c r="AY105" i="1"/>
  <c r="AW64" i="1"/>
  <c r="AW41" i="1"/>
  <c r="AX41" i="1"/>
  <c r="AY41" i="1" s="1"/>
  <c r="AY76" i="1"/>
  <c r="AY54" i="1"/>
  <c r="AJ83" i="1"/>
  <c r="AK84" i="1" s="1"/>
  <c r="AJ84" i="1" s="1"/>
  <c r="AK85" i="1" s="1"/>
  <c r="AX30" i="1"/>
  <c r="AY63" i="1"/>
  <c r="BB52" i="1"/>
  <c r="AL83" i="1"/>
  <c r="AN83" i="1" s="1"/>
  <c r="AY95" i="1"/>
  <c r="BB95" i="1" s="1"/>
  <c r="AW152" i="1"/>
  <c r="AY152" i="1" s="1"/>
  <c r="AY55" i="1"/>
  <c r="AU64" i="1"/>
  <c r="AV65" i="1" s="1"/>
  <c r="AM87" i="1"/>
  <c r="AN87" i="1" s="1"/>
  <c r="AJ87" i="1"/>
  <c r="AK88" i="1" s="1"/>
  <c r="AU75" i="1"/>
  <c r="AX74" i="1"/>
  <c r="AY74" i="1" s="1"/>
  <c r="AW107" i="1"/>
  <c r="AY68" i="1"/>
  <c r="AN80" i="1"/>
  <c r="AY61" i="1"/>
  <c r="AY39" i="1"/>
  <c r="AY81" i="1"/>
  <c r="AN94" i="1"/>
  <c r="AN86" i="1"/>
  <c r="AL133" i="1"/>
  <c r="AN149" i="1"/>
  <c r="BB53" i="1"/>
  <c r="AN142" i="1"/>
  <c r="AN93" i="1"/>
  <c r="AM133" i="1"/>
  <c r="AY137" i="1"/>
  <c r="AN60" i="1"/>
  <c r="BB60" i="1" s="1"/>
  <c r="AX145" i="1"/>
  <c r="AY145" i="1" s="1"/>
  <c r="AU146" i="1"/>
  <c r="AV147" i="1" s="1"/>
  <c r="AN129" i="1"/>
  <c r="AY103" i="1"/>
  <c r="AN45" i="1"/>
  <c r="AJ134" i="1"/>
  <c r="AK135" i="1" s="1"/>
  <c r="AM134" i="1"/>
  <c r="AL134" i="1"/>
  <c r="AM26" i="1"/>
  <c r="AL26" i="1"/>
  <c r="AN26" i="1" s="1"/>
  <c r="AJ26" i="1"/>
  <c r="AK27" i="1" s="1"/>
  <c r="AM143" i="1"/>
  <c r="AX141" i="1"/>
  <c r="AU142" i="1"/>
  <c r="AW141" i="1"/>
  <c r="AJ100" i="1"/>
  <c r="AK101" i="1" s="1"/>
  <c r="AL100" i="1"/>
  <c r="AM100" i="1"/>
  <c r="AW132" i="1"/>
  <c r="AX132" i="1"/>
  <c r="AU133" i="1"/>
  <c r="AV134" i="1" s="1"/>
  <c r="AX43" i="1"/>
  <c r="AW43" i="1"/>
  <c r="AU44" i="1"/>
  <c r="AV45" i="1" s="1"/>
  <c r="AY149" i="1"/>
  <c r="AN24" i="1"/>
  <c r="BB24" i="1" s="1"/>
  <c r="AN90" i="1"/>
  <c r="AX32" i="1"/>
  <c r="AW32" i="1"/>
  <c r="AU33" i="1"/>
  <c r="AN25" i="1"/>
  <c r="BB25" i="1" s="1"/>
  <c r="AY109" i="1"/>
  <c r="AY24" i="1"/>
  <c r="AY133" i="1"/>
  <c r="AO22" i="1"/>
  <c r="AO23" i="1" s="1"/>
  <c r="BB22" i="1"/>
  <c r="AU84" i="1"/>
  <c r="AV85" i="1" s="1"/>
  <c r="AW83" i="1"/>
  <c r="AX83" i="1"/>
  <c r="AJ64" i="1"/>
  <c r="AK65" i="1" s="1"/>
  <c r="AM64" i="1"/>
  <c r="AL64" i="1"/>
  <c r="AJ113" i="1"/>
  <c r="AK114" i="1" s="1"/>
  <c r="AM113" i="1"/>
  <c r="AL113" i="1"/>
  <c r="AN113" i="1" s="1"/>
  <c r="AL92" i="1"/>
  <c r="AJ92" i="1"/>
  <c r="AM92" i="1"/>
  <c r="AN125" i="1"/>
  <c r="AN61" i="1"/>
  <c r="AN109" i="1"/>
  <c r="AM81" i="1"/>
  <c r="AL81" i="1"/>
  <c r="AJ81" i="1"/>
  <c r="AK82" i="1" s="1"/>
  <c r="AW125" i="1"/>
  <c r="AU126" i="1"/>
  <c r="AX125" i="1"/>
  <c r="AW146" i="1"/>
  <c r="AU147" i="1"/>
  <c r="AX146" i="1"/>
  <c r="AX27" i="1"/>
  <c r="AU28" i="1"/>
  <c r="AW27" i="1"/>
  <c r="AY27" i="1" s="1"/>
  <c r="AX73" i="1"/>
  <c r="AU74" i="1"/>
  <c r="AW73" i="1"/>
  <c r="AY38" i="1"/>
  <c r="AY34" i="1"/>
  <c r="AY124" i="1"/>
  <c r="AY60" i="1"/>
  <c r="AN108" i="1"/>
  <c r="AU89" i="1"/>
  <c r="AV90" i="1" s="1"/>
  <c r="AX88" i="1"/>
  <c r="AW88" i="1"/>
  <c r="AW150" i="1"/>
  <c r="AU151" i="1"/>
  <c r="AX150" i="1"/>
  <c r="AX142" i="1"/>
  <c r="AU143" i="1"/>
  <c r="AW142" i="1"/>
  <c r="AY142" i="1" s="1"/>
  <c r="AM33" i="1"/>
  <c r="AJ33" i="1"/>
  <c r="AK34" i="1" s="1"/>
  <c r="AL33" i="1"/>
  <c r="AN33" i="1" s="1"/>
  <c r="AW33" i="1"/>
  <c r="AU34" i="1"/>
  <c r="AX33" i="1"/>
  <c r="AN55" i="1"/>
  <c r="AN50" i="1"/>
  <c r="BB50" i="1" s="1"/>
  <c r="AX135" i="1"/>
  <c r="AU136" i="1"/>
  <c r="AW135" i="1"/>
  <c r="AW104" i="1"/>
  <c r="AX104" i="1"/>
  <c r="AU105" i="1"/>
  <c r="AV106" i="1" s="1"/>
  <c r="AW59" i="1"/>
  <c r="AU60" i="1"/>
  <c r="AX59" i="1"/>
  <c r="AX113" i="1"/>
  <c r="AU114" i="1"/>
  <c r="AV115" i="1" s="1"/>
  <c r="AW113" i="1"/>
  <c r="AX116" i="1"/>
  <c r="AU117" i="1"/>
  <c r="AV118" i="1" s="1"/>
  <c r="AW116" i="1"/>
  <c r="AN46" i="1"/>
  <c r="AY46" i="1"/>
  <c r="AL120" i="1"/>
  <c r="AJ120" i="1"/>
  <c r="AK121" i="1" s="1"/>
  <c r="AM120" i="1"/>
  <c r="AJ51" i="1"/>
  <c r="AM51" i="1"/>
  <c r="AL51" i="1"/>
  <c r="AN51" i="1" s="1"/>
  <c r="AY51" i="1"/>
  <c r="AY23" i="1"/>
  <c r="BB23" i="1" s="1"/>
  <c r="AY121" i="1"/>
  <c r="AY156" i="1"/>
  <c r="AY28" i="1"/>
  <c r="AU43" i="1"/>
  <c r="AV44" i="1" s="1"/>
  <c r="AX42" i="1"/>
  <c r="AW42" i="1"/>
  <c r="AM130" i="1"/>
  <c r="AJ130" i="1"/>
  <c r="AK131" i="1" s="1"/>
  <c r="AL130" i="1"/>
  <c r="AN98" i="1"/>
  <c r="AN99" i="1"/>
  <c r="AY29" i="1"/>
  <c r="AN48" i="1"/>
  <c r="AY64" i="1" l="1"/>
  <c r="AY116" i="1"/>
  <c r="AY130" i="1"/>
  <c r="AM152" i="1"/>
  <c r="AN56" i="1"/>
  <c r="BB56" i="1" s="1"/>
  <c r="AN143" i="1"/>
  <c r="BB143" i="1" s="1"/>
  <c r="AL152" i="1"/>
  <c r="AN44" i="1"/>
  <c r="BB44" i="1" s="1"/>
  <c r="AN64" i="1"/>
  <c r="BB62" i="1"/>
  <c r="BB26" i="1"/>
  <c r="BB149" i="1"/>
  <c r="BB54" i="1"/>
  <c r="BB86" i="1"/>
  <c r="AY30" i="1"/>
  <c r="AY123" i="1"/>
  <c r="BB129" i="1"/>
  <c r="AY111" i="1"/>
  <c r="BB111" i="1" s="1"/>
  <c r="AY107" i="1"/>
  <c r="BB107" i="1" s="1"/>
  <c r="AN133" i="1"/>
  <c r="BB133" i="1" s="1"/>
  <c r="AN63" i="1"/>
  <c r="BB63" i="1" s="1"/>
  <c r="AJ143" i="1"/>
  <c r="AK144" i="1" s="1"/>
  <c r="AJ144" i="1" s="1"/>
  <c r="AK145" i="1" s="1"/>
  <c r="AM85" i="1"/>
  <c r="AJ85" i="1"/>
  <c r="AL85" i="1"/>
  <c r="AU45" i="1"/>
  <c r="AX44" i="1"/>
  <c r="AW44" i="1"/>
  <c r="AY44" i="1" s="1"/>
  <c r="BB45" i="1"/>
  <c r="AJ127" i="1"/>
  <c r="AK128" i="1" s="1"/>
  <c r="AL127" i="1"/>
  <c r="AM127" i="1"/>
  <c r="AY70" i="1"/>
  <c r="AY104" i="1"/>
  <c r="AY146" i="1"/>
  <c r="AX99" i="1"/>
  <c r="AU100" i="1"/>
  <c r="AW99" i="1"/>
  <c r="AY99" i="1" s="1"/>
  <c r="AX45" i="1"/>
  <c r="AU46" i="1"/>
  <c r="AV47" i="1" s="1"/>
  <c r="AW45" i="1"/>
  <c r="AY45" i="1" s="1"/>
  <c r="AM84" i="1"/>
  <c r="AW134" i="1"/>
  <c r="AX134" i="1"/>
  <c r="AY134" i="1" s="1"/>
  <c r="AU135" i="1"/>
  <c r="BB48" i="1"/>
  <c r="AJ153" i="1"/>
  <c r="AK154" i="1" s="1"/>
  <c r="AL153" i="1"/>
  <c r="AM153" i="1"/>
  <c r="AJ88" i="1"/>
  <c r="AK89" i="1" s="1"/>
  <c r="AL88" i="1"/>
  <c r="AM88" i="1"/>
  <c r="AL131" i="1"/>
  <c r="AJ131" i="1"/>
  <c r="AK132" i="1" s="1"/>
  <c r="AM131" i="1"/>
  <c r="AL84" i="1"/>
  <c r="AN84" i="1" s="1"/>
  <c r="BB84" i="1" s="1"/>
  <c r="AY42" i="1"/>
  <c r="BB55" i="1"/>
  <c r="AY73" i="1"/>
  <c r="AU79" i="1"/>
  <c r="AV80" i="1" s="1"/>
  <c r="AW78" i="1"/>
  <c r="AX78" i="1"/>
  <c r="AX90" i="1"/>
  <c r="AU91" i="1"/>
  <c r="AV92" i="1" s="1"/>
  <c r="AW90" i="1"/>
  <c r="AY90" i="1" s="1"/>
  <c r="BB90" i="1" s="1"/>
  <c r="BB99" i="1"/>
  <c r="BB61" i="1"/>
  <c r="AU66" i="1"/>
  <c r="AV67" i="1" s="1"/>
  <c r="AX65" i="1"/>
  <c r="AW65" i="1"/>
  <c r="AY65" i="1" s="1"/>
  <c r="AY88" i="1"/>
  <c r="AN81" i="1"/>
  <c r="BB81" i="1" s="1"/>
  <c r="AY32" i="1"/>
  <c r="BB32" i="1" s="1"/>
  <c r="AY48" i="1"/>
  <c r="AY43" i="1"/>
  <c r="AY141" i="1"/>
  <c r="BB141" i="1" s="1"/>
  <c r="AN134" i="1"/>
  <c r="AY59" i="1"/>
  <c r="BB59" i="1" s="1"/>
  <c r="AN120" i="1"/>
  <c r="BB120" i="1" s="1"/>
  <c r="AY113" i="1"/>
  <c r="BB113" i="1" s="1"/>
  <c r="BB142" i="1"/>
  <c r="BB109" i="1"/>
  <c r="AX147" i="1"/>
  <c r="AU148" i="1"/>
  <c r="AW147" i="1"/>
  <c r="AY147" i="1" s="1"/>
  <c r="AJ65" i="1"/>
  <c r="AK66" i="1" s="1"/>
  <c r="AM65" i="1"/>
  <c r="AL65" i="1"/>
  <c r="AL144" i="1"/>
  <c r="AN100" i="1"/>
  <c r="BB100" i="1" s="1"/>
  <c r="BB46" i="1"/>
  <c r="AX106" i="1"/>
  <c r="AW106" i="1"/>
  <c r="AU107" i="1"/>
  <c r="AV108" i="1" s="1"/>
  <c r="AY125" i="1"/>
  <c r="BB125" i="1" s="1"/>
  <c r="AL121" i="1"/>
  <c r="AM121" i="1"/>
  <c r="AJ121" i="1"/>
  <c r="AK122" i="1" s="1"/>
  <c r="AY83" i="1"/>
  <c r="BB83" i="1" s="1"/>
  <c r="AY33" i="1"/>
  <c r="BB33" i="1" s="1"/>
  <c r="AM27" i="1"/>
  <c r="AL27" i="1"/>
  <c r="AJ27" i="1"/>
  <c r="AK28" i="1" s="1"/>
  <c r="AW118" i="1"/>
  <c r="AU119" i="1"/>
  <c r="AX118" i="1"/>
  <c r="AJ82" i="1"/>
  <c r="AM82" i="1"/>
  <c r="AL82" i="1"/>
  <c r="AN82" i="1" s="1"/>
  <c r="BB82" i="1" s="1"/>
  <c r="AN92" i="1"/>
  <c r="BC22" i="1"/>
  <c r="BC23" i="1" s="1"/>
  <c r="BC24" i="1" s="1"/>
  <c r="BC25" i="1" s="1"/>
  <c r="BC26" i="1" s="1"/>
  <c r="AX85" i="1"/>
  <c r="AU86" i="1"/>
  <c r="AV87" i="1" s="1"/>
  <c r="AW85" i="1"/>
  <c r="BB51" i="1"/>
  <c r="AJ34" i="1"/>
  <c r="AK35" i="1" s="1"/>
  <c r="AM34" i="1"/>
  <c r="AL34" i="1"/>
  <c r="AO24" i="1"/>
  <c r="AO25" i="1" s="1"/>
  <c r="AO26" i="1" s="1"/>
  <c r="AY150" i="1"/>
  <c r="BB150" i="1" s="1"/>
  <c r="AN130" i="1"/>
  <c r="BB130" i="1" s="1"/>
  <c r="AW115" i="1"/>
  <c r="AU116" i="1"/>
  <c r="AV117" i="1" s="1"/>
  <c r="AX115" i="1"/>
  <c r="AY135" i="1"/>
  <c r="AL114" i="1"/>
  <c r="AJ114" i="1"/>
  <c r="AK115" i="1" s="1"/>
  <c r="AM114" i="1"/>
  <c r="AY132" i="1"/>
  <c r="AM101" i="1"/>
  <c r="AL101" i="1"/>
  <c r="AJ101" i="1"/>
  <c r="AK102" i="1" s="1"/>
  <c r="AZ23" i="1"/>
  <c r="AZ24" i="1" s="1"/>
  <c r="AZ25" i="1" s="1"/>
  <c r="AZ26" i="1" s="1"/>
  <c r="AZ27" i="1" s="1"/>
  <c r="AZ28" i="1" s="1"/>
  <c r="AZ29" i="1" s="1"/>
  <c r="AZ30" i="1" s="1"/>
  <c r="AZ31" i="1" s="1"/>
  <c r="AL135" i="1"/>
  <c r="AM135" i="1"/>
  <c r="AJ135" i="1"/>
  <c r="AK136" i="1" s="1"/>
  <c r="BB64" i="1" l="1"/>
  <c r="AN152" i="1"/>
  <c r="BB152" i="1" s="1"/>
  <c r="AM144" i="1"/>
  <c r="AN144" i="1" s="1"/>
  <c r="BB144" i="1" s="1"/>
  <c r="AN85" i="1"/>
  <c r="AN65" i="1"/>
  <c r="AN153" i="1"/>
  <c r="BB153" i="1" s="1"/>
  <c r="AL145" i="1"/>
  <c r="AJ145" i="1"/>
  <c r="AM145" i="1"/>
  <c r="AL128" i="1"/>
  <c r="AJ128" i="1"/>
  <c r="AM128" i="1"/>
  <c r="AN131" i="1"/>
  <c r="BB131" i="1" s="1"/>
  <c r="BB134" i="1"/>
  <c r="AW108" i="1"/>
  <c r="AU109" i="1"/>
  <c r="AV110" i="1" s="1"/>
  <c r="AX108" i="1"/>
  <c r="AJ89" i="1"/>
  <c r="AL89" i="1"/>
  <c r="AM89" i="1"/>
  <c r="AM154" i="1"/>
  <c r="AJ154" i="1"/>
  <c r="AK155" i="1" s="1"/>
  <c r="AL154" i="1"/>
  <c r="BB65" i="1"/>
  <c r="AU68" i="1"/>
  <c r="AV69" i="1" s="1"/>
  <c r="AX67" i="1"/>
  <c r="AW67" i="1"/>
  <c r="AY67" i="1" s="1"/>
  <c r="AZ32" i="1"/>
  <c r="AZ33" i="1" s="1"/>
  <c r="AZ34" i="1" s="1"/>
  <c r="AZ35" i="1" s="1"/>
  <c r="AZ36" i="1" s="1"/>
  <c r="AZ37" i="1" s="1"/>
  <c r="AZ38" i="1" s="1"/>
  <c r="AZ39" i="1" s="1"/>
  <c r="AZ40" i="1" s="1"/>
  <c r="AZ41" i="1" s="1"/>
  <c r="AZ42" i="1" s="1"/>
  <c r="AZ43" i="1" s="1"/>
  <c r="AZ44" i="1" s="1"/>
  <c r="AZ45" i="1" s="1"/>
  <c r="AZ46" i="1" s="1"/>
  <c r="AW47" i="1"/>
  <c r="AX47" i="1"/>
  <c r="AU48" i="1"/>
  <c r="AN88" i="1"/>
  <c r="BB88" i="1" s="1"/>
  <c r="AN34" i="1"/>
  <c r="BB34" i="1" s="1"/>
  <c r="AY78" i="1"/>
  <c r="AM115" i="1"/>
  <c r="AJ115" i="1"/>
  <c r="AK116" i="1" s="1"/>
  <c r="AL115" i="1"/>
  <c r="AN127" i="1"/>
  <c r="BB127" i="1" s="1"/>
  <c r="AJ132" i="1"/>
  <c r="AL132" i="1"/>
  <c r="AM132" i="1"/>
  <c r="AU93" i="1"/>
  <c r="AV94" i="1" s="1"/>
  <c r="AW92" i="1"/>
  <c r="AX92" i="1"/>
  <c r="AN101" i="1"/>
  <c r="BB101" i="1" s="1"/>
  <c r="AW80" i="1"/>
  <c r="AU81" i="1"/>
  <c r="AX80" i="1"/>
  <c r="AN135" i="1"/>
  <c r="BB135" i="1" s="1"/>
  <c r="AL102" i="1"/>
  <c r="AM102" i="1"/>
  <c r="AJ102" i="1"/>
  <c r="AM35" i="1"/>
  <c r="AL35" i="1"/>
  <c r="AJ35" i="1"/>
  <c r="AK36" i="1" s="1"/>
  <c r="AL122" i="1"/>
  <c r="AJ122" i="1"/>
  <c r="AK123" i="1" s="1"/>
  <c r="AM122" i="1"/>
  <c r="AM136" i="1"/>
  <c r="AL136" i="1"/>
  <c r="AJ136" i="1"/>
  <c r="AK137" i="1" s="1"/>
  <c r="AN114" i="1"/>
  <c r="BB114" i="1" s="1"/>
  <c r="AN121" i="1"/>
  <c r="BB121" i="1" s="1"/>
  <c r="AY118" i="1"/>
  <c r="BB118" i="1" s="1"/>
  <c r="AX117" i="1"/>
  <c r="AU118" i="1"/>
  <c r="AV119" i="1" s="1"/>
  <c r="AW117" i="1"/>
  <c r="AY117" i="1" s="1"/>
  <c r="AM28" i="1"/>
  <c r="AL28" i="1"/>
  <c r="AN28" i="1" s="1"/>
  <c r="BB28" i="1" s="1"/>
  <c r="AJ28" i="1"/>
  <c r="AK29" i="1" s="1"/>
  <c r="AM66" i="1"/>
  <c r="AL66" i="1"/>
  <c r="AJ66" i="1"/>
  <c r="AK67" i="1" s="1"/>
  <c r="AY115" i="1"/>
  <c r="AY85" i="1"/>
  <c r="BB85" i="1" s="1"/>
  <c r="AN27" i="1"/>
  <c r="AO27" i="1" s="1"/>
  <c r="AU88" i="1"/>
  <c r="AV89" i="1" s="1"/>
  <c r="AW87" i="1"/>
  <c r="AX87" i="1"/>
  <c r="AY106" i="1"/>
  <c r="AN145" i="1" l="1"/>
  <c r="BB145" i="1" s="1"/>
  <c r="AN115" i="1"/>
  <c r="BB115" i="1" s="1"/>
  <c r="AN35" i="1"/>
  <c r="BB35" i="1" s="1"/>
  <c r="AY92" i="1"/>
  <c r="BB92" i="1" s="1"/>
  <c r="AW94" i="1"/>
  <c r="AX94" i="1"/>
  <c r="AU95" i="1"/>
  <c r="AV96" i="1" s="1"/>
  <c r="AN132" i="1"/>
  <c r="BB132" i="1" s="1"/>
  <c r="AY108" i="1"/>
  <c r="BB108" i="1" s="1"/>
  <c r="AN89" i="1"/>
  <c r="AY47" i="1"/>
  <c r="BB47" i="1" s="1"/>
  <c r="AX110" i="1"/>
  <c r="AW110" i="1"/>
  <c r="AY110" i="1" s="1"/>
  <c r="BB110" i="1" s="1"/>
  <c r="AU111" i="1"/>
  <c r="AV112" i="1" s="1"/>
  <c r="AU70" i="1"/>
  <c r="AV71" i="1" s="1"/>
  <c r="AX69" i="1"/>
  <c r="AW69" i="1"/>
  <c r="AY69" i="1" s="1"/>
  <c r="AM116" i="1"/>
  <c r="AL116" i="1"/>
  <c r="AN116" i="1" s="1"/>
  <c r="BB116" i="1" s="1"/>
  <c r="AJ116" i="1"/>
  <c r="AK117" i="1" s="1"/>
  <c r="AN128" i="1"/>
  <c r="BB128" i="1" s="1"/>
  <c r="AY80" i="1"/>
  <c r="BB80" i="1" s="1"/>
  <c r="AN154" i="1"/>
  <c r="BB154" i="1" s="1"/>
  <c r="AM155" i="1"/>
  <c r="AJ155" i="1"/>
  <c r="AK156" i="1" s="1"/>
  <c r="AL155" i="1"/>
  <c r="AN155" i="1" s="1"/>
  <c r="BB155" i="1" s="1"/>
  <c r="AL146" i="1"/>
  <c r="AJ146" i="1"/>
  <c r="AK147" i="1" s="1"/>
  <c r="AM146" i="1"/>
  <c r="AO28" i="1"/>
  <c r="AN136" i="1"/>
  <c r="BB136" i="1" s="1"/>
  <c r="AM137" i="1"/>
  <c r="AL137" i="1"/>
  <c r="AN137" i="1" s="1"/>
  <c r="BB137" i="1" s="1"/>
  <c r="AJ137" i="1"/>
  <c r="AK138" i="1" s="1"/>
  <c r="AU120" i="1"/>
  <c r="AX119" i="1"/>
  <c r="AW119" i="1"/>
  <c r="AY119" i="1" s="1"/>
  <c r="BB119" i="1" s="1"/>
  <c r="AL103" i="1"/>
  <c r="AJ103" i="1"/>
  <c r="AK104" i="1" s="1"/>
  <c r="AM103" i="1"/>
  <c r="AJ67" i="1"/>
  <c r="AK68" i="1" s="1"/>
  <c r="AM67" i="1"/>
  <c r="AL67" i="1"/>
  <c r="AX89" i="1"/>
  <c r="AU90" i="1"/>
  <c r="AV91" i="1" s="1"/>
  <c r="AW89" i="1"/>
  <c r="AY89" i="1" s="1"/>
  <c r="BB27" i="1"/>
  <c r="AN66" i="1"/>
  <c r="BB66" i="1" s="1"/>
  <c r="AN102" i="1"/>
  <c r="BB102" i="1" s="1"/>
  <c r="AM29" i="1"/>
  <c r="AL29" i="1"/>
  <c r="AN29" i="1" s="1"/>
  <c r="BB29" i="1" s="1"/>
  <c r="AJ29" i="1"/>
  <c r="AK30" i="1" s="1"/>
  <c r="AY87" i="1"/>
  <c r="AM123" i="1"/>
  <c r="AJ123" i="1"/>
  <c r="AK124" i="1" s="1"/>
  <c r="AL123" i="1"/>
  <c r="AN123" i="1" s="1"/>
  <c r="BB123" i="1" s="1"/>
  <c r="AN122" i="1"/>
  <c r="BB122" i="1" s="1"/>
  <c r="AM36" i="1"/>
  <c r="AL36" i="1"/>
  <c r="AN36" i="1" s="1"/>
  <c r="BB36" i="1" s="1"/>
  <c r="AJ36" i="1"/>
  <c r="AK37" i="1" s="1"/>
  <c r="AN146" i="1" l="1"/>
  <c r="BB146" i="1" s="1"/>
  <c r="AN67" i="1"/>
  <c r="BB67" i="1" s="1"/>
  <c r="AL147" i="1"/>
  <c r="AM147" i="1"/>
  <c r="AJ147" i="1"/>
  <c r="AJ156" i="1"/>
  <c r="AL156" i="1"/>
  <c r="AM156" i="1"/>
  <c r="BB89" i="1"/>
  <c r="AU92" i="1"/>
  <c r="AV93" i="1" s="1"/>
  <c r="AX91" i="1"/>
  <c r="AW91" i="1"/>
  <c r="AY91" i="1" s="1"/>
  <c r="BB91" i="1" s="1"/>
  <c r="AW112" i="1"/>
  <c r="AU113" i="1"/>
  <c r="AX112" i="1"/>
  <c r="AM117" i="1"/>
  <c r="AL117" i="1"/>
  <c r="AN117" i="1" s="1"/>
  <c r="BB117" i="1" s="1"/>
  <c r="AJ117" i="1"/>
  <c r="AW96" i="1"/>
  <c r="AX96" i="1"/>
  <c r="AU97" i="1"/>
  <c r="AV98" i="1" s="1"/>
  <c r="AY94" i="1"/>
  <c r="BB94" i="1" s="1"/>
  <c r="AU72" i="1"/>
  <c r="AX71" i="1"/>
  <c r="AW71" i="1"/>
  <c r="AY71" i="1" s="1"/>
  <c r="AZ47" i="1"/>
  <c r="AZ48" i="1" s="1"/>
  <c r="AZ49" i="1" s="1"/>
  <c r="AZ50" i="1" s="1"/>
  <c r="AZ51" i="1" s="1"/>
  <c r="AZ52" i="1" s="1"/>
  <c r="AZ53" i="1" s="1"/>
  <c r="AZ54" i="1" s="1"/>
  <c r="AZ55" i="1" s="1"/>
  <c r="AZ56" i="1" s="1"/>
  <c r="AZ57" i="1" s="1"/>
  <c r="AZ58" i="1" s="1"/>
  <c r="AZ59" i="1" s="1"/>
  <c r="AZ60" i="1" s="1"/>
  <c r="AZ61" i="1" s="1"/>
  <c r="AZ62" i="1" s="1"/>
  <c r="AZ63" i="1" s="1"/>
  <c r="AZ64" i="1" s="1"/>
  <c r="AZ65" i="1" s="1"/>
  <c r="AZ66" i="1" s="1"/>
  <c r="AZ67" i="1" s="1"/>
  <c r="AZ68" i="1" s="1"/>
  <c r="AZ69" i="1" s="1"/>
  <c r="AZ70" i="1" s="1"/>
  <c r="AZ71" i="1" s="1"/>
  <c r="AZ72" i="1" s="1"/>
  <c r="AZ73" i="1" s="1"/>
  <c r="AZ74" i="1" s="1"/>
  <c r="AZ75" i="1" s="1"/>
  <c r="AZ76" i="1" s="1"/>
  <c r="AZ77" i="1" s="1"/>
  <c r="AZ78" i="1" s="1"/>
  <c r="AZ79" i="1" s="1"/>
  <c r="AZ80" i="1" s="1"/>
  <c r="AZ81" i="1" s="1"/>
  <c r="AZ82" i="1" s="1"/>
  <c r="AZ83" i="1" s="1"/>
  <c r="AZ84" i="1" s="1"/>
  <c r="AZ85" i="1" s="1"/>
  <c r="AZ86" i="1" s="1"/>
  <c r="AZ87" i="1" s="1"/>
  <c r="AZ88" i="1" s="1"/>
  <c r="AZ89" i="1" s="1"/>
  <c r="AZ90" i="1" s="1"/>
  <c r="AZ91" i="1" s="1"/>
  <c r="AZ92" i="1" s="1"/>
  <c r="AL104" i="1"/>
  <c r="AM104" i="1"/>
  <c r="AJ104" i="1"/>
  <c r="AK105" i="1" s="1"/>
  <c r="AM138" i="1"/>
  <c r="AJ138" i="1"/>
  <c r="AK139" i="1" s="1"/>
  <c r="AL138" i="1"/>
  <c r="AN138" i="1" s="1"/>
  <c r="BB138" i="1" s="1"/>
  <c r="AJ30" i="1"/>
  <c r="AK31" i="1" s="1"/>
  <c r="AM30" i="1"/>
  <c r="AL30" i="1"/>
  <c r="AN103" i="1"/>
  <c r="BB103" i="1" s="1"/>
  <c r="AJ37" i="1"/>
  <c r="AK38" i="1" s="1"/>
  <c r="AM37" i="1"/>
  <c r="AL37" i="1"/>
  <c r="AN37" i="1" s="1"/>
  <c r="BB37" i="1" s="1"/>
  <c r="BC27" i="1"/>
  <c r="BC28" i="1" s="1"/>
  <c r="BC29" i="1" s="1"/>
  <c r="AM124" i="1"/>
  <c r="AL124" i="1"/>
  <c r="AN124" i="1" s="1"/>
  <c r="BB124" i="1" s="1"/>
  <c r="AJ124" i="1"/>
  <c r="BB87" i="1"/>
  <c r="AM68" i="1"/>
  <c r="AL68" i="1"/>
  <c r="AJ68" i="1"/>
  <c r="AK69" i="1" s="1"/>
  <c r="AO29" i="1"/>
  <c r="AY112" i="1" l="1"/>
  <c r="BB112" i="1" s="1"/>
  <c r="AW93" i="1"/>
  <c r="AX93" i="1"/>
  <c r="AU94" i="1"/>
  <c r="AU99" i="1"/>
  <c r="AW98" i="1"/>
  <c r="AX98" i="1"/>
  <c r="AN156" i="1"/>
  <c r="BB156" i="1" s="1"/>
  <c r="AM105" i="1"/>
  <c r="AJ105" i="1"/>
  <c r="AK106" i="1" s="1"/>
  <c r="AL105" i="1"/>
  <c r="AN105" i="1" s="1"/>
  <c r="BB105" i="1" s="1"/>
  <c r="AY96" i="1"/>
  <c r="BB96" i="1" s="1"/>
  <c r="AN147" i="1"/>
  <c r="BB147" i="1" s="1"/>
  <c r="AN68" i="1"/>
  <c r="BB68" i="1" s="1"/>
  <c r="AN30" i="1"/>
  <c r="AO30" i="1" s="1"/>
  <c r="AL31" i="1"/>
  <c r="AM31" i="1"/>
  <c r="AJ31" i="1"/>
  <c r="AM139" i="1"/>
  <c r="AL139" i="1"/>
  <c r="AN139" i="1" s="1"/>
  <c r="BB139" i="1" s="1"/>
  <c r="AJ139" i="1"/>
  <c r="AK140" i="1" s="1"/>
  <c r="AN104" i="1"/>
  <c r="BB104" i="1" s="1"/>
  <c r="AJ38" i="1"/>
  <c r="AK39" i="1" s="1"/>
  <c r="AM38" i="1"/>
  <c r="AL38" i="1"/>
  <c r="AL69" i="1"/>
  <c r="AM69" i="1"/>
  <c r="AJ69" i="1"/>
  <c r="AK70" i="1" s="1"/>
  <c r="AJ106" i="1" l="1"/>
  <c r="AM106" i="1"/>
  <c r="AL106" i="1"/>
  <c r="AY98" i="1"/>
  <c r="BB98" i="1" s="1"/>
  <c r="AY93" i="1"/>
  <c r="AN38" i="1"/>
  <c r="BB38" i="1" s="1"/>
  <c r="AL39" i="1"/>
  <c r="AJ39" i="1"/>
  <c r="AM39" i="1"/>
  <c r="AM140" i="1"/>
  <c r="AJ140" i="1"/>
  <c r="AL140" i="1"/>
  <c r="AL70" i="1"/>
  <c r="AJ70" i="1"/>
  <c r="AK71" i="1" s="1"/>
  <c r="AM70" i="1"/>
  <c r="AN31" i="1"/>
  <c r="BB31" i="1" s="1"/>
  <c r="BB30" i="1"/>
  <c r="AN69" i="1"/>
  <c r="BB69" i="1" s="1"/>
  <c r="AN106" i="1" l="1"/>
  <c r="BB106" i="1" s="1"/>
  <c r="BB93" i="1"/>
  <c r="AZ93" i="1"/>
  <c r="AZ94" i="1" s="1"/>
  <c r="AZ95" i="1" s="1"/>
  <c r="AZ96" i="1" s="1"/>
  <c r="AZ97" i="1" s="1"/>
  <c r="AZ98" i="1" s="1"/>
  <c r="AZ99" i="1" s="1"/>
  <c r="AZ100" i="1" s="1"/>
  <c r="AZ101" i="1" s="1"/>
  <c r="AZ102" i="1" s="1"/>
  <c r="AZ103" i="1" s="1"/>
  <c r="AZ104" i="1" s="1"/>
  <c r="AZ105" i="1" s="1"/>
  <c r="AZ106" i="1" s="1"/>
  <c r="AZ107" i="1" s="1"/>
  <c r="AZ108" i="1" s="1"/>
  <c r="AZ109" i="1" s="1"/>
  <c r="AZ110" i="1" s="1"/>
  <c r="AZ111" i="1" s="1"/>
  <c r="AZ112" i="1" s="1"/>
  <c r="AZ113" i="1" s="1"/>
  <c r="AZ114" i="1" s="1"/>
  <c r="AZ115" i="1" s="1"/>
  <c r="AZ116" i="1" s="1"/>
  <c r="AZ117" i="1" s="1"/>
  <c r="AZ118" i="1" s="1"/>
  <c r="AZ119" i="1" s="1"/>
  <c r="AZ120" i="1" s="1"/>
  <c r="AZ121" i="1" s="1"/>
  <c r="AZ122" i="1" s="1"/>
  <c r="AZ123" i="1" s="1"/>
  <c r="AZ124" i="1" s="1"/>
  <c r="AZ125" i="1" s="1"/>
  <c r="AZ126" i="1" s="1"/>
  <c r="AZ127" i="1" s="1"/>
  <c r="AZ128" i="1" s="1"/>
  <c r="AZ129" i="1" s="1"/>
  <c r="AZ130" i="1" s="1"/>
  <c r="AZ131" i="1" s="1"/>
  <c r="AZ132" i="1" s="1"/>
  <c r="AZ133" i="1" s="1"/>
  <c r="AZ134" i="1" s="1"/>
  <c r="AZ135" i="1" s="1"/>
  <c r="AZ136" i="1" s="1"/>
  <c r="AZ137" i="1" s="1"/>
  <c r="AZ138" i="1" s="1"/>
  <c r="AZ139" i="1" s="1"/>
  <c r="AZ140" i="1" s="1"/>
  <c r="AZ141" i="1" s="1"/>
  <c r="AZ142" i="1" s="1"/>
  <c r="AZ143" i="1" s="1"/>
  <c r="AZ144" i="1" s="1"/>
  <c r="AZ145" i="1" s="1"/>
  <c r="AZ146" i="1" s="1"/>
  <c r="AZ147" i="1" s="1"/>
  <c r="AZ148" i="1" s="1"/>
  <c r="AZ149" i="1" s="1"/>
  <c r="AZ150" i="1" s="1"/>
  <c r="AZ151" i="1" s="1"/>
  <c r="AZ152" i="1" s="1"/>
  <c r="AZ153" i="1" s="1"/>
  <c r="AZ154" i="1" s="1"/>
  <c r="AZ155" i="1" s="1"/>
  <c r="AZ156" i="1" s="1"/>
  <c r="AZ1" i="1" s="1"/>
  <c r="AY9" i="1"/>
  <c r="AY10" i="1"/>
  <c r="AN140" i="1"/>
  <c r="BB140" i="1" s="1"/>
  <c r="AM71" i="1"/>
  <c r="AL71" i="1"/>
  <c r="AJ71" i="1"/>
  <c r="AK72" i="1" s="1"/>
  <c r="AN70" i="1"/>
  <c r="BB70" i="1" s="1"/>
  <c r="AO31" i="1"/>
  <c r="AO32" i="1" s="1"/>
  <c r="AO33" i="1" s="1"/>
  <c r="AO34" i="1" s="1"/>
  <c r="AO35" i="1" s="1"/>
  <c r="AO36" i="1" s="1"/>
  <c r="AO37" i="1" s="1"/>
  <c r="AO38" i="1" s="1"/>
  <c r="BC30" i="1"/>
  <c r="BC31" i="1" s="1"/>
  <c r="BC32" i="1" s="1"/>
  <c r="BC33" i="1" s="1"/>
  <c r="BC34" i="1" s="1"/>
  <c r="BC35" i="1" s="1"/>
  <c r="BC36" i="1" s="1"/>
  <c r="BC37" i="1" s="1"/>
  <c r="BC38" i="1" s="1"/>
  <c r="AM40" i="1"/>
  <c r="AL40" i="1"/>
  <c r="AJ40" i="1"/>
  <c r="AK41" i="1" s="1"/>
  <c r="AN39" i="1"/>
  <c r="BB39" i="1" s="1"/>
  <c r="AM72" i="1" l="1"/>
  <c r="AL72" i="1"/>
  <c r="AN72" i="1" s="1"/>
  <c r="BB72" i="1" s="1"/>
  <c r="AJ72" i="1"/>
  <c r="AK73" i="1" s="1"/>
  <c r="AY11" i="1"/>
  <c r="AN40" i="1"/>
  <c r="BB40" i="1" s="1"/>
  <c r="AN71" i="1"/>
  <c r="AL41" i="1"/>
  <c r="AJ41" i="1"/>
  <c r="AK42" i="1" s="1"/>
  <c r="AM41" i="1"/>
  <c r="BC39" i="1"/>
  <c r="BC40" i="1" s="1"/>
  <c r="AO39" i="1"/>
  <c r="AO40" i="1" s="1"/>
  <c r="BB71" i="1"/>
  <c r="AJ42" i="1" l="1"/>
  <c r="AK43" i="1" s="1"/>
  <c r="AM42" i="1"/>
  <c r="AL42" i="1"/>
  <c r="AM73" i="1"/>
  <c r="AL73" i="1"/>
  <c r="AN73" i="1" s="1"/>
  <c r="BB73" i="1" s="1"/>
  <c r="AJ73" i="1"/>
  <c r="AK74" i="1" s="1"/>
  <c r="AN41" i="1"/>
  <c r="BB41" i="1" s="1"/>
  <c r="AL43" i="1" l="1"/>
  <c r="AJ43" i="1"/>
  <c r="AM43" i="1"/>
  <c r="AM74" i="1"/>
  <c r="AL74" i="1"/>
  <c r="AN74" i="1" s="1"/>
  <c r="BB74" i="1" s="1"/>
  <c r="AJ74" i="1"/>
  <c r="AK75" i="1" s="1"/>
  <c r="AN42" i="1"/>
  <c r="BB42" i="1" s="1"/>
  <c r="BC41" i="1"/>
  <c r="BC42" i="1" s="1"/>
  <c r="AO41" i="1"/>
  <c r="AO42" i="1" s="1"/>
  <c r="AL75" i="1" l="1"/>
  <c r="AJ75" i="1"/>
  <c r="AK76" i="1" s="1"/>
  <c r="AM75" i="1"/>
  <c r="AN43" i="1"/>
  <c r="AJ76" i="1" l="1"/>
  <c r="AK77" i="1" s="1"/>
  <c r="AL76" i="1"/>
  <c r="AM76" i="1"/>
  <c r="BB43" i="1"/>
  <c r="AN75" i="1"/>
  <c r="BB75" i="1" s="1"/>
  <c r="AO43" i="1"/>
  <c r="AO44" i="1" s="1"/>
  <c r="AO45" i="1" s="1"/>
  <c r="AO46" i="1" s="1"/>
  <c r="AO47" i="1" s="1"/>
  <c r="AO48" i="1" s="1"/>
  <c r="AO49" i="1" s="1"/>
  <c r="AO50" i="1" s="1"/>
  <c r="AO51" i="1" s="1"/>
  <c r="AO52" i="1" s="1"/>
  <c r="AO53" i="1" s="1"/>
  <c r="AO54" i="1" s="1"/>
  <c r="AO55" i="1" s="1"/>
  <c r="AO56" i="1" s="1"/>
  <c r="AO57" i="1" s="1"/>
  <c r="AO58" i="1" s="1"/>
  <c r="AO59" i="1" s="1"/>
  <c r="AO60" i="1" s="1"/>
  <c r="AO61" i="1" s="1"/>
  <c r="AO62" i="1" s="1"/>
  <c r="AO63" i="1" s="1"/>
  <c r="AO64" i="1" s="1"/>
  <c r="AO65" i="1" s="1"/>
  <c r="AO66" i="1" s="1"/>
  <c r="AO67" i="1" s="1"/>
  <c r="AO68" i="1" s="1"/>
  <c r="AO69" i="1" s="1"/>
  <c r="AO70" i="1" s="1"/>
  <c r="AO71" i="1" s="1"/>
  <c r="AO72" i="1" s="1"/>
  <c r="AO73" i="1" s="1"/>
  <c r="AO74" i="1" s="1"/>
  <c r="AO75" i="1" s="1"/>
  <c r="AN76" i="1" l="1"/>
  <c r="BB76" i="1" s="1"/>
  <c r="AL77" i="1"/>
  <c r="AM77" i="1"/>
  <c r="AJ77" i="1"/>
  <c r="AK78" i="1" s="1"/>
  <c r="BC43" i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l="1"/>
  <c r="AO76" i="1"/>
  <c r="AM78" i="1"/>
  <c r="AJ78" i="1"/>
  <c r="AK79" i="1" s="1"/>
  <c r="AL78" i="1"/>
  <c r="AN77" i="1"/>
  <c r="BB77" i="1" l="1"/>
  <c r="AN78" i="1"/>
  <c r="BB78" i="1" s="1"/>
  <c r="AO77" i="1"/>
  <c r="AO78" i="1" s="1"/>
  <c r="AM79" i="1"/>
  <c r="AL79" i="1"/>
  <c r="AN79" i="1" s="1"/>
  <c r="BB79" i="1" s="1"/>
  <c r="BB10" i="1" s="1"/>
  <c r="AJ79" i="1"/>
  <c r="AN10" i="1" l="1"/>
  <c r="AO79" i="1"/>
  <c r="AO80" i="1" s="1"/>
  <c r="AO81" i="1" s="1"/>
  <c r="AO82" i="1" s="1"/>
  <c r="AO83" i="1" s="1"/>
  <c r="AO84" i="1" s="1"/>
  <c r="AO85" i="1" s="1"/>
  <c r="AO86" i="1" s="1"/>
  <c r="AO87" i="1" s="1"/>
  <c r="AO88" i="1" s="1"/>
  <c r="AO89" i="1" s="1"/>
  <c r="AO90" i="1" s="1"/>
  <c r="AO91" i="1" s="1"/>
  <c r="AO92" i="1" s="1"/>
  <c r="AO93" i="1" s="1"/>
  <c r="AO94" i="1" s="1"/>
  <c r="AO95" i="1" s="1"/>
  <c r="AO96" i="1" s="1"/>
  <c r="AO97" i="1" s="1"/>
  <c r="AO98" i="1" s="1"/>
  <c r="AO99" i="1" s="1"/>
  <c r="AO100" i="1" s="1"/>
  <c r="AO101" i="1" s="1"/>
  <c r="AO102" i="1" s="1"/>
  <c r="AO103" i="1" s="1"/>
  <c r="AO104" i="1" s="1"/>
  <c r="AO105" i="1" s="1"/>
  <c r="AO106" i="1" s="1"/>
  <c r="AO107" i="1" s="1"/>
  <c r="AO108" i="1" s="1"/>
  <c r="AO109" i="1" s="1"/>
  <c r="AO110" i="1" s="1"/>
  <c r="AO111" i="1" s="1"/>
  <c r="AO112" i="1" s="1"/>
  <c r="AO113" i="1" s="1"/>
  <c r="AO114" i="1" s="1"/>
  <c r="AO115" i="1" s="1"/>
  <c r="AO116" i="1" s="1"/>
  <c r="AO117" i="1" s="1"/>
  <c r="AO118" i="1" s="1"/>
  <c r="AO119" i="1" s="1"/>
  <c r="AO120" i="1" s="1"/>
  <c r="AO121" i="1" s="1"/>
  <c r="AO122" i="1" s="1"/>
  <c r="AO123" i="1" s="1"/>
  <c r="AO124" i="1" s="1"/>
  <c r="AO125" i="1" s="1"/>
  <c r="AO126" i="1" s="1"/>
  <c r="AO127" i="1" s="1"/>
  <c r="AO128" i="1" s="1"/>
  <c r="AO129" i="1" s="1"/>
  <c r="AO130" i="1" s="1"/>
  <c r="AO131" i="1" s="1"/>
  <c r="AO132" i="1" s="1"/>
  <c r="AO133" i="1" s="1"/>
  <c r="AO134" i="1" s="1"/>
  <c r="AO135" i="1" s="1"/>
  <c r="AO136" i="1" s="1"/>
  <c r="AO137" i="1" s="1"/>
  <c r="AO138" i="1" s="1"/>
  <c r="AO139" i="1" s="1"/>
  <c r="AO140" i="1" s="1"/>
  <c r="AO141" i="1" s="1"/>
  <c r="AO142" i="1" s="1"/>
  <c r="AO143" i="1" s="1"/>
  <c r="AO144" i="1" s="1"/>
  <c r="AO145" i="1" s="1"/>
  <c r="AO146" i="1" s="1"/>
  <c r="AO147" i="1" s="1"/>
  <c r="AO148" i="1" s="1"/>
  <c r="AO149" i="1" s="1"/>
  <c r="AO150" i="1" s="1"/>
  <c r="AO151" i="1" s="1"/>
  <c r="AO152" i="1" s="1"/>
  <c r="AO153" i="1" s="1"/>
  <c r="AO154" i="1" s="1"/>
  <c r="AO155" i="1" s="1"/>
  <c r="AO156" i="1" s="1"/>
  <c r="AO1" i="1" s="1"/>
  <c r="AN9" i="1"/>
  <c r="BB9" i="1"/>
  <c r="BB11" i="1" s="1"/>
  <c r="BC77" i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" i="1" s="1"/>
  <c r="AN11" i="1" l="1"/>
</calcChain>
</file>

<file path=xl/sharedStrings.xml><?xml version="1.0" encoding="utf-8"?>
<sst xmlns="http://schemas.openxmlformats.org/spreadsheetml/2006/main" count="37" uniqueCount="32">
  <si>
    <t>date</t>
  </si>
  <si>
    <t>BNDX</t>
  </si>
  <si>
    <t>IAGG</t>
  </si>
  <si>
    <t>IAGG/BNDX</t>
  </si>
  <si>
    <t>IAGG/BNDX avg</t>
  </si>
  <si>
    <t>IAGG/BNDX 10 dma</t>
  </si>
  <si>
    <t>IAGG/BNDX 20 dma</t>
  </si>
  <si>
    <t>BNDX avg</t>
  </si>
  <si>
    <t>BNDX 10 dma</t>
  </si>
  <si>
    <t>BNDX 20 dma</t>
  </si>
  <si>
    <t>avg diff</t>
  </si>
  <si>
    <t>10 dma diff</t>
  </si>
  <si>
    <t>20 dma diff</t>
  </si>
  <si>
    <t>BNDX div</t>
  </si>
  <si>
    <t>IAGG div</t>
  </si>
  <si>
    <t>BNDX*</t>
  </si>
  <si>
    <t>IAGG*</t>
  </si>
  <si>
    <t>IAGG*/BNDX*</t>
  </si>
  <si>
    <t>IAGG*/BNDX* avg</t>
  </si>
  <si>
    <t>IAGG*/BNDX* 10 dma</t>
  </si>
  <si>
    <t>IAGG*/BNDX* 20 dma</t>
  </si>
  <si>
    <t>BNDX* avg</t>
  </si>
  <si>
    <t>BNDX* 10 dma</t>
  </si>
  <si>
    <t>BNDX* 20 dma</t>
  </si>
  <si>
    <t>avg diff*</t>
  </si>
  <si>
    <t>10 dma diff*</t>
  </si>
  <si>
    <t>20 dma diff*</t>
  </si>
  <si>
    <t>signal</t>
  </si>
  <si>
    <t>under</t>
  </si>
  <si>
    <t>over</t>
  </si>
  <si>
    <t>yday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</si>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</sst>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* #,##0.0000_);_(* \(#,##0.0000\);_(* &quot;-&quot;??_);_(@_)"/>
    <numFmt numFmtId="167" formatCode="_(&quot;$&quot;* #,##0.0000_);_(&quot;$&quot;* \(#,##0.0000\);_(&quot;$&quot;* &quot;-&quot;??_);_(@_)"/>
    <numFmt numFmtId="169" formatCode="0.000%"/>
    <numFmt numFmtId="170" formatCode="0.000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right"/>
    </xf>
    <xf numFmtId="44" fontId="18" fillId="0" borderId="0" xfId="2" applyFont="1" applyAlignment="1">
      <alignment horizontal="right"/>
    </xf>
    <xf numFmtId="44" fontId="0" fillId="0" borderId="0" xfId="2" applyFont="1"/>
    <xf numFmtId="165" fontId="18" fillId="0" borderId="0" xfId="1" applyNumberFormat="1" applyFont="1" applyAlignment="1">
      <alignment horizontal="right"/>
    </xf>
    <xf numFmtId="165" fontId="0" fillId="0" borderId="0" xfId="1" applyNumberFormat="1" applyFont="1"/>
    <xf numFmtId="167" fontId="18" fillId="0" borderId="0" xfId="2" applyNumberFormat="1" applyFont="1" applyAlignment="1">
      <alignment horizontal="right"/>
    </xf>
    <xf numFmtId="167" fontId="0" fillId="0" borderId="0" xfId="2" applyNumberFormat="1" applyFont="1"/>
    <xf numFmtId="10" fontId="0" fillId="0" borderId="0" xfId="3" applyNumberFormat="1" applyFont="1"/>
    <xf numFmtId="169" fontId="18" fillId="0" borderId="0" xfId="3" applyNumberFormat="1" applyFont="1" applyAlignment="1">
      <alignment horizontal="right"/>
    </xf>
    <xf numFmtId="169" fontId="0" fillId="0" borderId="0" xfId="3" applyNumberFormat="1" applyFont="1"/>
    <xf numFmtId="170" fontId="18" fillId="0" borderId="0" xfId="3" applyNumberFormat="1" applyFont="1" applyAlignment="1">
      <alignment horizontal="right"/>
    </xf>
    <xf numFmtId="170" fontId="0" fillId="0" borderId="0" xfId="3" applyNumberFormat="1" applyFont="1"/>
    <xf numFmtId="10" fontId="18" fillId="33" borderId="0" xfId="2" applyNumberFormat="1" applyFont="1" applyFill="1" applyAlignment="1">
      <alignment horizontal="right"/>
    </xf>
    <xf numFmtId="10" fontId="18" fillId="0" borderId="0" xfId="0" applyNumberFormat="1" applyFont="1" applyAlignment="1">
      <alignment horizontal="right"/>
    </xf>
    <xf numFmtId="10" fontId="0" fillId="0" borderId="0" xfId="0" applyNumberFormat="1"/>
    <xf numFmtId="44" fontId="19" fillId="0" borderId="0" xfId="2" applyFont="1"/>
    <xf numFmtId="0" fontId="20" fillId="0" borderId="0" xfId="0" applyFont="1"/>
    <xf numFmtId="165" fontId="14" fillId="0" borderId="0" xfId="1" applyNumberFormat="1" applyFont="1"/>
    <xf numFmtId="44" fontId="14" fillId="0" borderId="0" xfId="2" applyFont="1"/>
    <xf numFmtId="167" fontId="14" fillId="0" borderId="0" xfId="2" applyNumberFormat="1" applyFont="1"/>
    <xf numFmtId="169" fontId="14" fillId="0" borderId="0" xfId="3" applyNumberFormat="1" applyFont="1"/>
    <xf numFmtId="0" fontId="0" fillId="34" borderId="0" xfId="0" applyFill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BNDX_IAGG!$AO$22:$AO$156</c:f>
              <c:numCache>
                <c:formatCode>0.00%</c:formatCode>
                <c:ptCount val="1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1.1850043459538761E-3</c:v>
                </c:pt>
                <c:pt idx="8">
                  <c:v>7.1319110916867731E-4</c:v>
                </c:pt>
                <c:pt idx="9">
                  <c:v>1.4984911993333181E-3</c:v>
                </c:pt>
                <c:pt idx="10">
                  <c:v>1.4984911993333181E-3</c:v>
                </c:pt>
                <c:pt idx="11">
                  <c:v>1.4984911993333181E-3</c:v>
                </c:pt>
                <c:pt idx="12">
                  <c:v>1.6760088339452402E-3</c:v>
                </c:pt>
                <c:pt idx="13">
                  <c:v>1.8397308910650802E-3</c:v>
                </c:pt>
                <c:pt idx="14">
                  <c:v>1.1875978687159339E-3</c:v>
                </c:pt>
                <c:pt idx="15">
                  <c:v>7.800999005667024E-4</c:v>
                </c:pt>
                <c:pt idx="16">
                  <c:v>1.4114346626733928E-3</c:v>
                </c:pt>
                <c:pt idx="17">
                  <c:v>7.670119615400255E-4</c:v>
                </c:pt>
                <c:pt idx="18">
                  <c:v>7.670119615400255E-4</c:v>
                </c:pt>
                <c:pt idx="19">
                  <c:v>7.670119615400255E-4</c:v>
                </c:pt>
                <c:pt idx="20">
                  <c:v>1.6277709088941209E-3</c:v>
                </c:pt>
                <c:pt idx="21">
                  <c:v>2.8572792605016523E-3</c:v>
                </c:pt>
                <c:pt idx="22">
                  <c:v>2.8572792605016523E-3</c:v>
                </c:pt>
                <c:pt idx="23">
                  <c:v>2.8572792605016523E-3</c:v>
                </c:pt>
                <c:pt idx="24">
                  <c:v>2.8572792605016523E-3</c:v>
                </c:pt>
                <c:pt idx="25">
                  <c:v>2.8572792605016523E-3</c:v>
                </c:pt>
                <c:pt idx="26">
                  <c:v>2.8572792605016523E-3</c:v>
                </c:pt>
                <c:pt idx="27">
                  <c:v>2.8572792605016523E-3</c:v>
                </c:pt>
                <c:pt idx="28">
                  <c:v>2.8572792605016523E-3</c:v>
                </c:pt>
                <c:pt idx="29">
                  <c:v>2.8572792605016523E-3</c:v>
                </c:pt>
                <c:pt idx="30">
                  <c:v>2.8572792605016523E-3</c:v>
                </c:pt>
                <c:pt idx="31">
                  <c:v>2.8572792605016523E-3</c:v>
                </c:pt>
                <c:pt idx="32">
                  <c:v>2.8572792605016523E-3</c:v>
                </c:pt>
                <c:pt idx="33">
                  <c:v>2.8572792605016523E-3</c:v>
                </c:pt>
                <c:pt idx="34">
                  <c:v>2.8572792605016523E-3</c:v>
                </c:pt>
                <c:pt idx="35">
                  <c:v>2.8572792605016523E-3</c:v>
                </c:pt>
                <c:pt idx="36">
                  <c:v>2.8572792605016523E-3</c:v>
                </c:pt>
                <c:pt idx="37">
                  <c:v>2.8572792605016523E-3</c:v>
                </c:pt>
                <c:pt idx="38">
                  <c:v>2.8572792605016523E-3</c:v>
                </c:pt>
                <c:pt idx="39">
                  <c:v>2.8572792605016523E-3</c:v>
                </c:pt>
                <c:pt idx="40">
                  <c:v>2.8572792605016523E-3</c:v>
                </c:pt>
                <c:pt idx="41">
                  <c:v>2.8572792605016523E-3</c:v>
                </c:pt>
                <c:pt idx="42">
                  <c:v>2.8572792605016523E-3</c:v>
                </c:pt>
                <c:pt idx="43">
                  <c:v>2.8572792605016523E-3</c:v>
                </c:pt>
                <c:pt idx="44">
                  <c:v>2.8572792605016523E-3</c:v>
                </c:pt>
                <c:pt idx="45">
                  <c:v>2.8572792605016523E-3</c:v>
                </c:pt>
                <c:pt idx="46">
                  <c:v>2.8572792605016523E-3</c:v>
                </c:pt>
                <c:pt idx="47">
                  <c:v>2.8572792605016523E-3</c:v>
                </c:pt>
                <c:pt idx="48">
                  <c:v>2.8572792605016523E-3</c:v>
                </c:pt>
                <c:pt idx="49">
                  <c:v>2.8572792605016523E-3</c:v>
                </c:pt>
                <c:pt idx="50">
                  <c:v>2.8572792605016523E-3</c:v>
                </c:pt>
                <c:pt idx="51">
                  <c:v>2.8572792605016523E-3</c:v>
                </c:pt>
                <c:pt idx="52">
                  <c:v>2.8572792605016523E-3</c:v>
                </c:pt>
                <c:pt idx="53">
                  <c:v>2.8572792605016523E-3</c:v>
                </c:pt>
                <c:pt idx="54">
                  <c:v>2.8572792605016523E-3</c:v>
                </c:pt>
                <c:pt idx="55">
                  <c:v>2.8572792605016523E-3</c:v>
                </c:pt>
                <c:pt idx="56">
                  <c:v>2.8572792605016523E-3</c:v>
                </c:pt>
                <c:pt idx="57">
                  <c:v>2.8572792605016523E-3</c:v>
                </c:pt>
                <c:pt idx="58">
                  <c:v>2.8572792605016523E-3</c:v>
                </c:pt>
                <c:pt idx="59">
                  <c:v>2.8572792605016523E-3</c:v>
                </c:pt>
                <c:pt idx="60">
                  <c:v>2.8572792605016523E-3</c:v>
                </c:pt>
                <c:pt idx="61">
                  <c:v>2.8572792605016523E-3</c:v>
                </c:pt>
                <c:pt idx="62">
                  <c:v>2.8572792605016523E-3</c:v>
                </c:pt>
                <c:pt idx="63">
                  <c:v>2.8572792605016523E-3</c:v>
                </c:pt>
                <c:pt idx="64">
                  <c:v>2.8572792605016523E-3</c:v>
                </c:pt>
                <c:pt idx="65">
                  <c:v>2.8572792605016523E-3</c:v>
                </c:pt>
                <c:pt idx="66">
                  <c:v>2.8572792605016523E-3</c:v>
                </c:pt>
                <c:pt idx="67">
                  <c:v>2.8572792605016523E-3</c:v>
                </c:pt>
                <c:pt idx="68">
                  <c:v>2.8572792605016523E-3</c:v>
                </c:pt>
                <c:pt idx="69">
                  <c:v>2.8572792605016523E-3</c:v>
                </c:pt>
                <c:pt idx="70">
                  <c:v>2.8572792605016523E-3</c:v>
                </c:pt>
                <c:pt idx="71">
                  <c:v>2.8572792605016523E-3</c:v>
                </c:pt>
                <c:pt idx="72">
                  <c:v>2.8572792605016523E-3</c:v>
                </c:pt>
                <c:pt idx="73">
                  <c:v>2.8572792605016523E-3</c:v>
                </c:pt>
                <c:pt idx="74">
                  <c:v>2.8572792605016523E-3</c:v>
                </c:pt>
                <c:pt idx="75">
                  <c:v>2.8572792605016523E-3</c:v>
                </c:pt>
                <c:pt idx="76">
                  <c:v>2.8572792605016523E-3</c:v>
                </c:pt>
                <c:pt idx="77">
                  <c:v>2.8572792605016523E-3</c:v>
                </c:pt>
                <c:pt idx="78">
                  <c:v>2.8572792605016523E-3</c:v>
                </c:pt>
                <c:pt idx="79">
                  <c:v>3.2638636191984196E-3</c:v>
                </c:pt>
                <c:pt idx="80">
                  <c:v>3.0321072396075175E-3</c:v>
                </c:pt>
                <c:pt idx="81">
                  <c:v>3.0321072396075175E-3</c:v>
                </c:pt>
                <c:pt idx="82">
                  <c:v>6.7985174427072012E-3</c:v>
                </c:pt>
                <c:pt idx="83">
                  <c:v>5.7255720400455918E-3</c:v>
                </c:pt>
                <c:pt idx="84">
                  <c:v>7.2675382115448706E-3</c:v>
                </c:pt>
                <c:pt idx="85">
                  <c:v>7.2675382115448706E-3</c:v>
                </c:pt>
                <c:pt idx="86">
                  <c:v>7.2675382115448706E-3</c:v>
                </c:pt>
                <c:pt idx="87">
                  <c:v>7.2675382115448706E-3</c:v>
                </c:pt>
                <c:pt idx="88">
                  <c:v>7.2675382115448706E-3</c:v>
                </c:pt>
                <c:pt idx="89">
                  <c:v>7.2675382115448706E-3</c:v>
                </c:pt>
                <c:pt idx="90">
                  <c:v>7.2675382115448706E-3</c:v>
                </c:pt>
                <c:pt idx="91">
                  <c:v>7.2675382115448706E-3</c:v>
                </c:pt>
                <c:pt idx="92">
                  <c:v>8.4504790363504768E-3</c:v>
                </c:pt>
                <c:pt idx="93">
                  <c:v>8.5964433721643033E-3</c:v>
                </c:pt>
                <c:pt idx="94">
                  <c:v>8.4156435385638554E-3</c:v>
                </c:pt>
                <c:pt idx="95">
                  <c:v>9.5689834207591251E-3</c:v>
                </c:pt>
                <c:pt idx="96">
                  <c:v>9.5689834207591251E-3</c:v>
                </c:pt>
                <c:pt idx="97">
                  <c:v>9.5689834207591251E-3</c:v>
                </c:pt>
                <c:pt idx="98">
                  <c:v>9.5689834207591251E-3</c:v>
                </c:pt>
                <c:pt idx="99">
                  <c:v>9.5689834207591251E-3</c:v>
                </c:pt>
                <c:pt idx="100">
                  <c:v>9.5689834207591251E-3</c:v>
                </c:pt>
                <c:pt idx="101">
                  <c:v>9.5689834207591251E-3</c:v>
                </c:pt>
                <c:pt idx="102">
                  <c:v>9.5689834207591251E-3</c:v>
                </c:pt>
                <c:pt idx="103">
                  <c:v>9.5689834207591251E-3</c:v>
                </c:pt>
                <c:pt idx="104">
                  <c:v>9.5689834207591251E-3</c:v>
                </c:pt>
                <c:pt idx="105">
                  <c:v>9.5689834207591251E-3</c:v>
                </c:pt>
                <c:pt idx="106">
                  <c:v>9.5689834207591251E-3</c:v>
                </c:pt>
                <c:pt idx="107">
                  <c:v>9.5689834207591251E-3</c:v>
                </c:pt>
                <c:pt idx="108">
                  <c:v>9.5689834207591251E-3</c:v>
                </c:pt>
                <c:pt idx="109">
                  <c:v>9.5689834207591251E-3</c:v>
                </c:pt>
                <c:pt idx="110">
                  <c:v>9.5689834207591251E-3</c:v>
                </c:pt>
                <c:pt idx="111">
                  <c:v>9.5689834207591251E-3</c:v>
                </c:pt>
                <c:pt idx="112">
                  <c:v>9.5689834207591251E-3</c:v>
                </c:pt>
                <c:pt idx="113">
                  <c:v>9.5689834207591251E-3</c:v>
                </c:pt>
                <c:pt idx="114">
                  <c:v>9.5689834207591251E-3</c:v>
                </c:pt>
                <c:pt idx="115">
                  <c:v>9.5689834207591251E-3</c:v>
                </c:pt>
                <c:pt idx="116">
                  <c:v>9.5689834207591251E-3</c:v>
                </c:pt>
                <c:pt idx="117">
                  <c:v>9.5689834207591251E-3</c:v>
                </c:pt>
                <c:pt idx="118">
                  <c:v>9.5689834207591251E-3</c:v>
                </c:pt>
                <c:pt idx="119">
                  <c:v>9.5689834207591251E-3</c:v>
                </c:pt>
                <c:pt idx="120">
                  <c:v>9.5689834207591251E-3</c:v>
                </c:pt>
                <c:pt idx="121">
                  <c:v>1.01140935770035E-2</c:v>
                </c:pt>
                <c:pt idx="122">
                  <c:v>1.0662295167090548E-2</c:v>
                </c:pt>
                <c:pt idx="123">
                  <c:v>1.040405653818057E-2</c:v>
                </c:pt>
                <c:pt idx="124">
                  <c:v>1.040405653818057E-2</c:v>
                </c:pt>
                <c:pt idx="125">
                  <c:v>1.040405653818057E-2</c:v>
                </c:pt>
                <c:pt idx="126">
                  <c:v>1.0292173409225305E-2</c:v>
                </c:pt>
                <c:pt idx="127">
                  <c:v>1.0275013314159564E-2</c:v>
                </c:pt>
                <c:pt idx="128">
                  <c:v>1.0561134325943255E-2</c:v>
                </c:pt>
                <c:pt idx="129">
                  <c:v>1.0709187593750603E-2</c:v>
                </c:pt>
                <c:pt idx="130">
                  <c:v>1.1449753590490337E-2</c:v>
                </c:pt>
                <c:pt idx="131">
                  <c:v>1.1022584874423411E-2</c:v>
                </c:pt>
                <c:pt idx="132">
                  <c:v>1.1022584874423411E-2</c:v>
                </c:pt>
                <c:pt idx="133">
                  <c:v>1.0743897953532654E-2</c:v>
                </c:pt>
                <c:pt idx="134">
                  <c:v>1.2314185751399998E-2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C-46F3-B6EC-1F4775310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BNDX_IAGG!$AZ$22:$AZ$156</c:f>
              <c:numCache>
                <c:formatCode>0.00%</c:formatCode>
                <c:ptCount val="1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-1.4143794905438619E-4</c:v>
                </c:pt>
                <c:pt idx="23">
                  <c:v>-1.6378644508198417E-3</c:v>
                </c:pt>
                <c:pt idx="24">
                  <c:v>-7.895909289753842E-4</c:v>
                </c:pt>
                <c:pt idx="25">
                  <c:v>-4.2260807448407482E-4</c:v>
                </c:pt>
                <c:pt idx="26">
                  <c:v>-1.7864800514910783E-3</c:v>
                </c:pt>
                <c:pt idx="27">
                  <c:v>-2.7204286510624271E-3</c:v>
                </c:pt>
                <c:pt idx="28">
                  <c:v>-3.1854677780275343E-3</c:v>
                </c:pt>
                <c:pt idx="29">
                  <c:v>-2.0095519509285178E-3</c:v>
                </c:pt>
                <c:pt idx="30">
                  <c:v>-5.5132550016170597E-4</c:v>
                </c:pt>
                <c:pt idx="31">
                  <c:v>-2.4964233158893804E-3</c:v>
                </c:pt>
                <c:pt idx="32">
                  <c:v>-2.879836905366492E-3</c:v>
                </c:pt>
                <c:pt idx="33">
                  <c:v>-2.7384091657881009E-3</c:v>
                </c:pt>
                <c:pt idx="34">
                  <c:v>-2.7769759802552633E-3</c:v>
                </c:pt>
                <c:pt idx="35">
                  <c:v>-2.722184167260144E-3</c:v>
                </c:pt>
                <c:pt idx="36">
                  <c:v>-2.5204886324017876E-3</c:v>
                </c:pt>
                <c:pt idx="37">
                  <c:v>-4.6056209487814349E-3</c:v>
                </c:pt>
                <c:pt idx="38">
                  <c:v>-4.6737593831688382E-3</c:v>
                </c:pt>
                <c:pt idx="39">
                  <c:v>-4.563147923666841E-3</c:v>
                </c:pt>
                <c:pt idx="40">
                  <c:v>-4.563147923666841E-3</c:v>
                </c:pt>
                <c:pt idx="41">
                  <c:v>-1.7923532938207806E-3</c:v>
                </c:pt>
                <c:pt idx="42">
                  <c:v>-1.7923532938207806E-3</c:v>
                </c:pt>
                <c:pt idx="43">
                  <c:v>-2.6587511241399644E-3</c:v>
                </c:pt>
                <c:pt idx="44">
                  <c:v>-2.4339873499822479E-3</c:v>
                </c:pt>
                <c:pt idx="45">
                  <c:v>-1.1447062059022051E-3</c:v>
                </c:pt>
                <c:pt idx="46">
                  <c:v>-1.1447062059022051E-3</c:v>
                </c:pt>
                <c:pt idx="47">
                  <c:v>-1.6482771740878479E-3</c:v>
                </c:pt>
                <c:pt idx="48">
                  <c:v>-6.1495029054164279E-4</c:v>
                </c:pt>
                <c:pt idx="49">
                  <c:v>3.2380297098888108E-4</c:v>
                </c:pt>
                <c:pt idx="50">
                  <c:v>3.2380297098888108E-4</c:v>
                </c:pt>
                <c:pt idx="51">
                  <c:v>3.2380297098888108E-4</c:v>
                </c:pt>
                <c:pt idx="52">
                  <c:v>3.2380297098888108E-4</c:v>
                </c:pt>
                <c:pt idx="53">
                  <c:v>3.2380297098888108E-4</c:v>
                </c:pt>
                <c:pt idx="54">
                  <c:v>3.2380297098888108E-4</c:v>
                </c:pt>
                <c:pt idx="55">
                  <c:v>3.2380297098888108E-4</c:v>
                </c:pt>
                <c:pt idx="56">
                  <c:v>3.2380297098888108E-4</c:v>
                </c:pt>
                <c:pt idx="57">
                  <c:v>3.2380297098888108E-4</c:v>
                </c:pt>
                <c:pt idx="58">
                  <c:v>3.2380297098888108E-4</c:v>
                </c:pt>
                <c:pt idx="59">
                  <c:v>3.2380297098888108E-4</c:v>
                </c:pt>
                <c:pt idx="60">
                  <c:v>3.2380297098888108E-4</c:v>
                </c:pt>
                <c:pt idx="61">
                  <c:v>3.2380297098888108E-4</c:v>
                </c:pt>
                <c:pt idx="62">
                  <c:v>3.2380297098888108E-4</c:v>
                </c:pt>
                <c:pt idx="63">
                  <c:v>3.2380297098888108E-4</c:v>
                </c:pt>
                <c:pt idx="64">
                  <c:v>3.2380297098888108E-4</c:v>
                </c:pt>
                <c:pt idx="65">
                  <c:v>3.2380297098888108E-4</c:v>
                </c:pt>
                <c:pt idx="66">
                  <c:v>3.2380297098888108E-4</c:v>
                </c:pt>
                <c:pt idx="67">
                  <c:v>3.2380297098888108E-4</c:v>
                </c:pt>
                <c:pt idx="68">
                  <c:v>3.2380297098888108E-4</c:v>
                </c:pt>
                <c:pt idx="69">
                  <c:v>3.2380297098888108E-4</c:v>
                </c:pt>
                <c:pt idx="70">
                  <c:v>1.2025810491642711E-3</c:v>
                </c:pt>
                <c:pt idx="71">
                  <c:v>1.2025810491642711E-3</c:v>
                </c:pt>
                <c:pt idx="72">
                  <c:v>1.2025810491642711E-3</c:v>
                </c:pt>
                <c:pt idx="73">
                  <c:v>1.7199454704019041E-3</c:v>
                </c:pt>
                <c:pt idx="74">
                  <c:v>1.6229257379934661E-3</c:v>
                </c:pt>
                <c:pt idx="75">
                  <c:v>2.712836681277963E-3</c:v>
                </c:pt>
                <c:pt idx="76">
                  <c:v>3.1639802109337521E-3</c:v>
                </c:pt>
                <c:pt idx="77">
                  <c:v>4.2302529398101692E-3</c:v>
                </c:pt>
                <c:pt idx="78">
                  <c:v>4.2302529398101692E-3</c:v>
                </c:pt>
                <c:pt idx="79">
                  <c:v>4.2302529398101692E-3</c:v>
                </c:pt>
                <c:pt idx="80">
                  <c:v>4.2302529398101692E-3</c:v>
                </c:pt>
                <c:pt idx="81">
                  <c:v>4.2302529398101692E-3</c:v>
                </c:pt>
                <c:pt idx="82">
                  <c:v>4.2302529398101692E-3</c:v>
                </c:pt>
                <c:pt idx="83">
                  <c:v>4.2302529398101692E-3</c:v>
                </c:pt>
                <c:pt idx="84">
                  <c:v>4.2302529398101692E-3</c:v>
                </c:pt>
                <c:pt idx="85">
                  <c:v>4.2302529398101692E-3</c:v>
                </c:pt>
                <c:pt idx="86">
                  <c:v>4.2302529398101692E-3</c:v>
                </c:pt>
                <c:pt idx="87">
                  <c:v>4.2302529398101692E-3</c:v>
                </c:pt>
                <c:pt idx="88">
                  <c:v>4.2302529398101692E-3</c:v>
                </c:pt>
                <c:pt idx="89">
                  <c:v>4.2302529398101692E-3</c:v>
                </c:pt>
                <c:pt idx="90">
                  <c:v>5.4766079982816957E-3</c:v>
                </c:pt>
                <c:pt idx="91">
                  <c:v>5.4766079982816957E-3</c:v>
                </c:pt>
                <c:pt idx="92">
                  <c:v>5.4766079982816957E-3</c:v>
                </c:pt>
                <c:pt idx="93">
                  <c:v>5.4766079982816957E-3</c:v>
                </c:pt>
                <c:pt idx="94">
                  <c:v>5.4766079982816957E-3</c:v>
                </c:pt>
                <c:pt idx="95">
                  <c:v>5.4766079982816957E-3</c:v>
                </c:pt>
                <c:pt idx="96">
                  <c:v>5.4051082755790913E-3</c:v>
                </c:pt>
                <c:pt idx="97">
                  <c:v>7.4831673717649467E-3</c:v>
                </c:pt>
                <c:pt idx="98">
                  <c:v>7.4831673717649467E-3</c:v>
                </c:pt>
                <c:pt idx="99">
                  <c:v>7.4831673717649467E-3</c:v>
                </c:pt>
                <c:pt idx="100">
                  <c:v>7.4831673717649467E-3</c:v>
                </c:pt>
                <c:pt idx="101">
                  <c:v>7.4831673717649467E-3</c:v>
                </c:pt>
                <c:pt idx="102">
                  <c:v>7.4831673717649467E-3</c:v>
                </c:pt>
                <c:pt idx="103">
                  <c:v>7.4831673717649467E-3</c:v>
                </c:pt>
                <c:pt idx="104">
                  <c:v>7.4831673717649467E-3</c:v>
                </c:pt>
                <c:pt idx="105">
                  <c:v>7.4831673717649467E-3</c:v>
                </c:pt>
                <c:pt idx="106">
                  <c:v>7.4831673717649467E-3</c:v>
                </c:pt>
                <c:pt idx="107">
                  <c:v>7.4831673717649467E-3</c:v>
                </c:pt>
                <c:pt idx="108">
                  <c:v>9.642464800385794E-3</c:v>
                </c:pt>
                <c:pt idx="109">
                  <c:v>9.642464800385794E-3</c:v>
                </c:pt>
                <c:pt idx="110">
                  <c:v>9.642464800385794E-3</c:v>
                </c:pt>
                <c:pt idx="111">
                  <c:v>9.642464800385794E-3</c:v>
                </c:pt>
                <c:pt idx="112">
                  <c:v>9.642464800385794E-3</c:v>
                </c:pt>
                <c:pt idx="113">
                  <c:v>9.642464800385794E-3</c:v>
                </c:pt>
                <c:pt idx="114">
                  <c:v>9.642464800385794E-3</c:v>
                </c:pt>
                <c:pt idx="115">
                  <c:v>9.642464800385794E-3</c:v>
                </c:pt>
                <c:pt idx="116">
                  <c:v>9.642464800385794E-3</c:v>
                </c:pt>
                <c:pt idx="117">
                  <c:v>9.642464800385794E-3</c:v>
                </c:pt>
                <c:pt idx="118">
                  <c:v>9.642464800385794E-3</c:v>
                </c:pt>
                <c:pt idx="119">
                  <c:v>9.642464800385794E-3</c:v>
                </c:pt>
                <c:pt idx="120">
                  <c:v>9.642464800385794E-3</c:v>
                </c:pt>
                <c:pt idx="121">
                  <c:v>9.642464800385794E-3</c:v>
                </c:pt>
                <c:pt idx="122">
                  <c:v>9.642464800385794E-3</c:v>
                </c:pt>
                <c:pt idx="123">
                  <c:v>9.642464800385794E-3</c:v>
                </c:pt>
                <c:pt idx="124">
                  <c:v>9.642464800385794E-3</c:v>
                </c:pt>
                <c:pt idx="125">
                  <c:v>9.642464800385794E-3</c:v>
                </c:pt>
                <c:pt idx="126">
                  <c:v>9.642464800385794E-3</c:v>
                </c:pt>
                <c:pt idx="127">
                  <c:v>9.642464800385794E-3</c:v>
                </c:pt>
                <c:pt idx="128">
                  <c:v>9.642464800385794E-3</c:v>
                </c:pt>
                <c:pt idx="129">
                  <c:v>9.642464800385794E-3</c:v>
                </c:pt>
                <c:pt idx="130">
                  <c:v>9.642464800385794E-3</c:v>
                </c:pt>
                <c:pt idx="131">
                  <c:v>9.642464800385794E-3</c:v>
                </c:pt>
                <c:pt idx="132">
                  <c:v>9.642464800385794E-3</c:v>
                </c:pt>
                <c:pt idx="133">
                  <c:v>9.642464800385794E-3</c:v>
                </c:pt>
                <c:pt idx="134">
                  <c:v>9.642464800385794E-3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3A-4D66-B637-8C0E41309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5927776"/>
        <c:axId val="1284439856"/>
      </c:lineChart>
      <c:catAx>
        <c:axId val="1285927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439856"/>
        <c:crosses val="autoZero"/>
        <c:auto val="1"/>
        <c:lblAlgn val="ctr"/>
        <c:lblOffset val="100"/>
        <c:noMultiLvlLbl val="0"/>
      </c:catAx>
      <c:valAx>
        <c:axId val="128443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92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BNDX_IAGG!$E$1</c:f>
              <c:strCache>
                <c:ptCount val="1"/>
                <c:pt idx="0">
                  <c:v> IAGG/BNDX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BNDX_IAGG!$E$2:$E$156</c:f>
              <c:numCache>
                <c:formatCode>_(* #,##0.0000_);_(* \(#,##0.0000\);_(* "-"??_);_(@_)</c:formatCode>
                <c:ptCount val="155"/>
                <c:pt idx="0">
                  <c:v>1.0395631876754901</c:v>
                </c:pt>
                <c:pt idx="1">
                  <c:v>1.0395631876754901</c:v>
                </c:pt>
                <c:pt idx="2">
                  <c:v>1.0395631876754901</c:v>
                </c:pt>
                <c:pt idx="3">
                  <c:v>1.0395631876754901</c:v>
                </c:pt>
                <c:pt idx="4">
                  <c:v>1.0395631876754901</c:v>
                </c:pt>
                <c:pt idx="5">
                  <c:v>1.0395631876754901</c:v>
                </c:pt>
                <c:pt idx="6">
                  <c:v>1.0395631876754901</c:v>
                </c:pt>
                <c:pt idx="7">
                  <c:v>1.0395631876754901</c:v>
                </c:pt>
                <c:pt idx="8">
                  <c:v>1.0395631876754901</c:v>
                </c:pt>
                <c:pt idx="9">
                  <c:v>1.0395631876754901</c:v>
                </c:pt>
                <c:pt idx="10">
                  <c:v>1.0395631876754901</c:v>
                </c:pt>
                <c:pt idx="11">
                  <c:v>1.0395631876754901</c:v>
                </c:pt>
                <c:pt idx="12">
                  <c:v>1.0395631876754901</c:v>
                </c:pt>
                <c:pt idx="13">
                  <c:v>1.0395631876754901</c:v>
                </c:pt>
                <c:pt idx="14">
                  <c:v>1.0395631876754901</c:v>
                </c:pt>
                <c:pt idx="15">
                  <c:v>1.0395631876754901</c:v>
                </c:pt>
                <c:pt idx="16">
                  <c:v>1.0395631876754901</c:v>
                </c:pt>
                <c:pt idx="17">
                  <c:v>1.0395631876754901</c:v>
                </c:pt>
                <c:pt idx="18">
                  <c:v>1.0395631876754901</c:v>
                </c:pt>
                <c:pt idx="19">
                  <c:v>1.0395631876754901</c:v>
                </c:pt>
                <c:pt idx="20">
                  <c:v>1.0395631876754901</c:v>
                </c:pt>
                <c:pt idx="21">
                  <c:v>1.0395631876754901</c:v>
                </c:pt>
                <c:pt idx="22">
                  <c:v>1.0395631876754901</c:v>
                </c:pt>
                <c:pt idx="23">
                  <c:v>1.0395631876754901</c:v>
                </c:pt>
                <c:pt idx="24">
                  <c:v>1.0395631876754901</c:v>
                </c:pt>
                <c:pt idx="25">
                  <c:v>1.0395631876754901</c:v>
                </c:pt>
                <c:pt idx="26">
                  <c:v>1.0395631876754901</c:v>
                </c:pt>
                <c:pt idx="27">
                  <c:v>1.0395631876754901</c:v>
                </c:pt>
                <c:pt idx="28">
                  <c:v>1.0395631876754901</c:v>
                </c:pt>
                <c:pt idx="29">
                  <c:v>1.0395631876754901</c:v>
                </c:pt>
                <c:pt idx="30">
                  <c:v>1.0395631876754901</c:v>
                </c:pt>
                <c:pt idx="31">
                  <c:v>1.0395631876754901</c:v>
                </c:pt>
                <c:pt idx="32">
                  <c:v>1.0395631876754901</c:v>
                </c:pt>
                <c:pt idx="33">
                  <c:v>1.0395631876754901</c:v>
                </c:pt>
                <c:pt idx="34">
                  <c:v>1.0395631876754901</c:v>
                </c:pt>
                <c:pt idx="35">
                  <c:v>1.0395631876754901</c:v>
                </c:pt>
                <c:pt idx="36">
                  <c:v>1.0395631876754901</c:v>
                </c:pt>
                <c:pt idx="37">
                  <c:v>1.0395631876754901</c:v>
                </c:pt>
                <c:pt idx="38">
                  <c:v>1.0395631876754901</c:v>
                </c:pt>
                <c:pt idx="39">
                  <c:v>1.0395631876754901</c:v>
                </c:pt>
                <c:pt idx="40">
                  <c:v>1.0395631876754901</c:v>
                </c:pt>
                <c:pt idx="41">
                  <c:v>1.0395631876754901</c:v>
                </c:pt>
                <c:pt idx="42">
                  <c:v>1.0395631876754901</c:v>
                </c:pt>
                <c:pt idx="43">
                  <c:v>1.0395631876754901</c:v>
                </c:pt>
                <c:pt idx="44">
                  <c:v>1.0395631876754901</c:v>
                </c:pt>
                <c:pt idx="45">
                  <c:v>1.0395631876754901</c:v>
                </c:pt>
                <c:pt idx="46">
                  <c:v>1.0395631876754901</c:v>
                </c:pt>
                <c:pt idx="47">
                  <c:v>1.0395631876754901</c:v>
                </c:pt>
                <c:pt idx="48">
                  <c:v>1.0395631876754901</c:v>
                </c:pt>
                <c:pt idx="49">
                  <c:v>1.0395631876754901</c:v>
                </c:pt>
                <c:pt idx="50">
                  <c:v>1.0395631876754901</c:v>
                </c:pt>
                <c:pt idx="51">
                  <c:v>1.0395631876754901</c:v>
                </c:pt>
                <c:pt idx="52">
                  <c:v>1.0395631876754901</c:v>
                </c:pt>
                <c:pt idx="53">
                  <c:v>1.0395631876754901</c:v>
                </c:pt>
                <c:pt idx="54">
                  <c:v>1.0395631876754901</c:v>
                </c:pt>
                <c:pt idx="55">
                  <c:v>1.0395631876754901</c:v>
                </c:pt>
                <c:pt idx="56">
                  <c:v>1.0395631876754901</c:v>
                </c:pt>
                <c:pt idx="57">
                  <c:v>1.0395631876754901</c:v>
                </c:pt>
                <c:pt idx="58">
                  <c:v>1.0395631876754901</c:v>
                </c:pt>
                <c:pt idx="59">
                  <c:v>1.0395631876754901</c:v>
                </c:pt>
                <c:pt idx="60">
                  <c:v>1.0395631876754901</c:v>
                </c:pt>
                <c:pt idx="61">
                  <c:v>1.0395631876754901</c:v>
                </c:pt>
                <c:pt idx="62">
                  <c:v>1.0395631876754901</c:v>
                </c:pt>
                <c:pt idx="63">
                  <c:v>1.0395631876754901</c:v>
                </c:pt>
                <c:pt idx="64">
                  <c:v>1.0395631876754901</c:v>
                </c:pt>
                <c:pt idx="65">
                  <c:v>1.0395631876754901</c:v>
                </c:pt>
                <c:pt idx="66">
                  <c:v>1.0395631876754901</c:v>
                </c:pt>
                <c:pt idx="67">
                  <c:v>1.0395631876754901</c:v>
                </c:pt>
                <c:pt idx="68">
                  <c:v>1.0395631876754901</c:v>
                </c:pt>
                <c:pt idx="69">
                  <c:v>1.0395631876754901</c:v>
                </c:pt>
                <c:pt idx="70">
                  <c:v>1.0395631876754901</c:v>
                </c:pt>
                <c:pt idx="71">
                  <c:v>1.0395631876754901</c:v>
                </c:pt>
                <c:pt idx="72">
                  <c:v>1.0395631876754901</c:v>
                </c:pt>
                <c:pt idx="73">
                  <c:v>1.0395631876754901</c:v>
                </c:pt>
                <c:pt idx="74">
                  <c:v>1.0395631876754901</c:v>
                </c:pt>
                <c:pt idx="75">
                  <c:v>1.0395631876754901</c:v>
                </c:pt>
                <c:pt idx="76">
                  <c:v>1.0395631876754901</c:v>
                </c:pt>
                <c:pt idx="77">
                  <c:v>1.0395631876754901</c:v>
                </c:pt>
                <c:pt idx="78">
                  <c:v>1.0395631876754901</c:v>
                </c:pt>
                <c:pt idx="79">
                  <c:v>1.0395631876754901</c:v>
                </c:pt>
                <c:pt idx="80">
                  <c:v>1.0395631876754901</c:v>
                </c:pt>
                <c:pt idx="81">
                  <c:v>1.0395631876754901</c:v>
                </c:pt>
                <c:pt idx="82">
                  <c:v>1.0395631876754901</c:v>
                </c:pt>
                <c:pt idx="83">
                  <c:v>1.0395631876754901</c:v>
                </c:pt>
                <c:pt idx="84">
                  <c:v>1.0395631876754901</c:v>
                </c:pt>
                <c:pt idx="85">
                  <c:v>1.0395631876754901</c:v>
                </c:pt>
                <c:pt idx="86">
                  <c:v>1.0395631876754901</c:v>
                </c:pt>
                <c:pt idx="87">
                  <c:v>1.0395631876754901</c:v>
                </c:pt>
                <c:pt idx="88">
                  <c:v>1.0395631876754901</c:v>
                </c:pt>
                <c:pt idx="89">
                  <c:v>1.0395631876754901</c:v>
                </c:pt>
                <c:pt idx="90">
                  <c:v>1.0395631876754901</c:v>
                </c:pt>
                <c:pt idx="91">
                  <c:v>1.0395631876754901</c:v>
                </c:pt>
                <c:pt idx="92">
                  <c:v>1.0395631876754901</c:v>
                </c:pt>
                <c:pt idx="93">
                  <c:v>1.0395631876754901</c:v>
                </c:pt>
                <c:pt idx="94">
                  <c:v>1.0395631876754901</c:v>
                </c:pt>
                <c:pt idx="95">
                  <c:v>1.0395631876754901</c:v>
                </c:pt>
                <c:pt idx="96">
                  <c:v>1.0395631876754901</c:v>
                </c:pt>
                <c:pt idx="97">
                  <c:v>1.0395631876754901</c:v>
                </c:pt>
                <c:pt idx="98">
                  <c:v>1.0395631876754901</c:v>
                </c:pt>
                <c:pt idx="99">
                  <c:v>1.0395631876754901</c:v>
                </c:pt>
                <c:pt idx="100">
                  <c:v>1.0395631876754901</c:v>
                </c:pt>
                <c:pt idx="101">
                  <c:v>1.0395631876754901</c:v>
                </c:pt>
                <c:pt idx="102">
                  <c:v>1.0395631876754901</c:v>
                </c:pt>
                <c:pt idx="103">
                  <c:v>1.0395631876754901</c:v>
                </c:pt>
                <c:pt idx="104">
                  <c:v>1.0395631876754901</c:v>
                </c:pt>
                <c:pt idx="105">
                  <c:v>1.0395631876754901</c:v>
                </c:pt>
                <c:pt idx="106">
                  <c:v>1.0395631876754901</c:v>
                </c:pt>
                <c:pt idx="107">
                  <c:v>1.0395631876754901</c:v>
                </c:pt>
                <c:pt idx="108">
                  <c:v>1.0395631876754901</c:v>
                </c:pt>
                <c:pt idx="109">
                  <c:v>1.0395631876754901</c:v>
                </c:pt>
                <c:pt idx="110">
                  <c:v>1.0395631876754901</c:v>
                </c:pt>
                <c:pt idx="111">
                  <c:v>1.0395631876754901</c:v>
                </c:pt>
                <c:pt idx="112">
                  <c:v>1.0395631876754901</c:v>
                </c:pt>
                <c:pt idx="113">
                  <c:v>1.0395631876754901</c:v>
                </c:pt>
                <c:pt idx="114">
                  <c:v>1.0395631876754901</c:v>
                </c:pt>
                <c:pt idx="115">
                  <c:v>1.0395631876754901</c:v>
                </c:pt>
                <c:pt idx="116">
                  <c:v>1.0395631876754901</c:v>
                </c:pt>
                <c:pt idx="117">
                  <c:v>1.0395631876754901</c:v>
                </c:pt>
                <c:pt idx="118">
                  <c:v>1.0395631876754901</c:v>
                </c:pt>
                <c:pt idx="119">
                  <c:v>1.0395631876754901</c:v>
                </c:pt>
                <c:pt idx="120">
                  <c:v>1.0395631876754901</c:v>
                </c:pt>
                <c:pt idx="121">
                  <c:v>1.0395631876754901</c:v>
                </c:pt>
                <c:pt idx="122">
                  <c:v>1.0395631876754901</c:v>
                </c:pt>
                <c:pt idx="123">
                  <c:v>1.0395631876754901</c:v>
                </c:pt>
                <c:pt idx="124">
                  <c:v>1.0395631876754901</c:v>
                </c:pt>
                <c:pt idx="125">
                  <c:v>1.0395631876754901</c:v>
                </c:pt>
                <c:pt idx="126">
                  <c:v>1.0395631876754901</c:v>
                </c:pt>
                <c:pt idx="127">
                  <c:v>1.0395631876754901</c:v>
                </c:pt>
                <c:pt idx="128">
                  <c:v>1.0395631876754901</c:v>
                </c:pt>
                <c:pt idx="129">
                  <c:v>1.0395631876754901</c:v>
                </c:pt>
                <c:pt idx="130">
                  <c:v>1.0395631876754901</c:v>
                </c:pt>
                <c:pt idx="131">
                  <c:v>1.0395631876754901</c:v>
                </c:pt>
                <c:pt idx="132">
                  <c:v>1.0395631876754901</c:v>
                </c:pt>
                <c:pt idx="133">
                  <c:v>1.0395631876754901</c:v>
                </c:pt>
                <c:pt idx="134">
                  <c:v>1.0395631876754901</c:v>
                </c:pt>
                <c:pt idx="135">
                  <c:v>1.0395631876754901</c:v>
                </c:pt>
                <c:pt idx="136">
                  <c:v>1.0395631876754901</c:v>
                </c:pt>
                <c:pt idx="137">
                  <c:v>1.0395631876754901</c:v>
                </c:pt>
                <c:pt idx="138">
                  <c:v>1.0395631876754901</c:v>
                </c:pt>
                <c:pt idx="139">
                  <c:v>1.0395631876754901</c:v>
                </c:pt>
                <c:pt idx="140">
                  <c:v>1.0395631876754901</c:v>
                </c:pt>
                <c:pt idx="141">
                  <c:v>1.0395631876754901</c:v>
                </c:pt>
                <c:pt idx="142">
                  <c:v>1.0395631876754901</c:v>
                </c:pt>
                <c:pt idx="143">
                  <c:v>1.0395631876754901</c:v>
                </c:pt>
                <c:pt idx="144">
                  <c:v>1.0395631876754901</c:v>
                </c:pt>
                <c:pt idx="145">
                  <c:v>1.0395631876754901</c:v>
                </c:pt>
                <c:pt idx="146">
                  <c:v>1.0395631876754901</c:v>
                </c:pt>
                <c:pt idx="147">
                  <c:v>1.0395631876754901</c:v>
                </c:pt>
                <c:pt idx="148">
                  <c:v>1.0395631876754901</c:v>
                </c:pt>
                <c:pt idx="149">
                  <c:v>1.0395631876754901</c:v>
                </c:pt>
                <c:pt idx="150">
                  <c:v>1.0395631876754901</c:v>
                </c:pt>
                <c:pt idx="151">
                  <c:v>1.0395631876754901</c:v>
                </c:pt>
                <c:pt idx="152">
                  <c:v>1.0395631876754901</c:v>
                </c:pt>
                <c:pt idx="153">
                  <c:v>1.0395631876754901</c:v>
                </c:pt>
                <c:pt idx="154">
                  <c:v>1.0395631876754901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E-4EC9-973D-C88161D35C31}"/>
            </c:ext>
          </c:extLst>
        </c:ser>
        <c:ser>
          <c:idx val="1"/>
          <c:order val="1"/>
          <c:tx>
            <c:strRef>
              <c:f>BNDX_IAGG!$F$1</c:f>
              <c:strCache>
                <c:ptCount val="1"/>
                <c:pt idx="0">
                  <c:v> IAGG/BNDX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BNDX_IAGG!$F$2:$F$156</c:f>
              <c:numCache>
                <c:formatCode>_(* #,##0.0000_);_(* \(#,##0.0000\);_(* "-"??_);_(@_)</c:formatCode>
                <c:ptCount val="155"/>
                <c:pt idx="9">
                  <c:v>1.0349663907105</c:v>
                </c:pt>
                <c:pt idx="10">
                  <c:v>1.03484631654657</c:v>
                </c:pt>
                <c:pt idx="11">
                  <c:v>1.0348869169767401</c:v>
                </c:pt>
                <c:pt idx="12">
                  <c:v>1.0349289468723599</c:v>
                </c:pt>
                <c:pt idx="13">
                  <c:v>1.03499515159532</c:v>
                </c:pt>
                <c:pt idx="14">
                  <c:v>1.03506278713913</c:v>
                </c:pt>
                <c:pt idx="15">
                  <c:v>1.0350429072437499</c:v>
                </c:pt>
                <c:pt idx="16">
                  <c:v>1.0350472345922199</c:v>
                </c:pt>
                <c:pt idx="17">
                  <c:v>1.03519368789954</c:v>
                </c:pt>
                <c:pt idx="18">
                  <c:v>1.0351689314559001</c:v>
                </c:pt>
                <c:pt idx="19">
                  <c:v>1.0353144601117901</c:v>
                </c:pt>
                <c:pt idx="20">
                  <c:v>1.0354462582349899</c:v>
                </c:pt>
                <c:pt idx="21">
                  <c:v>1.0354860949964699</c:v>
                </c:pt>
                <c:pt idx="22">
                  <c:v>1.03531737303446</c:v>
                </c:pt>
                <c:pt idx="23">
                  <c:v>1.0352298493205501</c:v>
                </c:pt>
                <c:pt idx="24">
                  <c:v>1.0351607877103299</c:v>
                </c:pt>
                <c:pt idx="25">
                  <c:v>1.03511672513026</c:v>
                </c:pt>
                <c:pt idx="26">
                  <c:v>1.03496141301914</c:v>
                </c:pt>
                <c:pt idx="27">
                  <c:v>1.0348042336963901</c:v>
                </c:pt>
                <c:pt idx="28">
                  <c:v>1.03483618608905</c:v>
                </c:pt>
                <c:pt idx="29">
                  <c:v>1.0347776970771301</c:v>
                </c:pt>
                <c:pt idx="30">
                  <c:v>1.0345998171694999</c:v>
                </c:pt>
                <c:pt idx="31">
                  <c:v>1.0343795446084001</c:v>
                </c:pt>
                <c:pt idx="32">
                  <c:v>1.0343684912345099</c:v>
                </c:pt>
                <c:pt idx="33">
                  <c:v>1.03433739961063</c:v>
                </c:pt>
                <c:pt idx="34">
                  <c:v>1.0342395927616299</c:v>
                </c:pt>
                <c:pt idx="35">
                  <c:v>1.0341010993589701</c:v>
                </c:pt>
                <c:pt idx="36">
                  <c:v>1.0341383838950799</c:v>
                </c:pt>
                <c:pt idx="37">
                  <c:v>1.0339865249211799</c:v>
                </c:pt>
                <c:pt idx="38">
                  <c:v>1.0339383775134701</c:v>
                </c:pt>
                <c:pt idx="39">
                  <c:v>1.03397066025096</c:v>
                </c:pt>
                <c:pt idx="40">
                  <c:v>1.03415989823576</c:v>
                </c:pt>
                <c:pt idx="41">
                  <c:v>1.0345175219551199</c:v>
                </c:pt>
                <c:pt idx="42">
                  <c:v>1.0348714652170099</c:v>
                </c:pt>
                <c:pt idx="43">
                  <c:v>1.0353638719999401</c:v>
                </c:pt>
                <c:pt idx="44">
                  <c:v>1.0358355896715801</c:v>
                </c:pt>
                <c:pt idx="45">
                  <c:v>1.03631132038651</c:v>
                </c:pt>
                <c:pt idx="46">
                  <c:v>1.0368634619853501</c:v>
                </c:pt>
                <c:pt idx="47">
                  <c:v>1.03757932413189</c:v>
                </c:pt>
                <c:pt idx="48">
                  <c:v>1.03828867372538</c:v>
                </c:pt>
                <c:pt idx="49">
                  <c:v>1.0387140225612701</c:v>
                </c:pt>
                <c:pt idx="50">
                  <c:v>1.0388987255639099</c:v>
                </c:pt>
                <c:pt idx="51">
                  <c:v>1.0391580588096501</c:v>
                </c:pt>
                <c:pt idx="52">
                  <c:v>1.0394426036264699</c:v>
                </c:pt>
                <c:pt idx="53">
                  <c:v>1.03955703780899</c:v>
                </c:pt>
                <c:pt idx="54">
                  <c:v>1.03976360166003</c:v>
                </c:pt>
                <c:pt idx="55">
                  <c:v>1.0400025634841501</c:v>
                </c:pt>
                <c:pt idx="56">
                  <c:v>1.0400788827448</c:v>
                </c:pt>
                <c:pt idx="57">
                  <c:v>1.0402751935994199</c:v>
                </c:pt>
                <c:pt idx="58">
                  <c:v>1.0404302152807701</c:v>
                </c:pt>
                <c:pt idx="59">
                  <c:v>1.04069602894832</c:v>
                </c:pt>
                <c:pt idx="60">
                  <c:v>1.04102802438958</c:v>
                </c:pt>
                <c:pt idx="61">
                  <c:v>1.0408697482804199</c:v>
                </c:pt>
                <c:pt idx="62">
                  <c:v>1.04071730373516</c:v>
                </c:pt>
                <c:pt idx="63">
                  <c:v>1.0406696308682699</c:v>
                </c:pt>
                <c:pt idx="64">
                  <c:v>1.0405945751906001</c:v>
                </c:pt>
                <c:pt idx="65">
                  <c:v>1.04039126520759</c:v>
                </c:pt>
                <c:pt idx="66">
                  <c:v>1.0403247639162001</c:v>
                </c:pt>
                <c:pt idx="67">
                  <c:v>1.04009351129785</c:v>
                </c:pt>
                <c:pt idx="68">
                  <c:v>1.0397477457919</c:v>
                </c:pt>
                <c:pt idx="69">
                  <c:v>1.03931602586139</c:v>
                </c:pt>
                <c:pt idx="70">
                  <c:v>1.0389982805092</c:v>
                </c:pt>
                <c:pt idx="71">
                  <c:v>1.0390542532871001</c:v>
                </c:pt>
                <c:pt idx="72">
                  <c:v>1.0390450941612901</c:v>
                </c:pt>
                <c:pt idx="73">
                  <c:v>1.0389507132950999</c:v>
                </c:pt>
                <c:pt idx="74">
                  <c:v>1.0388726780323501</c:v>
                </c:pt>
                <c:pt idx="75">
                  <c:v>1.0389636531556701</c:v>
                </c:pt>
                <c:pt idx="76">
                  <c:v>1.03890455366871</c:v>
                </c:pt>
                <c:pt idx="77">
                  <c:v>1.0388904369985801</c:v>
                </c:pt>
                <c:pt idx="78">
                  <c:v>1.0389104385408301</c:v>
                </c:pt>
                <c:pt idx="79">
                  <c:v>1.0390111661089201</c:v>
                </c:pt>
                <c:pt idx="80">
                  <c:v>1.03921998727928</c:v>
                </c:pt>
                <c:pt idx="81">
                  <c:v>1.03918161836079</c:v>
                </c:pt>
                <c:pt idx="82">
                  <c:v>1.0393984282928199</c:v>
                </c:pt>
                <c:pt idx="83">
                  <c:v>1.0396842716502399</c:v>
                </c:pt>
                <c:pt idx="84">
                  <c:v>1.03993101260068</c:v>
                </c:pt>
                <c:pt idx="85">
                  <c:v>1.04007799050331</c:v>
                </c:pt>
                <c:pt idx="86">
                  <c:v>1.04026598728832</c:v>
                </c:pt>
                <c:pt idx="87">
                  <c:v>1.04047619868217</c:v>
                </c:pt>
                <c:pt idx="88">
                  <c:v>1.0407736951676501</c:v>
                </c:pt>
                <c:pt idx="89">
                  <c:v>1.04120749998534</c:v>
                </c:pt>
                <c:pt idx="90">
                  <c:v>1.04141290074102</c:v>
                </c:pt>
                <c:pt idx="91">
                  <c:v>1.04160697364949</c:v>
                </c:pt>
                <c:pt idx="92">
                  <c:v>1.04193580891016</c:v>
                </c:pt>
                <c:pt idx="93">
                  <c:v>1.04213675826615</c:v>
                </c:pt>
                <c:pt idx="94">
                  <c:v>1.0423939623521301</c:v>
                </c:pt>
                <c:pt idx="95">
                  <c:v>1.0426021581823901</c:v>
                </c:pt>
                <c:pt idx="96">
                  <c:v>1.04275654863487</c:v>
                </c:pt>
                <c:pt idx="97">
                  <c:v>1.0426803040984101</c:v>
                </c:pt>
                <c:pt idx="98">
                  <c:v>1.0425340772295699</c:v>
                </c:pt>
                <c:pt idx="99">
                  <c:v>1.0423106190868501</c:v>
                </c:pt>
                <c:pt idx="100">
                  <c:v>1.04215467879475</c:v>
                </c:pt>
                <c:pt idx="101">
                  <c:v>1.0421037080802</c:v>
                </c:pt>
                <c:pt idx="102">
                  <c:v>1.0420747077255299</c:v>
                </c:pt>
                <c:pt idx="103">
                  <c:v>1.04198776217198</c:v>
                </c:pt>
                <c:pt idx="104">
                  <c:v>1.04205163186328</c:v>
                </c:pt>
                <c:pt idx="105">
                  <c:v>1.0422245837325901</c:v>
                </c:pt>
                <c:pt idx="106">
                  <c:v>1.0424302298920001</c:v>
                </c:pt>
                <c:pt idx="107">
                  <c:v>1.0427316518632399</c:v>
                </c:pt>
                <c:pt idx="108">
                  <c:v>1.04314789121644</c:v>
                </c:pt>
                <c:pt idx="109">
                  <c:v>1.0435928594336099</c:v>
                </c:pt>
                <c:pt idx="110">
                  <c:v>1.04393172544529</c:v>
                </c:pt>
                <c:pt idx="111">
                  <c:v>1.04418620088863</c:v>
                </c:pt>
                <c:pt idx="112">
                  <c:v>1.04417159448869</c:v>
                </c:pt>
                <c:pt idx="113">
                  <c:v>1.0442841891761501</c:v>
                </c:pt>
                <c:pt idx="114">
                  <c:v>1.04421696595917</c:v>
                </c:pt>
                <c:pt idx="115">
                  <c:v>1.0442748408901299</c:v>
                </c:pt>
                <c:pt idx="116">
                  <c:v>1.04435452786578</c:v>
                </c:pt>
                <c:pt idx="117">
                  <c:v>1.04423255293754</c:v>
                </c:pt>
                <c:pt idx="118">
                  <c:v>1.04404111271051</c:v>
                </c:pt>
                <c:pt idx="119">
                  <c:v>1.04384137714745</c:v>
                </c:pt>
                <c:pt idx="120">
                  <c:v>1.0437288456259199</c:v>
                </c:pt>
                <c:pt idx="121">
                  <c:v>1.0437678023077299</c:v>
                </c:pt>
                <c:pt idx="122">
                  <c:v>1.0438565342114801</c:v>
                </c:pt>
                <c:pt idx="123">
                  <c:v>1.0433648091654899</c:v>
                </c:pt>
                <c:pt idx="124">
                  <c:v>1.0428943942147799</c:v>
                </c:pt>
                <c:pt idx="125">
                  <c:v>1.0423051396048599</c:v>
                </c:pt>
                <c:pt idx="126">
                  <c:v>1.0417872109433</c:v>
                </c:pt>
                <c:pt idx="127">
                  <c:v>1.04162757501348</c:v>
                </c:pt>
                <c:pt idx="128">
                  <c:v>1.0412539506215801</c:v>
                </c:pt>
                <c:pt idx="129">
                  <c:v>1.0408750837162499</c:v>
                </c:pt>
                <c:pt idx="130">
                  <c:v>1.04059676260149</c:v>
                </c:pt>
                <c:pt idx="131">
                  <c:v>1.0403551487806799</c:v>
                </c:pt>
                <c:pt idx="132">
                  <c:v>1.039892776878</c:v>
                </c:pt>
                <c:pt idx="133">
                  <c:v>1.0400014882497599</c:v>
                </c:pt>
                <c:pt idx="134">
                  <c:v>1.0400894196546999</c:v>
                </c:pt>
                <c:pt idx="135">
                  <c:v>1.0403104111684001</c:v>
                </c:pt>
                <c:pt idx="136">
                  <c:v>1.0403890163004299</c:v>
                </c:pt>
                <c:pt idx="137">
                  <c:v>1.04032885290794</c:v>
                </c:pt>
                <c:pt idx="138">
                  <c:v>1.0406267707653001</c:v>
                </c:pt>
                <c:pt idx="139">
                  <c:v>1.0407337229161799</c:v>
                </c:pt>
                <c:pt idx="140">
                  <c:v>1.04068946369107</c:v>
                </c:pt>
                <c:pt idx="141">
                  <c:v>1.04066608430688</c:v>
                </c:pt>
                <c:pt idx="142">
                  <c:v>1.04074732318607</c:v>
                </c:pt>
                <c:pt idx="143">
                  <c:v>1.0407958180679799</c:v>
                </c:pt>
                <c:pt idx="144">
                  <c:v>1.0409348370065701</c:v>
                </c:pt>
                <c:pt idx="145">
                  <c:v>1.0411003300973001</c:v>
                </c:pt>
                <c:pt idx="146">
                  <c:v>1.0413177415735899</c:v>
                </c:pt>
                <c:pt idx="147">
                  <c:v>1.04153080461584</c:v>
                </c:pt>
                <c:pt idx="148">
                  <c:v>1.0416402568692</c:v>
                </c:pt>
                <c:pt idx="149">
                  <c:v>1.0418986108903401</c:v>
                </c:pt>
                <c:pt idx="150">
                  <c:v>1.04232795082042</c:v>
                </c:pt>
                <c:pt idx="151">
                  <c:v>1.04265599821703</c:v>
                </c:pt>
                <c:pt idx="152">
                  <c:v>1.0429269937082899</c:v>
                </c:pt>
                <c:pt idx="153">
                  <c:v>1.04319578560036</c:v>
                </c:pt>
                <c:pt idx="154">
                  <c:v>1.0435563732583499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2E-4EC9-973D-C88161D35C31}"/>
            </c:ext>
          </c:extLst>
        </c:ser>
        <c:ser>
          <c:idx val="2"/>
          <c:order val="2"/>
          <c:tx>
            <c:strRef>
              <c:f>BNDX_IAGG!$G$1</c:f>
              <c:strCache>
                <c:ptCount val="1"/>
                <c:pt idx="0">
                  <c:v> IAGG/BNDX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BNDX_IAGG!$G$2:$G$156</c:f>
              <c:numCache>
                <c:formatCode>_(* #,##0.0000_);_(* \(#,##0.0000\);_(* "-"??_);_(@_)</c:formatCode>
                <c:ptCount val="155"/>
                <c:pt idx="19">
                  <c:v>1.03514042541114</c:v>
                </c:pt>
                <c:pt idx="20">
                  <c:v>1.03514628739078</c:v>
                </c:pt>
                <c:pt idx="21">
                  <c:v>1.0351865059866101</c:v>
                </c:pt>
                <c:pt idx="22">
                  <c:v>1.0351231599534101</c:v>
                </c:pt>
                <c:pt idx="23">
                  <c:v>1.03511250045794</c:v>
                </c:pt>
                <c:pt idx="24">
                  <c:v>1.03511178742473</c:v>
                </c:pt>
                <c:pt idx="25">
                  <c:v>1.0350798161870101</c:v>
                </c:pt>
                <c:pt idx="26">
                  <c:v>1.0350043238056801</c:v>
                </c:pt>
                <c:pt idx="27">
                  <c:v>1.0349989607979699</c:v>
                </c:pt>
                <c:pt idx="28">
                  <c:v>1.03500255877248</c:v>
                </c:pt>
                <c:pt idx="29">
                  <c:v>1.03504607859446</c:v>
                </c:pt>
                <c:pt idx="30">
                  <c:v>1.03502303770225</c:v>
                </c:pt>
                <c:pt idx="31">
                  <c:v>1.0349328198024399</c:v>
                </c:pt>
                <c:pt idx="32">
                  <c:v>1.0348429321344901</c:v>
                </c:pt>
                <c:pt idx="33">
                  <c:v>1.0347836244655899</c:v>
                </c:pt>
                <c:pt idx="34">
                  <c:v>1.03470019023598</c:v>
                </c:pt>
                <c:pt idx="35">
                  <c:v>1.03460891224462</c:v>
                </c:pt>
                <c:pt idx="36">
                  <c:v>1.03454989845711</c:v>
                </c:pt>
                <c:pt idx="37">
                  <c:v>1.0343953793087799</c:v>
                </c:pt>
                <c:pt idx="38">
                  <c:v>1.0343872818012601</c:v>
                </c:pt>
                <c:pt idx="39">
                  <c:v>1.0343741786640499</c:v>
                </c:pt>
                <c:pt idx="40">
                  <c:v>1.03437985770263</c:v>
                </c:pt>
                <c:pt idx="41">
                  <c:v>1.0344485332817599</c:v>
                </c:pt>
                <c:pt idx="42">
                  <c:v>1.0346199782257599</c:v>
                </c:pt>
                <c:pt idx="43">
                  <c:v>1.03485063580528</c:v>
                </c:pt>
                <c:pt idx="44">
                  <c:v>1.0350375912166001</c:v>
                </c:pt>
                <c:pt idx="45">
                  <c:v>1.0352062098727399</c:v>
                </c:pt>
                <c:pt idx="46">
                  <c:v>1.0355009229402099</c:v>
                </c:pt>
                <c:pt idx="47">
                  <c:v>1.03578292452653</c:v>
                </c:pt>
                <c:pt idx="48">
                  <c:v>1.03611352561943</c:v>
                </c:pt>
                <c:pt idx="49">
                  <c:v>1.0363423414061199</c:v>
                </c:pt>
                <c:pt idx="50">
                  <c:v>1.03652931189984</c:v>
                </c:pt>
                <c:pt idx="51">
                  <c:v>1.03683779038239</c:v>
                </c:pt>
                <c:pt idx="52">
                  <c:v>1.03715703442174</c:v>
                </c:pt>
                <c:pt idx="53">
                  <c:v>1.0374604549044599</c:v>
                </c:pt>
                <c:pt idx="54">
                  <c:v>1.0377995956657999</c:v>
                </c:pt>
                <c:pt idx="55">
                  <c:v>1.03815694193533</c:v>
                </c:pt>
                <c:pt idx="56">
                  <c:v>1.0384711723650699</c:v>
                </c:pt>
                <c:pt idx="57">
                  <c:v>1.03892725886565</c:v>
                </c:pt>
                <c:pt idx="58">
                  <c:v>1.03935944450308</c:v>
                </c:pt>
                <c:pt idx="59">
                  <c:v>1.0397050257547999</c:v>
                </c:pt>
                <c:pt idx="60">
                  <c:v>1.0399633749767501</c:v>
                </c:pt>
                <c:pt idx="61">
                  <c:v>1.04001390354503</c:v>
                </c:pt>
                <c:pt idx="62">
                  <c:v>1.0400799536808201</c:v>
                </c:pt>
                <c:pt idx="63">
                  <c:v>1.04011333433863</c:v>
                </c:pt>
                <c:pt idx="64">
                  <c:v>1.0401790884253099</c:v>
                </c:pt>
                <c:pt idx="65">
                  <c:v>1.04019691434587</c:v>
                </c:pt>
                <c:pt idx="66">
                  <c:v>1.0402018233304999</c:v>
                </c:pt>
                <c:pt idx="67">
                  <c:v>1.0401843524486301</c:v>
                </c:pt>
                <c:pt idx="68">
                  <c:v>1.04008898053634</c:v>
                </c:pt>
                <c:pt idx="69">
                  <c:v>1.0400060274048599</c:v>
                </c:pt>
                <c:pt idx="70">
                  <c:v>1.0400131524493901</c:v>
                </c:pt>
                <c:pt idx="71">
                  <c:v>1.03996200078376</c:v>
                </c:pt>
                <c:pt idx="72">
                  <c:v>1.0398811989482299</c:v>
                </c:pt>
                <c:pt idx="73">
                  <c:v>1.0398101720816899</c:v>
                </c:pt>
                <c:pt idx="74">
                  <c:v>1.0397336266114701</c:v>
                </c:pt>
                <c:pt idx="75">
                  <c:v>1.03967745918163</c:v>
                </c:pt>
                <c:pt idx="76">
                  <c:v>1.03961465879245</c:v>
                </c:pt>
                <c:pt idx="77">
                  <c:v>1.03949197414822</c:v>
                </c:pt>
                <c:pt idx="78">
                  <c:v>1.03932909216637</c:v>
                </c:pt>
                <c:pt idx="79">
                  <c:v>1.0391635959851599</c:v>
                </c:pt>
                <c:pt idx="80">
                  <c:v>1.03910913389424</c:v>
                </c:pt>
                <c:pt idx="81">
                  <c:v>1.03911793582395</c:v>
                </c:pt>
                <c:pt idx="82">
                  <c:v>1.03922176122706</c:v>
                </c:pt>
                <c:pt idx="83">
                  <c:v>1.03931749247267</c:v>
                </c:pt>
                <c:pt idx="84">
                  <c:v>1.0394018453165099</c:v>
                </c:pt>
                <c:pt idx="85">
                  <c:v>1.03952082182949</c:v>
                </c:pt>
                <c:pt idx="86">
                  <c:v>1.03958527047851</c:v>
                </c:pt>
                <c:pt idx="87">
                  <c:v>1.0396833178403799</c:v>
                </c:pt>
                <c:pt idx="88">
                  <c:v>1.0398420668542401</c:v>
                </c:pt>
                <c:pt idx="89">
                  <c:v>1.04010933304713</c:v>
                </c:pt>
                <c:pt idx="90">
                  <c:v>1.04031644401015</c:v>
                </c:pt>
                <c:pt idx="91">
                  <c:v>1.04039429600514</c:v>
                </c:pt>
                <c:pt idx="92">
                  <c:v>1.04066711860149</c:v>
                </c:pt>
                <c:pt idx="93">
                  <c:v>1.0409105149582001</c:v>
                </c:pt>
                <c:pt idx="94">
                  <c:v>1.0411624874764001</c:v>
                </c:pt>
                <c:pt idx="95">
                  <c:v>1.04134007434285</c:v>
                </c:pt>
                <c:pt idx="96">
                  <c:v>1.0415112679616001</c:v>
                </c:pt>
                <c:pt idx="97">
                  <c:v>1.04157825139029</c:v>
                </c:pt>
                <c:pt idx="98">
                  <c:v>1.04165388619861</c:v>
                </c:pt>
                <c:pt idx="99">
                  <c:v>1.0417590595360999</c:v>
                </c:pt>
                <c:pt idx="100">
                  <c:v>1.0417837897678901</c:v>
                </c:pt>
                <c:pt idx="101">
                  <c:v>1.0418553408648501</c:v>
                </c:pt>
                <c:pt idx="102">
                  <c:v>1.0420052583178501</c:v>
                </c:pt>
                <c:pt idx="103">
                  <c:v>1.0420622602190699</c:v>
                </c:pt>
                <c:pt idx="104">
                  <c:v>1.0422227971077</c:v>
                </c:pt>
                <c:pt idx="105">
                  <c:v>1.0424133709574901</c:v>
                </c:pt>
                <c:pt idx="106">
                  <c:v>1.04259338926344</c:v>
                </c:pt>
                <c:pt idx="107">
                  <c:v>1.0427059779808201</c:v>
                </c:pt>
                <c:pt idx="108">
                  <c:v>1.04284098422301</c:v>
                </c:pt>
                <c:pt idx="109">
                  <c:v>1.0429517392602301</c:v>
                </c:pt>
                <c:pt idx="110">
                  <c:v>1.04304320212002</c:v>
                </c:pt>
                <c:pt idx="111">
                  <c:v>1.04314495448442</c:v>
                </c:pt>
                <c:pt idx="112">
                  <c:v>1.04312315110711</c:v>
                </c:pt>
                <c:pt idx="113">
                  <c:v>1.0431359756740599</c:v>
                </c:pt>
                <c:pt idx="114">
                  <c:v>1.04313429891123</c:v>
                </c:pt>
                <c:pt idx="115">
                  <c:v>1.04324971231136</c:v>
                </c:pt>
                <c:pt idx="116">
                  <c:v>1.0433923788788899</c:v>
                </c:pt>
                <c:pt idx="117">
                  <c:v>1.04348210240039</c:v>
                </c:pt>
                <c:pt idx="118">
                  <c:v>1.04359450196348</c:v>
                </c:pt>
                <c:pt idx="119">
                  <c:v>1.04371711829053</c:v>
                </c:pt>
                <c:pt idx="120">
                  <c:v>1.0438302855356001</c:v>
                </c:pt>
                <c:pt idx="121">
                  <c:v>1.04397700159818</c:v>
                </c:pt>
                <c:pt idx="122">
                  <c:v>1.0440140643500899</c:v>
                </c:pt>
                <c:pt idx="123">
                  <c:v>1.0438244991708201</c:v>
                </c:pt>
                <c:pt idx="124">
                  <c:v>1.0435556800869801</c:v>
                </c:pt>
                <c:pt idx="125">
                  <c:v>1.0432899902474899</c:v>
                </c:pt>
                <c:pt idx="126">
                  <c:v>1.0430708694045401</c:v>
                </c:pt>
                <c:pt idx="127">
                  <c:v>1.0429300639755099</c:v>
                </c:pt>
                <c:pt idx="128">
                  <c:v>1.04264753166605</c:v>
                </c:pt>
                <c:pt idx="129">
                  <c:v>1.0423582304318499</c:v>
                </c:pt>
                <c:pt idx="130">
                  <c:v>1.0421628041137001</c:v>
                </c:pt>
                <c:pt idx="131">
                  <c:v>1.0420614755441999</c:v>
                </c:pt>
                <c:pt idx="132">
                  <c:v>1.04187465554474</c:v>
                </c:pt>
                <c:pt idx="133">
                  <c:v>1.0416831487076199</c:v>
                </c:pt>
                <c:pt idx="134">
                  <c:v>1.0414919069347399</c:v>
                </c:pt>
                <c:pt idx="135">
                  <c:v>1.04130777538663</c:v>
                </c:pt>
                <c:pt idx="136">
                  <c:v>1.0410881136218699</c:v>
                </c:pt>
                <c:pt idx="137">
                  <c:v>1.04097821396071</c:v>
                </c:pt>
                <c:pt idx="138">
                  <c:v>1.04094036069344</c:v>
                </c:pt>
                <c:pt idx="139">
                  <c:v>1.04080440331621</c:v>
                </c:pt>
                <c:pt idx="140">
                  <c:v>1.0406431131462801</c:v>
                </c:pt>
                <c:pt idx="141">
                  <c:v>1.0405106165437801</c:v>
                </c:pt>
                <c:pt idx="142">
                  <c:v>1.04032005003203</c:v>
                </c:pt>
                <c:pt idx="143">
                  <c:v>1.04039865315887</c:v>
                </c:pt>
                <c:pt idx="144">
                  <c:v>1.04051212833063</c:v>
                </c:pt>
                <c:pt idx="145">
                  <c:v>1.04070537063285</c:v>
                </c:pt>
                <c:pt idx="146">
                  <c:v>1.04085337893701</c:v>
                </c:pt>
                <c:pt idx="147">
                  <c:v>1.04092982876189</c:v>
                </c:pt>
                <c:pt idx="148">
                  <c:v>1.0411335138172499</c:v>
                </c:pt>
                <c:pt idx="149">
                  <c:v>1.04131616690326</c:v>
                </c:pt>
                <c:pt idx="150">
                  <c:v>1.0415087072557501</c:v>
                </c:pt>
                <c:pt idx="151">
                  <c:v>1.04166104126195</c:v>
                </c:pt>
                <c:pt idx="152">
                  <c:v>1.0418371584471799</c:v>
                </c:pt>
                <c:pt idx="153">
                  <c:v>1.04199580183417</c:v>
                </c:pt>
                <c:pt idx="154">
                  <c:v>1.04224560513246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2E-4EC9-973D-C88161D35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611359"/>
        <c:axId val="1072628175"/>
      </c:lineChart>
      <c:catAx>
        <c:axId val="1081611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628175"/>
        <c:crosses val="autoZero"/>
        <c:auto val="1"/>
        <c:lblAlgn val="ctr"/>
        <c:lblOffset val="100"/>
        <c:noMultiLvlLbl val="0"/>
      </c:catAx>
      <c:valAx>
        <c:axId val="107262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61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BNDX_IAGG!$L$1</c:f>
              <c:strCache>
                <c:ptCount val="1"/>
                <c:pt idx="0">
                  <c:v>10 dma diff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BNDX_IAGG!$L$2:$L$156</c:f>
              <c:numCache>
                <c:formatCode>0.0000%</c:formatCode>
                <c:ptCount val="155"/>
                <c:pt idx="10">
                  <c:v>-1.4469598310665801E-4</c:v>
                </c:pt>
                <c:pt idx="11">
                  <c:v>8.7401995894302803E-4</c:v>
                </c:pt>
                <c:pt idx="12">
                  <c:v>1.0056202925549701E-3</c:v>
                </c:pt>
                <c:pt idx="13">
                  <c:v>5.3797981363855405E-4</c:v>
                </c:pt>
                <c:pt idx="14">
                  <c:v>2.8881573049458598E-4</c:v>
                </c:pt>
                <c:pt idx="15">
                  <c:v>-3.1794435067513599E-5</c:v>
                </c:pt>
                <c:pt idx="16">
                  <c:v>-5.6124786158290802E-6</c:v>
                </c:pt>
                <c:pt idx="17">
                  <c:v>1.1914524842015399E-3</c:v>
                </c:pt>
                <c:pt idx="18">
                  <c:v>-1.2487587295620199E-3</c:v>
                </c:pt>
                <c:pt idx="19">
                  <c:v>4.3438855146743602E-4</c:v>
                </c:pt>
                <c:pt idx="20">
                  <c:v>7.9187775667060602E-4</c:v>
                </c:pt>
                <c:pt idx="21">
                  <c:v>6.7899120486752897E-4</c:v>
                </c:pt>
                <c:pt idx="22">
                  <c:v>-1.20322249534282E-3</c:v>
                </c:pt>
                <c:pt idx="23">
                  <c:v>-6.8286689473136904E-4</c:v>
                </c:pt>
                <c:pt idx="24">
                  <c:v>-6.0521567556817701E-4</c:v>
                </c:pt>
                <c:pt idx="25">
                  <c:v>-5.5227451493651796E-4</c:v>
                </c:pt>
                <c:pt idx="26">
                  <c:v>-1.5786018781242799E-3</c:v>
                </c:pt>
                <c:pt idx="27">
                  <c:v>-2.4354318537443101E-4</c:v>
                </c:pt>
                <c:pt idx="28">
                  <c:v>-5.6347514681080204E-4</c:v>
                </c:pt>
                <c:pt idx="29">
                  <c:v>1.90947702691189E-4</c:v>
                </c:pt>
                <c:pt idx="30">
                  <c:v>-4.0777345392423598E-4</c:v>
                </c:pt>
                <c:pt idx="31">
                  <c:v>-6.3134851337069697E-4</c:v>
                </c:pt>
                <c:pt idx="32">
                  <c:v>-2.4090216037219499E-4</c:v>
                </c:pt>
                <c:pt idx="33">
                  <c:v>-6.6494051889129106E-5</c:v>
                </c:pt>
                <c:pt idx="34">
                  <c:v>-6.8856806582509101E-4</c:v>
                </c:pt>
                <c:pt idx="35">
                  <c:v>-1.0015016552428601E-3</c:v>
                </c:pt>
                <c:pt idx="36">
                  <c:v>-2.3624949413791801E-4</c:v>
                </c:pt>
                <c:pt idx="37">
                  <c:v>-9.1672656558145404E-4</c:v>
                </c:pt>
                <c:pt idx="38">
                  <c:v>-2.3860751448847301E-4</c:v>
                </c:pt>
                <c:pt idx="39">
                  <c:v>1.37076117739004E-3</c:v>
                </c:pt>
                <c:pt idx="40">
                  <c:v>2.2002975352550099E-3</c:v>
                </c:pt>
                <c:pt idx="41">
                  <c:v>3.2468019807050099E-3</c:v>
                </c:pt>
                <c:pt idx="42">
                  <c:v>3.0424888528274301E-3</c:v>
                </c:pt>
                <c:pt idx="43">
                  <c:v>4.1968402130604498E-3</c:v>
                </c:pt>
                <c:pt idx="44">
                  <c:v>2.8728654186466998E-3</c:v>
                </c:pt>
                <c:pt idx="45">
                  <c:v>2.0503806305933502E-3</c:v>
                </c:pt>
                <c:pt idx="46">
                  <c:v>2.9550856238420801E-3</c:v>
                </c:pt>
                <c:pt idx="47">
                  <c:v>3.35638100326043E-3</c:v>
                </c:pt>
                <c:pt idx="48">
                  <c:v>3.1312471548623801E-3</c:v>
                </c:pt>
                <c:pt idx="49">
                  <c:v>1.27190673444861E-3</c:v>
                </c:pt>
                <c:pt idx="50">
                  <c:v>-5.9589919601280602E-4</c:v>
                </c:pt>
                <c:pt idx="51">
                  <c:v>1.17139551054915E-3</c:v>
                </c:pt>
                <c:pt idx="52">
                  <c:v>1.30521703013509E-3</c:v>
                </c:pt>
                <c:pt idx="53">
                  <c:v>8.9000431228345204E-4</c:v>
                </c:pt>
                <c:pt idx="54">
                  <c:v>8.1848531399063501E-4</c:v>
                </c:pt>
                <c:pt idx="55">
                  <c:v>5.6500951950528796E-4</c:v>
                </c:pt>
                <c:pt idx="56">
                  <c:v>1.3351716500372701E-4</c:v>
                </c:pt>
                <c:pt idx="57">
                  <c:v>2.1452684502537402E-3</c:v>
                </c:pt>
                <c:pt idx="58">
                  <c:v>2.0246785739776599E-3</c:v>
                </c:pt>
                <c:pt idx="59">
                  <c:v>1.76505833987509E-3</c:v>
                </c:pt>
                <c:pt idx="60">
                  <c:v>6.9080227863512302E-4</c:v>
                </c:pt>
                <c:pt idx="61">
                  <c:v>-2.3989543611267899E-3</c:v>
                </c:pt>
                <c:pt idx="62">
                  <c:v>-1.80677794175484E-3</c:v>
                </c:pt>
                <c:pt idx="63">
                  <c:v>-7.9391057475794902E-4</c:v>
                </c:pt>
                <c:pt idx="64">
                  <c:v>-9.7286559888707302E-4</c:v>
                </c:pt>
                <c:pt idx="65">
                  <c:v>-2.1900216591030398E-3</c:v>
                </c:pt>
                <c:pt idx="66">
                  <c:v>-8.7971676225139298E-4</c:v>
                </c:pt>
                <c:pt idx="67">
                  <c:v>-3.1222424928512498E-4</c:v>
                </c:pt>
                <c:pt idx="68">
                  <c:v>-1.1232375509360301E-3</c:v>
                </c:pt>
                <c:pt idx="69">
                  <c:v>-1.7294986013886701E-3</c:v>
                </c:pt>
                <c:pt idx="70">
                  <c:v>-1.03803520332275E-3</c:v>
                </c:pt>
                <c:pt idx="71">
                  <c:v>9.1512898650082599E-5</c:v>
                </c:pt>
                <c:pt idx="72">
                  <c:v>-1.4920339492966901E-4</c:v>
                </c:pt>
                <c:pt idx="73">
                  <c:v>-9.3847942422955793E-5</c:v>
                </c:pt>
                <c:pt idx="74">
                  <c:v>-7.0626072954057005E-5</c:v>
                </c:pt>
                <c:pt idx="75">
                  <c:v>3.4186734552701399E-4</c:v>
                </c:pt>
                <c:pt idx="76">
                  <c:v>-7.5299011560992207E-5</c:v>
                </c:pt>
                <c:pt idx="77">
                  <c:v>9.1812247900627101E-4</c:v>
                </c:pt>
                <c:pt idx="78">
                  <c:v>2.2663297388344201E-4</c:v>
                </c:pt>
                <c:pt idx="79">
                  <c:v>4.6099920416487398E-5</c:v>
                </c:pt>
                <c:pt idx="80">
                  <c:v>1.2646191376953599E-3</c:v>
                </c:pt>
                <c:pt idx="81">
                  <c:v>-4.9117145672549596E-4</c:v>
                </c:pt>
                <c:pt idx="82">
                  <c:v>1.8129713792769001E-3</c:v>
                </c:pt>
                <c:pt idx="83">
                  <c:v>2.31365337504242E-3</c:v>
                </c:pt>
                <c:pt idx="84">
                  <c:v>1.59582309315571E-3</c:v>
                </c:pt>
                <c:pt idx="85">
                  <c:v>7.3695211202256801E-4</c:v>
                </c:pt>
                <c:pt idx="86">
                  <c:v>6.6069416157637302E-4</c:v>
                </c:pt>
                <c:pt idx="87">
                  <c:v>1.6280265087008699E-3</c:v>
                </c:pt>
                <c:pt idx="88">
                  <c:v>1.5602563116631099E-3</c:v>
                </c:pt>
                <c:pt idx="89">
                  <c:v>2.4209239437872998E-3</c:v>
                </c:pt>
                <c:pt idx="90">
                  <c:v>1.1254227703518E-3</c:v>
                </c:pt>
                <c:pt idx="91">
                  <c:v>-7.3244100541404098E-4</c:v>
                </c:pt>
                <c:pt idx="92">
                  <c:v>2.63543959927352E-3</c:v>
                </c:pt>
                <c:pt idx="93">
                  <c:v>1.8024250592564399E-3</c:v>
                </c:pt>
                <c:pt idx="94">
                  <c:v>1.70660183621102E-3</c:v>
                </c:pt>
                <c:pt idx="95">
                  <c:v>3.6991680153612098E-4</c:v>
                </c:pt>
                <c:pt idx="96">
                  <c:v>-2.8093533083756303E-4</c:v>
                </c:pt>
                <c:pt idx="97">
                  <c:v>-1.49527894292527E-3</c:v>
                </c:pt>
                <c:pt idx="98">
                  <c:v>-1.9600437217368E-3</c:v>
                </c:pt>
                <c:pt idx="99">
                  <c:v>-1.4132082019236499E-3</c:v>
                </c:pt>
                <c:pt idx="100">
                  <c:v>-1.4306002751760399E-3</c:v>
                </c:pt>
                <c:pt idx="101">
                  <c:v>-1.93438460778431E-3</c:v>
                </c:pt>
                <c:pt idx="102">
                  <c:v>1.8809357639200199E-3</c:v>
                </c:pt>
                <c:pt idx="103">
                  <c:v>8.3581941318017401E-4</c:v>
                </c:pt>
                <c:pt idx="104">
                  <c:v>2.4612241138611802E-3</c:v>
                </c:pt>
                <c:pt idx="105">
                  <c:v>2.3555706663880901E-3</c:v>
                </c:pt>
                <c:pt idx="106">
                  <c:v>2.0523186664405898E-3</c:v>
                </c:pt>
                <c:pt idx="107">
                  <c:v>1.7084783242760199E-3</c:v>
                </c:pt>
                <c:pt idx="108">
                  <c:v>1.9825788314252499E-3</c:v>
                </c:pt>
                <c:pt idx="109">
                  <c:v>2.2632623367910601E-3</c:v>
                </c:pt>
                <c:pt idx="110">
                  <c:v>5.9043530399312705E-4</c:v>
                </c:pt>
                <c:pt idx="111">
                  <c:v>-1.1945380436158199E-3</c:v>
                </c:pt>
                <c:pt idx="112">
                  <c:v>-2.5533387888004898E-4</c:v>
                </c:pt>
                <c:pt idx="113">
                  <c:v>-9.5381135553052399E-5</c:v>
                </c:pt>
                <c:pt idx="114">
                  <c:v>-3.8400674975866498E-4</c:v>
                </c:pt>
                <c:pt idx="115">
                  <c:v>8.33707736049645E-4</c:v>
                </c:pt>
                <c:pt idx="116">
                  <c:v>8.4978475536138197E-4</c:v>
                </c:pt>
                <c:pt idx="117">
                  <c:v>-1.3045798614482499E-3</c:v>
                </c:pt>
                <c:pt idx="118">
                  <c:v>-1.2897732124379599E-3</c:v>
                </c:pt>
                <c:pt idx="119">
                  <c:v>-5.0488349983529395E-4</c:v>
                </c:pt>
                <c:pt idx="120">
                  <c:v>-7.2592628224186302E-4</c:v>
                </c:pt>
                <c:pt idx="121">
                  <c:v>-6.2662816361043299E-4</c:v>
                </c:pt>
                <c:pt idx="122">
                  <c:v>9.950667375928379E-4</c:v>
                </c:pt>
                <c:pt idx="123">
                  <c:v>-4.5144140276267997E-3</c:v>
                </c:pt>
                <c:pt idx="124">
                  <c:v>-4.0198051016361496E-3</c:v>
                </c:pt>
                <c:pt idx="125">
                  <c:v>-3.5532027223946498E-3</c:v>
                </c:pt>
                <c:pt idx="126">
                  <c:v>-2.2300467150672102E-3</c:v>
                </c:pt>
                <c:pt idx="127">
                  <c:v>-3.7500093751243998E-4</c:v>
                </c:pt>
                <c:pt idx="128">
                  <c:v>-2.3810538646447301E-3</c:v>
                </c:pt>
                <c:pt idx="129">
                  <c:v>-1.4690134075621801E-3</c:v>
                </c:pt>
                <c:pt idx="130">
                  <c:v>-5.51990523058351E-4</c:v>
                </c:pt>
                <c:pt idx="131">
                  <c:v>5.96945412975547E-5</c:v>
                </c:pt>
                <c:pt idx="132">
                  <c:v>-1.6527449066770699E-4</c:v>
                </c:pt>
                <c:pt idx="133">
                  <c:v>3.3564303120216601E-4</c:v>
                </c:pt>
                <c:pt idx="134">
                  <c:v>5.4739074662540099E-5</c:v>
                </c:pt>
                <c:pt idx="135">
                  <c:v>1.26433210603797E-3</c:v>
                </c:pt>
                <c:pt idx="136">
                  <c:v>4.4109835063986801E-4</c:v>
                </c:pt>
                <c:pt idx="137">
                  <c:v>3.9012675968382699E-4</c:v>
                </c:pt>
                <c:pt idx="138">
                  <c:v>1.7293792242104001E-3</c:v>
                </c:pt>
                <c:pt idx="139">
                  <c:v>1.61628285638632E-4</c:v>
                </c:pt>
                <c:pt idx="140">
                  <c:v>-8.4170872107027395E-4</c:v>
                </c:pt>
                <c:pt idx="141">
                  <c:v>-2.54070716187587E-4</c:v>
                </c:pt>
                <c:pt idx="142">
                  <c:v>3.1659641008535298E-4</c:v>
                </c:pt>
                <c:pt idx="143">
                  <c:v>-1.9703481367626699E-5</c:v>
                </c:pt>
                <c:pt idx="144">
                  <c:v>6.2700599235408099E-4</c:v>
                </c:pt>
                <c:pt idx="145">
                  <c:v>2.0397019769813102E-3</c:v>
                </c:pt>
                <c:pt idx="146">
                  <c:v>1.76884642172659E-3</c:v>
                </c:pt>
                <c:pt idx="147">
                  <c:v>1.5428795745119101E-3</c:v>
                </c:pt>
                <c:pt idx="148">
                  <c:v>1.6244124578106299E-3</c:v>
                </c:pt>
                <c:pt idx="149">
                  <c:v>1.6673833773819401E-3</c:v>
                </c:pt>
                <c:pt idx="150">
                  <c:v>2.1599539789175699E-3</c:v>
                </c:pt>
                <c:pt idx="151">
                  <c:v>1.3207955645658501E-3</c:v>
                </c:pt>
                <c:pt idx="152">
                  <c:v>1.0061193777674701E-3</c:v>
                </c:pt>
                <c:pt idx="153">
                  <c:v>4.6755740626374298E-4</c:v>
                </c:pt>
                <c:pt idx="154">
                  <c:v>1.7801500231772599E-3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63-4972-9898-44756C02495F}"/>
            </c:ext>
          </c:extLst>
        </c:ser>
        <c:ser>
          <c:idx val="2"/>
          <c:order val="1"/>
          <c:tx>
            <c:strRef>
              <c:f>BNDX_IAGG!$M$1</c:f>
              <c:strCache>
                <c:ptCount val="1"/>
                <c:pt idx="0">
                  <c:v>20 dma diff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BNDX_IAGG!$M$2:$M$156</c:f>
              <c:numCache>
                <c:formatCode>0.0000%</c:formatCode>
                <c:ptCount val="155"/>
                <c:pt idx="20">
                  <c:v>9.5999028331553095E-4</c:v>
                </c:pt>
                <c:pt idx="21">
                  <c:v>9.6873516916796303E-4</c:v>
                </c:pt>
                <c:pt idx="22">
                  <c:v>-9.1385853523064402E-4</c:v>
                </c:pt>
                <c:pt idx="23">
                  <c:v>-4.95261331059357E-4</c:v>
                </c:pt>
                <c:pt idx="24">
                  <c:v>-4.9185388034878605E-4</c:v>
                </c:pt>
                <c:pt idx="25">
                  <c:v>-5.0493747710133197E-4</c:v>
                </c:pt>
                <c:pt idx="26">
                  <c:v>-1.5429444489631699E-3</c:v>
                </c:pt>
                <c:pt idx="27">
                  <c:v>-2.8500356878433098E-4</c:v>
                </c:pt>
                <c:pt idx="28">
                  <c:v>-7.5163516382853099E-4</c:v>
                </c:pt>
                <c:pt idx="29">
                  <c:v>3.01886250126177E-5</c:v>
                </c:pt>
                <c:pt idx="30">
                  <c:v>-6.6710134645998204E-4</c:v>
                </c:pt>
                <c:pt idx="31">
                  <c:v>-1.0403317613540001E-3</c:v>
                </c:pt>
                <c:pt idx="32">
                  <c:v>-7.7564521486446698E-4</c:v>
                </c:pt>
                <c:pt idx="33">
                  <c:v>-5.2506575986168997E-4</c:v>
                </c:pt>
                <c:pt idx="34">
                  <c:v>-1.11988634705551E-3</c:v>
                </c:pt>
                <c:pt idx="35">
                  <c:v>-1.4467514259164599E-3</c:v>
                </c:pt>
                <c:pt idx="36">
                  <c:v>-7.2719592258660795E-4</c:v>
                </c:pt>
                <c:pt idx="37">
                  <c:v>-1.3145772915404499E-3</c:v>
                </c:pt>
                <c:pt idx="38">
                  <c:v>-6.3394494428988001E-4</c:v>
                </c:pt>
                <c:pt idx="39">
                  <c:v>9.3668611496712398E-4</c:v>
                </c:pt>
                <c:pt idx="40">
                  <c:v>1.8101126776719999E-3</c:v>
                </c:pt>
                <c:pt idx="41">
                  <c:v>3.0341307307868298E-3</c:v>
                </c:pt>
                <c:pt idx="42">
                  <c:v>3.10917788642831E-3</c:v>
                </c:pt>
                <c:pt idx="43">
                  <c:v>4.4398825250082799E-3</c:v>
                </c:pt>
                <c:pt idx="44">
                  <c:v>3.3686944288633001E-3</c:v>
                </c:pt>
                <c:pt idx="45">
                  <c:v>2.8210685721201498E-3</c:v>
                </c:pt>
                <c:pt idx="46">
                  <c:v>4.0220431585640303E-3</c:v>
                </c:pt>
                <c:pt idx="47">
                  <c:v>4.67134207031813E-3</c:v>
                </c:pt>
                <c:pt idx="48">
                  <c:v>4.8640847774490802E-3</c:v>
                </c:pt>
                <c:pt idx="49">
                  <c:v>3.3690399748857402E-3</c:v>
                </c:pt>
                <c:pt idx="50">
                  <c:v>1.68999744667205E-3</c:v>
                </c:pt>
                <c:pt idx="51">
                  <c:v>3.4546977023981501E-3</c:v>
                </c:pt>
                <c:pt idx="52">
                  <c:v>3.5405484681118602E-3</c:v>
                </c:pt>
                <c:pt idx="53">
                  <c:v>3.0912664966344502E-3</c:v>
                </c:pt>
                <c:pt idx="54">
                  <c:v>2.8373259101512199E-3</c:v>
                </c:pt>
                <c:pt idx="55">
                  <c:v>2.4556923943389502E-3</c:v>
                </c:pt>
                <c:pt idx="56">
                  <c:v>1.9097254196998601E-3</c:v>
                </c:pt>
                <c:pt idx="57">
                  <c:v>3.69222248812903E-3</c:v>
                </c:pt>
                <c:pt idx="58">
                  <c:v>3.3212670048035999E-3</c:v>
                </c:pt>
                <c:pt idx="59">
                  <c:v>2.79474984475118E-3</c:v>
                </c:pt>
                <c:pt idx="60">
                  <c:v>1.64350634138456E-3</c:v>
                </c:pt>
                <c:pt idx="61">
                  <c:v>-1.37574061209934E-3</c:v>
                </c:pt>
                <c:pt idx="62">
                  <c:v>-9.8419972322617605E-4</c:v>
                </c:pt>
                <c:pt idx="63">
                  <c:v>-1.81308773210067E-4</c:v>
                </c:pt>
                <c:pt idx="64">
                  <c:v>-4.3816635134750402E-4</c:v>
                </c:pt>
                <c:pt idx="65">
                  <c:v>-1.79066369137049E-3</c:v>
                </c:pt>
                <c:pt idx="66">
                  <c:v>-6.9289376268335103E-4</c:v>
                </c:pt>
                <c:pt idx="67">
                  <c:v>-1.9404206733446801E-4</c:v>
                </c:pt>
                <c:pt idx="68">
                  <c:v>-1.2105731443452701E-3</c:v>
                </c:pt>
                <c:pt idx="69">
                  <c:v>-2.0576346932050199E-3</c:v>
                </c:pt>
                <c:pt idx="70">
                  <c:v>-1.7017145671873099E-3</c:v>
                </c:pt>
                <c:pt idx="71">
                  <c:v>-8.8478959272843098E-4</c:v>
                </c:pt>
                <c:pt idx="72">
                  <c:v>-1.02245058822449E-3</c:v>
                </c:pt>
                <c:pt idx="73">
                  <c:v>-8.9821011224457505E-4</c:v>
                </c:pt>
                <c:pt idx="74">
                  <c:v>-8.9752140430249998E-4</c:v>
                </c:pt>
                <c:pt idx="75">
                  <c:v>-4.8652293351331399E-4</c:v>
                </c:pt>
                <c:pt idx="76">
                  <c:v>-7.6209968127135305E-4</c:v>
                </c:pt>
                <c:pt idx="77">
                  <c:v>2.3484262562264199E-4</c:v>
                </c:pt>
                <c:pt idx="78">
                  <c:v>-3.5221831277501098E-4</c:v>
                </c:pt>
                <c:pt idx="79">
                  <c:v>-3.5679264804425501E-4</c:v>
                </c:pt>
                <c:pt idx="80">
                  <c:v>1.11792322040101E-3</c:v>
                </c:pt>
                <c:pt idx="81">
                  <c:v>-3.84495970137366E-4</c:v>
                </c:pt>
                <c:pt idx="82">
                  <c:v>1.8742546882529599E-3</c:v>
                </c:pt>
                <c:pt idx="83">
                  <c:v>2.4836383170523399E-3</c:v>
                </c:pt>
                <c:pt idx="84">
                  <c:v>1.9486647190796601E-3</c:v>
                </c:pt>
                <c:pt idx="85">
                  <c:v>1.24593006961707E-3</c:v>
                </c:pt>
                <c:pt idx="86">
                  <c:v>1.19653663643284E-3</c:v>
                </c:pt>
                <c:pt idx="87">
                  <c:v>2.2826087357424901E-3</c:v>
                </c:pt>
                <c:pt idx="88">
                  <c:v>2.3225833100443301E-3</c:v>
                </c:pt>
                <c:pt idx="89">
                  <c:v>3.3164553462509999E-3</c:v>
                </c:pt>
                <c:pt idx="90">
                  <c:v>2.1806845379861999E-3</c:v>
                </c:pt>
                <c:pt idx="91">
                  <c:v>3.2096858889788199E-4</c:v>
                </c:pt>
                <c:pt idx="92">
                  <c:v>3.8003551054861099E-3</c:v>
                </c:pt>
                <c:pt idx="93">
                  <c:v>3.02079506042166E-3</c:v>
                </c:pt>
                <c:pt idx="94">
                  <c:v>2.8839572091448901E-3</c:v>
                </c:pt>
                <c:pt idx="95">
                  <c:v>1.5520062229411899E-3</c:v>
                </c:pt>
                <c:pt idx="96">
                  <c:v>9.30311290244968E-4</c:v>
                </c:pt>
                <c:pt idx="97">
                  <c:v>-3.0034534414937299E-4</c:v>
                </c:pt>
                <c:pt idx="98">
                  <c:v>-9.0254266657999898E-4</c:v>
                </c:pt>
                <c:pt idx="99">
                  <c:v>-5.6857125100304097E-4</c:v>
                </c:pt>
                <c:pt idx="100">
                  <c:v>-9.0129017648358698E-4</c:v>
                </c:pt>
                <c:pt idx="101">
                  <c:v>-1.57843452924095E-3</c:v>
                </c:pt>
                <c:pt idx="102">
                  <c:v>2.1192967016343601E-3</c:v>
                </c:pt>
                <c:pt idx="103">
                  <c:v>9.0246695918928495E-4</c:v>
                </c:pt>
                <c:pt idx="104">
                  <c:v>2.38973058316821E-3</c:v>
                </c:pt>
                <c:pt idx="105">
                  <c:v>2.1913262248423201E-3</c:v>
                </c:pt>
                <c:pt idx="106">
                  <c:v>1.8711963521425201E-3</c:v>
                </c:pt>
                <c:pt idx="107">
                  <c:v>1.55197230653442E-3</c:v>
                </c:pt>
                <c:pt idx="108">
                  <c:v>2.0072008887295802E-3</c:v>
                </c:pt>
                <c:pt idx="109">
                  <c:v>2.55751797665722E-3</c:v>
                </c:pt>
                <c:pt idx="110">
                  <c:v>1.20496345158967E-3</c:v>
                </c:pt>
                <c:pt idx="111">
                  <c:v>-3.4304398183425199E-4</c:v>
                </c:pt>
                <c:pt idx="112">
                  <c:v>7.4234824539828903E-4</c:v>
                </c:pt>
                <c:pt idx="113">
                  <c:v>9.0921437925704698E-4</c:v>
                </c:pt>
                <c:pt idx="114">
                  <c:v>7.1612022728857901E-4</c:v>
                </c:pt>
                <c:pt idx="115">
                  <c:v>1.8710675357680099E-3</c:v>
                </c:pt>
                <c:pt idx="116">
                  <c:v>1.83193239966115E-3</c:v>
                </c:pt>
                <c:pt idx="117">
                  <c:v>-3.8286942624796898E-4</c:v>
                </c:pt>
                <c:pt idx="118">
                  <c:v>-5.7085258068033102E-4</c:v>
                </c:pt>
                <c:pt idx="119">
                  <c:v>-7.7020753376104195E-5</c:v>
                </c:pt>
                <c:pt idx="120">
                  <c:v>-6.0687921617375701E-4</c:v>
                </c:pt>
                <c:pt idx="121">
                  <c:v>-7.2381334821561695E-4</c:v>
                </c:pt>
                <c:pt idx="122">
                  <c:v>7.9465978099446796E-4</c:v>
                </c:pt>
                <c:pt idx="123">
                  <c:v>-4.6653143171485499E-3</c:v>
                </c:pt>
                <c:pt idx="124">
                  <c:v>-4.4602922303574903E-3</c:v>
                </c:pt>
                <c:pt idx="125">
                  <c:v>-4.1870888646819296E-3</c:v>
                </c:pt>
                <c:pt idx="126">
                  <c:v>-3.1744780687294099E-3</c:v>
                </c:pt>
                <c:pt idx="127">
                  <c:v>-1.60641197267554E-3</c:v>
                </c:pt>
                <c:pt idx="128">
                  <c:v>-3.6307090501553601E-3</c:v>
                </c:pt>
                <c:pt idx="129">
                  <c:v>-2.8064866653436898E-3</c:v>
                </c:pt>
                <c:pt idx="130">
                  <c:v>-1.9758799704012002E-3</c:v>
                </c:pt>
                <c:pt idx="131">
                  <c:v>-1.4441197562030099E-3</c:v>
                </c:pt>
                <c:pt idx="132">
                  <c:v>-1.80406965343399E-3</c:v>
                </c:pt>
                <c:pt idx="133">
                  <c:v>-1.5683921983118299E-3</c:v>
                </c:pt>
                <c:pt idx="134">
                  <c:v>-1.5609339180922099E-3</c:v>
                </c:pt>
                <c:pt idx="135">
                  <c:v>-8.3189102331414493E-5</c:v>
                </c:pt>
                <c:pt idx="136">
                  <c:v>-5.1716027814415399E-4</c:v>
                </c:pt>
                <c:pt idx="137">
                  <c:v>-2.8160519227906901E-4</c:v>
                </c:pt>
                <c:pt idx="138">
                  <c:v>1.10538569228281E-3</c:v>
                </c:pt>
                <c:pt idx="139">
                  <c:v>-1.3967348433581201E-4</c:v>
                </c:pt>
                <c:pt idx="140">
                  <c:v>-9.0962042460599401E-4</c:v>
                </c:pt>
                <c:pt idx="141">
                  <c:v>-2.0953141928408201E-4</c:v>
                </c:pt>
                <c:pt idx="142">
                  <c:v>4.6600012320983898E-4</c:v>
                </c:pt>
                <c:pt idx="143">
                  <c:v>3.90925377206988E-4</c:v>
                </c:pt>
                <c:pt idx="144">
                  <c:v>1.00867615285376E-3</c:v>
                </c:pt>
                <c:pt idx="145">
                  <c:v>2.4458700790621498E-3</c:v>
                </c:pt>
                <c:pt idx="146">
                  <c:v>2.1482857412091498E-3</c:v>
                </c:pt>
                <c:pt idx="147">
                  <c:v>1.9889165401616601E-3</c:v>
                </c:pt>
                <c:pt idx="148">
                  <c:v>2.20159107141737E-3</c:v>
                </c:pt>
                <c:pt idx="149">
                  <c:v>2.1539874138633299E-3</c:v>
                </c:pt>
                <c:pt idx="150">
                  <c:v>2.7191320420390502E-3</c:v>
                </c:pt>
                <c:pt idx="151">
                  <c:v>2.1070794642272799E-3</c:v>
                </c:pt>
                <c:pt idx="152">
                  <c:v>1.9608273341868098E-3</c:v>
                </c:pt>
                <c:pt idx="153">
                  <c:v>1.51308129371232E-3</c:v>
                </c:pt>
                <c:pt idx="154">
                  <c:v>2.93110795518608E-3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63-4972-9898-44756C024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606719"/>
        <c:axId val="1490521999"/>
      </c:lineChart>
      <c:catAx>
        <c:axId val="10816067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521999"/>
        <c:crosses val="autoZero"/>
        <c:auto val="1"/>
        <c:lblAlgn val="ctr"/>
        <c:lblOffset val="100"/>
        <c:noMultiLvlLbl val="0"/>
      </c:catAx>
      <c:valAx>
        <c:axId val="149052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60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BNDX_IAGG!$S$1</c:f>
              <c:strCache>
                <c:ptCount val="1"/>
                <c:pt idx="0">
                  <c:v> IAGG*/BNDX*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BNDX_IAGG!$S$2:$S$156</c:f>
              <c:numCache>
                <c:formatCode>_(* #,##0.0000_);_(* \(#,##0.0000\);_(* "-"??_);_(@_)</c:formatCode>
                <c:ptCount val="155"/>
                <c:pt idx="0">
                  <c:v>1.0384357751676798</c:v>
                </c:pt>
                <c:pt idx="1">
                  <c:v>1.0384357751676798</c:v>
                </c:pt>
                <c:pt idx="2">
                  <c:v>1.0384357751676798</c:v>
                </c:pt>
                <c:pt idx="3">
                  <c:v>1.0384357751676798</c:v>
                </c:pt>
                <c:pt idx="4">
                  <c:v>1.0384357751676798</c:v>
                </c:pt>
                <c:pt idx="5">
                  <c:v>1.0384357751676798</c:v>
                </c:pt>
                <c:pt idx="6">
                  <c:v>1.0384357751676798</c:v>
                </c:pt>
                <c:pt idx="7">
                  <c:v>1.0384357751676798</c:v>
                </c:pt>
                <c:pt idx="8">
                  <c:v>1.0384357751676798</c:v>
                </c:pt>
                <c:pt idx="9">
                  <c:v>1.0384357751676798</c:v>
                </c:pt>
                <c:pt idx="10">
                  <c:v>1.0384357751676798</c:v>
                </c:pt>
                <c:pt idx="11">
                  <c:v>1.0384357751676798</c:v>
                </c:pt>
                <c:pt idx="12">
                  <c:v>1.0384357751676798</c:v>
                </c:pt>
                <c:pt idx="13">
                  <c:v>1.0384357751676798</c:v>
                </c:pt>
                <c:pt idx="14">
                  <c:v>1.0384357751676798</c:v>
                </c:pt>
                <c:pt idx="15">
                  <c:v>1.0384357751676798</c:v>
                </c:pt>
                <c:pt idx="16">
                  <c:v>1.0384357751676798</c:v>
                </c:pt>
                <c:pt idx="17">
                  <c:v>1.0384357751676798</c:v>
                </c:pt>
                <c:pt idx="18">
                  <c:v>1.0384357751676798</c:v>
                </c:pt>
                <c:pt idx="19">
                  <c:v>1.0384357751676798</c:v>
                </c:pt>
                <c:pt idx="20">
                  <c:v>1.0384357751676798</c:v>
                </c:pt>
                <c:pt idx="21">
                  <c:v>1.0384357751676798</c:v>
                </c:pt>
                <c:pt idx="22">
                  <c:v>1.0384357751676798</c:v>
                </c:pt>
                <c:pt idx="23">
                  <c:v>1.0384357751676798</c:v>
                </c:pt>
                <c:pt idx="24">
                  <c:v>1.0384357751676798</c:v>
                </c:pt>
                <c:pt idx="25">
                  <c:v>1.0384357751676798</c:v>
                </c:pt>
                <c:pt idx="26">
                  <c:v>1.0384357751676798</c:v>
                </c:pt>
                <c:pt idx="27">
                  <c:v>1.0384357751676798</c:v>
                </c:pt>
                <c:pt idx="28">
                  <c:v>1.0384357751676798</c:v>
                </c:pt>
                <c:pt idx="29">
                  <c:v>1.0384357751676798</c:v>
                </c:pt>
                <c:pt idx="30">
                  <c:v>1.0384357751676798</c:v>
                </c:pt>
                <c:pt idx="31">
                  <c:v>1.0384357751676798</c:v>
                </c:pt>
                <c:pt idx="32">
                  <c:v>1.0384357751676798</c:v>
                </c:pt>
                <c:pt idx="33">
                  <c:v>1.0384357751676798</c:v>
                </c:pt>
                <c:pt idx="34">
                  <c:v>1.0384357751676798</c:v>
                </c:pt>
                <c:pt idx="35">
                  <c:v>1.0384357751676798</c:v>
                </c:pt>
                <c:pt idx="36">
                  <c:v>1.0384357751676798</c:v>
                </c:pt>
                <c:pt idx="37">
                  <c:v>1.0384357751676798</c:v>
                </c:pt>
                <c:pt idx="38">
                  <c:v>1.0384357751676798</c:v>
                </c:pt>
                <c:pt idx="39">
                  <c:v>1.0384357751676798</c:v>
                </c:pt>
                <c:pt idx="40">
                  <c:v>1.0384357751676798</c:v>
                </c:pt>
                <c:pt idx="41">
                  <c:v>1.0384357751676798</c:v>
                </c:pt>
                <c:pt idx="42">
                  <c:v>1.0384357751676798</c:v>
                </c:pt>
                <c:pt idx="43">
                  <c:v>1.0384357751676798</c:v>
                </c:pt>
                <c:pt idx="44">
                  <c:v>1.0384357751676798</c:v>
                </c:pt>
                <c:pt idx="45">
                  <c:v>1.0384357751676798</c:v>
                </c:pt>
                <c:pt idx="46">
                  <c:v>1.0384357751676798</c:v>
                </c:pt>
                <c:pt idx="47">
                  <c:v>1.0384357751676798</c:v>
                </c:pt>
                <c:pt idx="48">
                  <c:v>1.0384357751676798</c:v>
                </c:pt>
                <c:pt idx="49">
                  <c:v>1.0384357751676798</c:v>
                </c:pt>
                <c:pt idx="50">
                  <c:v>1.0384357751676798</c:v>
                </c:pt>
                <c:pt idx="51">
                  <c:v>1.0384357751676798</c:v>
                </c:pt>
                <c:pt idx="52">
                  <c:v>1.0384357751676798</c:v>
                </c:pt>
                <c:pt idx="53">
                  <c:v>1.0384357751676798</c:v>
                </c:pt>
                <c:pt idx="54">
                  <c:v>1.0384357751676798</c:v>
                </c:pt>
                <c:pt idx="55">
                  <c:v>1.0384357751676798</c:v>
                </c:pt>
                <c:pt idx="56">
                  <c:v>1.0384357751676798</c:v>
                </c:pt>
                <c:pt idx="57">
                  <c:v>1.0384357751676798</c:v>
                </c:pt>
                <c:pt idx="58">
                  <c:v>1.0384357751676798</c:v>
                </c:pt>
                <c:pt idx="59">
                  <c:v>1.0384357751676798</c:v>
                </c:pt>
                <c:pt idx="60">
                  <c:v>1.0384357751676798</c:v>
                </c:pt>
                <c:pt idx="61">
                  <c:v>1.0384357751676798</c:v>
                </c:pt>
                <c:pt idx="62">
                  <c:v>1.0384357751676798</c:v>
                </c:pt>
                <c:pt idx="63">
                  <c:v>1.0384357751676798</c:v>
                </c:pt>
                <c:pt idx="64">
                  <c:v>1.0384357751676798</c:v>
                </c:pt>
                <c:pt idx="65">
                  <c:v>1.0384357751676798</c:v>
                </c:pt>
                <c:pt idx="66">
                  <c:v>1.0384357751676798</c:v>
                </c:pt>
                <c:pt idx="67">
                  <c:v>1.0384357751676798</c:v>
                </c:pt>
                <c:pt idx="68">
                  <c:v>1.0384357751676798</c:v>
                </c:pt>
                <c:pt idx="69">
                  <c:v>1.0384357751676798</c:v>
                </c:pt>
                <c:pt idx="70">
                  <c:v>1.0384357751676798</c:v>
                </c:pt>
                <c:pt idx="71">
                  <c:v>1.0384357751676798</c:v>
                </c:pt>
                <c:pt idx="72">
                  <c:v>1.0384357751676798</c:v>
                </c:pt>
                <c:pt idx="73">
                  <c:v>1.0384357751676798</c:v>
                </c:pt>
                <c:pt idx="74">
                  <c:v>1.0384357751676798</c:v>
                </c:pt>
                <c:pt idx="75">
                  <c:v>1.0384357751676798</c:v>
                </c:pt>
                <c:pt idx="76">
                  <c:v>1.0384357751676798</c:v>
                </c:pt>
                <c:pt idx="77">
                  <c:v>1.0384357751676798</c:v>
                </c:pt>
                <c:pt idx="78">
                  <c:v>1.0384357751676798</c:v>
                </c:pt>
                <c:pt idx="79">
                  <c:v>1.0384357751676798</c:v>
                </c:pt>
                <c:pt idx="80">
                  <c:v>1.0384357751676798</c:v>
                </c:pt>
                <c:pt idx="81">
                  <c:v>1.0384357751676798</c:v>
                </c:pt>
                <c:pt idx="82">
                  <c:v>1.0384357751676798</c:v>
                </c:pt>
                <c:pt idx="83">
                  <c:v>1.0384357751676798</c:v>
                </c:pt>
                <c:pt idx="84">
                  <c:v>1.0384357751676798</c:v>
                </c:pt>
                <c:pt idx="85">
                  <c:v>1.0384357751676798</c:v>
                </c:pt>
                <c:pt idx="86">
                  <c:v>1.0384357751676798</c:v>
                </c:pt>
                <c:pt idx="87">
                  <c:v>1.0384357751676798</c:v>
                </c:pt>
                <c:pt idx="88">
                  <c:v>1.0384357751676798</c:v>
                </c:pt>
                <c:pt idx="89">
                  <c:v>1.0384357751676798</c:v>
                </c:pt>
                <c:pt idx="90">
                  <c:v>1.0384357751676798</c:v>
                </c:pt>
                <c:pt idx="91">
                  <c:v>1.0384357751676798</c:v>
                </c:pt>
                <c:pt idx="92">
                  <c:v>1.0384357751676798</c:v>
                </c:pt>
                <c:pt idx="93">
                  <c:v>1.0384357751676798</c:v>
                </c:pt>
                <c:pt idx="94">
                  <c:v>1.0384357751676798</c:v>
                </c:pt>
                <c:pt idx="95">
                  <c:v>1.0384357751676798</c:v>
                </c:pt>
                <c:pt idx="96">
                  <c:v>1.0384357751676798</c:v>
                </c:pt>
                <c:pt idx="97">
                  <c:v>1.0384357751676798</c:v>
                </c:pt>
                <c:pt idx="98">
                  <c:v>1.0384357751676798</c:v>
                </c:pt>
                <c:pt idx="99">
                  <c:v>1.0384357751676798</c:v>
                </c:pt>
                <c:pt idx="100">
                  <c:v>1.0384357751676798</c:v>
                </c:pt>
                <c:pt idx="101">
                  <c:v>1.0384357751676798</c:v>
                </c:pt>
                <c:pt idx="102">
                  <c:v>1.0384357751676798</c:v>
                </c:pt>
                <c:pt idx="103">
                  <c:v>1.0384357751676798</c:v>
                </c:pt>
                <c:pt idx="104">
                  <c:v>1.0384357751676798</c:v>
                </c:pt>
                <c:pt idx="105">
                  <c:v>1.0384357751676798</c:v>
                </c:pt>
                <c:pt idx="106">
                  <c:v>1.0384357751676798</c:v>
                </c:pt>
                <c:pt idx="107">
                  <c:v>1.0384357751676798</c:v>
                </c:pt>
                <c:pt idx="108">
                  <c:v>1.0384357751676798</c:v>
                </c:pt>
                <c:pt idx="109">
                  <c:v>1.0384357751676798</c:v>
                </c:pt>
                <c:pt idx="110">
                  <c:v>1.0384357751676798</c:v>
                </c:pt>
                <c:pt idx="111">
                  <c:v>1.0384357751676798</c:v>
                </c:pt>
                <c:pt idx="112">
                  <c:v>1.0384357751676798</c:v>
                </c:pt>
                <c:pt idx="113">
                  <c:v>1.0384357751676798</c:v>
                </c:pt>
                <c:pt idx="114">
                  <c:v>1.0384357751676798</c:v>
                </c:pt>
                <c:pt idx="115">
                  <c:v>1.0384357751676798</c:v>
                </c:pt>
                <c:pt idx="116">
                  <c:v>1.0384357751676798</c:v>
                </c:pt>
                <c:pt idx="117">
                  <c:v>1.0384357751676798</c:v>
                </c:pt>
                <c:pt idx="118">
                  <c:v>1.0384357751676798</c:v>
                </c:pt>
                <c:pt idx="119">
                  <c:v>1.0384357751676798</c:v>
                </c:pt>
                <c:pt idx="120">
                  <c:v>1.0384357751676798</c:v>
                </c:pt>
                <c:pt idx="121">
                  <c:v>1.0384357751676798</c:v>
                </c:pt>
                <c:pt idx="122">
                  <c:v>1.0384357751676798</c:v>
                </c:pt>
                <c:pt idx="123">
                  <c:v>1.0384357751676798</c:v>
                </c:pt>
                <c:pt idx="124">
                  <c:v>1.0384357751676798</c:v>
                </c:pt>
                <c:pt idx="125">
                  <c:v>1.0384357751676798</c:v>
                </c:pt>
                <c:pt idx="126">
                  <c:v>1.0384357751676798</c:v>
                </c:pt>
                <c:pt idx="127">
                  <c:v>1.0384357751676798</c:v>
                </c:pt>
                <c:pt idx="128">
                  <c:v>1.0384357751676798</c:v>
                </c:pt>
                <c:pt idx="129">
                  <c:v>1.0384357751676798</c:v>
                </c:pt>
                <c:pt idx="130">
                  <c:v>1.0384357751676798</c:v>
                </c:pt>
                <c:pt idx="131">
                  <c:v>1.0384357751676798</c:v>
                </c:pt>
                <c:pt idx="132">
                  <c:v>1.0384357751676798</c:v>
                </c:pt>
                <c:pt idx="133">
                  <c:v>1.0384357751676798</c:v>
                </c:pt>
                <c:pt idx="134">
                  <c:v>1.0384357751676798</c:v>
                </c:pt>
                <c:pt idx="135">
                  <c:v>1.0384357751676798</c:v>
                </c:pt>
                <c:pt idx="136">
                  <c:v>1.0384357751676798</c:v>
                </c:pt>
                <c:pt idx="137">
                  <c:v>1.0384357751676798</c:v>
                </c:pt>
                <c:pt idx="138">
                  <c:v>1.0384357751676798</c:v>
                </c:pt>
                <c:pt idx="139">
                  <c:v>1.0384357751676798</c:v>
                </c:pt>
                <c:pt idx="140">
                  <c:v>1.0384357751676798</c:v>
                </c:pt>
                <c:pt idx="141">
                  <c:v>1.0384357751676798</c:v>
                </c:pt>
                <c:pt idx="142">
                  <c:v>1.0384357751676798</c:v>
                </c:pt>
                <c:pt idx="143">
                  <c:v>1.0384357751676798</c:v>
                </c:pt>
                <c:pt idx="144">
                  <c:v>1.0384357751676798</c:v>
                </c:pt>
                <c:pt idx="145">
                  <c:v>1.0384357751676798</c:v>
                </c:pt>
                <c:pt idx="146">
                  <c:v>1.0384357751676798</c:v>
                </c:pt>
                <c:pt idx="147">
                  <c:v>1.0384357751676798</c:v>
                </c:pt>
                <c:pt idx="148">
                  <c:v>1.0384357751676798</c:v>
                </c:pt>
                <c:pt idx="149">
                  <c:v>1.0384357751676798</c:v>
                </c:pt>
                <c:pt idx="150">
                  <c:v>1.0384357751676798</c:v>
                </c:pt>
                <c:pt idx="151">
                  <c:v>1.0384357751676798</c:v>
                </c:pt>
                <c:pt idx="152">
                  <c:v>1.0384357751676798</c:v>
                </c:pt>
                <c:pt idx="153">
                  <c:v>1.0384357751676798</c:v>
                </c:pt>
                <c:pt idx="154">
                  <c:v>1.0384357751676798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D8-4C2B-B9E8-0EA81C39712B}"/>
            </c:ext>
          </c:extLst>
        </c:ser>
        <c:ser>
          <c:idx val="1"/>
          <c:order val="1"/>
          <c:tx>
            <c:strRef>
              <c:f>BNDX_IAGG!$T$1</c:f>
              <c:strCache>
                <c:ptCount val="1"/>
                <c:pt idx="0">
                  <c:v> IAGG*/BNDX*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BNDX_IAGG!$T$2:$T$156</c:f>
              <c:numCache>
                <c:formatCode>_(* #,##0.0000_);_(* \(#,##0.0000\);_(* "-"??_);_(@_)</c:formatCode>
                <c:ptCount val="155"/>
                <c:pt idx="9">
                  <c:v>1.034966390710496</c:v>
                </c:pt>
                <c:pt idx="10">
                  <c:v>1.034846316546566</c:v>
                </c:pt>
                <c:pt idx="11">
                  <c:v>1.0348869169767378</c:v>
                </c:pt>
                <c:pt idx="12">
                  <c:v>1.0349289468723559</c:v>
                </c:pt>
                <c:pt idx="13">
                  <c:v>1.0349951515953171</c:v>
                </c:pt>
                <c:pt idx="14">
                  <c:v>1.035062787139128</c:v>
                </c:pt>
                <c:pt idx="15">
                  <c:v>1.0350429072437513</c:v>
                </c:pt>
                <c:pt idx="16">
                  <c:v>1.0350472345922204</c:v>
                </c:pt>
                <c:pt idx="17">
                  <c:v>1.035193687899542</c:v>
                </c:pt>
                <c:pt idx="18">
                  <c:v>1.0351689314559027</c:v>
                </c:pt>
                <c:pt idx="19">
                  <c:v>1.0353144601117861</c:v>
                </c:pt>
                <c:pt idx="20">
                  <c:v>1.0354462582349888</c:v>
                </c:pt>
                <c:pt idx="21">
                  <c:v>1.0354860949964739</c:v>
                </c:pt>
                <c:pt idx="22">
                  <c:v>1.0353173730344571</c:v>
                </c:pt>
                <c:pt idx="23">
                  <c:v>1.035229849320555</c:v>
                </c:pt>
                <c:pt idx="24">
                  <c:v>1.0351607877103288</c:v>
                </c:pt>
                <c:pt idx="25">
                  <c:v>1.0351167251302651</c:v>
                </c:pt>
                <c:pt idx="26">
                  <c:v>1.034961413019138</c:v>
                </c:pt>
                <c:pt idx="27">
                  <c:v>1.0348042336963919</c:v>
                </c:pt>
                <c:pt idx="28">
                  <c:v>1.034836186089054</c:v>
                </c:pt>
                <c:pt idx="29">
                  <c:v>1.034777697077129</c:v>
                </c:pt>
                <c:pt idx="30">
                  <c:v>1.034599817169501</c:v>
                </c:pt>
                <c:pt idx="31">
                  <c:v>1.034379544608397</c:v>
                </c:pt>
                <c:pt idx="32">
                  <c:v>1.034368491234513</c:v>
                </c:pt>
                <c:pt idx="33">
                  <c:v>1.034337399610626</c:v>
                </c:pt>
                <c:pt idx="34">
                  <c:v>1.0342395927616281</c:v>
                </c:pt>
                <c:pt idx="35">
                  <c:v>1.0341010993589701</c:v>
                </c:pt>
                <c:pt idx="36">
                  <c:v>1.0341383838950757</c:v>
                </c:pt>
                <c:pt idx="37">
                  <c:v>1.033986524921175</c:v>
                </c:pt>
                <c:pt idx="38">
                  <c:v>1.033938377513471</c:v>
                </c:pt>
                <c:pt idx="39">
                  <c:v>1.0337594922656632</c:v>
                </c:pt>
                <c:pt idx="40">
                  <c:v>1.0337369484789347</c:v>
                </c:pt>
                <c:pt idx="41">
                  <c:v>1.0338822695448411</c:v>
                </c:pt>
                <c:pt idx="42">
                  <c:v>1.0340230513804793</c:v>
                </c:pt>
                <c:pt idx="43">
                  <c:v>1.0343013617929944</c:v>
                </c:pt>
                <c:pt idx="44">
                  <c:v>1.0345594726738947</c:v>
                </c:pt>
                <c:pt idx="45">
                  <c:v>1.0348214991216431</c:v>
                </c:pt>
                <c:pt idx="46">
                  <c:v>1.035158671074488</c:v>
                </c:pt>
                <c:pt idx="47">
                  <c:v>1.0356586034954931</c:v>
                </c:pt>
                <c:pt idx="48">
                  <c:v>1.0361515636226</c:v>
                </c:pt>
                <c:pt idx="49">
                  <c:v>1.0365729293427361</c:v>
                </c:pt>
                <c:pt idx="50">
                  <c:v>1.0367549316296936</c:v>
                </c:pt>
                <c:pt idx="51">
                  <c:v>1.0370108205054671</c:v>
                </c:pt>
                <c:pt idx="52">
                  <c:v>1.0372927864891277</c:v>
                </c:pt>
                <c:pt idx="53">
                  <c:v>1.0374041665257074</c:v>
                </c:pt>
                <c:pt idx="54">
                  <c:v>1.0376080810360624</c:v>
                </c:pt>
                <c:pt idx="55">
                  <c:v>1.0378436907443218</c:v>
                </c:pt>
                <c:pt idx="56">
                  <c:v>1.0379190930940934</c:v>
                </c:pt>
                <c:pt idx="57">
                  <c:v>1.0381134589823247</c:v>
                </c:pt>
                <c:pt idx="58">
                  <c:v>1.0382666156178932</c:v>
                </c:pt>
                <c:pt idx="59">
                  <c:v>1.0385299424126035</c:v>
                </c:pt>
                <c:pt idx="60">
                  <c:v>1.0388601347351494</c:v>
                </c:pt>
                <c:pt idx="61">
                  <c:v>1.0389176056494098</c:v>
                </c:pt>
                <c:pt idx="62">
                  <c:v>1.0389809013635625</c:v>
                </c:pt>
                <c:pt idx="63">
                  <c:v>1.039150379013019</c:v>
                </c:pt>
                <c:pt idx="64">
                  <c:v>1.039291579466773</c:v>
                </c:pt>
                <c:pt idx="65">
                  <c:v>1.0393053258668237</c:v>
                </c:pt>
                <c:pt idx="66">
                  <c:v>1.0394547111322903</c:v>
                </c:pt>
                <c:pt idx="67">
                  <c:v>1.0394413332058687</c:v>
                </c:pt>
                <c:pt idx="68">
                  <c:v>1.0393138222120988</c:v>
                </c:pt>
                <c:pt idx="69">
                  <c:v>1.0390997402554789</c:v>
                </c:pt>
                <c:pt idx="70">
                  <c:v>1.038998280509206</c:v>
                </c:pt>
                <c:pt idx="71">
                  <c:v>1.0390542532871101</c:v>
                </c:pt>
                <c:pt idx="72">
                  <c:v>1.0390450941612988</c:v>
                </c:pt>
                <c:pt idx="73">
                  <c:v>1.0389507132951079</c:v>
                </c:pt>
                <c:pt idx="74">
                  <c:v>1.0388726780323512</c:v>
                </c:pt>
                <c:pt idx="75">
                  <c:v>1.0389636531556721</c:v>
                </c:pt>
                <c:pt idx="76">
                  <c:v>1.0389045536687127</c:v>
                </c:pt>
                <c:pt idx="77">
                  <c:v>1.0388904369985863</c:v>
                </c:pt>
                <c:pt idx="78">
                  <c:v>1.0389104385408321</c:v>
                </c:pt>
                <c:pt idx="79">
                  <c:v>1.039011166108923</c:v>
                </c:pt>
                <c:pt idx="80">
                  <c:v>1.0392199872792871</c:v>
                </c:pt>
                <c:pt idx="81">
                  <c:v>1.0391816183607943</c:v>
                </c:pt>
                <c:pt idx="82">
                  <c:v>1.0391602473304435</c:v>
                </c:pt>
                <c:pt idx="83">
                  <c:v>1.0392070945205951</c:v>
                </c:pt>
                <c:pt idx="84">
                  <c:v>1.0392151939661947</c:v>
                </c:pt>
                <c:pt idx="85">
                  <c:v>1.0391250126722538</c:v>
                </c:pt>
                <c:pt idx="86">
                  <c:v>1.0390754410965815</c:v>
                </c:pt>
                <c:pt idx="87">
                  <c:v>1.0390481069895061</c:v>
                </c:pt>
                <c:pt idx="88">
                  <c:v>1.0391072356307611</c:v>
                </c:pt>
                <c:pt idx="89">
                  <c:v>1.0393015525478451</c:v>
                </c:pt>
                <c:pt idx="90">
                  <c:v>1.0392681243191357</c:v>
                </c:pt>
                <c:pt idx="91">
                  <c:v>1.0392241116520755</c:v>
                </c:pt>
                <c:pt idx="92">
                  <c:v>1.0395501901119129</c:v>
                </c:pt>
                <c:pt idx="93">
                  <c:v>1.0397499772865106</c:v>
                </c:pt>
                <c:pt idx="94">
                  <c:v>1.0400050873494038</c:v>
                </c:pt>
                <c:pt idx="95">
                  <c:v>1.0402116213069068</c:v>
                </c:pt>
                <c:pt idx="96">
                  <c:v>1.0403651646022714</c:v>
                </c:pt>
                <c:pt idx="97">
                  <c:v>1.0402886996642979</c:v>
                </c:pt>
                <c:pt idx="98">
                  <c:v>1.0401440383088354</c:v>
                </c:pt>
                <c:pt idx="99">
                  <c:v>1.0399231204192705</c:v>
                </c:pt>
                <c:pt idx="100">
                  <c:v>1.0397693122724339</c:v>
                </c:pt>
                <c:pt idx="101">
                  <c:v>1.0397202267268735</c:v>
                </c:pt>
                <c:pt idx="102">
                  <c:v>1.0394569014616735</c:v>
                </c:pt>
                <c:pt idx="103">
                  <c:v>1.0391362436810343</c:v>
                </c:pt>
                <c:pt idx="104">
                  <c:v>1.0389645748962069</c:v>
                </c:pt>
                <c:pt idx="105">
                  <c:v>1.0389005879729203</c:v>
                </c:pt>
                <c:pt idx="106">
                  <c:v>1.0388682646893816</c:v>
                </c:pt>
                <c:pt idx="107">
                  <c:v>1.0389305441164105</c:v>
                </c:pt>
                <c:pt idx="108">
                  <c:v>1.0391068045931537</c:v>
                </c:pt>
                <c:pt idx="109">
                  <c:v>1.0393107226894913</c:v>
                </c:pt>
                <c:pt idx="110">
                  <c:v>1.0394116449878221</c:v>
                </c:pt>
                <c:pt idx="111">
                  <c:v>1.0394291549964614</c:v>
                </c:pt>
                <c:pt idx="112">
                  <c:v>1.039416183066225</c:v>
                </c:pt>
                <c:pt idx="113">
                  <c:v>1.0395295364013366</c:v>
                </c:pt>
                <c:pt idx="114">
                  <c:v>1.0394653658492823</c:v>
                </c:pt>
                <c:pt idx="115">
                  <c:v>1.0395256233760379</c:v>
                </c:pt>
                <c:pt idx="116">
                  <c:v>1.0396075031534004</c:v>
                </c:pt>
                <c:pt idx="117">
                  <c:v>1.0394902999353737</c:v>
                </c:pt>
                <c:pt idx="118">
                  <c:v>1.0393047151119972</c:v>
                </c:pt>
                <c:pt idx="119">
                  <c:v>1.0391116714090669</c:v>
                </c:pt>
                <c:pt idx="120">
                  <c:v>1.0390028622006271</c:v>
                </c:pt>
                <c:pt idx="121">
                  <c:v>1.0390441671107653</c:v>
                </c:pt>
                <c:pt idx="122">
                  <c:v>1.0391340554275519</c:v>
                </c:pt>
                <c:pt idx="123">
                  <c:v>1.0393226103229154</c:v>
                </c:pt>
                <c:pt idx="124">
                  <c:v>1.0395327135604195</c:v>
                </c:pt>
                <c:pt idx="125">
                  <c:v>1.0396242190453258</c:v>
                </c:pt>
                <c:pt idx="126">
                  <c:v>1.0397887291067398</c:v>
                </c:pt>
                <c:pt idx="127">
                  <c:v>1.0403103037164043</c:v>
                </c:pt>
                <c:pt idx="128">
                  <c:v>1.040615851692104</c:v>
                </c:pt>
                <c:pt idx="129">
                  <c:v>1.0409162773837677</c:v>
                </c:pt>
                <c:pt idx="130">
                  <c:v>1.0413176863688993</c:v>
                </c:pt>
                <c:pt idx="131">
                  <c:v>1.0417553972502487</c:v>
                </c:pt>
                <c:pt idx="132">
                  <c:v>1.0419737003449017</c:v>
                </c:pt>
                <c:pt idx="133">
                  <c:v>1.0420837507926457</c:v>
                </c:pt>
                <c:pt idx="134">
                  <c:v>1.0421730229449935</c:v>
                </c:pt>
                <c:pt idx="135">
                  <c:v>1.042395749154037</c:v>
                </c:pt>
                <c:pt idx="136">
                  <c:v>1.0424751815251925</c:v>
                </c:pt>
                <c:pt idx="137">
                  <c:v>1.0424151493505713</c:v>
                </c:pt>
                <c:pt idx="138">
                  <c:v>1.0427144203086391</c:v>
                </c:pt>
                <c:pt idx="139">
                  <c:v>1.042822590791586</c:v>
                </c:pt>
                <c:pt idx="140">
                  <c:v>1.0427782008411881</c:v>
                </c:pt>
                <c:pt idx="141">
                  <c:v>1.0427546911129137</c:v>
                </c:pt>
                <c:pt idx="142">
                  <c:v>1.0428368880491086</c:v>
                </c:pt>
                <c:pt idx="143">
                  <c:v>1.0428857313137896</c:v>
                </c:pt>
                <c:pt idx="144">
                  <c:v>1.0430254490594852</c:v>
                </c:pt>
                <c:pt idx="145">
                  <c:v>1.042720842090552</c:v>
                </c:pt>
                <c:pt idx="146">
                  <c:v>1.0424689318520353</c:v>
                </c:pt>
                <c:pt idx="147">
                  <c:v>1.0422126546142896</c:v>
                </c:pt>
                <c:pt idx="148">
                  <c:v>1.0418517555124944</c:v>
                </c:pt>
                <c:pt idx="149">
                  <c:v>1.0416404397273729</c:v>
                </c:pt>
                <c:pt idx="150">
                  <c:v>1.0415995702827514</c:v>
                </c:pt>
                <c:pt idx="151">
                  <c:v>1.0414579879773709</c:v>
                </c:pt>
                <c:pt idx="152">
                  <c:v>1.0412585692484764</c:v>
                </c:pt>
                <c:pt idx="153">
                  <c:v>1.0410578149162579</c:v>
                </c:pt>
                <c:pt idx="154">
                  <c:v>1.0409469287581552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D8-4C2B-B9E8-0EA81C39712B}"/>
            </c:ext>
          </c:extLst>
        </c:ser>
        <c:ser>
          <c:idx val="2"/>
          <c:order val="2"/>
          <c:tx>
            <c:strRef>
              <c:f>BNDX_IAGG!$U$1</c:f>
              <c:strCache>
                <c:ptCount val="1"/>
                <c:pt idx="0">
                  <c:v> IAGG*/BNDX*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BNDX_IAGG!$U$2:$U$156</c:f>
              <c:numCache>
                <c:formatCode>_(* #,##0.0000_);_(* \(#,##0.0000\);_(* "-"??_);_(@_)</c:formatCode>
                <c:ptCount val="155"/>
                <c:pt idx="19">
                  <c:v>1.0351404254111409</c:v>
                </c:pt>
                <c:pt idx="20">
                  <c:v>1.0351462873907775</c:v>
                </c:pt>
                <c:pt idx="21">
                  <c:v>1.0351865059866061</c:v>
                </c:pt>
                <c:pt idx="22">
                  <c:v>1.0351231599534065</c:v>
                </c:pt>
                <c:pt idx="23">
                  <c:v>1.0351125004579362</c:v>
                </c:pt>
                <c:pt idx="24">
                  <c:v>1.0351117874247284</c:v>
                </c:pt>
                <c:pt idx="25">
                  <c:v>1.0350798161870083</c:v>
                </c:pt>
                <c:pt idx="26">
                  <c:v>1.0350043238056794</c:v>
                </c:pt>
                <c:pt idx="27">
                  <c:v>1.0349989607979668</c:v>
                </c:pt>
                <c:pt idx="28">
                  <c:v>1.0350025587724785</c:v>
                </c:pt>
                <c:pt idx="29">
                  <c:v>1.0350460785944573</c:v>
                </c:pt>
                <c:pt idx="30">
                  <c:v>1.0350230377022447</c:v>
                </c:pt>
                <c:pt idx="31">
                  <c:v>1.0349328198024355</c:v>
                </c:pt>
                <c:pt idx="32">
                  <c:v>1.034842932134485</c:v>
                </c:pt>
                <c:pt idx="33">
                  <c:v>1.0347836244655906</c:v>
                </c:pt>
                <c:pt idx="34">
                  <c:v>1.0347001902359785</c:v>
                </c:pt>
                <c:pt idx="35">
                  <c:v>1.0346089122446176</c:v>
                </c:pt>
                <c:pt idx="36">
                  <c:v>1.0345498984571069</c:v>
                </c:pt>
                <c:pt idx="37">
                  <c:v>1.0343953793087834</c:v>
                </c:pt>
                <c:pt idx="38">
                  <c:v>1.0343872818012625</c:v>
                </c:pt>
                <c:pt idx="39">
                  <c:v>1.0342685946713961</c:v>
                </c:pt>
                <c:pt idx="40">
                  <c:v>1.0341683828242181</c:v>
                </c:pt>
                <c:pt idx="41">
                  <c:v>1.0341309070766189</c:v>
                </c:pt>
                <c:pt idx="42">
                  <c:v>1.0341957713074961</c:v>
                </c:pt>
                <c:pt idx="43">
                  <c:v>1.0343193807018101</c:v>
                </c:pt>
                <c:pt idx="44">
                  <c:v>1.0343995327177611</c:v>
                </c:pt>
                <c:pt idx="45">
                  <c:v>1.0344612992403062</c:v>
                </c:pt>
                <c:pt idx="46">
                  <c:v>1.0346485274847819</c:v>
                </c:pt>
                <c:pt idx="47">
                  <c:v>1.0348225642083337</c:v>
                </c:pt>
                <c:pt idx="48">
                  <c:v>1.0350449705680353</c:v>
                </c:pt>
                <c:pt idx="49">
                  <c:v>1.0351662108041997</c:v>
                </c:pt>
                <c:pt idx="50">
                  <c:v>1.0352459400543141</c:v>
                </c:pt>
                <c:pt idx="51">
                  <c:v>1.035446545025154</c:v>
                </c:pt>
                <c:pt idx="52">
                  <c:v>1.0356579189348036</c:v>
                </c:pt>
                <c:pt idx="53">
                  <c:v>1.0358527641593511</c:v>
                </c:pt>
                <c:pt idx="54">
                  <c:v>1.0360837768549787</c:v>
                </c:pt>
                <c:pt idx="55">
                  <c:v>1.0363325949329827</c:v>
                </c:pt>
                <c:pt idx="56">
                  <c:v>1.0365388820842907</c:v>
                </c:pt>
                <c:pt idx="57">
                  <c:v>1.0368860312389088</c:v>
                </c:pt>
                <c:pt idx="58">
                  <c:v>1.0372090896202466</c:v>
                </c:pt>
                <c:pt idx="59">
                  <c:v>1.0375514358776696</c:v>
                </c:pt>
                <c:pt idx="60">
                  <c:v>1.0378075331824212</c:v>
                </c:pt>
                <c:pt idx="61">
                  <c:v>1.0379642130774385</c:v>
                </c:pt>
                <c:pt idx="62">
                  <c:v>1.0381368439263452</c:v>
                </c:pt>
                <c:pt idx="63">
                  <c:v>1.0382772727693632</c:v>
                </c:pt>
                <c:pt idx="64">
                  <c:v>1.0384498302514178</c:v>
                </c:pt>
                <c:pt idx="65">
                  <c:v>1.0385745083055729</c:v>
                </c:pt>
                <c:pt idx="66">
                  <c:v>1.0386869021131917</c:v>
                </c:pt>
                <c:pt idx="67">
                  <c:v>1.0387773960940965</c:v>
                </c:pt>
                <c:pt idx="68">
                  <c:v>1.0387902189149958</c:v>
                </c:pt>
                <c:pt idx="69">
                  <c:v>1.038814841334041</c:v>
                </c:pt>
                <c:pt idx="70">
                  <c:v>1.0389292076221777</c:v>
                </c:pt>
                <c:pt idx="71">
                  <c:v>1.03898592946826</c:v>
                </c:pt>
                <c:pt idx="72">
                  <c:v>1.0390129977624307</c:v>
                </c:pt>
                <c:pt idx="73">
                  <c:v>1.0390505461540636</c:v>
                </c:pt>
                <c:pt idx="74">
                  <c:v>1.0390821287495622</c:v>
                </c:pt>
                <c:pt idx="75">
                  <c:v>1.039134489511248</c:v>
                </c:pt>
                <c:pt idx="76">
                  <c:v>1.0391796324005018</c:v>
                </c:pt>
                <c:pt idx="77">
                  <c:v>1.0391658851022274</c:v>
                </c:pt>
                <c:pt idx="78">
                  <c:v>1.0391121303764654</c:v>
                </c:pt>
                <c:pt idx="79">
                  <c:v>1.0390554531822009</c:v>
                </c:pt>
                <c:pt idx="80">
                  <c:v>1.0391091338942464</c:v>
                </c:pt>
                <c:pt idx="81">
                  <c:v>1.0391179358239522</c:v>
                </c:pt>
                <c:pt idx="82">
                  <c:v>1.0391026707458713</c:v>
                </c:pt>
                <c:pt idx="83">
                  <c:v>1.0390789039078516</c:v>
                </c:pt>
                <c:pt idx="84">
                  <c:v>1.0390439359992729</c:v>
                </c:pt>
                <c:pt idx="85">
                  <c:v>1.0390443329139629</c:v>
                </c:pt>
                <c:pt idx="86">
                  <c:v>1.0389899973826471</c:v>
                </c:pt>
                <c:pt idx="87">
                  <c:v>1.038969271994046</c:v>
                </c:pt>
                <c:pt idx="88">
                  <c:v>1.0390088370857964</c:v>
                </c:pt>
                <c:pt idx="89">
                  <c:v>1.0391563593283839</c:v>
                </c:pt>
                <c:pt idx="90">
                  <c:v>1.0392440557992111</c:v>
                </c:pt>
                <c:pt idx="91">
                  <c:v>1.0392028650064344</c:v>
                </c:pt>
                <c:pt idx="92">
                  <c:v>1.0393552187211781</c:v>
                </c:pt>
                <c:pt idx="93">
                  <c:v>1.0394785359035528</c:v>
                </c:pt>
                <c:pt idx="94">
                  <c:v>1.0396101406577991</c:v>
                </c:pt>
                <c:pt idx="95">
                  <c:v>1.0396683169895804</c:v>
                </c:pt>
                <c:pt idx="96">
                  <c:v>1.0397203028494264</c:v>
                </c:pt>
                <c:pt idx="97">
                  <c:v>1.0396684033269019</c:v>
                </c:pt>
                <c:pt idx="98">
                  <c:v>1.0396256369697983</c:v>
                </c:pt>
                <c:pt idx="99">
                  <c:v>1.0396123364835579</c:v>
                </c:pt>
                <c:pt idx="100">
                  <c:v>1.0395187182957848</c:v>
                </c:pt>
                <c:pt idx="101">
                  <c:v>1.0394721691894744</c:v>
                </c:pt>
                <c:pt idx="102">
                  <c:v>1.0395035457867929</c:v>
                </c:pt>
                <c:pt idx="103">
                  <c:v>1.0394431104837722</c:v>
                </c:pt>
                <c:pt idx="104">
                  <c:v>1.0394848311228051</c:v>
                </c:pt>
                <c:pt idx="105">
                  <c:v>1.0395561046399133</c:v>
                </c:pt>
                <c:pt idx="106">
                  <c:v>1.0396167146458264</c:v>
                </c:pt>
                <c:pt idx="107">
                  <c:v>1.0396096218903543</c:v>
                </c:pt>
                <c:pt idx="108">
                  <c:v>1.0396254214509946</c:v>
                </c:pt>
                <c:pt idx="109">
                  <c:v>1.0396169215543809</c:v>
                </c:pt>
                <c:pt idx="110">
                  <c:v>1.0395904786301282</c:v>
                </c:pt>
                <c:pt idx="111">
                  <c:v>1.0395746908616676</c:v>
                </c:pt>
                <c:pt idx="112">
                  <c:v>1.0394365422639493</c:v>
                </c:pt>
                <c:pt idx="113">
                  <c:v>1.0393328900411856</c:v>
                </c:pt>
                <c:pt idx="114">
                  <c:v>1.0392149703727447</c:v>
                </c:pt>
                <c:pt idx="115">
                  <c:v>1.0392131056744789</c:v>
                </c:pt>
                <c:pt idx="116">
                  <c:v>1.0392378839213909</c:v>
                </c:pt>
                <c:pt idx="117">
                  <c:v>1.039210422025892</c:v>
                </c:pt>
                <c:pt idx="118">
                  <c:v>1.0392057598525755</c:v>
                </c:pt>
                <c:pt idx="119">
                  <c:v>1.0392111970492792</c:v>
                </c:pt>
                <c:pt idx="120">
                  <c:v>1.0392072535942247</c:v>
                </c:pt>
                <c:pt idx="121">
                  <c:v>1.0392366610536135</c:v>
                </c:pt>
                <c:pt idx="122">
                  <c:v>1.0392751192468885</c:v>
                </c:pt>
                <c:pt idx="123">
                  <c:v>1.0394260733621259</c:v>
                </c:pt>
                <c:pt idx="124">
                  <c:v>1.0394990397048507</c:v>
                </c:pt>
                <c:pt idx="125">
                  <c:v>1.0395749212106817</c:v>
                </c:pt>
                <c:pt idx="126">
                  <c:v>1.03969811613007</c:v>
                </c:pt>
                <c:pt idx="127">
                  <c:v>1.039900301825889</c:v>
                </c:pt>
                <c:pt idx="128">
                  <c:v>1.0399602834020505</c:v>
                </c:pt>
                <c:pt idx="129">
                  <c:v>1.0400139743964172</c:v>
                </c:pt>
                <c:pt idx="130">
                  <c:v>1.0401602742847633</c:v>
                </c:pt>
                <c:pt idx="131">
                  <c:v>1.0403997821805071</c:v>
                </c:pt>
                <c:pt idx="132">
                  <c:v>1.0405538778862267</c:v>
                </c:pt>
                <c:pt idx="133">
                  <c:v>1.0407031805577804</c:v>
                </c:pt>
                <c:pt idx="134">
                  <c:v>1.0408528682527065</c:v>
                </c:pt>
                <c:pt idx="135">
                  <c:v>1.0410099840996812</c:v>
                </c:pt>
                <c:pt idx="136">
                  <c:v>1.0411319553159661</c:v>
                </c:pt>
                <c:pt idx="137">
                  <c:v>1.0413627265334877</c:v>
                </c:pt>
                <c:pt idx="138">
                  <c:v>1.0416651360003715</c:v>
                </c:pt>
                <c:pt idx="139">
                  <c:v>1.0418694340876766</c:v>
                </c:pt>
                <c:pt idx="140">
                  <c:v>1.0420479436050438</c:v>
                </c:pt>
                <c:pt idx="141">
                  <c:v>1.0422550441815814</c:v>
                </c:pt>
                <c:pt idx="142">
                  <c:v>1.0424052941970052</c:v>
                </c:pt>
                <c:pt idx="143">
                  <c:v>1.0424847410532176</c:v>
                </c:pt>
                <c:pt idx="144">
                  <c:v>1.0425992360022394</c:v>
                </c:pt>
                <c:pt idx="145">
                  <c:v>1.0425582956222945</c:v>
                </c:pt>
                <c:pt idx="146">
                  <c:v>1.0424720566886139</c:v>
                </c:pt>
                <c:pt idx="147">
                  <c:v>1.0423139019824303</c:v>
                </c:pt>
                <c:pt idx="148">
                  <c:v>1.0422830879105667</c:v>
                </c:pt>
                <c:pt idx="149">
                  <c:v>1.0422315152594794</c:v>
                </c:pt>
                <c:pt idx="150">
                  <c:v>1.0421888855619696</c:v>
                </c:pt>
                <c:pt idx="151">
                  <c:v>1.0421063395451422</c:v>
                </c:pt>
                <c:pt idx="152">
                  <c:v>1.0420477286487924</c:v>
                </c:pt>
                <c:pt idx="153">
                  <c:v>1.0419717731150238</c:v>
                </c:pt>
                <c:pt idx="154">
                  <c:v>1.0419861889088202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D8-4C2B-B9E8-0EA81C397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467519"/>
        <c:axId val="1490514799"/>
      </c:lineChart>
      <c:catAx>
        <c:axId val="1081467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514799"/>
        <c:crosses val="autoZero"/>
        <c:auto val="1"/>
        <c:lblAlgn val="ctr"/>
        <c:lblOffset val="100"/>
        <c:noMultiLvlLbl val="0"/>
      </c:catAx>
      <c:valAx>
        <c:axId val="149051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46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BNDX_IAGG!$Z$1</c:f>
              <c:strCache>
                <c:ptCount val="1"/>
                <c:pt idx="0">
                  <c:v>10 dma diff*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BNDX_IAGG!$Z$2:$Z$156</c:f>
              <c:numCache>
                <c:formatCode>0.000%</c:formatCode>
                <c:ptCount val="155"/>
                <c:pt idx="10">
                  <c:v>-1.4469598310132818E-4</c:v>
                </c:pt>
                <c:pt idx="11">
                  <c:v>8.740199589476875E-4</c:v>
                </c:pt>
                <c:pt idx="12">
                  <c:v>1.0056202925598542E-3</c:v>
                </c:pt>
                <c:pt idx="13">
                  <c:v>5.3797981364277117E-4</c:v>
                </c:pt>
                <c:pt idx="14">
                  <c:v>2.8881573049858208E-4</c:v>
                </c:pt>
                <c:pt idx="15">
                  <c:v>-3.1794435062961603E-5</c:v>
                </c:pt>
                <c:pt idx="16">
                  <c:v>-5.6124786111661257E-6</c:v>
                </c:pt>
                <c:pt idx="17">
                  <c:v>1.1914524842062014E-3</c:v>
                </c:pt>
                <c:pt idx="18">
                  <c:v>-1.2487587295568002E-3</c:v>
                </c:pt>
                <c:pt idx="19">
                  <c:v>4.3438855147276352E-4</c:v>
                </c:pt>
                <c:pt idx="20">
                  <c:v>7.9187775667526581E-4</c:v>
                </c:pt>
                <c:pt idx="21">
                  <c:v>6.7899120487218952E-4</c:v>
                </c:pt>
                <c:pt idx="22">
                  <c:v>-1.2032224953383813E-3</c:v>
                </c:pt>
                <c:pt idx="23">
                  <c:v>-6.8286689472681474E-4</c:v>
                </c:pt>
                <c:pt idx="24">
                  <c:v>-6.0521567556384465E-4</c:v>
                </c:pt>
                <c:pt idx="25">
                  <c:v>-5.5227451493218658E-4</c:v>
                </c:pt>
                <c:pt idx="26">
                  <c:v>-1.5786018781197228E-3</c:v>
                </c:pt>
                <c:pt idx="27">
                  <c:v>-2.4354318536965637E-4</c:v>
                </c:pt>
                <c:pt idx="28">
                  <c:v>-5.6347514680591445E-4</c:v>
                </c:pt>
                <c:pt idx="29">
                  <c:v>1.9094770269496348E-4</c:v>
                </c:pt>
                <c:pt idx="30">
                  <c:v>-4.0777345391957196E-4</c:v>
                </c:pt>
                <c:pt idx="31">
                  <c:v>-6.3134851336514239E-4</c:v>
                </c:pt>
                <c:pt idx="32">
                  <c:v>-2.4090216036619849E-4</c:v>
                </c:pt>
                <c:pt idx="33">
                  <c:v>-6.6494051883355607E-5</c:v>
                </c:pt>
                <c:pt idx="34">
                  <c:v>-6.8856806581853668E-4</c:v>
                </c:pt>
                <c:pt idx="35">
                  <c:v>-1.0015016552364215E-3</c:v>
                </c:pt>
                <c:pt idx="36">
                  <c:v>-2.3624949413192175E-4</c:v>
                </c:pt>
                <c:pt idx="37">
                  <c:v>-9.1672656557545418E-4</c:v>
                </c:pt>
                <c:pt idx="38">
                  <c:v>-2.3860751448247648E-4</c:v>
                </c:pt>
                <c:pt idx="39">
                  <c:v>-6.7088918471335467E-4</c:v>
                </c:pt>
                <c:pt idx="40">
                  <c:v>3.5872131780119009E-4</c:v>
                </c:pt>
                <c:pt idx="41">
                  <c:v>1.6075231486576153E-3</c:v>
                </c:pt>
                <c:pt idx="42">
                  <c:v>1.600389612396996E-3</c:v>
                </c:pt>
                <c:pt idx="43">
                  <c:v>2.9547201662526385E-3</c:v>
                </c:pt>
                <c:pt idx="44">
                  <c:v>1.8403026669412033E-3</c:v>
                </c:pt>
                <c:pt idx="45">
                  <c:v>1.2221023012824904E-3</c:v>
                </c:pt>
                <c:pt idx="46">
                  <c:v>2.3233452818107233E-3</c:v>
                </c:pt>
                <c:pt idx="47">
                  <c:v>2.9242079095065016E-3</c:v>
                </c:pt>
                <c:pt idx="48">
                  <c:v>2.902951921909494E-3</c:v>
                </c:pt>
                <c:pt idx="49">
                  <c:v>1.2606475789024459E-3</c:v>
                </c:pt>
                <c:pt idx="50">
                  <c:v>-6.007325712876348E-4</c:v>
                </c:pt>
                <c:pt idx="51">
                  <c:v>1.1606402314588166E-3</c:v>
                </c:pt>
                <c:pt idx="52">
                  <c:v>1.2981290865088984E-3</c:v>
                </c:pt>
                <c:pt idx="53">
                  <c:v>8.7095817087985119E-4</c:v>
                </c:pt>
                <c:pt idx="54">
                  <c:v>8.1085014059534743E-4</c:v>
                </c:pt>
                <c:pt idx="55">
                  <c:v>5.5169306986313385E-4</c:v>
                </c:pt>
                <c:pt idx="56">
                  <c:v>1.3380179126387098E-4</c:v>
                </c:pt>
                <c:pt idx="57">
                  <c:v>2.1315020787762528E-3</c:v>
                </c:pt>
                <c:pt idx="58">
                  <c:v>2.0088843926152271E-3</c:v>
                </c:pt>
                <c:pt idx="59">
                  <c:v>1.7564458453955957E-3</c:v>
                </c:pt>
                <c:pt idx="60">
                  <c:v>6.9535106969711362E-4</c:v>
                </c:pt>
                <c:pt idx="61">
                  <c:v>-3.1433223373274471E-4</c:v>
                </c:pt>
                <c:pt idx="62">
                  <c:v>7.0474750080096386E-5</c:v>
                </c:pt>
                <c:pt idx="63">
                  <c:v>8.759497644305049E-4</c:v>
                </c:pt>
                <c:pt idx="64">
                  <c:v>4.880801735879428E-4</c:v>
                </c:pt>
                <c:pt idx="65">
                  <c:v>-9.3707241342080091E-4</c:v>
                </c:pt>
                <c:pt idx="66">
                  <c:v>1.6460811102905382E-4</c:v>
                </c:pt>
                <c:pt idx="67">
                  <c:v>5.2445372076531964E-4</c:v>
                </c:pt>
                <c:pt idx="68">
                  <c:v>-4.9600294114736506E-4</c:v>
                </c:pt>
                <c:pt idx="69">
                  <c:v>-1.3120760557662704E-3</c:v>
                </c:pt>
                <c:pt idx="70">
                  <c:v>-8.2990975486584972E-4</c:v>
                </c:pt>
                <c:pt idx="71">
                  <c:v>9.1512898650082626E-5</c:v>
                </c:pt>
                <c:pt idx="72">
                  <c:v>-1.4920339493000299E-4</c:v>
                </c:pt>
                <c:pt idx="73">
                  <c:v>-9.3847942423066843E-5</c:v>
                </c:pt>
                <c:pt idx="74">
                  <c:v>-7.0626072954279063E-5</c:v>
                </c:pt>
                <c:pt idx="75">
                  <c:v>3.4186734552701492E-4</c:v>
                </c:pt>
                <c:pt idx="76">
                  <c:v>-7.5299011560992274E-5</c:v>
                </c:pt>
                <c:pt idx="77">
                  <c:v>9.1812247900627101E-4</c:v>
                </c:pt>
                <c:pt idx="78">
                  <c:v>2.266329738834425E-4</c:v>
                </c:pt>
                <c:pt idx="79">
                  <c:v>4.6099920416487446E-5</c:v>
                </c:pt>
                <c:pt idx="80">
                  <c:v>1.2646191376953664E-3</c:v>
                </c:pt>
                <c:pt idx="81">
                  <c:v>-4.9117145672549596E-4</c:v>
                </c:pt>
                <c:pt idx="82">
                  <c:v>-4.7750333370284579E-4</c:v>
                </c:pt>
                <c:pt idx="83">
                  <c:v>2.4614065339247299E-4</c:v>
                </c:pt>
                <c:pt idx="84">
                  <c:v>-2.3940460669374602E-4</c:v>
                </c:pt>
                <c:pt idx="85">
                  <c:v>-8.5592674157496129E-4</c:v>
                </c:pt>
                <c:pt idx="86">
                  <c:v>-7.0787011776575709E-4</c:v>
                </c:pt>
                <c:pt idx="87">
                  <c:v>4.9074972590031909E-4</c:v>
                </c:pt>
                <c:pt idx="88">
                  <c:v>6.437378522508849E-4</c:v>
                </c:pt>
                <c:pt idx="89">
                  <c:v>1.7252497891640359E-3</c:v>
                </c:pt>
                <c:pt idx="90">
                  <c:v>6.6379851861011249E-4</c:v>
                </c:pt>
                <c:pt idx="91">
                  <c:v>-9.6130497103985449E-4</c:v>
                </c:pt>
                <c:pt idx="92">
                  <c:v>2.6160266344083943E-3</c:v>
                </c:pt>
                <c:pt idx="93">
                  <c:v>1.791227929788951E-3</c:v>
                </c:pt>
                <c:pt idx="94">
                  <c:v>1.6907619351888201E-3</c:v>
                </c:pt>
                <c:pt idx="95">
                  <c:v>3.7140485594459123E-4</c:v>
                </c:pt>
                <c:pt idx="96">
                  <c:v>-2.7544433825268206E-4</c:v>
                </c:pt>
                <c:pt idx="97">
                  <c:v>-1.4855063784416753E-3</c:v>
                </c:pt>
                <c:pt idx="98">
                  <c:v>-1.9418420702379685E-3</c:v>
                </c:pt>
                <c:pt idx="99">
                  <c:v>-1.3966610964562362E-3</c:v>
                </c:pt>
                <c:pt idx="100">
                  <c:v>-1.4141168200259135E-3</c:v>
                </c:pt>
                <c:pt idx="101">
                  <c:v>-1.9163144064162215E-3</c:v>
                </c:pt>
                <c:pt idx="102">
                  <c:v>-3.9169229527522649E-4</c:v>
                </c:pt>
                <c:pt idx="103">
                  <c:v>-1.2028404265038998E-3</c:v>
                </c:pt>
                <c:pt idx="104">
                  <c:v>6.3157756517960757E-4</c:v>
                </c:pt>
                <c:pt idx="105">
                  <c:v>7.5717691890650647E-4</c:v>
                </c:pt>
                <c:pt idx="106">
                  <c:v>6.7483159789233447E-4</c:v>
                </c:pt>
                <c:pt idx="107">
                  <c:v>5.536921030532125E-4</c:v>
                </c:pt>
                <c:pt idx="108">
                  <c:v>1.0607632111309998E-3</c:v>
                </c:pt>
                <c:pt idx="109">
                  <c:v>1.5623332852999735E-3</c:v>
                </c:pt>
                <c:pt idx="110">
                  <c:v>1.4632399898285324E-4</c:v>
                </c:pt>
                <c:pt idx="111">
                  <c:v>-1.4035564655903994E-3</c:v>
                </c:pt>
                <c:pt idx="112">
                  <c:v>-2.3652145660903875E-4</c:v>
                </c:pt>
                <c:pt idx="113">
                  <c:v>-7.2444618497009941E-5</c:v>
                </c:pt>
                <c:pt idx="114">
                  <c:v>-3.6416928725000461E-4</c:v>
                </c:pt>
                <c:pt idx="115">
                  <c:v>8.5465327160155844E-4</c:v>
                </c:pt>
                <c:pt idx="116">
                  <c:v>8.6067795782745235E-4</c:v>
                </c:pt>
                <c:pt idx="117">
                  <c:v>-1.2858287991694025E-3</c:v>
                </c:pt>
                <c:pt idx="118">
                  <c:v>-1.2638789607125991E-3</c:v>
                </c:pt>
                <c:pt idx="119">
                  <c:v>-4.8471794214038981E-4</c:v>
                </c:pt>
                <c:pt idx="120">
                  <c:v>-7.0946660429412284E-4</c:v>
                </c:pt>
                <c:pt idx="121">
                  <c:v>-6.1232984916958935E-4</c:v>
                </c:pt>
                <c:pt idx="122">
                  <c:v>9.9854719779339735E-4</c:v>
                </c:pt>
                <c:pt idx="123">
                  <c:v>1.9919347353578365E-5</c:v>
                </c:pt>
                <c:pt idx="124">
                  <c:v>-1.3808585723995565E-4</c:v>
                </c:pt>
                <c:pt idx="125">
                  <c:v>-3.2458207873131928E-4</c:v>
                </c:pt>
                <c:pt idx="126">
                  <c:v>3.4537404090489667E-4</c:v>
                </c:pt>
                <c:pt idx="127">
                  <c:v>1.5451619661370566E-3</c:v>
                </c:pt>
                <c:pt idx="128">
                  <c:v>-1.1156256438311421E-3</c:v>
                </c:pt>
                <c:pt idx="129">
                  <c:v>-8.5600778275522131E-4</c:v>
                </c:pt>
                <c:pt idx="130">
                  <c:v>-5.9156573533637171E-4</c:v>
                </c:pt>
                <c:pt idx="131">
                  <c:v>-6.3286398009301283E-4</c:v>
                </c:pt>
                <c:pt idx="132">
                  <c:v>-1.510302672123959E-3</c:v>
                </c:pt>
                <c:pt idx="133">
                  <c:v>-1.663451706793844E-3</c:v>
                </c:pt>
                <c:pt idx="134">
                  <c:v>-1.9454319058939563E-3</c:v>
                </c:pt>
                <c:pt idx="135">
                  <c:v>-7.369564377039153E-4</c:v>
                </c:pt>
                <c:pt idx="136">
                  <c:v>-1.5614296316890993E-3</c:v>
                </c:pt>
                <c:pt idx="137">
                  <c:v>-1.6130436097812565E-3</c:v>
                </c:pt>
                <c:pt idx="138">
                  <c:v>-2.7403275361277365E-4</c:v>
                </c:pt>
                <c:pt idx="139">
                  <c:v>-1.8425083877430667E-3</c:v>
                </c:pt>
                <c:pt idx="140">
                  <c:v>-2.8468079463749296E-3</c:v>
                </c:pt>
                <c:pt idx="141">
                  <c:v>-2.2591297679253816E-3</c:v>
                </c:pt>
                <c:pt idx="142">
                  <c:v>-1.6883826420031861E-3</c:v>
                </c:pt>
                <c:pt idx="143">
                  <c:v>-2.0254448882108559E-3</c:v>
                </c:pt>
                <c:pt idx="144">
                  <c:v>-1.3789761091207518E-3</c:v>
                </c:pt>
                <c:pt idx="145">
                  <c:v>-2.4719029880822863E-3</c:v>
                </c:pt>
                <c:pt idx="146">
                  <c:v>-2.284920981359189E-3</c:v>
                </c:pt>
                <c:pt idx="147">
                  <c:v>-2.0594226160947286E-3</c:v>
                </c:pt>
                <c:pt idx="148">
                  <c:v>-1.5326429176380878E-3</c:v>
                </c:pt>
                <c:pt idx="149">
                  <c:v>-1.0351204338436104E-3</c:v>
                </c:pt>
                <c:pt idx="150">
                  <c:v>-1.0006447912309209E-4</c:v>
                </c:pt>
                <c:pt idx="151">
                  <c:v>-4.8642544184100331E-4</c:v>
                </c:pt>
                <c:pt idx="152">
                  <c:v>-3.5048843420794356E-4</c:v>
                </c:pt>
                <c:pt idx="153">
                  <c:v>-4.3297448675039453E-4</c:v>
                </c:pt>
                <c:pt idx="154">
                  <c:v>1.3201839611527892E-3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C9-4719-982F-F31741A43583}"/>
            </c:ext>
          </c:extLst>
        </c:ser>
        <c:ser>
          <c:idx val="2"/>
          <c:order val="1"/>
          <c:tx>
            <c:strRef>
              <c:f>BNDX_IAGG!$AA$1</c:f>
              <c:strCache>
                <c:ptCount val="1"/>
                <c:pt idx="0">
                  <c:v>20 dma diff*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BNDX_IAGG!$AA$2:$AA$156</c:f>
              <c:numCache>
                <c:formatCode>0.000%</c:formatCode>
                <c:ptCount val="155"/>
                <c:pt idx="20">
                  <c:v>9.5999028332063331E-4</c:v>
                </c:pt>
                <c:pt idx="21">
                  <c:v>9.687351691723997E-4</c:v>
                </c:pt>
                <c:pt idx="22">
                  <c:v>-9.1385853522608874E-4</c:v>
                </c:pt>
                <c:pt idx="23">
                  <c:v>-4.9526133105480346E-4</c:v>
                </c:pt>
                <c:pt idx="24">
                  <c:v>-4.9185388034489897E-4</c:v>
                </c:pt>
                <c:pt idx="25">
                  <c:v>-5.0493747709655617E-4</c:v>
                </c:pt>
                <c:pt idx="26">
                  <c:v>-1.542944448958729E-3</c:v>
                </c:pt>
                <c:pt idx="27">
                  <c:v>-2.8500356878011121E-4</c:v>
                </c:pt>
                <c:pt idx="28">
                  <c:v>-7.5163516382330937E-4</c:v>
                </c:pt>
                <c:pt idx="29">
                  <c:v>3.0188625017280532E-5</c:v>
                </c:pt>
                <c:pt idx="30">
                  <c:v>-6.6710134645509402E-4</c:v>
                </c:pt>
                <c:pt idx="31">
                  <c:v>-1.0403317613483355E-3</c:v>
                </c:pt>
                <c:pt idx="32">
                  <c:v>-7.7564521485913389E-4</c:v>
                </c:pt>
                <c:pt idx="33">
                  <c:v>-5.2506575985669212E-4</c:v>
                </c:pt>
                <c:pt idx="34">
                  <c:v>-1.1198863470500736E-3</c:v>
                </c:pt>
                <c:pt idx="35">
                  <c:v>-1.4467514259110155E-3</c:v>
                </c:pt>
                <c:pt idx="36">
                  <c:v>-7.2719592258138643E-4</c:v>
                </c:pt>
                <c:pt idx="37">
                  <c:v>-1.3145772915353364E-3</c:v>
                </c:pt>
                <c:pt idx="38">
                  <c:v>-6.3394494428432543E-4</c:v>
                </c:pt>
                <c:pt idx="39">
                  <c:v>-1.1049642471373763E-3</c:v>
                </c:pt>
                <c:pt idx="40">
                  <c:v>-1.3363409964524541E-4</c:v>
                </c:pt>
                <c:pt idx="41">
                  <c:v>1.1902561248610132E-3</c:v>
                </c:pt>
                <c:pt idx="42">
                  <c:v>1.3599293138005155E-3</c:v>
                </c:pt>
                <c:pt idx="43">
                  <c:v>2.7876972907969612E-3</c:v>
                </c:pt>
                <c:pt idx="44">
                  <c:v>1.8228814853336046E-3</c:v>
                </c:pt>
                <c:pt idx="45">
                  <c:v>1.3767114124688931E-3</c:v>
                </c:pt>
                <c:pt idx="46">
                  <c:v>2.6714851158250457E-3</c:v>
                </c:pt>
                <c:pt idx="47">
                  <c:v>3.4171461893531012E-3</c:v>
                </c:pt>
                <c:pt idx="48">
                  <c:v>3.7105316725857631E-3</c:v>
                </c:pt>
                <c:pt idx="49">
                  <c:v>2.3292020512477884E-3</c:v>
                </c:pt>
                <c:pt idx="50">
                  <c:v>7.572750344613955E-4</c:v>
                </c:pt>
                <c:pt idx="51">
                  <c:v>2.6171954508944022E-3</c:v>
                </c:pt>
                <c:pt idx="52">
                  <c:v>2.807714570285353E-3</c:v>
                </c:pt>
                <c:pt idx="53">
                  <c:v>2.448292247379245E-3</c:v>
                </c:pt>
                <c:pt idx="54">
                  <c:v>2.3074351831531541E-3</c:v>
                </c:pt>
                <c:pt idx="55">
                  <c:v>2.021829001412474E-3</c:v>
                </c:pt>
                <c:pt idx="56">
                  <c:v>1.5908583482339284E-3</c:v>
                </c:pt>
                <c:pt idx="57">
                  <c:v>3.4621737337121885E-3</c:v>
                </c:pt>
                <c:pt idx="58">
                  <c:v>3.191947706474579E-3</c:v>
                </c:pt>
                <c:pt idx="59">
                  <c:v>2.7755144728893095E-3</c:v>
                </c:pt>
                <c:pt idx="60">
                  <c:v>1.6379987111848568E-3</c:v>
                </c:pt>
                <c:pt idx="61">
                  <c:v>6.9940882761642862E-4</c:v>
                </c:pt>
                <c:pt idx="62">
                  <c:v>9.885747886505434E-4</c:v>
                </c:pt>
                <c:pt idx="63">
                  <c:v>1.6886696842238473E-3</c:v>
                </c:pt>
                <c:pt idx="64">
                  <c:v>1.3286449887471405E-3</c:v>
                </c:pt>
                <c:pt idx="65">
                  <c:v>-1.2681830049850575E-4</c:v>
                </c:pt>
                <c:pt idx="66">
                  <c:v>8.680343432552794E-4</c:v>
                </c:pt>
                <c:pt idx="67">
                  <c:v>1.2633918654442566E-3</c:v>
                </c:pt>
                <c:pt idx="68">
                  <c:v>1.4294533219800327E-4</c:v>
                </c:pt>
                <c:pt idx="69">
                  <c:v>-8.0815200016487432E-4</c:v>
                </c:pt>
                <c:pt idx="70">
                  <c:v>-5.5569355199851852E-4</c:v>
                </c:pt>
                <c:pt idx="71">
                  <c:v>1.5799537934132731E-4</c:v>
                </c:pt>
                <c:pt idx="72">
                  <c:v>-8.3445456809456823E-5</c:v>
                </c:pt>
                <c:pt idx="73">
                  <c:v>-6.2957180518798057E-5</c:v>
                </c:pt>
                <c:pt idx="74">
                  <c:v>-1.6671153832966995E-4</c:v>
                </c:pt>
                <c:pt idx="75">
                  <c:v>1.4027420477453874E-4</c:v>
                </c:pt>
                <c:pt idx="76">
                  <c:v>-2.3971507300990836E-4</c:v>
                </c:pt>
                <c:pt idx="77">
                  <c:v>6.5337985188877994E-4</c:v>
                </c:pt>
                <c:pt idx="78">
                  <c:v>-3.8468700527211982E-5</c:v>
                </c:pt>
                <c:pt idx="79">
                  <c:v>-1.4801908414441422E-4</c:v>
                </c:pt>
                <c:pt idx="80">
                  <c:v>1.2219957945614462E-3</c:v>
                </c:pt>
                <c:pt idx="81">
                  <c:v>-3.844959701373666E-4</c:v>
                </c:pt>
                <c:pt idx="82">
                  <c:v>-4.1622002472674666E-4</c:v>
                </c:pt>
                <c:pt idx="83">
                  <c:v>3.0154902745925955E-4</c:v>
                </c:pt>
                <c:pt idx="84">
                  <c:v>-1.1604274696603925E-4</c:v>
                </c:pt>
                <c:pt idx="85">
                  <c:v>-6.9111768110683878E-4</c:v>
                </c:pt>
                <c:pt idx="86">
                  <c:v>-6.302250899408538E-4</c:v>
                </c:pt>
                <c:pt idx="87">
                  <c:v>5.7298362710495477E-4</c:v>
                </c:pt>
                <c:pt idx="88">
                  <c:v>7.1961305550486407E-4</c:v>
                </c:pt>
                <c:pt idx="89">
                  <c:v>1.8199495475946287E-3</c:v>
                </c:pt>
                <c:pt idx="90">
                  <c:v>8.0351096490758668E-4</c:v>
                </c:pt>
                <c:pt idx="91">
                  <c:v>-9.3814559756508176E-4</c:v>
                </c:pt>
                <c:pt idx="92">
                  <c:v>2.6364715630784815E-3</c:v>
                </c:pt>
                <c:pt idx="93">
                  <c:v>1.9787991299774609E-3</c:v>
                </c:pt>
                <c:pt idx="94">
                  <c:v>1.9518601096106946E-3</c:v>
                </c:pt>
                <c:pt idx="95">
                  <c:v>7.5123155757064991E-4</c:v>
                </c:pt>
                <c:pt idx="96">
                  <c:v>2.4699382722044431E-4</c:v>
                </c:pt>
                <c:pt idx="97">
                  <c:v>-8.6547245811020824E-4</c:v>
                </c:pt>
                <c:pt idx="98">
                  <c:v>-1.3453909656517774E-3</c:v>
                </c:pt>
                <c:pt idx="99">
                  <c:v>-8.9814305771838954E-4</c:v>
                </c:pt>
                <c:pt idx="100">
                  <c:v>-1.115219355214939E-3</c:v>
                </c:pt>
                <c:pt idx="101">
                  <c:v>-1.6752761527656054E-3</c:v>
                </c:pt>
                <c:pt idx="102">
                  <c:v>-1.5308278606073719E-4</c:v>
                </c:pt>
                <c:pt idx="103">
                  <c:v>-1.2477131658473E-3</c:v>
                </c:pt>
                <c:pt idx="104">
                  <c:v>3.3631166219395998E-4</c:v>
                </c:pt>
                <c:pt idx="105">
                  <c:v>2.5655733590661066E-4</c:v>
                </c:pt>
                <c:pt idx="106">
                  <c:v>4.405907224166347E-5</c:v>
                </c:pt>
                <c:pt idx="107">
                  <c:v>-1.6649591488849112E-4</c:v>
                </c:pt>
                <c:pt idx="108">
                  <c:v>4.0734519284015637E-4</c:v>
                </c:pt>
                <c:pt idx="109">
                  <c:v>1.0633590912182893E-3</c:v>
                </c:pt>
                <c:pt idx="110">
                  <c:v>-1.4824985783358917E-4</c:v>
                </c:pt>
                <c:pt idx="111">
                  <c:v>-1.5755944262211459E-3</c:v>
                </c:pt>
                <c:pt idx="112">
                  <c:v>-3.7652684018152539E-4</c:v>
                </c:pt>
                <c:pt idx="113">
                  <c:v>-9.2031573818055057E-5</c:v>
                </c:pt>
                <c:pt idx="114">
                  <c:v>-1.749827800177062E-4</c:v>
                </c:pt>
                <c:pt idx="115">
                  <c:v>1.095571005209075E-3</c:v>
                </c:pt>
                <c:pt idx="116">
                  <c:v>1.1613580765418427E-3</c:v>
                </c:pt>
                <c:pt idx="117">
                  <c:v>-9.30228293039964E-4</c:v>
                </c:pt>
                <c:pt idx="118">
                  <c:v>-9.9459737706186573E-4</c:v>
                </c:pt>
                <c:pt idx="119">
                  <c:v>-3.8950046723387977E-4</c:v>
                </c:pt>
                <c:pt idx="120">
                  <c:v>-8.0524155995560418E-4</c:v>
                </c:pt>
                <c:pt idx="121">
                  <c:v>-8.0902930001247814E-4</c:v>
                </c:pt>
                <c:pt idx="122">
                  <c:v>8.1330375928395822E-4</c:v>
                </c:pt>
                <c:pt idx="123">
                  <c:v>-1.1582275893839468E-4</c:v>
                </c:pt>
                <c:pt idx="124">
                  <c:v>-2.3762943372710775E-4</c:v>
                </c:pt>
                <c:pt idx="125">
                  <c:v>-2.9218829203819563E-4</c:v>
                </c:pt>
                <c:pt idx="126">
                  <c:v>3.9279406306496863E-4</c:v>
                </c:pt>
                <c:pt idx="127">
                  <c:v>1.6323113289086098E-3</c:v>
                </c:pt>
                <c:pt idx="128">
                  <c:v>-7.2143296475129127E-4</c:v>
                </c:pt>
                <c:pt idx="129">
                  <c:v>-2.2582818904463419E-4</c:v>
                </c:pt>
                <c:pt idx="130">
                  <c:v>2.7564549687777025E-4</c:v>
                </c:pt>
                <c:pt idx="131">
                  <c:v>4.7924215343652358E-4</c:v>
                </c:pt>
                <c:pt idx="132">
                  <c:v>-2.0817565039711155E-4</c:v>
                </c:pt>
                <c:pt idx="133">
                  <c:v>-2.9989456257663316E-4</c:v>
                </c:pt>
                <c:pt idx="134">
                  <c:v>-6.1973659229560781E-4</c:v>
                </c:pt>
                <c:pt idx="135">
                  <c:v>5.3057928964105592E-4</c:v>
                </c:pt>
                <c:pt idx="136">
                  <c:v>-2.311412134523428E-4</c:v>
                </c:pt>
                <c:pt idx="137">
                  <c:v>-3.2371572108872332E-4</c:v>
                </c:pt>
                <c:pt idx="138">
                  <c:v>7.3607769889531653E-4</c:v>
                </c:pt>
                <c:pt idx="139">
                  <c:v>-8.3570097234056829E-4</c:v>
                </c:pt>
                <c:pt idx="140">
                  <c:v>-1.9323738151434964E-3</c:v>
                </c:pt>
                <c:pt idx="141">
                  <c:v>-1.5585847676097139E-3</c:v>
                </c:pt>
                <c:pt idx="142">
                  <c:v>-1.2091072386909833E-3</c:v>
                </c:pt>
                <c:pt idx="143">
                  <c:v>-1.6114940656723903E-3</c:v>
                </c:pt>
                <c:pt idx="144">
                  <c:v>-9.9440150156061271E-4</c:v>
                </c:pt>
                <c:pt idx="145">
                  <c:v>-2.0631879721624106E-3</c:v>
                </c:pt>
                <c:pt idx="146">
                  <c:v>-2.1290219790175012E-3</c:v>
                </c:pt>
                <c:pt idx="147">
                  <c:v>-2.0624201460927782E-3</c:v>
                </c:pt>
                <c:pt idx="148">
                  <c:v>-1.6297847534185483E-3</c:v>
                </c:pt>
                <c:pt idx="149">
                  <c:v>-1.4490402966507662E-3</c:v>
                </c:pt>
                <c:pt idx="150">
                  <c:v>-6.6735033998746563E-4</c:v>
                </c:pt>
                <c:pt idx="151">
                  <c:v>-1.052044560496333E-3</c:v>
                </c:pt>
                <c:pt idx="152">
                  <c:v>-9.7283695508974398E-4</c:v>
                </c:pt>
                <c:pt idx="153">
                  <c:v>-1.1905773787093644E-3</c:v>
                </c:pt>
                <c:pt idx="154">
                  <c:v>4.4265609244929256E-4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C9-4719-982F-F31741A43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8569151"/>
        <c:axId val="1490531119"/>
      </c:lineChart>
      <c:catAx>
        <c:axId val="1058569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531119"/>
        <c:crosses val="autoZero"/>
        <c:auto val="1"/>
        <c:lblAlgn val="ctr"/>
        <c:lblOffset val="100"/>
        <c:noMultiLvlLbl val="0"/>
      </c:catAx>
      <c:valAx>
        <c:axId val="149053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56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471487</xdr:colOff>
      <xdr:row>4</xdr:row>
      <xdr:rowOff>14287</xdr:rowOff>
    </xdr:from>
    <xdr:to>
      <xdr:col>38</xdr:col>
      <xdr:colOff>309562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830C9D-FE43-4087-A6C5-1BA6E6E2F1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452437</xdr:colOff>
      <xdr:row>4</xdr:row>
      <xdr:rowOff>42862</xdr:rowOff>
    </xdr:from>
    <xdr:to>
      <xdr:col>49</xdr:col>
      <xdr:colOff>252412</xdr:colOff>
      <xdr:row>18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2F892A-62CF-45AA-B6C3-25342598DF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952500</xdr:colOff>
      <xdr:row>6</xdr:row>
      <xdr:rowOff>41910</xdr:rowOff>
    </xdr:from>
    <xdr:to>
      <xdr:col>10</xdr:col>
      <xdr:colOff>373380</xdr:colOff>
      <xdr:row>21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BFF54D-60F3-5EE9-CC50-E499F777D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365760</xdr:colOff>
      <xdr:row>11</xdr:row>
      <xdr:rowOff>125730</xdr:rowOff>
    </xdr:from>
    <xdr:to>
      <xdr:col>14</xdr:col>
      <xdr:colOff>160020</xdr:colOff>
      <xdr:row>26</xdr:row>
      <xdr:rowOff>125730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F520D3-E278-4F78-2E0A-C3B1ECB69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441960</xdr:colOff>
      <xdr:row>6</xdr:row>
      <xdr:rowOff>133350</xdr:rowOff>
    </xdr:from>
    <xdr:to>
      <xdr:col>23</xdr:col>
      <xdr:colOff>388620</xdr:colOff>
      <xdr:row>21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5BA640-106F-BFE3-3C97-2BCABC586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396240</xdr:colOff>
      <xdr:row>6</xdr:row>
      <xdr:rowOff>133350</xdr:rowOff>
    </xdr:from>
    <xdr:to>
      <xdr:col>30</xdr:col>
      <xdr:colOff>533400</xdr:colOff>
      <xdr:row>21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B17E5E5-6DF1-22FD-D67C-0592FF117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c475311eb7e8809/My%20Trading%20Data/X%20vs%20I%20round%202.xlsx" TargetMode="External"/><Relationship Id="rId1" Type="http://schemas.openxmlformats.org/officeDocument/2006/relationships/externalLinkPath" Target="https://d.docs.live.net/cc475311eb7e8809/My%20Trading%20Data/X%20vs%20I%20round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XLE_IYE"/>
      <sheetName val="XLF_IYF"/>
      <sheetName val="XLK_IYW"/>
      <sheetName val="XLU_IDU"/>
      <sheetName val="IYJ_XLI"/>
      <sheetName val="IYK_XLP"/>
      <sheetName val="XLRE_IYR"/>
      <sheetName val="IYH_XLV"/>
    </sheetNames>
    <sheetDataSet>
      <sheetData sheetId="0" refreshError="1"/>
      <sheetData sheetId="1">
        <row r="22">
          <cell r="AO22">
            <v>0</v>
          </cell>
          <cell r="AZ22">
            <v>0</v>
          </cell>
        </row>
        <row r="23">
          <cell r="AO23">
            <v>0</v>
          </cell>
          <cell r="AZ23">
            <v>0</v>
          </cell>
        </row>
        <row r="24">
          <cell r="AO24">
            <v>0</v>
          </cell>
          <cell r="AZ24">
            <v>0</v>
          </cell>
        </row>
        <row r="25">
          <cell r="AO25">
            <v>0</v>
          </cell>
          <cell r="AZ25">
            <v>0</v>
          </cell>
        </row>
        <row r="26">
          <cell r="AO26">
            <v>0</v>
          </cell>
          <cell r="AZ26">
            <v>0</v>
          </cell>
        </row>
        <row r="27">
          <cell r="AO27">
            <v>6.7232700985946602E-4</v>
          </cell>
          <cell r="AZ27">
            <v>0</v>
          </cell>
        </row>
        <row r="28">
          <cell r="AO28">
            <v>9.0914235612662812E-4</v>
          </cell>
          <cell r="AZ28">
            <v>0</v>
          </cell>
        </row>
        <row r="29">
          <cell r="AO29">
            <v>4.9253733983815537E-5</v>
          </cell>
          <cell r="AZ29">
            <v>0</v>
          </cell>
        </row>
        <row r="30">
          <cell r="AO30">
            <v>-5.4372143297141094E-4</v>
          </cell>
          <cell r="AZ30">
            <v>0</v>
          </cell>
        </row>
        <row r="31">
          <cell r="AO31">
            <v>1.4344769945191186E-4</v>
          </cell>
          <cell r="AZ31">
            <v>0</v>
          </cell>
        </row>
        <row r="32">
          <cell r="AO32">
            <v>3.8614396869397858E-4</v>
          </cell>
          <cell r="AZ32">
            <v>0</v>
          </cell>
        </row>
        <row r="33">
          <cell r="AO33">
            <v>7.6177783114247683E-4</v>
          </cell>
          <cell r="AZ33">
            <v>0</v>
          </cell>
        </row>
        <row r="34">
          <cell r="AO34">
            <v>1.9954035544345224E-4</v>
          </cell>
          <cell r="AZ34">
            <v>0</v>
          </cell>
        </row>
        <row r="35">
          <cell r="AO35">
            <v>1.697532265979039E-3</v>
          </cell>
          <cell r="AZ35">
            <v>0</v>
          </cell>
        </row>
        <row r="36">
          <cell r="AO36">
            <v>1.697532265979039E-3</v>
          </cell>
          <cell r="AZ36">
            <v>0</v>
          </cell>
        </row>
        <row r="37">
          <cell r="AO37">
            <v>1.697532265979039E-3</v>
          </cell>
          <cell r="AZ37">
            <v>0</v>
          </cell>
        </row>
        <row r="38">
          <cell r="AO38">
            <v>1.697532265979039E-3</v>
          </cell>
          <cell r="AZ38">
            <v>0</v>
          </cell>
        </row>
        <row r="39">
          <cell r="AO39">
            <v>1.697532265979039E-3</v>
          </cell>
          <cell r="AZ39">
            <v>0</v>
          </cell>
        </row>
        <row r="40">
          <cell r="AO40">
            <v>1.697532265979039E-3</v>
          </cell>
          <cell r="AZ40">
            <v>0</v>
          </cell>
        </row>
        <row r="41">
          <cell r="AO41">
            <v>1.697532265979039E-3</v>
          </cell>
          <cell r="AZ41">
            <v>0</v>
          </cell>
        </row>
        <row r="42">
          <cell r="AO42">
            <v>1.697532265979039E-3</v>
          </cell>
          <cell r="AZ42">
            <v>0</v>
          </cell>
        </row>
        <row r="43">
          <cell r="AO43">
            <v>1.697532265979039E-3</v>
          </cell>
          <cell r="AZ43">
            <v>0</v>
          </cell>
        </row>
        <row r="44">
          <cell r="AO44">
            <v>1.697532265979039E-3</v>
          </cell>
          <cell r="AZ44">
            <v>0</v>
          </cell>
        </row>
        <row r="45">
          <cell r="AO45">
            <v>1.697532265979039E-3</v>
          </cell>
          <cell r="AZ45">
            <v>0</v>
          </cell>
        </row>
        <row r="46">
          <cell r="AO46">
            <v>1.697532265979039E-3</v>
          </cell>
          <cell r="AZ46">
            <v>0</v>
          </cell>
        </row>
        <row r="47">
          <cell r="AO47">
            <v>1.697532265979039E-3</v>
          </cell>
          <cell r="AZ47">
            <v>0</v>
          </cell>
        </row>
        <row r="48">
          <cell r="AO48">
            <v>1.697532265979039E-3</v>
          </cell>
          <cell r="AZ48">
            <v>0</v>
          </cell>
        </row>
        <row r="49">
          <cell r="AO49">
            <v>1.697532265979039E-3</v>
          </cell>
          <cell r="AZ49">
            <v>0</v>
          </cell>
        </row>
        <row r="50">
          <cell r="AO50">
            <v>1.697532265979039E-3</v>
          </cell>
          <cell r="AZ50">
            <v>0</v>
          </cell>
        </row>
        <row r="51">
          <cell r="AO51">
            <v>1.697532265979039E-3</v>
          </cell>
          <cell r="AZ51">
            <v>0</v>
          </cell>
        </row>
        <row r="52">
          <cell r="AO52">
            <v>1.697532265979039E-3</v>
          </cell>
          <cell r="AZ52">
            <v>0</v>
          </cell>
        </row>
        <row r="53">
          <cell r="AO53">
            <v>1.697532265979039E-3</v>
          </cell>
          <cell r="AZ53">
            <v>0</v>
          </cell>
        </row>
        <row r="54">
          <cell r="AO54">
            <v>1.697532265979039E-3</v>
          </cell>
          <cell r="AZ54">
            <v>0</v>
          </cell>
        </row>
        <row r="55">
          <cell r="AO55">
            <v>1.697532265979039E-3</v>
          </cell>
          <cell r="AZ55">
            <v>0</v>
          </cell>
        </row>
        <row r="56">
          <cell r="AO56">
            <v>1.697532265979039E-3</v>
          </cell>
          <cell r="AZ56">
            <v>0</v>
          </cell>
        </row>
        <row r="57">
          <cell r="AO57">
            <v>1.697532265979039E-3</v>
          </cell>
          <cell r="AZ57">
            <v>0</v>
          </cell>
        </row>
        <row r="58">
          <cell r="AO58">
            <v>1.697532265979039E-3</v>
          </cell>
          <cell r="AZ58">
            <v>-2.476935568290475E-4</v>
          </cell>
        </row>
        <row r="59">
          <cell r="AO59">
            <v>1.697532265979039E-3</v>
          </cell>
          <cell r="AZ59">
            <v>3.0728001506416438E-4</v>
          </cell>
        </row>
        <row r="60">
          <cell r="AO60">
            <v>1.697532265979039E-3</v>
          </cell>
          <cell r="AZ60">
            <v>6.2230980605374516E-4</v>
          </cell>
        </row>
        <row r="61">
          <cell r="AO61">
            <v>1.697532265979039E-3</v>
          </cell>
          <cell r="AZ61">
            <v>1.6155494194223857E-3</v>
          </cell>
        </row>
        <row r="62">
          <cell r="AO62">
            <v>1.697532265979039E-3</v>
          </cell>
          <cell r="AZ62">
            <v>1.4612447217642295E-3</v>
          </cell>
        </row>
        <row r="63">
          <cell r="AO63">
            <v>1.697532265979039E-3</v>
          </cell>
          <cell r="AZ63">
            <v>-3.2083533055910201E-4</v>
          </cell>
        </row>
        <row r="64">
          <cell r="AO64">
            <v>1.697532265979039E-3</v>
          </cell>
          <cell r="AZ64">
            <v>-1.490209887654359E-3</v>
          </cell>
        </row>
        <row r="65">
          <cell r="AO65">
            <v>1.697532265979039E-3</v>
          </cell>
          <cell r="AZ65">
            <v>-4.4707438000552227E-4</v>
          </cell>
        </row>
        <row r="66">
          <cell r="AO66">
            <v>1.697532265979039E-3</v>
          </cell>
          <cell r="AZ66">
            <v>-4.7105317265760775E-4</v>
          </cell>
        </row>
        <row r="67">
          <cell r="AO67">
            <v>1.697532265979039E-3</v>
          </cell>
          <cell r="AZ67">
            <v>-1.5309243148171874E-3</v>
          </cell>
        </row>
        <row r="68">
          <cell r="AO68">
            <v>1.697532265979039E-3</v>
          </cell>
          <cell r="AZ68">
            <v>-1.9179588169663583E-3</v>
          </cell>
        </row>
        <row r="69">
          <cell r="AO69">
            <v>1.697532265979039E-3</v>
          </cell>
          <cell r="AZ69">
            <v>-2.4763790426863691E-3</v>
          </cell>
        </row>
        <row r="70">
          <cell r="AO70">
            <v>1.697532265979039E-3</v>
          </cell>
          <cell r="AZ70">
            <v>-2.1389838865363332E-3</v>
          </cell>
        </row>
        <row r="71">
          <cell r="AO71">
            <v>1.697532265979039E-3</v>
          </cell>
          <cell r="AZ71">
            <v>-9.7419473378449134E-4</v>
          </cell>
        </row>
        <row r="72">
          <cell r="AO72">
            <v>1.697532265979039E-3</v>
          </cell>
          <cell r="AZ72">
            <v>-1.674071460101823E-3</v>
          </cell>
        </row>
        <row r="73">
          <cell r="AO73">
            <v>1.697532265979039E-3</v>
          </cell>
          <cell r="AZ73">
            <v>-2.3453061406106005E-3</v>
          </cell>
        </row>
        <row r="74">
          <cell r="AO74">
            <v>1.697532265979039E-3</v>
          </cell>
          <cell r="AZ74">
            <v>-9.0017322567525256E-4</v>
          </cell>
        </row>
        <row r="75">
          <cell r="AO75">
            <v>1.697532265979039E-3</v>
          </cell>
          <cell r="AZ75">
            <v>-2.2188070961476191E-3</v>
          </cell>
        </row>
        <row r="76">
          <cell r="AO76">
            <v>1.697532265979039E-3</v>
          </cell>
          <cell r="AZ76">
            <v>-1.5615400322222268E-3</v>
          </cell>
        </row>
        <row r="77">
          <cell r="AO77">
            <v>1.697532265979039E-3</v>
          </cell>
          <cell r="AZ77">
            <v>-1.3858526961178837E-3</v>
          </cell>
        </row>
        <row r="78">
          <cell r="AO78">
            <v>1.697532265979039E-3</v>
          </cell>
          <cell r="AZ78">
            <v>-6.1528722661150902E-4</v>
          </cell>
        </row>
        <row r="79">
          <cell r="AO79">
            <v>1.697532265979039E-3</v>
          </cell>
          <cell r="AZ79">
            <v>-6.1528722661150902E-4</v>
          </cell>
        </row>
        <row r="80">
          <cell r="AO80">
            <v>1.697532265979039E-3</v>
          </cell>
          <cell r="AZ80">
            <v>-1.5458376019445079E-3</v>
          </cell>
        </row>
        <row r="81">
          <cell r="AO81">
            <v>1.697532265979039E-3</v>
          </cell>
          <cell r="AZ81">
            <v>-1.5458376019445079E-3</v>
          </cell>
        </row>
        <row r="82">
          <cell r="AO82">
            <v>1.697532265979039E-3</v>
          </cell>
          <cell r="AZ82">
            <v>-9.023217956912763E-4</v>
          </cell>
        </row>
        <row r="83">
          <cell r="AO83">
            <v>1.697532265979039E-3</v>
          </cell>
          <cell r="AZ83">
            <v>-9.023217956912763E-4</v>
          </cell>
        </row>
        <row r="84">
          <cell r="AO84">
            <v>1.697532265979039E-3</v>
          </cell>
          <cell r="AZ84">
            <v>-9.023217956912763E-4</v>
          </cell>
        </row>
        <row r="85">
          <cell r="AO85">
            <v>1.697532265979039E-3</v>
          </cell>
          <cell r="AZ85">
            <v>-9.023217956912763E-4</v>
          </cell>
        </row>
        <row r="86">
          <cell r="AO86">
            <v>1.697532265979039E-3</v>
          </cell>
          <cell r="AZ86">
            <v>-9.023217956912763E-4</v>
          </cell>
        </row>
        <row r="87">
          <cell r="AO87">
            <v>1.697532265979039E-3</v>
          </cell>
          <cell r="AZ87">
            <v>-9.023217956912763E-4</v>
          </cell>
        </row>
        <row r="88">
          <cell r="AO88">
            <v>1.697532265979039E-3</v>
          </cell>
          <cell r="AZ88">
            <v>-9.023217956912763E-4</v>
          </cell>
        </row>
        <row r="89">
          <cell r="AO89">
            <v>1.697532265979039E-3</v>
          </cell>
          <cell r="AZ89">
            <v>-9.023217956912763E-4</v>
          </cell>
        </row>
        <row r="90">
          <cell r="AO90">
            <v>1.697532265979039E-3</v>
          </cell>
          <cell r="AZ90">
            <v>-9.023217956912763E-4</v>
          </cell>
        </row>
        <row r="91">
          <cell r="AO91">
            <v>1.697532265979039E-3</v>
          </cell>
          <cell r="AZ91">
            <v>-9.023217956912763E-4</v>
          </cell>
        </row>
        <row r="92">
          <cell r="AO92">
            <v>1.697532265979039E-3</v>
          </cell>
          <cell r="AZ92">
            <v>-9.023217956912763E-4</v>
          </cell>
        </row>
        <row r="93">
          <cell r="AO93">
            <v>1.697532265979039E-3</v>
          </cell>
          <cell r="AZ93">
            <v>-9.023217956912763E-4</v>
          </cell>
        </row>
        <row r="94">
          <cell r="AO94">
            <v>1.697532265979039E-3</v>
          </cell>
          <cell r="AZ94">
            <v>-9.023217956912763E-4</v>
          </cell>
        </row>
        <row r="95">
          <cell r="AO95">
            <v>1.697532265979039E-3</v>
          </cell>
          <cell r="AZ95">
            <v>-9.023217956912763E-4</v>
          </cell>
        </row>
        <row r="96">
          <cell r="AO96">
            <v>-1.7243239846952141E-4</v>
          </cell>
          <cell r="AZ96">
            <v>-9.023217956912763E-4</v>
          </cell>
        </row>
        <row r="97">
          <cell r="AO97">
            <v>1.9376548517470067E-3</v>
          </cell>
          <cell r="AZ97">
            <v>-9.023217956912763E-4</v>
          </cell>
        </row>
        <row r="98">
          <cell r="AO98">
            <v>3.6780000040160868E-3</v>
          </cell>
          <cell r="AZ98">
            <v>-9.023217956912763E-4</v>
          </cell>
        </row>
        <row r="99">
          <cell r="AO99">
            <v>2.3829768219987852E-3</v>
          </cell>
          <cell r="AZ99">
            <v>-9.023217956912763E-4</v>
          </cell>
        </row>
        <row r="100">
          <cell r="AO100">
            <v>4.7674941486539734E-3</v>
          </cell>
          <cell r="AZ100">
            <v>-9.023217956912763E-4</v>
          </cell>
        </row>
        <row r="101">
          <cell r="AO101">
            <v>4.7674941486539734E-3</v>
          </cell>
          <cell r="AZ101">
            <v>-9.023217956912763E-4</v>
          </cell>
        </row>
        <row r="102">
          <cell r="AO102">
            <v>4.7674941486539734E-3</v>
          </cell>
          <cell r="AZ102">
            <v>-9.023217956912763E-4</v>
          </cell>
        </row>
        <row r="103">
          <cell r="AO103">
            <v>4.7674941486539734E-3</v>
          </cell>
          <cell r="AZ103">
            <v>-9.023217956912763E-4</v>
          </cell>
        </row>
        <row r="104">
          <cell r="AO104">
            <v>4.7674941486539734E-3</v>
          </cell>
          <cell r="AZ104">
            <v>-2.0408353535920779E-5</v>
          </cell>
        </row>
        <row r="105">
          <cell r="AO105">
            <v>4.7674941486539734E-3</v>
          </cell>
          <cell r="AZ105">
            <v>-2.0408353535920779E-5</v>
          </cell>
        </row>
        <row r="106">
          <cell r="AO106">
            <v>4.7674941486539734E-3</v>
          </cell>
          <cell r="AZ106">
            <v>-3.9585793890171473E-4</v>
          </cell>
        </row>
        <row r="107">
          <cell r="AO107">
            <v>4.7674941486539734E-3</v>
          </cell>
          <cell r="AZ107">
            <v>-3.5339186452784156E-5</v>
          </cell>
        </row>
        <row r="108">
          <cell r="AO108">
            <v>4.7674941486539734E-3</v>
          </cell>
          <cell r="AZ108">
            <v>2.6277041303064946E-3</v>
          </cell>
        </row>
        <row r="109">
          <cell r="AO109">
            <v>4.7674941486539734E-3</v>
          </cell>
          <cell r="AZ109">
            <v>2.6277041303064946E-3</v>
          </cell>
        </row>
        <row r="110">
          <cell r="AO110">
            <v>4.7674941486539734E-3</v>
          </cell>
          <cell r="AZ110">
            <v>2.6277041303064946E-3</v>
          </cell>
        </row>
        <row r="111">
          <cell r="AO111">
            <v>4.7674941486539734E-3</v>
          </cell>
          <cell r="AZ111">
            <v>2.6277041303064946E-3</v>
          </cell>
        </row>
        <row r="112">
          <cell r="AO112">
            <v>4.7674941486539734E-3</v>
          </cell>
          <cell r="AZ112">
            <v>2.6277041303064946E-3</v>
          </cell>
        </row>
        <row r="113">
          <cell r="AO113">
            <v>4.7674941486539734E-3</v>
          </cell>
          <cell r="AZ113">
            <v>2.6277041303064946E-3</v>
          </cell>
        </row>
        <row r="114">
          <cell r="AO114">
            <v>4.7674941486539734E-3</v>
          </cell>
          <cell r="AZ114">
            <v>2.6277041303064946E-3</v>
          </cell>
        </row>
        <row r="115">
          <cell r="AO115">
            <v>4.7674941486539734E-3</v>
          </cell>
          <cell r="AZ115">
            <v>2.6277041303064946E-3</v>
          </cell>
        </row>
        <row r="116">
          <cell r="AO116">
            <v>4.7674941486539734E-3</v>
          </cell>
          <cell r="AZ116">
            <v>2.6277041303064946E-3</v>
          </cell>
        </row>
        <row r="117">
          <cell r="AO117">
            <v>4.7674941486539734E-3</v>
          </cell>
          <cell r="AZ117">
            <v>2.6277041303064946E-3</v>
          </cell>
        </row>
        <row r="118">
          <cell r="AO118">
            <v>4.7674941486539734E-3</v>
          </cell>
          <cell r="AZ118">
            <v>2.6277041303064946E-3</v>
          </cell>
        </row>
        <row r="119">
          <cell r="AO119">
            <v>4.7674941486539734E-3</v>
          </cell>
          <cell r="AZ119">
            <v>4.2799018548315892E-3</v>
          </cell>
        </row>
        <row r="120">
          <cell r="AO120">
            <v>4.7674941486539734E-3</v>
          </cell>
          <cell r="AZ120">
            <v>4.2799018548315892E-3</v>
          </cell>
        </row>
        <row r="121">
          <cell r="AO121">
            <v>4.7674941486539734E-3</v>
          </cell>
          <cell r="AZ121">
            <v>3.6261426570258068E-3</v>
          </cell>
        </row>
        <row r="122">
          <cell r="AO122">
            <v>4.7674941486539734E-3</v>
          </cell>
          <cell r="AZ122">
            <v>3.6261426570258068E-3</v>
          </cell>
        </row>
        <row r="123">
          <cell r="AO123">
            <v>4.7674941486539734E-3</v>
          </cell>
          <cell r="AZ123">
            <v>3.16399556667605E-3</v>
          </cell>
        </row>
        <row r="124">
          <cell r="AO124">
            <v>4.7674941486539734E-3</v>
          </cell>
          <cell r="AZ124">
            <v>3.16399556667605E-3</v>
          </cell>
        </row>
        <row r="125">
          <cell r="AO125">
            <v>4.7674941486539734E-3</v>
          </cell>
          <cell r="AZ125">
            <v>2.8147195297073876E-3</v>
          </cell>
        </row>
        <row r="126">
          <cell r="AO126">
            <v>4.7674941486539734E-3</v>
          </cell>
          <cell r="AZ126">
            <v>2.4096614748317993E-3</v>
          </cell>
        </row>
        <row r="127">
          <cell r="AO127">
            <v>4.7674941486539734E-3</v>
          </cell>
          <cell r="AZ127">
            <v>2.1278225681248216E-3</v>
          </cell>
        </row>
        <row r="128">
          <cell r="AO128">
            <v>4.7674941486539734E-3</v>
          </cell>
          <cell r="AZ128">
            <v>3.3401062656914422E-3</v>
          </cell>
        </row>
        <row r="129">
          <cell r="AO129">
            <v>4.7674941486539734E-3</v>
          </cell>
          <cell r="AZ129">
            <v>5.2449769033914746E-3</v>
          </cell>
        </row>
        <row r="130">
          <cell r="AO130">
            <v>4.7674941486539734E-3</v>
          </cell>
          <cell r="AZ130">
            <v>4.7410554610380004E-3</v>
          </cell>
        </row>
        <row r="131">
          <cell r="AO131">
            <v>4.7674941486539734E-3</v>
          </cell>
          <cell r="AZ131">
            <v>4.6830295642880555E-3</v>
          </cell>
        </row>
        <row r="132">
          <cell r="AO132">
            <v>4.7674941486539734E-3</v>
          </cell>
          <cell r="AZ132">
            <v>6.2760141725534437E-3</v>
          </cell>
        </row>
        <row r="133">
          <cell r="AO133">
            <v>4.7674941486539734E-3</v>
          </cell>
          <cell r="AZ133">
            <v>6.2760141725534437E-3</v>
          </cell>
        </row>
        <row r="134">
          <cell r="AO134">
            <v>4.7674941486539734E-3</v>
          </cell>
          <cell r="AZ134">
            <v>6.2760141725534437E-3</v>
          </cell>
        </row>
        <row r="135">
          <cell r="AO135">
            <v>4.7674941486539734E-3</v>
          </cell>
          <cell r="AZ135">
            <v>6.2760141725534437E-3</v>
          </cell>
        </row>
        <row r="136">
          <cell r="AO136">
            <v>4.7674941486539734E-3</v>
          </cell>
          <cell r="AZ136">
            <v>6.2760141725534437E-3</v>
          </cell>
        </row>
        <row r="137">
          <cell r="AO137">
            <v>4.7674941486539734E-3</v>
          </cell>
          <cell r="AZ137">
            <v>6.2760141725534437E-3</v>
          </cell>
        </row>
        <row r="138">
          <cell r="AO138">
            <v>4.7674941486539734E-3</v>
          </cell>
          <cell r="AZ138">
            <v>6.2760141725534437E-3</v>
          </cell>
        </row>
        <row r="139">
          <cell r="AO139">
            <v>4.7674941486539734E-3</v>
          </cell>
          <cell r="AZ139">
            <v>6.2760141725534437E-3</v>
          </cell>
        </row>
        <row r="140">
          <cell r="AO140">
            <v>4.7674941486539734E-3</v>
          </cell>
          <cell r="AZ140">
            <v>6.2760141725534437E-3</v>
          </cell>
        </row>
        <row r="141">
          <cell r="AO141">
            <v>4.7674941486539734E-3</v>
          </cell>
          <cell r="AZ141">
            <v>6.2760141725534437E-3</v>
          </cell>
        </row>
        <row r="142">
          <cell r="AO142">
            <v>4.7674941486539734E-3</v>
          </cell>
          <cell r="AZ142">
            <v>6.2760141725534437E-3</v>
          </cell>
        </row>
        <row r="143">
          <cell r="AO143">
            <v>4.7674941486539734E-3</v>
          </cell>
          <cell r="AZ143">
            <v>6.2760141725534437E-3</v>
          </cell>
        </row>
        <row r="144">
          <cell r="AO144">
            <v>4.6675314294743146E-3</v>
          </cell>
          <cell r="AZ144">
            <v>6.2760141725534437E-3</v>
          </cell>
        </row>
        <row r="145">
          <cell r="AO145">
            <v>4.5240750147971095E-3</v>
          </cell>
          <cell r="AZ145">
            <v>6.2760141725534437E-3</v>
          </cell>
        </row>
        <row r="146">
          <cell r="AO146">
            <v>3.7954139873591546E-3</v>
          </cell>
          <cell r="AZ146">
            <v>6.2760141725534437E-3</v>
          </cell>
        </row>
        <row r="147">
          <cell r="AO147">
            <v>5.971895750137555E-3</v>
          </cell>
          <cell r="AZ147">
            <v>6.2760141725534437E-3</v>
          </cell>
        </row>
        <row r="148">
          <cell r="AO148">
            <v>7.0471858517159635E-3</v>
          </cell>
          <cell r="AZ148">
            <v>6.2760141725534437E-3</v>
          </cell>
        </row>
        <row r="149">
          <cell r="AO149">
            <v>7.0471858517159635E-3</v>
          </cell>
          <cell r="AZ149">
            <v>6.2760141725534437E-3</v>
          </cell>
        </row>
        <row r="150">
          <cell r="AO150">
            <v>7.0471858517159635E-3</v>
          </cell>
          <cell r="AZ150">
            <v>6.2760141725534437E-3</v>
          </cell>
        </row>
        <row r="151">
          <cell r="AO151">
            <v>7.0471858517159635E-3</v>
          </cell>
          <cell r="AZ151">
            <v>6.2760141725534437E-3</v>
          </cell>
        </row>
        <row r="152">
          <cell r="AO152">
            <v>7.0471858517159635E-3</v>
          </cell>
          <cell r="AZ152">
            <v>7.7415819096418488E-3</v>
          </cell>
        </row>
        <row r="153">
          <cell r="AO153">
            <v>7.0471858517159635E-3</v>
          </cell>
          <cell r="AZ153">
            <v>7.7415819096418488E-3</v>
          </cell>
        </row>
        <row r="154">
          <cell r="AO154">
            <v>7.0471858517159635E-3</v>
          </cell>
          <cell r="AZ154">
            <v>7.7415819096418488E-3</v>
          </cell>
        </row>
        <row r="155">
          <cell r="AO155">
            <v>7.0471858517159635E-3</v>
          </cell>
          <cell r="AZ155">
            <v>7.7415819096418488E-3</v>
          </cell>
        </row>
        <row r="156">
          <cell r="AO156">
            <v>7.0471858517159635E-3</v>
          </cell>
          <cell r="AZ156">
            <v>7.7415819096418488E-3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7D12B-0E1B-4692-BDC5-E806CA84ECA2}">
  <dimension ref="A1:BC156"/>
  <sheetViews>
    <sheetView tabSelected="1" workbookViewId="0">
      <pane xSplit="1" ySplit="1" topLeftCell="AM2" activePane="bottomRight" state="frozen"/>
      <selection pane="topRight" activeCell="B1" sqref="B1"/>
      <selection pane="bottomLeft" activeCell="A2" sqref="A2"/>
      <selection pane="bottomRight" activeCell="BB8" sqref="BB8"/>
    </sheetView>
  </sheetViews>
  <sheetFormatPr defaultRowHeight="14.4" x14ac:dyDescent="0.3"/>
  <cols>
    <col min="1" max="1" width="9.33203125" bestFit="1" customWidth="1"/>
    <col min="2" max="3" width="9.6640625" style="8" bestFit="1" customWidth="1"/>
    <col min="4" max="4" width="12.109375" style="6" bestFit="1" customWidth="1"/>
    <col min="5" max="5" width="15.33203125" style="6" bestFit="1" customWidth="1"/>
    <col min="6" max="7" width="18.77734375" style="6" bestFit="1" customWidth="1"/>
    <col min="8" max="8" width="10.21875" style="8" bestFit="1" customWidth="1"/>
    <col min="9" max="10" width="13.6640625" style="8" bestFit="1" customWidth="1"/>
    <col min="11" max="11" width="9.21875" style="13" bestFit="1" customWidth="1"/>
    <col min="12" max="13" width="11.5546875" style="13" bestFit="1" customWidth="1"/>
    <col min="14" max="14" width="10" style="4" bestFit="1" customWidth="1"/>
    <col min="15" max="15" width="9.5546875" style="4" bestFit="1" customWidth="1"/>
    <col min="16" max="16" width="8.109375" style="4" bestFit="1" customWidth="1"/>
    <col min="17" max="17" width="7.6640625" style="4" bestFit="1" customWidth="1"/>
    <col min="18" max="18" width="14.21875" style="6" bestFit="1" customWidth="1"/>
    <col min="19" max="19" width="17.44140625" style="6" bestFit="1" customWidth="1"/>
    <col min="20" max="21" width="20.77734375" style="6" bestFit="1" customWidth="1"/>
    <col min="22" max="22" width="11.21875" style="8" bestFit="1" customWidth="1"/>
    <col min="23" max="24" width="14.6640625" style="8" bestFit="1" customWidth="1"/>
    <col min="25" max="27" width="12.6640625" style="11" bestFit="1" customWidth="1"/>
    <col min="29" max="33" width="8.88671875" style="4"/>
    <col min="37" max="37" width="13.5546875" bestFit="1" customWidth="1"/>
    <col min="38" max="38" width="12.33203125" bestFit="1" customWidth="1"/>
    <col min="43" max="44" width="8.88671875" style="4"/>
    <col min="48" max="48" width="13.5546875" bestFit="1" customWidth="1"/>
    <col min="49" max="49" width="12.33203125" bestFit="1" customWidth="1"/>
  </cols>
  <sheetData>
    <row r="1" spans="1:55" s="2" customFormat="1" x14ac:dyDescent="0.3">
      <c r="A1" s="2" t="s">
        <v>0</v>
      </c>
      <c r="B1" s="7" t="s">
        <v>1</v>
      </c>
      <c r="C1" s="7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7" t="s">
        <v>7</v>
      </c>
      <c r="I1" s="7" t="s">
        <v>8</v>
      </c>
      <c r="J1" s="7" t="s">
        <v>9</v>
      </c>
      <c r="K1" s="12" t="s">
        <v>10</v>
      </c>
      <c r="L1" s="12" t="s">
        <v>11</v>
      </c>
      <c r="M1" s="1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7" t="s">
        <v>21</v>
      </c>
      <c r="W1" s="7" t="s">
        <v>22</v>
      </c>
      <c r="X1" s="7" t="s">
        <v>23</v>
      </c>
      <c r="Y1" s="10" t="s">
        <v>24</v>
      </c>
      <c r="Z1" s="10" t="s">
        <v>25</v>
      </c>
      <c r="AA1" s="10" t="s">
        <v>26</v>
      </c>
      <c r="AC1" s="3" t="str">
        <f>_xlfn.CONCAT(B1," rtn")</f>
        <v>BNDX rtn</v>
      </c>
      <c r="AD1" s="3" t="str">
        <f>_xlfn.CONCAT(C1," rtn")</f>
        <v>IAGG rtn</v>
      </c>
      <c r="AE1" s="3"/>
      <c r="AF1" s="3" t="s">
        <v>27</v>
      </c>
      <c r="AG1" s="14">
        <v>-1E-3</v>
      </c>
      <c r="AH1" s="2" t="s">
        <v>28</v>
      </c>
      <c r="AI1" s="2" t="s">
        <v>29</v>
      </c>
      <c r="AJ1" s="2" t="s">
        <v>30</v>
      </c>
      <c r="AK1" s="2" t="s">
        <v>31</v>
      </c>
      <c r="AO1" s="15">
        <f>AO156</f>
        <v>1.2314185751399998E-2</v>
      </c>
      <c r="AQ1" s="3" t="s">
        <v>27</v>
      </c>
      <c r="AR1" s="14">
        <v>1E-3</v>
      </c>
      <c r="AS1" s="2" t="s">
        <v>29</v>
      </c>
      <c r="AT1" s="2" t="s">
        <v>28</v>
      </c>
      <c r="AU1" s="2" t="s">
        <v>30</v>
      </c>
      <c r="AV1" s="2" t="s">
        <v>31</v>
      </c>
      <c r="AZ1" s="15">
        <f>AZ156</f>
        <v>9.642464800385794E-3</v>
      </c>
      <c r="BB1" s="15"/>
      <c r="BC1" s="15">
        <f>BC156</f>
        <v>2.1956650551785788E-2</v>
      </c>
    </row>
    <row r="2" spans="1:55" x14ac:dyDescent="0.3">
      <c r="A2" s="1">
        <v>46024</v>
      </c>
      <c r="B2" s="8">
        <v>48.31</v>
      </c>
      <c r="C2" s="8">
        <v>50.05</v>
      </c>
      <c r="D2" s="6">
        <v>1.0360173877044001</v>
      </c>
      <c r="E2" s="6">
        <v>1.0395631876754901</v>
      </c>
      <c r="N2" s="4">
        <v>0</v>
      </c>
      <c r="O2" s="4">
        <v>0</v>
      </c>
      <c r="P2" s="4">
        <v>48.31</v>
      </c>
      <c r="Q2" s="4">
        <v>50.05</v>
      </c>
      <c r="R2" s="6">
        <v>1.0360173877044001</v>
      </c>
      <c r="S2" s="19">
        <f>AVERAGE(R:R)</f>
        <v>1.0384357751676798</v>
      </c>
      <c r="AG2" s="14">
        <v>0</v>
      </c>
      <c r="AR2" s="14">
        <v>0</v>
      </c>
    </row>
    <row r="3" spans="1:55" x14ac:dyDescent="0.3">
      <c r="A3" s="1">
        <v>46027</v>
      </c>
      <c r="B3" s="8">
        <v>48.38</v>
      </c>
      <c r="C3" s="8">
        <v>50.09</v>
      </c>
      <c r="D3" s="6">
        <v>1.0353451839603101</v>
      </c>
      <c r="E3" s="6">
        <v>1.0395631876754901</v>
      </c>
      <c r="H3" s="8">
        <v>50.294067019740197</v>
      </c>
      <c r="K3" s="13">
        <v>-4.0657308854643E-3</v>
      </c>
      <c r="N3" s="4">
        <v>0</v>
      </c>
      <c r="O3" s="4">
        <v>0</v>
      </c>
      <c r="P3" s="4">
        <v>48.38</v>
      </c>
      <c r="Q3" s="4">
        <v>50.09</v>
      </c>
      <c r="R3" s="6">
        <v>1.0353451839603101</v>
      </c>
      <c r="S3" s="19">
        <f>S2</f>
        <v>1.0384357751676798</v>
      </c>
      <c r="V3" s="21">
        <f>S2*P3</f>
        <v>50.239522802612349</v>
      </c>
      <c r="Y3" s="22">
        <f>LN($C3/V3)</f>
        <v>-2.9806363896621507E-3</v>
      </c>
      <c r="AC3" s="9">
        <f>LN(B3/B2)</f>
        <v>1.4479266155658674E-3</v>
      </c>
      <c r="AD3" s="9">
        <f>LN(C3/C2)</f>
        <v>7.9888160829585768E-4</v>
      </c>
      <c r="AE3" s="9"/>
    </row>
    <row r="4" spans="1:55" x14ac:dyDescent="0.3">
      <c r="A4" s="1">
        <v>46028</v>
      </c>
      <c r="B4" s="8">
        <v>48.44</v>
      </c>
      <c r="C4" s="8">
        <v>50.16</v>
      </c>
      <c r="D4" s="6">
        <v>1.0355078447563899</v>
      </c>
      <c r="E4" s="6">
        <v>1.0395631876754901</v>
      </c>
      <c r="H4" s="8">
        <v>50.356440811000702</v>
      </c>
      <c r="K4" s="13">
        <v>-3.9086354333346604E-3</v>
      </c>
      <c r="N4" s="4">
        <v>0</v>
      </c>
      <c r="O4" s="4">
        <v>0</v>
      </c>
      <c r="P4" s="4">
        <v>48.44</v>
      </c>
      <c r="Q4" s="4">
        <v>50.16</v>
      </c>
      <c r="R4" s="6">
        <v>1.0355078447563899</v>
      </c>
      <c r="S4" s="19">
        <f t="shared" ref="S4:S67" si="0">S3</f>
        <v>1.0384357751676798</v>
      </c>
      <c r="V4" s="21">
        <f t="shared" ref="V4:V67" si="1">S3*P4</f>
        <v>50.30182894912241</v>
      </c>
      <c r="Y4" s="22">
        <f t="shared" ref="Y4:AA67" si="2">LN($C4/V4)</f>
        <v>-2.8235409375327145E-3</v>
      </c>
      <c r="AC4" s="9">
        <f t="shared" ref="AC4:AD67" si="3">LN(B4/B3)</f>
        <v>1.2394135030102441E-3</v>
      </c>
      <c r="AD4" s="9">
        <f t="shared" si="3"/>
        <v>1.3965089551396664E-3</v>
      </c>
      <c r="AE4" s="9"/>
    </row>
    <row r="5" spans="1:55" x14ac:dyDescent="0.3">
      <c r="A5" s="1">
        <v>46029</v>
      </c>
      <c r="B5" s="8">
        <v>48.53</v>
      </c>
      <c r="C5" s="8">
        <v>50.22</v>
      </c>
      <c r="D5" s="6">
        <v>1.0348238203173199</v>
      </c>
      <c r="E5" s="6">
        <v>1.0395631876754901</v>
      </c>
      <c r="H5" s="8">
        <v>50.450001497891499</v>
      </c>
      <c r="K5" s="13">
        <v>-4.5694227607943399E-3</v>
      </c>
      <c r="N5" s="4">
        <v>0</v>
      </c>
      <c r="O5" s="4">
        <v>0</v>
      </c>
      <c r="P5" s="4">
        <v>48.53</v>
      </c>
      <c r="Q5" s="4">
        <v>50.22</v>
      </c>
      <c r="R5" s="6">
        <v>1.0348238203173199</v>
      </c>
      <c r="S5" s="19">
        <f t="shared" si="0"/>
        <v>1.0384357751676798</v>
      </c>
      <c r="V5" s="21">
        <f t="shared" si="1"/>
        <v>50.395288168887504</v>
      </c>
      <c r="Y5" s="22">
        <f t="shared" si="2"/>
        <v>-3.484328264992423E-3</v>
      </c>
      <c r="AC5" s="9">
        <f t="shared" si="3"/>
        <v>1.8562447322334513E-3</v>
      </c>
      <c r="AD5" s="9">
        <f t="shared" si="3"/>
        <v>1.1954574047737313E-3</v>
      </c>
      <c r="AE5" s="9"/>
    </row>
    <row r="6" spans="1:55" x14ac:dyDescent="0.3">
      <c r="A6" s="1">
        <v>46030</v>
      </c>
      <c r="B6" s="8">
        <v>48.53</v>
      </c>
      <c r="C6" s="8">
        <v>50.21</v>
      </c>
      <c r="D6" s="6">
        <v>1.0346177622089401</v>
      </c>
      <c r="E6" s="6">
        <v>1.0395631876754901</v>
      </c>
      <c r="H6" s="8">
        <v>50.450001497891499</v>
      </c>
      <c r="K6" s="13">
        <v>-4.7685664436190496E-3</v>
      </c>
      <c r="N6" s="4">
        <v>0</v>
      </c>
      <c r="O6" s="4">
        <v>0</v>
      </c>
      <c r="P6" s="4">
        <v>48.53</v>
      </c>
      <c r="Q6" s="4">
        <v>50.21</v>
      </c>
      <c r="R6" s="6">
        <v>1.0346177622089401</v>
      </c>
      <c r="S6" s="19">
        <f t="shared" si="0"/>
        <v>1.0384357751676798</v>
      </c>
      <c r="V6" s="21">
        <f t="shared" si="1"/>
        <v>50.395288168887504</v>
      </c>
      <c r="Y6" s="22">
        <f t="shared" si="2"/>
        <v>-3.6834719478172043E-3</v>
      </c>
      <c r="AC6" s="9">
        <f t="shared" si="3"/>
        <v>0</v>
      </c>
      <c r="AD6" s="9">
        <f t="shared" si="3"/>
        <v>-1.9914368282483141E-4</v>
      </c>
      <c r="AE6" s="9"/>
    </row>
    <row r="7" spans="1:55" x14ac:dyDescent="0.3">
      <c r="A7" s="1">
        <v>46031</v>
      </c>
      <c r="B7" s="8">
        <v>48.54</v>
      </c>
      <c r="C7" s="8">
        <v>50.25</v>
      </c>
      <c r="D7" s="6">
        <v>1.0352286773794801</v>
      </c>
      <c r="E7" s="6">
        <v>1.0395631876754901</v>
      </c>
      <c r="H7" s="8">
        <v>50.460397129768303</v>
      </c>
      <c r="K7" s="13">
        <v>-4.1782664323785903E-3</v>
      </c>
      <c r="N7" s="4">
        <v>0</v>
      </c>
      <c r="O7" s="4">
        <v>0</v>
      </c>
      <c r="P7" s="4">
        <v>48.54</v>
      </c>
      <c r="Q7" s="4">
        <v>50.25</v>
      </c>
      <c r="R7" s="6">
        <v>1.0352286773794801</v>
      </c>
      <c r="S7" s="19">
        <f t="shared" si="0"/>
        <v>1.0384357751676798</v>
      </c>
      <c r="V7" s="21">
        <f t="shared" si="1"/>
        <v>50.405672526639179</v>
      </c>
      <c r="Y7" s="22">
        <f t="shared" si="2"/>
        <v>-3.0931719365766309E-3</v>
      </c>
      <c r="AC7" s="9">
        <f t="shared" si="3"/>
        <v>2.0603688133041413E-4</v>
      </c>
      <c r="AD7" s="9">
        <f t="shared" si="3"/>
        <v>7.9633689257108261E-4</v>
      </c>
      <c r="AE7" s="9"/>
    </row>
    <row r="8" spans="1:55" x14ac:dyDescent="0.3">
      <c r="A8" s="1">
        <v>46034</v>
      </c>
      <c r="B8" s="8">
        <v>48.58</v>
      </c>
      <c r="C8" s="8">
        <v>50.28</v>
      </c>
      <c r="D8" s="6">
        <v>1.0349938246191801</v>
      </c>
      <c r="E8" s="6">
        <v>1.0395631876754901</v>
      </c>
      <c r="H8" s="8">
        <v>50.501979657275299</v>
      </c>
      <c r="K8" s="13">
        <v>-4.4051529250881101E-3</v>
      </c>
      <c r="N8" s="4">
        <v>0</v>
      </c>
      <c r="O8" s="4">
        <v>0</v>
      </c>
      <c r="P8" s="4">
        <v>48.58</v>
      </c>
      <c r="Q8" s="4">
        <v>50.28</v>
      </c>
      <c r="R8" s="6">
        <v>1.0349938246191801</v>
      </c>
      <c r="S8" s="19">
        <f t="shared" si="0"/>
        <v>1.0384357751676798</v>
      </c>
      <c r="V8" s="21">
        <f t="shared" si="1"/>
        <v>50.447209957645882</v>
      </c>
      <c r="Y8" s="22">
        <f t="shared" si="2"/>
        <v>-3.3200584292861655E-3</v>
      </c>
      <c r="AC8" s="9">
        <f t="shared" si="3"/>
        <v>8.2372327557100075E-4</v>
      </c>
      <c r="AD8" s="9">
        <f t="shared" si="3"/>
        <v>5.9683678286152496E-4</v>
      </c>
      <c r="AE8" s="9"/>
    </row>
    <row r="9" spans="1:55" x14ac:dyDescent="0.3">
      <c r="A9" s="1">
        <v>46035</v>
      </c>
      <c r="B9" s="8">
        <v>48.54</v>
      </c>
      <c r="C9" s="8">
        <v>50.23</v>
      </c>
      <c r="D9" s="6">
        <v>1.0348166460651</v>
      </c>
      <c r="E9" s="6">
        <v>1.0395631876754901</v>
      </c>
      <c r="H9" s="8">
        <v>50.460397129768303</v>
      </c>
      <c r="K9" s="13">
        <v>-4.5763556096104904E-3</v>
      </c>
      <c r="N9" s="4">
        <v>0</v>
      </c>
      <c r="O9" s="4">
        <v>0</v>
      </c>
      <c r="P9" s="4">
        <v>48.54</v>
      </c>
      <c r="Q9" s="4">
        <v>50.23</v>
      </c>
      <c r="R9" s="6">
        <v>1.0348166460651</v>
      </c>
      <c r="S9" s="19">
        <f t="shared" si="0"/>
        <v>1.0384357751676798</v>
      </c>
      <c r="V9" s="21">
        <f t="shared" si="1"/>
        <v>50.405672526639179</v>
      </c>
      <c r="Y9" s="22">
        <f t="shared" si="2"/>
        <v>-3.4912611138085748E-3</v>
      </c>
      <c r="AC9" s="9">
        <f t="shared" si="3"/>
        <v>-8.2372327557106754E-4</v>
      </c>
      <c r="AD9" s="9">
        <f t="shared" si="3"/>
        <v>-9.9492596009337657E-4</v>
      </c>
      <c r="AE9" s="9"/>
      <c r="AN9" s="16">
        <f>AVERAGE(AN22:AN200)</f>
        <v>9.1216190751111089E-5</v>
      </c>
      <c r="AY9" s="16">
        <f>AVERAGE(AY22:AY200)</f>
        <v>7.1425665188042914E-5</v>
      </c>
      <c r="BB9" s="16">
        <f>AVERAGE(BB22:BB200)</f>
        <v>1.6264185593915399E-4</v>
      </c>
    </row>
    <row r="10" spans="1:55" x14ac:dyDescent="0.3">
      <c r="A10" s="1">
        <v>46036</v>
      </c>
      <c r="B10" s="8">
        <v>48.61</v>
      </c>
      <c r="C10" s="8">
        <v>50.27</v>
      </c>
      <c r="D10" s="6">
        <v>1.0341493519851801</v>
      </c>
      <c r="E10" s="6">
        <v>1.0395631876754901</v>
      </c>
      <c r="H10" s="8">
        <v>50.533166552905598</v>
      </c>
      <c r="K10" s="13">
        <v>-5.2214064259886702E-3</v>
      </c>
      <c r="N10" s="4">
        <v>0</v>
      </c>
      <c r="O10" s="4">
        <v>0</v>
      </c>
      <c r="P10" s="4">
        <v>48.61</v>
      </c>
      <c r="Q10" s="4">
        <v>50.27</v>
      </c>
      <c r="R10" s="6">
        <v>1.0341493519851801</v>
      </c>
      <c r="S10" s="19">
        <f t="shared" si="0"/>
        <v>1.0384357751676798</v>
      </c>
      <c r="V10" s="21">
        <f t="shared" si="1"/>
        <v>50.478363030900915</v>
      </c>
      <c r="Y10" s="22">
        <f t="shared" si="2"/>
        <v>-4.1363119301866431E-3</v>
      </c>
      <c r="AC10" s="9">
        <f t="shared" si="3"/>
        <v>1.4410707589088201E-3</v>
      </c>
      <c r="AD10" s="9">
        <f t="shared" si="3"/>
        <v>7.9601994253074011E-4</v>
      </c>
      <c r="AE10" s="9"/>
      <c r="AF10" s="17"/>
      <c r="AN10" s="16">
        <f>STDEV(AN22:AN200)</f>
        <v>4.7006674395697794E-4</v>
      </c>
      <c r="AQ10" s="17"/>
      <c r="AY10" s="16">
        <f>STDEV(AY22:AY200)</f>
        <v>5.7109061122322786E-4</v>
      </c>
      <c r="BB10" s="16">
        <f>STDEV(BB22:BB200)</f>
        <v>7.3073910142522249E-4</v>
      </c>
    </row>
    <row r="11" spans="1:55" x14ac:dyDescent="0.3">
      <c r="A11" s="1">
        <v>46037</v>
      </c>
      <c r="B11" s="8">
        <v>48.59</v>
      </c>
      <c r="C11" s="8">
        <v>50.25</v>
      </c>
      <c r="D11" s="6">
        <v>1.0341634081086599</v>
      </c>
      <c r="E11" s="6">
        <v>1.0395631876754901</v>
      </c>
      <c r="F11" s="6">
        <v>1.0349663907105</v>
      </c>
      <c r="H11" s="8">
        <v>50.512375289152097</v>
      </c>
      <c r="K11" s="13">
        <v>-5.20781455173499E-3</v>
      </c>
      <c r="N11" s="4">
        <v>0</v>
      </c>
      <c r="O11" s="4">
        <v>0</v>
      </c>
      <c r="P11" s="4">
        <v>48.59</v>
      </c>
      <c r="Q11" s="4">
        <v>50.25</v>
      </c>
      <c r="R11" s="6">
        <v>1.0341634081086599</v>
      </c>
      <c r="S11" s="19">
        <f t="shared" si="0"/>
        <v>1.0384357751676798</v>
      </c>
      <c r="T11" s="19">
        <f>AVERAGE(R2:R11)</f>
        <v>1.034966390710496</v>
      </c>
      <c r="V11" s="21">
        <f t="shared" si="1"/>
        <v>50.457594315397564</v>
      </c>
      <c r="Y11" s="22">
        <f t="shared" si="2"/>
        <v>-4.1227200559330185E-3</v>
      </c>
      <c r="AC11" s="9">
        <f t="shared" si="3"/>
        <v>-4.115226395524107E-4</v>
      </c>
      <c r="AD11" s="9">
        <f t="shared" si="3"/>
        <v>-3.9793076529879754E-4</v>
      </c>
      <c r="AE11" s="9"/>
      <c r="AN11">
        <f>SQRT(252)*AN9/AN10</f>
        <v>3.0804394402190396</v>
      </c>
      <c r="AY11">
        <f>SQRT(252)*AY9/AY10</f>
        <v>1.9854069767684415</v>
      </c>
      <c r="BB11">
        <f>SQRT(252)*BB9/BB10</f>
        <v>3.5332164605320151</v>
      </c>
    </row>
    <row r="12" spans="1:55" x14ac:dyDescent="0.3">
      <c r="A12" s="1">
        <v>46038</v>
      </c>
      <c r="B12" s="8">
        <v>48.54</v>
      </c>
      <c r="C12" s="8">
        <v>50.23</v>
      </c>
      <c r="D12" s="6">
        <v>1.0348166460651</v>
      </c>
      <c r="E12" s="6">
        <v>1.0395631876754901</v>
      </c>
      <c r="F12" s="6">
        <v>1.03484631654657</v>
      </c>
      <c r="H12" s="8">
        <v>50.460397129768303</v>
      </c>
      <c r="I12" s="8">
        <v>50.237268605087699</v>
      </c>
      <c r="K12" s="13">
        <v>-4.5763556096104904E-3</v>
      </c>
      <c r="L12" s="13">
        <v>-1.4469598310665801E-4</v>
      </c>
      <c r="N12" s="4">
        <v>0</v>
      </c>
      <c r="O12" s="4">
        <v>0</v>
      </c>
      <c r="P12" s="4">
        <v>48.54</v>
      </c>
      <c r="Q12" s="4">
        <v>50.23</v>
      </c>
      <c r="R12" s="6">
        <v>1.0348166460651</v>
      </c>
      <c r="S12" s="19">
        <f t="shared" si="0"/>
        <v>1.0384357751676798</v>
      </c>
      <c r="T12" s="19">
        <f t="shared" ref="T12:T75" si="4">AVERAGE(R3:R12)</f>
        <v>1.034846316546566</v>
      </c>
      <c r="V12" s="21">
        <f t="shared" si="1"/>
        <v>50.405672526639179</v>
      </c>
      <c r="W12" s="21">
        <f>T11*P12</f>
        <v>50.237268605087472</v>
      </c>
      <c r="Y12" s="22">
        <f t="shared" si="2"/>
        <v>-3.4912611138085748E-3</v>
      </c>
      <c r="Z12" s="22">
        <f t="shared" si="2"/>
        <v>-1.4469598310132818E-4</v>
      </c>
      <c r="AC12" s="9">
        <f t="shared" si="3"/>
        <v>-1.029548119356399E-3</v>
      </c>
      <c r="AD12" s="9">
        <f t="shared" si="3"/>
        <v>-3.9808917723188755E-4</v>
      </c>
      <c r="AE12" s="9"/>
    </row>
    <row r="13" spans="1:55" x14ac:dyDescent="0.3">
      <c r="A13" s="1">
        <v>46042</v>
      </c>
      <c r="B13" s="8">
        <v>48.39</v>
      </c>
      <c r="C13" s="8">
        <v>50.12</v>
      </c>
      <c r="D13" s="6">
        <v>1.0357511882620301</v>
      </c>
      <c r="E13" s="6">
        <v>1.0395631876754901</v>
      </c>
      <c r="F13" s="6">
        <v>1.0348869169767401</v>
      </c>
      <c r="H13" s="8">
        <v>50.304462651616902</v>
      </c>
      <c r="I13" s="8">
        <v>50.076213257688501</v>
      </c>
      <c r="K13" s="13">
        <v>-3.6736638504681401E-3</v>
      </c>
      <c r="L13" s="13">
        <v>8.7401995894302803E-4</v>
      </c>
      <c r="N13" s="4">
        <v>0</v>
      </c>
      <c r="O13" s="4">
        <v>0</v>
      </c>
      <c r="P13" s="4">
        <v>48.39</v>
      </c>
      <c r="Q13" s="4">
        <v>50.12</v>
      </c>
      <c r="R13" s="6">
        <v>1.0357511882620301</v>
      </c>
      <c r="S13" s="19">
        <f t="shared" si="0"/>
        <v>1.0384357751676798</v>
      </c>
      <c r="T13" s="19">
        <f t="shared" si="4"/>
        <v>1.0348869169767378</v>
      </c>
      <c r="V13" s="21">
        <f t="shared" si="1"/>
        <v>50.249907160364025</v>
      </c>
      <c r="W13" s="21">
        <f t="shared" ref="W13:W76" si="5">T12*P13</f>
        <v>50.07621325768833</v>
      </c>
      <c r="Y13" s="22">
        <f t="shared" si="2"/>
        <v>-2.5885693546661235E-3</v>
      </c>
      <c r="Z13" s="22">
        <f t="shared" si="2"/>
        <v>8.740199589476875E-4</v>
      </c>
      <c r="AC13" s="9">
        <f t="shared" si="3"/>
        <v>-3.0950194932281463E-3</v>
      </c>
      <c r="AD13" s="9">
        <f t="shared" si="3"/>
        <v>-2.1923277340857601E-3</v>
      </c>
      <c r="AE13" s="9"/>
    </row>
    <row r="14" spans="1:55" x14ac:dyDescent="0.3">
      <c r="A14" s="1">
        <v>46043</v>
      </c>
      <c r="B14" s="8">
        <v>48.43</v>
      </c>
      <c r="C14" s="8">
        <v>50.17</v>
      </c>
      <c r="D14" s="6">
        <v>1.03592814371257</v>
      </c>
      <c r="E14" s="6">
        <v>1.0395631876754901</v>
      </c>
      <c r="F14" s="6">
        <v>1.0349289468723599</v>
      </c>
      <c r="H14" s="8">
        <v>50.346045179123998</v>
      </c>
      <c r="I14" s="8">
        <v>50.1195733891836</v>
      </c>
      <c r="K14" s="13">
        <v>-3.5028309920844499E-3</v>
      </c>
      <c r="L14" s="13">
        <v>1.0056202925549701E-3</v>
      </c>
      <c r="N14" s="4">
        <v>0</v>
      </c>
      <c r="O14" s="4">
        <v>0</v>
      </c>
      <c r="P14" s="4">
        <v>48.43</v>
      </c>
      <c r="Q14" s="4">
        <v>50.17</v>
      </c>
      <c r="R14" s="6">
        <v>1.03592814371257</v>
      </c>
      <c r="S14" s="19">
        <f t="shared" si="0"/>
        <v>1.0384357751676798</v>
      </c>
      <c r="T14" s="19">
        <f t="shared" si="4"/>
        <v>1.0349289468723559</v>
      </c>
      <c r="V14" s="21">
        <f t="shared" si="1"/>
        <v>50.291444591370734</v>
      </c>
      <c r="W14" s="21">
        <f t="shared" si="5"/>
        <v>50.119573389183415</v>
      </c>
      <c r="Y14" s="22">
        <f t="shared" si="2"/>
        <v>-2.4177364962825912E-3</v>
      </c>
      <c r="Z14" s="22">
        <f t="shared" si="2"/>
        <v>1.0056202925598542E-3</v>
      </c>
      <c r="AC14" s="9">
        <f t="shared" si="3"/>
        <v>8.2627560991058136E-4</v>
      </c>
      <c r="AD14" s="9">
        <f t="shared" si="3"/>
        <v>9.9710846829406284E-4</v>
      </c>
      <c r="AE14" s="9"/>
    </row>
    <row r="15" spans="1:55" x14ac:dyDescent="0.3">
      <c r="A15" s="1">
        <v>46044</v>
      </c>
      <c r="B15" s="8">
        <v>48.47</v>
      </c>
      <c r="C15" s="8">
        <v>50.19</v>
      </c>
      <c r="D15" s="6">
        <v>1.0354858675469301</v>
      </c>
      <c r="E15" s="6">
        <v>1.0395631876754901</v>
      </c>
      <c r="F15" s="6">
        <v>1.03499515159532</v>
      </c>
      <c r="H15" s="8">
        <v>50.387627706631001</v>
      </c>
      <c r="I15" s="8">
        <v>50.163006054903299</v>
      </c>
      <c r="K15" s="13">
        <v>-3.9298592635508799E-3</v>
      </c>
      <c r="L15" s="13">
        <v>5.3797981363855405E-4</v>
      </c>
      <c r="N15" s="4">
        <v>0</v>
      </c>
      <c r="O15" s="4">
        <v>0</v>
      </c>
      <c r="P15" s="4">
        <v>48.47</v>
      </c>
      <c r="Q15" s="4">
        <v>50.19</v>
      </c>
      <c r="R15" s="6">
        <v>1.0354858675469301</v>
      </c>
      <c r="S15" s="19">
        <f t="shared" si="0"/>
        <v>1.0384357751676798</v>
      </c>
      <c r="T15" s="19">
        <f t="shared" si="4"/>
        <v>1.0349951515953171</v>
      </c>
      <c r="V15" s="21">
        <f t="shared" si="1"/>
        <v>50.332982022377436</v>
      </c>
      <c r="W15" s="21">
        <f t="shared" si="5"/>
        <v>50.163006054903093</v>
      </c>
      <c r="Y15" s="22">
        <f t="shared" si="2"/>
        <v>-2.8447647677487036E-3</v>
      </c>
      <c r="Z15" s="22">
        <f t="shared" si="2"/>
        <v>5.3797981364277117E-4</v>
      </c>
      <c r="AC15" s="9">
        <f t="shared" si="3"/>
        <v>8.2559344214694472E-4</v>
      </c>
      <c r="AD15" s="9">
        <f t="shared" si="3"/>
        <v>3.9856517068051695E-4</v>
      </c>
      <c r="AE15" s="9"/>
    </row>
    <row r="16" spans="1:55" x14ac:dyDescent="0.3">
      <c r="A16" s="1">
        <v>46045</v>
      </c>
      <c r="B16" s="8">
        <v>48.45</v>
      </c>
      <c r="C16" s="8">
        <v>50.16</v>
      </c>
      <c r="D16" s="6">
        <v>1.03529411764705</v>
      </c>
      <c r="E16" s="6">
        <v>1.0395631876754901</v>
      </c>
      <c r="F16" s="6">
        <v>1.03506278713913</v>
      </c>
      <c r="H16" s="8">
        <v>50.366836442877499</v>
      </c>
      <c r="I16" s="8">
        <v>50.145515094793303</v>
      </c>
      <c r="K16" s="13">
        <v>-4.11505508521854E-3</v>
      </c>
      <c r="L16" s="13">
        <v>2.8881573049458598E-4</v>
      </c>
      <c r="N16" s="4">
        <v>0</v>
      </c>
      <c r="O16" s="4">
        <v>0</v>
      </c>
      <c r="P16" s="4">
        <v>48.45</v>
      </c>
      <c r="Q16" s="4">
        <v>50.16</v>
      </c>
      <c r="R16" s="6">
        <v>1.03529411764705</v>
      </c>
      <c r="S16" s="19">
        <f t="shared" si="0"/>
        <v>1.0384357751676798</v>
      </c>
      <c r="T16" s="19">
        <f t="shared" si="4"/>
        <v>1.035062787139128</v>
      </c>
      <c r="V16" s="21">
        <f t="shared" si="1"/>
        <v>50.312213306874092</v>
      </c>
      <c r="W16" s="21">
        <f t="shared" si="5"/>
        <v>50.145515094793119</v>
      </c>
      <c r="Y16" s="22">
        <f t="shared" si="2"/>
        <v>-3.0299605894166404E-3</v>
      </c>
      <c r="Z16" s="22">
        <f t="shared" si="2"/>
        <v>2.8881573049858208E-4</v>
      </c>
      <c r="AC16" s="9">
        <f t="shared" si="3"/>
        <v>-4.1271152050925089E-4</v>
      </c>
      <c r="AD16" s="9">
        <f t="shared" si="3"/>
        <v>-5.9790734217704923E-4</v>
      </c>
      <c r="AE16" s="9"/>
    </row>
    <row r="17" spans="1:55" x14ac:dyDescent="0.3">
      <c r="A17" s="1">
        <v>46048</v>
      </c>
      <c r="B17" s="8">
        <v>48.53</v>
      </c>
      <c r="C17" s="8">
        <v>50.23</v>
      </c>
      <c r="D17" s="6">
        <v>1.0350298784257099</v>
      </c>
      <c r="E17" s="6">
        <v>1.0395631876754901</v>
      </c>
      <c r="F17" s="6">
        <v>1.0350429072437499</v>
      </c>
      <c r="H17" s="8">
        <v>50.450001497891499</v>
      </c>
      <c r="I17" s="8">
        <v>50.231597059862104</v>
      </c>
      <c r="K17" s="13">
        <v>-4.37031872827995E-3</v>
      </c>
      <c r="L17" s="13">
        <v>-3.1794435067513599E-5</v>
      </c>
      <c r="N17" s="4">
        <v>0</v>
      </c>
      <c r="O17" s="4">
        <v>0</v>
      </c>
      <c r="P17" s="4">
        <v>48.53</v>
      </c>
      <c r="Q17" s="4">
        <v>50.23</v>
      </c>
      <c r="R17" s="6">
        <v>1.0350298784257099</v>
      </c>
      <c r="S17" s="19">
        <f t="shared" si="0"/>
        <v>1.0384357751676798</v>
      </c>
      <c r="T17" s="19">
        <f t="shared" si="4"/>
        <v>1.0350429072437513</v>
      </c>
      <c r="V17" s="21">
        <f t="shared" si="1"/>
        <v>50.395288168887504</v>
      </c>
      <c r="W17" s="21">
        <f t="shared" si="5"/>
        <v>50.231597059861883</v>
      </c>
      <c r="Y17" s="22">
        <f t="shared" si="2"/>
        <v>-3.2852242324780726E-3</v>
      </c>
      <c r="Z17" s="22">
        <f t="shared" si="2"/>
        <v>-3.1794435062961603E-5</v>
      </c>
      <c r="AC17" s="9">
        <f t="shared" si="3"/>
        <v>1.6498250803494811E-3</v>
      </c>
      <c r="AD17" s="9">
        <f t="shared" si="3"/>
        <v>1.394561437288129E-3</v>
      </c>
      <c r="AE17" s="9"/>
    </row>
    <row r="18" spans="1:55" x14ac:dyDescent="0.3">
      <c r="A18" s="1">
        <v>46049</v>
      </c>
      <c r="B18" s="8">
        <v>48.52</v>
      </c>
      <c r="C18" s="8">
        <v>50.22</v>
      </c>
      <c r="D18" s="6">
        <v>1.0350370981038699</v>
      </c>
      <c r="E18" s="6">
        <v>1.0395631876754901</v>
      </c>
      <c r="F18" s="6">
        <v>1.0350472345922199</v>
      </c>
      <c r="H18" s="8">
        <v>50.439605866014801</v>
      </c>
      <c r="I18" s="8">
        <v>50.220281859467001</v>
      </c>
      <c r="K18" s="13">
        <v>-4.3633434195189799E-3</v>
      </c>
      <c r="L18" s="13">
        <v>-5.6124786158290802E-6</v>
      </c>
      <c r="N18" s="4">
        <v>0</v>
      </c>
      <c r="O18" s="4">
        <v>0</v>
      </c>
      <c r="P18" s="4">
        <v>48.52</v>
      </c>
      <c r="Q18" s="4">
        <v>50.22</v>
      </c>
      <c r="R18" s="6">
        <v>1.0350370981038699</v>
      </c>
      <c r="S18" s="19">
        <f t="shared" si="0"/>
        <v>1.0384357751676798</v>
      </c>
      <c r="T18" s="19">
        <f t="shared" si="4"/>
        <v>1.0350472345922204</v>
      </c>
      <c r="V18" s="21">
        <f t="shared" si="1"/>
        <v>50.384903811135828</v>
      </c>
      <c r="W18" s="21">
        <f t="shared" si="5"/>
        <v>50.220281859466816</v>
      </c>
      <c r="Y18" s="22">
        <f t="shared" si="2"/>
        <v>-3.2782489237169758E-3</v>
      </c>
      <c r="Z18" s="22">
        <f t="shared" si="2"/>
        <v>-5.6124786111661257E-6</v>
      </c>
      <c r="AC18" s="9">
        <f t="shared" si="3"/>
        <v>-2.0607934127534735E-4</v>
      </c>
      <c r="AD18" s="9">
        <f t="shared" si="3"/>
        <v>-1.9910403251438918E-4</v>
      </c>
      <c r="AE18" s="9"/>
    </row>
    <row r="19" spans="1:55" x14ac:dyDescent="0.3">
      <c r="A19" s="1">
        <v>46050</v>
      </c>
      <c r="B19" s="8">
        <v>48.51</v>
      </c>
      <c r="C19" s="8">
        <v>50.27</v>
      </c>
      <c r="D19" s="6">
        <v>1.03628117913832</v>
      </c>
      <c r="E19" s="6">
        <v>1.0395631876754901</v>
      </c>
      <c r="F19" s="6">
        <v>1.03519368789954</v>
      </c>
      <c r="H19" s="8">
        <v>50.429210234137997</v>
      </c>
      <c r="I19" s="8">
        <v>50.210141350068803</v>
      </c>
      <c r="K19" s="13">
        <v>-3.16209762574966E-3</v>
      </c>
      <c r="L19" s="13">
        <v>1.1914524842015399E-3</v>
      </c>
      <c r="N19" s="4">
        <v>0</v>
      </c>
      <c r="O19" s="4">
        <v>0</v>
      </c>
      <c r="P19" s="4">
        <v>48.51</v>
      </c>
      <c r="Q19" s="4">
        <v>50.27</v>
      </c>
      <c r="R19" s="6">
        <v>1.03628117913832</v>
      </c>
      <c r="S19" s="19">
        <f t="shared" si="0"/>
        <v>1.0384357751676798</v>
      </c>
      <c r="T19" s="19">
        <f t="shared" si="4"/>
        <v>1.035193687899542</v>
      </c>
      <c r="V19" s="21">
        <f t="shared" si="1"/>
        <v>50.374519453384146</v>
      </c>
      <c r="W19" s="21">
        <f t="shared" si="5"/>
        <v>50.210141350068611</v>
      </c>
      <c r="Y19" s="22">
        <f t="shared" si="2"/>
        <v>-2.0770031299476069E-3</v>
      </c>
      <c r="Z19" s="22">
        <f t="shared" si="2"/>
        <v>1.1914524842062014E-3</v>
      </c>
      <c r="AC19" s="9">
        <f t="shared" si="3"/>
        <v>-2.0612181872429929E-4</v>
      </c>
      <c r="AD19" s="9">
        <f t="shared" si="3"/>
        <v>9.9512397504496262E-4</v>
      </c>
      <c r="AE19" s="9"/>
    </row>
    <row r="20" spans="1:55" x14ac:dyDescent="0.3">
      <c r="A20" s="1">
        <v>46051</v>
      </c>
      <c r="B20" s="8">
        <v>48.67</v>
      </c>
      <c r="C20" s="8">
        <v>50.32</v>
      </c>
      <c r="D20" s="6">
        <v>1.0339017875487899</v>
      </c>
      <c r="E20" s="6">
        <v>1.0395631876754901</v>
      </c>
      <c r="F20" s="6">
        <v>1.0351689314559001</v>
      </c>
      <c r="H20" s="8">
        <v>50.595540344166103</v>
      </c>
      <c r="I20" s="8">
        <v>50.382876790070902</v>
      </c>
      <c r="K20" s="13">
        <v>-5.4608245262862502E-3</v>
      </c>
      <c r="L20" s="13">
        <v>-1.2487587295620199E-3</v>
      </c>
      <c r="N20" s="4">
        <v>0</v>
      </c>
      <c r="O20" s="4">
        <v>0</v>
      </c>
      <c r="P20" s="4">
        <v>48.67</v>
      </c>
      <c r="Q20" s="4">
        <v>50.32</v>
      </c>
      <c r="R20" s="6">
        <v>1.0339017875487899</v>
      </c>
      <c r="S20" s="19">
        <f t="shared" si="0"/>
        <v>1.0384357751676798</v>
      </c>
      <c r="T20" s="19">
        <f t="shared" si="4"/>
        <v>1.0351689314559027</v>
      </c>
      <c r="V20" s="21">
        <f t="shared" si="1"/>
        <v>50.540669177410976</v>
      </c>
      <c r="W20" s="21">
        <f t="shared" si="5"/>
        <v>50.382876790070711</v>
      </c>
      <c r="Y20" s="22">
        <f t="shared" si="2"/>
        <v>-4.375730030484257E-3</v>
      </c>
      <c r="Z20" s="22">
        <f t="shared" si="2"/>
        <v>-1.2487587295568002E-3</v>
      </c>
      <c r="AC20" s="9">
        <f t="shared" si="3"/>
        <v>3.2928615882378237E-3</v>
      </c>
      <c r="AD20" s="9">
        <f t="shared" si="3"/>
        <v>9.9413468770123497E-4</v>
      </c>
      <c r="AE20" s="9"/>
    </row>
    <row r="21" spans="1:55" x14ac:dyDescent="0.3">
      <c r="A21" s="1">
        <v>46052</v>
      </c>
      <c r="B21" s="8">
        <v>48.57</v>
      </c>
      <c r="C21" s="8">
        <v>50.3</v>
      </c>
      <c r="D21" s="6">
        <v>1.0356186946674899</v>
      </c>
      <c r="E21" s="6">
        <v>1.0395631876754901</v>
      </c>
      <c r="F21" s="6">
        <v>1.0353144601117901</v>
      </c>
      <c r="G21" s="6">
        <v>1.03514042541114</v>
      </c>
      <c r="H21" s="8">
        <v>50.491584025398502</v>
      </c>
      <c r="I21" s="8">
        <v>50.278155000813399</v>
      </c>
      <c r="K21" s="13">
        <v>-3.8015923250684599E-3</v>
      </c>
      <c r="L21" s="13">
        <v>4.3438855146743602E-4</v>
      </c>
      <c r="N21" s="4">
        <v>0</v>
      </c>
      <c r="O21" s="4">
        <v>0</v>
      </c>
      <c r="P21" s="4">
        <v>48.57</v>
      </c>
      <c r="Q21" s="4">
        <v>50.3</v>
      </c>
      <c r="R21" s="6">
        <v>1.0356186946674899</v>
      </c>
      <c r="S21" s="19">
        <f t="shared" si="0"/>
        <v>1.0384357751676798</v>
      </c>
      <c r="T21" s="19">
        <f t="shared" si="4"/>
        <v>1.0353144601117861</v>
      </c>
      <c r="U21" s="19">
        <f>AVERAGE(R2:R21)</f>
        <v>1.0351404254111409</v>
      </c>
      <c r="V21" s="21">
        <f t="shared" si="1"/>
        <v>50.436825599894206</v>
      </c>
      <c r="W21" s="21">
        <f t="shared" si="5"/>
        <v>50.278155000813193</v>
      </c>
      <c r="Y21" s="22">
        <f t="shared" si="2"/>
        <v>-2.7164978292663999E-3</v>
      </c>
      <c r="Z21" s="22">
        <f t="shared" si="2"/>
        <v>4.3438855147276352E-4</v>
      </c>
      <c r="AC21" s="9">
        <f t="shared" si="3"/>
        <v>-2.0567674877094849E-3</v>
      </c>
      <c r="AD21" s="9">
        <f t="shared" si="3"/>
        <v>-3.9753528649159105E-4</v>
      </c>
      <c r="AE21" s="9"/>
      <c r="AK21" s="18">
        <v>0</v>
      </c>
      <c r="AV21" s="18">
        <v>0</v>
      </c>
    </row>
    <row r="22" spans="1:55" x14ac:dyDescent="0.3">
      <c r="A22" s="1">
        <v>46055</v>
      </c>
      <c r="B22" s="8">
        <v>48.43</v>
      </c>
      <c r="C22" s="8">
        <v>50.18</v>
      </c>
      <c r="D22" s="6">
        <v>1.0361346272971299</v>
      </c>
      <c r="E22" s="6">
        <v>1.0395631876754901</v>
      </c>
      <c r="F22" s="6">
        <v>1.0354462582349899</v>
      </c>
      <c r="G22" s="6">
        <v>1.03514628739078</v>
      </c>
      <c r="H22" s="8">
        <v>50.346045179123998</v>
      </c>
      <c r="I22" s="8">
        <v>50.140279303214001</v>
      </c>
      <c r="J22" s="8">
        <v>50.131850802661802</v>
      </c>
      <c r="K22" s="13">
        <v>-3.30352854996989E-3</v>
      </c>
      <c r="L22" s="13">
        <v>7.9187775667060602E-4</v>
      </c>
      <c r="M22" s="13">
        <v>9.5999028331553095E-4</v>
      </c>
      <c r="N22" s="4">
        <v>0</v>
      </c>
      <c r="O22" s="4">
        <v>0</v>
      </c>
      <c r="P22" s="4">
        <v>48.43</v>
      </c>
      <c r="Q22" s="4">
        <v>50.18</v>
      </c>
      <c r="R22" s="6">
        <v>1.0361346272971299</v>
      </c>
      <c r="S22" s="19">
        <f t="shared" si="0"/>
        <v>1.0384357751676798</v>
      </c>
      <c r="T22" s="19">
        <f t="shared" si="4"/>
        <v>1.0354462582349888</v>
      </c>
      <c r="U22" s="19">
        <f t="shared" ref="U22:U85" si="6">AVERAGE(R3:R22)</f>
        <v>1.0351462873907775</v>
      </c>
      <c r="V22" s="21">
        <f t="shared" si="1"/>
        <v>50.291444591370734</v>
      </c>
      <c r="W22" s="21">
        <f t="shared" si="5"/>
        <v>50.140279303213802</v>
      </c>
      <c r="X22" s="21">
        <f>U21*P22</f>
        <v>50.131850802661553</v>
      </c>
      <c r="Y22" s="22">
        <f t="shared" si="2"/>
        <v>-2.218434054168059E-3</v>
      </c>
      <c r="Z22" s="22">
        <f t="shared" si="2"/>
        <v>7.9187775667526581E-4</v>
      </c>
      <c r="AA22" s="22">
        <f t="shared" si="2"/>
        <v>9.5999028332063331E-4</v>
      </c>
      <c r="AC22" s="9">
        <f t="shared" si="3"/>
        <v>-2.8865999425156563E-3</v>
      </c>
      <c r="AD22" s="9">
        <f t="shared" si="3"/>
        <v>-2.3885361674172347E-3</v>
      </c>
      <c r="AE22" s="9"/>
      <c r="AF22" s="9"/>
      <c r="AH22">
        <f>IF($AA22&lt;AG$1,1,0)</f>
        <v>0</v>
      </c>
      <c r="AI22">
        <f>IF($AA22&gt;AG$2,1,0)</f>
        <v>1</v>
      </c>
      <c r="AJ22">
        <f>AK21</f>
        <v>0</v>
      </c>
      <c r="AK22">
        <f t="shared" ref="AK22:AK85" si="7">IF(AH21,1,IF(AI21,0,AJ21))</f>
        <v>0</v>
      </c>
      <c r="AL22" s="9">
        <f>-AK22*$AC22</f>
        <v>0</v>
      </c>
      <c r="AM22" s="9">
        <f>AK22*$AD22</f>
        <v>0</v>
      </c>
      <c r="AN22" s="9">
        <f>AL22+AM22</f>
        <v>0</v>
      </c>
      <c r="AO22" s="16">
        <f>AO21+AN22</f>
        <v>0</v>
      </c>
      <c r="AQ22" s="9"/>
      <c r="AS22">
        <f>IF($AA22&gt;AR$1,1,0)</f>
        <v>0</v>
      </c>
      <c r="AT22">
        <f>IF($AA22&lt;AR$2,1,0)</f>
        <v>0</v>
      </c>
      <c r="AU22">
        <f>AV21</f>
        <v>0</v>
      </c>
      <c r="AV22">
        <f>IF(AS21,1,IF(AT21,0,AU21))</f>
        <v>0</v>
      </c>
      <c r="AW22" s="9">
        <f>AV22*$AC22</f>
        <v>0</v>
      </c>
      <c r="AX22" s="9">
        <f>-AV22*$AD22</f>
        <v>0</v>
      </c>
      <c r="AY22" s="9">
        <f>AW22+AX22</f>
        <v>0</v>
      </c>
      <c r="AZ22" s="16">
        <f>AZ21+AY22</f>
        <v>0</v>
      </c>
      <c r="BB22" s="16">
        <f>AN22+AY22</f>
        <v>0</v>
      </c>
      <c r="BC22" s="16">
        <f>BC21+BB22</f>
        <v>0</v>
      </c>
    </row>
    <row r="23" spans="1:55" x14ac:dyDescent="0.3">
      <c r="A23" s="1">
        <v>46056</v>
      </c>
      <c r="B23" s="8">
        <v>48.41</v>
      </c>
      <c r="C23" s="8">
        <v>50.16</v>
      </c>
      <c r="D23" s="6">
        <v>1.0361495558768801</v>
      </c>
      <c r="E23" s="6">
        <v>1.0395631876754901</v>
      </c>
      <c r="F23" s="6">
        <v>1.0354860949964699</v>
      </c>
      <c r="G23" s="6">
        <v>1.0351865059866101</v>
      </c>
      <c r="H23" s="8">
        <v>50.325253915370503</v>
      </c>
      <c r="I23" s="8">
        <v>50.125953361156</v>
      </c>
      <c r="J23" s="8">
        <v>50.1114317725877</v>
      </c>
      <c r="K23" s="13">
        <v>-3.2891207000462202E-3</v>
      </c>
      <c r="L23" s="13">
        <v>6.7899120486752897E-4</v>
      </c>
      <c r="M23" s="13">
        <v>9.6873516916796303E-4</v>
      </c>
      <c r="N23" s="4">
        <v>0</v>
      </c>
      <c r="O23" s="4">
        <v>0</v>
      </c>
      <c r="P23" s="4">
        <v>48.41</v>
      </c>
      <c r="Q23" s="4">
        <v>50.16</v>
      </c>
      <c r="R23" s="6">
        <v>1.0361495558768801</v>
      </c>
      <c r="S23" s="19">
        <f t="shared" si="0"/>
        <v>1.0384357751676798</v>
      </c>
      <c r="T23" s="19">
        <f t="shared" si="4"/>
        <v>1.0354860949964739</v>
      </c>
      <c r="U23" s="19">
        <f t="shared" si="6"/>
        <v>1.0351865059866061</v>
      </c>
      <c r="V23" s="21">
        <f t="shared" si="1"/>
        <v>50.270675875867376</v>
      </c>
      <c r="W23" s="21">
        <f t="shared" si="5"/>
        <v>50.125953361155808</v>
      </c>
      <c r="X23" s="21">
        <f t="shared" ref="X23:X86" si="8">U22*P23</f>
        <v>50.111431772587537</v>
      </c>
      <c r="Y23" s="22">
        <f t="shared" si="2"/>
        <v>-2.2040262042442222E-3</v>
      </c>
      <c r="Z23" s="22">
        <f t="shared" si="2"/>
        <v>6.7899120487218952E-4</v>
      </c>
      <c r="AA23" s="22">
        <f t="shared" si="2"/>
        <v>9.687351691723997E-4</v>
      </c>
      <c r="AC23" s="9">
        <f t="shared" si="3"/>
        <v>-4.1305246353482225E-4</v>
      </c>
      <c r="AD23" s="9">
        <f t="shared" si="3"/>
        <v>-3.9864461361102628E-4</v>
      </c>
      <c r="AE23" s="9"/>
      <c r="AF23" s="9"/>
      <c r="AH23">
        <f t="shared" ref="AH23:AH86" si="9">IF(AA23&lt;AG$1,1,0)</f>
        <v>0</v>
      </c>
      <c r="AI23">
        <f t="shared" ref="AI23:AI86" si="10">IF($AA23&gt;AG$2,1,0)</f>
        <v>1</v>
      </c>
      <c r="AJ23">
        <f t="shared" ref="AJ23:AJ86" si="11">AK23</f>
        <v>0</v>
      </c>
      <c r="AK23">
        <f t="shared" si="7"/>
        <v>0</v>
      </c>
      <c r="AL23" s="9">
        <f t="shared" ref="AL23:AL86" si="12">-AK23*$AC23</f>
        <v>0</v>
      </c>
      <c r="AM23" s="9">
        <f t="shared" ref="AM23:AM86" si="13">AK23*$AD23</f>
        <v>0</v>
      </c>
      <c r="AN23" s="9">
        <f t="shared" ref="AN23:AN86" si="14">AL23+AM23</f>
        <v>0</v>
      </c>
      <c r="AO23" s="16">
        <f t="shared" ref="AO23:AO86" si="15">AO22+AN23</f>
        <v>0</v>
      </c>
      <c r="AQ23" s="9"/>
      <c r="AS23">
        <f t="shared" ref="AS23:AS86" si="16">IF($AA23&gt;AR$1,1,0)</f>
        <v>0</v>
      </c>
      <c r="AT23">
        <f t="shared" ref="AT23:AT86" si="17">IF($AA23&lt;AR$2,1,0)</f>
        <v>0</v>
      </c>
      <c r="AU23">
        <f t="shared" ref="AU23:AU86" si="18">AV22</f>
        <v>0</v>
      </c>
      <c r="AV23">
        <f t="shared" ref="AV23:AV86" si="19">IF(AS22,1,IF(AT22,0,AU22))</f>
        <v>0</v>
      </c>
      <c r="AW23" s="9">
        <f t="shared" ref="AW23:AW86" si="20">AV23*$AC23</f>
        <v>0</v>
      </c>
      <c r="AX23" s="9">
        <f t="shared" ref="AX23:AX86" si="21">-AV23*$AD23</f>
        <v>0</v>
      </c>
      <c r="AY23" s="9">
        <f t="shared" ref="AY23:AY86" si="22">AW23+AX23</f>
        <v>0</v>
      </c>
      <c r="AZ23" s="16">
        <f t="shared" ref="AZ23:AZ86" si="23">AZ22+AY23</f>
        <v>0</v>
      </c>
      <c r="BB23" s="16">
        <f t="shared" ref="BB23:BB86" si="24">AN23+AY23</f>
        <v>0</v>
      </c>
      <c r="BC23" s="16">
        <f t="shared" ref="BC23:BC86" si="25">BC22+BB23</f>
        <v>0</v>
      </c>
    </row>
    <row r="24" spans="1:55" x14ac:dyDescent="0.3">
      <c r="A24" s="1">
        <v>46057</v>
      </c>
      <c r="B24" s="8">
        <v>48.48</v>
      </c>
      <c r="C24" s="8">
        <v>50.14</v>
      </c>
      <c r="D24" s="6">
        <v>1.0342409240924</v>
      </c>
      <c r="E24" s="6">
        <v>1.0395631876754901</v>
      </c>
      <c r="F24" s="6">
        <v>1.03531737303446</v>
      </c>
      <c r="G24" s="6">
        <v>1.0351231599534101</v>
      </c>
      <c r="H24" s="8">
        <v>50.398023338507699</v>
      </c>
      <c r="I24" s="8">
        <v>50.2003658854292</v>
      </c>
      <c r="J24" s="8">
        <v>50.185841810230798</v>
      </c>
      <c r="K24" s="13">
        <v>-5.1328621040200098E-3</v>
      </c>
      <c r="L24" s="13">
        <v>-1.20322249534282E-3</v>
      </c>
      <c r="M24" s="13">
        <v>-9.1385853523064402E-4</v>
      </c>
      <c r="N24" s="4">
        <v>0</v>
      </c>
      <c r="O24" s="4">
        <v>0</v>
      </c>
      <c r="P24" s="4">
        <v>48.48</v>
      </c>
      <c r="Q24" s="4">
        <v>50.14</v>
      </c>
      <c r="R24" s="6">
        <v>1.0342409240924</v>
      </c>
      <c r="S24" s="19">
        <f t="shared" si="0"/>
        <v>1.0384357751676798</v>
      </c>
      <c r="T24" s="19">
        <f t="shared" si="4"/>
        <v>1.0353173730344571</v>
      </c>
      <c r="U24" s="19">
        <f t="shared" si="6"/>
        <v>1.0351231599534065</v>
      </c>
      <c r="V24" s="21">
        <f t="shared" si="1"/>
        <v>50.343366380129112</v>
      </c>
      <c r="W24" s="21">
        <f t="shared" si="5"/>
        <v>50.200365885429051</v>
      </c>
      <c r="X24" s="21">
        <f t="shared" si="8"/>
        <v>50.185841810230663</v>
      </c>
      <c r="Y24" s="22">
        <f t="shared" si="2"/>
        <v>-4.0477676082180522E-3</v>
      </c>
      <c r="Z24" s="22">
        <f t="shared" si="2"/>
        <v>-1.2032224953383813E-3</v>
      </c>
      <c r="AA24" s="22">
        <f t="shared" si="2"/>
        <v>-9.1385853522608874E-4</v>
      </c>
      <c r="AC24" s="9">
        <f t="shared" si="3"/>
        <v>1.4449378094560407E-3</v>
      </c>
      <c r="AD24" s="9">
        <f t="shared" si="3"/>
        <v>-3.9880359451782341E-4</v>
      </c>
      <c r="AE24" s="9"/>
      <c r="AF24" s="9"/>
      <c r="AH24">
        <f t="shared" si="9"/>
        <v>0</v>
      </c>
      <c r="AI24">
        <f t="shared" si="10"/>
        <v>0</v>
      </c>
      <c r="AJ24">
        <f t="shared" si="11"/>
        <v>0</v>
      </c>
      <c r="AK24">
        <f t="shared" si="7"/>
        <v>0</v>
      </c>
      <c r="AL24" s="9">
        <f t="shared" si="12"/>
        <v>0</v>
      </c>
      <c r="AM24" s="9">
        <f t="shared" si="13"/>
        <v>0</v>
      </c>
      <c r="AN24" s="9">
        <f t="shared" si="14"/>
        <v>0</v>
      </c>
      <c r="AO24" s="16">
        <f t="shared" si="15"/>
        <v>0</v>
      </c>
      <c r="AQ24" s="9"/>
      <c r="AS24">
        <f t="shared" si="16"/>
        <v>0</v>
      </c>
      <c r="AT24">
        <f t="shared" si="17"/>
        <v>1</v>
      </c>
      <c r="AU24">
        <f t="shared" si="18"/>
        <v>0</v>
      </c>
      <c r="AV24">
        <f t="shared" si="19"/>
        <v>0</v>
      </c>
      <c r="AW24" s="9">
        <f t="shared" si="20"/>
        <v>0</v>
      </c>
      <c r="AX24" s="9">
        <f t="shared" si="21"/>
        <v>0</v>
      </c>
      <c r="AY24" s="9">
        <f t="shared" si="22"/>
        <v>0</v>
      </c>
      <c r="AZ24" s="16">
        <f t="shared" si="23"/>
        <v>0</v>
      </c>
      <c r="BB24" s="16">
        <f t="shared" si="24"/>
        <v>0</v>
      </c>
      <c r="BC24" s="16">
        <f t="shared" si="25"/>
        <v>0</v>
      </c>
    </row>
    <row r="25" spans="1:55" x14ac:dyDescent="0.3">
      <c r="A25" s="1">
        <v>46058</v>
      </c>
      <c r="B25" s="8">
        <v>48.54</v>
      </c>
      <c r="C25" s="8">
        <v>50.22</v>
      </c>
      <c r="D25" s="6">
        <v>1.0346106304079099</v>
      </c>
      <c r="E25" s="6">
        <v>1.0395631876754901</v>
      </c>
      <c r="F25" s="6">
        <v>1.0352298493205501</v>
      </c>
      <c r="G25" s="6">
        <v>1.03511250045794</v>
      </c>
      <c r="H25" s="8">
        <v>50.460397129768303</v>
      </c>
      <c r="I25" s="8">
        <v>50.254305287092699</v>
      </c>
      <c r="J25" s="8">
        <v>50.2448781841385</v>
      </c>
      <c r="K25" s="13">
        <v>-4.77545964212483E-3</v>
      </c>
      <c r="L25" s="13">
        <v>-6.8286689473136904E-4</v>
      </c>
      <c r="M25" s="13">
        <v>-4.95261331059357E-4</v>
      </c>
      <c r="N25" s="4">
        <v>0</v>
      </c>
      <c r="O25" s="4">
        <v>0</v>
      </c>
      <c r="P25" s="4">
        <v>48.54</v>
      </c>
      <c r="Q25" s="4">
        <v>50.22</v>
      </c>
      <c r="R25" s="6">
        <v>1.0346106304079099</v>
      </c>
      <c r="S25" s="19">
        <f t="shared" si="0"/>
        <v>1.0384357751676798</v>
      </c>
      <c r="T25" s="19">
        <f t="shared" si="4"/>
        <v>1.035229849320555</v>
      </c>
      <c r="U25" s="19">
        <f t="shared" si="6"/>
        <v>1.0351125004579362</v>
      </c>
      <c r="V25" s="21">
        <f t="shared" si="1"/>
        <v>50.405672526639179</v>
      </c>
      <c r="W25" s="21">
        <f t="shared" si="5"/>
        <v>50.254305287092549</v>
      </c>
      <c r="X25" s="21">
        <f t="shared" si="8"/>
        <v>50.244878184138351</v>
      </c>
      <c r="Y25" s="22">
        <f t="shared" si="2"/>
        <v>-3.690365146322878E-3</v>
      </c>
      <c r="Z25" s="22">
        <f t="shared" si="2"/>
        <v>-6.8286689472681474E-4</v>
      </c>
      <c r="AA25" s="22">
        <f t="shared" si="2"/>
        <v>-4.9526133105480346E-4</v>
      </c>
      <c r="AC25" s="9">
        <f t="shared" si="3"/>
        <v>1.2368585373964223E-3</v>
      </c>
      <c r="AD25" s="9">
        <f t="shared" si="3"/>
        <v>1.5942609992916782E-3</v>
      </c>
      <c r="AE25" s="9"/>
      <c r="AF25" s="9"/>
      <c r="AH25">
        <f t="shared" si="9"/>
        <v>0</v>
      </c>
      <c r="AI25">
        <f t="shared" si="10"/>
        <v>0</v>
      </c>
      <c r="AJ25">
        <f t="shared" si="11"/>
        <v>0</v>
      </c>
      <c r="AK25">
        <f t="shared" si="7"/>
        <v>0</v>
      </c>
      <c r="AL25" s="9">
        <f t="shared" si="12"/>
        <v>0</v>
      </c>
      <c r="AM25" s="9">
        <f t="shared" si="13"/>
        <v>0</v>
      </c>
      <c r="AN25" s="9">
        <f t="shared" si="14"/>
        <v>0</v>
      </c>
      <c r="AO25" s="16">
        <f t="shared" si="15"/>
        <v>0</v>
      </c>
      <c r="AQ25" s="9"/>
      <c r="AS25">
        <f t="shared" si="16"/>
        <v>0</v>
      </c>
      <c r="AT25">
        <f t="shared" si="17"/>
        <v>1</v>
      </c>
      <c r="AU25">
        <f t="shared" si="18"/>
        <v>0</v>
      </c>
      <c r="AV25">
        <f t="shared" si="19"/>
        <v>0</v>
      </c>
      <c r="AW25" s="9">
        <f t="shared" si="20"/>
        <v>0</v>
      </c>
      <c r="AX25" s="9">
        <f t="shared" si="21"/>
        <v>0</v>
      </c>
      <c r="AY25" s="9">
        <f t="shared" si="22"/>
        <v>0</v>
      </c>
      <c r="AZ25" s="16">
        <f t="shared" si="23"/>
        <v>0</v>
      </c>
      <c r="BB25" s="16">
        <f t="shared" si="24"/>
        <v>0</v>
      </c>
      <c r="BC25" s="16">
        <f t="shared" si="25"/>
        <v>0</v>
      </c>
    </row>
    <row r="26" spans="1:55" x14ac:dyDescent="0.3">
      <c r="A26" s="1">
        <v>46059</v>
      </c>
      <c r="B26" s="8">
        <v>48.55</v>
      </c>
      <c r="C26" s="8">
        <v>50.23</v>
      </c>
      <c r="D26" s="6">
        <v>1.0346035015447901</v>
      </c>
      <c r="E26" s="6">
        <v>1.0395631876754901</v>
      </c>
      <c r="F26" s="6">
        <v>1.0351607877103299</v>
      </c>
      <c r="G26" s="6">
        <v>1.03511178742473</v>
      </c>
      <c r="H26" s="8">
        <v>50.470792761645001</v>
      </c>
      <c r="I26" s="8">
        <v>50.260409184513101</v>
      </c>
      <c r="J26" s="8">
        <v>50.254711897232902</v>
      </c>
      <c r="K26" s="13">
        <v>-4.7823500484890603E-3</v>
      </c>
      <c r="L26" s="13">
        <v>-6.0521567556817701E-4</v>
      </c>
      <c r="M26" s="13">
        <v>-4.9185388034878605E-4</v>
      </c>
      <c r="N26" s="4">
        <v>0</v>
      </c>
      <c r="O26" s="4">
        <v>0</v>
      </c>
      <c r="P26" s="4">
        <v>48.55</v>
      </c>
      <c r="Q26" s="4">
        <v>50.23</v>
      </c>
      <c r="R26" s="6">
        <v>1.0346035015447901</v>
      </c>
      <c r="S26" s="19">
        <f t="shared" si="0"/>
        <v>1.0384357751676798</v>
      </c>
      <c r="T26" s="19">
        <f t="shared" si="4"/>
        <v>1.0351607877103288</v>
      </c>
      <c r="U26" s="19">
        <f t="shared" si="6"/>
        <v>1.0351117874247284</v>
      </c>
      <c r="V26" s="21">
        <f t="shared" si="1"/>
        <v>50.416056884390855</v>
      </c>
      <c r="W26" s="21">
        <f t="shared" si="5"/>
        <v>50.260409184512937</v>
      </c>
      <c r="X26" s="21">
        <f t="shared" si="8"/>
        <v>50.254711897232802</v>
      </c>
      <c r="Y26" s="22">
        <f t="shared" si="2"/>
        <v>-3.6972555526870571E-3</v>
      </c>
      <c r="Z26" s="22">
        <f t="shared" si="2"/>
        <v>-6.0521567556384465E-4</v>
      </c>
      <c r="AA26" s="22">
        <f t="shared" si="2"/>
        <v>-4.9185388034489897E-4</v>
      </c>
      <c r="AC26" s="9">
        <f t="shared" si="3"/>
        <v>2.0599443887856661E-4</v>
      </c>
      <c r="AD26" s="9">
        <f t="shared" si="3"/>
        <v>1.9910403251440021E-4</v>
      </c>
      <c r="AE26" s="9"/>
      <c r="AF26" s="9"/>
      <c r="AH26">
        <f t="shared" si="9"/>
        <v>0</v>
      </c>
      <c r="AI26">
        <f t="shared" si="10"/>
        <v>0</v>
      </c>
      <c r="AJ26">
        <f t="shared" si="11"/>
        <v>0</v>
      </c>
      <c r="AK26">
        <f t="shared" si="7"/>
        <v>0</v>
      </c>
      <c r="AL26" s="9">
        <f t="shared" si="12"/>
        <v>0</v>
      </c>
      <c r="AM26" s="9">
        <f t="shared" si="13"/>
        <v>0</v>
      </c>
      <c r="AN26" s="9">
        <f t="shared" si="14"/>
        <v>0</v>
      </c>
      <c r="AO26" s="16">
        <f t="shared" si="15"/>
        <v>0</v>
      </c>
      <c r="AQ26" s="9"/>
      <c r="AS26">
        <f t="shared" si="16"/>
        <v>0</v>
      </c>
      <c r="AT26">
        <f t="shared" si="17"/>
        <v>1</v>
      </c>
      <c r="AU26">
        <f t="shared" si="18"/>
        <v>0</v>
      </c>
      <c r="AV26">
        <f t="shared" si="19"/>
        <v>0</v>
      </c>
      <c r="AW26" s="9">
        <f t="shared" si="20"/>
        <v>0</v>
      </c>
      <c r="AX26" s="9">
        <f t="shared" si="21"/>
        <v>0</v>
      </c>
      <c r="AY26" s="9">
        <f t="shared" si="22"/>
        <v>0</v>
      </c>
      <c r="AZ26" s="16">
        <f t="shared" si="23"/>
        <v>0</v>
      </c>
      <c r="BB26" s="16">
        <f t="shared" si="24"/>
        <v>0</v>
      </c>
      <c r="BC26" s="16">
        <f t="shared" si="25"/>
        <v>0</v>
      </c>
    </row>
    <row r="27" spans="1:55" x14ac:dyDescent="0.3">
      <c r="A27" s="1">
        <v>46062</v>
      </c>
      <c r="B27" s="8">
        <v>48.57</v>
      </c>
      <c r="C27" s="8">
        <v>50.25</v>
      </c>
      <c r="D27" s="6">
        <v>1.03458925262507</v>
      </c>
      <c r="E27" s="6">
        <v>1.0395631876754901</v>
      </c>
      <c r="F27" s="6">
        <v>1.03511672513026</v>
      </c>
      <c r="G27" s="6">
        <v>1.0350798161870101</v>
      </c>
      <c r="H27" s="8">
        <v>50.491584025398502</v>
      </c>
      <c r="I27" s="8">
        <v>50.277759459090802</v>
      </c>
      <c r="J27" s="8">
        <v>50.275379515219299</v>
      </c>
      <c r="K27" s="13">
        <v>-4.7961224915768399E-3</v>
      </c>
      <c r="L27" s="13">
        <v>-5.5227451493651796E-4</v>
      </c>
      <c r="M27" s="13">
        <v>-5.0493747710133197E-4</v>
      </c>
      <c r="N27" s="4">
        <v>0</v>
      </c>
      <c r="O27" s="4">
        <v>0</v>
      </c>
      <c r="P27" s="4">
        <v>48.57</v>
      </c>
      <c r="Q27" s="4">
        <v>50.25</v>
      </c>
      <c r="R27" s="6">
        <v>1.03458925262507</v>
      </c>
      <c r="S27" s="19">
        <f t="shared" si="0"/>
        <v>1.0384357751676798</v>
      </c>
      <c r="T27" s="19">
        <f t="shared" si="4"/>
        <v>1.0351167251302651</v>
      </c>
      <c r="U27" s="19">
        <f t="shared" si="6"/>
        <v>1.0350798161870083</v>
      </c>
      <c r="V27" s="21">
        <f t="shared" si="1"/>
        <v>50.436825599894206</v>
      </c>
      <c r="W27" s="21">
        <f t="shared" si="5"/>
        <v>50.277759459090674</v>
      </c>
      <c r="X27" s="21">
        <f t="shared" si="8"/>
        <v>50.275379515219058</v>
      </c>
      <c r="Y27" s="22">
        <f t="shared" si="2"/>
        <v>-3.7110279957747274E-3</v>
      </c>
      <c r="Z27" s="22">
        <f t="shared" si="2"/>
        <v>-5.5227451493218658E-4</v>
      </c>
      <c r="AA27" s="22">
        <f t="shared" si="2"/>
        <v>-5.0493747709655617E-4</v>
      </c>
      <c r="AC27" s="9">
        <f t="shared" si="3"/>
        <v>4.118616203194936E-4</v>
      </c>
      <c r="AD27" s="9">
        <f t="shared" si="3"/>
        <v>3.9808917723178119E-4</v>
      </c>
      <c r="AE27" s="9"/>
      <c r="AF27" s="9"/>
      <c r="AH27">
        <f t="shared" si="9"/>
        <v>0</v>
      </c>
      <c r="AI27">
        <f t="shared" si="10"/>
        <v>0</v>
      </c>
      <c r="AJ27">
        <f t="shared" si="11"/>
        <v>0</v>
      </c>
      <c r="AK27">
        <f t="shared" si="7"/>
        <v>0</v>
      </c>
      <c r="AL27" s="9">
        <f t="shared" si="12"/>
        <v>0</v>
      </c>
      <c r="AM27" s="9">
        <f t="shared" si="13"/>
        <v>0</v>
      </c>
      <c r="AN27" s="9">
        <f t="shared" si="14"/>
        <v>0</v>
      </c>
      <c r="AO27" s="16">
        <f t="shared" si="15"/>
        <v>0</v>
      </c>
      <c r="AQ27" s="9"/>
      <c r="AS27">
        <f t="shared" si="16"/>
        <v>0</v>
      </c>
      <c r="AT27">
        <f t="shared" si="17"/>
        <v>1</v>
      </c>
      <c r="AU27">
        <f t="shared" si="18"/>
        <v>0</v>
      </c>
      <c r="AV27">
        <f t="shared" si="19"/>
        <v>0</v>
      </c>
      <c r="AW27" s="9">
        <f t="shared" si="20"/>
        <v>0</v>
      </c>
      <c r="AX27" s="9">
        <f t="shared" si="21"/>
        <v>0</v>
      </c>
      <c r="AY27" s="9">
        <f t="shared" si="22"/>
        <v>0</v>
      </c>
      <c r="AZ27" s="16">
        <f t="shared" si="23"/>
        <v>0</v>
      </c>
      <c r="BB27" s="16">
        <f t="shared" si="24"/>
        <v>0</v>
      </c>
      <c r="BC27" s="16">
        <f t="shared" si="25"/>
        <v>0</v>
      </c>
    </row>
    <row r="28" spans="1:55" x14ac:dyDescent="0.3">
      <c r="A28" s="1">
        <v>46063</v>
      </c>
      <c r="B28" s="8">
        <v>48.68</v>
      </c>
      <c r="C28" s="8">
        <v>50.31</v>
      </c>
      <c r="D28" s="6">
        <v>1.0334839769926001</v>
      </c>
      <c r="E28" s="6">
        <v>1.0395631876754901</v>
      </c>
      <c r="F28" s="6">
        <v>1.03496141301914</v>
      </c>
      <c r="G28" s="6">
        <v>1.0350043238056801</v>
      </c>
      <c r="H28" s="8">
        <v>50.605935976042801</v>
      </c>
      <c r="I28" s="8">
        <v>50.389482179341499</v>
      </c>
      <c r="J28" s="8">
        <v>50.3876854519837</v>
      </c>
      <c r="K28" s="13">
        <v>-5.8650166892075997E-3</v>
      </c>
      <c r="L28" s="13">
        <v>-1.5786018781242799E-3</v>
      </c>
      <c r="M28" s="13">
        <v>-1.5429444489631699E-3</v>
      </c>
      <c r="N28" s="4">
        <v>0</v>
      </c>
      <c r="O28" s="4">
        <v>0</v>
      </c>
      <c r="P28" s="4">
        <v>48.68</v>
      </c>
      <c r="Q28" s="4">
        <v>50.31</v>
      </c>
      <c r="R28" s="6">
        <v>1.0334839769926001</v>
      </c>
      <c r="S28" s="19">
        <f t="shared" si="0"/>
        <v>1.0384357751676798</v>
      </c>
      <c r="T28" s="19">
        <f t="shared" si="4"/>
        <v>1.034961413019138</v>
      </c>
      <c r="U28" s="19">
        <f t="shared" si="6"/>
        <v>1.0350043238056794</v>
      </c>
      <c r="V28" s="21">
        <f t="shared" si="1"/>
        <v>50.551053535162652</v>
      </c>
      <c r="W28" s="21">
        <f t="shared" si="5"/>
        <v>50.389482179341307</v>
      </c>
      <c r="X28" s="21">
        <f t="shared" si="8"/>
        <v>50.387685451983565</v>
      </c>
      <c r="Y28" s="22">
        <f t="shared" si="2"/>
        <v>-4.7799221934056845E-3</v>
      </c>
      <c r="Z28" s="22">
        <f t="shared" si="2"/>
        <v>-1.5786018781197228E-3</v>
      </c>
      <c r="AA28" s="22">
        <f t="shared" si="2"/>
        <v>-1.542944448958729E-3</v>
      </c>
      <c r="AC28" s="9">
        <f t="shared" si="3"/>
        <v>2.2622117616730407E-3</v>
      </c>
      <c r="AD28" s="9">
        <f t="shared" si="3"/>
        <v>1.1933175640420101E-3</v>
      </c>
      <c r="AE28" s="9"/>
      <c r="AF28" s="9"/>
      <c r="AH28">
        <f t="shared" si="9"/>
        <v>1</v>
      </c>
      <c r="AI28">
        <f t="shared" si="10"/>
        <v>0</v>
      </c>
      <c r="AJ28">
        <f t="shared" si="11"/>
        <v>0</v>
      </c>
      <c r="AK28">
        <f t="shared" si="7"/>
        <v>0</v>
      </c>
      <c r="AL28" s="9">
        <f t="shared" si="12"/>
        <v>0</v>
      </c>
      <c r="AM28" s="9">
        <f t="shared" si="13"/>
        <v>0</v>
      </c>
      <c r="AN28" s="9">
        <f t="shared" si="14"/>
        <v>0</v>
      </c>
      <c r="AO28" s="16">
        <f t="shared" si="15"/>
        <v>0</v>
      </c>
      <c r="AQ28" s="9"/>
      <c r="AS28">
        <f t="shared" si="16"/>
        <v>0</v>
      </c>
      <c r="AT28">
        <f t="shared" si="17"/>
        <v>1</v>
      </c>
      <c r="AU28">
        <f t="shared" si="18"/>
        <v>0</v>
      </c>
      <c r="AV28">
        <f t="shared" si="19"/>
        <v>0</v>
      </c>
      <c r="AW28" s="9">
        <f t="shared" si="20"/>
        <v>0</v>
      </c>
      <c r="AX28" s="9">
        <f t="shared" si="21"/>
        <v>0</v>
      </c>
      <c r="AY28" s="9">
        <f t="shared" si="22"/>
        <v>0</v>
      </c>
      <c r="AZ28" s="16">
        <f t="shared" si="23"/>
        <v>0</v>
      </c>
      <c r="BB28" s="16">
        <f t="shared" si="24"/>
        <v>0</v>
      </c>
      <c r="BC28" s="16">
        <f t="shared" si="25"/>
        <v>0</v>
      </c>
    </row>
    <row r="29" spans="1:55" x14ac:dyDescent="0.3">
      <c r="A29" s="1">
        <v>46064</v>
      </c>
      <c r="B29" s="8">
        <v>48.69</v>
      </c>
      <c r="C29" s="8">
        <v>50.38</v>
      </c>
      <c r="D29" s="6">
        <v>1.03470938591086</v>
      </c>
      <c r="E29" s="6">
        <v>1.0395631876754901</v>
      </c>
      <c r="F29" s="6">
        <v>1.0348042336963901</v>
      </c>
      <c r="G29" s="6">
        <v>1.0349989607979699</v>
      </c>
      <c r="H29" s="8">
        <v>50.616331607919598</v>
      </c>
      <c r="I29" s="8">
        <v>50.392271199901998</v>
      </c>
      <c r="J29" s="8">
        <v>50.394360526098701</v>
      </c>
      <c r="K29" s="13">
        <v>-4.68001234325375E-3</v>
      </c>
      <c r="L29" s="13">
        <v>-2.4354318537443101E-4</v>
      </c>
      <c r="M29" s="13">
        <v>-2.8500356878433098E-4</v>
      </c>
      <c r="N29" s="4">
        <v>0</v>
      </c>
      <c r="O29" s="4">
        <v>0</v>
      </c>
      <c r="P29" s="4">
        <v>48.69</v>
      </c>
      <c r="Q29" s="4">
        <v>50.38</v>
      </c>
      <c r="R29" s="6">
        <v>1.03470938591086</v>
      </c>
      <c r="S29" s="19">
        <f t="shared" si="0"/>
        <v>1.0384357751676798</v>
      </c>
      <c r="T29" s="19">
        <f t="shared" si="4"/>
        <v>1.0348042336963919</v>
      </c>
      <c r="U29" s="19">
        <f t="shared" si="6"/>
        <v>1.0349989607979668</v>
      </c>
      <c r="V29" s="21">
        <f t="shared" si="1"/>
        <v>50.561437892914327</v>
      </c>
      <c r="W29" s="21">
        <f t="shared" si="5"/>
        <v>50.392271199901828</v>
      </c>
      <c r="X29" s="21">
        <f t="shared" si="8"/>
        <v>50.394360526098531</v>
      </c>
      <c r="Y29" s="22">
        <f t="shared" si="2"/>
        <v>-3.5949178474517633E-3</v>
      </c>
      <c r="Z29" s="22">
        <f t="shared" si="2"/>
        <v>-2.4354318536965637E-4</v>
      </c>
      <c r="AA29" s="22">
        <f t="shared" si="2"/>
        <v>-2.8500356878011121E-4</v>
      </c>
      <c r="AC29" s="9">
        <f t="shared" si="3"/>
        <v>2.054020752830064E-4</v>
      </c>
      <c r="AD29" s="9">
        <f t="shared" si="3"/>
        <v>1.3904064212368825E-3</v>
      </c>
      <c r="AE29" s="9"/>
      <c r="AF29" s="9"/>
      <c r="AH29">
        <f t="shared" si="9"/>
        <v>0</v>
      </c>
      <c r="AI29">
        <f t="shared" si="10"/>
        <v>0</v>
      </c>
      <c r="AJ29">
        <f t="shared" si="11"/>
        <v>1</v>
      </c>
      <c r="AK29">
        <f t="shared" si="7"/>
        <v>1</v>
      </c>
      <c r="AL29" s="9">
        <f t="shared" si="12"/>
        <v>-2.054020752830064E-4</v>
      </c>
      <c r="AM29" s="9">
        <f t="shared" si="13"/>
        <v>1.3904064212368825E-3</v>
      </c>
      <c r="AN29" s="9">
        <f t="shared" si="14"/>
        <v>1.1850043459538761E-3</v>
      </c>
      <c r="AO29" s="16">
        <f t="shared" si="15"/>
        <v>1.1850043459538761E-3</v>
      </c>
      <c r="AQ29" s="9"/>
      <c r="AS29">
        <f t="shared" si="16"/>
        <v>0</v>
      </c>
      <c r="AT29">
        <f t="shared" si="17"/>
        <v>1</v>
      </c>
      <c r="AU29">
        <f t="shared" si="18"/>
        <v>0</v>
      </c>
      <c r="AV29">
        <f t="shared" si="19"/>
        <v>0</v>
      </c>
      <c r="AW29" s="9">
        <f t="shared" si="20"/>
        <v>0</v>
      </c>
      <c r="AX29" s="9">
        <f t="shared" si="21"/>
        <v>0</v>
      </c>
      <c r="AY29" s="9">
        <f t="shared" si="22"/>
        <v>0</v>
      </c>
      <c r="AZ29" s="16">
        <f t="shared" si="23"/>
        <v>0</v>
      </c>
      <c r="BB29" s="16">
        <f t="shared" si="24"/>
        <v>1.1850043459538761E-3</v>
      </c>
      <c r="BC29" s="16">
        <f t="shared" si="25"/>
        <v>1.1850043459538761E-3</v>
      </c>
    </row>
    <row r="30" spans="1:55" x14ac:dyDescent="0.3">
      <c r="A30" s="1">
        <v>46065</v>
      </c>
      <c r="B30" s="8">
        <v>48.8</v>
      </c>
      <c r="C30" s="8">
        <v>50.47</v>
      </c>
      <c r="D30" s="6">
        <v>1.03422131147541</v>
      </c>
      <c r="E30" s="6">
        <v>1.0395631876754901</v>
      </c>
      <c r="F30" s="6">
        <v>1.03483618608905</v>
      </c>
      <c r="G30" s="6">
        <v>1.03500255877248</v>
      </c>
      <c r="H30" s="8">
        <v>50.730683558563904</v>
      </c>
      <c r="I30" s="8">
        <v>50.4984466043841</v>
      </c>
      <c r="J30" s="8">
        <v>50.507949286940999</v>
      </c>
      <c r="K30" s="13">
        <v>-5.1518255800389696E-3</v>
      </c>
      <c r="L30" s="13">
        <v>-5.6347514681080204E-4</v>
      </c>
      <c r="M30" s="13">
        <v>-7.5163516382853099E-4</v>
      </c>
      <c r="N30" s="4">
        <v>0</v>
      </c>
      <c r="O30" s="4">
        <v>0</v>
      </c>
      <c r="P30" s="4">
        <v>48.8</v>
      </c>
      <c r="Q30" s="4">
        <v>50.47</v>
      </c>
      <c r="R30" s="6">
        <v>1.03422131147541</v>
      </c>
      <c r="S30" s="19">
        <f t="shared" si="0"/>
        <v>1.0384357751676798</v>
      </c>
      <c r="T30" s="19">
        <f t="shared" si="4"/>
        <v>1.034836186089054</v>
      </c>
      <c r="U30" s="19">
        <f t="shared" si="6"/>
        <v>1.0350025587724785</v>
      </c>
      <c r="V30" s="21">
        <f t="shared" si="1"/>
        <v>50.675665828182773</v>
      </c>
      <c r="W30" s="21">
        <f t="shared" si="5"/>
        <v>50.498446604383922</v>
      </c>
      <c r="X30" s="21">
        <f t="shared" si="8"/>
        <v>50.507949286940779</v>
      </c>
      <c r="Y30" s="22">
        <f t="shared" si="2"/>
        <v>-4.0667310842369218E-3</v>
      </c>
      <c r="Z30" s="22">
        <f t="shared" si="2"/>
        <v>-5.6347514680591445E-4</v>
      </c>
      <c r="AA30" s="22">
        <f t="shared" si="2"/>
        <v>-7.5163516382330937E-4</v>
      </c>
      <c r="AC30" s="9">
        <f t="shared" si="3"/>
        <v>2.256642664491936E-3</v>
      </c>
      <c r="AD30" s="9">
        <f t="shared" si="3"/>
        <v>1.7848294277067371E-3</v>
      </c>
      <c r="AE30" s="9"/>
      <c r="AF30" s="9"/>
      <c r="AH30">
        <f t="shared" si="9"/>
        <v>0</v>
      </c>
      <c r="AI30">
        <f t="shared" si="10"/>
        <v>0</v>
      </c>
      <c r="AJ30">
        <f t="shared" si="11"/>
        <v>1</v>
      </c>
      <c r="AK30">
        <f t="shared" si="7"/>
        <v>1</v>
      </c>
      <c r="AL30" s="9">
        <f t="shared" si="12"/>
        <v>-2.256642664491936E-3</v>
      </c>
      <c r="AM30" s="9">
        <f t="shared" si="13"/>
        <v>1.7848294277067371E-3</v>
      </c>
      <c r="AN30" s="9">
        <f t="shared" si="14"/>
        <v>-4.7181323678519883E-4</v>
      </c>
      <c r="AO30" s="16">
        <f t="shared" si="15"/>
        <v>7.1319110916867731E-4</v>
      </c>
      <c r="AQ30" s="9"/>
      <c r="AS30">
        <f t="shared" si="16"/>
        <v>0</v>
      </c>
      <c r="AT30">
        <f t="shared" si="17"/>
        <v>1</v>
      </c>
      <c r="AU30">
        <f t="shared" si="18"/>
        <v>0</v>
      </c>
      <c r="AV30">
        <f t="shared" si="19"/>
        <v>0</v>
      </c>
      <c r="AW30" s="9">
        <f t="shared" si="20"/>
        <v>0</v>
      </c>
      <c r="AX30" s="9">
        <f t="shared" si="21"/>
        <v>0</v>
      </c>
      <c r="AY30" s="9">
        <f t="shared" si="22"/>
        <v>0</v>
      </c>
      <c r="AZ30" s="16">
        <f t="shared" si="23"/>
        <v>0</v>
      </c>
      <c r="BB30" s="16">
        <f t="shared" si="24"/>
        <v>-4.7181323678519883E-4</v>
      </c>
      <c r="BC30" s="16">
        <f t="shared" si="25"/>
        <v>7.1319110916867731E-4</v>
      </c>
    </row>
    <row r="31" spans="1:55" x14ac:dyDescent="0.3">
      <c r="A31" s="1">
        <v>46066</v>
      </c>
      <c r="B31" s="8">
        <v>48.81</v>
      </c>
      <c r="C31" s="8">
        <v>50.52</v>
      </c>
      <c r="D31" s="6">
        <v>1.0350338045482399</v>
      </c>
      <c r="E31" s="6">
        <v>1.0395631876754901</v>
      </c>
      <c r="F31" s="6">
        <v>1.0347776970771301</v>
      </c>
      <c r="G31" s="6">
        <v>1.03504607859446</v>
      </c>
      <c r="H31" s="8">
        <v>50.741079190440701</v>
      </c>
      <c r="I31" s="8">
        <v>50.510354243006901</v>
      </c>
      <c r="J31" s="8">
        <v>50.518474893684903</v>
      </c>
      <c r="K31" s="13">
        <v>-4.3665254898742701E-3</v>
      </c>
      <c r="L31" s="13">
        <v>1.90947702691189E-4</v>
      </c>
      <c r="M31" s="13">
        <v>3.01886250126177E-5</v>
      </c>
      <c r="N31" s="4">
        <v>0</v>
      </c>
      <c r="O31" s="4">
        <v>0</v>
      </c>
      <c r="P31" s="4">
        <v>48.81</v>
      </c>
      <c r="Q31" s="4">
        <v>50.52</v>
      </c>
      <c r="R31" s="6">
        <v>1.0350338045482399</v>
      </c>
      <c r="S31" s="19">
        <f t="shared" si="0"/>
        <v>1.0384357751676798</v>
      </c>
      <c r="T31" s="19">
        <f t="shared" si="4"/>
        <v>1.034777697077129</v>
      </c>
      <c r="U31" s="19">
        <f t="shared" si="6"/>
        <v>1.0350460785944573</v>
      </c>
      <c r="V31" s="21">
        <f t="shared" si="1"/>
        <v>50.686050185934455</v>
      </c>
      <c r="W31" s="21">
        <f t="shared" si="5"/>
        <v>50.510354243006731</v>
      </c>
      <c r="X31" s="21">
        <f t="shared" si="8"/>
        <v>50.518474893684676</v>
      </c>
      <c r="Y31" s="22">
        <f t="shared" si="2"/>
        <v>-3.2814309940722023E-3</v>
      </c>
      <c r="Z31" s="22">
        <f t="shared" si="2"/>
        <v>1.9094770269496348E-4</v>
      </c>
      <c r="AA31" s="22">
        <f t="shared" si="2"/>
        <v>3.0188625017280532E-5</v>
      </c>
      <c r="AC31" s="9">
        <f t="shared" si="3"/>
        <v>2.0489703995473735E-4</v>
      </c>
      <c r="AD31" s="9">
        <f t="shared" si="3"/>
        <v>9.9019713011937812E-4</v>
      </c>
      <c r="AE31" s="9"/>
      <c r="AF31" s="9"/>
      <c r="AH31">
        <f t="shared" si="9"/>
        <v>0</v>
      </c>
      <c r="AI31">
        <f t="shared" si="10"/>
        <v>1</v>
      </c>
      <c r="AJ31">
        <f t="shared" si="11"/>
        <v>1</v>
      </c>
      <c r="AK31">
        <f t="shared" si="7"/>
        <v>1</v>
      </c>
      <c r="AL31" s="9">
        <f t="shared" si="12"/>
        <v>-2.0489703995473735E-4</v>
      </c>
      <c r="AM31" s="9">
        <f t="shared" si="13"/>
        <v>9.9019713011937812E-4</v>
      </c>
      <c r="AN31" s="9">
        <f t="shared" si="14"/>
        <v>7.8530009016464079E-4</v>
      </c>
      <c r="AO31" s="16">
        <f t="shared" si="15"/>
        <v>1.4984911993333181E-3</v>
      </c>
      <c r="AQ31" s="9"/>
      <c r="AS31">
        <f t="shared" si="16"/>
        <v>0</v>
      </c>
      <c r="AT31">
        <f t="shared" si="17"/>
        <v>0</v>
      </c>
      <c r="AU31">
        <f t="shared" si="18"/>
        <v>0</v>
      </c>
      <c r="AV31">
        <f t="shared" si="19"/>
        <v>0</v>
      </c>
      <c r="AW31" s="9">
        <f t="shared" si="20"/>
        <v>0</v>
      </c>
      <c r="AX31" s="9">
        <f t="shared" si="21"/>
        <v>0</v>
      </c>
      <c r="AY31" s="9">
        <f t="shared" si="22"/>
        <v>0</v>
      </c>
      <c r="AZ31" s="16">
        <f t="shared" si="23"/>
        <v>0</v>
      </c>
      <c r="BB31" s="16">
        <f t="shared" si="24"/>
        <v>7.8530009016464079E-4</v>
      </c>
      <c r="BC31" s="16">
        <f t="shared" si="25"/>
        <v>1.4984911993333181E-3</v>
      </c>
    </row>
    <row r="32" spans="1:55" x14ac:dyDescent="0.3">
      <c r="A32" s="1">
        <v>46070</v>
      </c>
      <c r="B32" s="8">
        <v>48.9</v>
      </c>
      <c r="C32" s="8">
        <v>50.58</v>
      </c>
      <c r="D32" s="6">
        <v>1.03435582822085</v>
      </c>
      <c r="E32" s="6">
        <v>1.0395631876754901</v>
      </c>
      <c r="F32" s="6">
        <v>1.0345998171694999</v>
      </c>
      <c r="G32" s="6">
        <v>1.03502303770225</v>
      </c>
      <c r="H32" s="8">
        <v>50.834639877331497</v>
      </c>
      <c r="I32" s="8">
        <v>50.600629387071798</v>
      </c>
      <c r="J32" s="8">
        <v>50.613753243269201</v>
      </c>
      <c r="K32" s="13">
        <v>-5.0217683121157397E-3</v>
      </c>
      <c r="L32" s="13">
        <v>-4.0777345392423598E-4</v>
      </c>
      <c r="M32" s="13">
        <v>-6.6710134645998204E-4</v>
      </c>
      <c r="N32" s="4">
        <v>0</v>
      </c>
      <c r="O32" s="4">
        <v>0</v>
      </c>
      <c r="P32" s="4">
        <v>48.9</v>
      </c>
      <c r="Q32" s="4">
        <v>50.58</v>
      </c>
      <c r="R32" s="6">
        <v>1.03435582822085</v>
      </c>
      <c r="S32" s="19">
        <f t="shared" si="0"/>
        <v>1.0384357751676798</v>
      </c>
      <c r="T32" s="19">
        <f t="shared" si="4"/>
        <v>1.034599817169501</v>
      </c>
      <c r="U32" s="19">
        <f t="shared" si="6"/>
        <v>1.0350230377022447</v>
      </c>
      <c r="V32" s="21">
        <f t="shared" si="1"/>
        <v>50.779509405699542</v>
      </c>
      <c r="W32" s="21">
        <f t="shared" si="5"/>
        <v>50.600629387071606</v>
      </c>
      <c r="X32" s="21">
        <f t="shared" si="8"/>
        <v>50.61375324326896</v>
      </c>
      <c r="Y32" s="22">
        <f t="shared" si="2"/>
        <v>-3.9366738163137873E-3</v>
      </c>
      <c r="Z32" s="22">
        <f t="shared" si="2"/>
        <v>-4.0777345391957196E-4</v>
      </c>
      <c r="AA32" s="22">
        <f t="shared" si="2"/>
        <v>-6.6710134645509402E-4</v>
      </c>
      <c r="AC32" s="9">
        <f t="shared" si="3"/>
        <v>1.8421865817702093E-3</v>
      </c>
      <c r="AD32" s="9">
        <f t="shared" si="3"/>
        <v>1.1869437595286225E-3</v>
      </c>
      <c r="AE32" s="9"/>
      <c r="AF32" s="9"/>
      <c r="AH32">
        <f t="shared" si="9"/>
        <v>0</v>
      </c>
      <c r="AI32">
        <f t="shared" si="10"/>
        <v>0</v>
      </c>
      <c r="AJ32">
        <f t="shared" si="11"/>
        <v>0</v>
      </c>
      <c r="AK32">
        <f t="shared" si="7"/>
        <v>0</v>
      </c>
      <c r="AL32" s="9">
        <f t="shared" si="12"/>
        <v>0</v>
      </c>
      <c r="AM32" s="9">
        <f t="shared" si="13"/>
        <v>0</v>
      </c>
      <c r="AN32" s="9">
        <f t="shared" si="14"/>
        <v>0</v>
      </c>
      <c r="AO32" s="16">
        <f t="shared" si="15"/>
        <v>1.4984911993333181E-3</v>
      </c>
      <c r="AQ32" s="9"/>
      <c r="AS32">
        <f t="shared" si="16"/>
        <v>0</v>
      </c>
      <c r="AT32">
        <f t="shared" si="17"/>
        <v>1</v>
      </c>
      <c r="AU32">
        <f t="shared" si="18"/>
        <v>0</v>
      </c>
      <c r="AV32">
        <f t="shared" si="19"/>
        <v>0</v>
      </c>
      <c r="AW32" s="9">
        <f t="shared" si="20"/>
        <v>0</v>
      </c>
      <c r="AX32" s="9">
        <f t="shared" si="21"/>
        <v>0</v>
      </c>
      <c r="AY32" s="9">
        <f t="shared" si="22"/>
        <v>0</v>
      </c>
      <c r="AZ32" s="16">
        <f t="shared" si="23"/>
        <v>0</v>
      </c>
      <c r="BB32" s="16">
        <f t="shared" si="24"/>
        <v>0</v>
      </c>
      <c r="BC32" s="16">
        <f t="shared" si="25"/>
        <v>1.4984911993333181E-3</v>
      </c>
    </row>
    <row r="33" spans="1:55" x14ac:dyDescent="0.3">
      <c r="A33" s="1">
        <v>46071</v>
      </c>
      <c r="B33" s="8">
        <v>48.9</v>
      </c>
      <c r="C33" s="8">
        <v>50.56</v>
      </c>
      <c r="D33" s="6">
        <v>1.0339468302658399</v>
      </c>
      <c r="E33" s="6">
        <v>1.0395631876754901</v>
      </c>
      <c r="F33" s="6">
        <v>1.0343795446084001</v>
      </c>
      <c r="G33" s="6">
        <v>1.0349328198024399</v>
      </c>
      <c r="H33" s="8">
        <v>50.834639877331497</v>
      </c>
      <c r="I33" s="8">
        <v>50.591931059588802</v>
      </c>
      <c r="J33" s="8">
        <v>50.612626543639998</v>
      </c>
      <c r="K33" s="13">
        <v>-5.4172597153327997E-3</v>
      </c>
      <c r="L33" s="13">
        <v>-6.3134851337069697E-4</v>
      </c>
      <c r="M33" s="13">
        <v>-1.0403317613540001E-3</v>
      </c>
      <c r="N33" s="4">
        <v>0</v>
      </c>
      <c r="O33" s="4">
        <v>0</v>
      </c>
      <c r="P33" s="4">
        <v>48.9</v>
      </c>
      <c r="Q33" s="4">
        <v>50.56</v>
      </c>
      <c r="R33" s="6">
        <v>1.0339468302658399</v>
      </c>
      <c r="S33" s="19">
        <f t="shared" si="0"/>
        <v>1.0384357751676798</v>
      </c>
      <c r="T33" s="19">
        <f t="shared" si="4"/>
        <v>1.034379544608397</v>
      </c>
      <c r="U33" s="19">
        <f t="shared" si="6"/>
        <v>1.0349328198024355</v>
      </c>
      <c r="V33" s="21">
        <f t="shared" si="1"/>
        <v>50.779509405699542</v>
      </c>
      <c r="W33" s="21">
        <f t="shared" si="5"/>
        <v>50.591931059588596</v>
      </c>
      <c r="X33" s="21">
        <f t="shared" si="8"/>
        <v>50.612626543639763</v>
      </c>
      <c r="Y33" s="22">
        <f t="shared" si="2"/>
        <v>-4.332165219530712E-3</v>
      </c>
      <c r="Z33" s="22">
        <f t="shared" si="2"/>
        <v>-6.3134851336514239E-4</v>
      </c>
      <c r="AA33" s="22">
        <f t="shared" si="2"/>
        <v>-1.0403317613483355E-3</v>
      </c>
      <c r="AC33" s="9">
        <f t="shared" si="3"/>
        <v>0</v>
      </c>
      <c r="AD33" s="9">
        <f t="shared" si="3"/>
        <v>-3.9549140321703131E-4</v>
      </c>
      <c r="AE33" s="9"/>
      <c r="AF33" s="9"/>
      <c r="AH33">
        <f t="shared" si="9"/>
        <v>1</v>
      </c>
      <c r="AI33">
        <f t="shared" si="10"/>
        <v>0</v>
      </c>
      <c r="AJ33">
        <f t="shared" si="11"/>
        <v>0</v>
      </c>
      <c r="AK33">
        <f t="shared" si="7"/>
        <v>0</v>
      </c>
      <c r="AL33" s="9">
        <f t="shared" si="12"/>
        <v>0</v>
      </c>
      <c r="AM33" s="9">
        <f t="shared" si="13"/>
        <v>0</v>
      </c>
      <c r="AN33" s="9">
        <f t="shared" si="14"/>
        <v>0</v>
      </c>
      <c r="AO33" s="16">
        <f t="shared" si="15"/>
        <v>1.4984911993333181E-3</v>
      </c>
      <c r="AQ33" s="9"/>
      <c r="AS33">
        <f t="shared" si="16"/>
        <v>0</v>
      </c>
      <c r="AT33">
        <f t="shared" si="17"/>
        <v>1</v>
      </c>
      <c r="AU33">
        <f t="shared" si="18"/>
        <v>0</v>
      </c>
      <c r="AV33">
        <f t="shared" si="19"/>
        <v>0</v>
      </c>
      <c r="AW33" s="9">
        <f t="shared" si="20"/>
        <v>0</v>
      </c>
      <c r="AX33" s="9">
        <f t="shared" si="21"/>
        <v>0</v>
      </c>
      <c r="AY33" s="9">
        <f t="shared" si="22"/>
        <v>0</v>
      </c>
      <c r="AZ33" s="16">
        <f t="shared" si="23"/>
        <v>0</v>
      </c>
      <c r="BB33" s="16">
        <f t="shared" si="24"/>
        <v>0</v>
      </c>
      <c r="BC33" s="16">
        <f t="shared" si="25"/>
        <v>1.4984911993333181E-3</v>
      </c>
    </row>
    <row r="34" spans="1:55" x14ac:dyDescent="0.3">
      <c r="A34" s="1">
        <v>46072</v>
      </c>
      <c r="B34" s="8">
        <v>48.93</v>
      </c>
      <c r="C34" s="8">
        <v>50.6</v>
      </c>
      <c r="D34" s="6">
        <v>1.0341303903535599</v>
      </c>
      <c r="E34" s="6">
        <v>1.0395631876754901</v>
      </c>
      <c r="F34" s="6">
        <v>1.0343684912345099</v>
      </c>
      <c r="G34" s="6">
        <v>1.0348429321344901</v>
      </c>
      <c r="H34" s="8">
        <v>50.865826772961697</v>
      </c>
      <c r="I34" s="8">
        <v>50.6121911176891</v>
      </c>
      <c r="J34" s="8">
        <v>50.639262872933401</v>
      </c>
      <c r="K34" s="13">
        <v>-5.2397420807207499E-3</v>
      </c>
      <c r="L34" s="13">
        <v>-2.4090216037219499E-4</v>
      </c>
      <c r="M34" s="13">
        <v>-7.7564521486446698E-4</v>
      </c>
      <c r="N34" s="4">
        <v>0</v>
      </c>
      <c r="O34" s="4">
        <v>0</v>
      </c>
      <c r="P34" s="4">
        <v>48.93</v>
      </c>
      <c r="Q34" s="4">
        <v>50.6</v>
      </c>
      <c r="R34" s="6">
        <v>1.0341303903535599</v>
      </c>
      <c r="S34" s="19">
        <f t="shared" si="0"/>
        <v>1.0384357751676798</v>
      </c>
      <c r="T34" s="19">
        <f t="shared" si="4"/>
        <v>1.034368491234513</v>
      </c>
      <c r="U34" s="19">
        <f t="shared" si="6"/>
        <v>1.034842932134485</v>
      </c>
      <c r="V34" s="21">
        <f t="shared" si="1"/>
        <v>50.810662478954576</v>
      </c>
      <c r="W34" s="21">
        <f t="shared" si="5"/>
        <v>50.612191117688866</v>
      </c>
      <c r="X34" s="21">
        <f t="shared" si="8"/>
        <v>50.639262872933166</v>
      </c>
      <c r="Y34" s="22">
        <f t="shared" si="2"/>
        <v>-4.1546475849188252E-3</v>
      </c>
      <c r="Z34" s="22">
        <f t="shared" si="2"/>
        <v>-2.4090216036619849E-4</v>
      </c>
      <c r="AA34" s="22">
        <f t="shared" si="2"/>
        <v>-7.7564521485913389E-4</v>
      </c>
      <c r="AC34" s="9">
        <f t="shared" si="3"/>
        <v>6.1330882020584879E-4</v>
      </c>
      <c r="AD34" s="9">
        <f t="shared" si="3"/>
        <v>7.9082645481777091E-4</v>
      </c>
      <c r="AE34" s="9"/>
      <c r="AF34" s="9"/>
      <c r="AH34">
        <f t="shared" si="9"/>
        <v>0</v>
      </c>
      <c r="AI34">
        <f t="shared" si="10"/>
        <v>0</v>
      </c>
      <c r="AJ34">
        <f t="shared" si="11"/>
        <v>1</v>
      </c>
      <c r="AK34">
        <f t="shared" si="7"/>
        <v>1</v>
      </c>
      <c r="AL34" s="9">
        <f t="shared" si="12"/>
        <v>-6.1330882020584879E-4</v>
      </c>
      <c r="AM34" s="9">
        <f t="shared" si="13"/>
        <v>7.9082645481777091E-4</v>
      </c>
      <c r="AN34" s="9">
        <f t="shared" si="14"/>
        <v>1.7751763461192212E-4</v>
      </c>
      <c r="AO34" s="16">
        <f t="shared" si="15"/>
        <v>1.6760088339452402E-3</v>
      </c>
      <c r="AQ34" s="9"/>
      <c r="AS34">
        <f t="shared" si="16"/>
        <v>0</v>
      </c>
      <c r="AT34">
        <f t="shared" si="17"/>
        <v>1</v>
      </c>
      <c r="AU34">
        <f t="shared" si="18"/>
        <v>0</v>
      </c>
      <c r="AV34">
        <f t="shared" si="19"/>
        <v>0</v>
      </c>
      <c r="AW34" s="9">
        <f t="shared" si="20"/>
        <v>0</v>
      </c>
      <c r="AX34" s="9">
        <f t="shared" si="21"/>
        <v>0</v>
      </c>
      <c r="AY34" s="9">
        <f t="shared" si="22"/>
        <v>0</v>
      </c>
      <c r="AZ34" s="16">
        <f t="shared" si="23"/>
        <v>0</v>
      </c>
      <c r="BB34" s="16">
        <f t="shared" si="24"/>
        <v>1.7751763461192212E-4</v>
      </c>
      <c r="BC34" s="16">
        <f t="shared" si="25"/>
        <v>1.6760088339452402E-3</v>
      </c>
    </row>
    <row r="35" spans="1:55" x14ac:dyDescent="0.3">
      <c r="A35" s="1">
        <v>46073</v>
      </c>
      <c r="B35" s="8">
        <v>48.98</v>
      </c>
      <c r="C35" s="8">
        <v>50.66</v>
      </c>
      <c r="D35" s="6">
        <v>1.03429971416904</v>
      </c>
      <c r="E35" s="6">
        <v>1.0395631876754901</v>
      </c>
      <c r="F35" s="6">
        <v>1.03433739961063</v>
      </c>
      <c r="G35" s="6">
        <v>1.0347836244655899</v>
      </c>
      <c r="H35" s="8">
        <v>50.917804932345497</v>
      </c>
      <c r="I35" s="8">
        <v>50.663368700666702</v>
      </c>
      <c r="J35" s="8">
        <v>50.6866068159473</v>
      </c>
      <c r="K35" s="13">
        <v>-5.0760200236010296E-3</v>
      </c>
      <c r="L35" s="13">
        <v>-6.6494051889129106E-5</v>
      </c>
      <c r="M35" s="13">
        <v>-5.2506575986168997E-4</v>
      </c>
      <c r="N35" s="4">
        <v>0</v>
      </c>
      <c r="O35" s="4">
        <v>0</v>
      </c>
      <c r="P35" s="4">
        <v>48.98</v>
      </c>
      <c r="Q35" s="4">
        <v>50.66</v>
      </c>
      <c r="R35" s="6">
        <v>1.03429971416904</v>
      </c>
      <c r="S35" s="19">
        <f t="shared" si="0"/>
        <v>1.0384357751676798</v>
      </c>
      <c r="T35" s="19">
        <f t="shared" si="4"/>
        <v>1.034337399610626</v>
      </c>
      <c r="U35" s="19">
        <f t="shared" si="6"/>
        <v>1.0347836244655906</v>
      </c>
      <c r="V35" s="21">
        <f t="shared" si="1"/>
        <v>50.862584267712954</v>
      </c>
      <c r="W35" s="21">
        <f t="shared" si="5"/>
        <v>50.663368700666446</v>
      </c>
      <c r="X35" s="21">
        <f t="shared" si="8"/>
        <v>50.686606815947073</v>
      </c>
      <c r="Y35" s="22">
        <f t="shared" si="2"/>
        <v>-3.9909255277989853E-3</v>
      </c>
      <c r="Z35" s="22">
        <f t="shared" si="2"/>
        <v>-6.6494051883355607E-5</v>
      </c>
      <c r="AA35" s="22">
        <f t="shared" si="2"/>
        <v>-5.2506575985669212E-4</v>
      </c>
      <c r="AC35" s="9">
        <f t="shared" si="3"/>
        <v>1.0213462229894555E-3</v>
      </c>
      <c r="AD35" s="9">
        <f t="shared" si="3"/>
        <v>1.1850682801092954E-3</v>
      </c>
      <c r="AE35" s="9"/>
      <c r="AF35" s="9"/>
      <c r="AH35">
        <f t="shared" si="9"/>
        <v>0</v>
      </c>
      <c r="AI35">
        <f t="shared" si="10"/>
        <v>0</v>
      </c>
      <c r="AJ35">
        <f t="shared" si="11"/>
        <v>1</v>
      </c>
      <c r="AK35">
        <f t="shared" si="7"/>
        <v>1</v>
      </c>
      <c r="AL35" s="9">
        <f t="shared" si="12"/>
        <v>-1.0213462229894555E-3</v>
      </c>
      <c r="AM35" s="9">
        <f t="shared" si="13"/>
        <v>1.1850682801092954E-3</v>
      </c>
      <c r="AN35" s="9">
        <f t="shared" si="14"/>
        <v>1.6372205711983993E-4</v>
      </c>
      <c r="AO35" s="16">
        <f t="shared" si="15"/>
        <v>1.8397308910650802E-3</v>
      </c>
      <c r="AQ35" s="9"/>
      <c r="AS35">
        <f t="shared" si="16"/>
        <v>0</v>
      </c>
      <c r="AT35">
        <f t="shared" si="17"/>
        <v>1</v>
      </c>
      <c r="AU35">
        <f t="shared" si="18"/>
        <v>0</v>
      </c>
      <c r="AV35">
        <f t="shared" si="19"/>
        <v>0</v>
      </c>
      <c r="AW35" s="9">
        <f t="shared" si="20"/>
        <v>0</v>
      </c>
      <c r="AX35" s="9">
        <f t="shared" si="21"/>
        <v>0</v>
      </c>
      <c r="AY35" s="9">
        <f t="shared" si="22"/>
        <v>0</v>
      </c>
      <c r="AZ35" s="16">
        <f t="shared" si="23"/>
        <v>0</v>
      </c>
      <c r="BB35" s="16">
        <f t="shared" si="24"/>
        <v>1.6372205711983993E-4</v>
      </c>
      <c r="BC35" s="16">
        <f t="shared" si="25"/>
        <v>1.8397308910650802E-3</v>
      </c>
    </row>
    <row r="36" spans="1:55" x14ac:dyDescent="0.3">
      <c r="A36" s="1">
        <v>46076</v>
      </c>
      <c r="B36" s="8">
        <v>49.07</v>
      </c>
      <c r="C36" s="8">
        <v>50.72</v>
      </c>
      <c r="D36" s="6">
        <v>1.03362543305481</v>
      </c>
      <c r="E36" s="6">
        <v>1.0395631876754901</v>
      </c>
      <c r="F36" s="6">
        <v>1.0342395927616299</v>
      </c>
      <c r="G36" s="6">
        <v>1.03470019023598</v>
      </c>
      <c r="H36" s="8">
        <v>51.011365619236301</v>
      </c>
      <c r="I36" s="8">
        <v>50.754936198893702</v>
      </c>
      <c r="J36" s="8">
        <v>50.776832452526797</v>
      </c>
      <c r="K36" s="13">
        <v>-5.7281530459499996E-3</v>
      </c>
      <c r="L36" s="13">
        <v>-6.8856806582509101E-4</v>
      </c>
      <c r="M36" s="13">
        <v>-1.11988634705551E-3</v>
      </c>
      <c r="N36" s="4">
        <v>0</v>
      </c>
      <c r="O36" s="4">
        <v>0</v>
      </c>
      <c r="P36" s="4">
        <v>49.07</v>
      </c>
      <c r="Q36" s="4">
        <v>50.72</v>
      </c>
      <c r="R36" s="6">
        <v>1.03362543305481</v>
      </c>
      <c r="S36" s="19">
        <f t="shared" si="0"/>
        <v>1.0384357751676798</v>
      </c>
      <c r="T36" s="19">
        <f t="shared" si="4"/>
        <v>1.0342395927616281</v>
      </c>
      <c r="U36" s="19">
        <f t="shared" si="6"/>
        <v>1.0347001902359785</v>
      </c>
      <c r="V36" s="21">
        <f t="shared" si="1"/>
        <v>50.956043487478048</v>
      </c>
      <c r="W36" s="21">
        <f t="shared" si="5"/>
        <v>50.754936198893418</v>
      </c>
      <c r="X36" s="21">
        <f t="shared" si="8"/>
        <v>50.776832452526527</v>
      </c>
      <c r="Y36" s="22">
        <f t="shared" si="2"/>
        <v>-4.6430585501479778E-3</v>
      </c>
      <c r="Z36" s="22">
        <f t="shared" si="2"/>
        <v>-6.8856806581853668E-4</v>
      </c>
      <c r="AA36" s="22">
        <f t="shared" si="2"/>
        <v>-1.1198863470500736E-3</v>
      </c>
      <c r="AC36" s="9">
        <f t="shared" si="3"/>
        <v>1.8357985777904201E-3</v>
      </c>
      <c r="AD36" s="9">
        <f t="shared" si="3"/>
        <v>1.1836655554412739E-3</v>
      </c>
      <c r="AE36" s="9"/>
      <c r="AF36" s="9"/>
      <c r="AH36">
        <f t="shared" si="9"/>
        <v>1</v>
      </c>
      <c r="AI36">
        <f t="shared" si="10"/>
        <v>0</v>
      </c>
      <c r="AJ36">
        <f t="shared" si="11"/>
        <v>1</v>
      </c>
      <c r="AK36">
        <f t="shared" si="7"/>
        <v>1</v>
      </c>
      <c r="AL36" s="9">
        <f t="shared" si="12"/>
        <v>-1.8357985777904201E-3</v>
      </c>
      <c r="AM36" s="9">
        <f t="shared" si="13"/>
        <v>1.1836655554412739E-3</v>
      </c>
      <c r="AN36" s="9">
        <f t="shared" si="14"/>
        <v>-6.5213302234914624E-4</v>
      </c>
      <c r="AO36" s="16">
        <f t="shared" si="15"/>
        <v>1.1875978687159339E-3</v>
      </c>
      <c r="AQ36" s="9"/>
      <c r="AS36">
        <f t="shared" si="16"/>
        <v>0</v>
      </c>
      <c r="AT36">
        <f t="shared" si="17"/>
        <v>1</v>
      </c>
      <c r="AU36">
        <f t="shared" si="18"/>
        <v>0</v>
      </c>
      <c r="AV36">
        <f t="shared" si="19"/>
        <v>0</v>
      </c>
      <c r="AW36" s="9">
        <f t="shared" si="20"/>
        <v>0</v>
      </c>
      <c r="AX36" s="9">
        <f t="shared" si="21"/>
        <v>0</v>
      </c>
      <c r="AY36" s="9">
        <f t="shared" si="22"/>
        <v>0</v>
      </c>
      <c r="AZ36" s="16">
        <f t="shared" si="23"/>
        <v>0</v>
      </c>
      <c r="BB36" s="16">
        <f t="shared" si="24"/>
        <v>-6.5213302234914624E-4</v>
      </c>
      <c r="BC36" s="16">
        <f t="shared" si="25"/>
        <v>1.1875978687159339E-3</v>
      </c>
    </row>
    <row r="37" spans="1:55" x14ac:dyDescent="0.3">
      <c r="A37" s="1">
        <v>46077</v>
      </c>
      <c r="B37" s="8">
        <v>49.09</v>
      </c>
      <c r="C37" s="8">
        <v>50.72</v>
      </c>
      <c r="D37" s="6">
        <v>1.03320431859849</v>
      </c>
      <c r="E37" s="6">
        <v>1.0395631876754901</v>
      </c>
      <c r="F37" s="6">
        <v>1.0341010993589701</v>
      </c>
      <c r="G37" s="6">
        <v>1.03460891224462</v>
      </c>
      <c r="H37" s="8">
        <v>51.032156882989803</v>
      </c>
      <c r="I37" s="8">
        <v>50.770821608668598</v>
      </c>
      <c r="J37" s="8">
        <v>50.793432338684397</v>
      </c>
      <c r="K37" s="13">
        <v>-6.1356510140992797E-3</v>
      </c>
      <c r="L37" s="13">
        <v>-1.0015016552428601E-3</v>
      </c>
      <c r="M37" s="13">
        <v>-1.4467514259164599E-3</v>
      </c>
      <c r="N37" s="4">
        <v>0</v>
      </c>
      <c r="O37" s="4">
        <v>0</v>
      </c>
      <c r="P37" s="4">
        <v>49.09</v>
      </c>
      <c r="Q37" s="4">
        <v>50.72</v>
      </c>
      <c r="R37" s="6">
        <v>1.03320431859849</v>
      </c>
      <c r="S37" s="19">
        <f t="shared" si="0"/>
        <v>1.0384357751676798</v>
      </c>
      <c r="T37" s="19">
        <f t="shared" si="4"/>
        <v>1.0341010993589701</v>
      </c>
      <c r="U37" s="19">
        <f t="shared" si="6"/>
        <v>1.0346089122446176</v>
      </c>
      <c r="V37" s="21">
        <f t="shared" si="1"/>
        <v>50.976812202981407</v>
      </c>
      <c r="W37" s="21">
        <f t="shared" si="5"/>
        <v>50.770821608668328</v>
      </c>
      <c r="X37" s="21">
        <f t="shared" si="8"/>
        <v>50.793432338684184</v>
      </c>
      <c r="Y37" s="22">
        <f t="shared" si="2"/>
        <v>-5.0505565182971833E-3</v>
      </c>
      <c r="Z37" s="22">
        <f t="shared" si="2"/>
        <v>-1.0015016552364215E-3</v>
      </c>
      <c r="AA37" s="22">
        <f t="shared" si="2"/>
        <v>-1.4467514259110155E-3</v>
      </c>
      <c r="AC37" s="9">
        <f t="shared" si="3"/>
        <v>4.0749796814923151E-4</v>
      </c>
      <c r="AD37" s="9">
        <f t="shared" si="3"/>
        <v>0</v>
      </c>
      <c r="AE37" s="9"/>
      <c r="AF37" s="9"/>
      <c r="AH37">
        <f t="shared" si="9"/>
        <v>1</v>
      </c>
      <c r="AI37">
        <f t="shared" si="10"/>
        <v>0</v>
      </c>
      <c r="AJ37">
        <f t="shared" si="11"/>
        <v>1</v>
      </c>
      <c r="AK37">
        <f t="shared" si="7"/>
        <v>1</v>
      </c>
      <c r="AL37" s="9">
        <f t="shared" si="12"/>
        <v>-4.0749796814923151E-4</v>
      </c>
      <c r="AM37" s="9">
        <f t="shared" si="13"/>
        <v>0</v>
      </c>
      <c r="AN37" s="9">
        <f t="shared" si="14"/>
        <v>-4.0749796814923151E-4</v>
      </c>
      <c r="AO37" s="16">
        <f t="shared" si="15"/>
        <v>7.800999005667024E-4</v>
      </c>
      <c r="AQ37" s="9"/>
      <c r="AS37">
        <f t="shared" si="16"/>
        <v>0</v>
      </c>
      <c r="AT37">
        <f t="shared" si="17"/>
        <v>1</v>
      </c>
      <c r="AU37">
        <f t="shared" si="18"/>
        <v>0</v>
      </c>
      <c r="AV37">
        <f t="shared" si="19"/>
        <v>0</v>
      </c>
      <c r="AW37" s="9">
        <f t="shared" si="20"/>
        <v>0</v>
      </c>
      <c r="AX37" s="9">
        <f t="shared" si="21"/>
        <v>0</v>
      </c>
      <c r="AY37" s="9">
        <f t="shared" si="22"/>
        <v>0</v>
      </c>
      <c r="AZ37" s="16">
        <f t="shared" si="23"/>
        <v>0</v>
      </c>
      <c r="BB37" s="16">
        <f t="shared" si="24"/>
        <v>-4.0749796814923151E-4</v>
      </c>
      <c r="BC37" s="16">
        <f t="shared" si="25"/>
        <v>7.800999005667024E-4</v>
      </c>
    </row>
    <row r="38" spans="1:55" x14ac:dyDescent="0.3">
      <c r="A38" s="1">
        <v>46078</v>
      </c>
      <c r="B38" s="8">
        <v>49.03</v>
      </c>
      <c r="C38" s="8">
        <v>50.69</v>
      </c>
      <c r="D38" s="6">
        <v>1.0338568223536599</v>
      </c>
      <c r="E38" s="6">
        <v>1.0395631876754901</v>
      </c>
      <c r="F38" s="6">
        <v>1.0341383838950799</v>
      </c>
      <c r="G38" s="6">
        <v>1.03454989845711</v>
      </c>
      <c r="H38" s="8">
        <v>50.969783091729298</v>
      </c>
      <c r="I38" s="8">
        <v>50.701976901570603</v>
      </c>
      <c r="J38" s="8">
        <v>50.726874967353801</v>
      </c>
      <c r="K38" s="13">
        <v>-5.5043162519924603E-3</v>
      </c>
      <c r="L38" s="13">
        <v>-2.3624949413791801E-4</v>
      </c>
      <c r="M38" s="13">
        <v>-7.2719592258660795E-4</v>
      </c>
      <c r="N38" s="4">
        <v>0</v>
      </c>
      <c r="O38" s="4">
        <v>0</v>
      </c>
      <c r="P38" s="4">
        <v>49.03</v>
      </c>
      <c r="Q38" s="4">
        <v>50.69</v>
      </c>
      <c r="R38" s="6">
        <v>1.0338568223536599</v>
      </c>
      <c r="S38" s="19">
        <f t="shared" si="0"/>
        <v>1.0384357751676798</v>
      </c>
      <c r="T38" s="19">
        <f t="shared" si="4"/>
        <v>1.0341383838950757</v>
      </c>
      <c r="U38" s="19">
        <f t="shared" si="6"/>
        <v>1.0345498984571069</v>
      </c>
      <c r="V38" s="21">
        <f t="shared" si="1"/>
        <v>50.914506056471346</v>
      </c>
      <c r="W38" s="21">
        <f t="shared" si="5"/>
        <v>50.701976901570305</v>
      </c>
      <c r="X38" s="21">
        <f t="shared" si="8"/>
        <v>50.726874967353602</v>
      </c>
      <c r="Y38" s="22">
        <f t="shared" si="2"/>
        <v>-4.4192217561905087E-3</v>
      </c>
      <c r="Z38" s="22">
        <f t="shared" si="2"/>
        <v>-2.3624949413192175E-4</v>
      </c>
      <c r="AA38" s="22">
        <f t="shared" si="2"/>
        <v>-7.2719592258138643E-4</v>
      </c>
      <c r="AC38" s="9">
        <f t="shared" si="3"/>
        <v>-1.2229924068192346E-3</v>
      </c>
      <c r="AD38" s="9">
        <f t="shared" si="3"/>
        <v>-5.9165764471254408E-4</v>
      </c>
      <c r="AE38" s="9"/>
      <c r="AF38" s="9"/>
      <c r="AH38">
        <f t="shared" si="9"/>
        <v>0</v>
      </c>
      <c r="AI38">
        <f t="shared" si="10"/>
        <v>0</v>
      </c>
      <c r="AJ38">
        <f t="shared" si="11"/>
        <v>1</v>
      </c>
      <c r="AK38">
        <f t="shared" si="7"/>
        <v>1</v>
      </c>
      <c r="AL38" s="9">
        <f t="shared" si="12"/>
        <v>1.2229924068192346E-3</v>
      </c>
      <c r="AM38" s="9">
        <f t="shared" si="13"/>
        <v>-5.9165764471254408E-4</v>
      </c>
      <c r="AN38" s="9">
        <f t="shared" si="14"/>
        <v>6.3133476210669047E-4</v>
      </c>
      <c r="AO38" s="16">
        <f t="shared" si="15"/>
        <v>1.4114346626733928E-3</v>
      </c>
      <c r="AQ38" s="9"/>
      <c r="AS38">
        <f t="shared" si="16"/>
        <v>0</v>
      </c>
      <c r="AT38">
        <f t="shared" si="17"/>
        <v>1</v>
      </c>
      <c r="AU38">
        <f t="shared" si="18"/>
        <v>0</v>
      </c>
      <c r="AV38">
        <f t="shared" si="19"/>
        <v>0</v>
      </c>
      <c r="AW38" s="9">
        <f t="shared" si="20"/>
        <v>0</v>
      </c>
      <c r="AX38" s="9">
        <f t="shared" si="21"/>
        <v>0</v>
      </c>
      <c r="AY38" s="9">
        <f t="shared" si="22"/>
        <v>0</v>
      </c>
      <c r="AZ38" s="16">
        <f t="shared" si="23"/>
        <v>0</v>
      </c>
      <c r="BB38" s="16">
        <f t="shared" si="24"/>
        <v>6.3133476210669047E-4</v>
      </c>
      <c r="BC38" s="16">
        <f t="shared" si="25"/>
        <v>1.4114346626733928E-3</v>
      </c>
    </row>
    <row r="39" spans="1:55" x14ac:dyDescent="0.3">
      <c r="A39" s="1">
        <v>46079</v>
      </c>
      <c r="B39" s="8">
        <v>49.11</v>
      </c>
      <c r="C39" s="8">
        <v>50.74</v>
      </c>
      <c r="D39" s="6">
        <v>1.0331907961718501</v>
      </c>
      <c r="E39" s="6">
        <v>1.0395631876754901</v>
      </c>
      <c r="F39" s="6">
        <v>1.0339865249211799</v>
      </c>
      <c r="G39" s="6">
        <v>1.0343953793087799</v>
      </c>
      <c r="H39" s="8">
        <v>51.052948146743297</v>
      </c>
      <c r="I39" s="8">
        <v>50.786536033087401</v>
      </c>
      <c r="J39" s="8">
        <v>50.806745513228698</v>
      </c>
      <c r="K39" s="13">
        <v>-6.1487389531258204E-3</v>
      </c>
      <c r="L39" s="13">
        <v>-9.1672656558145404E-4</v>
      </c>
      <c r="M39" s="13">
        <v>-1.3145772915404499E-3</v>
      </c>
      <c r="N39" s="4">
        <v>0</v>
      </c>
      <c r="O39" s="4">
        <v>0</v>
      </c>
      <c r="P39" s="4">
        <v>49.11</v>
      </c>
      <c r="Q39" s="4">
        <v>50.74</v>
      </c>
      <c r="R39" s="6">
        <v>1.0331907961718501</v>
      </c>
      <c r="S39" s="19">
        <f t="shared" si="0"/>
        <v>1.0384357751676798</v>
      </c>
      <c r="T39" s="19">
        <f t="shared" si="4"/>
        <v>1.033986524921175</v>
      </c>
      <c r="U39" s="19">
        <f t="shared" si="6"/>
        <v>1.0343953793087834</v>
      </c>
      <c r="V39" s="21">
        <f t="shared" si="1"/>
        <v>50.997580918484758</v>
      </c>
      <c r="W39" s="21">
        <f t="shared" si="5"/>
        <v>50.786536033087167</v>
      </c>
      <c r="X39" s="21">
        <f t="shared" si="8"/>
        <v>50.80674551322852</v>
      </c>
      <c r="Y39" s="22">
        <f t="shared" si="2"/>
        <v>-5.0636444573238419E-3</v>
      </c>
      <c r="Z39" s="22">
        <f t="shared" si="2"/>
        <v>-9.1672656557545418E-4</v>
      </c>
      <c r="AA39" s="22">
        <f t="shared" si="2"/>
        <v>-1.3145772915353364E-3</v>
      </c>
      <c r="AC39" s="9">
        <f t="shared" si="3"/>
        <v>1.6303243880113607E-3</v>
      </c>
      <c r="AD39" s="9">
        <f t="shared" si="3"/>
        <v>9.8590168687799347E-4</v>
      </c>
      <c r="AE39" s="9"/>
      <c r="AF39" s="9"/>
      <c r="AH39">
        <f t="shared" si="9"/>
        <v>1</v>
      </c>
      <c r="AI39">
        <f t="shared" si="10"/>
        <v>0</v>
      </c>
      <c r="AJ39">
        <f t="shared" si="11"/>
        <v>1</v>
      </c>
      <c r="AK39">
        <f t="shared" si="7"/>
        <v>1</v>
      </c>
      <c r="AL39" s="9">
        <f t="shared" si="12"/>
        <v>-1.6303243880113607E-3</v>
      </c>
      <c r="AM39" s="9">
        <f t="shared" si="13"/>
        <v>9.8590168687799347E-4</v>
      </c>
      <c r="AN39" s="9">
        <f t="shared" si="14"/>
        <v>-6.4442270113336726E-4</v>
      </c>
      <c r="AO39" s="16">
        <f t="shared" si="15"/>
        <v>7.670119615400255E-4</v>
      </c>
      <c r="AQ39" s="9"/>
      <c r="AS39">
        <f t="shared" si="16"/>
        <v>0</v>
      </c>
      <c r="AT39">
        <f t="shared" si="17"/>
        <v>1</v>
      </c>
      <c r="AU39">
        <f t="shared" si="18"/>
        <v>0</v>
      </c>
      <c r="AV39">
        <f t="shared" si="19"/>
        <v>0</v>
      </c>
      <c r="AW39" s="9">
        <f t="shared" si="20"/>
        <v>0</v>
      </c>
      <c r="AX39" s="9">
        <f t="shared" si="21"/>
        <v>0</v>
      </c>
      <c r="AY39" s="9">
        <f t="shared" si="22"/>
        <v>0</v>
      </c>
      <c r="AZ39" s="16">
        <f t="shared" si="23"/>
        <v>0</v>
      </c>
      <c r="BB39" s="16">
        <f t="shared" si="24"/>
        <v>-6.4442270113336726E-4</v>
      </c>
      <c r="BC39" s="16">
        <f t="shared" si="25"/>
        <v>7.670119615400255E-4</v>
      </c>
    </row>
    <row r="40" spans="1:55" x14ac:dyDescent="0.3">
      <c r="A40" s="1">
        <v>46080</v>
      </c>
      <c r="B40" s="8">
        <v>49.2</v>
      </c>
      <c r="C40" s="8">
        <v>50.86</v>
      </c>
      <c r="D40" s="6">
        <v>1.0337398373983699</v>
      </c>
      <c r="E40" s="6">
        <v>1.0395631876754901</v>
      </c>
      <c r="F40" s="6">
        <v>1.0339383775134701</v>
      </c>
      <c r="G40" s="6">
        <v>1.0343872818012601</v>
      </c>
      <c r="H40" s="8">
        <v>51.146508833634101</v>
      </c>
      <c r="I40" s="8">
        <v>50.872137026122097</v>
      </c>
      <c r="J40" s="8">
        <v>50.892252661992401</v>
      </c>
      <c r="K40" s="13">
        <v>-5.6174765773972998E-3</v>
      </c>
      <c r="L40" s="13">
        <v>-2.3860751448847301E-4</v>
      </c>
      <c r="M40" s="13">
        <v>-6.3394494428988001E-4</v>
      </c>
      <c r="N40" s="4">
        <v>0</v>
      </c>
      <c r="O40" s="4">
        <v>0</v>
      </c>
      <c r="P40" s="4">
        <v>49.2</v>
      </c>
      <c r="Q40" s="4">
        <v>50.86</v>
      </c>
      <c r="R40" s="6">
        <v>1.0337398373983699</v>
      </c>
      <c r="S40" s="19">
        <f t="shared" si="0"/>
        <v>1.0384357751676798</v>
      </c>
      <c r="T40" s="19">
        <f t="shared" si="4"/>
        <v>1.033938377513471</v>
      </c>
      <c r="U40" s="19">
        <f t="shared" si="6"/>
        <v>1.0343872818012625</v>
      </c>
      <c r="V40" s="21">
        <f t="shared" si="1"/>
        <v>51.091040138249852</v>
      </c>
      <c r="W40" s="21">
        <f t="shared" si="5"/>
        <v>50.872137026121813</v>
      </c>
      <c r="X40" s="21">
        <f t="shared" si="8"/>
        <v>50.892252661992146</v>
      </c>
      <c r="Y40" s="22">
        <f t="shared" si="2"/>
        <v>-4.5323820815954706E-3</v>
      </c>
      <c r="Z40" s="22">
        <f t="shared" si="2"/>
        <v>-2.3860751448247648E-4</v>
      </c>
      <c r="AA40" s="22">
        <f t="shared" si="2"/>
        <v>-6.3394494428432543E-4</v>
      </c>
      <c r="AC40" s="9">
        <f t="shared" si="3"/>
        <v>1.8309434471093363E-3</v>
      </c>
      <c r="AD40" s="9">
        <f t="shared" si="3"/>
        <v>2.3622058228376834E-3</v>
      </c>
      <c r="AE40" s="9"/>
      <c r="AF40" s="9"/>
      <c r="AH40">
        <f t="shared" si="9"/>
        <v>0</v>
      </c>
      <c r="AI40">
        <f t="shared" si="10"/>
        <v>0</v>
      </c>
      <c r="AJ40">
        <f t="shared" si="11"/>
        <v>0</v>
      </c>
      <c r="AK40" s="23">
        <v>0</v>
      </c>
      <c r="AL40" s="9">
        <f t="shared" si="12"/>
        <v>0</v>
      </c>
      <c r="AM40" s="9">
        <f t="shared" si="13"/>
        <v>0</v>
      </c>
      <c r="AN40" s="9">
        <f t="shared" si="14"/>
        <v>0</v>
      </c>
      <c r="AO40" s="16">
        <f t="shared" si="15"/>
        <v>7.670119615400255E-4</v>
      </c>
      <c r="AQ40" s="9"/>
      <c r="AS40">
        <f t="shared" si="16"/>
        <v>0</v>
      </c>
      <c r="AT40">
        <f t="shared" si="17"/>
        <v>1</v>
      </c>
      <c r="AU40">
        <f t="shared" si="18"/>
        <v>0</v>
      </c>
      <c r="AV40">
        <f t="shared" si="19"/>
        <v>0</v>
      </c>
      <c r="AW40" s="9">
        <f t="shared" si="20"/>
        <v>0</v>
      </c>
      <c r="AX40" s="9">
        <f t="shared" si="21"/>
        <v>0</v>
      </c>
      <c r="AY40" s="9">
        <f t="shared" si="22"/>
        <v>0</v>
      </c>
      <c r="AZ40" s="16">
        <f t="shared" si="23"/>
        <v>0</v>
      </c>
      <c r="BB40" s="16">
        <f t="shared" si="24"/>
        <v>0</v>
      </c>
      <c r="BC40" s="16">
        <f t="shared" si="25"/>
        <v>7.670119615400255E-4</v>
      </c>
    </row>
    <row r="41" spans="1:55" x14ac:dyDescent="0.3">
      <c r="A41" s="1">
        <v>46083</v>
      </c>
      <c r="B41" s="8">
        <v>48.93</v>
      </c>
      <c r="C41" s="8">
        <v>50.66</v>
      </c>
      <c r="D41" s="6">
        <v>1.03535663192315</v>
      </c>
      <c r="E41" s="6">
        <v>1.0395631876754901</v>
      </c>
      <c r="F41" s="6">
        <v>1.03397066025096</v>
      </c>
      <c r="G41" s="6">
        <v>1.0343741786640499</v>
      </c>
      <c r="H41" s="8">
        <v>50.865826772961697</v>
      </c>
      <c r="I41" s="8">
        <v>50.590604811734401</v>
      </c>
      <c r="J41" s="8">
        <v>50.612569698535999</v>
      </c>
      <c r="K41" s="13">
        <v>-4.0546738006114998E-3</v>
      </c>
      <c r="L41" s="13">
        <v>1.37076117739004E-3</v>
      </c>
      <c r="M41" s="13">
        <v>9.3668611496712398E-4</v>
      </c>
      <c r="N41" s="20">
        <v>0.1</v>
      </c>
      <c r="O41" s="4">
        <v>0</v>
      </c>
      <c r="P41" s="20">
        <f>B41+N41</f>
        <v>49.03</v>
      </c>
      <c r="Q41" s="20">
        <f>C41+O41</f>
        <v>50.66</v>
      </c>
      <c r="R41" s="19">
        <f>Q41/P41</f>
        <v>1.033244952070161</v>
      </c>
      <c r="S41" s="19">
        <f t="shared" si="0"/>
        <v>1.0384357751676798</v>
      </c>
      <c r="T41" s="19">
        <f t="shared" si="4"/>
        <v>1.0337594922656632</v>
      </c>
      <c r="U41" s="19">
        <f t="shared" si="6"/>
        <v>1.0342685946713961</v>
      </c>
      <c r="V41" s="21">
        <f t="shared" si="1"/>
        <v>50.914506056471346</v>
      </c>
      <c r="W41" s="21">
        <f t="shared" si="5"/>
        <v>50.693998649485479</v>
      </c>
      <c r="X41" s="21">
        <f t="shared" si="8"/>
        <v>50.716008426715902</v>
      </c>
      <c r="Y41" s="22">
        <f t="shared" si="2"/>
        <v>-5.0112296669193156E-3</v>
      </c>
      <c r="Z41" s="22">
        <f t="shared" si="2"/>
        <v>-6.7088918471335467E-4</v>
      </c>
      <c r="AA41" s="22">
        <f t="shared" si="2"/>
        <v>-1.1049642471373763E-3</v>
      </c>
      <c r="AC41" s="9">
        <f t="shared" si="3"/>
        <v>-5.5029181972303526E-3</v>
      </c>
      <c r="AD41" s="9">
        <f t="shared" si="3"/>
        <v>-3.9401154204444537E-3</v>
      </c>
      <c r="AE41" s="9"/>
      <c r="AF41" s="9"/>
      <c r="AH41">
        <f t="shared" si="9"/>
        <v>1</v>
      </c>
      <c r="AI41">
        <f t="shared" si="10"/>
        <v>0</v>
      </c>
      <c r="AJ41">
        <f t="shared" si="11"/>
        <v>0</v>
      </c>
      <c r="AK41">
        <f t="shared" si="7"/>
        <v>0</v>
      </c>
      <c r="AL41" s="9">
        <f t="shared" si="12"/>
        <v>0</v>
      </c>
      <c r="AM41" s="9">
        <f t="shared" si="13"/>
        <v>0</v>
      </c>
      <c r="AN41" s="9">
        <f t="shared" si="14"/>
        <v>0</v>
      </c>
      <c r="AO41" s="16">
        <f t="shared" si="15"/>
        <v>7.670119615400255E-4</v>
      </c>
      <c r="AQ41" s="9"/>
      <c r="AS41">
        <f t="shared" si="16"/>
        <v>0</v>
      </c>
      <c r="AT41">
        <f t="shared" si="17"/>
        <v>1</v>
      </c>
      <c r="AU41">
        <f t="shared" si="18"/>
        <v>0</v>
      </c>
      <c r="AV41">
        <f t="shared" si="19"/>
        <v>0</v>
      </c>
      <c r="AW41" s="9">
        <f t="shared" si="20"/>
        <v>0</v>
      </c>
      <c r="AX41" s="9">
        <f t="shared" si="21"/>
        <v>0</v>
      </c>
      <c r="AY41" s="9">
        <f t="shared" si="22"/>
        <v>0</v>
      </c>
      <c r="AZ41" s="16">
        <f t="shared" si="23"/>
        <v>0</v>
      </c>
      <c r="BB41" s="16">
        <f t="shared" si="24"/>
        <v>0</v>
      </c>
      <c r="BC41" s="16">
        <f t="shared" si="25"/>
        <v>7.670119615400255E-4</v>
      </c>
    </row>
    <row r="42" spans="1:55" x14ac:dyDescent="0.3">
      <c r="A42" s="1">
        <v>46084</v>
      </c>
      <c r="B42" s="8">
        <v>48.83</v>
      </c>
      <c r="C42" s="8">
        <v>50.6</v>
      </c>
      <c r="D42" s="6">
        <v>1.03624820806881</v>
      </c>
      <c r="E42" s="6">
        <v>1.0395631876754901</v>
      </c>
      <c r="F42" s="6">
        <v>1.03415989823576</v>
      </c>
      <c r="G42" s="6">
        <v>1.03437985770263</v>
      </c>
      <c r="H42" s="8">
        <v>50.761870454194202</v>
      </c>
      <c r="I42" s="8">
        <v>50.488787340054699</v>
      </c>
      <c r="J42" s="8">
        <v>50.508491144165603</v>
      </c>
      <c r="K42" s="13">
        <v>-3.1939148532574E-3</v>
      </c>
      <c r="L42" s="13">
        <v>2.2002975352550099E-3</v>
      </c>
      <c r="M42" s="13">
        <v>1.8101126776719999E-3</v>
      </c>
      <c r="N42" s="20">
        <v>0.1</v>
      </c>
      <c r="O42" s="4">
        <v>0</v>
      </c>
      <c r="P42" s="20">
        <f t="shared" ref="P42:P105" si="26">B42+N42</f>
        <v>48.93</v>
      </c>
      <c r="Q42" s="20">
        <f t="shared" ref="Q42:Q105" si="27">C42+O42</f>
        <v>50.6</v>
      </c>
      <c r="R42" s="19">
        <f t="shared" ref="R42:R105" si="28">Q42/P42</f>
        <v>1.0341303903535664</v>
      </c>
      <c r="S42" s="19">
        <f t="shared" si="0"/>
        <v>1.0384357751676798</v>
      </c>
      <c r="T42" s="19">
        <f t="shared" si="4"/>
        <v>1.0337369484789347</v>
      </c>
      <c r="U42" s="19">
        <f t="shared" si="6"/>
        <v>1.0341683828242181</v>
      </c>
      <c r="V42" s="21">
        <f t="shared" si="1"/>
        <v>50.810662478954576</v>
      </c>
      <c r="W42" s="21">
        <f t="shared" si="5"/>
        <v>50.5818519565589</v>
      </c>
      <c r="X42" s="21">
        <f t="shared" si="8"/>
        <v>50.606762337271412</v>
      </c>
      <c r="Y42" s="22">
        <f t="shared" si="2"/>
        <v>-4.1546475849188252E-3</v>
      </c>
      <c r="Z42" s="22">
        <f t="shared" si="2"/>
        <v>3.5872131780119009E-4</v>
      </c>
      <c r="AA42" s="22">
        <f t="shared" si="2"/>
        <v>-1.3363409964524541E-4</v>
      </c>
      <c r="AC42" s="9">
        <f t="shared" si="3"/>
        <v>-2.0458272274633503E-3</v>
      </c>
      <c r="AD42" s="9">
        <f t="shared" si="3"/>
        <v>-1.1850682801092549E-3</v>
      </c>
      <c r="AE42" s="9"/>
      <c r="AF42" s="9"/>
      <c r="AH42">
        <f t="shared" si="9"/>
        <v>0</v>
      </c>
      <c r="AI42">
        <f t="shared" si="10"/>
        <v>0</v>
      </c>
      <c r="AJ42">
        <f t="shared" si="11"/>
        <v>1</v>
      </c>
      <c r="AK42">
        <f t="shared" si="7"/>
        <v>1</v>
      </c>
      <c r="AL42" s="9">
        <f t="shared" si="12"/>
        <v>2.0458272274633503E-3</v>
      </c>
      <c r="AM42" s="9">
        <f t="shared" si="13"/>
        <v>-1.1850682801092549E-3</v>
      </c>
      <c r="AN42" s="9">
        <f t="shared" si="14"/>
        <v>8.6075894735409544E-4</v>
      </c>
      <c r="AO42" s="16">
        <f t="shared" si="15"/>
        <v>1.6277709088941209E-3</v>
      </c>
      <c r="AQ42" s="9"/>
      <c r="AS42">
        <f t="shared" si="16"/>
        <v>0</v>
      </c>
      <c r="AT42">
        <f t="shared" si="17"/>
        <v>1</v>
      </c>
      <c r="AU42">
        <f t="shared" si="18"/>
        <v>0</v>
      </c>
      <c r="AV42">
        <f t="shared" si="19"/>
        <v>0</v>
      </c>
      <c r="AW42" s="9">
        <f t="shared" si="20"/>
        <v>0</v>
      </c>
      <c r="AX42" s="9">
        <f t="shared" si="21"/>
        <v>0</v>
      </c>
      <c r="AY42" s="9">
        <f t="shared" si="22"/>
        <v>0</v>
      </c>
      <c r="AZ42" s="16">
        <f t="shared" si="23"/>
        <v>0</v>
      </c>
      <c r="BB42" s="16">
        <f t="shared" si="24"/>
        <v>8.6075894735409544E-4</v>
      </c>
      <c r="BC42" s="16">
        <f t="shared" si="25"/>
        <v>1.6277709088941209E-3</v>
      </c>
    </row>
    <row r="43" spans="1:55" x14ac:dyDescent="0.3">
      <c r="A43" s="1">
        <v>46085</v>
      </c>
      <c r="B43" s="8">
        <v>48.77</v>
      </c>
      <c r="C43" s="8">
        <v>50.6</v>
      </c>
      <c r="D43" s="6">
        <v>1.0375230674595</v>
      </c>
      <c r="E43" s="6">
        <v>1.0395631876754901</v>
      </c>
      <c r="F43" s="6">
        <v>1.0345175219551199</v>
      </c>
      <c r="G43" s="6">
        <v>1.0344485332817599</v>
      </c>
      <c r="H43" s="8">
        <v>50.699496662933598</v>
      </c>
      <c r="I43" s="8">
        <v>50.4359782369581</v>
      </c>
      <c r="J43" s="8">
        <v>50.446705660157498</v>
      </c>
      <c r="K43" s="13">
        <v>-1.9644065016498199E-3</v>
      </c>
      <c r="L43" s="13">
        <v>3.2468019807050099E-3</v>
      </c>
      <c r="M43" s="13">
        <v>3.0341307307868298E-3</v>
      </c>
      <c r="N43" s="20">
        <v>0.1</v>
      </c>
      <c r="O43" s="4">
        <v>0</v>
      </c>
      <c r="P43" s="20">
        <f t="shared" si="26"/>
        <v>48.870000000000005</v>
      </c>
      <c r="Q43" s="20">
        <f t="shared" si="27"/>
        <v>50.6</v>
      </c>
      <c r="R43" s="19">
        <f t="shared" si="28"/>
        <v>1.0354000409249027</v>
      </c>
      <c r="S43" s="19">
        <f t="shared" si="0"/>
        <v>1.0384357751676798</v>
      </c>
      <c r="T43" s="19">
        <f t="shared" si="4"/>
        <v>1.0338822695448411</v>
      </c>
      <c r="U43" s="19">
        <f t="shared" si="6"/>
        <v>1.0341309070766189</v>
      </c>
      <c r="V43" s="21">
        <f t="shared" si="1"/>
        <v>50.748356332444516</v>
      </c>
      <c r="W43" s="21">
        <f t="shared" si="5"/>
        <v>50.518724672165547</v>
      </c>
      <c r="X43" s="21">
        <f t="shared" si="8"/>
        <v>50.539808868619545</v>
      </c>
      <c r="Y43" s="22">
        <f t="shared" si="2"/>
        <v>-2.9276535659500712E-3</v>
      </c>
      <c r="Z43" s="22">
        <f t="shared" si="2"/>
        <v>1.6075231486576153E-3</v>
      </c>
      <c r="AA43" s="22">
        <f t="shared" si="2"/>
        <v>1.1902561248610132E-3</v>
      </c>
      <c r="AC43" s="9">
        <f t="shared" si="3"/>
        <v>-1.2295083516075315E-3</v>
      </c>
      <c r="AD43" s="9">
        <f t="shared" si="3"/>
        <v>0</v>
      </c>
      <c r="AE43" s="9"/>
      <c r="AF43" s="9"/>
      <c r="AH43">
        <f t="shared" si="9"/>
        <v>0</v>
      </c>
      <c r="AI43">
        <f t="shared" si="10"/>
        <v>1</v>
      </c>
      <c r="AJ43">
        <f t="shared" si="11"/>
        <v>1</v>
      </c>
      <c r="AK43">
        <f t="shared" si="7"/>
        <v>1</v>
      </c>
      <c r="AL43" s="9">
        <f t="shared" si="12"/>
        <v>1.2295083516075315E-3</v>
      </c>
      <c r="AM43" s="9">
        <f t="shared" si="13"/>
        <v>0</v>
      </c>
      <c r="AN43" s="9">
        <f t="shared" si="14"/>
        <v>1.2295083516075315E-3</v>
      </c>
      <c r="AO43" s="16">
        <f t="shared" si="15"/>
        <v>2.8572792605016523E-3</v>
      </c>
      <c r="AQ43" s="9"/>
      <c r="AS43">
        <f t="shared" si="16"/>
        <v>1</v>
      </c>
      <c r="AT43">
        <f t="shared" si="17"/>
        <v>0</v>
      </c>
      <c r="AU43">
        <f t="shared" si="18"/>
        <v>0</v>
      </c>
      <c r="AV43">
        <f t="shared" si="19"/>
        <v>0</v>
      </c>
      <c r="AW43" s="9">
        <f t="shared" si="20"/>
        <v>0</v>
      </c>
      <c r="AX43" s="9">
        <f t="shared" si="21"/>
        <v>0</v>
      </c>
      <c r="AY43" s="9">
        <f t="shared" si="22"/>
        <v>0</v>
      </c>
      <c r="AZ43" s="16">
        <f t="shared" si="23"/>
        <v>0</v>
      </c>
      <c r="BB43" s="16">
        <f t="shared" si="24"/>
        <v>1.2295083516075315E-3</v>
      </c>
      <c r="BC43" s="16">
        <f t="shared" si="25"/>
        <v>2.8572792605016523E-3</v>
      </c>
    </row>
    <row r="44" spans="1:55" x14ac:dyDescent="0.3">
      <c r="A44" s="1">
        <v>46086</v>
      </c>
      <c r="B44" s="8">
        <v>48.58</v>
      </c>
      <c r="C44" s="8">
        <v>50.41</v>
      </c>
      <c r="D44" s="6">
        <v>1.0376698229724099</v>
      </c>
      <c r="E44" s="6">
        <v>1.0395631876754901</v>
      </c>
      <c r="F44" s="6">
        <v>1.0348714652170099</v>
      </c>
      <c r="G44" s="6">
        <v>1.0346199782257599</v>
      </c>
      <c r="H44" s="8">
        <v>50.501979657275299</v>
      </c>
      <c r="I44" s="8">
        <v>50.256861216580099</v>
      </c>
      <c r="J44" s="8">
        <v>50.253509746828101</v>
      </c>
      <c r="K44" s="13">
        <v>-1.8229685525953999E-3</v>
      </c>
      <c r="L44" s="13">
        <v>3.0424888528274301E-3</v>
      </c>
      <c r="M44" s="13">
        <v>3.10917788642831E-3</v>
      </c>
      <c r="N44" s="20">
        <v>0.1</v>
      </c>
      <c r="O44" s="4">
        <v>0</v>
      </c>
      <c r="P44" s="20">
        <f t="shared" si="26"/>
        <v>48.68</v>
      </c>
      <c r="Q44" s="20">
        <f t="shared" si="27"/>
        <v>50.41</v>
      </c>
      <c r="R44" s="19">
        <f t="shared" si="28"/>
        <v>1.0355382087099425</v>
      </c>
      <c r="S44" s="19">
        <f t="shared" si="0"/>
        <v>1.0384357751676798</v>
      </c>
      <c r="T44" s="19">
        <f t="shared" si="4"/>
        <v>1.0340230513804793</v>
      </c>
      <c r="U44" s="19">
        <f t="shared" si="6"/>
        <v>1.0341957713074961</v>
      </c>
      <c r="V44" s="21">
        <f t="shared" si="1"/>
        <v>50.551053535162652</v>
      </c>
      <c r="W44" s="21">
        <f t="shared" si="5"/>
        <v>50.329388881442867</v>
      </c>
      <c r="X44" s="21">
        <f t="shared" si="8"/>
        <v>50.341492556489811</v>
      </c>
      <c r="Y44" s="22">
        <f t="shared" si="2"/>
        <v>-2.7942186020934565E-3</v>
      </c>
      <c r="Z44" s="22">
        <f t="shared" si="2"/>
        <v>1.600389612396996E-3</v>
      </c>
      <c r="AA44" s="22">
        <f t="shared" si="2"/>
        <v>1.3599293138005155E-3</v>
      </c>
      <c r="AC44" s="9">
        <f t="shared" si="3"/>
        <v>-3.9034461479348615E-3</v>
      </c>
      <c r="AD44" s="9">
        <f t="shared" si="3"/>
        <v>-3.7620081988804753E-3</v>
      </c>
      <c r="AE44" s="9"/>
      <c r="AF44" s="9"/>
      <c r="AH44">
        <f t="shared" si="9"/>
        <v>0</v>
      </c>
      <c r="AI44">
        <f t="shared" si="10"/>
        <v>1</v>
      </c>
      <c r="AJ44">
        <f t="shared" si="11"/>
        <v>0</v>
      </c>
      <c r="AK44">
        <f t="shared" si="7"/>
        <v>0</v>
      </c>
      <c r="AL44" s="9">
        <f t="shared" si="12"/>
        <v>0</v>
      </c>
      <c r="AM44" s="9">
        <f t="shared" si="13"/>
        <v>0</v>
      </c>
      <c r="AN44" s="9">
        <f t="shared" si="14"/>
        <v>0</v>
      </c>
      <c r="AO44" s="16">
        <f t="shared" si="15"/>
        <v>2.8572792605016523E-3</v>
      </c>
      <c r="AQ44" s="9"/>
      <c r="AS44">
        <f t="shared" si="16"/>
        <v>1</v>
      </c>
      <c r="AT44">
        <f t="shared" si="17"/>
        <v>0</v>
      </c>
      <c r="AU44">
        <f t="shared" si="18"/>
        <v>0</v>
      </c>
      <c r="AV44">
        <f t="shared" si="19"/>
        <v>1</v>
      </c>
      <c r="AW44" s="9">
        <f t="shared" si="20"/>
        <v>-3.9034461479348615E-3</v>
      </c>
      <c r="AX44" s="9">
        <f t="shared" si="21"/>
        <v>3.7620081988804753E-3</v>
      </c>
      <c r="AY44" s="9">
        <f t="shared" si="22"/>
        <v>-1.4143794905438619E-4</v>
      </c>
      <c r="AZ44" s="16">
        <f t="shared" si="23"/>
        <v>-1.4143794905438619E-4</v>
      </c>
      <c r="BB44" s="16">
        <f t="shared" si="24"/>
        <v>-1.4143794905438619E-4</v>
      </c>
      <c r="BC44" s="16">
        <f t="shared" si="25"/>
        <v>2.7158413114472661E-3</v>
      </c>
    </row>
    <row r="45" spans="1:55" x14ac:dyDescent="0.3">
      <c r="A45" s="1">
        <v>46087</v>
      </c>
      <c r="B45" s="8">
        <v>48.44</v>
      </c>
      <c r="C45" s="8">
        <v>50.34</v>
      </c>
      <c r="D45" s="6">
        <v>1.0392237819983401</v>
      </c>
      <c r="E45" s="6">
        <v>1.0395631876754901</v>
      </c>
      <c r="F45" s="6">
        <v>1.0353638719999401</v>
      </c>
      <c r="G45" s="6">
        <v>1.03485063580528</v>
      </c>
      <c r="H45" s="8">
        <v>50.356440811000702</v>
      </c>
      <c r="I45" s="8">
        <v>50.1291737751121</v>
      </c>
      <c r="J45" s="8">
        <v>50.116991745256101</v>
      </c>
      <c r="K45" s="13">
        <v>-3.2654205082998099E-4</v>
      </c>
      <c r="L45" s="13">
        <v>4.1968402130604498E-3</v>
      </c>
      <c r="M45" s="13">
        <v>4.4398825250082799E-3</v>
      </c>
      <c r="N45" s="20">
        <v>0.1</v>
      </c>
      <c r="O45" s="4">
        <v>0</v>
      </c>
      <c r="P45" s="20">
        <f t="shared" si="26"/>
        <v>48.54</v>
      </c>
      <c r="Q45" s="20">
        <f t="shared" si="27"/>
        <v>50.34</v>
      </c>
      <c r="R45" s="19">
        <f t="shared" si="28"/>
        <v>1.0370828182941905</v>
      </c>
      <c r="S45" s="19">
        <f t="shared" si="0"/>
        <v>1.0384357751676798</v>
      </c>
      <c r="T45" s="19">
        <f t="shared" si="4"/>
        <v>1.0343013617929944</v>
      </c>
      <c r="U45" s="19">
        <f t="shared" si="6"/>
        <v>1.0343193807018101</v>
      </c>
      <c r="V45" s="21">
        <f t="shared" si="1"/>
        <v>50.405672526639179</v>
      </c>
      <c r="W45" s="21">
        <f t="shared" si="5"/>
        <v>50.191478914008464</v>
      </c>
      <c r="X45" s="21">
        <f t="shared" si="8"/>
        <v>50.199862739265861</v>
      </c>
      <c r="Y45" s="22">
        <f t="shared" si="2"/>
        <v>-1.3037291685919733E-3</v>
      </c>
      <c r="Z45" s="22">
        <f t="shared" si="2"/>
        <v>2.9547201662526385E-3</v>
      </c>
      <c r="AA45" s="22">
        <f t="shared" si="2"/>
        <v>2.7876972907969612E-3</v>
      </c>
      <c r="AC45" s="9">
        <f t="shared" si="3"/>
        <v>-2.8860048891349867E-3</v>
      </c>
      <c r="AD45" s="9">
        <f t="shared" si="3"/>
        <v>-1.3895783873695312E-3</v>
      </c>
      <c r="AE45" s="9"/>
      <c r="AF45" s="9"/>
      <c r="AH45">
        <f t="shared" si="9"/>
        <v>0</v>
      </c>
      <c r="AI45">
        <f t="shared" si="10"/>
        <v>1</v>
      </c>
      <c r="AJ45">
        <f t="shared" si="11"/>
        <v>0</v>
      </c>
      <c r="AK45">
        <f t="shared" si="7"/>
        <v>0</v>
      </c>
      <c r="AL45" s="9">
        <f t="shared" si="12"/>
        <v>0</v>
      </c>
      <c r="AM45" s="9">
        <f t="shared" si="13"/>
        <v>0</v>
      </c>
      <c r="AN45" s="9">
        <f t="shared" si="14"/>
        <v>0</v>
      </c>
      <c r="AO45" s="16">
        <f t="shared" si="15"/>
        <v>2.8572792605016523E-3</v>
      </c>
      <c r="AQ45" s="9"/>
      <c r="AS45">
        <f t="shared" si="16"/>
        <v>1</v>
      </c>
      <c r="AT45">
        <f t="shared" si="17"/>
        <v>0</v>
      </c>
      <c r="AU45">
        <f t="shared" si="18"/>
        <v>1</v>
      </c>
      <c r="AV45">
        <f t="shared" si="19"/>
        <v>1</v>
      </c>
      <c r="AW45" s="9">
        <f t="shared" si="20"/>
        <v>-2.8860048891349867E-3</v>
      </c>
      <c r="AX45" s="9">
        <f t="shared" si="21"/>
        <v>1.3895783873695312E-3</v>
      </c>
      <c r="AY45" s="9">
        <f t="shared" si="22"/>
        <v>-1.4964265017654555E-3</v>
      </c>
      <c r="AZ45" s="16">
        <f t="shared" si="23"/>
        <v>-1.6378644508198417E-3</v>
      </c>
      <c r="BB45" s="16">
        <f t="shared" si="24"/>
        <v>-1.4964265017654555E-3</v>
      </c>
      <c r="BC45" s="16">
        <f t="shared" si="25"/>
        <v>1.2194148096818106E-3</v>
      </c>
    </row>
    <row r="46" spans="1:55" x14ac:dyDescent="0.3">
      <c r="A46" s="1">
        <v>46090</v>
      </c>
      <c r="B46" s="8">
        <v>48.51</v>
      </c>
      <c r="C46" s="8">
        <v>50.37</v>
      </c>
      <c r="D46" s="6">
        <v>1.0383426097711801</v>
      </c>
      <c r="E46" s="6">
        <v>1.0395631876754901</v>
      </c>
      <c r="F46" s="6">
        <v>1.0358355896715801</v>
      </c>
      <c r="G46" s="6">
        <v>1.0350375912166001</v>
      </c>
      <c r="H46" s="8">
        <v>50.429210234137997</v>
      </c>
      <c r="I46" s="8">
        <v>50.225501430717202</v>
      </c>
      <c r="J46" s="8">
        <v>50.200604342914502</v>
      </c>
      <c r="K46" s="13">
        <v>-1.1748155726744999E-3</v>
      </c>
      <c r="L46" s="13">
        <v>2.8728654186466998E-3</v>
      </c>
      <c r="M46" s="13">
        <v>3.3686944288633001E-3</v>
      </c>
      <c r="N46" s="20">
        <v>0.1</v>
      </c>
      <c r="O46" s="4">
        <v>0</v>
      </c>
      <c r="P46" s="20">
        <f t="shared" si="26"/>
        <v>48.61</v>
      </c>
      <c r="Q46" s="20">
        <f t="shared" si="27"/>
        <v>50.37</v>
      </c>
      <c r="R46" s="19">
        <f t="shared" si="28"/>
        <v>1.036206541863814</v>
      </c>
      <c r="S46" s="19">
        <f t="shared" si="0"/>
        <v>1.0384357751676798</v>
      </c>
      <c r="T46" s="19">
        <f t="shared" si="4"/>
        <v>1.0345594726738947</v>
      </c>
      <c r="U46" s="19">
        <f t="shared" si="6"/>
        <v>1.0343995327177611</v>
      </c>
      <c r="V46" s="21">
        <f t="shared" si="1"/>
        <v>50.478363030900915</v>
      </c>
      <c r="W46" s="21">
        <f t="shared" si="5"/>
        <v>50.277389196757454</v>
      </c>
      <c r="X46" s="21">
        <f t="shared" si="8"/>
        <v>50.278265095914989</v>
      </c>
      <c r="Y46" s="22">
        <f t="shared" si="2"/>
        <v>-2.1490298771115186E-3</v>
      </c>
      <c r="Z46" s="22">
        <f t="shared" si="2"/>
        <v>1.8403026669412033E-3</v>
      </c>
      <c r="AA46" s="22">
        <f t="shared" si="2"/>
        <v>1.8228814853336046E-3</v>
      </c>
      <c r="AC46" s="9">
        <f t="shared" si="3"/>
        <v>1.4440435722336239E-3</v>
      </c>
      <c r="AD46" s="9">
        <f t="shared" si="3"/>
        <v>5.9577005038916639E-4</v>
      </c>
      <c r="AE46" s="9"/>
      <c r="AF46" s="9"/>
      <c r="AH46">
        <f t="shared" si="9"/>
        <v>0</v>
      </c>
      <c r="AI46">
        <f t="shared" si="10"/>
        <v>1</v>
      </c>
      <c r="AJ46">
        <f t="shared" si="11"/>
        <v>0</v>
      </c>
      <c r="AK46">
        <f t="shared" si="7"/>
        <v>0</v>
      </c>
      <c r="AL46" s="9">
        <f t="shared" si="12"/>
        <v>0</v>
      </c>
      <c r="AM46" s="9">
        <f t="shared" si="13"/>
        <v>0</v>
      </c>
      <c r="AN46" s="9">
        <f t="shared" si="14"/>
        <v>0</v>
      </c>
      <c r="AO46" s="16">
        <f t="shared" si="15"/>
        <v>2.8572792605016523E-3</v>
      </c>
      <c r="AQ46" s="9"/>
      <c r="AS46">
        <f t="shared" si="16"/>
        <v>1</v>
      </c>
      <c r="AT46">
        <f t="shared" si="17"/>
        <v>0</v>
      </c>
      <c r="AU46">
        <f t="shared" si="18"/>
        <v>1</v>
      </c>
      <c r="AV46">
        <f t="shared" si="19"/>
        <v>1</v>
      </c>
      <c r="AW46" s="9">
        <f t="shared" si="20"/>
        <v>1.4440435722336239E-3</v>
      </c>
      <c r="AX46" s="9">
        <f t="shared" si="21"/>
        <v>-5.9577005038916639E-4</v>
      </c>
      <c r="AY46" s="9">
        <f t="shared" si="22"/>
        <v>8.4827352184445749E-4</v>
      </c>
      <c r="AZ46" s="16">
        <f t="shared" si="23"/>
        <v>-7.895909289753842E-4</v>
      </c>
      <c r="BB46" s="16">
        <f t="shared" si="24"/>
        <v>8.4827352184445749E-4</v>
      </c>
      <c r="BC46" s="16">
        <f t="shared" si="25"/>
        <v>2.0676883315262681E-3</v>
      </c>
    </row>
    <row r="47" spans="1:55" x14ac:dyDescent="0.3">
      <c r="A47" s="1">
        <v>46091</v>
      </c>
      <c r="B47" s="8">
        <v>48.47</v>
      </c>
      <c r="C47" s="8">
        <v>50.31</v>
      </c>
      <c r="D47" s="6">
        <v>1.0379616257478801</v>
      </c>
      <c r="E47" s="6">
        <v>1.0395631876754901</v>
      </c>
      <c r="F47" s="6">
        <v>1.03631132038651</v>
      </c>
      <c r="G47" s="6">
        <v>1.0352062098727399</v>
      </c>
      <c r="H47" s="8">
        <v>50.387627706631001</v>
      </c>
      <c r="I47" s="8">
        <v>50.206951031381401</v>
      </c>
      <c r="J47" s="8">
        <v>50.168272046268903</v>
      </c>
      <c r="K47" s="13">
        <v>-1.5417984271659201E-3</v>
      </c>
      <c r="L47" s="13">
        <v>2.0503806305933502E-3</v>
      </c>
      <c r="M47" s="13">
        <v>2.8210685721201498E-3</v>
      </c>
      <c r="N47" s="20">
        <v>0.1</v>
      </c>
      <c r="O47" s="4">
        <v>0</v>
      </c>
      <c r="P47" s="20">
        <f t="shared" si="26"/>
        <v>48.57</v>
      </c>
      <c r="Q47" s="20">
        <f t="shared" si="27"/>
        <v>50.31</v>
      </c>
      <c r="R47" s="19">
        <f t="shared" si="28"/>
        <v>1.0358245830759729</v>
      </c>
      <c r="S47" s="19">
        <f t="shared" si="0"/>
        <v>1.0384357751676798</v>
      </c>
      <c r="T47" s="19">
        <f t="shared" si="4"/>
        <v>1.0348214991216431</v>
      </c>
      <c r="U47" s="19">
        <f t="shared" si="6"/>
        <v>1.0344612992403062</v>
      </c>
      <c r="V47" s="21">
        <f t="shared" si="1"/>
        <v>50.436825599894206</v>
      </c>
      <c r="W47" s="21">
        <f t="shared" si="5"/>
        <v>50.248553587771063</v>
      </c>
      <c r="X47" s="21">
        <f t="shared" si="8"/>
        <v>50.240785304101657</v>
      </c>
      <c r="Y47" s="22">
        <f t="shared" si="2"/>
        <v>-2.5177104317326941E-3</v>
      </c>
      <c r="Z47" s="22">
        <f t="shared" si="2"/>
        <v>1.2221023012824904E-3</v>
      </c>
      <c r="AA47" s="22">
        <f t="shared" si="2"/>
        <v>1.3767114124688931E-3</v>
      </c>
      <c r="AC47" s="9">
        <f t="shared" si="3"/>
        <v>-8.2491239984056291E-4</v>
      </c>
      <c r="AD47" s="9">
        <f t="shared" si="3"/>
        <v>-1.1918952543318723E-3</v>
      </c>
      <c r="AE47" s="9"/>
      <c r="AF47" s="9"/>
      <c r="AH47">
        <f t="shared" si="9"/>
        <v>0</v>
      </c>
      <c r="AI47">
        <f t="shared" si="10"/>
        <v>1</v>
      </c>
      <c r="AJ47">
        <f t="shared" si="11"/>
        <v>0</v>
      </c>
      <c r="AK47">
        <f t="shared" si="7"/>
        <v>0</v>
      </c>
      <c r="AL47" s="9">
        <f t="shared" si="12"/>
        <v>0</v>
      </c>
      <c r="AM47" s="9">
        <f t="shared" si="13"/>
        <v>0</v>
      </c>
      <c r="AN47" s="9">
        <f t="shared" si="14"/>
        <v>0</v>
      </c>
      <c r="AO47" s="16">
        <f t="shared" si="15"/>
        <v>2.8572792605016523E-3</v>
      </c>
      <c r="AQ47" s="9"/>
      <c r="AS47">
        <f t="shared" si="16"/>
        <v>1</v>
      </c>
      <c r="AT47">
        <f t="shared" si="17"/>
        <v>0</v>
      </c>
      <c r="AU47">
        <f t="shared" si="18"/>
        <v>1</v>
      </c>
      <c r="AV47">
        <f t="shared" si="19"/>
        <v>1</v>
      </c>
      <c r="AW47" s="9">
        <f t="shared" si="20"/>
        <v>-8.2491239984056291E-4</v>
      </c>
      <c r="AX47" s="9">
        <f t="shared" si="21"/>
        <v>1.1918952543318723E-3</v>
      </c>
      <c r="AY47" s="9">
        <f t="shared" si="22"/>
        <v>3.6698285449130938E-4</v>
      </c>
      <c r="AZ47" s="16">
        <f t="shared" si="23"/>
        <v>-4.2260807448407482E-4</v>
      </c>
      <c r="BB47" s="16">
        <f t="shared" si="24"/>
        <v>3.6698285449130938E-4</v>
      </c>
      <c r="BC47" s="16">
        <f t="shared" si="25"/>
        <v>2.4346711860175774E-3</v>
      </c>
    </row>
    <row r="48" spans="1:55" x14ac:dyDescent="0.3">
      <c r="A48" s="1">
        <v>46092</v>
      </c>
      <c r="B48" s="8">
        <v>48.25</v>
      </c>
      <c r="C48" s="8">
        <v>50.15</v>
      </c>
      <c r="D48" s="6">
        <v>1.0393782383419601</v>
      </c>
      <c r="E48" s="6">
        <v>1.0395631876754901</v>
      </c>
      <c r="F48" s="6">
        <v>1.0368634619853501</v>
      </c>
      <c r="G48" s="6">
        <v>1.0355009229402099</v>
      </c>
      <c r="H48" s="8">
        <v>50.158923805342397</v>
      </c>
      <c r="I48" s="8">
        <v>50.002021208649502</v>
      </c>
      <c r="J48" s="8">
        <v>49.948699626360003</v>
      </c>
      <c r="K48" s="13">
        <v>-1.7792645015882999E-4</v>
      </c>
      <c r="L48" s="13">
        <v>2.9550856238420801E-3</v>
      </c>
      <c r="M48" s="13">
        <v>4.0220431585640303E-3</v>
      </c>
      <c r="N48" s="20">
        <v>0.1</v>
      </c>
      <c r="O48" s="4">
        <v>0</v>
      </c>
      <c r="P48" s="20">
        <f t="shared" si="26"/>
        <v>48.35</v>
      </c>
      <c r="Q48" s="20">
        <f t="shared" si="27"/>
        <v>50.15</v>
      </c>
      <c r="R48" s="19">
        <f t="shared" si="28"/>
        <v>1.0372285418821097</v>
      </c>
      <c r="S48" s="19">
        <f t="shared" si="0"/>
        <v>1.0384357751676798</v>
      </c>
      <c r="T48" s="19">
        <f t="shared" si="4"/>
        <v>1.035158671074488</v>
      </c>
      <c r="U48" s="19">
        <f t="shared" si="6"/>
        <v>1.0346485274847819</v>
      </c>
      <c r="V48" s="21">
        <f t="shared" si="1"/>
        <v>50.208369729357322</v>
      </c>
      <c r="W48" s="21">
        <f t="shared" si="5"/>
        <v>50.033619482531449</v>
      </c>
      <c r="X48" s="21">
        <f t="shared" si="8"/>
        <v>50.016203818268806</v>
      </c>
      <c r="Y48" s="22">
        <f t="shared" si="2"/>
        <v>-1.163226068665328E-3</v>
      </c>
      <c r="Z48" s="22">
        <f t="shared" si="2"/>
        <v>2.3233452818107233E-3</v>
      </c>
      <c r="AA48" s="22">
        <f t="shared" si="2"/>
        <v>2.6714851158250457E-3</v>
      </c>
      <c r="AC48" s="9">
        <f t="shared" si="3"/>
        <v>-4.5492220722896859E-3</v>
      </c>
      <c r="AD48" s="9">
        <f t="shared" si="3"/>
        <v>-3.1853500952826823E-3</v>
      </c>
      <c r="AE48" s="9"/>
      <c r="AF48" s="9"/>
      <c r="AH48">
        <f t="shared" si="9"/>
        <v>0</v>
      </c>
      <c r="AI48">
        <f t="shared" si="10"/>
        <v>1</v>
      </c>
      <c r="AJ48">
        <f t="shared" si="11"/>
        <v>0</v>
      </c>
      <c r="AK48">
        <f t="shared" si="7"/>
        <v>0</v>
      </c>
      <c r="AL48" s="9">
        <f t="shared" si="12"/>
        <v>0</v>
      </c>
      <c r="AM48" s="9">
        <f t="shared" si="13"/>
        <v>0</v>
      </c>
      <c r="AN48" s="9">
        <f t="shared" si="14"/>
        <v>0</v>
      </c>
      <c r="AO48" s="16">
        <f t="shared" si="15"/>
        <v>2.8572792605016523E-3</v>
      </c>
      <c r="AQ48" s="9"/>
      <c r="AS48">
        <f t="shared" si="16"/>
        <v>1</v>
      </c>
      <c r="AT48">
        <f t="shared" si="17"/>
        <v>0</v>
      </c>
      <c r="AU48">
        <f t="shared" si="18"/>
        <v>1</v>
      </c>
      <c r="AV48">
        <f t="shared" si="19"/>
        <v>1</v>
      </c>
      <c r="AW48" s="9">
        <f t="shared" si="20"/>
        <v>-4.5492220722896859E-3</v>
      </c>
      <c r="AX48" s="9">
        <f t="shared" si="21"/>
        <v>3.1853500952826823E-3</v>
      </c>
      <c r="AY48" s="9">
        <f t="shared" si="22"/>
        <v>-1.3638719770070035E-3</v>
      </c>
      <c r="AZ48" s="16">
        <f t="shared" si="23"/>
        <v>-1.7864800514910783E-3</v>
      </c>
      <c r="BB48" s="16">
        <f t="shared" si="24"/>
        <v>-1.3638719770070035E-3</v>
      </c>
      <c r="BC48" s="16">
        <f t="shared" si="25"/>
        <v>1.0707992090105739E-3</v>
      </c>
    </row>
    <row r="49" spans="1:55" x14ac:dyDescent="0.3">
      <c r="A49" s="1">
        <v>46093</v>
      </c>
      <c r="B49" s="8">
        <v>48.08</v>
      </c>
      <c r="C49" s="8">
        <v>50.02</v>
      </c>
      <c r="D49" s="6">
        <v>1.0403494176372701</v>
      </c>
      <c r="E49" s="6">
        <v>1.0395631876754901</v>
      </c>
      <c r="F49" s="6">
        <v>1.03757932413189</v>
      </c>
      <c r="G49" s="6">
        <v>1.03578292452653</v>
      </c>
      <c r="H49" s="8">
        <v>49.982198063437501</v>
      </c>
      <c r="I49" s="8">
        <v>49.852395252255597</v>
      </c>
      <c r="J49" s="8">
        <v>49.786884374965503</v>
      </c>
      <c r="K49" s="13">
        <v>7.5602214941251596E-4</v>
      </c>
      <c r="L49" s="13">
        <v>3.35638100326043E-3</v>
      </c>
      <c r="M49" s="13">
        <v>4.67134207031813E-3</v>
      </c>
      <c r="N49" s="20">
        <v>0.1</v>
      </c>
      <c r="O49" s="4">
        <v>0</v>
      </c>
      <c r="P49" s="20">
        <f t="shared" si="26"/>
        <v>48.18</v>
      </c>
      <c r="Q49" s="20">
        <f t="shared" si="27"/>
        <v>50.02</v>
      </c>
      <c r="R49" s="19">
        <f t="shared" si="28"/>
        <v>1.0381901203819013</v>
      </c>
      <c r="S49" s="19">
        <f t="shared" si="0"/>
        <v>1.0384357751676798</v>
      </c>
      <c r="T49" s="19">
        <f t="shared" si="4"/>
        <v>1.0356586034954931</v>
      </c>
      <c r="U49" s="19">
        <f t="shared" si="6"/>
        <v>1.0348225642083337</v>
      </c>
      <c r="V49" s="21">
        <f t="shared" si="1"/>
        <v>50.031835647578816</v>
      </c>
      <c r="W49" s="21">
        <f t="shared" si="5"/>
        <v>49.87394477236883</v>
      </c>
      <c r="X49" s="21">
        <f t="shared" si="8"/>
        <v>49.849366054216787</v>
      </c>
      <c r="Y49" s="22">
        <f t="shared" si="2"/>
        <v>-2.3659031455879135E-4</v>
      </c>
      <c r="Z49" s="22">
        <f t="shared" si="2"/>
        <v>2.9242079095065016E-3</v>
      </c>
      <c r="AA49" s="22">
        <f t="shared" si="2"/>
        <v>3.4171461893531012E-3</v>
      </c>
      <c r="AC49" s="9">
        <f t="shared" si="3"/>
        <v>-3.5295375580427792E-3</v>
      </c>
      <c r="AD49" s="9">
        <f t="shared" si="3"/>
        <v>-2.5955889584714305E-3</v>
      </c>
      <c r="AE49" s="9"/>
      <c r="AF49" s="9"/>
      <c r="AH49">
        <f t="shared" si="9"/>
        <v>0</v>
      </c>
      <c r="AI49">
        <f t="shared" si="10"/>
        <v>1</v>
      </c>
      <c r="AJ49">
        <f t="shared" si="11"/>
        <v>0</v>
      </c>
      <c r="AK49">
        <f t="shared" si="7"/>
        <v>0</v>
      </c>
      <c r="AL49" s="9">
        <f t="shared" si="12"/>
        <v>0</v>
      </c>
      <c r="AM49" s="9">
        <f t="shared" si="13"/>
        <v>0</v>
      </c>
      <c r="AN49" s="9">
        <f t="shared" si="14"/>
        <v>0</v>
      </c>
      <c r="AO49" s="16">
        <f t="shared" si="15"/>
        <v>2.8572792605016523E-3</v>
      </c>
      <c r="AQ49" s="9"/>
      <c r="AS49">
        <f t="shared" si="16"/>
        <v>1</v>
      </c>
      <c r="AT49">
        <f t="shared" si="17"/>
        <v>0</v>
      </c>
      <c r="AU49">
        <f t="shared" si="18"/>
        <v>1</v>
      </c>
      <c r="AV49">
        <f t="shared" si="19"/>
        <v>1</v>
      </c>
      <c r="AW49" s="9">
        <f t="shared" si="20"/>
        <v>-3.5295375580427792E-3</v>
      </c>
      <c r="AX49" s="9">
        <f t="shared" si="21"/>
        <v>2.5955889584714305E-3</v>
      </c>
      <c r="AY49" s="9">
        <f t="shared" si="22"/>
        <v>-9.3394859957134872E-4</v>
      </c>
      <c r="AZ49" s="16">
        <f t="shared" si="23"/>
        <v>-2.7204286510624271E-3</v>
      </c>
      <c r="BB49" s="16">
        <f t="shared" si="24"/>
        <v>-9.3394859957134872E-4</v>
      </c>
      <c r="BC49" s="16">
        <f t="shared" si="25"/>
        <v>1.3685060943922521E-4</v>
      </c>
    </row>
    <row r="50" spans="1:55" x14ac:dyDescent="0.3">
      <c r="A50" s="1">
        <v>46094</v>
      </c>
      <c r="B50" s="8">
        <v>48</v>
      </c>
      <c r="C50" s="8">
        <v>49.96</v>
      </c>
      <c r="D50" s="6">
        <v>1.0408333333333299</v>
      </c>
      <c r="E50" s="6">
        <v>1.0395631876754901</v>
      </c>
      <c r="F50" s="6">
        <v>1.03828867372538</v>
      </c>
      <c r="G50" s="6">
        <v>1.03611352561943</v>
      </c>
      <c r="H50" s="8">
        <v>49.899033008423501</v>
      </c>
      <c r="I50" s="8">
        <v>49.803807558330703</v>
      </c>
      <c r="J50" s="8">
        <v>49.717580377273698</v>
      </c>
      <c r="K50" s="13">
        <v>1.2210612763775401E-3</v>
      </c>
      <c r="L50" s="13">
        <v>3.1312471548623801E-3</v>
      </c>
      <c r="M50" s="13">
        <v>4.8640847774490802E-3</v>
      </c>
      <c r="N50" s="20">
        <v>0.1</v>
      </c>
      <c r="O50" s="4">
        <v>0</v>
      </c>
      <c r="P50" s="20">
        <f t="shared" si="26"/>
        <v>48.1</v>
      </c>
      <c r="Q50" s="20">
        <f t="shared" si="27"/>
        <v>49.96</v>
      </c>
      <c r="R50" s="19">
        <f t="shared" si="28"/>
        <v>1.0386694386694386</v>
      </c>
      <c r="S50" s="19">
        <f t="shared" si="0"/>
        <v>1.0384357751676798</v>
      </c>
      <c r="T50" s="19">
        <f t="shared" si="4"/>
        <v>1.0361515636226</v>
      </c>
      <c r="U50" s="19">
        <f t="shared" si="6"/>
        <v>1.0350449705680353</v>
      </c>
      <c r="V50" s="21">
        <f t="shared" si="1"/>
        <v>49.948760785565398</v>
      </c>
      <c r="W50" s="21">
        <f t="shared" si="5"/>
        <v>49.81517882813322</v>
      </c>
      <c r="X50" s="21">
        <f t="shared" si="8"/>
        <v>49.774965338420856</v>
      </c>
      <c r="Y50" s="22">
        <f t="shared" si="2"/>
        <v>2.2498956835494575E-4</v>
      </c>
      <c r="Z50" s="22">
        <f t="shared" si="2"/>
        <v>2.902951921909494E-3</v>
      </c>
      <c r="AA50" s="22">
        <f t="shared" si="2"/>
        <v>3.7105316725857631E-3</v>
      </c>
      <c r="AC50" s="9">
        <f t="shared" si="3"/>
        <v>-1.6652793190612089E-3</v>
      </c>
      <c r="AD50" s="9">
        <f t="shared" si="3"/>
        <v>-1.2002401920961016E-3</v>
      </c>
      <c r="AE50" s="9"/>
      <c r="AF50" s="9"/>
      <c r="AH50">
        <f t="shared" si="9"/>
        <v>0</v>
      </c>
      <c r="AI50">
        <f t="shared" si="10"/>
        <v>1</v>
      </c>
      <c r="AJ50">
        <f t="shared" si="11"/>
        <v>0</v>
      </c>
      <c r="AK50">
        <f t="shared" si="7"/>
        <v>0</v>
      </c>
      <c r="AL50" s="9">
        <f t="shared" si="12"/>
        <v>0</v>
      </c>
      <c r="AM50" s="9">
        <f t="shared" si="13"/>
        <v>0</v>
      </c>
      <c r="AN50" s="9">
        <f t="shared" si="14"/>
        <v>0</v>
      </c>
      <c r="AO50" s="16">
        <f t="shared" si="15"/>
        <v>2.8572792605016523E-3</v>
      </c>
      <c r="AQ50" s="9"/>
      <c r="AS50">
        <f t="shared" si="16"/>
        <v>1</v>
      </c>
      <c r="AT50">
        <f t="shared" si="17"/>
        <v>0</v>
      </c>
      <c r="AU50">
        <f t="shared" si="18"/>
        <v>1</v>
      </c>
      <c r="AV50">
        <f t="shared" si="19"/>
        <v>1</v>
      </c>
      <c r="AW50" s="9">
        <f t="shared" si="20"/>
        <v>-1.6652793190612089E-3</v>
      </c>
      <c r="AX50" s="9">
        <f t="shared" si="21"/>
        <v>1.2002401920961016E-3</v>
      </c>
      <c r="AY50" s="9">
        <f t="shared" si="22"/>
        <v>-4.6503912696510726E-4</v>
      </c>
      <c r="AZ50" s="16">
        <f t="shared" si="23"/>
        <v>-3.1854677780275343E-3</v>
      </c>
      <c r="BB50" s="16">
        <f t="shared" si="24"/>
        <v>-4.6503912696510726E-4</v>
      </c>
      <c r="BC50" s="16">
        <f t="shared" si="25"/>
        <v>-3.2818851752588205E-4</v>
      </c>
    </row>
    <row r="51" spans="1:55" x14ac:dyDescent="0.3">
      <c r="A51" s="1">
        <v>46097</v>
      </c>
      <c r="B51" s="8">
        <v>48.22</v>
      </c>
      <c r="C51" s="8">
        <v>50.13</v>
      </c>
      <c r="D51" s="6">
        <v>1.03961012028204</v>
      </c>
      <c r="E51" s="6">
        <v>1.0395631876754901</v>
      </c>
      <c r="F51" s="6">
        <v>1.0387140225612701</v>
      </c>
      <c r="G51" s="6">
        <v>1.0363423414061199</v>
      </c>
      <c r="H51" s="8">
        <v>50.127736909712098</v>
      </c>
      <c r="I51" s="8">
        <v>50.066279847038103</v>
      </c>
      <c r="J51" s="8">
        <v>49.961394205368997</v>
      </c>
      <c r="K51" s="13">
        <v>4.5145449278612999E-5</v>
      </c>
      <c r="L51" s="13">
        <v>1.27190673444861E-3</v>
      </c>
      <c r="M51" s="13">
        <v>3.3690399748857402E-3</v>
      </c>
      <c r="N51" s="20">
        <v>0.1</v>
      </c>
      <c r="O51" s="4">
        <v>0</v>
      </c>
      <c r="P51" s="20">
        <f t="shared" si="26"/>
        <v>48.32</v>
      </c>
      <c r="Q51" s="20">
        <f t="shared" si="27"/>
        <v>50.13</v>
      </c>
      <c r="R51" s="19">
        <f t="shared" si="28"/>
        <v>1.0374586092715232</v>
      </c>
      <c r="S51" s="19">
        <f t="shared" si="0"/>
        <v>1.0384357751676798</v>
      </c>
      <c r="T51" s="19">
        <f t="shared" si="4"/>
        <v>1.0365729293427361</v>
      </c>
      <c r="U51" s="19">
        <f t="shared" si="6"/>
        <v>1.0351662108041997</v>
      </c>
      <c r="V51" s="21">
        <f t="shared" si="1"/>
        <v>50.177216656102289</v>
      </c>
      <c r="W51" s="21">
        <f t="shared" si="5"/>
        <v>50.066843554244031</v>
      </c>
      <c r="X51" s="21">
        <f t="shared" si="8"/>
        <v>50.013372977847467</v>
      </c>
      <c r="Y51" s="22">
        <f t="shared" si="2"/>
        <v>-9.4144092845391107E-4</v>
      </c>
      <c r="Z51" s="22">
        <f t="shared" si="2"/>
        <v>1.2606475789024459E-3</v>
      </c>
      <c r="AA51" s="22">
        <f t="shared" si="2"/>
        <v>2.3292020512477884E-3</v>
      </c>
      <c r="AC51" s="9">
        <f t="shared" si="3"/>
        <v>4.5728618451341121E-3</v>
      </c>
      <c r="AD51" s="9">
        <f t="shared" si="3"/>
        <v>3.3969460180350956E-3</v>
      </c>
      <c r="AE51" s="9"/>
      <c r="AF51" s="9"/>
      <c r="AH51">
        <f t="shared" si="9"/>
        <v>0</v>
      </c>
      <c r="AI51">
        <f t="shared" si="10"/>
        <v>1</v>
      </c>
      <c r="AJ51">
        <f t="shared" si="11"/>
        <v>0</v>
      </c>
      <c r="AK51">
        <f t="shared" si="7"/>
        <v>0</v>
      </c>
      <c r="AL51" s="9">
        <f t="shared" si="12"/>
        <v>0</v>
      </c>
      <c r="AM51" s="9">
        <f t="shared" si="13"/>
        <v>0</v>
      </c>
      <c r="AN51" s="9">
        <f t="shared" si="14"/>
        <v>0</v>
      </c>
      <c r="AO51" s="16">
        <f t="shared" si="15"/>
        <v>2.8572792605016523E-3</v>
      </c>
      <c r="AQ51" s="9"/>
      <c r="AS51">
        <f t="shared" si="16"/>
        <v>1</v>
      </c>
      <c r="AT51">
        <f t="shared" si="17"/>
        <v>0</v>
      </c>
      <c r="AU51">
        <f t="shared" si="18"/>
        <v>1</v>
      </c>
      <c r="AV51">
        <f t="shared" si="19"/>
        <v>1</v>
      </c>
      <c r="AW51" s="9">
        <f t="shared" si="20"/>
        <v>4.5728618451341121E-3</v>
      </c>
      <c r="AX51" s="9">
        <f t="shared" si="21"/>
        <v>-3.3969460180350956E-3</v>
      </c>
      <c r="AY51" s="9">
        <f t="shared" si="22"/>
        <v>1.1759158270990165E-3</v>
      </c>
      <c r="AZ51" s="16">
        <f t="shared" si="23"/>
        <v>-2.0095519509285178E-3</v>
      </c>
      <c r="BB51" s="16">
        <f t="shared" si="24"/>
        <v>1.1759158270990165E-3</v>
      </c>
      <c r="BC51" s="16">
        <f t="shared" si="25"/>
        <v>8.4772730957313443E-4</v>
      </c>
    </row>
    <row r="52" spans="1:55" x14ac:dyDescent="0.3">
      <c r="A52" s="1">
        <v>46098</v>
      </c>
      <c r="B52" s="8">
        <v>48.3</v>
      </c>
      <c r="C52" s="8">
        <v>50.14</v>
      </c>
      <c r="D52" s="6">
        <v>1.03809523809523</v>
      </c>
      <c r="E52" s="6">
        <v>1.0395631876754901</v>
      </c>
      <c r="F52" s="6">
        <v>1.0388987255639099</v>
      </c>
      <c r="G52" s="6">
        <v>1.03652931189984</v>
      </c>
      <c r="H52" s="8">
        <v>50.210901964726197</v>
      </c>
      <c r="I52" s="8">
        <v>50.1698872897096</v>
      </c>
      <c r="J52" s="8">
        <v>50.055335089915602</v>
      </c>
      <c r="K52" s="13">
        <v>-1.4130810014880001E-3</v>
      </c>
      <c r="L52" s="13">
        <v>-5.9589919601280602E-4</v>
      </c>
      <c r="M52" s="13">
        <v>1.68999744667205E-3</v>
      </c>
      <c r="N52" s="20">
        <v>0.1</v>
      </c>
      <c r="O52" s="4">
        <v>0</v>
      </c>
      <c r="P52" s="20">
        <f t="shared" si="26"/>
        <v>48.4</v>
      </c>
      <c r="Q52" s="20">
        <f t="shared" si="27"/>
        <v>50.14</v>
      </c>
      <c r="R52" s="19">
        <f t="shared" si="28"/>
        <v>1.0359504132231405</v>
      </c>
      <c r="S52" s="19">
        <f t="shared" si="0"/>
        <v>1.0384357751676798</v>
      </c>
      <c r="T52" s="19">
        <f t="shared" si="4"/>
        <v>1.0367549316296936</v>
      </c>
      <c r="U52" s="19">
        <f t="shared" si="6"/>
        <v>1.0352459400543141</v>
      </c>
      <c r="V52" s="21">
        <f t="shared" si="1"/>
        <v>50.2602915181157</v>
      </c>
      <c r="W52" s="21">
        <f t="shared" si="5"/>
        <v>50.170129780188425</v>
      </c>
      <c r="X52" s="21">
        <f t="shared" si="8"/>
        <v>50.102044602923264</v>
      </c>
      <c r="Y52" s="22">
        <f t="shared" si="2"/>
        <v>-2.3962395697450559E-3</v>
      </c>
      <c r="Z52" s="22">
        <f t="shared" si="2"/>
        <v>-6.007325712876348E-4</v>
      </c>
      <c r="AA52" s="22">
        <f t="shared" si="2"/>
        <v>7.572750344613955E-4</v>
      </c>
      <c r="AC52" s="9">
        <f t="shared" si="3"/>
        <v>1.6576879055019828E-3</v>
      </c>
      <c r="AD52" s="9">
        <f t="shared" si="3"/>
        <v>1.9946145473517083E-4</v>
      </c>
      <c r="AE52" s="9"/>
      <c r="AF52" s="9"/>
      <c r="AH52">
        <f t="shared" si="9"/>
        <v>0</v>
      </c>
      <c r="AI52">
        <f t="shared" si="10"/>
        <v>1</v>
      </c>
      <c r="AJ52">
        <f t="shared" si="11"/>
        <v>0</v>
      </c>
      <c r="AK52">
        <f t="shared" si="7"/>
        <v>0</v>
      </c>
      <c r="AL52" s="9">
        <f t="shared" si="12"/>
        <v>0</v>
      </c>
      <c r="AM52" s="9">
        <f t="shared" si="13"/>
        <v>0</v>
      </c>
      <c r="AN52" s="9">
        <f t="shared" si="14"/>
        <v>0</v>
      </c>
      <c r="AO52" s="16">
        <f t="shared" si="15"/>
        <v>2.8572792605016523E-3</v>
      </c>
      <c r="AQ52" s="9"/>
      <c r="AS52">
        <f t="shared" si="16"/>
        <v>0</v>
      </c>
      <c r="AT52">
        <f t="shared" si="17"/>
        <v>0</v>
      </c>
      <c r="AU52">
        <f t="shared" si="18"/>
        <v>1</v>
      </c>
      <c r="AV52">
        <f t="shared" si="19"/>
        <v>1</v>
      </c>
      <c r="AW52" s="9">
        <f t="shared" si="20"/>
        <v>1.6576879055019828E-3</v>
      </c>
      <c r="AX52" s="9">
        <f t="shared" si="21"/>
        <v>-1.9946145473517083E-4</v>
      </c>
      <c r="AY52" s="9">
        <f t="shared" si="22"/>
        <v>1.4582264507668119E-3</v>
      </c>
      <c r="AZ52" s="16">
        <f t="shared" si="23"/>
        <v>-5.5132550016170597E-4</v>
      </c>
      <c r="BB52" s="16">
        <f t="shared" si="24"/>
        <v>1.4582264507668119E-3</v>
      </c>
      <c r="BC52" s="16">
        <f t="shared" si="25"/>
        <v>2.3059537603399463E-3</v>
      </c>
    </row>
    <row r="53" spans="1:55" x14ac:dyDescent="0.3">
      <c r="A53" s="1">
        <v>46099</v>
      </c>
      <c r="B53" s="8">
        <v>48.11</v>
      </c>
      <c r="C53" s="8">
        <v>50.04</v>
      </c>
      <c r="D53" s="6">
        <v>1.0401163999168499</v>
      </c>
      <c r="E53" s="6">
        <v>1.0395631876754901</v>
      </c>
      <c r="F53" s="6">
        <v>1.0391580588096501</v>
      </c>
      <c r="G53" s="6">
        <v>1.03683779038239</v>
      </c>
      <c r="H53" s="8">
        <v>50.0133849590678</v>
      </c>
      <c r="I53" s="8">
        <v>49.9814176868801</v>
      </c>
      <c r="J53" s="8">
        <v>49.867425195501298</v>
      </c>
      <c r="K53" s="13">
        <v>5.3201681423969895E-4</v>
      </c>
      <c r="L53" s="13">
        <v>1.17139551054915E-3</v>
      </c>
      <c r="M53" s="13">
        <v>3.4546977023981501E-3</v>
      </c>
      <c r="N53" s="20">
        <v>0.1</v>
      </c>
      <c r="O53" s="4">
        <v>0</v>
      </c>
      <c r="P53" s="20">
        <f t="shared" si="26"/>
        <v>48.21</v>
      </c>
      <c r="Q53" s="20">
        <f t="shared" si="27"/>
        <v>50.04</v>
      </c>
      <c r="R53" s="19">
        <f t="shared" si="28"/>
        <v>1.0379589296826384</v>
      </c>
      <c r="S53" s="19">
        <f t="shared" si="0"/>
        <v>1.0384357751676798</v>
      </c>
      <c r="T53" s="19">
        <f t="shared" si="4"/>
        <v>1.0370108205054671</v>
      </c>
      <c r="U53" s="19">
        <f t="shared" si="6"/>
        <v>1.035446545025154</v>
      </c>
      <c r="V53" s="21">
        <f t="shared" si="1"/>
        <v>50.062988720833843</v>
      </c>
      <c r="W53" s="21">
        <f t="shared" si="5"/>
        <v>49.981955253867525</v>
      </c>
      <c r="X53" s="21">
        <f t="shared" si="8"/>
        <v>49.909206770018486</v>
      </c>
      <c r="Y53" s="22">
        <f t="shared" si="2"/>
        <v>-4.5930139612695346E-4</v>
      </c>
      <c r="Z53" s="22">
        <f t="shared" si="2"/>
        <v>1.1606402314588166E-3</v>
      </c>
      <c r="AA53" s="22">
        <f t="shared" si="2"/>
        <v>2.6171954508944022E-3</v>
      </c>
      <c r="AC53" s="9">
        <f t="shared" si="3"/>
        <v>-3.9415049471646334E-3</v>
      </c>
      <c r="AD53" s="9">
        <f t="shared" si="3"/>
        <v>-1.9964071314369589E-3</v>
      </c>
      <c r="AE53" s="9"/>
      <c r="AF53" s="9"/>
      <c r="AH53">
        <f t="shared" si="9"/>
        <v>0</v>
      </c>
      <c r="AI53">
        <f t="shared" si="10"/>
        <v>1</v>
      </c>
      <c r="AJ53">
        <f t="shared" si="11"/>
        <v>0</v>
      </c>
      <c r="AK53">
        <f t="shared" si="7"/>
        <v>0</v>
      </c>
      <c r="AL53" s="9">
        <f t="shared" si="12"/>
        <v>0</v>
      </c>
      <c r="AM53" s="9">
        <f t="shared" si="13"/>
        <v>0</v>
      </c>
      <c r="AN53" s="9">
        <f t="shared" si="14"/>
        <v>0</v>
      </c>
      <c r="AO53" s="16">
        <f t="shared" si="15"/>
        <v>2.8572792605016523E-3</v>
      </c>
      <c r="AQ53" s="9"/>
      <c r="AS53">
        <f t="shared" si="16"/>
        <v>1</v>
      </c>
      <c r="AT53">
        <f t="shared" si="17"/>
        <v>0</v>
      </c>
      <c r="AU53">
        <f t="shared" si="18"/>
        <v>1</v>
      </c>
      <c r="AV53">
        <f t="shared" si="19"/>
        <v>1</v>
      </c>
      <c r="AW53" s="9">
        <f t="shared" si="20"/>
        <v>-3.9415049471646334E-3</v>
      </c>
      <c r="AX53" s="9">
        <f t="shared" si="21"/>
        <v>1.9964071314369589E-3</v>
      </c>
      <c r="AY53" s="9">
        <f t="shared" si="22"/>
        <v>-1.9450978157276744E-3</v>
      </c>
      <c r="AZ53" s="16">
        <f t="shared" si="23"/>
        <v>-2.4964233158893804E-3</v>
      </c>
      <c r="BB53" s="16">
        <f t="shared" si="24"/>
        <v>-1.9450978157276744E-3</v>
      </c>
      <c r="BC53" s="16">
        <f t="shared" si="25"/>
        <v>3.6085594461227185E-4</v>
      </c>
    </row>
    <row r="54" spans="1:55" x14ac:dyDescent="0.3">
      <c r="A54" s="1">
        <v>46100</v>
      </c>
      <c r="B54" s="8">
        <v>48.13</v>
      </c>
      <c r="C54" s="8">
        <v>50.08</v>
      </c>
      <c r="D54" s="6">
        <v>1.04051527114066</v>
      </c>
      <c r="E54" s="6">
        <v>1.0395631876754901</v>
      </c>
      <c r="F54" s="6">
        <v>1.0394426036264699</v>
      </c>
      <c r="G54" s="6">
        <v>1.03715703442174</v>
      </c>
      <c r="H54" s="8">
        <v>50.034176222821301</v>
      </c>
      <c r="I54" s="8">
        <v>50.014677370508601</v>
      </c>
      <c r="J54" s="8">
        <v>49.903002851104503</v>
      </c>
      <c r="K54" s="13">
        <v>9.1543040371646299E-4</v>
      </c>
      <c r="L54" s="13">
        <v>1.30521703013509E-3</v>
      </c>
      <c r="M54" s="13">
        <v>3.5405484681118602E-3</v>
      </c>
      <c r="N54" s="20">
        <v>0.1</v>
      </c>
      <c r="O54" s="4">
        <v>0</v>
      </c>
      <c r="P54" s="20">
        <f t="shared" si="26"/>
        <v>48.230000000000004</v>
      </c>
      <c r="Q54" s="20">
        <f t="shared" si="27"/>
        <v>50.08</v>
      </c>
      <c r="R54" s="19">
        <f t="shared" si="28"/>
        <v>1.0383578685465478</v>
      </c>
      <c r="S54" s="19">
        <f t="shared" si="0"/>
        <v>1.0384357751676798</v>
      </c>
      <c r="T54" s="19">
        <f t="shared" si="4"/>
        <v>1.0372927864891277</v>
      </c>
      <c r="U54" s="19">
        <f t="shared" si="6"/>
        <v>1.0356579189348036</v>
      </c>
      <c r="V54" s="21">
        <f t="shared" si="1"/>
        <v>50.083757436337201</v>
      </c>
      <c r="W54" s="21">
        <f t="shared" si="5"/>
        <v>50.015031872978682</v>
      </c>
      <c r="X54" s="21">
        <f t="shared" si="8"/>
        <v>49.939586866563182</v>
      </c>
      <c r="Y54" s="22">
        <f t="shared" si="2"/>
        <v>-7.5025866343969959E-5</v>
      </c>
      <c r="Z54" s="22">
        <f t="shared" si="2"/>
        <v>1.2981290865088984E-3</v>
      </c>
      <c r="AA54" s="22">
        <f t="shared" si="2"/>
        <v>2.807714570285353E-3</v>
      </c>
      <c r="AC54" s="9">
        <f t="shared" si="3"/>
        <v>4.1562760365565298E-4</v>
      </c>
      <c r="AD54" s="9">
        <f t="shared" si="3"/>
        <v>7.9904119313276456E-4</v>
      </c>
      <c r="AE54" s="9"/>
      <c r="AF54" s="9"/>
      <c r="AH54">
        <f t="shared" si="9"/>
        <v>0</v>
      </c>
      <c r="AI54">
        <f t="shared" si="10"/>
        <v>1</v>
      </c>
      <c r="AJ54">
        <f t="shared" si="11"/>
        <v>0</v>
      </c>
      <c r="AK54">
        <f t="shared" si="7"/>
        <v>0</v>
      </c>
      <c r="AL54" s="9">
        <f t="shared" si="12"/>
        <v>0</v>
      </c>
      <c r="AM54" s="9">
        <f t="shared" si="13"/>
        <v>0</v>
      </c>
      <c r="AN54" s="9">
        <f t="shared" si="14"/>
        <v>0</v>
      </c>
      <c r="AO54" s="16">
        <f t="shared" si="15"/>
        <v>2.8572792605016523E-3</v>
      </c>
      <c r="AQ54" s="9"/>
      <c r="AS54">
        <f t="shared" si="16"/>
        <v>1</v>
      </c>
      <c r="AT54">
        <f t="shared" si="17"/>
        <v>0</v>
      </c>
      <c r="AU54">
        <f t="shared" si="18"/>
        <v>1</v>
      </c>
      <c r="AV54">
        <f t="shared" si="19"/>
        <v>1</v>
      </c>
      <c r="AW54" s="9">
        <f t="shared" si="20"/>
        <v>4.1562760365565298E-4</v>
      </c>
      <c r="AX54" s="9">
        <f t="shared" si="21"/>
        <v>-7.9904119313276456E-4</v>
      </c>
      <c r="AY54" s="9">
        <f t="shared" si="22"/>
        <v>-3.8341358947711158E-4</v>
      </c>
      <c r="AZ54" s="16">
        <f t="shared" si="23"/>
        <v>-2.879836905366492E-3</v>
      </c>
      <c r="BB54" s="16">
        <f t="shared" si="24"/>
        <v>-3.8341358947711158E-4</v>
      </c>
      <c r="BC54" s="16">
        <f t="shared" si="25"/>
        <v>-2.2557644864839731E-5</v>
      </c>
    </row>
    <row r="55" spans="1:55" x14ac:dyDescent="0.3">
      <c r="A55" s="1">
        <v>46101</v>
      </c>
      <c r="B55" s="8">
        <v>47.81</v>
      </c>
      <c r="C55" s="8">
        <v>49.74</v>
      </c>
      <c r="D55" s="6">
        <v>1.0403681238234599</v>
      </c>
      <c r="E55" s="6">
        <v>1.0395631876754901</v>
      </c>
      <c r="F55" s="6">
        <v>1.03955703780899</v>
      </c>
      <c r="G55" s="6">
        <v>1.0374604549044599</v>
      </c>
      <c r="H55" s="8">
        <v>49.701516002765203</v>
      </c>
      <c r="I55" s="8">
        <v>49.695750879381897</v>
      </c>
      <c r="J55" s="8">
        <v>49.586477815703702</v>
      </c>
      <c r="K55" s="13">
        <v>7.7400266413817E-4</v>
      </c>
      <c r="L55" s="13">
        <v>8.9000431228345204E-4</v>
      </c>
      <c r="M55" s="13">
        <v>3.0912664966344502E-3</v>
      </c>
      <c r="N55" s="20">
        <v>0.1</v>
      </c>
      <c r="O55" s="4">
        <v>0</v>
      </c>
      <c r="P55" s="20">
        <f t="shared" si="26"/>
        <v>47.910000000000004</v>
      </c>
      <c r="Q55" s="20">
        <f t="shared" si="27"/>
        <v>49.74</v>
      </c>
      <c r="R55" s="19">
        <f t="shared" si="28"/>
        <v>1.0381966186599874</v>
      </c>
      <c r="S55" s="19">
        <f t="shared" si="0"/>
        <v>1.0384357751676798</v>
      </c>
      <c r="T55" s="19">
        <f t="shared" si="4"/>
        <v>1.0374041665257074</v>
      </c>
      <c r="U55" s="19">
        <f t="shared" si="6"/>
        <v>1.0358527641593511</v>
      </c>
      <c r="V55" s="21">
        <f t="shared" si="1"/>
        <v>49.751457988283541</v>
      </c>
      <c r="W55" s="21">
        <f t="shared" si="5"/>
        <v>49.696697400694113</v>
      </c>
      <c r="X55" s="21">
        <f t="shared" si="8"/>
        <v>49.618370896166446</v>
      </c>
      <c r="Y55" s="22">
        <f t="shared" si="2"/>
        <v>-2.3033109707861233E-4</v>
      </c>
      <c r="Z55" s="22">
        <f t="shared" si="2"/>
        <v>8.7095817087985119E-4</v>
      </c>
      <c r="AA55" s="22">
        <f t="shared" si="2"/>
        <v>2.448292247379245E-3</v>
      </c>
      <c r="AC55" s="9">
        <f t="shared" si="3"/>
        <v>-6.6708606770059953E-3</v>
      </c>
      <c r="AD55" s="9">
        <f t="shared" si="3"/>
        <v>-6.8122884165843865E-3</v>
      </c>
      <c r="AE55" s="9"/>
      <c r="AF55" s="9"/>
      <c r="AH55">
        <f t="shared" si="9"/>
        <v>0</v>
      </c>
      <c r="AI55">
        <f t="shared" si="10"/>
        <v>1</v>
      </c>
      <c r="AJ55">
        <f t="shared" si="11"/>
        <v>0</v>
      </c>
      <c r="AK55">
        <f t="shared" si="7"/>
        <v>0</v>
      </c>
      <c r="AL55" s="9">
        <f t="shared" si="12"/>
        <v>0</v>
      </c>
      <c r="AM55" s="9">
        <f t="shared" si="13"/>
        <v>0</v>
      </c>
      <c r="AN55" s="9">
        <f t="shared" si="14"/>
        <v>0</v>
      </c>
      <c r="AO55" s="16">
        <f t="shared" si="15"/>
        <v>2.8572792605016523E-3</v>
      </c>
      <c r="AQ55" s="9"/>
      <c r="AS55">
        <f t="shared" si="16"/>
        <v>1</v>
      </c>
      <c r="AT55">
        <f t="shared" si="17"/>
        <v>0</v>
      </c>
      <c r="AU55">
        <f t="shared" si="18"/>
        <v>1</v>
      </c>
      <c r="AV55">
        <f t="shared" si="19"/>
        <v>1</v>
      </c>
      <c r="AW55" s="9">
        <f t="shared" si="20"/>
        <v>-6.6708606770059953E-3</v>
      </c>
      <c r="AX55" s="9">
        <f t="shared" si="21"/>
        <v>6.8122884165843865E-3</v>
      </c>
      <c r="AY55" s="9">
        <f t="shared" si="22"/>
        <v>1.4142773957839111E-4</v>
      </c>
      <c r="AZ55" s="16">
        <f t="shared" si="23"/>
        <v>-2.7384091657881009E-3</v>
      </c>
      <c r="BB55" s="16">
        <f t="shared" si="24"/>
        <v>1.4142773957839111E-4</v>
      </c>
      <c r="BC55" s="16">
        <f t="shared" si="25"/>
        <v>1.1887009471355138E-4</v>
      </c>
    </row>
    <row r="56" spans="1:55" x14ac:dyDescent="0.3">
      <c r="A56" s="1">
        <v>46104</v>
      </c>
      <c r="B56" s="8">
        <v>48.01</v>
      </c>
      <c r="C56" s="8">
        <v>49.95</v>
      </c>
      <c r="D56" s="6">
        <v>1.0404082482815999</v>
      </c>
      <c r="E56" s="6">
        <v>1.0395631876754901</v>
      </c>
      <c r="F56" s="6">
        <v>1.03976360166003</v>
      </c>
      <c r="G56" s="6">
        <v>1.0377995956657999</v>
      </c>
      <c r="H56" s="8">
        <v>49.909428640300298</v>
      </c>
      <c r="I56" s="8">
        <v>49.9091333852096</v>
      </c>
      <c r="J56" s="8">
        <v>49.8084764399634</v>
      </c>
      <c r="K56" s="13">
        <v>8.1256947860528503E-4</v>
      </c>
      <c r="L56" s="13">
        <v>8.1848531399063501E-4</v>
      </c>
      <c r="M56" s="13">
        <v>2.8373259101512199E-3</v>
      </c>
      <c r="N56" s="20">
        <v>0.1</v>
      </c>
      <c r="O56" s="4">
        <v>0</v>
      </c>
      <c r="P56" s="20">
        <f t="shared" si="26"/>
        <v>48.11</v>
      </c>
      <c r="Q56" s="20">
        <f t="shared" si="27"/>
        <v>49.95</v>
      </c>
      <c r="R56" s="19">
        <f t="shared" si="28"/>
        <v>1.0382456869673666</v>
      </c>
      <c r="S56" s="19">
        <f t="shared" si="0"/>
        <v>1.0384357751676798</v>
      </c>
      <c r="T56" s="19">
        <f t="shared" si="4"/>
        <v>1.0376080810360624</v>
      </c>
      <c r="U56" s="19">
        <f t="shared" si="6"/>
        <v>1.0360837768549787</v>
      </c>
      <c r="V56" s="21">
        <f t="shared" si="1"/>
        <v>49.959145143317073</v>
      </c>
      <c r="W56" s="21">
        <f t="shared" si="5"/>
        <v>49.909514451551786</v>
      </c>
      <c r="X56" s="21">
        <f t="shared" si="8"/>
        <v>49.834876483706381</v>
      </c>
      <c r="Y56" s="22">
        <f t="shared" si="2"/>
        <v>-1.8306919410618182E-4</v>
      </c>
      <c r="Z56" s="22">
        <f t="shared" si="2"/>
        <v>8.1085014059534743E-4</v>
      </c>
      <c r="AA56" s="22">
        <f t="shared" si="2"/>
        <v>2.3074351831531541E-3</v>
      </c>
      <c r="AC56" s="9">
        <f t="shared" si="3"/>
        <v>4.1744999048368417E-3</v>
      </c>
      <c r="AD56" s="9">
        <f t="shared" si="3"/>
        <v>4.2130667193040041E-3</v>
      </c>
      <c r="AE56" s="9"/>
      <c r="AF56" s="9"/>
      <c r="AH56">
        <f t="shared" si="9"/>
        <v>0</v>
      </c>
      <c r="AI56">
        <f t="shared" si="10"/>
        <v>1</v>
      </c>
      <c r="AJ56">
        <f t="shared" si="11"/>
        <v>0</v>
      </c>
      <c r="AK56">
        <f t="shared" si="7"/>
        <v>0</v>
      </c>
      <c r="AL56" s="9">
        <f t="shared" si="12"/>
        <v>0</v>
      </c>
      <c r="AM56" s="9">
        <f t="shared" si="13"/>
        <v>0</v>
      </c>
      <c r="AN56" s="9">
        <f t="shared" si="14"/>
        <v>0</v>
      </c>
      <c r="AO56" s="16">
        <f t="shared" si="15"/>
        <v>2.8572792605016523E-3</v>
      </c>
      <c r="AQ56" s="9"/>
      <c r="AS56">
        <f t="shared" si="16"/>
        <v>1</v>
      </c>
      <c r="AT56">
        <f t="shared" si="17"/>
        <v>0</v>
      </c>
      <c r="AU56">
        <f t="shared" si="18"/>
        <v>1</v>
      </c>
      <c r="AV56">
        <f t="shared" si="19"/>
        <v>1</v>
      </c>
      <c r="AW56" s="9">
        <f t="shared" si="20"/>
        <v>4.1744999048368417E-3</v>
      </c>
      <c r="AX56" s="9">
        <f t="shared" si="21"/>
        <v>-4.2130667193040041E-3</v>
      </c>
      <c r="AY56" s="9">
        <f t="shared" si="22"/>
        <v>-3.8566814467162411E-5</v>
      </c>
      <c r="AZ56" s="16">
        <f t="shared" si="23"/>
        <v>-2.7769759802552633E-3</v>
      </c>
      <c r="BB56" s="16">
        <f t="shared" si="24"/>
        <v>-3.8566814467162411E-5</v>
      </c>
      <c r="BC56" s="16">
        <f t="shared" si="25"/>
        <v>8.0303280246388968E-5</v>
      </c>
    </row>
    <row r="57" spans="1:55" x14ac:dyDescent="0.3">
      <c r="A57" s="1">
        <v>46105</v>
      </c>
      <c r="B57" s="8">
        <v>47.83</v>
      </c>
      <c r="C57" s="8">
        <v>49.76</v>
      </c>
      <c r="D57" s="6">
        <v>1.04035124398912</v>
      </c>
      <c r="E57" s="6">
        <v>1.0395631876754901</v>
      </c>
      <c r="F57" s="6">
        <v>1.0400025634841501</v>
      </c>
      <c r="G57" s="6">
        <v>1.03815694193533</v>
      </c>
      <c r="H57" s="8">
        <v>49.722307266518698</v>
      </c>
      <c r="I57" s="8">
        <v>49.731893067399298</v>
      </c>
      <c r="J57" s="8">
        <v>49.637954660695499</v>
      </c>
      <c r="K57" s="13">
        <v>7.5777766560992704E-4</v>
      </c>
      <c r="L57" s="13">
        <v>5.6500951950528796E-4</v>
      </c>
      <c r="M57" s="13">
        <v>2.4556923943389502E-3</v>
      </c>
      <c r="N57" s="20">
        <v>0.1</v>
      </c>
      <c r="O57" s="4">
        <v>0</v>
      </c>
      <c r="P57" s="20">
        <f t="shared" si="26"/>
        <v>47.93</v>
      </c>
      <c r="Q57" s="20">
        <f t="shared" si="27"/>
        <v>49.76</v>
      </c>
      <c r="R57" s="19">
        <f t="shared" si="28"/>
        <v>1.0381806801585645</v>
      </c>
      <c r="S57" s="19">
        <f t="shared" si="0"/>
        <v>1.0384357751676798</v>
      </c>
      <c r="T57" s="19">
        <f t="shared" si="4"/>
        <v>1.0378436907443218</v>
      </c>
      <c r="U57" s="19">
        <f t="shared" si="6"/>
        <v>1.0363325949329827</v>
      </c>
      <c r="V57" s="21">
        <f t="shared" si="1"/>
        <v>49.772226703786892</v>
      </c>
      <c r="W57" s="21">
        <f t="shared" si="5"/>
        <v>49.732555324058467</v>
      </c>
      <c r="X57" s="21">
        <f t="shared" si="8"/>
        <v>49.659495424659127</v>
      </c>
      <c r="Y57" s="22">
        <f t="shared" si="2"/>
        <v>-2.4568331792241096E-4</v>
      </c>
      <c r="Z57" s="22">
        <f t="shared" si="2"/>
        <v>5.5169306986313385E-4</v>
      </c>
      <c r="AA57" s="22">
        <f t="shared" si="2"/>
        <v>2.021829001412474E-3</v>
      </c>
      <c r="AC57" s="9">
        <f t="shared" si="3"/>
        <v>-3.7562648506434498E-3</v>
      </c>
      <c r="AD57" s="9">
        <f t="shared" si="3"/>
        <v>-3.8110566636385692E-3</v>
      </c>
      <c r="AE57" s="9"/>
      <c r="AF57" s="9"/>
      <c r="AH57">
        <f t="shared" si="9"/>
        <v>0</v>
      </c>
      <c r="AI57">
        <f t="shared" si="10"/>
        <v>1</v>
      </c>
      <c r="AJ57">
        <f t="shared" si="11"/>
        <v>0</v>
      </c>
      <c r="AK57">
        <f t="shared" si="7"/>
        <v>0</v>
      </c>
      <c r="AL57" s="9">
        <f t="shared" si="12"/>
        <v>0</v>
      </c>
      <c r="AM57" s="9">
        <f t="shared" si="13"/>
        <v>0</v>
      </c>
      <c r="AN57" s="9">
        <f t="shared" si="14"/>
        <v>0</v>
      </c>
      <c r="AO57" s="16">
        <f t="shared" si="15"/>
        <v>2.8572792605016523E-3</v>
      </c>
      <c r="AQ57" s="9"/>
      <c r="AS57">
        <f t="shared" si="16"/>
        <v>1</v>
      </c>
      <c r="AT57">
        <f t="shared" si="17"/>
        <v>0</v>
      </c>
      <c r="AU57">
        <f t="shared" si="18"/>
        <v>1</v>
      </c>
      <c r="AV57">
        <f t="shared" si="19"/>
        <v>1</v>
      </c>
      <c r="AW57" s="9">
        <f t="shared" si="20"/>
        <v>-3.7562648506434498E-3</v>
      </c>
      <c r="AX57" s="9">
        <f t="shared" si="21"/>
        <v>3.8110566636385692E-3</v>
      </c>
      <c r="AY57" s="9">
        <f t="shared" si="22"/>
        <v>5.4791812995119357E-5</v>
      </c>
      <c r="AZ57" s="16">
        <f t="shared" si="23"/>
        <v>-2.722184167260144E-3</v>
      </c>
      <c r="BB57" s="16">
        <f t="shared" si="24"/>
        <v>5.4791812995119357E-5</v>
      </c>
      <c r="BC57" s="16">
        <f t="shared" si="25"/>
        <v>1.3509509324150833E-4</v>
      </c>
    </row>
    <row r="58" spans="1:55" x14ac:dyDescent="0.3">
      <c r="A58" s="1">
        <v>46106</v>
      </c>
      <c r="B58" s="8">
        <v>48.08</v>
      </c>
      <c r="C58" s="8">
        <v>50.01</v>
      </c>
      <c r="D58" s="6">
        <v>1.0401414309484101</v>
      </c>
      <c r="E58" s="6">
        <v>1.0395631876754901</v>
      </c>
      <c r="F58" s="6">
        <v>1.0400788827448</v>
      </c>
      <c r="G58" s="6">
        <v>1.0384711723650699</v>
      </c>
      <c r="H58" s="8">
        <v>49.982198063437501</v>
      </c>
      <c r="I58" s="8">
        <v>50.003323252318197</v>
      </c>
      <c r="J58" s="8">
        <v>49.914585768251001</v>
      </c>
      <c r="K58" s="13">
        <v>5.5608213075178598E-4</v>
      </c>
      <c r="L58" s="13">
        <v>1.3351716500372701E-4</v>
      </c>
      <c r="M58" s="13">
        <v>1.9097254196998601E-3</v>
      </c>
      <c r="N58" s="20">
        <v>0.1</v>
      </c>
      <c r="O58" s="4">
        <v>0</v>
      </c>
      <c r="P58" s="20">
        <f t="shared" si="26"/>
        <v>48.18</v>
      </c>
      <c r="Q58" s="20">
        <f t="shared" si="27"/>
        <v>50.01</v>
      </c>
      <c r="R58" s="19">
        <f t="shared" si="28"/>
        <v>1.0379825653798256</v>
      </c>
      <c r="S58" s="19">
        <f t="shared" si="0"/>
        <v>1.0384357751676798</v>
      </c>
      <c r="T58" s="19">
        <f t="shared" si="4"/>
        <v>1.0379190930940934</v>
      </c>
      <c r="U58" s="19">
        <f t="shared" si="6"/>
        <v>1.0365388820842907</v>
      </c>
      <c r="V58" s="21">
        <f t="shared" si="1"/>
        <v>50.031835647578816</v>
      </c>
      <c r="W58" s="21">
        <f t="shared" si="5"/>
        <v>50.003309020061423</v>
      </c>
      <c r="X58" s="21">
        <f t="shared" si="8"/>
        <v>49.930504423871106</v>
      </c>
      <c r="Y58" s="22">
        <f t="shared" si="2"/>
        <v>-4.3653033321949092E-4</v>
      </c>
      <c r="Z58" s="22">
        <f t="shared" si="2"/>
        <v>1.3380179126387098E-4</v>
      </c>
      <c r="AA58" s="22">
        <f t="shared" si="2"/>
        <v>1.5908583482339284E-3</v>
      </c>
      <c r="AC58" s="9">
        <f t="shared" si="3"/>
        <v>5.2132325347466696E-3</v>
      </c>
      <c r="AD58" s="9">
        <f t="shared" si="3"/>
        <v>5.0115369998883132E-3</v>
      </c>
      <c r="AE58" s="9"/>
      <c r="AF58" s="9"/>
      <c r="AH58">
        <f t="shared" si="9"/>
        <v>0</v>
      </c>
      <c r="AI58">
        <f t="shared" si="10"/>
        <v>1</v>
      </c>
      <c r="AJ58">
        <f t="shared" si="11"/>
        <v>0</v>
      </c>
      <c r="AK58">
        <f t="shared" si="7"/>
        <v>0</v>
      </c>
      <c r="AL58" s="9">
        <f t="shared" si="12"/>
        <v>0</v>
      </c>
      <c r="AM58" s="9">
        <f t="shared" si="13"/>
        <v>0</v>
      </c>
      <c r="AN58" s="9">
        <f t="shared" si="14"/>
        <v>0</v>
      </c>
      <c r="AO58" s="16">
        <f t="shared" si="15"/>
        <v>2.8572792605016523E-3</v>
      </c>
      <c r="AQ58" s="9"/>
      <c r="AS58">
        <f t="shared" si="16"/>
        <v>1</v>
      </c>
      <c r="AT58">
        <f t="shared" si="17"/>
        <v>0</v>
      </c>
      <c r="AU58">
        <f t="shared" si="18"/>
        <v>1</v>
      </c>
      <c r="AV58">
        <f t="shared" si="19"/>
        <v>1</v>
      </c>
      <c r="AW58" s="9">
        <f t="shared" si="20"/>
        <v>5.2132325347466696E-3</v>
      </c>
      <c r="AX58" s="9">
        <f t="shared" si="21"/>
        <v>-5.0115369998883132E-3</v>
      </c>
      <c r="AY58" s="9">
        <f t="shared" si="22"/>
        <v>2.0169553485835639E-4</v>
      </c>
      <c r="AZ58" s="16">
        <f t="shared" si="23"/>
        <v>-2.5204886324017876E-3</v>
      </c>
      <c r="BB58" s="16">
        <f t="shared" si="24"/>
        <v>2.0169553485835639E-4</v>
      </c>
      <c r="BC58" s="16">
        <f t="shared" si="25"/>
        <v>3.3679062809986471E-4</v>
      </c>
    </row>
    <row r="59" spans="1:55" x14ac:dyDescent="0.3">
      <c r="A59" s="1">
        <v>46107</v>
      </c>
      <c r="B59" s="8">
        <v>47.74</v>
      </c>
      <c r="C59" s="8">
        <v>49.76</v>
      </c>
      <c r="D59" s="6">
        <v>1.04231252618349</v>
      </c>
      <c r="E59" s="6">
        <v>1.0395631876754901</v>
      </c>
      <c r="F59" s="6">
        <v>1.0402751935994199</v>
      </c>
      <c r="G59" s="6">
        <v>1.03892725886565</v>
      </c>
      <c r="H59" s="8">
        <v>49.628746579627901</v>
      </c>
      <c r="I59" s="8">
        <v>49.653365862236797</v>
      </c>
      <c r="J59" s="8">
        <v>49.576613768708697</v>
      </c>
      <c r="K59" s="13">
        <v>2.6412144471314098E-3</v>
      </c>
      <c r="L59" s="13">
        <v>2.1452684502537402E-3</v>
      </c>
      <c r="M59" s="13">
        <v>3.69222248812903E-3</v>
      </c>
      <c r="N59" s="20">
        <v>0.1</v>
      </c>
      <c r="O59" s="4">
        <v>0</v>
      </c>
      <c r="P59" s="20">
        <f t="shared" si="26"/>
        <v>47.84</v>
      </c>
      <c r="Q59" s="20">
        <f t="shared" si="27"/>
        <v>49.76</v>
      </c>
      <c r="R59" s="19">
        <f t="shared" si="28"/>
        <v>1.040133779264214</v>
      </c>
      <c r="S59" s="19">
        <f t="shared" si="0"/>
        <v>1.0384357751676798</v>
      </c>
      <c r="T59" s="19">
        <f t="shared" si="4"/>
        <v>1.0381134589823247</v>
      </c>
      <c r="U59" s="19">
        <f t="shared" si="6"/>
        <v>1.0368860312389088</v>
      </c>
      <c r="V59" s="21">
        <f t="shared" si="1"/>
        <v>49.678767484021805</v>
      </c>
      <c r="W59" s="21">
        <f t="shared" si="5"/>
        <v>49.654049413621429</v>
      </c>
      <c r="X59" s="21">
        <f t="shared" si="8"/>
        <v>49.588020118912468</v>
      </c>
      <c r="Y59" s="22">
        <f t="shared" si="2"/>
        <v>1.6338202112411266E-3</v>
      </c>
      <c r="Z59" s="22">
        <f t="shared" si="2"/>
        <v>2.1315020787762528E-3</v>
      </c>
      <c r="AA59" s="22">
        <f t="shared" si="2"/>
        <v>3.4621737337121885E-3</v>
      </c>
      <c r="AC59" s="9">
        <f t="shared" si="3"/>
        <v>-7.0966693162679848E-3</v>
      </c>
      <c r="AD59" s="9">
        <f t="shared" si="3"/>
        <v>-5.0115369998883375E-3</v>
      </c>
      <c r="AE59" s="9"/>
      <c r="AF59" s="9"/>
      <c r="AH59">
        <f t="shared" si="9"/>
        <v>0</v>
      </c>
      <c r="AI59">
        <f t="shared" si="10"/>
        <v>1</v>
      </c>
      <c r="AJ59">
        <f t="shared" si="11"/>
        <v>0</v>
      </c>
      <c r="AK59">
        <f t="shared" si="7"/>
        <v>0</v>
      </c>
      <c r="AL59" s="9">
        <f t="shared" si="12"/>
        <v>0</v>
      </c>
      <c r="AM59" s="9">
        <f t="shared" si="13"/>
        <v>0</v>
      </c>
      <c r="AN59" s="9">
        <f t="shared" si="14"/>
        <v>0</v>
      </c>
      <c r="AO59" s="16">
        <f t="shared" si="15"/>
        <v>2.8572792605016523E-3</v>
      </c>
      <c r="AQ59" s="9"/>
      <c r="AS59">
        <f t="shared" si="16"/>
        <v>1</v>
      </c>
      <c r="AT59">
        <f t="shared" si="17"/>
        <v>0</v>
      </c>
      <c r="AU59">
        <f t="shared" si="18"/>
        <v>1</v>
      </c>
      <c r="AV59">
        <f t="shared" si="19"/>
        <v>1</v>
      </c>
      <c r="AW59" s="9">
        <f t="shared" si="20"/>
        <v>-7.0966693162679848E-3</v>
      </c>
      <c r="AX59" s="9">
        <f t="shared" si="21"/>
        <v>5.0115369998883375E-3</v>
      </c>
      <c r="AY59" s="9">
        <f t="shared" si="22"/>
        <v>-2.0851323163796473E-3</v>
      </c>
      <c r="AZ59" s="16">
        <f t="shared" si="23"/>
        <v>-4.6056209487814349E-3</v>
      </c>
      <c r="BB59" s="16">
        <f t="shared" si="24"/>
        <v>-2.0851323163796473E-3</v>
      </c>
      <c r="BC59" s="16">
        <f t="shared" si="25"/>
        <v>-1.7483416882797826E-3</v>
      </c>
    </row>
    <row r="60" spans="1:55" x14ac:dyDescent="0.3">
      <c r="A60" s="1">
        <v>46108</v>
      </c>
      <c r="B60" s="8">
        <v>47.66</v>
      </c>
      <c r="C60" s="8">
        <v>49.68</v>
      </c>
      <c r="D60" s="6">
        <v>1.0423835501468699</v>
      </c>
      <c r="E60" s="6">
        <v>1.0395631876754901</v>
      </c>
      <c r="F60" s="6">
        <v>1.0404302152807701</v>
      </c>
      <c r="G60" s="6">
        <v>1.03935944450308</v>
      </c>
      <c r="H60" s="8">
        <v>49.545581524613802</v>
      </c>
      <c r="I60" s="8">
        <v>49.5795157269485</v>
      </c>
      <c r="J60" s="8">
        <v>49.515273157537202</v>
      </c>
      <c r="K60" s="13">
        <v>2.70935288151887E-3</v>
      </c>
      <c r="L60" s="13">
        <v>2.0246785739776599E-3</v>
      </c>
      <c r="M60" s="13">
        <v>3.3212670048035999E-3</v>
      </c>
      <c r="N60" s="20">
        <v>0.1</v>
      </c>
      <c r="O60" s="4">
        <v>0</v>
      </c>
      <c r="P60" s="20">
        <f t="shared" si="26"/>
        <v>47.76</v>
      </c>
      <c r="Q60" s="20">
        <f t="shared" si="27"/>
        <v>49.68</v>
      </c>
      <c r="R60" s="19">
        <f t="shared" si="28"/>
        <v>1.0402010050251256</v>
      </c>
      <c r="S60" s="19">
        <f t="shared" si="0"/>
        <v>1.0384357751676798</v>
      </c>
      <c r="T60" s="19">
        <f t="shared" si="4"/>
        <v>1.0382666156178932</v>
      </c>
      <c r="U60" s="19">
        <f t="shared" si="6"/>
        <v>1.0372090896202466</v>
      </c>
      <c r="V60" s="21">
        <f t="shared" si="1"/>
        <v>49.595692622008386</v>
      </c>
      <c r="W60" s="21">
        <f t="shared" si="5"/>
        <v>49.580298800995827</v>
      </c>
      <c r="X60" s="21">
        <f t="shared" si="8"/>
        <v>49.521676851970284</v>
      </c>
      <c r="Y60" s="22">
        <f t="shared" si="2"/>
        <v>1.6984499635702844E-3</v>
      </c>
      <c r="Z60" s="22">
        <f t="shared" si="2"/>
        <v>2.0088843926152271E-3</v>
      </c>
      <c r="AA60" s="22">
        <f t="shared" si="2"/>
        <v>3.191947706474579E-3</v>
      </c>
      <c r="AC60" s="9">
        <f t="shared" si="3"/>
        <v>-1.6771492400880661E-3</v>
      </c>
      <c r="AD60" s="9">
        <f t="shared" si="3"/>
        <v>-1.6090108057006626E-3</v>
      </c>
      <c r="AE60" s="9"/>
      <c r="AF60" s="9"/>
      <c r="AH60">
        <f t="shared" si="9"/>
        <v>0</v>
      </c>
      <c r="AI60">
        <f t="shared" si="10"/>
        <v>1</v>
      </c>
      <c r="AJ60">
        <f t="shared" si="11"/>
        <v>0</v>
      </c>
      <c r="AK60">
        <f t="shared" si="7"/>
        <v>0</v>
      </c>
      <c r="AL60" s="9">
        <f t="shared" si="12"/>
        <v>0</v>
      </c>
      <c r="AM60" s="9">
        <f t="shared" si="13"/>
        <v>0</v>
      </c>
      <c r="AN60" s="9">
        <f t="shared" si="14"/>
        <v>0</v>
      </c>
      <c r="AO60" s="16">
        <f t="shared" si="15"/>
        <v>2.8572792605016523E-3</v>
      </c>
      <c r="AQ60" s="9"/>
      <c r="AS60">
        <f t="shared" si="16"/>
        <v>1</v>
      </c>
      <c r="AT60">
        <f t="shared" si="17"/>
        <v>0</v>
      </c>
      <c r="AU60">
        <f t="shared" si="18"/>
        <v>1</v>
      </c>
      <c r="AV60">
        <f t="shared" si="19"/>
        <v>1</v>
      </c>
      <c r="AW60" s="9">
        <f t="shared" si="20"/>
        <v>-1.6771492400880661E-3</v>
      </c>
      <c r="AX60" s="9">
        <f t="shared" si="21"/>
        <v>1.6090108057006626E-3</v>
      </c>
      <c r="AY60" s="9">
        <f t="shared" si="22"/>
        <v>-6.8138434387403574E-5</v>
      </c>
      <c r="AZ60" s="16">
        <f t="shared" si="23"/>
        <v>-4.6737593831688382E-3</v>
      </c>
      <c r="BB60" s="16">
        <f t="shared" si="24"/>
        <v>-6.8138434387403574E-5</v>
      </c>
      <c r="BC60" s="16">
        <f t="shared" si="25"/>
        <v>-1.8164801226671862E-3</v>
      </c>
    </row>
    <row r="61" spans="1:55" x14ac:dyDescent="0.3">
      <c r="A61" s="1">
        <v>46111</v>
      </c>
      <c r="B61" s="8">
        <v>47.79</v>
      </c>
      <c r="C61" s="8">
        <v>49.81</v>
      </c>
      <c r="D61" s="6">
        <v>1.0422682569575199</v>
      </c>
      <c r="E61" s="6">
        <v>1.0395631876754901</v>
      </c>
      <c r="F61" s="6">
        <v>1.04069602894832</v>
      </c>
      <c r="G61" s="6">
        <v>1.0397050257547999</v>
      </c>
      <c r="H61" s="8">
        <v>49.680724739011701</v>
      </c>
      <c r="I61" s="8">
        <v>49.722159988268402</v>
      </c>
      <c r="J61" s="8">
        <v>49.670987852802298</v>
      </c>
      <c r="K61" s="13">
        <v>2.5987414220166702E-3</v>
      </c>
      <c r="L61" s="13">
        <v>1.76505833987509E-3</v>
      </c>
      <c r="M61" s="13">
        <v>2.79474984475118E-3</v>
      </c>
      <c r="N61" s="20">
        <v>0.1</v>
      </c>
      <c r="O61" s="4">
        <v>0</v>
      </c>
      <c r="P61" s="20">
        <f t="shared" si="26"/>
        <v>47.89</v>
      </c>
      <c r="Q61" s="20">
        <f t="shared" si="27"/>
        <v>49.81</v>
      </c>
      <c r="R61" s="19">
        <f t="shared" si="28"/>
        <v>1.0400918772186261</v>
      </c>
      <c r="S61" s="19">
        <f t="shared" si="0"/>
        <v>1.0384357751676798</v>
      </c>
      <c r="T61" s="19">
        <f t="shared" si="4"/>
        <v>1.0385299424126035</v>
      </c>
      <c r="U61" s="19">
        <f t="shared" si="6"/>
        <v>1.0375514358776696</v>
      </c>
      <c r="V61" s="21">
        <f t="shared" si="1"/>
        <v>49.730689272780189</v>
      </c>
      <c r="W61" s="21">
        <f t="shared" si="5"/>
        <v>49.72258822194091</v>
      </c>
      <c r="X61" s="21">
        <f t="shared" si="8"/>
        <v>49.671943301913608</v>
      </c>
      <c r="Y61" s="22">
        <f t="shared" si="2"/>
        <v>1.5935341533676365E-3</v>
      </c>
      <c r="Z61" s="22">
        <f t="shared" si="2"/>
        <v>1.7564458453955957E-3</v>
      </c>
      <c r="AA61" s="22">
        <f t="shared" si="2"/>
        <v>2.7755144728893095E-3</v>
      </c>
      <c r="AC61" s="9">
        <f t="shared" si="3"/>
        <v>2.7239409194708126E-3</v>
      </c>
      <c r="AD61" s="9">
        <f t="shared" si="3"/>
        <v>2.6133294599688154E-3</v>
      </c>
      <c r="AE61" s="9"/>
      <c r="AF61" s="9"/>
      <c r="AH61">
        <f t="shared" si="9"/>
        <v>0</v>
      </c>
      <c r="AI61">
        <f t="shared" si="10"/>
        <v>1</v>
      </c>
      <c r="AJ61">
        <f t="shared" si="11"/>
        <v>0</v>
      </c>
      <c r="AK61">
        <f t="shared" si="7"/>
        <v>0</v>
      </c>
      <c r="AL61" s="9">
        <f t="shared" si="12"/>
        <v>0</v>
      </c>
      <c r="AM61" s="9">
        <f t="shared" si="13"/>
        <v>0</v>
      </c>
      <c r="AN61" s="9">
        <f t="shared" si="14"/>
        <v>0</v>
      </c>
      <c r="AO61" s="16">
        <f t="shared" si="15"/>
        <v>2.8572792605016523E-3</v>
      </c>
      <c r="AQ61" s="9"/>
      <c r="AS61">
        <f t="shared" si="16"/>
        <v>1</v>
      </c>
      <c r="AT61">
        <f t="shared" si="17"/>
        <v>0</v>
      </c>
      <c r="AU61">
        <f t="shared" si="18"/>
        <v>1</v>
      </c>
      <c r="AV61">
        <f t="shared" si="19"/>
        <v>1</v>
      </c>
      <c r="AW61" s="9">
        <f t="shared" si="20"/>
        <v>2.7239409194708126E-3</v>
      </c>
      <c r="AX61" s="9">
        <f t="shared" si="21"/>
        <v>-2.6133294599688154E-3</v>
      </c>
      <c r="AY61" s="9">
        <f t="shared" si="22"/>
        <v>1.1061145950199726E-4</v>
      </c>
      <c r="AZ61" s="16">
        <f t="shared" si="23"/>
        <v>-4.563147923666841E-3</v>
      </c>
      <c r="BB61" s="16">
        <f t="shared" si="24"/>
        <v>1.1061145950199726E-4</v>
      </c>
      <c r="BC61" s="16">
        <f t="shared" si="25"/>
        <v>-1.7058686631651889E-3</v>
      </c>
    </row>
    <row r="62" spans="1:55" x14ac:dyDescent="0.3">
      <c r="A62" s="1">
        <v>46112</v>
      </c>
      <c r="B62" s="8">
        <v>48.05</v>
      </c>
      <c r="C62" s="8">
        <v>50.04</v>
      </c>
      <c r="D62" s="6">
        <v>1.0414151925077999</v>
      </c>
      <c r="E62" s="6">
        <v>1.0395631876754901</v>
      </c>
      <c r="F62" s="6">
        <v>1.04102802438958</v>
      </c>
      <c r="G62" s="6">
        <v>1.0399633749767501</v>
      </c>
      <c r="H62" s="8">
        <v>49.951011167807302</v>
      </c>
      <c r="I62" s="8">
        <v>50.005444190967097</v>
      </c>
      <c r="J62" s="8">
        <v>49.957826487518197</v>
      </c>
      <c r="K62" s="13">
        <v>1.77993710930055E-3</v>
      </c>
      <c r="L62" s="13">
        <v>6.9080227863512302E-4</v>
      </c>
      <c r="M62" s="13">
        <v>1.64350634138456E-3</v>
      </c>
      <c r="N62" s="20">
        <v>0.1</v>
      </c>
      <c r="O62" s="4">
        <v>0</v>
      </c>
      <c r="P62" s="20">
        <f t="shared" si="26"/>
        <v>48.15</v>
      </c>
      <c r="Q62" s="20">
        <f t="shared" si="27"/>
        <v>50.04</v>
      </c>
      <c r="R62" s="19">
        <f t="shared" si="28"/>
        <v>1.0392523364485982</v>
      </c>
      <c r="S62" s="19">
        <f t="shared" si="0"/>
        <v>1.0384357751676798</v>
      </c>
      <c r="T62" s="19">
        <f t="shared" si="4"/>
        <v>1.0388601347351494</v>
      </c>
      <c r="U62" s="19">
        <f t="shared" si="6"/>
        <v>1.0378075331824212</v>
      </c>
      <c r="V62" s="21">
        <f t="shared" si="1"/>
        <v>50.000682574323783</v>
      </c>
      <c r="W62" s="21">
        <f t="shared" si="5"/>
        <v>50.005216727166861</v>
      </c>
      <c r="X62" s="21">
        <f t="shared" si="8"/>
        <v>49.958101637509792</v>
      </c>
      <c r="Y62" s="22">
        <f t="shared" si="2"/>
        <v>7.8602877726942659E-4</v>
      </c>
      <c r="Z62" s="22">
        <f t="shared" si="2"/>
        <v>6.9535106969711362E-4</v>
      </c>
      <c r="AA62" s="22">
        <f t="shared" si="2"/>
        <v>1.6379987111848568E-3</v>
      </c>
      <c r="AC62" s="9">
        <f t="shared" si="3"/>
        <v>5.4257228262346328E-3</v>
      </c>
      <c r="AD62" s="9">
        <f t="shared" si="3"/>
        <v>4.6069185135182589E-3</v>
      </c>
      <c r="AE62" s="9"/>
      <c r="AF62" s="9"/>
      <c r="AH62">
        <f t="shared" si="9"/>
        <v>0</v>
      </c>
      <c r="AI62">
        <f t="shared" si="10"/>
        <v>1</v>
      </c>
      <c r="AJ62">
        <f t="shared" si="11"/>
        <v>0</v>
      </c>
      <c r="AK62">
        <f t="shared" si="7"/>
        <v>0</v>
      </c>
      <c r="AL62" s="9">
        <f t="shared" si="12"/>
        <v>0</v>
      </c>
      <c r="AM62" s="9">
        <f t="shared" si="13"/>
        <v>0</v>
      </c>
      <c r="AN62" s="9">
        <f t="shared" si="14"/>
        <v>0</v>
      </c>
      <c r="AO62" s="16">
        <f t="shared" si="15"/>
        <v>2.8572792605016523E-3</v>
      </c>
      <c r="AQ62" s="9"/>
      <c r="AS62">
        <f t="shared" si="16"/>
        <v>1</v>
      </c>
      <c r="AT62">
        <f t="shared" si="17"/>
        <v>0</v>
      </c>
      <c r="AU62">
        <f t="shared" si="18"/>
        <v>1</v>
      </c>
      <c r="AV62" s="23">
        <v>0</v>
      </c>
      <c r="AW62" s="9">
        <f t="shared" si="20"/>
        <v>0</v>
      </c>
      <c r="AX62" s="9">
        <f t="shared" si="21"/>
        <v>0</v>
      </c>
      <c r="AY62" s="9">
        <f t="shared" si="22"/>
        <v>0</v>
      </c>
      <c r="AZ62" s="16">
        <f t="shared" si="23"/>
        <v>-4.563147923666841E-3</v>
      </c>
      <c r="BB62" s="16">
        <f t="shared" si="24"/>
        <v>0</v>
      </c>
      <c r="BC62" s="16">
        <f t="shared" si="25"/>
        <v>-1.7058686631651889E-3</v>
      </c>
    </row>
    <row r="63" spans="1:55" x14ac:dyDescent="0.3">
      <c r="A63" s="1">
        <v>46113</v>
      </c>
      <c r="B63" s="8">
        <v>48.01</v>
      </c>
      <c r="C63" s="8">
        <v>49.86</v>
      </c>
      <c r="D63" s="6">
        <v>1.03853363882524</v>
      </c>
      <c r="E63" s="6">
        <v>1.0395631876754901</v>
      </c>
      <c r="F63" s="6">
        <v>1.0408697482804199</v>
      </c>
      <c r="G63" s="6">
        <v>1.04001390354503</v>
      </c>
      <c r="H63" s="8">
        <v>49.909428640300298</v>
      </c>
      <c r="I63" s="8">
        <v>49.979755450943898</v>
      </c>
      <c r="J63" s="8">
        <v>49.928641632633799</v>
      </c>
      <c r="K63" s="13">
        <v>-9.9085752054549597E-4</v>
      </c>
      <c r="L63" s="13">
        <v>-2.3989543611267899E-3</v>
      </c>
      <c r="M63" s="13">
        <v>-1.37574061209934E-3</v>
      </c>
      <c r="N63" s="4">
        <v>0</v>
      </c>
      <c r="O63" s="4">
        <v>0</v>
      </c>
      <c r="P63" s="20">
        <f t="shared" si="26"/>
        <v>48.01</v>
      </c>
      <c r="Q63" s="20">
        <f t="shared" si="27"/>
        <v>49.86</v>
      </c>
      <c r="R63" s="19">
        <f t="shared" si="28"/>
        <v>1.0385336388252449</v>
      </c>
      <c r="S63" s="19">
        <f t="shared" si="0"/>
        <v>1.0384357751676798</v>
      </c>
      <c r="T63" s="19">
        <f t="shared" si="4"/>
        <v>1.0389176056494098</v>
      </c>
      <c r="U63" s="19">
        <f t="shared" si="6"/>
        <v>1.0379642130774385</v>
      </c>
      <c r="V63" s="21">
        <f t="shared" si="1"/>
        <v>49.855301565800303</v>
      </c>
      <c r="W63" s="21">
        <f t="shared" si="5"/>
        <v>49.875675068634521</v>
      </c>
      <c r="X63" s="21">
        <f t="shared" si="8"/>
        <v>49.825139668088042</v>
      </c>
      <c r="Y63" s="22">
        <f t="shared" si="2"/>
        <v>9.4236975256455506E-5</v>
      </c>
      <c r="Z63" s="22">
        <f t="shared" si="2"/>
        <v>-3.1433223373274471E-4</v>
      </c>
      <c r="AA63" s="22">
        <f t="shared" si="2"/>
        <v>6.9940882761642862E-4</v>
      </c>
      <c r="AC63" s="9">
        <f t="shared" si="3"/>
        <v>-8.3281287345248389E-4</v>
      </c>
      <c r="AD63" s="9">
        <f t="shared" si="3"/>
        <v>-3.6036075032985443E-3</v>
      </c>
      <c r="AE63" s="9"/>
      <c r="AF63" s="9"/>
      <c r="AH63">
        <f t="shared" si="9"/>
        <v>0</v>
      </c>
      <c r="AI63">
        <f t="shared" si="10"/>
        <v>1</v>
      </c>
      <c r="AJ63">
        <f t="shared" si="11"/>
        <v>0</v>
      </c>
      <c r="AK63">
        <f t="shared" si="7"/>
        <v>0</v>
      </c>
      <c r="AL63" s="9">
        <f t="shared" si="12"/>
        <v>0</v>
      </c>
      <c r="AM63" s="9">
        <f t="shared" si="13"/>
        <v>0</v>
      </c>
      <c r="AN63" s="9">
        <f t="shared" si="14"/>
        <v>0</v>
      </c>
      <c r="AO63" s="16">
        <f t="shared" si="15"/>
        <v>2.8572792605016523E-3</v>
      </c>
      <c r="AQ63" s="9"/>
      <c r="AS63">
        <f t="shared" si="16"/>
        <v>0</v>
      </c>
      <c r="AT63">
        <f t="shared" si="17"/>
        <v>0</v>
      </c>
      <c r="AU63">
        <f t="shared" si="18"/>
        <v>0</v>
      </c>
      <c r="AV63">
        <f t="shared" si="19"/>
        <v>1</v>
      </c>
      <c r="AW63" s="9">
        <f t="shared" si="20"/>
        <v>-8.3281287345248389E-4</v>
      </c>
      <c r="AX63" s="9">
        <f t="shared" si="21"/>
        <v>3.6036075032985443E-3</v>
      </c>
      <c r="AY63" s="9">
        <f t="shared" si="22"/>
        <v>2.7707946298460603E-3</v>
      </c>
      <c r="AZ63" s="16">
        <f t="shared" si="23"/>
        <v>-1.7923532938207806E-3</v>
      </c>
      <c r="BB63" s="16">
        <f t="shared" si="24"/>
        <v>2.7707946298460603E-3</v>
      </c>
      <c r="BC63" s="16">
        <f t="shared" si="25"/>
        <v>1.0649259666808714E-3</v>
      </c>
    </row>
    <row r="64" spans="1:55" x14ac:dyDescent="0.3">
      <c r="A64" s="1">
        <v>46114</v>
      </c>
      <c r="B64" s="8">
        <v>47.96</v>
      </c>
      <c r="C64" s="8">
        <v>49.83</v>
      </c>
      <c r="D64" s="6">
        <v>1.03899082568807</v>
      </c>
      <c r="E64" s="6">
        <v>1.0395631876754901</v>
      </c>
      <c r="F64" s="6">
        <v>1.04071730373516</v>
      </c>
      <c r="G64" s="6">
        <v>1.0400799536808201</v>
      </c>
      <c r="H64" s="8">
        <v>49.857450480916498</v>
      </c>
      <c r="I64" s="8">
        <v>49.920113127529</v>
      </c>
      <c r="J64" s="8">
        <v>49.87906681402</v>
      </c>
      <c r="K64" s="13">
        <v>-5.5073093910879098E-4</v>
      </c>
      <c r="L64" s="13">
        <v>-1.80677794175484E-3</v>
      </c>
      <c r="M64" s="13">
        <v>-9.8419972322617605E-4</v>
      </c>
      <c r="N64" s="4">
        <v>0</v>
      </c>
      <c r="O64" s="4">
        <v>0</v>
      </c>
      <c r="P64" s="20">
        <f t="shared" si="26"/>
        <v>47.96</v>
      </c>
      <c r="Q64" s="20">
        <f t="shared" si="27"/>
        <v>49.83</v>
      </c>
      <c r="R64" s="19">
        <f t="shared" si="28"/>
        <v>1.0389908256880733</v>
      </c>
      <c r="S64" s="19">
        <f t="shared" si="0"/>
        <v>1.0384357751676798</v>
      </c>
      <c r="T64" s="19">
        <f t="shared" si="4"/>
        <v>1.0389809013635625</v>
      </c>
      <c r="U64" s="19">
        <f t="shared" si="6"/>
        <v>1.0381368439263452</v>
      </c>
      <c r="V64" s="21">
        <f t="shared" si="1"/>
        <v>49.803379777041926</v>
      </c>
      <c r="W64" s="21">
        <f t="shared" si="5"/>
        <v>49.826488366945696</v>
      </c>
      <c r="X64" s="21">
        <f t="shared" si="8"/>
        <v>49.780763659193951</v>
      </c>
      <c r="Y64" s="22">
        <f t="shared" si="2"/>
        <v>5.3436355669320688E-4</v>
      </c>
      <c r="Z64" s="22">
        <f t="shared" si="2"/>
        <v>7.0474750080096386E-5</v>
      </c>
      <c r="AA64" s="22">
        <f t="shared" si="2"/>
        <v>9.885747886505434E-4</v>
      </c>
      <c r="AC64" s="9">
        <f t="shared" si="3"/>
        <v>-1.041992383535381E-3</v>
      </c>
      <c r="AD64" s="9">
        <f t="shared" si="3"/>
        <v>-6.0186580209867343E-4</v>
      </c>
      <c r="AE64" s="9"/>
      <c r="AF64" s="9"/>
      <c r="AH64">
        <f t="shared" si="9"/>
        <v>0</v>
      </c>
      <c r="AI64">
        <f t="shared" si="10"/>
        <v>1</v>
      </c>
      <c r="AJ64">
        <f t="shared" si="11"/>
        <v>0</v>
      </c>
      <c r="AK64">
        <f t="shared" si="7"/>
        <v>0</v>
      </c>
      <c r="AL64" s="9">
        <f t="shared" si="12"/>
        <v>0</v>
      </c>
      <c r="AM64" s="9">
        <f t="shared" si="13"/>
        <v>0</v>
      </c>
      <c r="AN64" s="9">
        <f t="shared" si="14"/>
        <v>0</v>
      </c>
      <c r="AO64" s="16">
        <f t="shared" si="15"/>
        <v>2.8572792605016523E-3</v>
      </c>
      <c r="AQ64" s="9"/>
      <c r="AS64">
        <f t="shared" si="16"/>
        <v>0</v>
      </c>
      <c r="AT64">
        <f t="shared" si="17"/>
        <v>0</v>
      </c>
      <c r="AU64">
        <f t="shared" si="18"/>
        <v>1</v>
      </c>
      <c r="AV64">
        <f t="shared" si="19"/>
        <v>0</v>
      </c>
      <c r="AW64" s="9">
        <f t="shared" si="20"/>
        <v>0</v>
      </c>
      <c r="AX64" s="9">
        <f t="shared" si="21"/>
        <v>0</v>
      </c>
      <c r="AY64" s="9">
        <f t="shared" si="22"/>
        <v>0</v>
      </c>
      <c r="AZ64" s="16">
        <f t="shared" si="23"/>
        <v>-1.7923532938207806E-3</v>
      </c>
      <c r="BB64" s="16">
        <f t="shared" si="24"/>
        <v>0</v>
      </c>
      <c r="BC64" s="16">
        <f t="shared" si="25"/>
        <v>1.0649259666808714E-3</v>
      </c>
    </row>
    <row r="65" spans="1:55" x14ac:dyDescent="0.3">
      <c r="A65" s="1">
        <v>46118</v>
      </c>
      <c r="B65" s="8">
        <v>47.88</v>
      </c>
      <c r="C65" s="8">
        <v>49.79</v>
      </c>
      <c r="D65" s="6">
        <v>1.0398913951545501</v>
      </c>
      <c r="E65" s="6">
        <v>1.0395631876754901</v>
      </c>
      <c r="F65" s="6">
        <v>1.0406696308682699</v>
      </c>
      <c r="G65" s="6">
        <v>1.04011333433863</v>
      </c>
      <c r="H65" s="8">
        <v>49.774285425902498</v>
      </c>
      <c r="I65" s="8">
        <v>49.829544502839603</v>
      </c>
      <c r="J65" s="8">
        <v>49.799028182237699</v>
      </c>
      <c r="K65" s="13">
        <v>3.1566689121047498E-4</v>
      </c>
      <c r="L65" s="13">
        <v>-7.9391057475794902E-4</v>
      </c>
      <c r="M65" s="13">
        <v>-1.81308773210067E-4</v>
      </c>
      <c r="N65" s="4">
        <v>0</v>
      </c>
      <c r="O65" s="4">
        <v>0</v>
      </c>
      <c r="P65" s="20">
        <f t="shared" si="26"/>
        <v>47.88</v>
      </c>
      <c r="Q65" s="20">
        <f t="shared" si="27"/>
        <v>49.79</v>
      </c>
      <c r="R65" s="19">
        <f t="shared" si="28"/>
        <v>1.039891395154553</v>
      </c>
      <c r="S65" s="19">
        <f t="shared" si="0"/>
        <v>1.0384357751676798</v>
      </c>
      <c r="T65" s="19">
        <f t="shared" si="4"/>
        <v>1.039150379013019</v>
      </c>
      <c r="U65" s="19">
        <f t="shared" si="6"/>
        <v>1.0382772727693632</v>
      </c>
      <c r="V65" s="21">
        <f t="shared" si="1"/>
        <v>49.720304915028514</v>
      </c>
      <c r="W65" s="21">
        <f t="shared" si="5"/>
        <v>49.746405557287375</v>
      </c>
      <c r="X65" s="21">
        <f t="shared" si="8"/>
        <v>49.705992087193408</v>
      </c>
      <c r="Y65" s="22">
        <f t="shared" si="2"/>
        <v>1.4007613870122852E-3</v>
      </c>
      <c r="Z65" s="22">
        <f t="shared" si="2"/>
        <v>8.759497644305049E-4</v>
      </c>
      <c r="AA65" s="22">
        <f t="shared" si="2"/>
        <v>1.6886696842238473E-3</v>
      </c>
      <c r="AC65" s="9">
        <f t="shared" si="3"/>
        <v>-1.6694494695410462E-3</v>
      </c>
      <c r="AD65" s="9">
        <f t="shared" si="3"/>
        <v>-8.0305163922186255E-4</v>
      </c>
      <c r="AE65" s="9"/>
      <c r="AF65" s="9"/>
      <c r="AH65">
        <f t="shared" si="9"/>
        <v>0</v>
      </c>
      <c r="AI65">
        <f t="shared" si="10"/>
        <v>1</v>
      </c>
      <c r="AJ65">
        <f t="shared" si="11"/>
        <v>0</v>
      </c>
      <c r="AK65">
        <f t="shared" si="7"/>
        <v>0</v>
      </c>
      <c r="AL65" s="9">
        <f t="shared" si="12"/>
        <v>0</v>
      </c>
      <c r="AM65" s="9">
        <f t="shared" si="13"/>
        <v>0</v>
      </c>
      <c r="AN65" s="9">
        <f t="shared" si="14"/>
        <v>0</v>
      </c>
      <c r="AO65" s="16">
        <f t="shared" si="15"/>
        <v>2.8572792605016523E-3</v>
      </c>
      <c r="AQ65" s="9"/>
      <c r="AS65">
        <f t="shared" si="16"/>
        <v>1</v>
      </c>
      <c r="AT65">
        <f t="shared" si="17"/>
        <v>0</v>
      </c>
      <c r="AU65">
        <f t="shared" si="18"/>
        <v>0</v>
      </c>
      <c r="AV65">
        <f t="shared" si="19"/>
        <v>1</v>
      </c>
      <c r="AW65" s="9">
        <f t="shared" si="20"/>
        <v>-1.6694494695410462E-3</v>
      </c>
      <c r="AX65" s="9">
        <f t="shared" si="21"/>
        <v>8.0305163922186255E-4</v>
      </c>
      <c r="AY65" s="9">
        <f t="shared" si="22"/>
        <v>-8.6639783031918361E-4</v>
      </c>
      <c r="AZ65" s="16">
        <f t="shared" si="23"/>
        <v>-2.6587511241399644E-3</v>
      </c>
      <c r="BB65" s="16">
        <f t="shared" si="24"/>
        <v>-8.6639783031918361E-4</v>
      </c>
      <c r="BC65" s="16">
        <f t="shared" si="25"/>
        <v>1.9852813636168779E-4</v>
      </c>
    </row>
    <row r="66" spans="1:55" x14ac:dyDescent="0.3">
      <c r="A66" s="1">
        <v>46119</v>
      </c>
      <c r="B66" s="8">
        <v>47.91</v>
      </c>
      <c r="C66" s="8">
        <v>49.81</v>
      </c>
      <c r="D66" s="6">
        <v>1.0396576915049001</v>
      </c>
      <c r="E66" s="6">
        <v>1.0395631876754901</v>
      </c>
      <c r="F66" s="6">
        <v>1.0405945751906001</v>
      </c>
      <c r="G66" s="6">
        <v>1.0401790884253099</v>
      </c>
      <c r="H66" s="8">
        <v>49.805472321532697</v>
      </c>
      <c r="I66" s="8">
        <v>49.858482014898897</v>
      </c>
      <c r="J66" s="8">
        <v>49.8318298481638</v>
      </c>
      <c r="K66" s="13">
        <v>9.0903117053080601E-5</v>
      </c>
      <c r="L66" s="13">
        <v>-9.7286559888707302E-4</v>
      </c>
      <c r="M66" s="13">
        <v>-4.3816635134750402E-4</v>
      </c>
      <c r="N66" s="4">
        <v>0</v>
      </c>
      <c r="O66" s="4">
        <v>0</v>
      </c>
      <c r="P66" s="20">
        <f t="shared" si="26"/>
        <v>47.91</v>
      </c>
      <c r="Q66" s="20">
        <f t="shared" si="27"/>
        <v>49.81</v>
      </c>
      <c r="R66" s="19">
        <f t="shared" si="28"/>
        <v>1.0396576915049052</v>
      </c>
      <c r="S66" s="19">
        <f t="shared" si="0"/>
        <v>1.0384357751676798</v>
      </c>
      <c r="T66" s="19">
        <f t="shared" si="4"/>
        <v>1.039291579466773</v>
      </c>
      <c r="U66" s="19">
        <f t="shared" si="6"/>
        <v>1.0384498302514178</v>
      </c>
      <c r="V66" s="21">
        <f t="shared" si="1"/>
        <v>49.751457988283533</v>
      </c>
      <c r="W66" s="21">
        <f t="shared" si="5"/>
        <v>49.785694658513734</v>
      </c>
      <c r="X66" s="21">
        <f t="shared" si="8"/>
        <v>49.743864138380189</v>
      </c>
      <c r="Y66" s="22">
        <f t="shared" si="2"/>
        <v>1.1759976128550558E-3</v>
      </c>
      <c r="Z66" s="22">
        <f t="shared" si="2"/>
        <v>4.880801735879428E-4</v>
      </c>
      <c r="AA66" s="22">
        <f t="shared" si="2"/>
        <v>1.3286449887471405E-3</v>
      </c>
      <c r="AC66" s="9">
        <f t="shared" si="3"/>
        <v>6.2637020525834451E-4</v>
      </c>
      <c r="AD66" s="9">
        <f t="shared" si="3"/>
        <v>4.01606431100628E-4</v>
      </c>
      <c r="AE66" s="9"/>
      <c r="AF66" s="9"/>
      <c r="AH66">
        <f t="shared" si="9"/>
        <v>0</v>
      </c>
      <c r="AI66">
        <f t="shared" si="10"/>
        <v>1</v>
      </c>
      <c r="AJ66">
        <f t="shared" si="11"/>
        <v>0</v>
      </c>
      <c r="AK66">
        <f t="shared" si="7"/>
        <v>0</v>
      </c>
      <c r="AL66" s="9">
        <f t="shared" si="12"/>
        <v>0</v>
      </c>
      <c r="AM66" s="9">
        <f t="shared" si="13"/>
        <v>0</v>
      </c>
      <c r="AN66" s="9">
        <f t="shared" si="14"/>
        <v>0</v>
      </c>
      <c r="AO66" s="16">
        <f t="shared" si="15"/>
        <v>2.8572792605016523E-3</v>
      </c>
      <c r="AQ66" s="9"/>
      <c r="AS66">
        <f t="shared" si="16"/>
        <v>1</v>
      </c>
      <c r="AT66">
        <f t="shared" si="17"/>
        <v>0</v>
      </c>
      <c r="AU66">
        <f t="shared" si="18"/>
        <v>1</v>
      </c>
      <c r="AV66">
        <f t="shared" si="19"/>
        <v>1</v>
      </c>
      <c r="AW66" s="9">
        <f t="shared" si="20"/>
        <v>6.2637020525834451E-4</v>
      </c>
      <c r="AX66" s="9">
        <f t="shared" si="21"/>
        <v>-4.01606431100628E-4</v>
      </c>
      <c r="AY66" s="9">
        <f t="shared" si="22"/>
        <v>2.247637741577165E-4</v>
      </c>
      <c r="AZ66" s="16">
        <f t="shared" si="23"/>
        <v>-2.4339873499822479E-3</v>
      </c>
      <c r="BB66" s="16">
        <f t="shared" si="24"/>
        <v>2.247637741577165E-4</v>
      </c>
      <c r="BC66" s="16">
        <f t="shared" si="25"/>
        <v>4.232919105194043E-4</v>
      </c>
    </row>
    <row r="67" spans="1:55" x14ac:dyDescent="0.3">
      <c r="A67" s="1">
        <v>46120</v>
      </c>
      <c r="B67" s="8">
        <v>48.28</v>
      </c>
      <c r="C67" s="8">
        <v>50.13</v>
      </c>
      <c r="D67" s="6">
        <v>1.0383181441590701</v>
      </c>
      <c r="E67" s="6">
        <v>1.0395631876754901</v>
      </c>
      <c r="F67" s="6">
        <v>1.04039126520759</v>
      </c>
      <c r="G67" s="6">
        <v>1.04019691434587</v>
      </c>
      <c r="H67" s="8">
        <v>50.190110700972603</v>
      </c>
      <c r="I67" s="8">
        <v>50.239906090202197</v>
      </c>
      <c r="J67" s="8">
        <v>50.2198463891743</v>
      </c>
      <c r="K67" s="13">
        <v>-1.19837802702715E-3</v>
      </c>
      <c r="L67" s="13">
        <v>-2.1900216591030398E-3</v>
      </c>
      <c r="M67" s="13">
        <v>-1.79066369137049E-3</v>
      </c>
      <c r="N67" s="4">
        <v>0</v>
      </c>
      <c r="O67" s="4">
        <v>0</v>
      </c>
      <c r="P67" s="20">
        <f t="shared" si="26"/>
        <v>48.28</v>
      </c>
      <c r="Q67" s="20">
        <f t="shared" si="27"/>
        <v>50.13</v>
      </c>
      <c r="R67" s="19">
        <f t="shared" si="28"/>
        <v>1.0383181441590721</v>
      </c>
      <c r="S67" s="19">
        <f t="shared" si="0"/>
        <v>1.0384357751676798</v>
      </c>
      <c r="T67" s="19">
        <f t="shared" si="4"/>
        <v>1.0393053258668237</v>
      </c>
      <c r="U67" s="19">
        <f t="shared" si="6"/>
        <v>1.0385745083055729</v>
      </c>
      <c r="V67" s="21">
        <f t="shared" si="1"/>
        <v>50.135679225095586</v>
      </c>
      <c r="W67" s="21">
        <f t="shared" si="5"/>
        <v>50.176997456655798</v>
      </c>
      <c r="X67" s="21">
        <f t="shared" si="8"/>
        <v>50.136357804538456</v>
      </c>
      <c r="Y67" s="22">
        <f t="shared" si="2"/>
        <v>-1.1328353122522099E-4</v>
      </c>
      <c r="Z67" s="22">
        <f t="shared" si="2"/>
        <v>-9.3707241342080091E-4</v>
      </c>
      <c r="AA67" s="22">
        <f t="shared" si="2"/>
        <v>-1.2681830049850575E-4</v>
      </c>
      <c r="AC67" s="9">
        <f t="shared" si="3"/>
        <v>7.6931453343001433E-3</v>
      </c>
      <c r="AD67" s="9">
        <f t="shared" si="3"/>
        <v>6.4038641902201005E-3</v>
      </c>
      <c r="AE67" s="9"/>
      <c r="AF67" s="9"/>
      <c r="AH67">
        <f t="shared" si="9"/>
        <v>0</v>
      </c>
      <c r="AI67">
        <f t="shared" si="10"/>
        <v>0</v>
      </c>
      <c r="AJ67">
        <f t="shared" si="11"/>
        <v>0</v>
      </c>
      <c r="AK67">
        <f t="shared" si="7"/>
        <v>0</v>
      </c>
      <c r="AL67" s="9">
        <f t="shared" si="12"/>
        <v>0</v>
      </c>
      <c r="AM67" s="9">
        <f t="shared" si="13"/>
        <v>0</v>
      </c>
      <c r="AN67" s="9">
        <f t="shared" si="14"/>
        <v>0</v>
      </c>
      <c r="AO67" s="16">
        <f t="shared" si="15"/>
        <v>2.8572792605016523E-3</v>
      </c>
      <c r="AQ67" s="9"/>
      <c r="AS67">
        <f t="shared" si="16"/>
        <v>0</v>
      </c>
      <c r="AT67">
        <f t="shared" si="17"/>
        <v>1</v>
      </c>
      <c r="AU67">
        <f t="shared" si="18"/>
        <v>1</v>
      </c>
      <c r="AV67">
        <f t="shared" si="19"/>
        <v>1</v>
      </c>
      <c r="AW67" s="9">
        <f t="shared" si="20"/>
        <v>7.6931453343001433E-3</v>
      </c>
      <c r="AX67" s="9">
        <f t="shared" si="21"/>
        <v>-6.4038641902201005E-3</v>
      </c>
      <c r="AY67" s="9">
        <f t="shared" si="22"/>
        <v>1.2892811440800428E-3</v>
      </c>
      <c r="AZ67" s="16">
        <f t="shared" si="23"/>
        <v>-1.1447062059022051E-3</v>
      </c>
      <c r="BB67" s="16">
        <f t="shared" si="24"/>
        <v>1.2892811440800428E-3</v>
      </c>
      <c r="BC67" s="16">
        <f t="shared" si="25"/>
        <v>1.7125730545994471E-3</v>
      </c>
    </row>
    <row r="68" spans="1:55" x14ac:dyDescent="0.3">
      <c r="A68" s="1">
        <v>46121</v>
      </c>
      <c r="B68" s="8">
        <v>48.13</v>
      </c>
      <c r="C68" s="8">
        <v>50.03</v>
      </c>
      <c r="D68" s="6">
        <v>1.03947641803449</v>
      </c>
      <c r="E68" s="6">
        <v>1.0395631876754901</v>
      </c>
      <c r="F68" s="6">
        <v>1.0403247639162001</v>
      </c>
      <c r="G68" s="6">
        <v>1.0402018233304999</v>
      </c>
      <c r="H68" s="8">
        <v>50.034176222821301</v>
      </c>
      <c r="I68" s="8">
        <v>50.0740315944416</v>
      </c>
      <c r="J68" s="8">
        <v>50.064677487467002</v>
      </c>
      <c r="K68" s="13">
        <v>-8.3470888012873005E-5</v>
      </c>
      <c r="L68" s="13">
        <v>-8.7971676225139298E-4</v>
      </c>
      <c r="M68" s="13">
        <v>-6.9289376268335103E-4</v>
      </c>
      <c r="N68" s="4">
        <v>0</v>
      </c>
      <c r="O68" s="4">
        <v>0</v>
      </c>
      <c r="P68" s="20">
        <f t="shared" si="26"/>
        <v>48.13</v>
      </c>
      <c r="Q68" s="20">
        <f t="shared" si="27"/>
        <v>50.03</v>
      </c>
      <c r="R68" s="19">
        <f t="shared" si="28"/>
        <v>1.03947641803449</v>
      </c>
      <c r="S68" s="19">
        <f t="shared" ref="S68:S131" si="29">S67</f>
        <v>1.0384357751676798</v>
      </c>
      <c r="T68" s="19">
        <f t="shared" si="4"/>
        <v>1.0394547111322903</v>
      </c>
      <c r="U68" s="19">
        <f t="shared" si="6"/>
        <v>1.0386869021131917</v>
      </c>
      <c r="V68" s="21">
        <f t="shared" ref="V68:V131" si="30">S67*P68</f>
        <v>49.979913858820431</v>
      </c>
      <c r="W68" s="21">
        <f t="shared" si="5"/>
        <v>50.021765333970222</v>
      </c>
      <c r="X68" s="21">
        <f t="shared" si="8"/>
        <v>49.986591084747225</v>
      </c>
      <c r="Y68" s="22">
        <f t="shared" ref="Y68:AA131" si="31">LN($C68/V68)</f>
        <v>1.0016236077892325E-3</v>
      </c>
      <c r="Z68" s="22">
        <f t="shared" si="31"/>
        <v>1.6460811102905382E-4</v>
      </c>
      <c r="AA68" s="22">
        <f t="shared" si="31"/>
        <v>8.680343432552794E-4</v>
      </c>
      <c r="AC68" s="9">
        <f t="shared" ref="AC68:AD131" si="32">LN(B68/B67)</f>
        <v>-3.1117129143126959E-3</v>
      </c>
      <c r="AD68" s="9">
        <f t="shared" si="32"/>
        <v>-1.9968057752984439E-3</v>
      </c>
      <c r="AE68" s="9"/>
      <c r="AF68" s="9"/>
      <c r="AH68">
        <f t="shared" si="9"/>
        <v>0</v>
      </c>
      <c r="AI68">
        <f t="shared" si="10"/>
        <v>1</v>
      </c>
      <c r="AJ68">
        <f t="shared" si="11"/>
        <v>0</v>
      </c>
      <c r="AK68">
        <f t="shared" si="7"/>
        <v>0</v>
      </c>
      <c r="AL68" s="9">
        <f t="shared" si="12"/>
        <v>0</v>
      </c>
      <c r="AM68" s="9">
        <f t="shared" si="13"/>
        <v>0</v>
      </c>
      <c r="AN68" s="9">
        <f t="shared" si="14"/>
        <v>0</v>
      </c>
      <c r="AO68" s="16">
        <f t="shared" si="15"/>
        <v>2.8572792605016523E-3</v>
      </c>
      <c r="AQ68" s="9"/>
      <c r="AS68">
        <f t="shared" si="16"/>
        <v>0</v>
      </c>
      <c r="AT68">
        <f t="shared" si="17"/>
        <v>0</v>
      </c>
      <c r="AU68">
        <f t="shared" si="18"/>
        <v>1</v>
      </c>
      <c r="AV68">
        <f t="shared" si="19"/>
        <v>0</v>
      </c>
      <c r="AW68" s="9">
        <f t="shared" si="20"/>
        <v>0</v>
      </c>
      <c r="AX68" s="9">
        <f t="shared" si="21"/>
        <v>0</v>
      </c>
      <c r="AY68" s="9">
        <f t="shared" si="22"/>
        <v>0</v>
      </c>
      <c r="AZ68" s="16">
        <f t="shared" si="23"/>
        <v>-1.1447062059022051E-3</v>
      </c>
      <c r="BB68" s="16">
        <f t="shared" si="24"/>
        <v>0</v>
      </c>
      <c r="BC68" s="16">
        <f t="shared" si="25"/>
        <v>1.7125730545994471E-3</v>
      </c>
    </row>
    <row r="69" spans="1:55" x14ac:dyDescent="0.3">
      <c r="A69" s="1">
        <v>46122</v>
      </c>
      <c r="B69" s="8">
        <v>48</v>
      </c>
      <c r="C69" s="8">
        <v>49.92</v>
      </c>
      <c r="D69" s="6">
        <v>1.04</v>
      </c>
      <c r="E69" s="6">
        <v>1.0395631876754901</v>
      </c>
      <c r="F69" s="6">
        <v>1.04009351129785</v>
      </c>
      <c r="G69" s="6">
        <v>1.0401843524486301</v>
      </c>
      <c r="H69" s="8">
        <v>49.899033008423501</v>
      </c>
      <c r="I69" s="8">
        <v>49.935588667977697</v>
      </c>
      <c r="J69" s="8">
        <v>49.929687519864103</v>
      </c>
      <c r="K69" s="13">
        <v>4.2010008017277398E-4</v>
      </c>
      <c r="L69" s="13">
        <v>-3.1222424928512498E-4</v>
      </c>
      <c r="M69" s="13">
        <v>-1.9404206733446801E-4</v>
      </c>
      <c r="N69" s="4">
        <v>0</v>
      </c>
      <c r="O69" s="4">
        <v>0</v>
      </c>
      <c r="P69" s="20">
        <f t="shared" si="26"/>
        <v>48</v>
      </c>
      <c r="Q69" s="20">
        <f t="shared" si="27"/>
        <v>49.92</v>
      </c>
      <c r="R69" s="19">
        <f t="shared" si="28"/>
        <v>1.04</v>
      </c>
      <c r="S69" s="19">
        <f t="shared" si="29"/>
        <v>1.0384357751676798</v>
      </c>
      <c r="T69" s="19">
        <f t="shared" si="4"/>
        <v>1.0394413332058687</v>
      </c>
      <c r="U69" s="19">
        <f t="shared" si="6"/>
        <v>1.0387773960940965</v>
      </c>
      <c r="V69" s="21">
        <f t="shared" si="30"/>
        <v>49.844917208048628</v>
      </c>
      <c r="W69" s="21">
        <f t="shared" si="5"/>
        <v>49.893826134349936</v>
      </c>
      <c r="X69" s="21">
        <f t="shared" si="8"/>
        <v>49.856971301433205</v>
      </c>
      <c r="Y69" s="22">
        <f t="shared" si="31"/>
        <v>1.5051945759749219E-3</v>
      </c>
      <c r="Z69" s="22">
        <f t="shared" si="31"/>
        <v>5.2445372076531964E-4</v>
      </c>
      <c r="AA69" s="22">
        <f t="shared" si="31"/>
        <v>1.2633918654442566E-3</v>
      </c>
      <c r="AC69" s="9">
        <f t="shared" si="32"/>
        <v>-2.7046724071270829E-3</v>
      </c>
      <c r="AD69" s="9">
        <f t="shared" si="32"/>
        <v>-2.2011014389414401E-3</v>
      </c>
      <c r="AE69" s="9"/>
      <c r="AF69" s="9"/>
      <c r="AH69">
        <f t="shared" si="9"/>
        <v>0</v>
      </c>
      <c r="AI69">
        <f t="shared" si="10"/>
        <v>1</v>
      </c>
      <c r="AJ69">
        <f t="shared" si="11"/>
        <v>0</v>
      </c>
      <c r="AK69">
        <f t="shared" si="7"/>
        <v>0</v>
      </c>
      <c r="AL69" s="9">
        <f t="shared" si="12"/>
        <v>0</v>
      </c>
      <c r="AM69" s="9">
        <f t="shared" si="13"/>
        <v>0</v>
      </c>
      <c r="AN69" s="9">
        <f t="shared" si="14"/>
        <v>0</v>
      </c>
      <c r="AO69" s="16">
        <f t="shared" si="15"/>
        <v>2.8572792605016523E-3</v>
      </c>
      <c r="AQ69" s="9"/>
      <c r="AS69">
        <f t="shared" si="16"/>
        <v>1</v>
      </c>
      <c r="AT69">
        <f t="shared" si="17"/>
        <v>0</v>
      </c>
      <c r="AU69">
        <f t="shared" si="18"/>
        <v>0</v>
      </c>
      <c r="AV69">
        <f t="shared" si="19"/>
        <v>1</v>
      </c>
      <c r="AW69" s="9">
        <f t="shared" si="20"/>
        <v>-2.7046724071270829E-3</v>
      </c>
      <c r="AX69" s="9">
        <f t="shared" si="21"/>
        <v>2.2011014389414401E-3</v>
      </c>
      <c r="AY69" s="9">
        <f t="shared" si="22"/>
        <v>-5.0357096818564283E-4</v>
      </c>
      <c r="AZ69" s="16">
        <f t="shared" si="23"/>
        <v>-1.6482771740878479E-3</v>
      </c>
      <c r="BB69" s="16">
        <f t="shared" si="24"/>
        <v>-5.0357096818564283E-4</v>
      </c>
      <c r="BC69" s="16">
        <f t="shared" si="25"/>
        <v>1.2090020864138043E-3</v>
      </c>
    </row>
    <row r="70" spans="1:55" x14ac:dyDescent="0.3">
      <c r="A70" s="1">
        <v>46125</v>
      </c>
      <c r="B70" s="8">
        <v>48.04</v>
      </c>
      <c r="C70" s="8">
        <v>49.91</v>
      </c>
      <c r="D70" s="6">
        <v>1.0389258950874201</v>
      </c>
      <c r="E70" s="6">
        <v>1.0395631876754901</v>
      </c>
      <c r="F70" s="6">
        <v>1.0397477457919</v>
      </c>
      <c r="G70" s="6">
        <v>1.04008898053634</v>
      </c>
      <c r="H70" s="8">
        <v>49.940615535930498</v>
      </c>
      <c r="I70" s="8">
        <v>49.966092282748903</v>
      </c>
      <c r="J70" s="8">
        <v>49.970456291632601</v>
      </c>
      <c r="K70" s="13">
        <v>-6.1322680337342196E-4</v>
      </c>
      <c r="L70" s="13">
        <v>-1.1232375509360301E-3</v>
      </c>
      <c r="M70" s="13">
        <v>-1.2105731443452701E-3</v>
      </c>
      <c r="N70" s="4">
        <v>0</v>
      </c>
      <c r="O70" s="4">
        <v>0</v>
      </c>
      <c r="P70" s="20">
        <f t="shared" si="26"/>
        <v>48.04</v>
      </c>
      <c r="Q70" s="20">
        <f t="shared" si="27"/>
        <v>49.91</v>
      </c>
      <c r="R70" s="19">
        <f t="shared" si="28"/>
        <v>1.0389258950874272</v>
      </c>
      <c r="S70" s="19">
        <f t="shared" si="29"/>
        <v>1.0384357751676798</v>
      </c>
      <c r="T70" s="19">
        <f t="shared" si="4"/>
        <v>1.0393138222120988</v>
      </c>
      <c r="U70" s="19">
        <f t="shared" si="6"/>
        <v>1.0387902189149958</v>
      </c>
      <c r="V70" s="21">
        <f t="shared" si="30"/>
        <v>49.886454639055337</v>
      </c>
      <c r="W70" s="21">
        <f t="shared" si="5"/>
        <v>49.934761647209932</v>
      </c>
      <c r="X70" s="21">
        <f t="shared" si="8"/>
        <v>49.902866108360392</v>
      </c>
      <c r="Y70" s="22">
        <f t="shared" si="31"/>
        <v>4.7186769242855021E-4</v>
      </c>
      <c r="Z70" s="22">
        <f t="shared" si="31"/>
        <v>-4.9600294114736506E-4</v>
      </c>
      <c r="AA70" s="22">
        <f t="shared" si="31"/>
        <v>1.4294533219800327E-4</v>
      </c>
      <c r="AC70" s="9">
        <f t="shared" si="32"/>
        <v>8.3298630389177098E-4</v>
      </c>
      <c r="AD70" s="9">
        <f t="shared" si="32"/>
        <v>-2.0034057965443409E-4</v>
      </c>
      <c r="AE70" s="9"/>
      <c r="AF70" s="9"/>
      <c r="AH70">
        <f t="shared" si="9"/>
        <v>0</v>
      </c>
      <c r="AI70">
        <f t="shared" si="10"/>
        <v>1</v>
      </c>
      <c r="AJ70">
        <f t="shared" si="11"/>
        <v>0</v>
      </c>
      <c r="AK70">
        <f t="shared" si="7"/>
        <v>0</v>
      </c>
      <c r="AL70" s="9">
        <f t="shared" si="12"/>
        <v>0</v>
      </c>
      <c r="AM70" s="9">
        <f t="shared" si="13"/>
        <v>0</v>
      </c>
      <c r="AN70" s="9">
        <f t="shared" si="14"/>
        <v>0</v>
      </c>
      <c r="AO70" s="16">
        <f t="shared" si="15"/>
        <v>2.8572792605016523E-3</v>
      </c>
      <c r="AQ70" s="9"/>
      <c r="AS70">
        <f t="shared" si="16"/>
        <v>0</v>
      </c>
      <c r="AT70">
        <f t="shared" si="17"/>
        <v>0</v>
      </c>
      <c r="AU70">
        <f t="shared" si="18"/>
        <v>1</v>
      </c>
      <c r="AV70">
        <f t="shared" si="19"/>
        <v>1</v>
      </c>
      <c r="AW70" s="9">
        <f t="shared" si="20"/>
        <v>8.3298630389177098E-4</v>
      </c>
      <c r="AX70" s="9">
        <f t="shared" si="21"/>
        <v>2.0034057965443409E-4</v>
      </c>
      <c r="AY70" s="9">
        <f t="shared" si="22"/>
        <v>1.0333268835462052E-3</v>
      </c>
      <c r="AZ70" s="16">
        <f t="shared" si="23"/>
        <v>-6.1495029054164279E-4</v>
      </c>
      <c r="BB70" s="16">
        <f t="shared" si="24"/>
        <v>1.0333268835462052E-3</v>
      </c>
      <c r="BC70" s="16">
        <f t="shared" si="25"/>
        <v>2.2423289699600095E-3</v>
      </c>
    </row>
    <row r="71" spans="1:55" x14ac:dyDescent="0.3">
      <c r="A71" s="1">
        <v>46126</v>
      </c>
      <c r="B71" s="8">
        <v>48.22</v>
      </c>
      <c r="C71" s="8">
        <v>50.05</v>
      </c>
      <c r="D71" s="6">
        <v>1.03795105765242</v>
      </c>
      <c r="E71" s="6">
        <v>1.0395631876754901</v>
      </c>
      <c r="F71" s="6">
        <v>1.03931602586139</v>
      </c>
      <c r="G71" s="6">
        <v>1.0400060274048599</v>
      </c>
      <c r="H71" s="8">
        <v>50.127736909712098</v>
      </c>
      <c r="I71" s="8">
        <v>50.136636302085797</v>
      </c>
      <c r="J71" s="8">
        <v>50.153090641462498</v>
      </c>
      <c r="K71" s="13">
        <v>-1.55198006490386E-3</v>
      </c>
      <c r="L71" s="13">
        <v>-1.7294986013886701E-3</v>
      </c>
      <c r="M71" s="13">
        <v>-2.0576346932050199E-3</v>
      </c>
      <c r="N71" s="4">
        <v>0</v>
      </c>
      <c r="O71" s="4">
        <v>0</v>
      </c>
      <c r="P71" s="20">
        <f t="shared" si="26"/>
        <v>48.22</v>
      </c>
      <c r="Q71" s="20">
        <f t="shared" si="27"/>
        <v>50.05</v>
      </c>
      <c r="R71" s="19">
        <f t="shared" si="28"/>
        <v>1.0379510576524262</v>
      </c>
      <c r="S71" s="19">
        <f t="shared" si="29"/>
        <v>1.0384357751676798</v>
      </c>
      <c r="T71" s="19">
        <f t="shared" si="4"/>
        <v>1.0390997402554789</v>
      </c>
      <c r="U71" s="19">
        <f t="shared" si="6"/>
        <v>1.038814841334041</v>
      </c>
      <c r="V71" s="21">
        <f t="shared" si="30"/>
        <v>50.073373078585519</v>
      </c>
      <c r="W71" s="21">
        <f t="shared" si="5"/>
        <v>50.1157125070674</v>
      </c>
      <c r="X71" s="21">
        <f t="shared" si="8"/>
        <v>50.090464356081092</v>
      </c>
      <c r="Y71" s="22">
        <f t="shared" si="31"/>
        <v>-4.6688556910190086E-4</v>
      </c>
      <c r="Z71" s="22">
        <f t="shared" si="31"/>
        <v>-1.3120760557662704E-3</v>
      </c>
      <c r="AA71" s="22">
        <f t="shared" si="31"/>
        <v>-8.0815200016487432E-4</v>
      </c>
      <c r="AC71" s="9">
        <f t="shared" si="32"/>
        <v>3.7398755412422972E-3</v>
      </c>
      <c r="AD71" s="9">
        <f t="shared" si="32"/>
        <v>2.8011222797117733E-3</v>
      </c>
      <c r="AE71" s="9"/>
      <c r="AF71" s="9"/>
      <c r="AH71">
        <f t="shared" si="9"/>
        <v>0</v>
      </c>
      <c r="AI71">
        <f t="shared" si="10"/>
        <v>0</v>
      </c>
      <c r="AJ71">
        <f t="shared" si="11"/>
        <v>0</v>
      </c>
      <c r="AK71">
        <f t="shared" si="7"/>
        <v>0</v>
      </c>
      <c r="AL71" s="9">
        <f t="shared" si="12"/>
        <v>0</v>
      </c>
      <c r="AM71" s="9">
        <f t="shared" si="13"/>
        <v>0</v>
      </c>
      <c r="AN71" s="9">
        <f t="shared" si="14"/>
        <v>0</v>
      </c>
      <c r="AO71" s="16">
        <f t="shared" si="15"/>
        <v>2.8572792605016523E-3</v>
      </c>
      <c r="AQ71" s="9"/>
      <c r="AS71">
        <f t="shared" si="16"/>
        <v>0</v>
      </c>
      <c r="AT71">
        <f t="shared" si="17"/>
        <v>1</v>
      </c>
      <c r="AU71">
        <f t="shared" si="18"/>
        <v>1</v>
      </c>
      <c r="AV71">
        <f t="shared" si="19"/>
        <v>1</v>
      </c>
      <c r="AW71" s="9">
        <f t="shared" si="20"/>
        <v>3.7398755412422972E-3</v>
      </c>
      <c r="AX71" s="9">
        <f t="shared" si="21"/>
        <v>-2.8011222797117733E-3</v>
      </c>
      <c r="AY71" s="9">
        <f t="shared" si="22"/>
        <v>9.3875326153052387E-4</v>
      </c>
      <c r="AZ71" s="16">
        <f t="shared" si="23"/>
        <v>3.2380297098888108E-4</v>
      </c>
      <c r="BB71" s="16">
        <f t="shared" si="24"/>
        <v>9.3875326153052387E-4</v>
      </c>
      <c r="BC71" s="16">
        <f t="shared" si="25"/>
        <v>3.1810822314905333E-3</v>
      </c>
    </row>
    <row r="72" spans="1:55" x14ac:dyDescent="0.3">
      <c r="A72" s="1">
        <v>46127</v>
      </c>
      <c r="B72" s="8">
        <v>48.12</v>
      </c>
      <c r="C72" s="8">
        <v>49.96</v>
      </c>
      <c r="D72" s="6">
        <v>1.0382377389858599</v>
      </c>
      <c r="E72" s="6">
        <v>1.0395631876754901</v>
      </c>
      <c r="F72" s="6">
        <v>1.0389982805092</v>
      </c>
      <c r="G72" s="6">
        <v>1.0400131524493901</v>
      </c>
      <c r="H72" s="8">
        <v>50.023780590944597</v>
      </c>
      <c r="I72" s="8">
        <v>50.011887164450499</v>
      </c>
      <c r="J72" s="8">
        <v>50.045090038722002</v>
      </c>
      <c r="K72" s="13">
        <v>-1.2758189222096001E-3</v>
      </c>
      <c r="L72" s="13">
        <v>-1.03803520332275E-3</v>
      </c>
      <c r="M72" s="13">
        <v>-1.7017145671873099E-3</v>
      </c>
      <c r="N72" s="4">
        <v>0</v>
      </c>
      <c r="O72" s="4">
        <v>0</v>
      </c>
      <c r="P72" s="20">
        <f t="shared" si="26"/>
        <v>48.12</v>
      </c>
      <c r="Q72" s="20">
        <f t="shared" si="27"/>
        <v>49.96</v>
      </c>
      <c r="R72" s="19">
        <f t="shared" si="28"/>
        <v>1.0382377389858688</v>
      </c>
      <c r="S72" s="19">
        <f t="shared" si="29"/>
        <v>1.0384357751676798</v>
      </c>
      <c r="T72" s="19">
        <f t="shared" si="4"/>
        <v>1.038998280509206</v>
      </c>
      <c r="U72" s="19">
        <f t="shared" si="6"/>
        <v>1.0389292076221777</v>
      </c>
      <c r="V72" s="21">
        <f t="shared" si="30"/>
        <v>49.969529501068749</v>
      </c>
      <c r="W72" s="21">
        <f t="shared" si="5"/>
        <v>50.001479501093641</v>
      </c>
      <c r="X72" s="21">
        <f t="shared" si="8"/>
        <v>49.987770164994053</v>
      </c>
      <c r="Y72" s="22">
        <f t="shared" si="31"/>
        <v>-1.9072442640761999E-4</v>
      </c>
      <c r="Z72" s="22">
        <f t="shared" si="31"/>
        <v>-8.2990975486584972E-4</v>
      </c>
      <c r="AA72" s="22">
        <f t="shared" si="31"/>
        <v>-5.5569355199851852E-4</v>
      </c>
      <c r="AC72" s="9">
        <f t="shared" si="32"/>
        <v>-2.0759816465468818E-3</v>
      </c>
      <c r="AD72" s="9">
        <f t="shared" si="32"/>
        <v>-1.7998205038525378E-3</v>
      </c>
      <c r="AE72" s="9"/>
      <c r="AF72" s="9"/>
      <c r="AH72">
        <f t="shared" si="9"/>
        <v>0</v>
      </c>
      <c r="AI72">
        <f t="shared" si="10"/>
        <v>0</v>
      </c>
      <c r="AJ72">
        <f t="shared" si="11"/>
        <v>0</v>
      </c>
      <c r="AK72">
        <f t="shared" si="7"/>
        <v>0</v>
      </c>
      <c r="AL72" s="9">
        <f t="shared" si="12"/>
        <v>0</v>
      </c>
      <c r="AM72" s="9">
        <f t="shared" si="13"/>
        <v>0</v>
      </c>
      <c r="AN72" s="9">
        <f t="shared" si="14"/>
        <v>0</v>
      </c>
      <c r="AO72" s="16">
        <f t="shared" si="15"/>
        <v>2.8572792605016523E-3</v>
      </c>
      <c r="AQ72" s="9"/>
      <c r="AS72">
        <f t="shared" si="16"/>
        <v>0</v>
      </c>
      <c r="AT72">
        <f t="shared" si="17"/>
        <v>1</v>
      </c>
      <c r="AU72">
        <f t="shared" si="18"/>
        <v>1</v>
      </c>
      <c r="AV72">
        <f t="shared" si="19"/>
        <v>0</v>
      </c>
      <c r="AW72" s="9">
        <f t="shared" si="20"/>
        <v>0</v>
      </c>
      <c r="AX72" s="9">
        <f t="shared" si="21"/>
        <v>0</v>
      </c>
      <c r="AY72" s="9">
        <f t="shared" si="22"/>
        <v>0</v>
      </c>
      <c r="AZ72" s="16">
        <f t="shared" si="23"/>
        <v>3.2380297098888108E-4</v>
      </c>
      <c r="BB72" s="16">
        <f t="shared" si="24"/>
        <v>0</v>
      </c>
      <c r="BC72" s="16">
        <f t="shared" si="25"/>
        <v>3.1810822314905333E-3</v>
      </c>
    </row>
    <row r="73" spans="1:55" x14ac:dyDescent="0.3">
      <c r="A73" s="1">
        <v>46128</v>
      </c>
      <c r="B73" s="8">
        <v>48.09</v>
      </c>
      <c r="C73" s="8">
        <v>49.97</v>
      </c>
      <c r="D73" s="6">
        <v>1.0390933666042801</v>
      </c>
      <c r="E73" s="6">
        <v>1.0395631876754901</v>
      </c>
      <c r="F73" s="6">
        <v>1.0390542532871001</v>
      </c>
      <c r="G73" s="6">
        <v>1.03996200078376</v>
      </c>
      <c r="H73" s="8">
        <v>49.992593695314298</v>
      </c>
      <c r="I73" s="8">
        <v>49.965427309687698</v>
      </c>
      <c r="J73" s="8">
        <v>50.014232501291403</v>
      </c>
      <c r="K73" s="13">
        <v>-4.5204300656625298E-4</v>
      </c>
      <c r="L73" s="13">
        <v>9.1512898650082599E-5</v>
      </c>
      <c r="M73" s="13">
        <v>-8.8478959272843098E-4</v>
      </c>
      <c r="N73" s="4">
        <v>0</v>
      </c>
      <c r="O73" s="4">
        <v>0</v>
      </c>
      <c r="P73" s="20">
        <f t="shared" si="26"/>
        <v>48.09</v>
      </c>
      <c r="Q73" s="20">
        <f t="shared" si="27"/>
        <v>49.97</v>
      </c>
      <c r="R73" s="19">
        <f t="shared" si="28"/>
        <v>1.0390933666042836</v>
      </c>
      <c r="S73" s="19">
        <f t="shared" si="29"/>
        <v>1.0384357751676798</v>
      </c>
      <c r="T73" s="19">
        <f t="shared" si="4"/>
        <v>1.0390542532871101</v>
      </c>
      <c r="U73" s="19">
        <f t="shared" si="6"/>
        <v>1.03898592946826</v>
      </c>
      <c r="V73" s="21">
        <f t="shared" si="30"/>
        <v>49.938376427813729</v>
      </c>
      <c r="W73" s="21">
        <f t="shared" si="5"/>
        <v>49.965427309687719</v>
      </c>
      <c r="X73" s="21">
        <f t="shared" si="8"/>
        <v>49.962105594550529</v>
      </c>
      <c r="Y73" s="22">
        <f t="shared" si="31"/>
        <v>6.330514892356929E-4</v>
      </c>
      <c r="Z73" s="22">
        <f t="shared" si="31"/>
        <v>9.1512898650082626E-5</v>
      </c>
      <c r="AA73" s="22">
        <f t="shared" si="31"/>
        <v>1.5799537934132731E-4</v>
      </c>
      <c r="AC73" s="9">
        <f t="shared" si="32"/>
        <v>-6.2363581690672899E-4</v>
      </c>
      <c r="AD73" s="9">
        <f t="shared" si="32"/>
        <v>2.0014009873676805E-4</v>
      </c>
      <c r="AE73" s="9"/>
      <c r="AF73" s="9"/>
      <c r="AH73">
        <f t="shared" si="9"/>
        <v>0</v>
      </c>
      <c r="AI73">
        <f t="shared" si="10"/>
        <v>1</v>
      </c>
      <c r="AJ73">
        <f t="shared" si="11"/>
        <v>0</v>
      </c>
      <c r="AK73">
        <f t="shared" si="7"/>
        <v>0</v>
      </c>
      <c r="AL73" s="9">
        <f t="shared" si="12"/>
        <v>0</v>
      </c>
      <c r="AM73" s="9">
        <f t="shared" si="13"/>
        <v>0</v>
      </c>
      <c r="AN73" s="9">
        <f t="shared" si="14"/>
        <v>0</v>
      </c>
      <c r="AO73" s="16">
        <f t="shared" si="15"/>
        <v>2.8572792605016523E-3</v>
      </c>
      <c r="AQ73" s="9"/>
      <c r="AS73">
        <f t="shared" si="16"/>
        <v>0</v>
      </c>
      <c r="AT73">
        <f t="shared" si="17"/>
        <v>0</v>
      </c>
      <c r="AU73">
        <f t="shared" si="18"/>
        <v>0</v>
      </c>
      <c r="AV73">
        <f t="shared" si="19"/>
        <v>0</v>
      </c>
      <c r="AW73" s="9">
        <f t="shared" si="20"/>
        <v>0</v>
      </c>
      <c r="AX73" s="9">
        <f t="shared" si="21"/>
        <v>0</v>
      </c>
      <c r="AY73" s="9">
        <f t="shared" si="22"/>
        <v>0</v>
      </c>
      <c r="AZ73" s="16">
        <f t="shared" si="23"/>
        <v>3.2380297098888108E-4</v>
      </c>
      <c r="BB73" s="16">
        <f t="shared" si="24"/>
        <v>0</v>
      </c>
      <c r="BC73" s="16">
        <f t="shared" si="25"/>
        <v>3.1810822314905333E-3</v>
      </c>
    </row>
    <row r="74" spans="1:55" x14ac:dyDescent="0.3">
      <c r="A74" s="1">
        <v>46129</v>
      </c>
      <c r="B74" s="8">
        <v>48.33</v>
      </c>
      <c r="C74" s="8">
        <v>50.21</v>
      </c>
      <c r="D74" s="6">
        <v>1.0388992344299599</v>
      </c>
      <c r="E74" s="6">
        <v>1.0395631876754901</v>
      </c>
      <c r="F74" s="6">
        <v>1.0390450941612901</v>
      </c>
      <c r="G74" s="6">
        <v>1.0398811989482299</v>
      </c>
      <c r="H74" s="8">
        <v>50.242088860356397</v>
      </c>
      <c r="I74" s="8">
        <v>50.217492061366002</v>
      </c>
      <c r="J74" s="8">
        <v>50.261363497879401</v>
      </c>
      <c r="K74" s="13">
        <v>-6.3888888348705196E-4</v>
      </c>
      <c r="L74" s="13">
        <v>-1.4920339492966901E-4</v>
      </c>
      <c r="M74" s="13">
        <v>-1.02245058822449E-3</v>
      </c>
      <c r="N74" s="4">
        <v>0</v>
      </c>
      <c r="O74" s="4">
        <v>0</v>
      </c>
      <c r="P74" s="20">
        <f t="shared" si="26"/>
        <v>48.33</v>
      </c>
      <c r="Q74" s="20">
        <f t="shared" si="27"/>
        <v>50.21</v>
      </c>
      <c r="R74" s="19">
        <f t="shared" si="28"/>
        <v>1.0388992344299608</v>
      </c>
      <c r="S74" s="19">
        <f t="shared" si="29"/>
        <v>1.0384357751676798</v>
      </c>
      <c r="T74" s="19">
        <f t="shared" si="4"/>
        <v>1.0390450941612988</v>
      </c>
      <c r="U74" s="19">
        <f t="shared" si="6"/>
        <v>1.0390129977624307</v>
      </c>
      <c r="V74" s="21">
        <f t="shared" si="30"/>
        <v>50.187601013853964</v>
      </c>
      <c r="W74" s="21">
        <f t="shared" si="5"/>
        <v>50.21749206136603</v>
      </c>
      <c r="X74" s="21">
        <f t="shared" si="8"/>
        <v>50.214189971201002</v>
      </c>
      <c r="Y74" s="22">
        <f t="shared" si="31"/>
        <v>4.4620561231508565E-4</v>
      </c>
      <c r="Z74" s="22">
        <f t="shared" si="31"/>
        <v>-1.4920339493000299E-4</v>
      </c>
      <c r="AA74" s="22">
        <f t="shared" si="31"/>
        <v>-8.3445456809456823E-5</v>
      </c>
      <c r="AC74" s="9">
        <f t="shared" si="32"/>
        <v>4.9782305674212473E-3</v>
      </c>
      <c r="AD74" s="9">
        <f t="shared" si="32"/>
        <v>4.7913846905005969E-3</v>
      </c>
      <c r="AE74" s="9"/>
      <c r="AF74" s="9"/>
      <c r="AH74">
        <f t="shared" si="9"/>
        <v>0</v>
      </c>
      <c r="AI74">
        <f t="shared" si="10"/>
        <v>0</v>
      </c>
      <c r="AJ74">
        <f t="shared" si="11"/>
        <v>0</v>
      </c>
      <c r="AK74">
        <f t="shared" si="7"/>
        <v>0</v>
      </c>
      <c r="AL74" s="9">
        <f t="shared" si="12"/>
        <v>0</v>
      </c>
      <c r="AM74" s="9">
        <f t="shared" si="13"/>
        <v>0</v>
      </c>
      <c r="AN74" s="9">
        <f t="shared" si="14"/>
        <v>0</v>
      </c>
      <c r="AO74" s="16">
        <f t="shared" si="15"/>
        <v>2.8572792605016523E-3</v>
      </c>
      <c r="AQ74" s="9"/>
      <c r="AS74">
        <f t="shared" si="16"/>
        <v>0</v>
      </c>
      <c r="AT74">
        <f t="shared" si="17"/>
        <v>1</v>
      </c>
      <c r="AU74">
        <f t="shared" si="18"/>
        <v>0</v>
      </c>
      <c r="AV74">
        <f t="shared" si="19"/>
        <v>0</v>
      </c>
      <c r="AW74" s="9">
        <f t="shared" si="20"/>
        <v>0</v>
      </c>
      <c r="AX74" s="9">
        <f t="shared" si="21"/>
        <v>0</v>
      </c>
      <c r="AY74" s="9">
        <f t="shared" si="22"/>
        <v>0</v>
      </c>
      <c r="AZ74" s="16">
        <f t="shared" si="23"/>
        <v>3.2380297098888108E-4</v>
      </c>
      <c r="BB74" s="16">
        <f t="shared" si="24"/>
        <v>0</v>
      </c>
      <c r="BC74" s="16">
        <f t="shared" si="25"/>
        <v>3.1810822314905333E-3</v>
      </c>
    </row>
    <row r="75" spans="1:55" x14ac:dyDescent="0.3">
      <c r="A75" s="1">
        <v>46132</v>
      </c>
      <c r="B75" s="8">
        <v>48.27</v>
      </c>
      <c r="C75" s="8">
        <v>50.15</v>
      </c>
      <c r="D75" s="6">
        <v>1.0389475864926401</v>
      </c>
      <c r="E75" s="6">
        <v>1.0395631876754901</v>
      </c>
      <c r="F75" s="6">
        <v>1.0389507132950999</v>
      </c>
      <c r="G75" s="6">
        <v>1.0398101720816899</v>
      </c>
      <c r="H75" s="8">
        <v>50.179715069095899</v>
      </c>
      <c r="I75" s="8">
        <v>50.1547066951658</v>
      </c>
      <c r="J75" s="8">
        <v>50.195065473231097</v>
      </c>
      <c r="K75" s="13">
        <v>-5.9234833756555301E-4</v>
      </c>
      <c r="L75" s="13">
        <v>-9.3847942422955793E-5</v>
      </c>
      <c r="M75" s="13">
        <v>-8.9821011224457505E-4</v>
      </c>
      <c r="N75" s="4">
        <v>0</v>
      </c>
      <c r="O75" s="4">
        <v>0</v>
      </c>
      <c r="P75" s="20">
        <f t="shared" si="26"/>
        <v>48.27</v>
      </c>
      <c r="Q75" s="20">
        <f t="shared" si="27"/>
        <v>50.15</v>
      </c>
      <c r="R75" s="19">
        <f t="shared" si="28"/>
        <v>1.0389475864926454</v>
      </c>
      <c r="S75" s="19">
        <f t="shared" si="29"/>
        <v>1.0384357751676798</v>
      </c>
      <c r="T75" s="19">
        <f t="shared" si="4"/>
        <v>1.0389507132951079</v>
      </c>
      <c r="U75" s="19">
        <f t="shared" si="6"/>
        <v>1.0390505461540636</v>
      </c>
      <c r="V75" s="21">
        <f t="shared" si="30"/>
        <v>50.125294867343911</v>
      </c>
      <c r="W75" s="21">
        <f t="shared" si="5"/>
        <v>50.154706695165892</v>
      </c>
      <c r="X75" s="21">
        <f t="shared" si="8"/>
        <v>50.153157401992537</v>
      </c>
      <c r="Y75" s="22">
        <f t="shared" si="31"/>
        <v>4.9274615823645667E-4</v>
      </c>
      <c r="Z75" s="22">
        <f t="shared" si="31"/>
        <v>-9.3847942423066843E-5</v>
      </c>
      <c r="AA75" s="22">
        <f t="shared" si="31"/>
        <v>-6.2957180518798057E-5</v>
      </c>
      <c r="AC75" s="9">
        <f t="shared" si="32"/>
        <v>-1.2422361845910571E-3</v>
      </c>
      <c r="AD75" s="9">
        <f t="shared" si="32"/>
        <v>-1.195695638669601E-3</v>
      </c>
      <c r="AE75" s="9"/>
      <c r="AF75" s="9"/>
      <c r="AH75">
        <f t="shared" si="9"/>
        <v>0</v>
      </c>
      <c r="AI75">
        <f t="shared" si="10"/>
        <v>0</v>
      </c>
      <c r="AJ75">
        <f t="shared" si="11"/>
        <v>0</v>
      </c>
      <c r="AK75">
        <f t="shared" si="7"/>
        <v>0</v>
      </c>
      <c r="AL75" s="9">
        <f t="shared" si="12"/>
        <v>0</v>
      </c>
      <c r="AM75" s="9">
        <f t="shared" si="13"/>
        <v>0</v>
      </c>
      <c r="AN75" s="9">
        <f t="shared" si="14"/>
        <v>0</v>
      </c>
      <c r="AO75" s="16">
        <f t="shared" si="15"/>
        <v>2.8572792605016523E-3</v>
      </c>
      <c r="AQ75" s="9"/>
      <c r="AS75">
        <f t="shared" si="16"/>
        <v>0</v>
      </c>
      <c r="AT75">
        <f t="shared" si="17"/>
        <v>1</v>
      </c>
      <c r="AU75">
        <f t="shared" si="18"/>
        <v>0</v>
      </c>
      <c r="AV75">
        <f t="shared" si="19"/>
        <v>0</v>
      </c>
      <c r="AW75" s="9">
        <f t="shared" si="20"/>
        <v>0</v>
      </c>
      <c r="AX75" s="9">
        <f t="shared" si="21"/>
        <v>0</v>
      </c>
      <c r="AY75" s="9">
        <f t="shared" si="22"/>
        <v>0</v>
      </c>
      <c r="AZ75" s="16">
        <f t="shared" si="23"/>
        <v>3.2380297098888108E-4</v>
      </c>
      <c r="BB75" s="16">
        <f t="shared" si="24"/>
        <v>0</v>
      </c>
      <c r="BC75" s="16">
        <f t="shared" si="25"/>
        <v>3.1810822314905333E-3</v>
      </c>
    </row>
    <row r="76" spans="1:55" x14ac:dyDescent="0.3">
      <c r="A76" s="1">
        <v>46133</v>
      </c>
      <c r="B76" s="8">
        <v>48.1</v>
      </c>
      <c r="C76" s="8">
        <v>49.97</v>
      </c>
      <c r="D76" s="6">
        <v>1.03887733887733</v>
      </c>
      <c r="E76" s="6">
        <v>1.0395631876754901</v>
      </c>
      <c r="F76" s="6">
        <v>1.0388726780323501</v>
      </c>
      <c r="G76" s="6">
        <v>1.0397336266114701</v>
      </c>
      <c r="H76" s="8">
        <v>50.002989327191102</v>
      </c>
      <c r="I76" s="8">
        <v>49.973529309494602</v>
      </c>
      <c r="J76" s="8">
        <v>50.0148692771292</v>
      </c>
      <c r="K76" s="13">
        <v>-6.5996482871032397E-4</v>
      </c>
      <c r="L76" s="13">
        <v>-7.0626072954057005E-5</v>
      </c>
      <c r="M76" s="13">
        <v>-8.9752140430249998E-4</v>
      </c>
      <c r="N76" s="4">
        <v>0</v>
      </c>
      <c r="O76" s="4">
        <v>0</v>
      </c>
      <c r="P76" s="20">
        <f t="shared" si="26"/>
        <v>48.1</v>
      </c>
      <c r="Q76" s="20">
        <f t="shared" si="27"/>
        <v>49.97</v>
      </c>
      <c r="R76" s="19">
        <f t="shared" si="28"/>
        <v>1.0388773388773389</v>
      </c>
      <c r="S76" s="19">
        <f t="shared" si="29"/>
        <v>1.0384357751676798</v>
      </c>
      <c r="T76" s="19">
        <f t="shared" ref="T76:T139" si="33">AVERAGE(R67:R76)</f>
        <v>1.0388726780323512</v>
      </c>
      <c r="U76" s="19">
        <f t="shared" si="6"/>
        <v>1.0390821287495622</v>
      </c>
      <c r="V76" s="21">
        <f t="shared" si="30"/>
        <v>49.948760785565398</v>
      </c>
      <c r="W76" s="21">
        <f t="shared" si="5"/>
        <v>49.973529309494694</v>
      </c>
      <c r="X76" s="21">
        <f t="shared" si="8"/>
        <v>49.978331270010457</v>
      </c>
      <c r="Y76" s="22">
        <f t="shared" si="31"/>
        <v>4.2512966709161719E-4</v>
      </c>
      <c r="Z76" s="22">
        <f t="shared" si="31"/>
        <v>-7.0626072954279063E-5</v>
      </c>
      <c r="AA76" s="22">
        <f t="shared" si="31"/>
        <v>-1.6671153832966995E-4</v>
      </c>
      <c r="AC76" s="9">
        <f t="shared" si="32"/>
        <v>-3.5280725606860385E-3</v>
      </c>
      <c r="AD76" s="9">
        <f t="shared" si="32"/>
        <v>-3.5956890518308833E-3</v>
      </c>
      <c r="AE76" s="9"/>
      <c r="AF76" s="9"/>
      <c r="AH76">
        <f t="shared" si="9"/>
        <v>0</v>
      </c>
      <c r="AI76">
        <f t="shared" si="10"/>
        <v>0</v>
      </c>
      <c r="AJ76">
        <f t="shared" si="11"/>
        <v>0</v>
      </c>
      <c r="AK76">
        <f t="shared" si="7"/>
        <v>0</v>
      </c>
      <c r="AL76" s="9">
        <f t="shared" si="12"/>
        <v>0</v>
      </c>
      <c r="AM76" s="9">
        <f t="shared" si="13"/>
        <v>0</v>
      </c>
      <c r="AN76" s="9">
        <f t="shared" si="14"/>
        <v>0</v>
      </c>
      <c r="AO76" s="16">
        <f t="shared" si="15"/>
        <v>2.8572792605016523E-3</v>
      </c>
      <c r="AQ76" s="9"/>
      <c r="AS76">
        <f t="shared" si="16"/>
        <v>0</v>
      </c>
      <c r="AT76">
        <f t="shared" si="17"/>
        <v>1</v>
      </c>
      <c r="AU76">
        <f t="shared" si="18"/>
        <v>0</v>
      </c>
      <c r="AV76">
        <f t="shared" si="19"/>
        <v>0</v>
      </c>
      <c r="AW76" s="9">
        <f t="shared" si="20"/>
        <v>0</v>
      </c>
      <c r="AX76" s="9">
        <f t="shared" si="21"/>
        <v>0</v>
      </c>
      <c r="AY76" s="9">
        <f t="shared" si="22"/>
        <v>0</v>
      </c>
      <c r="AZ76" s="16">
        <f t="shared" si="23"/>
        <v>3.2380297098888108E-4</v>
      </c>
      <c r="BB76" s="16">
        <f t="shared" si="24"/>
        <v>0</v>
      </c>
      <c r="BC76" s="16">
        <f t="shared" si="25"/>
        <v>3.1810822314905333E-3</v>
      </c>
    </row>
    <row r="77" spans="1:55" x14ac:dyDescent="0.3">
      <c r="A77" s="1">
        <v>46134</v>
      </c>
      <c r="B77" s="8">
        <v>48.18</v>
      </c>
      <c r="C77" s="8">
        <v>50.07</v>
      </c>
      <c r="D77" s="6">
        <v>1.03922789539227</v>
      </c>
      <c r="E77" s="6">
        <v>1.0395631876754901</v>
      </c>
      <c r="F77" s="6">
        <v>1.0389636531556701</v>
      </c>
      <c r="G77" s="6">
        <v>1.03967745918163</v>
      </c>
      <c r="H77" s="8">
        <v>50.086154382205102</v>
      </c>
      <c r="I77" s="8">
        <v>50.052885627598599</v>
      </c>
      <c r="J77" s="8">
        <v>50.094366130140898</v>
      </c>
      <c r="K77" s="13">
        <v>-3.2258391798042397E-4</v>
      </c>
      <c r="L77" s="13">
        <v>3.4186734552701399E-4</v>
      </c>
      <c r="M77" s="13">
        <v>-4.8652293351331399E-4</v>
      </c>
      <c r="N77" s="4">
        <v>0</v>
      </c>
      <c r="O77" s="4">
        <v>0</v>
      </c>
      <c r="P77" s="20">
        <f t="shared" si="26"/>
        <v>48.18</v>
      </c>
      <c r="Q77" s="20">
        <f t="shared" si="27"/>
        <v>50.07</v>
      </c>
      <c r="R77" s="19">
        <f t="shared" si="28"/>
        <v>1.0392278953922789</v>
      </c>
      <c r="S77" s="19">
        <f t="shared" si="29"/>
        <v>1.0384357751676798</v>
      </c>
      <c r="T77" s="19">
        <f t="shared" si="33"/>
        <v>1.0389636531556721</v>
      </c>
      <c r="U77" s="19">
        <f t="shared" si="6"/>
        <v>1.039134489511248</v>
      </c>
      <c r="V77" s="21">
        <f t="shared" si="30"/>
        <v>50.031835647578816</v>
      </c>
      <c r="W77" s="21">
        <f t="shared" ref="W77:W140" si="34">T76*P77</f>
        <v>50.052885627598677</v>
      </c>
      <c r="X77" s="21">
        <f t="shared" si="8"/>
        <v>50.062976963153908</v>
      </c>
      <c r="Y77" s="22">
        <f t="shared" si="31"/>
        <v>7.6251057782154689E-4</v>
      </c>
      <c r="Z77" s="22">
        <f t="shared" si="31"/>
        <v>3.4186734552701492E-4</v>
      </c>
      <c r="AA77" s="22">
        <f t="shared" si="31"/>
        <v>1.4027420477453874E-4</v>
      </c>
      <c r="AC77" s="9">
        <f t="shared" si="32"/>
        <v>1.6618200750098096E-3</v>
      </c>
      <c r="AD77" s="9">
        <f t="shared" si="32"/>
        <v>1.9992009857396922E-3</v>
      </c>
      <c r="AE77" s="9"/>
      <c r="AF77" s="9"/>
      <c r="AH77">
        <f t="shared" si="9"/>
        <v>0</v>
      </c>
      <c r="AI77">
        <f t="shared" si="10"/>
        <v>1</v>
      </c>
      <c r="AJ77">
        <f t="shared" si="11"/>
        <v>0</v>
      </c>
      <c r="AK77">
        <f t="shared" si="7"/>
        <v>0</v>
      </c>
      <c r="AL77" s="9">
        <f t="shared" si="12"/>
        <v>0</v>
      </c>
      <c r="AM77" s="9">
        <f t="shared" si="13"/>
        <v>0</v>
      </c>
      <c r="AN77" s="9">
        <f t="shared" si="14"/>
        <v>0</v>
      </c>
      <c r="AO77" s="16">
        <f t="shared" si="15"/>
        <v>2.8572792605016523E-3</v>
      </c>
      <c r="AQ77" s="9"/>
      <c r="AS77">
        <f t="shared" si="16"/>
        <v>0</v>
      </c>
      <c r="AT77">
        <f t="shared" si="17"/>
        <v>0</v>
      </c>
      <c r="AU77">
        <f t="shared" si="18"/>
        <v>0</v>
      </c>
      <c r="AV77">
        <f t="shared" si="19"/>
        <v>0</v>
      </c>
      <c r="AW77" s="9">
        <f t="shared" si="20"/>
        <v>0</v>
      </c>
      <c r="AX77" s="9">
        <f t="shared" si="21"/>
        <v>0</v>
      </c>
      <c r="AY77" s="9">
        <f t="shared" si="22"/>
        <v>0</v>
      </c>
      <c r="AZ77" s="16">
        <f t="shared" si="23"/>
        <v>3.2380297098888108E-4</v>
      </c>
      <c r="BB77" s="16">
        <f t="shared" si="24"/>
        <v>0</v>
      </c>
      <c r="BC77" s="16">
        <f t="shared" si="25"/>
        <v>3.1810822314905333E-3</v>
      </c>
    </row>
    <row r="78" spans="1:55" x14ac:dyDescent="0.3">
      <c r="A78" s="1">
        <v>46135</v>
      </c>
      <c r="B78" s="8">
        <v>48.09</v>
      </c>
      <c r="C78" s="8">
        <v>49.96</v>
      </c>
      <c r="D78" s="6">
        <v>1.0388854231648901</v>
      </c>
      <c r="E78" s="6">
        <v>1.0395631876754901</v>
      </c>
      <c r="F78" s="6">
        <v>1.03890455366871</v>
      </c>
      <c r="G78" s="6">
        <v>1.03961465879245</v>
      </c>
      <c r="H78" s="8">
        <v>49.992593695314298</v>
      </c>
      <c r="I78" s="8">
        <v>49.963762080256203</v>
      </c>
      <c r="J78" s="8">
        <v>49.998089012044701</v>
      </c>
      <c r="K78" s="13">
        <v>-6.5218310530294396E-4</v>
      </c>
      <c r="L78" s="13">
        <v>-7.5299011560992207E-5</v>
      </c>
      <c r="M78" s="13">
        <v>-7.6209968127135305E-4</v>
      </c>
      <c r="N78" s="4">
        <v>0</v>
      </c>
      <c r="O78" s="4">
        <v>0</v>
      </c>
      <c r="P78" s="20">
        <f t="shared" si="26"/>
        <v>48.09</v>
      </c>
      <c r="Q78" s="20">
        <f t="shared" si="27"/>
        <v>49.96</v>
      </c>
      <c r="R78" s="19">
        <f t="shared" si="28"/>
        <v>1.0388854231648992</v>
      </c>
      <c r="S78" s="19">
        <f t="shared" si="29"/>
        <v>1.0384357751676798</v>
      </c>
      <c r="T78" s="19">
        <f t="shared" si="33"/>
        <v>1.0389045536687127</v>
      </c>
      <c r="U78" s="19">
        <f t="shared" si="6"/>
        <v>1.0391796324005018</v>
      </c>
      <c r="V78" s="21">
        <f t="shared" si="30"/>
        <v>49.938376427813729</v>
      </c>
      <c r="W78" s="21">
        <f t="shared" si="34"/>
        <v>49.963762080256274</v>
      </c>
      <c r="X78" s="21">
        <f t="shared" si="8"/>
        <v>49.97197760059592</v>
      </c>
      <c r="Y78" s="22">
        <f t="shared" si="31"/>
        <v>4.3291139049901958E-4</v>
      </c>
      <c r="Z78" s="22">
        <f t="shared" si="31"/>
        <v>-7.5299011560992274E-5</v>
      </c>
      <c r="AA78" s="22">
        <f t="shared" si="31"/>
        <v>-2.3971507300990836E-4</v>
      </c>
      <c r="AC78" s="9">
        <f t="shared" si="32"/>
        <v>-1.8697418971539252E-3</v>
      </c>
      <c r="AD78" s="9">
        <f t="shared" si="32"/>
        <v>-2.1993410844764593E-3</v>
      </c>
      <c r="AE78" s="9"/>
      <c r="AF78" s="9"/>
      <c r="AH78">
        <f t="shared" si="9"/>
        <v>0</v>
      </c>
      <c r="AI78">
        <f t="shared" si="10"/>
        <v>0</v>
      </c>
      <c r="AJ78">
        <f t="shared" si="11"/>
        <v>0</v>
      </c>
      <c r="AK78">
        <f t="shared" si="7"/>
        <v>0</v>
      </c>
      <c r="AL78" s="9">
        <f t="shared" si="12"/>
        <v>0</v>
      </c>
      <c r="AM78" s="9">
        <f t="shared" si="13"/>
        <v>0</v>
      </c>
      <c r="AN78" s="9">
        <f t="shared" si="14"/>
        <v>0</v>
      </c>
      <c r="AO78" s="16">
        <f t="shared" si="15"/>
        <v>2.8572792605016523E-3</v>
      </c>
      <c r="AQ78" s="9"/>
      <c r="AS78">
        <f t="shared" si="16"/>
        <v>0</v>
      </c>
      <c r="AT78">
        <f t="shared" si="17"/>
        <v>1</v>
      </c>
      <c r="AU78">
        <f t="shared" si="18"/>
        <v>0</v>
      </c>
      <c r="AV78">
        <f t="shared" si="19"/>
        <v>0</v>
      </c>
      <c r="AW78" s="9">
        <f t="shared" si="20"/>
        <v>0</v>
      </c>
      <c r="AX78" s="9">
        <f t="shared" si="21"/>
        <v>0</v>
      </c>
      <c r="AY78" s="9">
        <f t="shared" si="22"/>
        <v>0</v>
      </c>
      <c r="AZ78" s="16">
        <f t="shared" si="23"/>
        <v>3.2380297098888108E-4</v>
      </c>
      <c r="BB78" s="16">
        <f t="shared" si="24"/>
        <v>0</v>
      </c>
      <c r="BC78" s="16">
        <f t="shared" si="25"/>
        <v>3.1810822314905333E-3</v>
      </c>
    </row>
    <row r="79" spans="1:55" x14ac:dyDescent="0.3">
      <c r="A79" s="1">
        <v>46136</v>
      </c>
      <c r="B79" s="8">
        <v>48.17</v>
      </c>
      <c r="C79" s="8">
        <v>50.09</v>
      </c>
      <c r="D79" s="6">
        <v>1.03985883329873</v>
      </c>
      <c r="E79" s="6">
        <v>1.0395631876754901</v>
      </c>
      <c r="F79" s="6">
        <v>1.0388904369985801</v>
      </c>
      <c r="G79" s="6">
        <v>1.03949197414822</v>
      </c>
      <c r="H79" s="8">
        <v>50.075758750328298</v>
      </c>
      <c r="I79" s="8">
        <v>50.044032350221798</v>
      </c>
      <c r="J79" s="8">
        <v>50.0782381140327</v>
      </c>
      <c r="K79" s="13">
        <v>2.84353654287553E-4</v>
      </c>
      <c r="L79" s="13">
        <v>9.1812247900627101E-4</v>
      </c>
      <c r="M79" s="13">
        <v>2.3484262562264199E-4</v>
      </c>
      <c r="N79" s="4">
        <v>0</v>
      </c>
      <c r="O79" s="4">
        <v>0</v>
      </c>
      <c r="P79" s="20">
        <f t="shared" si="26"/>
        <v>48.17</v>
      </c>
      <c r="Q79" s="20">
        <f t="shared" si="27"/>
        <v>50.09</v>
      </c>
      <c r="R79" s="19">
        <f t="shared" si="28"/>
        <v>1.0398588332987337</v>
      </c>
      <c r="S79" s="19">
        <f t="shared" si="29"/>
        <v>1.0384357751676798</v>
      </c>
      <c r="T79" s="19">
        <f t="shared" si="33"/>
        <v>1.0388904369985863</v>
      </c>
      <c r="U79" s="19">
        <f t="shared" si="6"/>
        <v>1.0391658851022274</v>
      </c>
      <c r="V79" s="21">
        <f t="shared" si="30"/>
        <v>50.021451289827141</v>
      </c>
      <c r="W79" s="21">
        <f t="shared" si="34"/>
        <v>50.04403235022189</v>
      </c>
      <c r="X79" s="21">
        <f t="shared" si="8"/>
        <v>50.057282892732175</v>
      </c>
      <c r="Y79" s="22">
        <f t="shared" si="31"/>
        <v>1.3694481500896387E-3</v>
      </c>
      <c r="Z79" s="22">
        <f t="shared" si="31"/>
        <v>9.1812247900627101E-4</v>
      </c>
      <c r="AA79" s="22">
        <f t="shared" si="31"/>
        <v>6.5337985188877994E-4</v>
      </c>
      <c r="AC79" s="9">
        <f t="shared" si="32"/>
        <v>1.6621653525581599E-3</v>
      </c>
      <c r="AD79" s="9">
        <f t="shared" si="32"/>
        <v>2.5987021121485075E-3</v>
      </c>
      <c r="AE79" s="9"/>
      <c r="AF79" s="9"/>
      <c r="AH79">
        <f t="shared" si="9"/>
        <v>0</v>
      </c>
      <c r="AI79">
        <f t="shared" si="10"/>
        <v>1</v>
      </c>
      <c r="AJ79">
        <f t="shared" si="11"/>
        <v>0</v>
      </c>
      <c r="AK79">
        <f t="shared" si="7"/>
        <v>0</v>
      </c>
      <c r="AL79" s="9">
        <f t="shared" si="12"/>
        <v>0</v>
      </c>
      <c r="AM79" s="9">
        <f t="shared" si="13"/>
        <v>0</v>
      </c>
      <c r="AN79" s="9">
        <f t="shared" si="14"/>
        <v>0</v>
      </c>
      <c r="AO79" s="16">
        <f t="shared" si="15"/>
        <v>2.8572792605016523E-3</v>
      </c>
      <c r="AQ79" s="9"/>
      <c r="AS79">
        <f t="shared" si="16"/>
        <v>0</v>
      </c>
      <c r="AT79">
        <f t="shared" si="17"/>
        <v>0</v>
      </c>
      <c r="AU79">
        <f t="shared" si="18"/>
        <v>0</v>
      </c>
      <c r="AV79">
        <f t="shared" si="19"/>
        <v>0</v>
      </c>
      <c r="AW79" s="9">
        <f t="shared" si="20"/>
        <v>0</v>
      </c>
      <c r="AX79" s="9">
        <f t="shared" si="21"/>
        <v>0</v>
      </c>
      <c r="AY79" s="9">
        <f t="shared" si="22"/>
        <v>0</v>
      </c>
      <c r="AZ79" s="16">
        <f t="shared" si="23"/>
        <v>3.2380297098888108E-4</v>
      </c>
      <c r="BB79" s="16">
        <f t="shared" si="24"/>
        <v>0</v>
      </c>
      <c r="BC79" s="16">
        <f t="shared" si="25"/>
        <v>3.1810822314905333E-3</v>
      </c>
    </row>
    <row r="80" spans="1:55" x14ac:dyDescent="0.3">
      <c r="A80" s="1">
        <v>46139</v>
      </c>
      <c r="B80" s="8">
        <v>48.05</v>
      </c>
      <c r="C80" s="8">
        <v>49.93</v>
      </c>
      <c r="D80" s="6">
        <v>1.03912591050988</v>
      </c>
      <c r="E80" s="6">
        <v>1.0395631876754901</v>
      </c>
      <c r="F80" s="6">
        <v>1.0389104385408301</v>
      </c>
      <c r="G80" s="6">
        <v>1.03932909216637</v>
      </c>
      <c r="H80" s="8">
        <v>49.951011167807302</v>
      </c>
      <c r="I80" s="8">
        <v>49.918685497782</v>
      </c>
      <c r="J80" s="8">
        <v>49.947589357821897</v>
      </c>
      <c r="K80" s="13">
        <v>-4.2072397689188403E-4</v>
      </c>
      <c r="L80" s="13">
        <v>2.2663297388344201E-4</v>
      </c>
      <c r="M80" s="13">
        <v>-3.5221831277501098E-4</v>
      </c>
      <c r="N80" s="4">
        <v>0</v>
      </c>
      <c r="O80" s="4">
        <v>0</v>
      </c>
      <c r="P80" s="20">
        <f t="shared" si="26"/>
        <v>48.05</v>
      </c>
      <c r="Q80" s="20">
        <f t="shared" si="27"/>
        <v>49.93</v>
      </c>
      <c r="R80" s="19">
        <f t="shared" si="28"/>
        <v>1.0391259105098856</v>
      </c>
      <c r="S80" s="19">
        <f t="shared" si="29"/>
        <v>1.0384357751676798</v>
      </c>
      <c r="T80" s="19">
        <f t="shared" si="33"/>
        <v>1.0389104385408321</v>
      </c>
      <c r="U80" s="19">
        <f t="shared" si="6"/>
        <v>1.0391121303764654</v>
      </c>
      <c r="V80" s="21">
        <f t="shared" si="30"/>
        <v>49.896838996807013</v>
      </c>
      <c r="W80" s="21">
        <f t="shared" si="34"/>
        <v>49.918685497782072</v>
      </c>
      <c r="X80" s="21">
        <f t="shared" si="8"/>
        <v>49.931920779162027</v>
      </c>
      <c r="Y80" s="22">
        <f t="shared" si="31"/>
        <v>6.6437051890991651E-4</v>
      </c>
      <c r="Z80" s="22">
        <f t="shared" si="31"/>
        <v>2.266329738834425E-4</v>
      </c>
      <c r="AA80" s="22">
        <f t="shared" si="31"/>
        <v>-3.8468700527211982E-5</v>
      </c>
      <c r="AC80" s="9">
        <f t="shared" si="32"/>
        <v>-2.4942852258280409E-3</v>
      </c>
      <c r="AD80" s="9">
        <f t="shared" si="32"/>
        <v>-3.1993628570075377E-3</v>
      </c>
      <c r="AE80" s="9"/>
      <c r="AF80" s="9"/>
      <c r="AH80">
        <f t="shared" si="9"/>
        <v>0</v>
      </c>
      <c r="AI80">
        <f t="shared" si="10"/>
        <v>0</v>
      </c>
      <c r="AJ80">
        <f t="shared" si="11"/>
        <v>0</v>
      </c>
      <c r="AK80">
        <f t="shared" si="7"/>
        <v>0</v>
      </c>
      <c r="AL80" s="9">
        <f t="shared" si="12"/>
        <v>0</v>
      </c>
      <c r="AM80" s="9">
        <f t="shared" si="13"/>
        <v>0</v>
      </c>
      <c r="AN80" s="9">
        <f t="shared" si="14"/>
        <v>0</v>
      </c>
      <c r="AO80" s="16">
        <f t="shared" si="15"/>
        <v>2.8572792605016523E-3</v>
      </c>
      <c r="AQ80" s="9"/>
      <c r="AS80">
        <f t="shared" si="16"/>
        <v>0</v>
      </c>
      <c r="AT80">
        <f t="shared" si="17"/>
        <v>1</v>
      </c>
      <c r="AU80">
        <f t="shared" si="18"/>
        <v>0</v>
      </c>
      <c r="AV80">
        <f t="shared" si="19"/>
        <v>0</v>
      </c>
      <c r="AW80" s="9">
        <f t="shared" si="20"/>
        <v>0</v>
      </c>
      <c r="AX80" s="9">
        <f t="shared" si="21"/>
        <v>0</v>
      </c>
      <c r="AY80" s="9">
        <f t="shared" si="22"/>
        <v>0</v>
      </c>
      <c r="AZ80" s="16">
        <f t="shared" si="23"/>
        <v>3.2380297098888108E-4</v>
      </c>
      <c r="BB80" s="16">
        <f t="shared" si="24"/>
        <v>0</v>
      </c>
      <c r="BC80" s="16">
        <f t="shared" si="25"/>
        <v>3.1810822314905333E-3</v>
      </c>
    </row>
    <row r="81" spans="1:55" x14ac:dyDescent="0.3">
      <c r="A81" s="1">
        <v>46140</v>
      </c>
      <c r="B81" s="8">
        <v>48</v>
      </c>
      <c r="C81" s="8">
        <v>49.87</v>
      </c>
      <c r="D81" s="6">
        <v>1.0389583333333301</v>
      </c>
      <c r="E81" s="6">
        <v>1.0395631876754901</v>
      </c>
      <c r="F81" s="6">
        <v>1.0390111661089201</v>
      </c>
      <c r="G81" s="6">
        <v>1.0391635959851599</v>
      </c>
      <c r="H81" s="8">
        <v>49.899033008423501</v>
      </c>
      <c r="I81" s="8">
        <v>49.867701049959898</v>
      </c>
      <c r="J81" s="8">
        <v>49.887796423985698</v>
      </c>
      <c r="K81" s="13">
        <v>-5.8200442296829896E-4</v>
      </c>
      <c r="L81" s="13">
        <v>4.6099920416487398E-5</v>
      </c>
      <c r="M81" s="13">
        <v>-3.5679264804425501E-4</v>
      </c>
      <c r="N81" s="4">
        <v>0</v>
      </c>
      <c r="O81" s="4">
        <v>0</v>
      </c>
      <c r="P81" s="20">
        <f t="shared" si="26"/>
        <v>48</v>
      </c>
      <c r="Q81" s="20">
        <f t="shared" si="27"/>
        <v>49.87</v>
      </c>
      <c r="R81" s="19">
        <f t="shared" si="28"/>
        <v>1.0389583333333332</v>
      </c>
      <c r="S81" s="19">
        <f t="shared" si="29"/>
        <v>1.0384357751676798</v>
      </c>
      <c r="T81" s="19">
        <f t="shared" si="33"/>
        <v>1.039011166108923</v>
      </c>
      <c r="U81" s="19">
        <f t="shared" si="6"/>
        <v>1.0390554531822009</v>
      </c>
      <c r="V81" s="21">
        <f t="shared" si="30"/>
        <v>49.844917208048628</v>
      </c>
      <c r="W81" s="21">
        <f t="shared" si="34"/>
        <v>49.86770104995994</v>
      </c>
      <c r="X81" s="21">
        <f t="shared" si="8"/>
        <v>49.877382258070341</v>
      </c>
      <c r="Y81" s="22">
        <f t="shared" si="31"/>
        <v>5.0309007283386284E-4</v>
      </c>
      <c r="Z81" s="22">
        <f t="shared" si="31"/>
        <v>4.6099920416487446E-5</v>
      </c>
      <c r="AA81" s="22">
        <f t="shared" si="31"/>
        <v>-1.4801908414441422E-4</v>
      </c>
      <c r="AC81" s="9">
        <f t="shared" si="32"/>
        <v>-1.0411245084105038E-3</v>
      </c>
      <c r="AD81" s="9">
        <f t="shared" si="32"/>
        <v>-1.2024049544868164E-3</v>
      </c>
      <c r="AE81" s="9"/>
      <c r="AF81" s="9"/>
      <c r="AH81">
        <f t="shared" si="9"/>
        <v>0</v>
      </c>
      <c r="AI81">
        <f t="shared" si="10"/>
        <v>0</v>
      </c>
      <c r="AJ81">
        <f t="shared" si="11"/>
        <v>0</v>
      </c>
      <c r="AK81">
        <f t="shared" si="7"/>
        <v>0</v>
      </c>
      <c r="AL81" s="9">
        <f t="shared" si="12"/>
        <v>0</v>
      </c>
      <c r="AM81" s="9">
        <f t="shared" si="13"/>
        <v>0</v>
      </c>
      <c r="AN81" s="9">
        <f t="shared" si="14"/>
        <v>0</v>
      </c>
      <c r="AO81" s="16">
        <f t="shared" si="15"/>
        <v>2.8572792605016523E-3</v>
      </c>
      <c r="AQ81" s="9"/>
      <c r="AS81">
        <f t="shared" si="16"/>
        <v>0</v>
      </c>
      <c r="AT81">
        <f t="shared" si="17"/>
        <v>1</v>
      </c>
      <c r="AU81">
        <f t="shared" si="18"/>
        <v>0</v>
      </c>
      <c r="AV81">
        <f t="shared" si="19"/>
        <v>0</v>
      </c>
      <c r="AW81" s="9">
        <f t="shared" si="20"/>
        <v>0</v>
      </c>
      <c r="AX81" s="9">
        <f t="shared" si="21"/>
        <v>0</v>
      </c>
      <c r="AY81" s="9">
        <f t="shared" si="22"/>
        <v>0</v>
      </c>
      <c r="AZ81" s="16">
        <f t="shared" si="23"/>
        <v>3.2380297098888108E-4</v>
      </c>
      <c r="BB81" s="16">
        <f t="shared" si="24"/>
        <v>0</v>
      </c>
      <c r="BC81" s="16">
        <f t="shared" si="25"/>
        <v>3.1810822314905333E-3</v>
      </c>
    </row>
    <row r="82" spans="1:55" x14ac:dyDescent="0.3">
      <c r="A82" s="1">
        <v>46141</v>
      </c>
      <c r="B82" s="8">
        <v>47.86</v>
      </c>
      <c r="C82" s="8">
        <v>49.79</v>
      </c>
      <c r="D82" s="6">
        <v>1.0403259506895099</v>
      </c>
      <c r="E82" s="6">
        <v>1.0395631876754901</v>
      </c>
      <c r="F82" s="6">
        <v>1.03921998727928</v>
      </c>
      <c r="G82" s="6">
        <v>1.03910913389424</v>
      </c>
      <c r="H82" s="8">
        <v>49.753494162148897</v>
      </c>
      <c r="I82" s="8">
        <v>49.727074409973</v>
      </c>
      <c r="J82" s="8">
        <v>49.734369703849801</v>
      </c>
      <c r="K82" s="13">
        <v>7.3346510075566703E-4</v>
      </c>
      <c r="L82" s="13">
        <v>1.2646191376953599E-3</v>
      </c>
      <c r="M82" s="13">
        <v>1.11792322040101E-3</v>
      </c>
      <c r="N82" s="4">
        <v>0</v>
      </c>
      <c r="O82" s="4">
        <v>0</v>
      </c>
      <c r="P82" s="20">
        <f t="shared" si="26"/>
        <v>47.86</v>
      </c>
      <c r="Q82" s="20">
        <f t="shared" si="27"/>
        <v>49.79</v>
      </c>
      <c r="R82" s="19">
        <f t="shared" si="28"/>
        <v>1.0403259506895111</v>
      </c>
      <c r="S82" s="19">
        <f t="shared" si="29"/>
        <v>1.0384357751676798</v>
      </c>
      <c r="T82" s="19">
        <f t="shared" si="33"/>
        <v>1.0392199872792871</v>
      </c>
      <c r="U82" s="19">
        <f t="shared" si="6"/>
        <v>1.0391091338942464</v>
      </c>
      <c r="V82" s="21">
        <f t="shared" si="30"/>
        <v>49.699536199525156</v>
      </c>
      <c r="W82" s="21">
        <f t="shared" si="34"/>
        <v>49.727074409973049</v>
      </c>
      <c r="X82" s="21">
        <f t="shared" si="8"/>
        <v>49.729193989300136</v>
      </c>
      <c r="Y82" s="22">
        <f t="shared" si="31"/>
        <v>1.818559596557703E-3</v>
      </c>
      <c r="Z82" s="22">
        <f t="shared" si="31"/>
        <v>1.2646191376953664E-3</v>
      </c>
      <c r="AA82" s="22">
        <f t="shared" si="31"/>
        <v>1.2219957945614462E-3</v>
      </c>
      <c r="AC82" s="9">
        <f t="shared" si="32"/>
        <v>-2.9209284276636763E-3</v>
      </c>
      <c r="AD82" s="9">
        <f t="shared" si="32"/>
        <v>-1.6054589039397537E-3</v>
      </c>
      <c r="AE82" s="9"/>
      <c r="AF82" s="9"/>
      <c r="AH82">
        <f t="shared" si="9"/>
        <v>0</v>
      </c>
      <c r="AI82">
        <f t="shared" si="10"/>
        <v>1</v>
      </c>
      <c r="AJ82">
        <f t="shared" si="11"/>
        <v>0</v>
      </c>
      <c r="AK82">
        <f t="shared" si="7"/>
        <v>0</v>
      </c>
      <c r="AL82" s="9">
        <f t="shared" si="12"/>
        <v>0</v>
      </c>
      <c r="AM82" s="9">
        <f t="shared" si="13"/>
        <v>0</v>
      </c>
      <c r="AN82" s="9">
        <f t="shared" si="14"/>
        <v>0</v>
      </c>
      <c r="AO82" s="16">
        <f t="shared" si="15"/>
        <v>2.8572792605016523E-3</v>
      </c>
      <c r="AQ82" s="9"/>
      <c r="AS82">
        <f t="shared" si="16"/>
        <v>1</v>
      </c>
      <c r="AT82">
        <f t="shared" si="17"/>
        <v>0</v>
      </c>
      <c r="AU82">
        <f t="shared" si="18"/>
        <v>0</v>
      </c>
      <c r="AV82">
        <f t="shared" si="19"/>
        <v>0</v>
      </c>
      <c r="AW82" s="9">
        <f t="shared" si="20"/>
        <v>0</v>
      </c>
      <c r="AX82" s="9">
        <f t="shared" si="21"/>
        <v>0</v>
      </c>
      <c r="AY82" s="9">
        <f t="shared" si="22"/>
        <v>0</v>
      </c>
      <c r="AZ82" s="16">
        <f t="shared" si="23"/>
        <v>3.2380297098888108E-4</v>
      </c>
      <c r="BB82" s="16">
        <f t="shared" si="24"/>
        <v>0</v>
      </c>
      <c r="BC82" s="16">
        <f t="shared" si="25"/>
        <v>3.1810822314905333E-3</v>
      </c>
    </row>
    <row r="83" spans="1:55" x14ac:dyDescent="0.3">
      <c r="A83" s="1">
        <v>46142</v>
      </c>
      <c r="B83" s="8">
        <v>48.05</v>
      </c>
      <c r="C83" s="8">
        <v>49.91</v>
      </c>
      <c r="D83" s="6">
        <v>1.0387096774193501</v>
      </c>
      <c r="E83" s="6">
        <v>1.0395631876754901</v>
      </c>
      <c r="F83" s="6">
        <v>1.03918161836079</v>
      </c>
      <c r="G83" s="6">
        <v>1.03911793582395</v>
      </c>
      <c r="H83" s="8">
        <v>49.951011167807302</v>
      </c>
      <c r="I83" s="8">
        <v>49.934520388769698</v>
      </c>
      <c r="J83" s="8">
        <v>49.929193883618503</v>
      </c>
      <c r="K83" s="13">
        <v>-8.2136500789197799E-4</v>
      </c>
      <c r="L83" s="13">
        <v>-4.9117145672549596E-4</v>
      </c>
      <c r="M83" s="13">
        <v>-3.84495970137366E-4</v>
      </c>
      <c r="N83" s="4">
        <v>0</v>
      </c>
      <c r="O83" s="4">
        <v>0</v>
      </c>
      <c r="P83" s="20">
        <f t="shared" si="26"/>
        <v>48.05</v>
      </c>
      <c r="Q83" s="20">
        <f t="shared" si="27"/>
        <v>49.91</v>
      </c>
      <c r="R83" s="19">
        <f t="shared" si="28"/>
        <v>1.0387096774193549</v>
      </c>
      <c r="S83" s="19">
        <f t="shared" si="29"/>
        <v>1.0384357751676798</v>
      </c>
      <c r="T83" s="19">
        <f t="shared" si="33"/>
        <v>1.0391816183607943</v>
      </c>
      <c r="U83" s="19">
        <f t="shared" si="6"/>
        <v>1.0391179358239522</v>
      </c>
      <c r="V83" s="21">
        <f t="shared" si="30"/>
        <v>49.896838996807013</v>
      </c>
      <c r="W83" s="21">
        <f t="shared" si="34"/>
        <v>49.934520388769741</v>
      </c>
      <c r="X83" s="21">
        <f t="shared" si="8"/>
        <v>49.929193883618538</v>
      </c>
      <c r="Y83" s="22">
        <f t="shared" si="31"/>
        <v>2.6372948790986809E-4</v>
      </c>
      <c r="Z83" s="22">
        <f t="shared" si="31"/>
        <v>-4.9117145672549596E-4</v>
      </c>
      <c r="AA83" s="22">
        <f t="shared" si="31"/>
        <v>-3.844959701373666E-4</v>
      </c>
      <c r="AC83" s="9">
        <f t="shared" si="32"/>
        <v>3.9620529360741841E-3</v>
      </c>
      <c r="AD83" s="9">
        <f t="shared" si="32"/>
        <v>2.4072228274265449E-3</v>
      </c>
      <c r="AE83" s="9"/>
      <c r="AF83" s="9"/>
      <c r="AH83">
        <f t="shared" si="9"/>
        <v>0</v>
      </c>
      <c r="AI83">
        <f t="shared" si="10"/>
        <v>0</v>
      </c>
      <c r="AJ83">
        <f t="shared" si="11"/>
        <v>0</v>
      </c>
      <c r="AK83">
        <f t="shared" si="7"/>
        <v>0</v>
      </c>
      <c r="AL83" s="9">
        <f t="shared" si="12"/>
        <v>0</v>
      </c>
      <c r="AM83" s="9">
        <f t="shared" si="13"/>
        <v>0</v>
      </c>
      <c r="AN83" s="9">
        <f t="shared" si="14"/>
        <v>0</v>
      </c>
      <c r="AO83" s="16">
        <f t="shared" si="15"/>
        <v>2.8572792605016523E-3</v>
      </c>
      <c r="AQ83" s="9"/>
      <c r="AS83">
        <f t="shared" si="16"/>
        <v>0</v>
      </c>
      <c r="AT83">
        <f t="shared" si="17"/>
        <v>1</v>
      </c>
      <c r="AU83">
        <f t="shared" si="18"/>
        <v>0</v>
      </c>
      <c r="AV83" s="23">
        <v>0</v>
      </c>
      <c r="AW83" s="9">
        <f t="shared" si="20"/>
        <v>0</v>
      </c>
      <c r="AX83" s="9">
        <f t="shared" si="21"/>
        <v>0</v>
      </c>
      <c r="AY83" s="9">
        <f t="shared" si="22"/>
        <v>0</v>
      </c>
      <c r="AZ83" s="16">
        <f t="shared" si="23"/>
        <v>3.2380297098888108E-4</v>
      </c>
      <c r="BB83" s="16">
        <f t="shared" si="24"/>
        <v>0</v>
      </c>
      <c r="BC83" s="16">
        <f t="shared" si="25"/>
        <v>3.1810822314905333E-3</v>
      </c>
    </row>
    <row r="84" spans="1:55" x14ac:dyDescent="0.3">
      <c r="A84" s="1">
        <v>46143</v>
      </c>
      <c r="B84" s="8">
        <v>47.97</v>
      </c>
      <c r="C84" s="8">
        <v>49.94</v>
      </c>
      <c r="D84" s="6">
        <v>1.0410673337502601</v>
      </c>
      <c r="E84" s="6">
        <v>1.0395631876754901</v>
      </c>
      <c r="F84" s="6">
        <v>1.0393984282928199</v>
      </c>
      <c r="G84" s="6">
        <v>1.03922176122706</v>
      </c>
      <c r="H84" s="8">
        <v>49.867846112793202</v>
      </c>
      <c r="I84" s="8">
        <v>49.849542232767298</v>
      </c>
      <c r="J84" s="8">
        <v>49.846487381474901</v>
      </c>
      <c r="K84" s="13">
        <v>1.44585626454609E-3</v>
      </c>
      <c r="L84" s="13">
        <v>1.8129713792769001E-3</v>
      </c>
      <c r="M84" s="13">
        <v>1.8742546882529599E-3</v>
      </c>
      <c r="N84" s="20">
        <v>0.11</v>
      </c>
      <c r="O84" s="4">
        <v>0</v>
      </c>
      <c r="P84" s="20">
        <f t="shared" si="26"/>
        <v>48.08</v>
      </c>
      <c r="Q84" s="20">
        <f t="shared" si="27"/>
        <v>49.94</v>
      </c>
      <c r="R84" s="19">
        <f t="shared" si="28"/>
        <v>1.0386855241264559</v>
      </c>
      <c r="S84" s="19">
        <f t="shared" si="29"/>
        <v>1.0384357751676798</v>
      </c>
      <c r="T84" s="19">
        <f t="shared" si="33"/>
        <v>1.0391602473304435</v>
      </c>
      <c r="U84" s="19">
        <f t="shared" si="6"/>
        <v>1.0391026707458713</v>
      </c>
      <c r="V84" s="21">
        <f t="shared" si="30"/>
        <v>49.927992070062047</v>
      </c>
      <c r="W84" s="21">
        <f t="shared" si="34"/>
        <v>49.963852210786989</v>
      </c>
      <c r="X84" s="21">
        <f t="shared" si="8"/>
        <v>49.960790354415622</v>
      </c>
      <c r="Y84" s="22">
        <f t="shared" si="31"/>
        <v>2.4047604736848022E-4</v>
      </c>
      <c r="Z84" s="22">
        <f t="shared" si="31"/>
        <v>-4.7750333370284579E-4</v>
      </c>
      <c r="AA84" s="22">
        <f t="shared" si="31"/>
        <v>-4.1622002472674666E-4</v>
      </c>
      <c r="AC84" s="9">
        <f t="shared" si="32"/>
        <v>-1.6663199023288834E-3</v>
      </c>
      <c r="AD84" s="9">
        <f t="shared" si="32"/>
        <v>6.009013701092985E-4</v>
      </c>
      <c r="AE84" s="9"/>
      <c r="AF84" s="9"/>
      <c r="AH84">
        <f t="shared" si="9"/>
        <v>0</v>
      </c>
      <c r="AI84">
        <f t="shared" si="10"/>
        <v>0</v>
      </c>
      <c r="AJ84">
        <f t="shared" si="11"/>
        <v>0</v>
      </c>
      <c r="AK84">
        <f t="shared" si="7"/>
        <v>0</v>
      </c>
      <c r="AL84" s="9">
        <f t="shared" si="12"/>
        <v>0</v>
      </c>
      <c r="AM84" s="9">
        <f t="shared" si="13"/>
        <v>0</v>
      </c>
      <c r="AN84" s="9">
        <f t="shared" si="14"/>
        <v>0</v>
      </c>
      <c r="AO84" s="16">
        <f t="shared" si="15"/>
        <v>2.8572792605016523E-3</v>
      </c>
      <c r="AQ84" s="9"/>
      <c r="AS84">
        <f t="shared" si="16"/>
        <v>0</v>
      </c>
      <c r="AT84">
        <f t="shared" si="17"/>
        <v>1</v>
      </c>
      <c r="AU84">
        <f t="shared" si="18"/>
        <v>0</v>
      </c>
      <c r="AV84">
        <f t="shared" si="19"/>
        <v>0</v>
      </c>
      <c r="AW84" s="9">
        <f t="shared" si="20"/>
        <v>0</v>
      </c>
      <c r="AX84" s="9">
        <f t="shared" si="21"/>
        <v>0</v>
      </c>
      <c r="AY84" s="9">
        <f t="shared" si="22"/>
        <v>0</v>
      </c>
      <c r="AZ84" s="16">
        <f t="shared" si="23"/>
        <v>3.2380297098888108E-4</v>
      </c>
      <c r="BB84" s="16">
        <f t="shared" si="24"/>
        <v>0</v>
      </c>
      <c r="BC84" s="16">
        <f t="shared" si="25"/>
        <v>3.1810822314905333E-3</v>
      </c>
    </row>
    <row r="85" spans="1:55" x14ac:dyDescent="0.3">
      <c r="A85" s="1">
        <v>46146</v>
      </c>
      <c r="B85" s="8">
        <v>47.84</v>
      </c>
      <c r="C85" s="8">
        <v>49.84</v>
      </c>
      <c r="D85" s="6">
        <v>1.0418060200668799</v>
      </c>
      <c r="E85" s="6">
        <v>1.0395631876754901</v>
      </c>
      <c r="F85" s="6">
        <v>1.0396842716502399</v>
      </c>
      <c r="G85" s="6">
        <v>1.03931749247267</v>
      </c>
      <c r="H85" s="8">
        <v>49.732702898395402</v>
      </c>
      <c r="I85" s="8">
        <v>49.724820809528701</v>
      </c>
      <c r="J85" s="8">
        <v>49.716369057102597</v>
      </c>
      <c r="K85" s="13">
        <v>2.15515176371304E-3</v>
      </c>
      <c r="L85" s="13">
        <v>2.31365337504242E-3</v>
      </c>
      <c r="M85" s="13">
        <v>2.4836383170523399E-3</v>
      </c>
      <c r="N85" s="20">
        <v>0.11</v>
      </c>
      <c r="O85" s="4">
        <v>0</v>
      </c>
      <c r="P85" s="20">
        <f t="shared" si="26"/>
        <v>47.95</v>
      </c>
      <c r="Q85" s="20">
        <f t="shared" si="27"/>
        <v>49.84</v>
      </c>
      <c r="R85" s="19">
        <f t="shared" si="28"/>
        <v>1.0394160583941605</v>
      </c>
      <c r="S85" s="19">
        <f t="shared" si="29"/>
        <v>1.0384357751676798</v>
      </c>
      <c r="T85" s="19">
        <f t="shared" si="33"/>
        <v>1.0392070945205951</v>
      </c>
      <c r="U85" s="19">
        <f t="shared" si="6"/>
        <v>1.0390789039078516</v>
      </c>
      <c r="V85" s="21">
        <f t="shared" si="30"/>
        <v>49.79299541929025</v>
      </c>
      <c r="W85" s="21">
        <f t="shared" si="34"/>
        <v>49.827733859494771</v>
      </c>
      <c r="X85" s="21">
        <f t="shared" si="8"/>
        <v>49.824973062264533</v>
      </c>
      <c r="Y85" s="22">
        <f t="shared" si="31"/>
        <v>9.4355457244409732E-4</v>
      </c>
      <c r="Z85" s="22">
        <f t="shared" si="31"/>
        <v>2.4614065339247299E-4</v>
      </c>
      <c r="AA85" s="22">
        <f t="shared" si="31"/>
        <v>3.0154902745925955E-4</v>
      </c>
      <c r="AC85" s="9">
        <f t="shared" si="32"/>
        <v>-2.7137058715961618E-3</v>
      </c>
      <c r="AD85" s="9">
        <f t="shared" si="32"/>
        <v>-2.0044103724292904E-3</v>
      </c>
      <c r="AE85" s="9"/>
      <c r="AF85" s="9"/>
      <c r="AH85">
        <f t="shared" si="9"/>
        <v>0</v>
      </c>
      <c r="AI85">
        <f t="shared" si="10"/>
        <v>1</v>
      </c>
      <c r="AJ85">
        <f t="shared" si="11"/>
        <v>0</v>
      </c>
      <c r="AK85">
        <f t="shared" si="7"/>
        <v>0</v>
      </c>
      <c r="AL85" s="9">
        <f t="shared" si="12"/>
        <v>0</v>
      </c>
      <c r="AM85" s="9">
        <f t="shared" si="13"/>
        <v>0</v>
      </c>
      <c r="AN85" s="9">
        <f t="shared" si="14"/>
        <v>0</v>
      </c>
      <c r="AO85" s="16">
        <f t="shared" si="15"/>
        <v>2.8572792605016523E-3</v>
      </c>
      <c r="AQ85" s="9"/>
      <c r="AS85">
        <f t="shared" si="16"/>
        <v>0</v>
      </c>
      <c r="AT85">
        <f t="shared" si="17"/>
        <v>0</v>
      </c>
      <c r="AU85">
        <f t="shared" si="18"/>
        <v>0</v>
      </c>
      <c r="AV85">
        <f t="shared" si="19"/>
        <v>0</v>
      </c>
      <c r="AW85" s="9">
        <f t="shared" si="20"/>
        <v>0</v>
      </c>
      <c r="AX85" s="9">
        <f t="shared" si="21"/>
        <v>0</v>
      </c>
      <c r="AY85" s="9">
        <f t="shared" si="22"/>
        <v>0</v>
      </c>
      <c r="AZ85" s="16">
        <f t="shared" si="23"/>
        <v>3.2380297098888108E-4</v>
      </c>
      <c r="BB85" s="16">
        <f t="shared" si="24"/>
        <v>0</v>
      </c>
      <c r="BC85" s="16">
        <f t="shared" si="25"/>
        <v>3.1810822314905333E-3</v>
      </c>
    </row>
    <row r="86" spans="1:55" x14ac:dyDescent="0.3">
      <c r="A86" s="1">
        <v>46147</v>
      </c>
      <c r="B86" s="8">
        <v>47.89</v>
      </c>
      <c r="C86" s="8">
        <v>49.87</v>
      </c>
      <c r="D86" s="6">
        <v>1.0413447483817</v>
      </c>
      <c r="E86" s="6">
        <v>1.0395631876754901</v>
      </c>
      <c r="F86" s="6">
        <v>1.03993101260068</v>
      </c>
      <c r="G86" s="6">
        <v>1.0394018453165099</v>
      </c>
      <c r="H86" s="8">
        <v>49.784681057779203</v>
      </c>
      <c r="I86" s="8">
        <v>49.790479769330403</v>
      </c>
      <c r="J86" s="8">
        <v>49.772914714516503</v>
      </c>
      <c r="K86" s="13">
        <v>1.7122921304045401E-3</v>
      </c>
      <c r="L86" s="13">
        <v>1.59582309315571E-3</v>
      </c>
      <c r="M86" s="13">
        <v>1.9486647190796601E-3</v>
      </c>
      <c r="N86" s="20">
        <v>0.11</v>
      </c>
      <c r="O86" s="4">
        <v>0</v>
      </c>
      <c r="P86" s="20">
        <f t="shared" si="26"/>
        <v>48</v>
      </c>
      <c r="Q86" s="20">
        <f t="shared" si="27"/>
        <v>49.87</v>
      </c>
      <c r="R86" s="19">
        <f t="shared" si="28"/>
        <v>1.0389583333333332</v>
      </c>
      <c r="S86" s="19">
        <f t="shared" si="29"/>
        <v>1.0384357751676798</v>
      </c>
      <c r="T86" s="19">
        <f t="shared" si="33"/>
        <v>1.0392151939661947</v>
      </c>
      <c r="U86" s="19">
        <f t="shared" ref="U86:U149" si="35">AVERAGE(R67:R86)</f>
        <v>1.0390439359992729</v>
      </c>
      <c r="V86" s="21">
        <f t="shared" si="30"/>
        <v>49.844917208048628</v>
      </c>
      <c r="W86" s="21">
        <f t="shared" si="34"/>
        <v>49.881940536988566</v>
      </c>
      <c r="X86" s="21">
        <f t="shared" si="8"/>
        <v>49.875787387576878</v>
      </c>
      <c r="Y86" s="22">
        <f t="shared" si="31"/>
        <v>5.0309007283386284E-4</v>
      </c>
      <c r="Z86" s="22">
        <f t="shared" si="31"/>
        <v>-2.3940460669374602E-4</v>
      </c>
      <c r="AA86" s="22">
        <f t="shared" si="31"/>
        <v>-1.1604274696603925E-4</v>
      </c>
      <c r="AC86" s="9">
        <f t="shared" si="32"/>
        <v>1.044604712141657E-3</v>
      </c>
      <c r="AD86" s="9">
        <f t="shared" si="32"/>
        <v>6.0174507883334468E-4</v>
      </c>
      <c r="AE86" s="9"/>
      <c r="AF86" s="9"/>
      <c r="AH86">
        <f t="shared" si="9"/>
        <v>0</v>
      </c>
      <c r="AI86">
        <f t="shared" si="10"/>
        <v>0</v>
      </c>
      <c r="AJ86">
        <f t="shared" si="11"/>
        <v>0</v>
      </c>
      <c r="AK86">
        <f t="shared" ref="AK86:AK149" si="36">IF(AH85,1,IF(AI85,0,AJ85))</f>
        <v>0</v>
      </c>
      <c r="AL86" s="9">
        <f t="shared" si="12"/>
        <v>0</v>
      </c>
      <c r="AM86" s="9">
        <f t="shared" si="13"/>
        <v>0</v>
      </c>
      <c r="AN86" s="9">
        <f t="shared" si="14"/>
        <v>0</v>
      </c>
      <c r="AO86" s="16">
        <f t="shared" si="15"/>
        <v>2.8572792605016523E-3</v>
      </c>
      <c r="AQ86" s="9"/>
      <c r="AS86">
        <f t="shared" si="16"/>
        <v>0</v>
      </c>
      <c r="AT86">
        <f t="shared" si="17"/>
        <v>1</v>
      </c>
      <c r="AU86">
        <f t="shared" si="18"/>
        <v>0</v>
      </c>
      <c r="AV86">
        <f t="shared" si="19"/>
        <v>0</v>
      </c>
      <c r="AW86" s="9">
        <f t="shared" si="20"/>
        <v>0</v>
      </c>
      <c r="AX86" s="9">
        <f t="shared" si="21"/>
        <v>0</v>
      </c>
      <c r="AY86" s="9">
        <f t="shared" si="22"/>
        <v>0</v>
      </c>
      <c r="AZ86" s="16">
        <f t="shared" si="23"/>
        <v>3.2380297098888108E-4</v>
      </c>
      <c r="BB86" s="16">
        <f t="shared" si="24"/>
        <v>0</v>
      </c>
      <c r="BC86" s="16">
        <f t="shared" si="25"/>
        <v>3.1810822314905333E-3</v>
      </c>
    </row>
    <row r="87" spans="1:55" x14ac:dyDescent="0.3">
      <c r="A87" s="1">
        <v>46148</v>
      </c>
      <c r="B87" s="8">
        <v>48.16</v>
      </c>
      <c r="C87" s="8">
        <v>50.12</v>
      </c>
      <c r="D87" s="6">
        <v>1.0406976744186001</v>
      </c>
      <c r="E87" s="6">
        <v>1.0395631876754901</v>
      </c>
      <c r="F87" s="6">
        <v>1.04007799050331</v>
      </c>
      <c r="G87" s="6">
        <v>1.03952082182949</v>
      </c>
      <c r="H87" s="8">
        <v>50.0653631184516</v>
      </c>
      <c r="I87" s="8">
        <v>50.083077566848999</v>
      </c>
      <c r="J87" s="8">
        <v>50.0575928704435</v>
      </c>
      <c r="K87" s="13">
        <v>1.0907159541934401E-3</v>
      </c>
      <c r="L87" s="13">
        <v>7.3695211202256801E-4</v>
      </c>
      <c r="M87" s="13">
        <v>1.24593006961707E-3</v>
      </c>
      <c r="N87" s="20">
        <v>0.11</v>
      </c>
      <c r="O87" s="4">
        <v>0</v>
      </c>
      <c r="P87" s="20">
        <f t="shared" si="26"/>
        <v>48.269999999999996</v>
      </c>
      <c r="Q87" s="20">
        <f t="shared" si="27"/>
        <v>50.12</v>
      </c>
      <c r="R87" s="19">
        <f t="shared" si="28"/>
        <v>1.0383260824528693</v>
      </c>
      <c r="S87" s="19">
        <f t="shared" si="29"/>
        <v>1.0384357751676798</v>
      </c>
      <c r="T87" s="19">
        <f t="shared" si="33"/>
        <v>1.0391250126722538</v>
      </c>
      <c r="U87" s="19">
        <f t="shared" si="35"/>
        <v>1.0390443329139629</v>
      </c>
      <c r="V87" s="21">
        <f t="shared" si="30"/>
        <v>50.125294867343904</v>
      </c>
      <c r="W87" s="21">
        <f t="shared" si="34"/>
        <v>50.162917412748214</v>
      </c>
      <c r="X87" s="21">
        <f t="shared" ref="X87:X150" si="37">U86*P87</f>
        <v>50.154650790684897</v>
      </c>
      <c r="Y87" s="22">
        <f t="shared" si="31"/>
        <v>-1.0563822184048201E-4</v>
      </c>
      <c r="Z87" s="22">
        <f t="shared" si="31"/>
        <v>-8.5592674157496129E-4</v>
      </c>
      <c r="AA87" s="22">
        <f t="shared" si="31"/>
        <v>-6.9111768110683878E-4</v>
      </c>
      <c r="AC87" s="9">
        <f t="shared" si="32"/>
        <v>5.6220866460475393E-3</v>
      </c>
      <c r="AD87" s="9">
        <f t="shared" si="32"/>
        <v>5.0005104698364325E-3</v>
      </c>
      <c r="AE87" s="9"/>
      <c r="AF87" s="9"/>
      <c r="AH87">
        <f t="shared" ref="AH87:AH150" si="38">IF(AA87&lt;AG$1,1,0)</f>
        <v>0</v>
      </c>
      <c r="AI87">
        <f t="shared" ref="AI87:AI150" si="39">IF($AA87&gt;AG$2,1,0)</f>
        <v>0</v>
      </c>
      <c r="AJ87">
        <f t="shared" ref="AJ87:AJ150" si="40">AK87</f>
        <v>0</v>
      </c>
      <c r="AK87">
        <f t="shared" si="36"/>
        <v>0</v>
      </c>
      <c r="AL87" s="9">
        <f t="shared" ref="AL87:AL150" si="41">-AK87*$AC87</f>
        <v>0</v>
      </c>
      <c r="AM87" s="9">
        <f t="shared" ref="AM87:AM150" si="42">AK87*$AD87</f>
        <v>0</v>
      </c>
      <c r="AN87" s="9">
        <f t="shared" ref="AN87:AN150" si="43">AL87+AM87</f>
        <v>0</v>
      </c>
      <c r="AO87" s="16">
        <f t="shared" ref="AO87:AO150" si="44">AO86+AN87</f>
        <v>2.8572792605016523E-3</v>
      </c>
      <c r="AQ87" s="9"/>
      <c r="AS87">
        <f t="shared" ref="AS87:AS150" si="45">IF($AA87&gt;AR$1,1,0)</f>
        <v>0</v>
      </c>
      <c r="AT87">
        <f t="shared" ref="AT87:AT150" si="46">IF($AA87&lt;AR$2,1,0)</f>
        <v>1</v>
      </c>
      <c r="AU87">
        <f t="shared" ref="AU87:AU150" si="47">AV86</f>
        <v>0</v>
      </c>
      <c r="AV87">
        <f t="shared" ref="AV87:AV150" si="48">IF(AS86,1,IF(AT86,0,AU86))</f>
        <v>0</v>
      </c>
      <c r="AW87" s="9">
        <f t="shared" ref="AW87:AW150" si="49">AV87*$AC87</f>
        <v>0</v>
      </c>
      <c r="AX87" s="9">
        <f t="shared" ref="AX87:AX150" si="50">-AV87*$AD87</f>
        <v>0</v>
      </c>
      <c r="AY87" s="9">
        <f t="shared" ref="AY87:AY150" si="51">AW87+AX87</f>
        <v>0</v>
      </c>
      <c r="AZ87" s="16">
        <f t="shared" ref="AZ87:AZ150" si="52">AZ86+AY87</f>
        <v>3.2380297098888108E-4</v>
      </c>
      <c r="BB87" s="16">
        <f t="shared" ref="BB87:BB150" si="53">AN87+AY87</f>
        <v>0</v>
      </c>
      <c r="BC87" s="16">
        <f t="shared" ref="BC87:BC150" si="54">BC86+BB87</f>
        <v>3.1810822314905333E-3</v>
      </c>
    </row>
    <row r="88" spans="1:55" x14ac:dyDescent="0.3">
      <c r="A88" s="1">
        <v>46149</v>
      </c>
      <c r="B88" s="8">
        <v>48.08</v>
      </c>
      <c r="C88" s="8">
        <v>50.04</v>
      </c>
      <c r="D88" s="6">
        <v>1.0407653910149699</v>
      </c>
      <c r="E88" s="6">
        <v>1.0395631876754901</v>
      </c>
      <c r="F88" s="6">
        <v>1.04026598728832</v>
      </c>
      <c r="G88" s="6">
        <v>1.03958527047851</v>
      </c>
      <c r="H88" s="8">
        <v>49.982198063437501</v>
      </c>
      <c r="I88" s="8">
        <v>50.006949783399499</v>
      </c>
      <c r="J88" s="8">
        <v>49.980161113562097</v>
      </c>
      <c r="K88" s="13">
        <v>1.1557822986498099E-3</v>
      </c>
      <c r="L88" s="13">
        <v>6.6069416157637302E-4</v>
      </c>
      <c r="M88" s="13">
        <v>1.19653663643284E-3</v>
      </c>
      <c r="N88" s="20">
        <v>0.11</v>
      </c>
      <c r="O88" s="4">
        <v>0</v>
      </c>
      <c r="P88" s="20">
        <f t="shared" si="26"/>
        <v>48.19</v>
      </c>
      <c r="Q88" s="20">
        <f t="shared" si="27"/>
        <v>50.04</v>
      </c>
      <c r="R88" s="19">
        <f t="shared" si="28"/>
        <v>1.038389707408176</v>
      </c>
      <c r="S88" s="19">
        <f t="shared" si="29"/>
        <v>1.0384357751676798</v>
      </c>
      <c r="T88" s="19">
        <f t="shared" si="33"/>
        <v>1.0390754410965815</v>
      </c>
      <c r="U88" s="19">
        <f t="shared" si="35"/>
        <v>1.0389899973826471</v>
      </c>
      <c r="V88" s="21">
        <f t="shared" si="30"/>
        <v>50.042220005330485</v>
      </c>
      <c r="W88" s="21">
        <f t="shared" si="34"/>
        <v>50.075434360675906</v>
      </c>
      <c r="X88" s="21">
        <f t="shared" si="37"/>
        <v>50.071546403123868</v>
      </c>
      <c r="Y88" s="22">
        <f t="shared" si="31"/>
        <v>-4.4363630837407602E-5</v>
      </c>
      <c r="Z88" s="22">
        <f t="shared" si="31"/>
        <v>-7.0787011776575709E-4</v>
      </c>
      <c r="AA88" s="22">
        <f t="shared" si="31"/>
        <v>-6.302250899408538E-4</v>
      </c>
      <c r="AC88" s="9">
        <f t="shared" si="32"/>
        <v>-1.6625107736134141E-3</v>
      </c>
      <c r="AD88" s="9">
        <f t="shared" si="32"/>
        <v>-1.5974444291571755E-3</v>
      </c>
      <c r="AE88" s="9"/>
      <c r="AF88" s="9"/>
      <c r="AH88">
        <f t="shared" si="38"/>
        <v>0</v>
      </c>
      <c r="AI88">
        <f t="shared" si="39"/>
        <v>0</v>
      </c>
      <c r="AJ88">
        <f t="shared" si="40"/>
        <v>0</v>
      </c>
      <c r="AK88">
        <f t="shared" si="36"/>
        <v>0</v>
      </c>
      <c r="AL88" s="9">
        <f t="shared" si="41"/>
        <v>0</v>
      </c>
      <c r="AM88" s="9">
        <f t="shared" si="42"/>
        <v>0</v>
      </c>
      <c r="AN88" s="9">
        <f t="shared" si="43"/>
        <v>0</v>
      </c>
      <c r="AO88" s="16">
        <f t="shared" si="44"/>
        <v>2.8572792605016523E-3</v>
      </c>
      <c r="AQ88" s="9"/>
      <c r="AS88">
        <f t="shared" si="45"/>
        <v>0</v>
      </c>
      <c r="AT88">
        <f t="shared" si="46"/>
        <v>1</v>
      </c>
      <c r="AU88">
        <f t="shared" si="47"/>
        <v>0</v>
      </c>
      <c r="AV88">
        <f t="shared" si="48"/>
        <v>0</v>
      </c>
      <c r="AW88" s="9">
        <f t="shared" si="49"/>
        <v>0</v>
      </c>
      <c r="AX88" s="9">
        <f t="shared" si="50"/>
        <v>0</v>
      </c>
      <c r="AY88" s="9">
        <f t="shared" si="51"/>
        <v>0</v>
      </c>
      <c r="AZ88" s="16">
        <f t="shared" si="52"/>
        <v>3.2380297098888108E-4</v>
      </c>
      <c r="BB88" s="16">
        <f t="shared" si="53"/>
        <v>0</v>
      </c>
      <c r="BC88" s="16">
        <f t="shared" si="54"/>
        <v>3.1810822314905333E-3</v>
      </c>
    </row>
    <row r="89" spans="1:55" x14ac:dyDescent="0.3">
      <c r="A89" s="1">
        <v>46150</v>
      </c>
      <c r="B89" s="8">
        <v>48.14</v>
      </c>
      <c r="C89" s="8">
        <v>50.16</v>
      </c>
      <c r="D89" s="6">
        <v>1.04196094723722</v>
      </c>
      <c r="E89" s="6">
        <v>1.0395631876754901</v>
      </c>
      <c r="F89" s="6">
        <v>1.04047619868217</v>
      </c>
      <c r="G89" s="6">
        <v>1.0396833178403799</v>
      </c>
      <c r="H89" s="8">
        <v>50.044571854698098</v>
      </c>
      <c r="I89" s="8">
        <v>50.0784046280599</v>
      </c>
      <c r="J89" s="8">
        <v>50.045634920835901</v>
      </c>
      <c r="K89" s="13">
        <v>2.3038508966307298E-3</v>
      </c>
      <c r="L89" s="13">
        <v>1.6280265087008699E-3</v>
      </c>
      <c r="M89" s="13">
        <v>2.2826087357424901E-3</v>
      </c>
      <c r="N89" s="20">
        <v>0.11</v>
      </c>
      <c r="O89" s="4">
        <v>0</v>
      </c>
      <c r="P89" s="20">
        <f t="shared" si="26"/>
        <v>48.25</v>
      </c>
      <c r="Q89" s="20">
        <f t="shared" si="27"/>
        <v>50.16</v>
      </c>
      <c r="R89" s="19">
        <f t="shared" si="28"/>
        <v>1.0395854922279792</v>
      </c>
      <c r="S89" s="19">
        <f t="shared" si="29"/>
        <v>1.0384357751676798</v>
      </c>
      <c r="T89" s="19">
        <f t="shared" si="33"/>
        <v>1.0390481069895061</v>
      </c>
      <c r="U89" s="19">
        <f t="shared" si="35"/>
        <v>1.038969271994046</v>
      </c>
      <c r="V89" s="21">
        <f t="shared" si="30"/>
        <v>50.104526151840552</v>
      </c>
      <c r="W89" s="21">
        <f t="shared" si="34"/>
        <v>50.135390032910053</v>
      </c>
      <c r="X89" s="21">
        <f t="shared" si="37"/>
        <v>50.131267373712724</v>
      </c>
      <c r="Y89" s="22">
        <f t="shared" si="31"/>
        <v>1.1065499623636804E-3</v>
      </c>
      <c r="Z89" s="22">
        <f t="shared" si="31"/>
        <v>4.9074972590031909E-4</v>
      </c>
      <c r="AA89" s="22">
        <f t="shared" si="31"/>
        <v>5.7298362710495477E-4</v>
      </c>
      <c r="AC89" s="9">
        <f t="shared" si="32"/>
        <v>1.2471421279737515E-3</v>
      </c>
      <c r="AD89" s="9">
        <f t="shared" si="32"/>
        <v>2.3952107259548501E-3</v>
      </c>
      <c r="AE89" s="9"/>
      <c r="AF89" s="9"/>
      <c r="AH89">
        <f t="shared" si="38"/>
        <v>0</v>
      </c>
      <c r="AI89">
        <f t="shared" si="39"/>
        <v>1</v>
      </c>
      <c r="AJ89">
        <f t="shared" si="40"/>
        <v>0</v>
      </c>
      <c r="AK89">
        <f t="shared" si="36"/>
        <v>0</v>
      </c>
      <c r="AL89" s="9">
        <f t="shared" si="41"/>
        <v>0</v>
      </c>
      <c r="AM89" s="9">
        <f t="shared" si="42"/>
        <v>0</v>
      </c>
      <c r="AN89" s="9">
        <f t="shared" si="43"/>
        <v>0</v>
      </c>
      <c r="AO89" s="16">
        <f t="shared" si="44"/>
        <v>2.8572792605016523E-3</v>
      </c>
      <c r="AQ89" s="9"/>
      <c r="AS89">
        <f t="shared" si="45"/>
        <v>0</v>
      </c>
      <c r="AT89">
        <f t="shared" si="46"/>
        <v>0</v>
      </c>
      <c r="AU89">
        <f t="shared" si="47"/>
        <v>0</v>
      </c>
      <c r="AV89">
        <f t="shared" si="48"/>
        <v>0</v>
      </c>
      <c r="AW89" s="9">
        <f t="shared" si="49"/>
        <v>0</v>
      </c>
      <c r="AX89" s="9">
        <f t="shared" si="50"/>
        <v>0</v>
      </c>
      <c r="AY89" s="9">
        <f t="shared" si="51"/>
        <v>0</v>
      </c>
      <c r="AZ89" s="16">
        <f t="shared" si="52"/>
        <v>3.2380297098888108E-4</v>
      </c>
      <c r="BB89" s="16">
        <f t="shared" si="53"/>
        <v>0</v>
      </c>
      <c r="BC89" s="16">
        <f t="shared" si="54"/>
        <v>3.1810822314905333E-3</v>
      </c>
    </row>
    <row r="90" spans="1:55" x14ac:dyDescent="0.3">
      <c r="A90" s="1">
        <v>46153</v>
      </c>
      <c r="B90" s="8">
        <v>47.98</v>
      </c>
      <c r="C90" s="8">
        <v>50</v>
      </c>
      <c r="D90" s="6">
        <v>1.0421008753647301</v>
      </c>
      <c r="E90" s="6">
        <v>1.0395631876754901</v>
      </c>
      <c r="F90" s="6">
        <v>1.0407736951676501</v>
      </c>
      <c r="G90" s="6">
        <v>1.0398420668542401</v>
      </c>
      <c r="H90" s="8">
        <v>49.878241744669999</v>
      </c>
      <c r="I90" s="8">
        <v>49.922048012770702</v>
      </c>
      <c r="J90" s="8">
        <v>49.884005589981399</v>
      </c>
      <c r="K90" s="13">
        <v>2.4381349434892002E-3</v>
      </c>
      <c r="L90" s="13">
        <v>1.5602563116631099E-3</v>
      </c>
      <c r="M90" s="13">
        <v>2.3225833100443301E-3</v>
      </c>
      <c r="N90" s="20">
        <v>0.11</v>
      </c>
      <c r="O90" s="4">
        <v>0</v>
      </c>
      <c r="P90" s="20">
        <f t="shared" si="26"/>
        <v>48.089999999999996</v>
      </c>
      <c r="Q90" s="20">
        <f t="shared" si="27"/>
        <v>50</v>
      </c>
      <c r="R90" s="19">
        <f t="shared" si="28"/>
        <v>1.0397171969224372</v>
      </c>
      <c r="S90" s="19">
        <f t="shared" si="29"/>
        <v>1.0384357751676798</v>
      </c>
      <c r="T90" s="19">
        <f t="shared" si="33"/>
        <v>1.0391072356307611</v>
      </c>
      <c r="U90" s="19">
        <f t="shared" si="35"/>
        <v>1.0390088370857964</v>
      </c>
      <c r="V90" s="21">
        <f t="shared" si="30"/>
        <v>49.938376427813722</v>
      </c>
      <c r="W90" s="21">
        <f t="shared" si="34"/>
        <v>49.967823465125342</v>
      </c>
      <c r="X90" s="21">
        <f t="shared" si="37"/>
        <v>49.964032290193664</v>
      </c>
      <c r="Y90" s="22">
        <f t="shared" si="31"/>
        <v>1.2332315612684221E-3</v>
      </c>
      <c r="Z90" s="22">
        <f t="shared" si="31"/>
        <v>6.437378522508849E-4</v>
      </c>
      <c r="AA90" s="22">
        <f t="shared" si="31"/>
        <v>7.1961305550486407E-4</v>
      </c>
      <c r="AC90" s="9">
        <f t="shared" si="32"/>
        <v>-3.3291749433774723E-3</v>
      </c>
      <c r="AD90" s="9">
        <f t="shared" si="32"/>
        <v>-3.1948908965191767E-3</v>
      </c>
      <c r="AE90" s="9"/>
      <c r="AF90" s="9"/>
      <c r="AH90">
        <f t="shared" si="38"/>
        <v>0</v>
      </c>
      <c r="AI90">
        <f t="shared" si="39"/>
        <v>1</v>
      </c>
      <c r="AJ90">
        <f t="shared" si="40"/>
        <v>0</v>
      </c>
      <c r="AK90">
        <f t="shared" si="36"/>
        <v>0</v>
      </c>
      <c r="AL90" s="9">
        <f t="shared" si="41"/>
        <v>0</v>
      </c>
      <c r="AM90" s="9">
        <f t="shared" si="42"/>
        <v>0</v>
      </c>
      <c r="AN90" s="9">
        <f t="shared" si="43"/>
        <v>0</v>
      </c>
      <c r="AO90" s="16">
        <f t="shared" si="44"/>
        <v>2.8572792605016523E-3</v>
      </c>
      <c r="AQ90" s="9"/>
      <c r="AS90">
        <f t="shared" si="45"/>
        <v>0</v>
      </c>
      <c r="AT90">
        <f t="shared" si="46"/>
        <v>0</v>
      </c>
      <c r="AU90">
        <f t="shared" si="47"/>
        <v>0</v>
      </c>
      <c r="AV90">
        <f t="shared" si="48"/>
        <v>0</v>
      </c>
      <c r="AW90" s="9">
        <f t="shared" si="49"/>
        <v>0</v>
      </c>
      <c r="AX90" s="9">
        <f t="shared" si="50"/>
        <v>0</v>
      </c>
      <c r="AY90" s="9">
        <f t="shared" si="51"/>
        <v>0</v>
      </c>
      <c r="AZ90" s="16">
        <f t="shared" si="52"/>
        <v>3.2380297098888108E-4</v>
      </c>
      <c r="BB90" s="16">
        <f t="shared" si="53"/>
        <v>0</v>
      </c>
      <c r="BC90" s="16">
        <f t="shared" si="54"/>
        <v>3.1810822314905333E-3</v>
      </c>
    </row>
    <row r="91" spans="1:55" x14ac:dyDescent="0.3">
      <c r="A91" s="1">
        <v>46154</v>
      </c>
      <c r="B91" s="8">
        <v>47.81</v>
      </c>
      <c r="C91" s="8">
        <v>49.88</v>
      </c>
      <c r="D91" s="6">
        <v>1.0432963815101399</v>
      </c>
      <c r="E91" s="6">
        <v>1.0395631876754901</v>
      </c>
      <c r="F91" s="6">
        <v>1.04120749998534</v>
      </c>
      <c r="G91" s="6">
        <v>1.04010933304713</v>
      </c>
      <c r="H91" s="8">
        <v>49.701516002765203</v>
      </c>
      <c r="I91" s="8">
        <v>49.7593903659658</v>
      </c>
      <c r="J91" s="8">
        <v>49.714849216301403</v>
      </c>
      <c r="K91" s="13">
        <v>3.5846851007152302E-3</v>
      </c>
      <c r="L91" s="13">
        <v>2.4209239437872998E-3</v>
      </c>
      <c r="M91" s="13">
        <v>3.3164553462509999E-3</v>
      </c>
      <c r="N91" s="20">
        <v>0.11</v>
      </c>
      <c r="O91" s="4">
        <v>0</v>
      </c>
      <c r="P91" s="20">
        <f t="shared" si="26"/>
        <v>47.92</v>
      </c>
      <c r="Q91" s="20">
        <f t="shared" si="27"/>
        <v>49.88</v>
      </c>
      <c r="R91" s="19">
        <f t="shared" si="28"/>
        <v>1.0409015025041737</v>
      </c>
      <c r="S91" s="19">
        <f t="shared" si="29"/>
        <v>1.0384357751676798</v>
      </c>
      <c r="T91" s="19">
        <f t="shared" si="33"/>
        <v>1.0393015525478451</v>
      </c>
      <c r="U91" s="19">
        <f t="shared" si="35"/>
        <v>1.0391563593283839</v>
      </c>
      <c r="V91" s="21">
        <f t="shared" si="30"/>
        <v>49.761842346035216</v>
      </c>
      <c r="W91" s="21">
        <f t="shared" si="34"/>
        <v>49.794018731426078</v>
      </c>
      <c r="X91" s="21">
        <f t="shared" si="37"/>
        <v>49.789303473151364</v>
      </c>
      <c r="Y91" s="22">
        <f t="shared" si="31"/>
        <v>2.3716484273353794E-3</v>
      </c>
      <c r="Z91" s="22">
        <f t="shared" si="31"/>
        <v>1.7252497891640359E-3</v>
      </c>
      <c r="AA91" s="22">
        <f t="shared" si="31"/>
        <v>1.8199495475946287E-3</v>
      </c>
      <c r="AC91" s="9">
        <f t="shared" si="32"/>
        <v>-3.5494347735364465E-3</v>
      </c>
      <c r="AD91" s="9">
        <f t="shared" si="32"/>
        <v>-2.4028846163103149E-3</v>
      </c>
      <c r="AE91" s="9"/>
      <c r="AF91" s="9"/>
      <c r="AH91">
        <f t="shared" si="38"/>
        <v>0</v>
      </c>
      <c r="AI91">
        <f t="shared" si="39"/>
        <v>1</v>
      </c>
      <c r="AJ91">
        <f t="shared" si="40"/>
        <v>0</v>
      </c>
      <c r="AK91">
        <f t="shared" si="36"/>
        <v>0</v>
      </c>
      <c r="AL91" s="9">
        <f t="shared" si="41"/>
        <v>0</v>
      </c>
      <c r="AM91" s="9">
        <f t="shared" si="42"/>
        <v>0</v>
      </c>
      <c r="AN91" s="9">
        <f t="shared" si="43"/>
        <v>0</v>
      </c>
      <c r="AO91" s="16">
        <f t="shared" si="44"/>
        <v>2.8572792605016523E-3</v>
      </c>
      <c r="AQ91" s="9"/>
      <c r="AS91">
        <f t="shared" si="45"/>
        <v>1</v>
      </c>
      <c r="AT91">
        <f t="shared" si="46"/>
        <v>0</v>
      </c>
      <c r="AU91">
        <f t="shared" si="47"/>
        <v>0</v>
      </c>
      <c r="AV91">
        <f t="shared" si="48"/>
        <v>0</v>
      </c>
      <c r="AW91" s="9">
        <f t="shared" si="49"/>
        <v>0</v>
      </c>
      <c r="AX91" s="9">
        <f t="shared" si="50"/>
        <v>0</v>
      </c>
      <c r="AY91" s="9">
        <f t="shared" si="51"/>
        <v>0</v>
      </c>
      <c r="AZ91" s="16">
        <f t="shared" si="52"/>
        <v>3.2380297098888108E-4</v>
      </c>
      <c r="BB91" s="16">
        <f t="shared" si="53"/>
        <v>0</v>
      </c>
      <c r="BC91" s="16">
        <f t="shared" si="54"/>
        <v>3.1810822314905333E-3</v>
      </c>
    </row>
    <row r="92" spans="1:55" x14ac:dyDescent="0.3">
      <c r="A92" s="1">
        <v>46155</v>
      </c>
      <c r="B92" s="8">
        <v>47.9</v>
      </c>
      <c r="C92" s="8">
        <v>49.93</v>
      </c>
      <c r="D92" s="6">
        <v>1.04237995824634</v>
      </c>
      <c r="E92" s="6">
        <v>1.0395631876754901</v>
      </c>
      <c r="F92" s="6">
        <v>1.04141290074102</v>
      </c>
      <c r="G92" s="6">
        <v>1.04031644401015</v>
      </c>
      <c r="H92" s="8">
        <v>49.795076689656</v>
      </c>
      <c r="I92" s="8">
        <v>49.873839249297802</v>
      </c>
      <c r="J92" s="8">
        <v>49.821237052957599</v>
      </c>
      <c r="K92" s="13">
        <v>2.70590702253978E-3</v>
      </c>
      <c r="L92" s="13">
        <v>1.1254227703518E-3</v>
      </c>
      <c r="M92" s="13">
        <v>2.1806845379861999E-3</v>
      </c>
      <c r="N92" s="20">
        <v>0.11</v>
      </c>
      <c r="O92" s="4">
        <v>0</v>
      </c>
      <c r="P92" s="20">
        <f t="shared" si="26"/>
        <v>48.01</v>
      </c>
      <c r="Q92" s="20">
        <f t="shared" si="27"/>
        <v>49.93</v>
      </c>
      <c r="R92" s="19">
        <f t="shared" si="28"/>
        <v>1.0399916684024162</v>
      </c>
      <c r="S92" s="19">
        <f t="shared" si="29"/>
        <v>1.0384357751676798</v>
      </c>
      <c r="T92" s="19">
        <f t="shared" si="33"/>
        <v>1.0392681243191357</v>
      </c>
      <c r="U92" s="19">
        <f t="shared" si="35"/>
        <v>1.0392440557992111</v>
      </c>
      <c r="V92" s="21">
        <f t="shared" si="30"/>
        <v>49.855301565800303</v>
      </c>
      <c r="W92" s="21">
        <f t="shared" si="34"/>
        <v>49.89686753782204</v>
      </c>
      <c r="X92" s="21">
        <f t="shared" si="37"/>
        <v>49.889896811355712</v>
      </c>
      <c r="Y92" s="22">
        <f t="shared" si="31"/>
        <v>1.4971833923625953E-3</v>
      </c>
      <c r="Z92" s="22">
        <f t="shared" si="31"/>
        <v>6.6379851861011249E-4</v>
      </c>
      <c r="AA92" s="22">
        <f t="shared" si="31"/>
        <v>8.0351096490758668E-4</v>
      </c>
      <c r="AC92" s="9">
        <f t="shared" si="32"/>
        <v>1.8806817788574754E-3</v>
      </c>
      <c r="AD92" s="9">
        <f t="shared" si="32"/>
        <v>1.0019037006820854E-3</v>
      </c>
      <c r="AE92" s="9"/>
      <c r="AF92" s="9"/>
      <c r="AH92">
        <f t="shared" si="38"/>
        <v>0</v>
      </c>
      <c r="AI92">
        <f t="shared" si="39"/>
        <v>1</v>
      </c>
      <c r="AJ92">
        <f t="shared" si="40"/>
        <v>0</v>
      </c>
      <c r="AK92">
        <f t="shared" si="36"/>
        <v>0</v>
      </c>
      <c r="AL92" s="9">
        <f t="shared" si="41"/>
        <v>0</v>
      </c>
      <c r="AM92" s="9">
        <f t="shared" si="42"/>
        <v>0</v>
      </c>
      <c r="AN92" s="9">
        <f t="shared" si="43"/>
        <v>0</v>
      </c>
      <c r="AO92" s="16">
        <f t="shared" si="44"/>
        <v>2.8572792605016523E-3</v>
      </c>
      <c r="AQ92" s="9"/>
      <c r="AS92">
        <f t="shared" si="45"/>
        <v>0</v>
      </c>
      <c r="AT92">
        <f t="shared" si="46"/>
        <v>0</v>
      </c>
      <c r="AU92">
        <f t="shared" si="47"/>
        <v>0</v>
      </c>
      <c r="AV92">
        <f t="shared" si="48"/>
        <v>1</v>
      </c>
      <c r="AW92" s="9">
        <f t="shared" si="49"/>
        <v>1.8806817788574754E-3</v>
      </c>
      <c r="AX92" s="9">
        <f t="shared" si="50"/>
        <v>-1.0019037006820854E-3</v>
      </c>
      <c r="AY92" s="9">
        <f t="shared" si="51"/>
        <v>8.7877807817538997E-4</v>
      </c>
      <c r="AZ92" s="16">
        <f t="shared" si="52"/>
        <v>1.2025810491642711E-3</v>
      </c>
      <c r="BB92" s="16">
        <f t="shared" si="53"/>
        <v>8.7877807817538997E-4</v>
      </c>
      <c r="BC92" s="16">
        <f t="shared" si="54"/>
        <v>4.0598603096659233E-3</v>
      </c>
    </row>
    <row r="93" spans="1:55" x14ac:dyDescent="0.3">
      <c r="A93" s="1">
        <v>46156</v>
      </c>
      <c r="B93" s="8">
        <v>47.97</v>
      </c>
      <c r="C93" s="8">
        <v>49.92</v>
      </c>
      <c r="D93" s="6">
        <v>1.04065040650406</v>
      </c>
      <c r="E93" s="6">
        <v>1.0395631876754901</v>
      </c>
      <c r="F93" s="6">
        <v>1.04160697364949</v>
      </c>
      <c r="G93" s="6">
        <v>1.04039429600514</v>
      </c>
      <c r="H93" s="8">
        <v>49.867846112793202</v>
      </c>
      <c r="I93" s="8">
        <v>49.956576848546902</v>
      </c>
      <c r="J93" s="8">
        <v>49.903979819167098</v>
      </c>
      <c r="K93" s="13">
        <v>1.0452954740912399E-3</v>
      </c>
      <c r="L93" s="13">
        <v>-7.3244100541404098E-4</v>
      </c>
      <c r="M93" s="13">
        <v>3.2096858889788199E-4</v>
      </c>
      <c r="N93" s="20">
        <v>0.11</v>
      </c>
      <c r="O93" s="4">
        <v>0</v>
      </c>
      <c r="P93" s="20">
        <f t="shared" si="26"/>
        <v>48.08</v>
      </c>
      <c r="Q93" s="20">
        <f t="shared" si="27"/>
        <v>49.92</v>
      </c>
      <c r="R93" s="19">
        <f t="shared" si="28"/>
        <v>1.038269550748752</v>
      </c>
      <c r="S93" s="19">
        <f t="shared" si="29"/>
        <v>1.0384357751676798</v>
      </c>
      <c r="T93" s="19">
        <f t="shared" si="33"/>
        <v>1.0392241116520755</v>
      </c>
      <c r="U93" s="19">
        <f t="shared" si="35"/>
        <v>1.0392028650064344</v>
      </c>
      <c r="V93" s="21">
        <f t="shared" si="30"/>
        <v>49.927992070062047</v>
      </c>
      <c r="W93" s="21">
        <f t="shared" si="34"/>
        <v>49.968011417264044</v>
      </c>
      <c r="X93" s="21">
        <f t="shared" si="37"/>
        <v>49.96685420282607</v>
      </c>
      <c r="Y93" s="22">
        <f t="shared" si="31"/>
        <v>-1.6008474308637694E-4</v>
      </c>
      <c r="Z93" s="22">
        <f t="shared" si="31"/>
        <v>-9.6130497103985449E-4</v>
      </c>
      <c r="AA93" s="22">
        <f t="shared" si="31"/>
        <v>-9.3814559756508176E-4</v>
      </c>
      <c r="AC93" s="9">
        <f t="shared" si="32"/>
        <v>1.4603110971029918E-3</v>
      </c>
      <c r="AD93" s="9">
        <f t="shared" si="32"/>
        <v>-2.0030045134561034E-4</v>
      </c>
      <c r="AE93" s="9"/>
      <c r="AF93" s="9"/>
      <c r="AH93">
        <f t="shared" si="38"/>
        <v>0</v>
      </c>
      <c r="AI93">
        <f t="shared" si="39"/>
        <v>0</v>
      </c>
      <c r="AJ93">
        <f t="shared" si="40"/>
        <v>0</v>
      </c>
      <c r="AK93">
        <f t="shared" si="36"/>
        <v>0</v>
      </c>
      <c r="AL93" s="9">
        <f t="shared" si="41"/>
        <v>0</v>
      </c>
      <c r="AM93" s="9">
        <f t="shared" si="42"/>
        <v>0</v>
      </c>
      <c r="AN93" s="9">
        <f t="shared" si="43"/>
        <v>0</v>
      </c>
      <c r="AO93" s="16">
        <f t="shared" si="44"/>
        <v>2.8572792605016523E-3</v>
      </c>
      <c r="AQ93" s="9"/>
      <c r="AS93">
        <f t="shared" si="45"/>
        <v>0</v>
      </c>
      <c r="AT93">
        <f t="shared" si="46"/>
        <v>1</v>
      </c>
      <c r="AU93">
        <f t="shared" si="47"/>
        <v>1</v>
      </c>
      <c r="AV93">
        <f t="shared" si="48"/>
        <v>0</v>
      </c>
      <c r="AW93" s="9">
        <f t="shared" si="49"/>
        <v>0</v>
      </c>
      <c r="AX93" s="9">
        <f t="shared" si="50"/>
        <v>0</v>
      </c>
      <c r="AY93" s="9">
        <f t="shared" si="51"/>
        <v>0</v>
      </c>
      <c r="AZ93" s="16">
        <f t="shared" si="52"/>
        <v>1.2025810491642711E-3</v>
      </c>
      <c r="BB93" s="16">
        <f t="shared" si="53"/>
        <v>0</v>
      </c>
      <c r="BC93" s="16">
        <f t="shared" si="54"/>
        <v>4.0598603096659233E-3</v>
      </c>
    </row>
    <row r="94" spans="1:55" x14ac:dyDescent="0.3">
      <c r="A94" s="1">
        <v>46157</v>
      </c>
      <c r="B94" s="8">
        <v>47.57</v>
      </c>
      <c r="C94" s="8">
        <v>49.68</v>
      </c>
      <c r="D94" s="6">
        <v>1.0443556863569401</v>
      </c>
      <c r="E94" s="6">
        <v>1.0395631876754901</v>
      </c>
      <c r="F94" s="6">
        <v>1.04193580891016</v>
      </c>
      <c r="G94" s="6">
        <v>1.04066711860149</v>
      </c>
      <c r="H94" s="8">
        <v>49.452020837723097</v>
      </c>
      <c r="I94" s="8">
        <v>49.549243736506497</v>
      </c>
      <c r="J94" s="8">
        <v>49.491556660964697</v>
      </c>
      <c r="K94" s="13">
        <v>4.5995141079246604E-3</v>
      </c>
      <c r="L94" s="13">
        <v>2.63543959927352E-3</v>
      </c>
      <c r="M94" s="13">
        <v>3.8003551054861099E-3</v>
      </c>
      <c r="N94" s="20">
        <v>0.11</v>
      </c>
      <c r="O94" s="4">
        <v>0</v>
      </c>
      <c r="P94" s="20">
        <f t="shared" si="26"/>
        <v>47.68</v>
      </c>
      <c r="Q94" s="20">
        <f t="shared" si="27"/>
        <v>49.68</v>
      </c>
      <c r="R94" s="19">
        <f t="shared" si="28"/>
        <v>1.0419463087248322</v>
      </c>
      <c r="S94" s="19">
        <f t="shared" si="29"/>
        <v>1.0384357751676798</v>
      </c>
      <c r="T94" s="19">
        <f t="shared" si="33"/>
        <v>1.0395501901119129</v>
      </c>
      <c r="U94" s="19">
        <f t="shared" si="35"/>
        <v>1.0393552187211781</v>
      </c>
      <c r="V94" s="21">
        <f t="shared" si="30"/>
        <v>49.512617759994974</v>
      </c>
      <c r="W94" s="21">
        <f t="shared" si="34"/>
        <v>49.550205643570962</v>
      </c>
      <c r="X94" s="21">
        <f t="shared" si="37"/>
        <v>49.549192603506796</v>
      </c>
      <c r="Y94" s="22">
        <f t="shared" si="31"/>
        <v>3.374896290822567E-3</v>
      </c>
      <c r="Z94" s="22">
        <f t="shared" si="31"/>
        <v>2.6160266344083943E-3</v>
      </c>
      <c r="AA94" s="22">
        <f t="shared" si="31"/>
        <v>2.6364715630784815E-3</v>
      </c>
      <c r="AC94" s="9">
        <f t="shared" si="32"/>
        <v>-8.3735050697823932E-3</v>
      </c>
      <c r="AD94" s="9">
        <f t="shared" si="32"/>
        <v>-4.8192864359489947E-3</v>
      </c>
      <c r="AE94" s="9"/>
      <c r="AF94" s="9"/>
      <c r="AH94">
        <f t="shared" si="38"/>
        <v>0</v>
      </c>
      <c r="AI94">
        <f t="shared" si="39"/>
        <v>1</v>
      </c>
      <c r="AJ94">
        <f t="shared" si="40"/>
        <v>0</v>
      </c>
      <c r="AK94">
        <f t="shared" si="36"/>
        <v>0</v>
      </c>
      <c r="AL94" s="9">
        <f t="shared" si="41"/>
        <v>0</v>
      </c>
      <c r="AM94" s="9">
        <f t="shared" si="42"/>
        <v>0</v>
      </c>
      <c r="AN94" s="9">
        <f t="shared" si="43"/>
        <v>0</v>
      </c>
      <c r="AO94" s="16">
        <f t="shared" si="44"/>
        <v>2.8572792605016523E-3</v>
      </c>
      <c r="AQ94" s="9"/>
      <c r="AS94">
        <f t="shared" si="45"/>
        <v>1</v>
      </c>
      <c r="AT94">
        <f t="shared" si="46"/>
        <v>0</v>
      </c>
      <c r="AU94">
        <f t="shared" si="47"/>
        <v>0</v>
      </c>
      <c r="AV94">
        <f t="shared" si="48"/>
        <v>0</v>
      </c>
      <c r="AW94" s="9">
        <f t="shared" si="49"/>
        <v>0</v>
      </c>
      <c r="AX94" s="9">
        <f t="shared" si="50"/>
        <v>0</v>
      </c>
      <c r="AY94" s="9">
        <f t="shared" si="51"/>
        <v>0</v>
      </c>
      <c r="AZ94" s="16">
        <f t="shared" si="52"/>
        <v>1.2025810491642711E-3</v>
      </c>
      <c r="BB94" s="16">
        <f t="shared" si="53"/>
        <v>0</v>
      </c>
      <c r="BC94" s="16">
        <f t="shared" si="54"/>
        <v>4.0598603096659233E-3</v>
      </c>
    </row>
    <row r="95" spans="1:55" x14ac:dyDescent="0.3">
      <c r="A95" s="1">
        <v>46160</v>
      </c>
      <c r="B95" s="8">
        <v>47.7</v>
      </c>
      <c r="C95" s="8">
        <v>49.79</v>
      </c>
      <c r="D95" s="6">
        <v>1.0438155136268299</v>
      </c>
      <c r="E95" s="6">
        <v>1.0395631876754901</v>
      </c>
      <c r="F95" s="6">
        <v>1.04213675826615</v>
      </c>
      <c r="G95" s="6">
        <v>1.0409105149582001</v>
      </c>
      <c r="H95" s="8">
        <v>49.587164052120897</v>
      </c>
      <c r="I95" s="8">
        <v>49.700338085014799</v>
      </c>
      <c r="J95" s="8">
        <v>49.639821557291199</v>
      </c>
      <c r="K95" s="13">
        <v>4.0821496866873704E-3</v>
      </c>
      <c r="L95" s="13">
        <v>1.8024250592564399E-3</v>
      </c>
      <c r="M95" s="13">
        <v>3.02079506042166E-3</v>
      </c>
      <c r="N95" s="20">
        <v>0.11</v>
      </c>
      <c r="O95" s="4">
        <v>0</v>
      </c>
      <c r="P95" s="20">
        <f t="shared" si="26"/>
        <v>47.81</v>
      </c>
      <c r="Q95" s="20">
        <f t="shared" si="27"/>
        <v>49.79</v>
      </c>
      <c r="R95" s="19">
        <f t="shared" si="28"/>
        <v>1.0414139301401379</v>
      </c>
      <c r="S95" s="19">
        <f t="shared" si="29"/>
        <v>1.0384357751676798</v>
      </c>
      <c r="T95" s="19">
        <f t="shared" si="33"/>
        <v>1.0397499772865106</v>
      </c>
      <c r="U95" s="19">
        <f t="shared" si="35"/>
        <v>1.0394785359035528</v>
      </c>
      <c r="V95" s="21">
        <f t="shared" si="30"/>
        <v>49.647614410766778</v>
      </c>
      <c r="W95" s="21">
        <f t="shared" si="34"/>
        <v>49.700894589250559</v>
      </c>
      <c r="X95" s="21">
        <f t="shared" si="37"/>
        <v>49.691573007059525</v>
      </c>
      <c r="Y95" s="22">
        <f t="shared" si="31"/>
        <v>2.8638194387726711E-3</v>
      </c>
      <c r="Z95" s="22">
        <f t="shared" si="31"/>
        <v>1.791227929788951E-3</v>
      </c>
      <c r="AA95" s="22">
        <f t="shared" si="31"/>
        <v>1.9787991299774609E-3</v>
      </c>
      <c r="AC95" s="9">
        <f t="shared" si="32"/>
        <v>2.7290874501055651E-3</v>
      </c>
      <c r="AD95" s="9">
        <f t="shared" si="32"/>
        <v>2.211723028867932E-3</v>
      </c>
      <c r="AE95" s="9"/>
      <c r="AF95" s="9"/>
      <c r="AH95">
        <f t="shared" si="38"/>
        <v>0</v>
      </c>
      <c r="AI95">
        <f t="shared" si="39"/>
        <v>1</v>
      </c>
      <c r="AJ95">
        <f t="shared" si="40"/>
        <v>0</v>
      </c>
      <c r="AK95">
        <f t="shared" si="36"/>
        <v>0</v>
      </c>
      <c r="AL95" s="9">
        <f t="shared" si="41"/>
        <v>0</v>
      </c>
      <c r="AM95" s="9">
        <f t="shared" si="42"/>
        <v>0</v>
      </c>
      <c r="AN95" s="9">
        <f t="shared" si="43"/>
        <v>0</v>
      </c>
      <c r="AO95" s="16">
        <f t="shared" si="44"/>
        <v>2.8572792605016523E-3</v>
      </c>
      <c r="AQ95" s="9"/>
      <c r="AS95">
        <f t="shared" si="45"/>
        <v>1</v>
      </c>
      <c r="AT95">
        <f t="shared" si="46"/>
        <v>0</v>
      </c>
      <c r="AU95">
        <f t="shared" si="47"/>
        <v>0</v>
      </c>
      <c r="AV95">
        <f t="shared" si="48"/>
        <v>1</v>
      </c>
      <c r="AW95" s="9">
        <f t="shared" si="49"/>
        <v>2.7290874501055651E-3</v>
      </c>
      <c r="AX95" s="9">
        <f t="shared" si="50"/>
        <v>-2.211723028867932E-3</v>
      </c>
      <c r="AY95" s="9">
        <f t="shared" si="51"/>
        <v>5.1736442123763307E-4</v>
      </c>
      <c r="AZ95" s="16">
        <f t="shared" si="52"/>
        <v>1.7199454704019041E-3</v>
      </c>
      <c r="BB95" s="16">
        <f t="shared" si="53"/>
        <v>5.1736442123763307E-4</v>
      </c>
      <c r="BC95" s="16">
        <f t="shared" si="54"/>
        <v>4.577224730903556E-3</v>
      </c>
    </row>
    <row r="96" spans="1:55" x14ac:dyDescent="0.3">
      <c r="A96" s="1">
        <v>46161</v>
      </c>
      <c r="B96" s="8">
        <v>47.59</v>
      </c>
      <c r="C96" s="8">
        <v>49.68</v>
      </c>
      <c r="D96" s="6">
        <v>1.0439167892414301</v>
      </c>
      <c r="E96" s="6">
        <v>1.0395631876754901</v>
      </c>
      <c r="F96" s="6">
        <v>1.0423939623521301</v>
      </c>
      <c r="G96" s="6">
        <v>1.0411624874764001</v>
      </c>
      <c r="H96" s="8">
        <v>49.472812101476599</v>
      </c>
      <c r="I96" s="8">
        <v>49.595288325886401</v>
      </c>
      <c r="J96" s="8">
        <v>49.536931406860901</v>
      </c>
      <c r="K96" s="13">
        <v>4.1791694190957702E-3</v>
      </c>
      <c r="L96" s="13">
        <v>1.70660183621102E-3</v>
      </c>
      <c r="M96" s="13">
        <v>2.8839572091448901E-3</v>
      </c>
      <c r="N96" s="20">
        <v>0.11</v>
      </c>
      <c r="O96" s="4">
        <v>0</v>
      </c>
      <c r="P96" s="20">
        <f t="shared" si="26"/>
        <v>47.7</v>
      </c>
      <c r="Q96" s="20">
        <f t="shared" si="27"/>
        <v>49.68</v>
      </c>
      <c r="R96" s="19">
        <f t="shared" si="28"/>
        <v>1.0415094339622641</v>
      </c>
      <c r="S96" s="19">
        <f t="shared" si="29"/>
        <v>1.0384357751676798</v>
      </c>
      <c r="T96" s="19">
        <f t="shared" si="33"/>
        <v>1.0400050873494038</v>
      </c>
      <c r="U96" s="19">
        <f t="shared" si="35"/>
        <v>1.0396101406577991</v>
      </c>
      <c r="V96" s="21">
        <f t="shared" si="30"/>
        <v>49.533386475498332</v>
      </c>
      <c r="W96" s="21">
        <f t="shared" si="34"/>
        <v>49.59607391656656</v>
      </c>
      <c r="X96" s="21">
        <f t="shared" si="37"/>
        <v>49.58312616259947</v>
      </c>
      <c r="Y96" s="22">
        <f t="shared" si="31"/>
        <v>2.9555211536212347E-3</v>
      </c>
      <c r="Z96" s="22">
        <f t="shared" si="31"/>
        <v>1.6907619351888201E-3</v>
      </c>
      <c r="AA96" s="22">
        <f t="shared" si="31"/>
        <v>1.9518601096106946E-3</v>
      </c>
      <c r="AC96" s="9">
        <f t="shared" si="32"/>
        <v>-2.3087427612764047E-3</v>
      </c>
      <c r="AD96" s="9">
        <f t="shared" si="32"/>
        <v>-2.2117230288679667E-3</v>
      </c>
      <c r="AE96" s="9"/>
      <c r="AF96" s="9"/>
      <c r="AH96">
        <f t="shared" si="38"/>
        <v>0</v>
      </c>
      <c r="AI96">
        <f t="shared" si="39"/>
        <v>1</v>
      </c>
      <c r="AJ96">
        <f t="shared" si="40"/>
        <v>0</v>
      </c>
      <c r="AK96">
        <f t="shared" si="36"/>
        <v>0</v>
      </c>
      <c r="AL96" s="9">
        <f t="shared" si="41"/>
        <v>0</v>
      </c>
      <c r="AM96" s="9">
        <f t="shared" si="42"/>
        <v>0</v>
      </c>
      <c r="AN96" s="9">
        <f t="shared" si="43"/>
        <v>0</v>
      </c>
      <c r="AO96" s="16">
        <f t="shared" si="44"/>
        <v>2.8572792605016523E-3</v>
      </c>
      <c r="AQ96" s="9"/>
      <c r="AS96">
        <f t="shared" si="45"/>
        <v>1</v>
      </c>
      <c r="AT96">
        <f t="shared" si="46"/>
        <v>0</v>
      </c>
      <c r="AU96">
        <f t="shared" si="47"/>
        <v>1</v>
      </c>
      <c r="AV96">
        <f t="shared" si="48"/>
        <v>1</v>
      </c>
      <c r="AW96" s="9">
        <f t="shared" si="49"/>
        <v>-2.3087427612764047E-3</v>
      </c>
      <c r="AX96" s="9">
        <f t="shared" si="50"/>
        <v>2.2117230288679667E-3</v>
      </c>
      <c r="AY96" s="9">
        <f t="shared" si="51"/>
        <v>-9.7019732408437989E-5</v>
      </c>
      <c r="AZ96" s="16">
        <f t="shared" si="52"/>
        <v>1.6229257379934661E-3</v>
      </c>
      <c r="BB96" s="16">
        <f t="shared" si="53"/>
        <v>-9.7019732408437989E-5</v>
      </c>
      <c r="BC96" s="16">
        <f t="shared" si="54"/>
        <v>4.480204998495118E-3</v>
      </c>
    </row>
    <row r="97" spans="1:55" x14ac:dyDescent="0.3">
      <c r="A97" s="1">
        <v>46162</v>
      </c>
      <c r="B97" s="8">
        <v>47.92</v>
      </c>
      <c r="C97" s="8">
        <v>49.97</v>
      </c>
      <c r="D97" s="6">
        <v>1.0427796327212</v>
      </c>
      <c r="E97" s="6">
        <v>1.0395631876754901</v>
      </c>
      <c r="F97" s="6">
        <v>1.0426021581823901</v>
      </c>
      <c r="G97" s="6">
        <v>1.04134007434285</v>
      </c>
      <c r="H97" s="8">
        <v>49.815867953409501</v>
      </c>
      <c r="I97" s="8">
        <v>49.951518675914102</v>
      </c>
      <c r="J97" s="8">
        <v>49.892506399869497</v>
      </c>
      <c r="K97" s="13">
        <v>3.0892584758113501E-3</v>
      </c>
      <c r="L97" s="13">
        <v>3.6991680153612098E-4</v>
      </c>
      <c r="M97" s="13">
        <v>1.5520062229411899E-3</v>
      </c>
      <c r="N97" s="20">
        <v>0.11</v>
      </c>
      <c r="O97" s="4">
        <v>0</v>
      </c>
      <c r="P97" s="20">
        <f t="shared" si="26"/>
        <v>48.03</v>
      </c>
      <c r="Q97" s="20">
        <f t="shared" si="27"/>
        <v>49.97</v>
      </c>
      <c r="R97" s="19">
        <f t="shared" si="28"/>
        <v>1.0403914220278991</v>
      </c>
      <c r="S97" s="19">
        <f t="shared" si="29"/>
        <v>1.0384357751676798</v>
      </c>
      <c r="T97" s="19">
        <f t="shared" si="33"/>
        <v>1.0402116213069068</v>
      </c>
      <c r="U97" s="19">
        <f t="shared" si="35"/>
        <v>1.0396683169895804</v>
      </c>
      <c r="V97" s="21">
        <f t="shared" si="30"/>
        <v>49.876070281303662</v>
      </c>
      <c r="W97" s="21">
        <f t="shared" si="34"/>
        <v>49.951444345391863</v>
      </c>
      <c r="X97" s="21">
        <f t="shared" si="37"/>
        <v>49.932475055794093</v>
      </c>
      <c r="Y97" s="22">
        <f t="shared" si="31"/>
        <v>1.8814911020741461E-3</v>
      </c>
      <c r="Z97" s="22">
        <f t="shared" si="31"/>
        <v>3.7140485594459123E-4</v>
      </c>
      <c r="AA97" s="22">
        <f t="shared" si="31"/>
        <v>7.5123155757064991E-4</v>
      </c>
      <c r="AC97" s="9">
        <f t="shared" si="32"/>
        <v>6.9102986741747304E-3</v>
      </c>
      <c r="AD97" s="9">
        <f t="shared" si="32"/>
        <v>5.8203877308902335E-3</v>
      </c>
      <c r="AE97" s="9"/>
      <c r="AF97" s="9"/>
      <c r="AH97">
        <f t="shared" si="38"/>
        <v>0</v>
      </c>
      <c r="AI97">
        <f t="shared" si="39"/>
        <v>1</v>
      </c>
      <c r="AJ97">
        <f t="shared" si="40"/>
        <v>0</v>
      </c>
      <c r="AK97">
        <f t="shared" si="36"/>
        <v>0</v>
      </c>
      <c r="AL97" s="9">
        <f t="shared" si="41"/>
        <v>0</v>
      </c>
      <c r="AM97" s="9">
        <f t="shared" si="42"/>
        <v>0</v>
      </c>
      <c r="AN97" s="9">
        <f t="shared" si="43"/>
        <v>0</v>
      </c>
      <c r="AO97" s="16">
        <f t="shared" si="44"/>
        <v>2.8572792605016523E-3</v>
      </c>
      <c r="AQ97" s="9"/>
      <c r="AS97">
        <f t="shared" si="45"/>
        <v>0</v>
      </c>
      <c r="AT97">
        <f t="shared" si="46"/>
        <v>0</v>
      </c>
      <c r="AU97">
        <f t="shared" si="47"/>
        <v>1</v>
      </c>
      <c r="AV97">
        <f t="shared" si="48"/>
        <v>1</v>
      </c>
      <c r="AW97" s="9">
        <f t="shared" si="49"/>
        <v>6.9102986741747304E-3</v>
      </c>
      <c r="AX97" s="9">
        <f t="shared" si="50"/>
        <v>-5.8203877308902335E-3</v>
      </c>
      <c r="AY97" s="9">
        <f t="shared" si="51"/>
        <v>1.0899109432844969E-3</v>
      </c>
      <c r="AZ97" s="16">
        <f t="shared" si="52"/>
        <v>2.712836681277963E-3</v>
      </c>
      <c r="BB97" s="16">
        <f t="shared" si="53"/>
        <v>1.0899109432844969E-3</v>
      </c>
      <c r="BC97" s="16">
        <f t="shared" si="54"/>
        <v>5.5701159417796148E-3</v>
      </c>
    </row>
    <row r="98" spans="1:55" x14ac:dyDescent="0.3">
      <c r="A98" s="1">
        <v>46163</v>
      </c>
      <c r="B98" s="8">
        <v>47.98</v>
      </c>
      <c r="C98" s="8">
        <v>50.01</v>
      </c>
      <c r="D98" s="6">
        <v>1.0423092955397999</v>
      </c>
      <c r="E98" s="6">
        <v>1.0395631876754901</v>
      </c>
      <c r="F98" s="6">
        <v>1.04275654863487</v>
      </c>
      <c r="G98" s="6">
        <v>1.0415112679616001</v>
      </c>
      <c r="H98" s="8">
        <v>49.878241744669999</v>
      </c>
      <c r="I98" s="8">
        <v>50.0240515495911</v>
      </c>
      <c r="J98" s="8">
        <v>49.963496766970103</v>
      </c>
      <c r="K98" s="13">
        <v>2.6381149461553598E-3</v>
      </c>
      <c r="L98" s="13">
        <v>-2.8093533083756303E-4</v>
      </c>
      <c r="M98" s="13">
        <v>9.30311290244968E-4</v>
      </c>
      <c r="N98" s="20">
        <v>0.11</v>
      </c>
      <c r="O98" s="4">
        <v>0</v>
      </c>
      <c r="P98" s="20">
        <f t="shared" si="26"/>
        <v>48.089999999999996</v>
      </c>
      <c r="Q98" s="20">
        <f t="shared" si="27"/>
        <v>50.01</v>
      </c>
      <c r="R98" s="19">
        <f t="shared" si="28"/>
        <v>1.0399251403618217</v>
      </c>
      <c r="S98" s="19">
        <f t="shared" si="29"/>
        <v>1.0384357751676798</v>
      </c>
      <c r="T98" s="19">
        <f t="shared" si="33"/>
        <v>1.0403651646022714</v>
      </c>
      <c r="U98" s="19">
        <f t="shared" si="35"/>
        <v>1.0397203028494264</v>
      </c>
      <c r="V98" s="21">
        <f t="shared" si="30"/>
        <v>49.938376427813722</v>
      </c>
      <c r="W98" s="21">
        <f t="shared" si="34"/>
        <v>50.023776868649144</v>
      </c>
      <c r="X98" s="21">
        <f t="shared" si="37"/>
        <v>49.997649364028916</v>
      </c>
      <c r="Y98" s="22">
        <f t="shared" si="31"/>
        <v>1.4332115639346455E-3</v>
      </c>
      <c r="Z98" s="22">
        <f t="shared" si="31"/>
        <v>-2.7544433825268206E-4</v>
      </c>
      <c r="AA98" s="22">
        <f t="shared" si="31"/>
        <v>2.4699382722044431E-4</v>
      </c>
      <c r="AC98" s="9">
        <f t="shared" si="32"/>
        <v>1.2513036043544899E-3</v>
      </c>
      <c r="AD98" s="9">
        <f t="shared" si="32"/>
        <v>8.0016007469870085E-4</v>
      </c>
      <c r="AE98" s="9"/>
      <c r="AF98" s="9"/>
      <c r="AH98">
        <f t="shared" si="38"/>
        <v>0</v>
      </c>
      <c r="AI98">
        <f t="shared" si="39"/>
        <v>1</v>
      </c>
      <c r="AJ98">
        <f t="shared" si="40"/>
        <v>0</v>
      </c>
      <c r="AK98">
        <f t="shared" si="36"/>
        <v>0</v>
      </c>
      <c r="AL98" s="9">
        <f t="shared" si="41"/>
        <v>0</v>
      </c>
      <c r="AM98" s="9">
        <f t="shared" si="42"/>
        <v>0</v>
      </c>
      <c r="AN98" s="9">
        <f t="shared" si="43"/>
        <v>0</v>
      </c>
      <c r="AO98" s="16">
        <f t="shared" si="44"/>
        <v>2.8572792605016523E-3</v>
      </c>
      <c r="AQ98" s="9"/>
      <c r="AS98">
        <f t="shared" si="45"/>
        <v>0</v>
      </c>
      <c r="AT98">
        <f t="shared" si="46"/>
        <v>0</v>
      </c>
      <c r="AU98">
        <f t="shared" si="47"/>
        <v>1</v>
      </c>
      <c r="AV98">
        <f t="shared" si="48"/>
        <v>1</v>
      </c>
      <c r="AW98" s="9">
        <f t="shared" si="49"/>
        <v>1.2513036043544899E-3</v>
      </c>
      <c r="AX98" s="9">
        <f t="shared" si="50"/>
        <v>-8.0016007469870085E-4</v>
      </c>
      <c r="AY98" s="9">
        <f t="shared" si="51"/>
        <v>4.5114352965578905E-4</v>
      </c>
      <c r="AZ98" s="16">
        <f t="shared" si="52"/>
        <v>3.1639802109337521E-3</v>
      </c>
      <c r="BB98" s="16">
        <f t="shared" si="53"/>
        <v>4.5114352965578905E-4</v>
      </c>
      <c r="BC98" s="16">
        <f t="shared" si="54"/>
        <v>6.0212594714354039E-3</v>
      </c>
    </row>
    <row r="99" spans="1:55" x14ac:dyDescent="0.3">
      <c r="A99" s="1">
        <v>46164</v>
      </c>
      <c r="B99" s="8">
        <v>48.06</v>
      </c>
      <c r="C99" s="8">
        <v>50.04</v>
      </c>
      <c r="D99" s="6">
        <v>1.04119850187265</v>
      </c>
      <c r="E99" s="6">
        <v>1.0395631876754901</v>
      </c>
      <c r="F99" s="6">
        <v>1.0426803040984101</v>
      </c>
      <c r="G99" s="6">
        <v>1.04157825139029</v>
      </c>
      <c r="H99" s="8">
        <v>49.961406799683999</v>
      </c>
      <c r="I99" s="8">
        <v>50.114879727392001</v>
      </c>
      <c r="J99" s="8">
        <v>50.055031538234502</v>
      </c>
      <c r="K99" s="13">
        <v>1.57184221727913E-3</v>
      </c>
      <c r="L99" s="13">
        <v>-1.49527894292527E-3</v>
      </c>
      <c r="M99" s="13">
        <v>-3.0034534414937299E-4</v>
      </c>
      <c r="N99" s="20">
        <v>0.11</v>
      </c>
      <c r="O99" s="4">
        <v>0</v>
      </c>
      <c r="P99" s="20">
        <f t="shared" si="26"/>
        <v>48.17</v>
      </c>
      <c r="Q99" s="20">
        <f t="shared" si="27"/>
        <v>50.04</v>
      </c>
      <c r="R99" s="19">
        <f t="shared" si="28"/>
        <v>1.0388208428482457</v>
      </c>
      <c r="S99" s="19">
        <f t="shared" si="29"/>
        <v>1.0384357751676798</v>
      </c>
      <c r="T99" s="19">
        <f t="shared" si="33"/>
        <v>1.0402886996642979</v>
      </c>
      <c r="U99" s="19">
        <f t="shared" si="35"/>
        <v>1.0396684033269019</v>
      </c>
      <c r="V99" s="21">
        <f t="shared" si="30"/>
        <v>50.021451289827141</v>
      </c>
      <c r="W99" s="21">
        <f t="shared" si="34"/>
        <v>50.11438997889141</v>
      </c>
      <c r="X99" s="21">
        <f t="shared" si="37"/>
        <v>50.083326988256871</v>
      </c>
      <c r="Y99" s="22">
        <f t="shared" si="31"/>
        <v>3.7074637927442635E-4</v>
      </c>
      <c r="Z99" s="22">
        <f t="shared" si="31"/>
        <v>-1.4855063784416753E-3</v>
      </c>
      <c r="AA99" s="22">
        <f t="shared" si="31"/>
        <v>-8.6547245811020824E-4</v>
      </c>
      <c r="AC99" s="9">
        <f t="shared" si="32"/>
        <v>1.6659728967745289E-3</v>
      </c>
      <c r="AD99" s="9">
        <f t="shared" si="32"/>
        <v>5.9970016789811175E-4</v>
      </c>
      <c r="AE99" s="9"/>
      <c r="AF99" s="9"/>
      <c r="AH99">
        <f t="shared" si="38"/>
        <v>0</v>
      </c>
      <c r="AI99">
        <f t="shared" si="39"/>
        <v>0</v>
      </c>
      <c r="AJ99">
        <f t="shared" si="40"/>
        <v>0</v>
      </c>
      <c r="AK99">
        <f t="shared" si="36"/>
        <v>0</v>
      </c>
      <c r="AL99" s="9">
        <f t="shared" si="41"/>
        <v>0</v>
      </c>
      <c r="AM99" s="9">
        <f t="shared" si="42"/>
        <v>0</v>
      </c>
      <c r="AN99" s="9">
        <f t="shared" si="43"/>
        <v>0</v>
      </c>
      <c r="AO99" s="16">
        <f t="shared" si="44"/>
        <v>2.8572792605016523E-3</v>
      </c>
      <c r="AQ99" s="9"/>
      <c r="AS99">
        <f t="shared" si="45"/>
        <v>0</v>
      </c>
      <c r="AT99">
        <f t="shared" si="46"/>
        <v>1</v>
      </c>
      <c r="AU99">
        <f t="shared" si="47"/>
        <v>1</v>
      </c>
      <c r="AV99">
        <f t="shared" si="48"/>
        <v>1</v>
      </c>
      <c r="AW99" s="9">
        <f t="shared" si="49"/>
        <v>1.6659728967745289E-3</v>
      </c>
      <c r="AX99" s="9">
        <f t="shared" si="50"/>
        <v>-5.9970016789811175E-4</v>
      </c>
      <c r="AY99" s="9">
        <f t="shared" si="51"/>
        <v>1.0662727288764172E-3</v>
      </c>
      <c r="AZ99" s="16">
        <f t="shared" si="52"/>
        <v>4.2302529398101692E-3</v>
      </c>
      <c r="BB99" s="16">
        <f t="shared" si="53"/>
        <v>1.0662727288764172E-3</v>
      </c>
      <c r="BC99" s="16">
        <f t="shared" si="54"/>
        <v>7.0875322003118215E-3</v>
      </c>
    </row>
    <row r="100" spans="1:55" x14ac:dyDescent="0.3">
      <c r="A100" s="1">
        <v>46168</v>
      </c>
      <c r="B100" s="8">
        <v>48.23</v>
      </c>
      <c r="C100" s="8">
        <v>50.19</v>
      </c>
      <c r="D100" s="6">
        <v>1.04063860667634</v>
      </c>
      <c r="E100" s="6">
        <v>1.0395631876754901</v>
      </c>
      <c r="F100" s="6">
        <v>1.0425340772295699</v>
      </c>
      <c r="G100" s="6">
        <v>1.04165388619861</v>
      </c>
      <c r="H100" s="8">
        <v>50.138132541588902</v>
      </c>
      <c r="I100" s="8">
        <v>50.288471066666602</v>
      </c>
      <c r="J100" s="8">
        <v>50.235319064553899</v>
      </c>
      <c r="K100" s="13">
        <v>1.0339565128532401E-3</v>
      </c>
      <c r="L100" s="13">
        <v>-1.9600437217368E-3</v>
      </c>
      <c r="M100" s="13">
        <v>-9.0254266657999898E-4</v>
      </c>
      <c r="N100" s="20">
        <v>0.11</v>
      </c>
      <c r="O100" s="4">
        <v>0</v>
      </c>
      <c r="P100" s="20">
        <f t="shared" si="26"/>
        <v>48.339999999999996</v>
      </c>
      <c r="Q100" s="20">
        <f t="shared" si="27"/>
        <v>50.19</v>
      </c>
      <c r="R100" s="19">
        <f t="shared" si="28"/>
        <v>1.0382705833678114</v>
      </c>
      <c r="S100" s="19">
        <f t="shared" si="29"/>
        <v>1.0384357751676798</v>
      </c>
      <c r="T100" s="19">
        <f t="shared" si="33"/>
        <v>1.0401440383088354</v>
      </c>
      <c r="U100" s="19">
        <f t="shared" si="35"/>
        <v>1.0396256369697983</v>
      </c>
      <c r="V100" s="21">
        <f t="shared" si="30"/>
        <v>50.19798537160564</v>
      </c>
      <c r="W100" s="21">
        <f t="shared" si="34"/>
        <v>50.287555741772159</v>
      </c>
      <c r="X100" s="21">
        <f t="shared" si="37"/>
        <v>50.257570616822434</v>
      </c>
      <c r="Y100" s="22">
        <f t="shared" si="31"/>
        <v>-1.5909018580113064E-4</v>
      </c>
      <c r="Z100" s="22">
        <f t="shared" si="31"/>
        <v>-1.9418420702379685E-3</v>
      </c>
      <c r="AA100" s="22">
        <f t="shared" si="31"/>
        <v>-1.3453909656517774E-3</v>
      </c>
      <c r="AC100" s="9">
        <f t="shared" si="32"/>
        <v>3.5310037725574776E-3</v>
      </c>
      <c r="AD100" s="9">
        <f t="shared" si="32"/>
        <v>2.9931180681318859E-3</v>
      </c>
      <c r="AE100" s="9"/>
      <c r="AF100" s="9"/>
      <c r="AH100">
        <f t="shared" si="38"/>
        <v>1</v>
      </c>
      <c r="AI100">
        <f t="shared" si="39"/>
        <v>0</v>
      </c>
      <c r="AJ100">
        <f t="shared" si="40"/>
        <v>0</v>
      </c>
      <c r="AK100">
        <f t="shared" si="36"/>
        <v>0</v>
      </c>
      <c r="AL100" s="9">
        <f t="shared" si="41"/>
        <v>0</v>
      </c>
      <c r="AM100" s="9">
        <f t="shared" si="42"/>
        <v>0</v>
      </c>
      <c r="AN100" s="9">
        <f t="shared" si="43"/>
        <v>0</v>
      </c>
      <c r="AO100" s="16">
        <f t="shared" si="44"/>
        <v>2.8572792605016523E-3</v>
      </c>
      <c r="AQ100" s="9"/>
      <c r="AS100">
        <f t="shared" si="45"/>
        <v>0</v>
      </c>
      <c r="AT100">
        <f t="shared" si="46"/>
        <v>1</v>
      </c>
      <c r="AU100">
        <f t="shared" si="47"/>
        <v>1</v>
      </c>
      <c r="AV100">
        <f t="shared" si="48"/>
        <v>0</v>
      </c>
      <c r="AW100" s="9">
        <f t="shared" si="49"/>
        <v>0</v>
      </c>
      <c r="AX100" s="9">
        <f t="shared" si="50"/>
        <v>0</v>
      </c>
      <c r="AY100" s="9">
        <f t="shared" si="51"/>
        <v>0</v>
      </c>
      <c r="AZ100" s="16">
        <f t="shared" si="52"/>
        <v>4.2302529398101692E-3</v>
      </c>
      <c r="BB100" s="16">
        <f t="shared" si="53"/>
        <v>0</v>
      </c>
      <c r="BC100" s="16">
        <f t="shared" si="54"/>
        <v>7.0875322003118215E-3</v>
      </c>
    </row>
    <row r="101" spans="1:55" x14ac:dyDescent="0.3">
      <c r="A101" s="1">
        <v>46169</v>
      </c>
      <c r="B101" s="8">
        <v>48.22</v>
      </c>
      <c r="C101" s="8">
        <v>50.2</v>
      </c>
      <c r="D101" s="6">
        <v>1.0410618000829499</v>
      </c>
      <c r="E101" s="6">
        <v>1.0395631876754901</v>
      </c>
      <c r="F101" s="6">
        <v>1.0423106190868501</v>
      </c>
      <c r="G101" s="6">
        <v>1.0417590595360999</v>
      </c>
      <c r="H101" s="8">
        <v>50.127736909712098</v>
      </c>
      <c r="I101" s="8">
        <v>50.270993204010203</v>
      </c>
      <c r="J101" s="8">
        <v>50.228550392497397</v>
      </c>
      <c r="K101" s="13">
        <v>1.4405408715501399E-3</v>
      </c>
      <c r="L101" s="13">
        <v>-1.4132082019236499E-3</v>
      </c>
      <c r="M101" s="13">
        <v>-5.6857125100304097E-4</v>
      </c>
      <c r="N101" s="20">
        <v>0.11</v>
      </c>
      <c r="O101" s="4">
        <v>0</v>
      </c>
      <c r="P101" s="20">
        <f t="shared" si="26"/>
        <v>48.33</v>
      </c>
      <c r="Q101" s="20">
        <f t="shared" si="27"/>
        <v>50.2</v>
      </c>
      <c r="R101" s="19">
        <f t="shared" si="28"/>
        <v>1.0386923236085248</v>
      </c>
      <c r="S101" s="19">
        <f t="shared" si="29"/>
        <v>1.0384357751676798</v>
      </c>
      <c r="T101" s="19">
        <f t="shared" si="33"/>
        <v>1.0399231204192705</v>
      </c>
      <c r="U101" s="19">
        <f t="shared" si="35"/>
        <v>1.0396123364835579</v>
      </c>
      <c r="V101" s="21">
        <f t="shared" si="30"/>
        <v>50.187601013853964</v>
      </c>
      <c r="W101" s="21">
        <f t="shared" si="34"/>
        <v>50.27016137146601</v>
      </c>
      <c r="X101" s="21">
        <f t="shared" si="37"/>
        <v>50.245107034750347</v>
      </c>
      <c r="Y101" s="22">
        <f t="shared" si="31"/>
        <v>2.4702226338453066E-4</v>
      </c>
      <c r="Z101" s="22">
        <f t="shared" si="31"/>
        <v>-1.3966610964562362E-3</v>
      </c>
      <c r="AA101" s="22">
        <f t="shared" si="31"/>
        <v>-8.9814305771838954E-4</v>
      </c>
      <c r="AC101" s="9">
        <f t="shared" si="32"/>
        <v>-2.0736132785551122E-4</v>
      </c>
      <c r="AD101" s="9">
        <f t="shared" si="32"/>
        <v>1.9922303084125636E-4</v>
      </c>
      <c r="AE101" s="9"/>
      <c r="AF101" s="9"/>
      <c r="AH101">
        <f t="shared" si="38"/>
        <v>0</v>
      </c>
      <c r="AI101">
        <f t="shared" si="39"/>
        <v>0</v>
      </c>
      <c r="AJ101">
        <f t="shared" si="40"/>
        <v>1</v>
      </c>
      <c r="AK101">
        <f t="shared" si="36"/>
        <v>1</v>
      </c>
      <c r="AL101" s="9">
        <f t="shared" si="41"/>
        <v>2.0736132785551122E-4</v>
      </c>
      <c r="AM101" s="9">
        <f t="shared" si="42"/>
        <v>1.9922303084125636E-4</v>
      </c>
      <c r="AN101" s="9">
        <f t="shared" si="43"/>
        <v>4.0658435869676758E-4</v>
      </c>
      <c r="AO101" s="16">
        <f t="shared" si="44"/>
        <v>3.2638636191984196E-3</v>
      </c>
      <c r="AQ101" s="9"/>
      <c r="AS101">
        <f t="shared" si="45"/>
        <v>0</v>
      </c>
      <c r="AT101">
        <f t="shared" si="46"/>
        <v>1</v>
      </c>
      <c r="AU101">
        <f t="shared" si="47"/>
        <v>0</v>
      </c>
      <c r="AV101">
        <f t="shared" si="48"/>
        <v>0</v>
      </c>
      <c r="AW101" s="9">
        <f t="shared" si="49"/>
        <v>0</v>
      </c>
      <c r="AX101" s="9">
        <f t="shared" si="50"/>
        <v>0</v>
      </c>
      <c r="AY101" s="9">
        <f t="shared" si="51"/>
        <v>0</v>
      </c>
      <c r="AZ101" s="16">
        <f t="shared" si="52"/>
        <v>4.2302529398101692E-3</v>
      </c>
      <c r="BB101" s="16">
        <f t="shared" si="53"/>
        <v>4.0658435869676758E-4</v>
      </c>
      <c r="BC101" s="16">
        <f t="shared" si="54"/>
        <v>7.4941165590085889E-3</v>
      </c>
    </row>
    <row r="102" spans="1:55" x14ac:dyDescent="0.3">
      <c r="A102" s="1">
        <v>46170</v>
      </c>
      <c r="B102" s="8">
        <v>48.26</v>
      </c>
      <c r="C102" s="8">
        <v>50.23</v>
      </c>
      <c r="D102" s="6">
        <v>1.04082055532532</v>
      </c>
      <c r="E102" s="6">
        <v>1.0395631876754901</v>
      </c>
      <c r="F102" s="6">
        <v>1.04215467879475</v>
      </c>
      <c r="G102" s="6">
        <v>1.0417837897678901</v>
      </c>
      <c r="H102" s="8">
        <v>50.169319437219102</v>
      </c>
      <c r="I102" s="8">
        <v>50.301910477131798</v>
      </c>
      <c r="J102" s="8">
        <v>50.275292213212097</v>
      </c>
      <c r="K102" s="13">
        <v>1.20878449195912E-3</v>
      </c>
      <c r="L102" s="13">
        <v>-1.4306002751760399E-3</v>
      </c>
      <c r="M102" s="13">
        <v>-9.0129017648358698E-4</v>
      </c>
      <c r="N102" s="20">
        <v>0.11</v>
      </c>
      <c r="O102" s="4">
        <v>0</v>
      </c>
      <c r="P102" s="20">
        <f t="shared" si="26"/>
        <v>48.37</v>
      </c>
      <c r="Q102" s="20">
        <f t="shared" si="27"/>
        <v>50.23</v>
      </c>
      <c r="R102" s="19">
        <f t="shared" si="28"/>
        <v>1.0384535869340501</v>
      </c>
      <c r="S102" s="19">
        <f t="shared" si="29"/>
        <v>1.0384357751676798</v>
      </c>
      <c r="T102" s="19">
        <f t="shared" si="33"/>
        <v>1.0397693122724339</v>
      </c>
      <c r="U102" s="19">
        <f t="shared" si="35"/>
        <v>1.0395187182957848</v>
      </c>
      <c r="V102" s="21">
        <f t="shared" si="30"/>
        <v>50.229138444860673</v>
      </c>
      <c r="W102" s="21">
        <f t="shared" si="34"/>
        <v>50.301081334680113</v>
      </c>
      <c r="X102" s="21">
        <f t="shared" si="37"/>
        <v>50.28604871570969</v>
      </c>
      <c r="Y102" s="22">
        <f t="shared" si="31"/>
        <v>1.7152349754905699E-5</v>
      </c>
      <c r="Z102" s="22">
        <f t="shared" si="31"/>
        <v>-1.4141168200259135E-3</v>
      </c>
      <c r="AA102" s="22">
        <f t="shared" si="31"/>
        <v>-1.115219355214939E-3</v>
      </c>
      <c r="AC102" s="9">
        <f t="shared" si="32"/>
        <v>8.2918744386055768E-4</v>
      </c>
      <c r="AD102" s="9">
        <f t="shared" si="32"/>
        <v>5.974310642696554E-4</v>
      </c>
      <c r="AE102" s="9"/>
      <c r="AF102" s="9"/>
      <c r="AH102">
        <f t="shared" si="38"/>
        <v>1</v>
      </c>
      <c r="AI102">
        <f t="shared" si="39"/>
        <v>0</v>
      </c>
      <c r="AJ102">
        <f t="shared" si="40"/>
        <v>1</v>
      </c>
      <c r="AK102">
        <f t="shared" si="36"/>
        <v>1</v>
      </c>
      <c r="AL102" s="9">
        <f t="shared" si="41"/>
        <v>-8.2918744386055768E-4</v>
      </c>
      <c r="AM102" s="9">
        <f t="shared" si="42"/>
        <v>5.974310642696554E-4</v>
      </c>
      <c r="AN102" s="9">
        <f t="shared" si="43"/>
        <v>-2.3175637959090228E-4</v>
      </c>
      <c r="AO102" s="16">
        <f t="shared" si="44"/>
        <v>3.0321072396075175E-3</v>
      </c>
      <c r="AQ102" s="9"/>
      <c r="AS102">
        <f t="shared" si="45"/>
        <v>0</v>
      </c>
      <c r="AT102">
        <f t="shared" si="46"/>
        <v>1</v>
      </c>
      <c r="AU102">
        <f t="shared" si="47"/>
        <v>0</v>
      </c>
      <c r="AV102">
        <f t="shared" si="48"/>
        <v>0</v>
      </c>
      <c r="AW102" s="9">
        <f t="shared" si="49"/>
        <v>0</v>
      </c>
      <c r="AX102" s="9">
        <f t="shared" si="50"/>
        <v>0</v>
      </c>
      <c r="AY102" s="9">
        <f t="shared" si="51"/>
        <v>0</v>
      </c>
      <c r="AZ102" s="16">
        <f t="shared" si="52"/>
        <v>4.2302529398101692E-3</v>
      </c>
      <c r="BB102" s="16">
        <f t="shared" si="53"/>
        <v>-2.3175637959090228E-4</v>
      </c>
      <c r="BC102" s="16">
        <f t="shared" si="54"/>
        <v>7.2623601794176863E-3</v>
      </c>
    </row>
    <row r="103" spans="1:55" x14ac:dyDescent="0.3">
      <c r="A103" s="1">
        <v>46171</v>
      </c>
      <c r="B103" s="8">
        <v>48.33</v>
      </c>
      <c r="C103" s="8">
        <v>50.27</v>
      </c>
      <c r="D103" s="6">
        <v>1.04014069935857</v>
      </c>
      <c r="E103" s="6">
        <v>1.0395631876754901</v>
      </c>
      <c r="F103" s="6">
        <v>1.0421037080802</v>
      </c>
      <c r="G103" s="6">
        <v>1.0418553408648501</v>
      </c>
      <c r="H103" s="8">
        <v>50.242088860356397</v>
      </c>
      <c r="I103" s="8">
        <v>50.367335626150599</v>
      </c>
      <c r="J103" s="8">
        <v>50.349410559482102</v>
      </c>
      <c r="K103" s="13">
        <v>5.5537877438280097E-4</v>
      </c>
      <c r="L103" s="13">
        <v>-1.93438460778431E-3</v>
      </c>
      <c r="M103" s="13">
        <v>-1.57843452924095E-3</v>
      </c>
      <c r="N103" s="20">
        <v>0.11</v>
      </c>
      <c r="O103" s="4">
        <v>0</v>
      </c>
      <c r="P103" s="20">
        <f t="shared" si="26"/>
        <v>48.44</v>
      </c>
      <c r="Q103" s="20">
        <f t="shared" si="27"/>
        <v>50.27</v>
      </c>
      <c r="R103" s="19">
        <f t="shared" si="28"/>
        <v>1.0377786952931463</v>
      </c>
      <c r="S103" s="19">
        <f t="shared" si="29"/>
        <v>1.0384357751676798</v>
      </c>
      <c r="T103" s="19">
        <f t="shared" si="33"/>
        <v>1.0397202267268735</v>
      </c>
      <c r="U103" s="19">
        <f t="shared" si="35"/>
        <v>1.0394721691894744</v>
      </c>
      <c r="V103" s="21">
        <f t="shared" si="30"/>
        <v>50.30182894912241</v>
      </c>
      <c r="W103" s="21">
        <f t="shared" si="34"/>
        <v>50.366425486476693</v>
      </c>
      <c r="X103" s="21">
        <f t="shared" si="37"/>
        <v>50.354286714247813</v>
      </c>
      <c r="Y103" s="22">
        <f t="shared" si="31"/>
        <v>-6.3295955771404378E-4</v>
      </c>
      <c r="Z103" s="22">
        <f t="shared" si="31"/>
        <v>-1.9163144064162215E-3</v>
      </c>
      <c r="AA103" s="22">
        <f t="shared" si="31"/>
        <v>-1.6752761527656054E-3</v>
      </c>
      <c r="AC103" s="9">
        <f t="shared" si="32"/>
        <v>1.4494256601070602E-3</v>
      </c>
      <c r="AD103" s="9">
        <f t="shared" si="32"/>
        <v>7.9601994253074011E-4</v>
      </c>
      <c r="AE103" s="9"/>
      <c r="AF103" s="9"/>
      <c r="AH103">
        <f t="shared" si="38"/>
        <v>1</v>
      </c>
      <c r="AI103">
        <f t="shared" si="39"/>
        <v>0</v>
      </c>
      <c r="AJ103">
        <f t="shared" si="40"/>
        <v>0</v>
      </c>
      <c r="AK103" s="23">
        <v>0</v>
      </c>
      <c r="AL103" s="9">
        <f t="shared" si="41"/>
        <v>0</v>
      </c>
      <c r="AM103" s="9">
        <f t="shared" si="42"/>
        <v>0</v>
      </c>
      <c r="AN103" s="9">
        <f t="shared" si="43"/>
        <v>0</v>
      </c>
      <c r="AO103" s="16">
        <f t="shared" si="44"/>
        <v>3.0321072396075175E-3</v>
      </c>
      <c r="AQ103" s="9"/>
      <c r="AS103">
        <f t="shared" si="45"/>
        <v>0</v>
      </c>
      <c r="AT103">
        <f t="shared" si="46"/>
        <v>1</v>
      </c>
      <c r="AU103">
        <f t="shared" si="47"/>
        <v>0</v>
      </c>
      <c r="AV103">
        <f t="shared" si="48"/>
        <v>0</v>
      </c>
      <c r="AW103" s="9">
        <f t="shared" si="49"/>
        <v>0</v>
      </c>
      <c r="AX103" s="9">
        <f t="shared" si="50"/>
        <v>0</v>
      </c>
      <c r="AY103" s="9">
        <f t="shared" si="51"/>
        <v>0</v>
      </c>
      <c r="AZ103" s="16">
        <f t="shared" si="52"/>
        <v>4.2302529398101692E-3</v>
      </c>
      <c r="BB103" s="16">
        <f t="shared" si="53"/>
        <v>0</v>
      </c>
      <c r="BC103" s="16">
        <f t="shared" si="54"/>
        <v>7.2623601794176863E-3</v>
      </c>
    </row>
    <row r="104" spans="1:55" x14ac:dyDescent="0.3">
      <c r="A104" s="1">
        <v>46174</v>
      </c>
      <c r="B104" s="8">
        <v>48.11</v>
      </c>
      <c r="C104" s="8">
        <v>50.23</v>
      </c>
      <c r="D104" s="6">
        <v>1.0440656828102199</v>
      </c>
      <c r="E104" s="6">
        <v>1.0395631876754901</v>
      </c>
      <c r="F104" s="6">
        <v>1.0420747077255299</v>
      </c>
      <c r="G104" s="6">
        <v>1.0420052583178501</v>
      </c>
      <c r="H104" s="8">
        <v>50.0133849590678</v>
      </c>
      <c r="I104" s="8">
        <v>50.135609395738797</v>
      </c>
      <c r="J104" s="8">
        <v>50.123660449008</v>
      </c>
      <c r="K104" s="13">
        <v>4.3217889774824899E-3</v>
      </c>
      <c r="L104" s="13">
        <v>1.8809357639200199E-3</v>
      </c>
      <c r="M104" s="13">
        <v>2.1192967016343601E-3</v>
      </c>
      <c r="N104" s="20">
        <v>0.22</v>
      </c>
      <c r="O104" s="4">
        <v>0</v>
      </c>
      <c r="P104" s="20">
        <f t="shared" si="26"/>
        <v>48.33</v>
      </c>
      <c r="Q104" s="20">
        <f t="shared" si="27"/>
        <v>50.23</v>
      </c>
      <c r="R104" s="19">
        <f t="shared" si="28"/>
        <v>1.0393130560728325</v>
      </c>
      <c r="S104" s="19">
        <f t="shared" si="29"/>
        <v>1.0384357751676798</v>
      </c>
      <c r="T104" s="19">
        <f t="shared" si="33"/>
        <v>1.0394569014616735</v>
      </c>
      <c r="U104" s="19">
        <f t="shared" si="35"/>
        <v>1.0395035457867929</v>
      </c>
      <c r="V104" s="21">
        <f t="shared" si="30"/>
        <v>50.187601013853964</v>
      </c>
      <c r="W104" s="21">
        <f t="shared" si="34"/>
        <v>50.249678557709792</v>
      </c>
      <c r="X104" s="21">
        <f t="shared" si="37"/>
        <v>50.237689936927296</v>
      </c>
      <c r="Y104" s="22">
        <f t="shared" si="31"/>
        <v>8.4445332765417549E-4</v>
      </c>
      <c r="Z104" s="22">
        <f t="shared" si="31"/>
        <v>-3.9169229527522649E-4</v>
      </c>
      <c r="AA104" s="22">
        <f t="shared" si="31"/>
        <v>-1.5308278606073719E-4</v>
      </c>
      <c r="AC104" s="9">
        <f t="shared" si="32"/>
        <v>-4.562430145630323E-3</v>
      </c>
      <c r="AD104" s="9">
        <f t="shared" si="32"/>
        <v>-7.9601994253063939E-4</v>
      </c>
      <c r="AE104" s="9"/>
      <c r="AF104" s="9"/>
      <c r="AH104">
        <f t="shared" si="38"/>
        <v>0</v>
      </c>
      <c r="AI104">
        <f t="shared" si="39"/>
        <v>0</v>
      </c>
      <c r="AJ104">
        <f t="shared" si="40"/>
        <v>1</v>
      </c>
      <c r="AK104">
        <f t="shared" si="36"/>
        <v>1</v>
      </c>
      <c r="AL104" s="9">
        <f t="shared" si="41"/>
        <v>4.562430145630323E-3</v>
      </c>
      <c r="AM104" s="9">
        <f t="shared" si="42"/>
        <v>-7.9601994253063939E-4</v>
      </c>
      <c r="AN104" s="9">
        <f t="shared" si="43"/>
        <v>3.7664102030996838E-3</v>
      </c>
      <c r="AO104" s="16">
        <f t="shared" si="44"/>
        <v>6.7985174427072012E-3</v>
      </c>
      <c r="AQ104" s="9"/>
      <c r="AS104">
        <f t="shared" si="45"/>
        <v>0</v>
      </c>
      <c r="AT104">
        <f t="shared" si="46"/>
        <v>1</v>
      </c>
      <c r="AU104">
        <f t="shared" si="47"/>
        <v>0</v>
      </c>
      <c r="AV104">
        <f t="shared" si="48"/>
        <v>0</v>
      </c>
      <c r="AW104" s="9">
        <f t="shared" si="49"/>
        <v>0</v>
      </c>
      <c r="AX104" s="9">
        <f t="shared" si="50"/>
        <v>0</v>
      </c>
      <c r="AY104" s="9">
        <f t="shared" si="51"/>
        <v>0</v>
      </c>
      <c r="AZ104" s="16">
        <f t="shared" si="52"/>
        <v>4.2302529398101692E-3</v>
      </c>
      <c r="BB104" s="16">
        <f t="shared" si="53"/>
        <v>3.7664102030996838E-3</v>
      </c>
      <c r="BC104" s="16">
        <f t="shared" si="54"/>
        <v>1.102877038251737E-2</v>
      </c>
    </row>
    <row r="105" spans="1:55" x14ac:dyDescent="0.3">
      <c r="A105" s="1">
        <v>46175</v>
      </c>
      <c r="B105" s="8">
        <v>48.2</v>
      </c>
      <c r="C105" s="8">
        <v>50.27</v>
      </c>
      <c r="D105" s="6">
        <v>1.0429460580912799</v>
      </c>
      <c r="E105" s="6">
        <v>1.0395631876754901</v>
      </c>
      <c r="F105" s="6">
        <v>1.04198776217198</v>
      </c>
      <c r="G105" s="6">
        <v>1.0420622602190699</v>
      </c>
      <c r="H105" s="8">
        <v>50.106945645958596</v>
      </c>
      <c r="I105" s="8">
        <v>50.228000912370803</v>
      </c>
      <c r="J105" s="8">
        <v>50.2246534509203</v>
      </c>
      <c r="K105" s="13">
        <v>3.2488435748208502E-3</v>
      </c>
      <c r="L105" s="13">
        <v>8.3581941318017401E-4</v>
      </c>
      <c r="M105" s="13">
        <v>9.0246695918928495E-4</v>
      </c>
      <c r="N105" s="20">
        <v>0.22</v>
      </c>
      <c r="O105" s="4">
        <v>0</v>
      </c>
      <c r="P105" s="20">
        <f t="shared" si="26"/>
        <v>48.42</v>
      </c>
      <c r="Q105" s="20">
        <f t="shared" si="27"/>
        <v>50.27</v>
      </c>
      <c r="R105" s="19">
        <f t="shared" si="28"/>
        <v>1.0382073523337465</v>
      </c>
      <c r="S105" s="19">
        <f t="shared" si="29"/>
        <v>1.0384357751676798</v>
      </c>
      <c r="T105" s="19">
        <f t="shared" si="33"/>
        <v>1.0391362436810343</v>
      </c>
      <c r="U105" s="19">
        <f t="shared" si="35"/>
        <v>1.0394431104837722</v>
      </c>
      <c r="V105" s="21">
        <f t="shared" si="30"/>
        <v>50.281060233619058</v>
      </c>
      <c r="W105" s="21">
        <f t="shared" si="34"/>
        <v>50.330503168774229</v>
      </c>
      <c r="X105" s="21">
        <f t="shared" si="37"/>
        <v>50.332761686996513</v>
      </c>
      <c r="Y105" s="22">
        <f t="shared" si="31"/>
        <v>-2.1999238273503918E-4</v>
      </c>
      <c r="Z105" s="22">
        <f t="shared" si="31"/>
        <v>-1.2028404265038998E-3</v>
      </c>
      <c r="AA105" s="22">
        <f t="shared" si="31"/>
        <v>-1.2477131658473E-3</v>
      </c>
      <c r="AC105" s="9">
        <f t="shared" si="32"/>
        <v>1.8689653451923495E-3</v>
      </c>
      <c r="AD105" s="9">
        <f t="shared" si="32"/>
        <v>7.9601994253074011E-4</v>
      </c>
      <c r="AE105" s="9"/>
      <c r="AF105" s="9"/>
      <c r="AH105">
        <f t="shared" si="38"/>
        <v>1</v>
      </c>
      <c r="AI105">
        <f t="shared" si="39"/>
        <v>0</v>
      </c>
      <c r="AJ105">
        <f t="shared" si="40"/>
        <v>1</v>
      </c>
      <c r="AK105">
        <f t="shared" si="36"/>
        <v>1</v>
      </c>
      <c r="AL105" s="9">
        <f t="shared" si="41"/>
        <v>-1.8689653451923495E-3</v>
      </c>
      <c r="AM105" s="9">
        <f t="shared" si="42"/>
        <v>7.9601994253074011E-4</v>
      </c>
      <c r="AN105" s="9">
        <f t="shared" si="43"/>
        <v>-1.0729454026616094E-3</v>
      </c>
      <c r="AO105" s="16">
        <f t="shared" si="44"/>
        <v>5.7255720400455918E-3</v>
      </c>
      <c r="AQ105" s="9"/>
      <c r="AS105">
        <f t="shared" si="45"/>
        <v>0</v>
      </c>
      <c r="AT105">
        <f t="shared" si="46"/>
        <v>1</v>
      </c>
      <c r="AU105">
        <f t="shared" si="47"/>
        <v>0</v>
      </c>
      <c r="AV105">
        <f t="shared" si="48"/>
        <v>0</v>
      </c>
      <c r="AW105" s="9">
        <f t="shared" si="49"/>
        <v>0</v>
      </c>
      <c r="AX105" s="9">
        <f t="shared" si="50"/>
        <v>0</v>
      </c>
      <c r="AY105" s="9">
        <f t="shared" si="51"/>
        <v>0</v>
      </c>
      <c r="AZ105" s="16">
        <f t="shared" si="52"/>
        <v>4.2302529398101692E-3</v>
      </c>
      <c r="BB105" s="16">
        <f t="shared" si="53"/>
        <v>-1.0729454026616094E-3</v>
      </c>
      <c r="BC105" s="16">
        <f t="shared" si="54"/>
        <v>9.955824979855761E-3</v>
      </c>
    </row>
    <row r="106" spans="1:55" x14ac:dyDescent="0.3">
      <c r="A106" s="1">
        <v>46176</v>
      </c>
      <c r="B106" s="8">
        <v>48.03</v>
      </c>
      <c r="C106" s="8">
        <v>50.17</v>
      </c>
      <c r="D106" s="6">
        <v>1.0445554861544799</v>
      </c>
      <c r="E106" s="6">
        <v>1.0395631876754901</v>
      </c>
      <c r="F106" s="6">
        <v>1.04205163186328</v>
      </c>
      <c r="G106" s="6">
        <v>1.0422227971077</v>
      </c>
      <c r="H106" s="8">
        <v>49.9302199040538</v>
      </c>
      <c r="I106" s="8">
        <v>50.046672217120197</v>
      </c>
      <c r="J106" s="8">
        <v>50.050250358321897</v>
      </c>
      <c r="K106" s="13">
        <v>4.7908097463201299E-3</v>
      </c>
      <c r="L106" s="13">
        <v>2.4612241138611802E-3</v>
      </c>
      <c r="M106" s="13">
        <v>2.38973058316821E-3</v>
      </c>
      <c r="N106" s="20">
        <v>0.22</v>
      </c>
      <c r="O106" s="4">
        <v>0</v>
      </c>
      <c r="P106" s="20">
        <f t="shared" ref="P106:P156" si="55">B106+N106</f>
        <v>48.25</v>
      </c>
      <c r="Q106" s="20">
        <f t="shared" ref="Q106:Q156" si="56">C106+O106</f>
        <v>50.17</v>
      </c>
      <c r="R106" s="19">
        <f t="shared" ref="R106:R156" si="57">Q106/P106</f>
        <v>1.0397927461139898</v>
      </c>
      <c r="S106" s="19">
        <f t="shared" si="29"/>
        <v>1.0384357751676798</v>
      </c>
      <c r="T106" s="19">
        <f t="shared" si="33"/>
        <v>1.0389645748962069</v>
      </c>
      <c r="U106" s="19">
        <f t="shared" si="35"/>
        <v>1.0394848311228051</v>
      </c>
      <c r="V106" s="21">
        <f t="shared" si="30"/>
        <v>50.104526151840552</v>
      </c>
      <c r="W106" s="21">
        <f t="shared" si="34"/>
        <v>50.138323757609903</v>
      </c>
      <c r="X106" s="21">
        <f t="shared" si="37"/>
        <v>50.153130080842011</v>
      </c>
      <c r="Y106" s="22">
        <f t="shared" si="31"/>
        <v>1.3058921338601648E-3</v>
      </c>
      <c r="Z106" s="22">
        <f t="shared" si="31"/>
        <v>6.3157756517960757E-4</v>
      </c>
      <c r="AA106" s="22">
        <f t="shared" si="31"/>
        <v>3.3631166219395998E-4</v>
      </c>
      <c r="AC106" s="9">
        <f t="shared" si="32"/>
        <v>-3.5332053798215989E-3</v>
      </c>
      <c r="AD106" s="9">
        <f t="shared" si="32"/>
        <v>-1.99123920832232E-3</v>
      </c>
      <c r="AE106" s="9"/>
      <c r="AF106" s="9"/>
      <c r="AH106">
        <f t="shared" si="38"/>
        <v>0</v>
      </c>
      <c r="AI106">
        <f t="shared" si="39"/>
        <v>1</v>
      </c>
      <c r="AJ106">
        <f t="shared" si="40"/>
        <v>1</v>
      </c>
      <c r="AK106">
        <f t="shared" si="36"/>
        <v>1</v>
      </c>
      <c r="AL106" s="9">
        <f t="shared" si="41"/>
        <v>3.5332053798215989E-3</v>
      </c>
      <c r="AM106" s="9">
        <f t="shared" si="42"/>
        <v>-1.99123920832232E-3</v>
      </c>
      <c r="AN106" s="9">
        <f t="shared" si="43"/>
        <v>1.5419661714992788E-3</v>
      </c>
      <c r="AO106" s="16">
        <f t="shared" si="44"/>
        <v>7.2675382115448706E-3</v>
      </c>
      <c r="AQ106" s="9"/>
      <c r="AS106">
        <f t="shared" si="45"/>
        <v>0</v>
      </c>
      <c r="AT106">
        <f t="shared" si="46"/>
        <v>0</v>
      </c>
      <c r="AU106">
        <f t="shared" si="47"/>
        <v>0</v>
      </c>
      <c r="AV106">
        <f t="shared" si="48"/>
        <v>0</v>
      </c>
      <c r="AW106" s="9">
        <f t="shared" si="49"/>
        <v>0</v>
      </c>
      <c r="AX106" s="9">
        <f t="shared" si="50"/>
        <v>0</v>
      </c>
      <c r="AY106" s="9">
        <f t="shared" si="51"/>
        <v>0</v>
      </c>
      <c r="AZ106" s="16">
        <f t="shared" si="52"/>
        <v>4.2302529398101692E-3</v>
      </c>
      <c r="BB106" s="16">
        <f t="shared" si="53"/>
        <v>1.5419661714992788E-3</v>
      </c>
      <c r="BC106" s="16">
        <f t="shared" si="54"/>
        <v>1.149779115135504E-2</v>
      </c>
    </row>
    <row r="107" spans="1:55" x14ac:dyDescent="0.3">
      <c r="A107" s="1">
        <v>46177</v>
      </c>
      <c r="B107" s="8">
        <v>48.08</v>
      </c>
      <c r="C107" s="8">
        <v>50.22</v>
      </c>
      <c r="D107" s="6">
        <v>1.0445091514142999</v>
      </c>
      <c r="E107" s="6">
        <v>1.0395631876754901</v>
      </c>
      <c r="F107" s="6">
        <v>1.0422245837325901</v>
      </c>
      <c r="G107" s="6">
        <v>1.0424133709574901</v>
      </c>
      <c r="H107" s="8">
        <v>49.982198063437501</v>
      </c>
      <c r="I107" s="8">
        <v>50.101842459986798</v>
      </c>
      <c r="J107" s="8">
        <v>50.110072084938601</v>
      </c>
      <c r="K107" s="13">
        <v>4.7464504293783698E-3</v>
      </c>
      <c r="L107" s="13">
        <v>2.3555706663880901E-3</v>
      </c>
      <c r="M107" s="13">
        <v>2.1913262248423201E-3</v>
      </c>
      <c r="N107" s="20">
        <v>0.22</v>
      </c>
      <c r="O107" s="4">
        <v>0</v>
      </c>
      <c r="P107" s="20">
        <f t="shared" si="55"/>
        <v>48.3</v>
      </c>
      <c r="Q107" s="20">
        <f t="shared" si="56"/>
        <v>50.22</v>
      </c>
      <c r="R107" s="19">
        <f t="shared" si="57"/>
        <v>1.0397515527950312</v>
      </c>
      <c r="S107" s="19">
        <f t="shared" si="29"/>
        <v>1.0384357751676798</v>
      </c>
      <c r="T107" s="19">
        <f t="shared" si="33"/>
        <v>1.0389005879729203</v>
      </c>
      <c r="U107" s="19">
        <f t="shared" si="35"/>
        <v>1.0395561046399133</v>
      </c>
      <c r="V107" s="21">
        <f t="shared" si="30"/>
        <v>50.15644794059893</v>
      </c>
      <c r="W107" s="21">
        <f t="shared" si="34"/>
        <v>50.181988967486788</v>
      </c>
      <c r="X107" s="21">
        <f t="shared" si="37"/>
        <v>50.207117343231481</v>
      </c>
      <c r="Y107" s="22">
        <f t="shared" si="31"/>
        <v>1.2662744936055154E-3</v>
      </c>
      <c r="Z107" s="22">
        <f t="shared" si="31"/>
        <v>7.5717691890650647E-4</v>
      </c>
      <c r="AA107" s="22">
        <f t="shared" si="31"/>
        <v>2.5655733590661066E-4</v>
      </c>
      <c r="AC107" s="9">
        <f t="shared" si="32"/>
        <v>1.0404745502189893E-3</v>
      </c>
      <c r="AD107" s="9">
        <f t="shared" si="32"/>
        <v>9.9611523327724875E-4</v>
      </c>
      <c r="AE107" s="9"/>
      <c r="AF107" s="9"/>
      <c r="AH107">
        <f t="shared" si="38"/>
        <v>0</v>
      </c>
      <c r="AI107">
        <f t="shared" si="39"/>
        <v>1</v>
      </c>
      <c r="AJ107">
        <f t="shared" si="40"/>
        <v>0</v>
      </c>
      <c r="AK107">
        <f t="shared" si="36"/>
        <v>0</v>
      </c>
      <c r="AL107" s="9">
        <f t="shared" si="41"/>
        <v>0</v>
      </c>
      <c r="AM107" s="9">
        <f t="shared" si="42"/>
        <v>0</v>
      </c>
      <c r="AN107" s="9">
        <f t="shared" si="43"/>
        <v>0</v>
      </c>
      <c r="AO107" s="16">
        <f t="shared" si="44"/>
        <v>7.2675382115448706E-3</v>
      </c>
      <c r="AQ107" s="9"/>
      <c r="AS107">
        <f t="shared" si="45"/>
        <v>0</v>
      </c>
      <c r="AT107">
        <f t="shared" si="46"/>
        <v>0</v>
      </c>
      <c r="AU107">
        <f t="shared" si="47"/>
        <v>0</v>
      </c>
      <c r="AV107">
        <f t="shared" si="48"/>
        <v>0</v>
      </c>
      <c r="AW107" s="9">
        <f t="shared" si="49"/>
        <v>0</v>
      </c>
      <c r="AX107" s="9">
        <f t="shared" si="50"/>
        <v>0</v>
      </c>
      <c r="AY107" s="9">
        <f t="shared" si="51"/>
        <v>0</v>
      </c>
      <c r="AZ107" s="16">
        <f t="shared" si="52"/>
        <v>4.2302529398101692E-3</v>
      </c>
      <c r="BB107" s="16">
        <f t="shared" si="53"/>
        <v>0</v>
      </c>
      <c r="BC107" s="16">
        <f t="shared" si="54"/>
        <v>1.149779115135504E-2</v>
      </c>
    </row>
    <row r="108" spans="1:55" x14ac:dyDescent="0.3">
      <c r="A108" s="1">
        <v>46178</v>
      </c>
      <c r="B108" s="8">
        <v>48.01</v>
      </c>
      <c r="C108" s="8">
        <v>50.14</v>
      </c>
      <c r="D108" s="6">
        <v>1.04436575713393</v>
      </c>
      <c r="E108" s="6">
        <v>1.0395631876754901</v>
      </c>
      <c r="F108" s="6">
        <v>1.0424302298920001</v>
      </c>
      <c r="G108" s="6">
        <v>1.04259338926344</v>
      </c>
      <c r="H108" s="8">
        <v>49.909428640300298</v>
      </c>
      <c r="I108" s="8">
        <v>50.037202265001902</v>
      </c>
      <c r="J108" s="8">
        <v>50.046265939669297</v>
      </c>
      <c r="K108" s="13">
        <v>4.6091571141898997E-3</v>
      </c>
      <c r="L108" s="13">
        <v>2.0523186664405898E-3</v>
      </c>
      <c r="M108" s="13">
        <v>1.8711963521425201E-3</v>
      </c>
      <c r="N108" s="20">
        <v>0.22</v>
      </c>
      <c r="O108" s="4">
        <v>0</v>
      </c>
      <c r="P108" s="20">
        <f t="shared" si="55"/>
        <v>48.23</v>
      </c>
      <c r="Q108" s="20">
        <f t="shared" si="56"/>
        <v>50.14</v>
      </c>
      <c r="R108" s="19">
        <f t="shared" si="57"/>
        <v>1.039601907526436</v>
      </c>
      <c r="S108" s="19">
        <f t="shared" si="29"/>
        <v>1.0384357751676798</v>
      </c>
      <c r="T108" s="19">
        <f t="shared" si="33"/>
        <v>1.0388682646893816</v>
      </c>
      <c r="U108" s="19">
        <f t="shared" si="35"/>
        <v>1.0396167146458264</v>
      </c>
      <c r="V108" s="21">
        <f t="shared" si="30"/>
        <v>50.083757436337194</v>
      </c>
      <c r="W108" s="21">
        <f t="shared" si="34"/>
        <v>50.106175357933942</v>
      </c>
      <c r="X108" s="21">
        <f t="shared" si="37"/>
        <v>50.137790926783019</v>
      </c>
      <c r="Y108" s="22">
        <f t="shared" si="31"/>
        <v>1.122340071960375E-3</v>
      </c>
      <c r="Z108" s="22">
        <f t="shared" si="31"/>
        <v>6.7483159789233447E-4</v>
      </c>
      <c r="AA108" s="22">
        <f t="shared" si="31"/>
        <v>4.405907224166347E-5</v>
      </c>
      <c r="AC108" s="9">
        <f t="shared" si="32"/>
        <v>-1.4569676841031537E-3</v>
      </c>
      <c r="AD108" s="9">
        <f t="shared" si="32"/>
        <v>-1.5942609992915737E-3</v>
      </c>
      <c r="AE108" s="9"/>
      <c r="AF108" s="9"/>
      <c r="AH108">
        <f t="shared" si="38"/>
        <v>0</v>
      </c>
      <c r="AI108">
        <f t="shared" si="39"/>
        <v>1</v>
      </c>
      <c r="AJ108">
        <f t="shared" si="40"/>
        <v>0</v>
      </c>
      <c r="AK108">
        <f t="shared" si="36"/>
        <v>0</v>
      </c>
      <c r="AL108" s="9">
        <f t="shared" si="41"/>
        <v>0</v>
      </c>
      <c r="AM108" s="9">
        <f t="shared" si="42"/>
        <v>0</v>
      </c>
      <c r="AN108" s="9">
        <f t="shared" si="43"/>
        <v>0</v>
      </c>
      <c r="AO108" s="16">
        <f t="shared" si="44"/>
        <v>7.2675382115448706E-3</v>
      </c>
      <c r="AQ108" s="9"/>
      <c r="AS108">
        <f t="shared" si="45"/>
        <v>0</v>
      </c>
      <c r="AT108">
        <f t="shared" si="46"/>
        <v>0</v>
      </c>
      <c r="AU108">
        <f t="shared" si="47"/>
        <v>0</v>
      </c>
      <c r="AV108">
        <f t="shared" si="48"/>
        <v>0</v>
      </c>
      <c r="AW108" s="9">
        <f t="shared" si="49"/>
        <v>0</v>
      </c>
      <c r="AX108" s="9">
        <f t="shared" si="50"/>
        <v>0</v>
      </c>
      <c r="AY108" s="9">
        <f t="shared" si="51"/>
        <v>0</v>
      </c>
      <c r="AZ108" s="16">
        <f t="shared" si="52"/>
        <v>4.2302529398101692E-3</v>
      </c>
      <c r="BB108" s="16">
        <f t="shared" si="53"/>
        <v>0</v>
      </c>
      <c r="BC108" s="16">
        <f t="shared" si="54"/>
        <v>1.149779115135504E-2</v>
      </c>
    </row>
    <row r="109" spans="1:55" x14ac:dyDescent="0.3">
      <c r="A109" s="1">
        <v>46181</v>
      </c>
      <c r="B109" s="8">
        <v>47.95</v>
      </c>
      <c r="C109" s="8">
        <v>50.07</v>
      </c>
      <c r="D109" s="6">
        <v>1.0442127215849799</v>
      </c>
      <c r="E109" s="6">
        <v>1.0395631876754901</v>
      </c>
      <c r="F109" s="6">
        <v>1.0427316518632399</v>
      </c>
      <c r="G109" s="6">
        <v>1.0427059779808201</v>
      </c>
      <c r="H109" s="8">
        <v>49.847054849039701</v>
      </c>
      <c r="I109" s="8">
        <v>49.984529523321797</v>
      </c>
      <c r="J109" s="8">
        <v>49.992353015181997</v>
      </c>
      <c r="K109" s="13">
        <v>4.4626119392975E-3</v>
      </c>
      <c r="L109" s="13">
        <v>1.7084783242760199E-3</v>
      </c>
      <c r="M109" s="13">
        <v>1.55197230653442E-3</v>
      </c>
      <c r="N109" s="20">
        <v>0.22</v>
      </c>
      <c r="O109" s="4">
        <v>0</v>
      </c>
      <c r="P109" s="20">
        <f t="shared" si="55"/>
        <v>48.17</v>
      </c>
      <c r="Q109" s="20">
        <f t="shared" si="56"/>
        <v>50.07</v>
      </c>
      <c r="R109" s="19">
        <f t="shared" si="57"/>
        <v>1.0394436371185385</v>
      </c>
      <c r="S109" s="19">
        <f t="shared" si="29"/>
        <v>1.0384357751676798</v>
      </c>
      <c r="T109" s="19">
        <f t="shared" si="33"/>
        <v>1.0389305441164105</v>
      </c>
      <c r="U109" s="19">
        <f t="shared" si="35"/>
        <v>1.0396096218903543</v>
      </c>
      <c r="V109" s="21">
        <f t="shared" si="30"/>
        <v>50.021451289827141</v>
      </c>
      <c r="W109" s="21">
        <f t="shared" si="34"/>
        <v>50.042284310087517</v>
      </c>
      <c r="X109" s="21">
        <f t="shared" si="37"/>
        <v>50.07833714448946</v>
      </c>
      <c r="Y109" s="22">
        <f t="shared" si="31"/>
        <v>9.7008712241753792E-4</v>
      </c>
      <c r="Z109" s="22">
        <f t="shared" si="31"/>
        <v>5.536921030532125E-4</v>
      </c>
      <c r="AA109" s="22">
        <f t="shared" si="31"/>
        <v>-1.6649591488849112E-4</v>
      </c>
      <c r="AC109" s="9">
        <f t="shared" si="32"/>
        <v>-1.2505212134016055E-3</v>
      </c>
      <c r="AD109" s="9">
        <f t="shared" si="32"/>
        <v>-1.3970663882939003E-3</v>
      </c>
      <c r="AE109" s="9"/>
      <c r="AF109" s="9"/>
      <c r="AH109">
        <f t="shared" si="38"/>
        <v>0</v>
      </c>
      <c r="AI109">
        <f t="shared" si="39"/>
        <v>0</v>
      </c>
      <c r="AJ109">
        <f t="shared" si="40"/>
        <v>0</v>
      </c>
      <c r="AK109">
        <f t="shared" si="36"/>
        <v>0</v>
      </c>
      <c r="AL109" s="9">
        <f t="shared" si="41"/>
        <v>0</v>
      </c>
      <c r="AM109" s="9">
        <f t="shared" si="42"/>
        <v>0</v>
      </c>
      <c r="AN109" s="9">
        <f t="shared" si="43"/>
        <v>0</v>
      </c>
      <c r="AO109" s="16">
        <f t="shared" si="44"/>
        <v>7.2675382115448706E-3</v>
      </c>
      <c r="AQ109" s="9"/>
      <c r="AS109">
        <f t="shared" si="45"/>
        <v>0</v>
      </c>
      <c r="AT109">
        <f t="shared" si="46"/>
        <v>1</v>
      </c>
      <c r="AU109">
        <f t="shared" si="47"/>
        <v>0</v>
      </c>
      <c r="AV109">
        <f t="shared" si="48"/>
        <v>0</v>
      </c>
      <c r="AW109" s="9">
        <f t="shared" si="49"/>
        <v>0</v>
      </c>
      <c r="AX109" s="9">
        <f t="shared" si="50"/>
        <v>0</v>
      </c>
      <c r="AY109" s="9">
        <f t="shared" si="51"/>
        <v>0</v>
      </c>
      <c r="AZ109" s="16">
        <f t="shared" si="52"/>
        <v>4.2302529398101692E-3</v>
      </c>
      <c r="BB109" s="16">
        <f t="shared" si="53"/>
        <v>0</v>
      </c>
      <c r="BC109" s="16">
        <f t="shared" si="54"/>
        <v>1.149779115135504E-2</v>
      </c>
    </row>
    <row r="110" spans="1:55" x14ac:dyDescent="0.3">
      <c r="A110" s="1">
        <v>46182</v>
      </c>
      <c r="B110" s="8">
        <v>47.99</v>
      </c>
      <c r="C110" s="8">
        <v>50.14</v>
      </c>
      <c r="D110" s="6">
        <v>1.0448010002083701</v>
      </c>
      <c r="E110" s="6">
        <v>1.0395631876754901</v>
      </c>
      <c r="F110" s="6">
        <v>1.04314789121644</v>
      </c>
      <c r="G110" s="6">
        <v>1.04284098422301</v>
      </c>
      <c r="H110" s="8">
        <v>49.888637376546797</v>
      </c>
      <c r="I110" s="8">
        <v>50.040691972916903</v>
      </c>
      <c r="J110" s="8">
        <v>50.039459883299998</v>
      </c>
      <c r="K110" s="13">
        <v>5.0258237868847401E-3</v>
      </c>
      <c r="L110" s="13">
        <v>1.9825788314252499E-3</v>
      </c>
      <c r="M110" s="13">
        <v>2.0072008887295802E-3</v>
      </c>
      <c r="N110" s="20">
        <v>0.22</v>
      </c>
      <c r="O110" s="4">
        <v>0</v>
      </c>
      <c r="P110" s="20">
        <f t="shared" si="55"/>
        <v>48.21</v>
      </c>
      <c r="Q110" s="20">
        <f t="shared" si="56"/>
        <v>50.14</v>
      </c>
      <c r="R110" s="19">
        <f t="shared" si="57"/>
        <v>1.0400331881352416</v>
      </c>
      <c r="S110" s="19">
        <f t="shared" si="29"/>
        <v>1.0384357751676798</v>
      </c>
      <c r="T110" s="19">
        <f t="shared" si="33"/>
        <v>1.0391068045931537</v>
      </c>
      <c r="U110" s="19">
        <f t="shared" si="35"/>
        <v>1.0396254214509946</v>
      </c>
      <c r="V110" s="21">
        <f t="shared" si="30"/>
        <v>50.062988720833843</v>
      </c>
      <c r="W110" s="21">
        <f t="shared" si="34"/>
        <v>50.086841531852151</v>
      </c>
      <c r="X110" s="21">
        <f t="shared" si="37"/>
        <v>50.119579871333983</v>
      </c>
      <c r="Y110" s="22">
        <f t="shared" si="31"/>
        <v>1.5371057353099485E-3</v>
      </c>
      <c r="Z110" s="22">
        <f t="shared" si="31"/>
        <v>1.0607632111309998E-3</v>
      </c>
      <c r="AA110" s="22">
        <f t="shared" si="31"/>
        <v>4.0734519284015637E-4</v>
      </c>
      <c r="AC110" s="9">
        <f t="shared" si="32"/>
        <v>8.3385454070701473E-4</v>
      </c>
      <c r="AD110" s="9">
        <f t="shared" si="32"/>
        <v>1.3970663882940249E-3</v>
      </c>
      <c r="AE110" s="9"/>
      <c r="AF110" s="9"/>
      <c r="AH110">
        <f t="shared" si="38"/>
        <v>0</v>
      </c>
      <c r="AI110">
        <f t="shared" si="39"/>
        <v>1</v>
      </c>
      <c r="AJ110">
        <f t="shared" si="40"/>
        <v>0</v>
      </c>
      <c r="AK110">
        <f t="shared" si="36"/>
        <v>0</v>
      </c>
      <c r="AL110" s="9">
        <f t="shared" si="41"/>
        <v>0</v>
      </c>
      <c r="AM110" s="9">
        <f t="shared" si="42"/>
        <v>0</v>
      </c>
      <c r="AN110" s="9">
        <f t="shared" si="43"/>
        <v>0</v>
      </c>
      <c r="AO110" s="16">
        <f t="shared" si="44"/>
        <v>7.2675382115448706E-3</v>
      </c>
      <c r="AQ110" s="9"/>
      <c r="AS110">
        <f t="shared" si="45"/>
        <v>0</v>
      </c>
      <c r="AT110">
        <f t="shared" si="46"/>
        <v>0</v>
      </c>
      <c r="AU110">
        <f t="shared" si="47"/>
        <v>0</v>
      </c>
      <c r="AV110">
        <f t="shared" si="48"/>
        <v>0</v>
      </c>
      <c r="AW110" s="9">
        <f t="shared" si="49"/>
        <v>0</v>
      </c>
      <c r="AX110" s="9">
        <f t="shared" si="50"/>
        <v>0</v>
      </c>
      <c r="AY110" s="9">
        <f t="shared" si="51"/>
        <v>0</v>
      </c>
      <c r="AZ110" s="16">
        <f t="shared" si="52"/>
        <v>4.2302529398101692E-3</v>
      </c>
      <c r="BB110" s="16">
        <f t="shared" si="53"/>
        <v>0</v>
      </c>
      <c r="BC110" s="16">
        <f t="shared" si="54"/>
        <v>1.149779115135504E-2</v>
      </c>
    </row>
    <row r="111" spans="1:55" x14ac:dyDescent="0.3">
      <c r="A111" s="1">
        <v>46183</v>
      </c>
      <c r="B111" s="8">
        <v>47.9</v>
      </c>
      <c r="C111" s="8">
        <v>50.08</v>
      </c>
      <c r="D111" s="6">
        <v>1.04551148225469</v>
      </c>
      <c r="E111" s="6">
        <v>1.0395631876754901</v>
      </c>
      <c r="F111" s="6">
        <v>1.0435928594336099</v>
      </c>
      <c r="G111" s="6">
        <v>1.0429517392602301</v>
      </c>
      <c r="H111" s="8">
        <v>49.795076689656</v>
      </c>
      <c r="I111" s="8">
        <v>49.966783989267697</v>
      </c>
      <c r="J111" s="8">
        <v>49.952083144282199</v>
      </c>
      <c r="K111" s="13">
        <v>5.7056093018649596E-3</v>
      </c>
      <c r="L111" s="13">
        <v>2.2632623367910601E-3</v>
      </c>
      <c r="M111" s="13">
        <v>2.55751797665722E-3</v>
      </c>
      <c r="N111" s="20">
        <v>0.22</v>
      </c>
      <c r="O111" s="4">
        <v>0</v>
      </c>
      <c r="P111" s="20">
        <f t="shared" si="55"/>
        <v>48.12</v>
      </c>
      <c r="Q111" s="20">
        <f t="shared" si="56"/>
        <v>50.08</v>
      </c>
      <c r="R111" s="19">
        <f t="shared" si="57"/>
        <v>1.0407315045719037</v>
      </c>
      <c r="S111" s="19">
        <f t="shared" si="29"/>
        <v>1.0384357751676798</v>
      </c>
      <c r="T111" s="19">
        <f t="shared" si="33"/>
        <v>1.0393107226894913</v>
      </c>
      <c r="U111" s="19">
        <f t="shared" si="35"/>
        <v>1.0396169215543809</v>
      </c>
      <c r="V111" s="21">
        <f t="shared" si="30"/>
        <v>49.969529501068749</v>
      </c>
      <c r="W111" s="21">
        <f t="shared" si="34"/>
        <v>50.001819437022554</v>
      </c>
      <c r="X111" s="21">
        <f t="shared" si="37"/>
        <v>50.026775280221855</v>
      </c>
      <c r="Y111" s="22">
        <f t="shared" si="31"/>
        <v>2.2083171080584684E-3</v>
      </c>
      <c r="Z111" s="22">
        <f t="shared" si="31"/>
        <v>1.5623332852999735E-3</v>
      </c>
      <c r="AA111" s="22">
        <f t="shared" si="31"/>
        <v>1.0633590912182893E-3</v>
      </c>
      <c r="AC111" s="9">
        <f t="shared" si="32"/>
        <v>-1.8771514532846321E-3</v>
      </c>
      <c r="AD111" s="9">
        <f t="shared" si="32"/>
        <v>-1.1973659383043454E-3</v>
      </c>
      <c r="AE111" s="9"/>
      <c r="AF111" s="9"/>
      <c r="AH111">
        <f t="shared" si="38"/>
        <v>0</v>
      </c>
      <c r="AI111">
        <f t="shared" si="39"/>
        <v>1</v>
      </c>
      <c r="AJ111">
        <f t="shared" si="40"/>
        <v>0</v>
      </c>
      <c r="AK111">
        <f t="shared" si="36"/>
        <v>0</v>
      </c>
      <c r="AL111" s="9">
        <f t="shared" si="41"/>
        <v>0</v>
      </c>
      <c r="AM111" s="9">
        <f t="shared" si="42"/>
        <v>0</v>
      </c>
      <c r="AN111" s="9">
        <f t="shared" si="43"/>
        <v>0</v>
      </c>
      <c r="AO111" s="16">
        <f t="shared" si="44"/>
        <v>7.2675382115448706E-3</v>
      </c>
      <c r="AQ111" s="9"/>
      <c r="AS111">
        <f t="shared" si="45"/>
        <v>1</v>
      </c>
      <c r="AT111">
        <f t="shared" si="46"/>
        <v>0</v>
      </c>
      <c r="AU111">
        <f t="shared" si="47"/>
        <v>0</v>
      </c>
      <c r="AV111">
        <f t="shared" si="48"/>
        <v>0</v>
      </c>
      <c r="AW111" s="9">
        <f t="shared" si="49"/>
        <v>0</v>
      </c>
      <c r="AX111" s="9">
        <f t="shared" si="50"/>
        <v>0</v>
      </c>
      <c r="AY111" s="9">
        <f t="shared" si="51"/>
        <v>0</v>
      </c>
      <c r="AZ111" s="16">
        <f t="shared" si="52"/>
        <v>4.2302529398101692E-3</v>
      </c>
      <c r="BB111" s="16">
        <f t="shared" si="53"/>
        <v>0</v>
      </c>
      <c r="BC111" s="16">
        <f t="shared" si="54"/>
        <v>1.149779115135504E-2</v>
      </c>
    </row>
    <row r="112" spans="1:55" x14ac:dyDescent="0.3">
      <c r="A112" s="1">
        <v>46184</v>
      </c>
      <c r="B112" s="8">
        <v>48.18</v>
      </c>
      <c r="C112" s="8">
        <v>50.31</v>
      </c>
      <c r="D112" s="6">
        <v>1.0442092154420901</v>
      </c>
      <c r="E112" s="6">
        <v>1.0395631876754901</v>
      </c>
      <c r="F112" s="6">
        <v>1.04393172544529</v>
      </c>
      <c r="G112" s="6">
        <v>1.04304320212002</v>
      </c>
      <c r="H112" s="8">
        <v>50.086154382205102</v>
      </c>
      <c r="I112" s="8">
        <v>50.280303967511799</v>
      </c>
      <c r="J112" s="8">
        <v>50.249414797558302</v>
      </c>
      <c r="K112" s="13">
        <v>4.45925424339348E-3</v>
      </c>
      <c r="L112" s="13">
        <v>5.9043530399312705E-4</v>
      </c>
      <c r="M112" s="13">
        <v>1.20496345158967E-3</v>
      </c>
      <c r="N112" s="20">
        <v>0.22</v>
      </c>
      <c r="O112" s="4">
        <v>0</v>
      </c>
      <c r="P112" s="20">
        <f t="shared" si="55"/>
        <v>48.4</v>
      </c>
      <c r="Q112" s="20">
        <f t="shared" si="56"/>
        <v>50.31</v>
      </c>
      <c r="R112" s="19">
        <f t="shared" si="57"/>
        <v>1.0394628099173555</v>
      </c>
      <c r="S112" s="19">
        <f t="shared" si="29"/>
        <v>1.0384357751676798</v>
      </c>
      <c r="T112" s="19">
        <f t="shared" si="33"/>
        <v>1.0394116449878221</v>
      </c>
      <c r="U112" s="19">
        <f t="shared" si="35"/>
        <v>1.0395904786301282</v>
      </c>
      <c r="V112" s="21">
        <f t="shared" si="30"/>
        <v>50.2602915181157</v>
      </c>
      <c r="W112" s="21">
        <f t="shared" si="34"/>
        <v>50.30263897817138</v>
      </c>
      <c r="X112" s="21">
        <f t="shared" si="37"/>
        <v>50.317459003232031</v>
      </c>
      <c r="Y112" s="22">
        <f t="shared" si="31"/>
        <v>9.8853220333474994E-4</v>
      </c>
      <c r="Z112" s="22">
        <f t="shared" si="31"/>
        <v>1.4632399898285324E-4</v>
      </c>
      <c r="AA112" s="22">
        <f t="shared" si="31"/>
        <v>-1.4824985783358917E-4</v>
      </c>
      <c r="AC112" s="9">
        <f t="shared" si="32"/>
        <v>5.828492769855708E-3</v>
      </c>
      <c r="AD112" s="9">
        <f t="shared" si="32"/>
        <v>4.5821377113841816E-3</v>
      </c>
      <c r="AE112" s="9"/>
      <c r="AF112" s="9"/>
      <c r="AH112">
        <f t="shared" si="38"/>
        <v>0</v>
      </c>
      <c r="AI112">
        <f t="shared" si="39"/>
        <v>0</v>
      </c>
      <c r="AJ112">
        <f t="shared" si="40"/>
        <v>0</v>
      </c>
      <c r="AK112">
        <f t="shared" si="36"/>
        <v>0</v>
      </c>
      <c r="AL112" s="9">
        <f t="shared" si="41"/>
        <v>0</v>
      </c>
      <c r="AM112" s="9">
        <f t="shared" si="42"/>
        <v>0</v>
      </c>
      <c r="AN112" s="9">
        <f t="shared" si="43"/>
        <v>0</v>
      </c>
      <c r="AO112" s="16">
        <f t="shared" si="44"/>
        <v>7.2675382115448706E-3</v>
      </c>
      <c r="AQ112" s="9"/>
      <c r="AS112">
        <f t="shared" si="45"/>
        <v>0</v>
      </c>
      <c r="AT112">
        <f t="shared" si="46"/>
        <v>1</v>
      </c>
      <c r="AU112">
        <f t="shared" si="47"/>
        <v>0</v>
      </c>
      <c r="AV112">
        <f t="shared" si="48"/>
        <v>1</v>
      </c>
      <c r="AW112" s="9">
        <f t="shared" si="49"/>
        <v>5.828492769855708E-3</v>
      </c>
      <c r="AX112" s="9">
        <f t="shared" si="50"/>
        <v>-4.5821377113841816E-3</v>
      </c>
      <c r="AY112" s="9">
        <f t="shared" si="51"/>
        <v>1.2463550584715264E-3</v>
      </c>
      <c r="AZ112" s="16">
        <f t="shared" si="52"/>
        <v>5.4766079982816957E-3</v>
      </c>
      <c r="BB112" s="16">
        <f t="shared" si="53"/>
        <v>1.2463550584715264E-3</v>
      </c>
      <c r="BC112" s="16">
        <f t="shared" si="54"/>
        <v>1.2744146209826567E-2</v>
      </c>
    </row>
    <row r="113" spans="1:55" x14ac:dyDescent="0.3">
      <c r="A113" s="1">
        <v>46185</v>
      </c>
      <c r="B113" s="8">
        <v>48.26</v>
      </c>
      <c r="C113" s="8">
        <v>50.32</v>
      </c>
      <c r="D113" s="6">
        <v>1.0426854537919601</v>
      </c>
      <c r="E113" s="6">
        <v>1.0395631876754901</v>
      </c>
      <c r="F113" s="6">
        <v>1.04418620088863</v>
      </c>
      <c r="G113" s="6">
        <v>1.04314495448442</v>
      </c>
      <c r="H113" s="8">
        <v>50.169319437219102</v>
      </c>
      <c r="I113" s="8">
        <v>50.38014506999</v>
      </c>
      <c r="J113" s="8">
        <v>50.337264934312401</v>
      </c>
      <c r="K113" s="13">
        <v>2.99893912219095E-3</v>
      </c>
      <c r="L113" s="13">
        <v>-1.1945380436158199E-3</v>
      </c>
      <c r="M113" s="13">
        <v>-3.4304398183425199E-4</v>
      </c>
      <c r="N113" s="20">
        <v>0.22</v>
      </c>
      <c r="O113" s="4">
        <v>0</v>
      </c>
      <c r="P113" s="20">
        <f t="shared" si="55"/>
        <v>48.48</v>
      </c>
      <c r="Q113" s="20">
        <f t="shared" si="56"/>
        <v>50.32</v>
      </c>
      <c r="R113" s="19">
        <f t="shared" si="57"/>
        <v>1.0379537953795381</v>
      </c>
      <c r="S113" s="19">
        <f t="shared" si="29"/>
        <v>1.0384357751676798</v>
      </c>
      <c r="T113" s="19">
        <f t="shared" si="33"/>
        <v>1.0394291549964614</v>
      </c>
      <c r="U113" s="19">
        <f t="shared" si="35"/>
        <v>1.0395746908616676</v>
      </c>
      <c r="V113" s="21">
        <f t="shared" si="30"/>
        <v>50.343366380129112</v>
      </c>
      <c r="W113" s="21">
        <f t="shared" si="34"/>
        <v>50.390676549009612</v>
      </c>
      <c r="X113" s="21">
        <f t="shared" si="37"/>
        <v>50.399346403988609</v>
      </c>
      <c r="Y113" s="22">
        <f t="shared" si="31"/>
        <v>-4.6424794618024704E-4</v>
      </c>
      <c r="Z113" s="22">
        <f t="shared" si="31"/>
        <v>-1.4035564655903994E-3</v>
      </c>
      <c r="AA113" s="22">
        <f t="shared" si="31"/>
        <v>-1.5755944262211459E-3</v>
      </c>
      <c r="AC113" s="9">
        <f t="shared" si="32"/>
        <v>1.6590630101602274E-3</v>
      </c>
      <c r="AD113" s="9">
        <f t="shared" si="32"/>
        <v>1.9874788895789952E-4</v>
      </c>
      <c r="AE113" s="9"/>
      <c r="AF113" s="9"/>
      <c r="AH113">
        <f t="shared" si="38"/>
        <v>1</v>
      </c>
      <c r="AI113">
        <f t="shared" si="39"/>
        <v>0</v>
      </c>
      <c r="AJ113">
        <f t="shared" si="40"/>
        <v>0</v>
      </c>
      <c r="AK113">
        <f t="shared" si="36"/>
        <v>0</v>
      </c>
      <c r="AL113" s="9">
        <f t="shared" si="41"/>
        <v>0</v>
      </c>
      <c r="AM113" s="9">
        <f t="shared" si="42"/>
        <v>0</v>
      </c>
      <c r="AN113" s="9">
        <f t="shared" si="43"/>
        <v>0</v>
      </c>
      <c r="AO113" s="16">
        <f t="shared" si="44"/>
        <v>7.2675382115448706E-3</v>
      </c>
      <c r="AQ113" s="9"/>
      <c r="AS113">
        <f t="shared" si="45"/>
        <v>0</v>
      </c>
      <c r="AT113">
        <f t="shared" si="46"/>
        <v>1</v>
      </c>
      <c r="AU113">
        <f t="shared" si="47"/>
        <v>1</v>
      </c>
      <c r="AV113">
        <f t="shared" si="48"/>
        <v>0</v>
      </c>
      <c r="AW113" s="9">
        <f t="shared" si="49"/>
        <v>0</v>
      </c>
      <c r="AX113" s="9">
        <f t="shared" si="50"/>
        <v>0</v>
      </c>
      <c r="AY113" s="9">
        <f t="shared" si="51"/>
        <v>0</v>
      </c>
      <c r="AZ113" s="16">
        <f t="shared" si="52"/>
        <v>5.4766079982816957E-3</v>
      </c>
      <c r="BB113" s="16">
        <f t="shared" si="53"/>
        <v>0</v>
      </c>
      <c r="BC113" s="16">
        <f t="shared" si="54"/>
        <v>1.2744146209826567E-2</v>
      </c>
    </row>
    <row r="114" spans="1:55" x14ac:dyDescent="0.3">
      <c r="A114" s="1">
        <v>46188</v>
      </c>
      <c r="B114" s="8">
        <v>48.27</v>
      </c>
      <c r="C114" s="8">
        <v>50.39</v>
      </c>
      <c r="D114" s="6">
        <v>1.0439196188108499</v>
      </c>
      <c r="E114" s="6">
        <v>1.0395631876754901</v>
      </c>
      <c r="F114" s="6">
        <v>1.04417159448869</v>
      </c>
      <c r="G114" s="6">
        <v>1.04312315110711</v>
      </c>
      <c r="H114" s="8">
        <v>50.179715069095899</v>
      </c>
      <c r="I114" s="8">
        <v>50.402867916894401</v>
      </c>
      <c r="J114" s="8">
        <v>50.352606952963001</v>
      </c>
      <c r="K114" s="13">
        <v>4.1818799469965596E-3</v>
      </c>
      <c r="L114" s="13">
        <v>-2.5533387888004898E-4</v>
      </c>
      <c r="M114" s="13">
        <v>7.4234824539828903E-4</v>
      </c>
      <c r="N114" s="20">
        <v>0.22</v>
      </c>
      <c r="O114" s="4">
        <v>0</v>
      </c>
      <c r="P114" s="20">
        <f t="shared" si="55"/>
        <v>48.49</v>
      </c>
      <c r="Q114" s="20">
        <f t="shared" si="56"/>
        <v>50.39</v>
      </c>
      <c r="R114" s="19">
        <f t="shared" si="57"/>
        <v>1.0391833367704681</v>
      </c>
      <c r="S114" s="19">
        <f t="shared" si="29"/>
        <v>1.0384357751676798</v>
      </c>
      <c r="T114" s="19">
        <f t="shared" si="33"/>
        <v>1.039416183066225</v>
      </c>
      <c r="U114" s="19">
        <f t="shared" si="35"/>
        <v>1.0394365422639493</v>
      </c>
      <c r="V114" s="21">
        <f t="shared" si="30"/>
        <v>50.353750737880794</v>
      </c>
      <c r="W114" s="21">
        <f t="shared" si="34"/>
        <v>50.401919725778413</v>
      </c>
      <c r="X114" s="21">
        <f t="shared" si="37"/>
        <v>50.408976759882265</v>
      </c>
      <c r="Y114" s="22">
        <f t="shared" si="31"/>
        <v>7.1963299793932861E-4</v>
      </c>
      <c r="Z114" s="22">
        <f t="shared" si="31"/>
        <v>-2.3652145660903875E-4</v>
      </c>
      <c r="AA114" s="22">
        <f t="shared" si="31"/>
        <v>-3.7652684018152539E-4</v>
      </c>
      <c r="AC114" s="9">
        <f t="shared" si="32"/>
        <v>2.0718947551602148E-4</v>
      </c>
      <c r="AD114" s="9">
        <f t="shared" si="32"/>
        <v>1.3901303003216276E-3</v>
      </c>
      <c r="AE114" s="9"/>
      <c r="AF114" s="9"/>
      <c r="AH114">
        <f t="shared" si="38"/>
        <v>0</v>
      </c>
      <c r="AI114">
        <f t="shared" si="39"/>
        <v>0</v>
      </c>
      <c r="AJ114">
        <f t="shared" si="40"/>
        <v>1</v>
      </c>
      <c r="AK114">
        <f t="shared" si="36"/>
        <v>1</v>
      </c>
      <c r="AL114" s="9">
        <f t="shared" si="41"/>
        <v>-2.0718947551602148E-4</v>
      </c>
      <c r="AM114" s="9">
        <f t="shared" si="42"/>
        <v>1.3901303003216276E-3</v>
      </c>
      <c r="AN114" s="9">
        <f t="shared" si="43"/>
        <v>1.1829408248056061E-3</v>
      </c>
      <c r="AO114" s="16">
        <f t="shared" si="44"/>
        <v>8.4504790363504768E-3</v>
      </c>
      <c r="AQ114" s="9"/>
      <c r="AS114">
        <f t="shared" si="45"/>
        <v>0</v>
      </c>
      <c r="AT114">
        <f t="shared" si="46"/>
        <v>1</v>
      </c>
      <c r="AU114">
        <f t="shared" si="47"/>
        <v>0</v>
      </c>
      <c r="AV114">
        <f t="shared" si="48"/>
        <v>0</v>
      </c>
      <c r="AW114" s="9">
        <f t="shared" si="49"/>
        <v>0</v>
      </c>
      <c r="AX114" s="9">
        <f t="shared" si="50"/>
        <v>0</v>
      </c>
      <c r="AY114" s="9">
        <f t="shared" si="51"/>
        <v>0</v>
      </c>
      <c r="AZ114" s="16">
        <f t="shared" si="52"/>
        <v>5.4766079982816957E-3</v>
      </c>
      <c r="BB114" s="16">
        <f t="shared" si="53"/>
        <v>1.1829408248056061E-3</v>
      </c>
      <c r="BC114" s="16">
        <f t="shared" si="54"/>
        <v>1.3927087034632173E-2</v>
      </c>
    </row>
    <row r="115" spans="1:55" x14ac:dyDescent="0.3">
      <c r="A115" s="1">
        <v>46189</v>
      </c>
      <c r="B115" s="8">
        <v>48.33</v>
      </c>
      <c r="C115" s="8">
        <v>50.46</v>
      </c>
      <c r="D115" s="6">
        <v>1.0440720049658501</v>
      </c>
      <c r="E115" s="6">
        <v>1.0395631876754901</v>
      </c>
      <c r="F115" s="6">
        <v>1.0442841891761501</v>
      </c>
      <c r="G115" s="6">
        <v>1.0431359756740599</v>
      </c>
      <c r="H115" s="8">
        <v>50.242088860356397</v>
      </c>
      <c r="I115" s="8">
        <v>50.464813161638702</v>
      </c>
      <c r="J115" s="8">
        <v>50.414141893006899</v>
      </c>
      <c r="K115" s="13">
        <v>4.3278442828106204E-3</v>
      </c>
      <c r="L115" s="13">
        <v>-9.5381135553052399E-5</v>
      </c>
      <c r="M115" s="13">
        <v>9.0921437925704698E-4</v>
      </c>
      <c r="N115" s="20">
        <v>0.22</v>
      </c>
      <c r="O115" s="4">
        <v>0</v>
      </c>
      <c r="P115" s="20">
        <f t="shared" si="55"/>
        <v>48.55</v>
      </c>
      <c r="Q115" s="20">
        <f t="shared" si="56"/>
        <v>50.46</v>
      </c>
      <c r="R115" s="19">
        <f t="shared" si="57"/>
        <v>1.0393408856848609</v>
      </c>
      <c r="S115" s="19">
        <f t="shared" si="29"/>
        <v>1.0384357751676798</v>
      </c>
      <c r="T115" s="19">
        <f t="shared" si="33"/>
        <v>1.0395295364013366</v>
      </c>
      <c r="U115" s="19">
        <f t="shared" si="35"/>
        <v>1.0393328900411856</v>
      </c>
      <c r="V115" s="21">
        <f t="shared" si="30"/>
        <v>50.416056884390855</v>
      </c>
      <c r="W115" s="21">
        <f t="shared" si="34"/>
        <v>50.46365568786522</v>
      </c>
      <c r="X115" s="21">
        <f t="shared" si="37"/>
        <v>50.464644126914735</v>
      </c>
      <c r="Y115" s="22">
        <f t="shared" si="31"/>
        <v>8.7122989827133769E-4</v>
      </c>
      <c r="Z115" s="22">
        <f t="shared" si="31"/>
        <v>-7.2444618497009941E-5</v>
      </c>
      <c r="AA115" s="22">
        <f t="shared" si="31"/>
        <v>-9.2031573818055057E-5</v>
      </c>
      <c r="AC115" s="9">
        <f t="shared" si="32"/>
        <v>1.2422361845911183E-3</v>
      </c>
      <c r="AD115" s="9">
        <f t="shared" si="32"/>
        <v>1.3882005204049449E-3</v>
      </c>
      <c r="AE115" s="9"/>
      <c r="AF115" s="9"/>
      <c r="AH115">
        <f t="shared" si="38"/>
        <v>0</v>
      </c>
      <c r="AI115">
        <f t="shared" si="39"/>
        <v>0</v>
      </c>
      <c r="AJ115">
        <f t="shared" si="40"/>
        <v>1</v>
      </c>
      <c r="AK115">
        <f t="shared" si="36"/>
        <v>1</v>
      </c>
      <c r="AL115" s="9">
        <f t="shared" si="41"/>
        <v>-1.2422361845911183E-3</v>
      </c>
      <c r="AM115" s="9">
        <f t="shared" si="42"/>
        <v>1.3882005204049449E-3</v>
      </c>
      <c r="AN115" s="9">
        <f t="shared" si="43"/>
        <v>1.4596433581382656E-4</v>
      </c>
      <c r="AO115" s="16">
        <f t="shared" si="44"/>
        <v>8.5964433721643033E-3</v>
      </c>
      <c r="AQ115" s="9"/>
      <c r="AS115">
        <f t="shared" si="45"/>
        <v>0</v>
      </c>
      <c r="AT115">
        <f t="shared" si="46"/>
        <v>1</v>
      </c>
      <c r="AU115">
        <f t="shared" si="47"/>
        <v>0</v>
      </c>
      <c r="AV115">
        <f t="shared" si="48"/>
        <v>0</v>
      </c>
      <c r="AW115" s="9">
        <f t="shared" si="49"/>
        <v>0</v>
      </c>
      <c r="AX115" s="9">
        <f t="shared" si="50"/>
        <v>0</v>
      </c>
      <c r="AY115" s="9">
        <f t="shared" si="51"/>
        <v>0</v>
      </c>
      <c r="AZ115" s="16">
        <f t="shared" si="52"/>
        <v>5.4766079982816957E-3</v>
      </c>
      <c r="BB115" s="16">
        <f t="shared" si="53"/>
        <v>1.4596433581382656E-4</v>
      </c>
      <c r="BC115" s="16">
        <f t="shared" si="54"/>
        <v>1.4073051370446E-2</v>
      </c>
    </row>
    <row r="116" spans="1:55" x14ac:dyDescent="0.3">
      <c r="A116" s="1">
        <v>46190</v>
      </c>
      <c r="B116" s="8">
        <v>48.31</v>
      </c>
      <c r="C116" s="8">
        <v>50.43</v>
      </c>
      <c r="D116" s="6">
        <v>1.0438832539846801</v>
      </c>
      <c r="E116" s="6">
        <v>1.0395631876754901</v>
      </c>
      <c r="F116" s="6">
        <v>1.04421696595917</v>
      </c>
      <c r="G116" s="6">
        <v>1.04313429891123</v>
      </c>
      <c r="H116" s="8">
        <v>50.221297596602902</v>
      </c>
      <c r="I116" s="8">
        <v>50.449369179100003</v>
      </c>
      <c r="J116" s="8">
        <v>50.3938989848142</v>
      </c>
      <c r="K116" s="13">
        <v>4.1470444492100501E-3</v>
      </c>
      <c r="L116" s="13">
        <v>-3.8400674975866498E-4</v>
      </c>
      <c r="M116" s="13">
        <v>7.1612022728857901E-4</v>
      </c>
      <c r="N116" s="20">
        <v>0.22</v>
      </c>
      <c r="O116" s="4">
        <v>0</v>
      </c>
      <c r="P116" s="20">
        <f t="shared" si="55"/>
        <v>48.53</v>
      </c>
      <c r="Q116" s="20">
        <f t="shared" si="56"/>
        <v>50.43</v>
      </c>
      <c r="R116" s="19">
        <f t="shared" si="57"/>
        <v>1.0391510405934474</v>
      </c>
      <c r="S116" s="19">
        <f t="shared" si="29"/>
        <v>1.0384357751676798</v>
      </c>
      <c r="T116" s="19">
        <f t="shared" si="33"/>
        <v>1.0394653658492823</v>
      </c>
      <c r="U116" s="19">
        <f t="shared" si="35"/>
        <v>1.0392149703727447</v>
      </c>
      <c r="V116" s="21">
        <f t="shared" si="30"/>
        <v>50.395288168887504</v>
      </c>
      <c r="W116" s="21">
        <f t="shared" si="34"/>
        <v>50.44836840155687</v>
      </c>
      <c r="X116" s="21">
        <f t="shared" si="37"/>
        <v>50.438825153698737</v>
      </c>
      <c r="Y116" s="22">
        <f t="shared" si="31"/>
        <v>6.8855409420267926E-4</v>
      </c>
      <c r="Z116" s="22">
        <f t="shared" si="31"/>
        <v>-3.6416928725000461E-4</v>
      </c>
      <c r="AA116" s="22">
        <f t="shared" si="31"/>
        <v>-1.749827800177062E-4</v>
      </c>
      <c r="AC116" s="9">
        <f t="shared" si="32"/>
        <v>-4.1390729067732773E-4</v>
      </c>
      <c r="AD116" s="9">
        <f t="shared" si="32"/>
        <v>-5.9470712427777642E-4</v>
      </c>
      <c r="AE116" s="9"/>
      <c r="AF116" s="9"/>
      <c r="AH116">
        <f t="shared" si="38"/>
        <v>0</v>
      </c>
      <c r="AI116">
        <f t="shared" si="39"/>
        <v>0</v>
      </c>
      <c r="AJ116">
        <f t="shared" si="40"/>
        <v>1</v>
      </c>
      <c r="AK116">
        <f t="shared" si="36"/>
        <v>1</v>
      </c>
      <c r="AL116" s="9">
        <f t="shared" si="41"/>
        <v>4.1390729067732773E-4</v>
      </c>
      <c r="AM116" s="9">
        <f t="shared" si="42"/>
        <v>-5.9470712427777642E-4</v>
      </c>
      <c r="AN116" s="9">
        <f t="shared" si="43"/>
        <v>-1.8079983360044869E-4</v>
      </c>
      <c r="AO116" s="16">
        <f t="shared" si="44"/>
        <v>8.4156435385638554E-3</v>
      </c>
      <c r="AQ116" s="9"/>
      <c r="AS116">
        <f t="shared" si="45"/>
        <v>0</v>
      </c>
      <c r="AT116">
        <f t="shared" si="46"/>
        <v>1</v>
      </c>
      <c r="AU116">
        <f t="shared" si="47"/>
        <v>0</v>
      </c>
      <c r="AV116">
        <f t="shared" si="48"/>
        <v>0</v>
      </c>
      <c r="AW116" s="9">
        <f t="shared" si="49"/>
        <v>0</v>
      </c>
      <c r="AX116" s="9">
        <f t="shared" si="50"/>
        <v>0</v>
      </c>
      <c r="AY116" s="9">
        <f t="shared" si="51"/>
        <v>0</v>
      </c>
      <c r="AZ116" s="16">
        <f t="shared" si="52"/>
        <v>5.4766079982816957E-3</v>
      </c>
      <c r="BB116" s="16">
        <f t="shared" si="53"/>
        <v>-1.8079983360044869E-4</v>
      </c>
      <c r="BC116" s="16">
        <f t="shared" si="54"/>
        <v>1.3892251536845552E-2</v>
      </c>
    </row>
    <row r="117" spans="1:55" x14ac:dyDescent="0.3">
      <c r="A117" s="1">
        <v>46191</v>
      </c>
      <c r="B117" s="8">
        <v>48.35</v>
      </c>
      <c r="C117" s="8">
        <v>50.53</v>
      </c>
      <c r="D117" s="6">
        <v>1.04508790072388</v>
      </c>
      <c r="E117" s="6">
        <v>1.0395631876754901</v>
      </c>
      <c r="F117" s="6">
        <v>1.0442748408901299</v>
      </c>
      <c r="G117" s="6">
        <v>1.04324971231136</v>
      </c>
      <c r="H117" s="8">
        <v>50.262880124109898</v>
      </c>
      <c r="I117" s="8">
        <v>50.487890304126097</v>
      </c>
      <c r="J117" s="8">
        <v>50.435543352358003</v>
      </c>
      <c r="K117" s="13">
        <v>5.3003843314054101E-3</v>
      </c>
      <c r="L117" s="13">
        <v>8.33707736049645E-4</v>
      </c>
      <c r="M117" s="13">
        <v>1.8710675357680099E-3</v>
      </c>
      <c r="N117" s="20">
        <v>0.22</v>
      </c>
      <c r="O117" s="4">
        <v>0</v>
      </c>
      <c r="P117" s="20">
        <f t="shared" si="55"/>
        <v>48.57</v>
      </c>
      <c r="Q117" s="20">
        <f t="shared" si="56"/>
        <v>50.53</v>
      </c>
      <c r="R117" s="19">
        <f t="shared" si="57"/>
        <v>1.0403541280625901</v>
      </c>
      <c r="S117" s="19">
        <f t="shared" si="29"/>
        <v>1.0384357751676798</v>
      </c>
      <c r="T117" s="19">
        <f t="shared" si="33"/>
        <v>1.0395256233760379</v>
      </c>
      <c r="U117" s="19">
        <f t="shared" si="35"/>
        <v>1.0392131056744789</v>
      </c>
      <c r="V117" s="21">
        <f t="shared" si="30"/>
        <v>50.436825599894206</v>
      </c>
      <c r="W117" s="21">
        <f t="shared" si="34"/>
        <v>50.486832819299643</v>
      </c>
      <c r="X117" s="21">
        <f t="shared" si="37"/>
        <v>50.474671111004213</v>
      </c>
      <c r="Y117" s="22">
        <f t="shared" si="31"/>
        <v>1.8456443688574238E-3</v>
      </c>
      <c r="Z117" s="22">
        <f t="shared" si="31"/>
        <v>8.5465327160155844E-4</v>
      </c>
      <c r="AA117" s="22">
        <f t="shared" si="31"/>
        <v>1.095571005209075E-3</v>
      </c>
      <c r="AC117" s="9">
        <f t="shared" si="32"/>
        <v>8.2764333298801604E-4</v>
      </c>
      <c r="AD117" s="9">
        <f t="shared" si="32"/>
        <v>1.9809832151832861E-3</v>
      </c>
      <c r="AE117" s="9"/>
      <c r="AF117" s="9"/>
      <c r="AH117">
        <f t="shared" si="38"/>
        <v>0</v>
      </c>
      <c r="AI117">
        <f t="shared" si="39"/>
        <v>1</v>
      </c>
      <c r="AJ117">
        <f t="shared" si="40"/>
        <v>1</v>
      </c>
      <c r="AK117">
        <f t="shared" si="36"/>
        <v>1</v>
      </c>
      <c r="AL117" s="9">
        <f t="shared" si="41"/>
        <v>-8.2764333298801604E-4</v>
      </c>
      <c r="AM117" s="9">
        <f t="shared" si="42"/>
        <v>1.9809832151832861E-3</v>
      </c>
      <c r="AN117" s="9">
        <f t="shared" si="43"/>
        <v>1.1533398821952701E-3</v>
      </c>
      <c r="AO117" s="16">
        <f t="shared" si="44"/>
        <v>9.5689834207591251E-3</v>
      </c>
      <c r="AQ117" s="9"/>
      <c r="AS117">
        <f t="shared" si="45"/>
        <v>1</v>
      </c>
      <c r="AT117">
        <f t="shared" si="46"/>
        <v>0</v>
      </c>
      <c r="AU117">
        <f t="shared" si="47"/>
        <v>0</v>
      </c>
      <c r="AV117">
        <f t="shared" si="48"/>
        <v>0</v>
      </c>
      <c r="AW117" s="9">
        <f t="shared" si="49"/>
        <v>0</v>
      </c>
      <c r="AX117" s="9">
        <f t="shared" si="50"/>
        <v>0</v>
      </c>
      <c r="AY117" s="9">
        <f t="shared" si="51"/>
        <v>0</v>
      </c>
      <c r="AZ117" s="16">
        <f t="shared" si="52"/>
        <v>5.4766079982816957E-3</v>
      </c>
      <c r="BB117" s="16">
        <f t="shared" si="53"/>
        <v>1.1533398821952701E-3</v>
      </c>
      <c r="BC117" s="16">
        <f t="shared" si="54"/>
        <v>1.5045591419040822E-2</v>
      </c>
    </row>
    <row r="118" spans="1:55" x14ac:dyDescent="0.3">
      <c r="A118" s="1">
        <v>46195</v>
      </c>
      <c r="B118" s="8">
        <v>48.27</v>
      </c>
      <c r="C118" s="8">
        <v>50.45</v>
      </c>
      <c r="D118" s="6">
        <v>1.0451626268904</v>
      </c>
      <c r="E118" s="6">
        <v>1.0395631876754901</v>
      </c>
      <c r="F118" s="6">
        <v>1.04435452786578</v>
      </c>
      <c r="G118" s="6">
        <v>1.0433923788788899</v>
      </c>
      <c r="H118" s="8">
        <v>50.179715069095899</v>
      </c>
      <c r="I118" s="8">
        <v>50.407146569766702</v>
      </c>
      <c r="J118" s="8">
        <v>50.357663613269501</v>
      </c>
      <c r="K118" s="13">
        <v>5.3718840541079798E-3</v>
      </c>
      <c r="L118" s="13">
        <v>8.4978475536138197E-4</v>
      </c>
      <c r="M118" s="13">
        <v>1.83193239966115E-3</v>
      </c>
      <c r="N118" s="20">
        <v>0.22</v>
      </c>
      <c r="O118" s="4">
        <v>0</v>
      </c>
      <c r="P118" s="20">
        <f t="shared" si="55"/>
        <v>48.49</v>
      </c>
      <c r="Q118" s="20">
        <f t="shared" si="56"/>
        <v>50.45</v>
      </c>
      <c r="R118" s="19">
        <f t="shared" si="57"/>
        <v>1.0404207053000618</v>
      </c>
      <c r="S118" s="19">
        <f t="shared" si="29"/>
        <v>1.0384357751676798</v>
      </c>
      <c r="T118" s="19">
        <f t="shared" si="33"/>
        <v>1.0396075031534004</v>
      </c>
      <c r="U118" s="19">
        <f t="shared" si="35"/>
        <v>1.0392378839213909</v>
      </c>
      <c r="V118" s="21">
        <f t="shared" si="30"/>
        <v>50.353750737880794</v>
      </c>
      <c r="W118" s="21">
        <f t="shared" si="34"/>
        <v>50.406597477504079</v>
      </c>
      <c r="X118" s="21">
        <f t="shared" si="37"/>
        <v>50.391443494155482</v>
      </c>
      <c r="Y118" s="22">
        <f t="shared" si="31"/>
        <v>1.9096371050506156E-3</v>
      </c>
      <c r="Z118" s="22">
        <f t="shared" si="31"/>
        <v>8.6067795782745235E-4</v>
      </c>
      <c r="AA118" s="22">
        <f t="shared" si="31"/>
        <v>1.1613580765418427E-3</v>
      </c>
      <c r="AC118" s="9">
        <f t="shared" si="32"/>
        <v>-1.6559722269017796E-3</v>
      </c>
      <c r="AD118" s="9">
        <f t="shared" si="32"/>
        <v>-1.5844725041991752E-3</v>
      </c>
      <c r="AE118" s="9"/>
      <c r="AF118" s="9"/>
      <c r="AH118">
        <f t="shared" si="38"/>
        <v>0</v>
      </c>
      <c r="AI118">
        <f t="shared" si="39"/>
        <v>1</v>
      </c>
      <c r="AJ118">
        <f t="shared" si="40"/>
        <v>0</v>
      </c>
      <c r="AK118">
        <f t="shared" si="36"/>
        <v>0</v>
      </c>
      <c r="AL118" s="9">
        <f t="shared" si="41"/>
        <v>0</v>
      </c>
      <c r="AM118" s="9">
        <f t="shared" si="42"/>
        <v>0</v>
      </c>
      <c r="AN118" s="9">
        <f t="shared" si="43"/>
        <v>0</v>
      </c>
      <c r="AO118" s="16">
        <f t="shared" si="44"/>
        <v>9.5689834207591251E-3</v>
      </c>
      <c r="AQ118" s="9"/>
      <c r="AS118">
        <f t="shared" si="45"/>
        <v>1</v>
      </c>
      <c r="AT118">
        <f t="shared" si="46"/>
        <v>0</v>
      </c>
      <c r="AU118">
        <f t="shared" si="47"/>
        <v>0</v>
      </c>
      <c r="AV118">
        <f t="shared" si="48"/>
        <v>1</v>
      </c>
      <c r="AW118" s="9">
        <f t="shared" si="49"/>
        <v>-1.6559722269017796E-3</v>
      </c>
      <c r="AX118" s="9">
        <f t="shared" si="50"/>
        <v>1.5844725041991752E-3</v>
      </c>
      <c r="AY118" s="9">
        <f t="shared" si="51"/>
        <v>-7.14997227026044E-5</v>
      </c>
      <c r="AZ118" s="16">
        <f t="shared" si="52"/>
        <v>5.4051082755790913E-3</v>
      </c>
      <c r="BB118" s="16">
        <f t="shared" si="53"/>
        <v>-7.14997227026044E-5</v>
      </c>
      <c r="BC118" s="16">
        <f t="shared" si="54"/>
        <v>1.4974091696338218E-2</v>
      </c>
    </row>
    <row r="119" spans="1:55" x14ac:dyDescent="0.3">
      <c r="A119" s="1">
        <v>46196</v>
      </c>
      <c r="B119" s="8">
        <v>48.38</v>
      </c>
      <c r="C119" s="8">
        <v>50.46</v>
      </c>
      <c r="D119" s="6">
        <v>1.0429929723025999</v>
      </c>
      <c r="E119" s="6">
        <v>1.0395631876754901</v>
      </c>
      <c r="F119" s="6">
        <v>1.04423255293754</v>
      </c>
      <c r="G119" s="6">
        <v>1.04348210240039</v>
      </c>
      <c r="H119" s="8">
        <v>50.294067019740197</v>
      </c>
      <c r="I119" s="8">
        <v>50.525872058146398</v>
      </c>
      <c r="J119" s="8">
        <v>50.479323290160899</v>
      </c>
      <c r="K119" s="13">
        <v>3.2938249579218802E-3</v>
      </c>
      <c r="L119" s="13">
        <v>-1.3045798614482499E-3</v>
      </c>
      <c r="M119" s="13">
        <v>-3.8286942624796898E-4</v>
      </c>
      <c r="N119" s="20">
        <v>0.22</v>
      </c>
      <c r="O119" s="4">
        <v>0</v>
      </c>
      <c r="P119" s="20">
        <f t="shared" si="55"/>
        <v>48.6</v>
      </c>
      <c r="Q119" s="20">
        <f t="shared" si="56"/>
        <v>50.46</v>
      </c>
      <c r="R119" s="19">
        <f t="shared" si="57"/>
        <v>1.0382716049382716</v>
      </c>
      <c r="S119" s="19">
        <f t="shared" si="29"/>
        <v>1.0384357751676798</v>
      </c>
      <c r="T119" s="19">
        <f t="shared" si="33"/>
        <v>1.0394902999353737</v>
      </c>
      <c r="U119" s="19">
        <f t="shared" si="35"/>
        <v>1.039210422025892</v>
      </c>
      <c r="V119" s="21">
        <f t="shared" si="30"/>
        <v>50.46797867314924</v>
      </c>
      <c r="W119" s="21">
        <f t="shared" si="34"/>
        <v>50.524924653255262</v>
      </c>
      <c r="X119" s="21">
        <f t="shared" si="37"/>
        <v>50.5069611585796</v>
      </c>
      <c r="Y119" s="22">
        <f t="shared" si="31"/>
        <v>-1.5810627084290117E-4</v>
      </c>
      <c r="Z119" s="22">
        <f t="shared" si="31"/>
        <v>-1.2858287991694025E-3</v>
      </c>
      <c r="AA119" s="22">
        <f t="shared" si="31"/>
        <v>-9.30228293039964E-4</v>
      </c>
      <c r="AC119" s="9">
        <f t="shared" si="32"/>
        <v>2.2762555094796061E-3</v>
      </c>
      <c r="AD119" s="9">
        <f t="shared" si="32"/>
        <v>1.9819641329375044E-4</v>
      </c>
      <c r="AE119" s="9"/>
      <c r="AF119" s="9"/>
      <c r="AH119">
        <f t="shared" si="38"/>
        <v>0</v>
      </c>
      <c r="AI119">
        <f t="shared" si="39"/>
        <v>0</v>
      </c>
      <c r="AJ119">
        <f t="shared" si="40"/>
        <v>0</v>
      </c>
      <c r="AK119">
        <f t="shared" si="36"/>
        <v>0</v>
      </c>
      <c r="AL119" s="9">
        <f t="shared" si="41"/>
        <v>0</v>
      </c>
      <c r="AM119" s="9">
        <f t="shared" si="42"/>
        <v>0</v>
      </c>
      <c r="AN119" s="9">
        <f t="shared" si="43"/>
        <v>0</v>
      </c>
      <c r="AO119" s="16">
        <f t="shared" si="44"/>
        <v>9.5689834207591251E-3</v>
      </c>
      <c r="AQ119" s="9"/>
      <c r="AS119">
        <f t="shared" si="45"/>
        <v>0</v>
      </c>
      <c r="AT119">
        <f t="shared" si="46"/>
        <v>1</v>
      </c>
      <c r="AU119">
        <f t="shared" si="47"/>
        <v>1</v>
      </c>
      <c r="AV119">
        <f t="shared" si="48"/>
        <v>1</v>
      </c>
      <c r="AW119" s="9">
        <f t="shared" si="49"/>
        <v>2.2762555094796061E-3</v>
      </c>
      <c r="AX119" s="9">
        <f t="shared" si="50"/>
        <v>-1.9819641329375044E-4</v>
      </c>
      <c r="AY119" s="9">
        <f t="shared" si="51"/>
        <v>2.0780590961858554E-3</v>
      </c>
      <c r="AZ119" s="16">
        <f t="shared" si="52"/>
        <v>7.4831673717649467E-3</v>
      </c>
      <c r="BB119" s="16">
        <f t="shared" si="53"/>
        <v>2.0780590961858554E-3</v>
      </c>
      <c r="BC119" s="16">
        <f t="shared" si="54"/>
        <v>1.7052150792524073E-2</v>
      </c>
    </row>
    <row r="120" spans="1:55" x14ac:dyDescent="0.3">
      <c r="A120" s="1">
        <v>46197</v>
      </c>
      <c r="B120" s="8">
        <v>48.5</v>
      </c>
      <c r="C120" s="8">
        <v>50.58</v>
      </c>
      <c r="D120" s="6">
        <v>1.0428865979381401</v>
      </c>
      <c r="E120" s="6">
        <v>1.0395631876754901</v>
      </c>
      <c r="F120" s="6">
        <v>1.04404111271051</v>
      </c>
      <c r="G120" s="6">
        <v>1.04359450196348</v>
      </c>
      <c r="H120" s="8">
        <v>50.4188146022613</v>
      </c>
      <c r="I120" s="8">
        <v>50.645278817470803</v>
      </c>
      <c r="J120" s="8">
        <v>50.608881966418998</v>
      </c>
      <c r="K120" s="13">
        <v>3.19183022527318E-3</v>
      </c>
      <c r="L120" s="13">
        <v>-1.2897732124379599E-3</v>
      </c>
      <c r="M120" s="13">
        <v>-5.7085258068033102E-4</v>
      </c>
      <c r="N120" s="20">
        <v>0.22</v>
      </c>
      <c r="O120" s="4">
        <v>0</v>
      </c>
      <c r="P120" s="20">
        <f t="shared" si="55"/>
        <v>48.72</v>
      </c>
      <c r="Q120" s="20">
        <f t="shared" si="56"/>
        <v>50.58</v>
      </c>
      <c r="R120" s="19">
        <f t="shared" si="57"/>
        <v>1.0381773399014778</v>
      </c>
      <c r="S120" s="19">
        <f t="shared" si="29"/>
        <v>1.0384357751676798</v>
      </c>
      <c r="T120" s="19">
        <f t="shared" si="33"/>
        <v>1.0393047151119972</v>
      </c>
      <c r="U120" s="19">
        <f t="shared" si="35"/>
        <v>1.0392057598525755</v>
      </c>
      <c r="V120" s="21">
        <f t="shared" si="30"/>
        <v>50.592590966169361</v>
      </c>
      <c r="W120" s="21">
        <f t="shared" si="34"/>
        <v>50.643967412851403</v>
      </c>
      <c r="X120" s="21">
        <f t="shared" si="37"/>
        <v>50.630331761101459</v>
      </c>
      <c r="Y120" s="22">
        <f t="shared" si="31"/>
        <v>-2.4890073712903037E-4</v>
      </c>
      <c r="Z120" s="22">
        <f t="shared" si="31"/>
        <v>-1.2638789607125991E-3</v>
      </c>
      <c r="AA120" s="22">
        <f t="shared" si="31"/>
        <v>-9.9459737706186573E-4</v>
      </c>
      <c r="AC120" s="9">
        <f t="shared" si="32"/>
        <v>2.4772927615561912E-3</v>
      </c>
      <c r="AD120" s="9">
        <f t="shared" si="32"/>
        <v>2.3752980289072616E-3</v>
      </c>
      <c r="AE120" s="9"/>
      <c r="AF120" s="9"/>
      <c r="AH120">
        <f t="shared" si="38"/>
        <v>0</v>
      </c>
      <c r="AI120">
        <f t="shared" si="39"/>
        <v>0</v>
      </c>
      <c r="AJ120">
        <f t="shared" si="40"/>
        <v>0</v>
      </c>
      <c r="AK120">
        <f t="shared" si="36"/>
        <v>0</v>
      </c>
      <c r="AL120" s="9">
        <f t="shared" si="41"/>
        <v>0</v>
      </c>
      <c r="AM120" s="9">
        <f t="shared" si="42"/>
        <v>0</v>
      </c>
      <c r="AN120" s="9">
        <f t="shared" si="43"/>
        <v>0</v>
      </c>
      <c r="AO120" s="16">
        <f t="shared" si="44"/>
        <v>9.5689834207591251E-3</v>
      </c>
      <c r="AQ120" s="9"/>
      <c r="AS120">
        <f t="shared" si="45"/>
        <v>0</v>
      </c>
      <c r="AT120">
        <f t="shared" si="46"/>
        <v>1</v>
      </c>
      <c r="AU120">
        <f t="shared" si="47"/>
        <v>1</v>
      </c>
      <c r="AV120">
        <f t="shared" si="48"/>
        <v>0</v>
      </c>
      <c r="AW120" s="9">
        <f t="shared" si="49"/>
        <v>0</v>
      </c>
      <c r="AX120" s="9">
        <f t="shared" si="50"/>
        <v>0</v>
      </c>
      <c r="AY120" s="9">
        <f t="shared" si="51"/>
        <v>0</v>
      </c>
      <c r="AZ120" s="16">
        <f t="shared" si="52"/>
        <v>7.4831673717649467E-3</v>
      </c>
      <c r="BB120" s="16">
        <f t="shared" si="53"/>
        <v>0</v>
      </c>
      <c r="BC120" s="16">
        <f t="shared" si="54"/>
        <v>1.7052150792524073E-2</v>
      </c>
    </row>
    <row r="121" spans="1:55" x14ac:dyDescent="0.3">
      <c r="A121" s="1">
        <v>46198</v>
      </c>
      <c r="B121" s="8">
        <v>48.49</v>
      </c>
      <c r="C121" s="8">
        <v>50.6</v>
      </c>
      <c r="D121" s="6">
        <v>1.04351412662404</v>
      </c>
      <c r="E121" s="6">
        <v>1.0395631876754901</v>
      </c>
      <c r="F121" s="6">
        <v>1.04384137714745</v>
      </c>
      <c r="G121" s="6">
        <v>1.04371711829053</v>
      </c>
      <c r="H121" s="8">
        <v>50.408418970384503</v>
      </c>
      <c r="I121" s="8">
        <v>50.625553555332999</v>
      </c>
      <c r="J121" s="8">
        <v>50.603897400209199</v>
      </c>
      <c r="K121" s="13">
        <v>3.7933721030504099E-3</v>
      </c>
      <c r="L121" s="13">
        <v>-5.0488349983529395E-4</v>
      </c>
      <c r="M121" s="13">
        <v>-7.7020753376104195E-5</v>
      </c>
      <c r="N121" s="20">
        <v>0.22</v>
      </c>
      <c r="O121" s="4">
        <v>0</v>
      </c>
      <c r="P121" s="20">
        <f t="shared" si="55"/>
        <v>48.71</v>
      </c>
      <c r="Q121" s="20">
        <f t="shared" si="56"/>
        <v>50.6</v>
      </c>
      <c r="R121" s="19">
        <f t="shared" si="57"/>
        <v>1.0388010675425992</v>
      </c>
      <c r="S121" s="19">
        <f t="shared" si="29"/>
        <v>1.0384357751676798</v>
      </c>
      <c r="T121" s="19">
        <f t="shared" si="33"/>
        <v>1.0391116714090669</v>
      </c>
      <c r="U121" s="19">
        <f t="shared" si="35"/>
        <v>1.0392111970492792</v>
      </c>
      <c r="V121" s="21">
        <f t="shared" si="30"/>
        <v>50.582206608417685</v>
      </c>
      <c r="W121" s="21">
        <f t="shared" si="34"/>
        <v>50.624532673105385</v>
      </c>
      <c r="X121" s="21">
        <f t="shared" si="37"/>
        <v>50.619712562418954</v>
      </c>
      <c r="Y121" s="22">
        <f t="shared" si="31"/>
        <v>3.517098976620311E-4</v>
      </c>
      <c r="Z121" s="22">
        <f t="shared" si="31"/>
        <v>-4.8471794214038981E-4</v>
      </c>
      <c r="AA121" s="22">
        <f t="shared" si="31"/>
        <v>-3.8950046723387977E-4</v>
      </c>
      <c r="AC121" s="9">
        <f t="shared" si="32"/>
        <v>-2.0620682617653599E-4</v>
      </c>
      <c r="AD121" s="9">
        <f t="shared" si="32"/>
        <v>3.9533505160080671E-4</v>
      </c>
      <c r="AE121" s="9"/>
      <c r="AF121" s="9"/>
      <c r="AH121">
        <f t="shared" si="38"/>
        <v>0</v>
      </c>
      <c r="AI121">
        <f t="shared" si="39"/>
        <v>0</v>
      </c>
      <c r="AJ121">
        <f t="shared" si="40"/>
        <v>0</v>
      </c>
      <c r="AK121">
        <f t="shared" si="36"/>
        <v>0</v>
      </c>
      <c r="AL121" s="9">
        <f t="shared" si="41"/>
        <v>0</v>
      </c>
      <c r="AM121" s="9">
        <f t="shared" si="42"/>
        <v>0</v>
      </c>
      <c r="AN121" s="9">
        <f t="shared" si="43"/>
        <v>0</v>
      </c>
      <c r="AO121" s="16">
        <f t="shared" si="44"/>
        <v>9.5689834207591251E-3</v>
      </c>
      <c r="AQ121" s="9"/>
      <c r="AS121">
        <f t="shared" si="45"/>
        <v>0</v>
      </c>
      <c r="AT121">
        <f t="shared" si="46"/>
        <v>1</v>
      </c>
      <c r="AU121">
        <f t="shared" si="47"/>
        <v>0</v>
      </c>
      <c r="AV121">
        <f t="shared" si="48"/>
        <v>0</v>
      </c>
      <c r="AW121" s="9">
        <f t="shared" si="49"/>
        <v>0</v>
      </c>
      <c r="AX121" s="9">
        <f t="shared" si="50"/>
        <v>0</v>
      </c>
      <c r="AY121" s="9">
        <f t="shared" si="51"/>
        <v>0</v>
      </c>
      <c r="AZ121" s="16">
        <f t="shared" si="52"/>
        <v>7.4831673717649467E-3</v>
      </c>
      <c r="BB121" s="16">
        <f t="shared" si="53"/>
        <v>0</v>
      </c>
      <c r="BC121" s="16">
        <f t="shared" si="54"/>
        <v>1.7052150792524073E-2</v>
      </c>
    </row>
    <row r="122" spans="1:55" x14ac:dyDescent="0.3">
      <c r="A122" s="1">
        <v>46199</v>
      </c>
      <c r="B122" s="8">
        <v>48.51</v>
      </c>
      <c r="C122" s="8">
        <v>50.6</v>
      </c>
      <c r="D122" s="6">
        <v>1.04308390022675</v>
      </c>
      <c r="E122" s="6">
        <v>1.0395631876754901</v>
      </c>
      <c r="F122" s="6">
        <v>1.0437288456259199</v>
      </c>
      <c r="G122" s="6">
        <v>1.0438302855356001</v>
      </c>
      <c r="H122" s="8">
        <v>50.429210234137997</v>
      </c>
      <c r="I122" s="8">
        <v>50.636745205422898</v>
      </c>
      <c r="J122" s="8">
        <v>50.630717408273902</v>
      </c>
      <c r="K122" s="13">
        <v>3.38100096318618E-3</v>
      </c>
      <c r="L122" s="13">
        <v>-7.2592628224186302E-4</v>
      </c>
      <c r="M122" s="13">
        <v>-6.0687921617375701E-4</v>
      </c>
      <c r="N122" s="20">
        <v>0.22</v>
      </c>
      <c r="O122" s="4">
        <v>0</v>
      </c>
      <c r="P122" s="20">
        <f t="shared" si="55"/>
        <v>48.73</v>
      </c>
      <c r="Q122" s="20">
        <f t="shared" si="56"/>
        <v>50.6</v>
      </c>
      <c r="R122" s="19">
        <f t="shared" si="57"/>
        <v>1.0383747178329572</v>
      </c>
      <c r="S122" s="19">
        <f t="shared" si="29"/>
        <v>1.0384357751676798</v>
      </c>
      <c r="T122" s="19">
        <f t="shared" si="33"/>
        <v>1.0390028622006271</v>
      </c>
      <c r="U122" s="19">
        <f t="shared" si="35"/>
        <v>1.0392072535942247</v>
      </c>
      <c r="V122" s="21">
        <f t="shared" si="30"/>
        <v>50.602975323921036</v>
      </c>
      <c r="W122" s="21">
        <f t="shared" si="34"/>
        <v>50.635911747763828</v>
      </c>
      <c r="X122" s="21">
        <f t="shared" si="37"/>
        <v>50.640761632211373</v>
      </c>
      <c r="Y122" s="22">
        <f t="shared" si="31"/>
        <v>-5.8799139301344355E-5</v>
      </c>
      <c r="Z122" s="22">
        <f t="shared" si="31"/>
        <v>-7.0946660429412284E-4</v>
      </c>
      <c r="AA122" s="22">
        <f t="shared" si="31"/>
        <v>-8.0524155995560418E-4</v>
      </c>
      <c r="AC122" s="9">
        <f t="shared" si="32"/>
        <v>4.123711398640892E-4</v>
      </c>
      <c r="AD122" s="9">
        <f t="shared" si="32"/>
        <v>0</v>
      </c>
      <c r="AE122" s="9"/>
      <c r="AF122" s="9"/>
      <c r="AH122">
        <f t="shared" si="38"/>
        <v>0</v>
      </c>
      <c r="AI122">
        <f t="shared" si="39"/>
        <v>0</v>
      </c>
      <c r="AJ122">
        <f t="shared" si="40"/>
        <v>0</v>
      </c>
      <c r="AK122">
        <f t="shared" si="36"/>
        <v>0</v>
      </c>
      <c r="AL122" s="9">
        <f t="shared" si="41"/>
        <v>0</v>
      </c>
      <c r="AM122" s="9">
        <f t="shared" si="42"/>
        <v>0</v>
      </c>
      <c r="AN122" s="9">
        <f t="shared" si="43"/>
        <v>0</v>
      </c>
      <c r="AO122" s="16">
        <f t="shared" si="44"/>
        <v>9.5689834207591251E-3</v>
      </c>
      <c r="AQ122" s="9"/>
      <c r="AS122">
        <f t="shared" si="45"/>
        <v>0</v>
      </c>
      <c r="AT122">
        <f t="shared" si="46"/>
        <v>1</v>
      </c>
      <c r="AU122">
        <f t="shared" si="47"/>
        <v>0</v>
      </c>
      <c r="AV122">
        <f t="shared" si="48"/>
        <v>0</v>
      </c>
      <c r="AW122" s="9">
        <f t="shared" si="49"/>
        <v>0</v>
      </c>
      <c r="AX122" s="9">
        <f t="shared" si="50"/>
        <v>0</v>
      </c>
      <c r="AY122" s="9">
        <f t="shared" si="51"/>
        <v>0</v>
      </c>
      <c r="AZ122" s="16">
        <f t="shared" si="52"/>
        <v>7.4831673717649467E-3</v>
      </c>
      <c r="BB122" s="16">
        <f t="shared" si="53"/>
        <v>0</v>
      </c>
      <c r="BC122" s="16">
        <f t="shared" si="54"/>
        <v>1.7052150792524073E-2</v>
      </c>
    </row>
    <row r="123" spans="1:55" x14ac:dyDescent="0.3">
      <c r="A123" s="1">
        <v>46202</v>
      </c>
      <c r="B123" s="8">
        <v>48.52</v>
      </c>
      <c r="C123" s="8">
        <v>50.61</v>
      </c>
      <c r="D123" s="6">
        <v>1.0430750206100501</v>
      </c>
      <c r="E123" s="6">
        <v>1.0395631876754901</v>
      </c>
      <c r="F123" s="6">
        <v>1.0437678023077299</v>
      </c>
      <c r="G123" s="6">
        <v>1.04397700159818</v>
      </c>
      <c r="H123" s="8">
        <v>50.439605866014801</v>
      </c>
      <c r="I123" s="8">
        <v>50.641723589769597</v>
      </c>
      <c r="J123" s="8">
        <v>50.646645454187698</v>
      </c>
      <c r="K123" s="13">
        <v>3.37248807702875E-3</v>
      </c>
      <c r="L123" s="13">
        <v>-6.2662816361043299E-4</v>
      </c>
      <c r="M123" s="13">
        <v>-7.2381334821561695E-4</v>
      </c>
      <c r="N123" s="20">
        <v>0.22</v>
      </c>
      <c r="O123" s="4">
        <v>0</v>
      </c>
      <c r="P123" s="20">
        <f t="shared" si="55"/>
        <v>48.74</v>
      </c>
      <c r="Q123" s="20">
        <f t="shared" si="56"/>
        <v>50.61</v>
      </c>
      <c r="R123" s="19">
        <f t="shared" si="57"/>
        <v>1.0383668444809191</v>
      </c>
      <c r="S123" s="19">
        <f t="shared" si="29"/>
        <v>1.0384357751676798</v>
      </c>
      <c r="T123" s="19">
        <f t="shared" si="33"/>
        <v>1.0390441671107653</v>
      </c>
      <c r="U123" s="19">
        <f t="shared" si="35"/>
        <v>1.0392366610536135</v>
      </c>
      <c r="V123" s="21">
        <f t="shared" si="30"/>
        <v>50.613359681672719</v>
      </c>
      <c r="W123" s="21">
        <f t="shared" si="34"/>
        <v>50.64099950365857</v>
      </c>
      <c r="X123" s="21">
        <f t="shared" si="37"/>
        <v>50.650961540182514</v>
      </c>
      <c r="Y123" s="22">
        <f t="shared" si="31"/>
        <v>-6.6381548380070899E-5</v>
      </c>
      <c r="Z123" s="22">
        <f t="shared" si="31"/>
        <v>-6.1232984916958935E-4</v>
      </c>
      <c r="AA123" s="22">
        <f t="shared" si="31"/>
        <v>-8.0902930001247814E-4</v>
      </c>
      <c r="AC123" s="9">
        <f t="shared" si="32"/>
        <v>2.061218187243271E-4</v>
      </c>
      <c r="AD123" s="9">
        <f t="shared" si="32"/>
        <v>1.9760893256665153E-4</v>
      </c>
      <c r="AE123" s="9"/>
      <c r="AF123" s="9"/>
      <c r="AH123">
        <f t="shared" si="38"/>
        <v>0</v>
      </c>
      <c r="AI123">
        <f t="shared" si="39"/>
        <v>0</v>
      </c>
      <c r="AJ123">
        <f t="shared" si="40"/>
        <v>0</v>
      </c>
      <c r="AK123">
        <f t="shared" si="36"/>
        <v>0</v>
      </c>
      <c r="AL123" s="9">
        <f t="shared" si="41"/>
        <v>0</v>
      </c>
      <c r="AM123" s="9">
        <f t="shared" si="42"/>
        <v>0</v>
      </c>
      <c r="AN123" s="9">
        <f t="shared" si="43"/>
        <v>0</v>
      </c>
      <c r="AO123" s="16">
        <f t="shared" si="44"/>
        <v>9.5689834207591251E-3</v>
      </c>
      <c r="AQ123" s="9"/>
      <c r="AS123">
        <f t="shared" si="45"/>
        <v>0</v>
      </c>
      <c r="AT123">
        <f t="shared" si="46"/>
        <v>1</v>
      </c>
      <c r="AU123">
        <f t="shared" si="47"/>
        <v>0</v>
      </c>
      <c r="AV123">
        <f t="shared" si="48"/>
        <v>0</v>
      </c>
      <c r="AW123" s="9">
        <f t="shared" si="49"/>
        <v>0</v>
      </c>
      <c r="AX123" s="9">
        <f t="shared" si="50"/>
        <v>0</v>
      </c>
      <c r="AY123" s="9">
        <f t="shared" si="51"/>
        <v>0</v>
      </c>
      <c r="AZ123" s="16">
        <f t="shared" si="52"/>
        <v>7.4831673717649467E-3</v>
      </c>
      <c r="BB123" s="16">
        <f t="shared" si="53"/>
        <v>0</v>
      </c>
      <c r="BC123" s="16">
        <f t="shared" si="54"/>
        <v>1.7052150792524073E-2</v>
      </c>
    </row>
    <row r="124" spans="1:55" x14ac:dyDescent="0.3">
      <c r="A124" s="1">
        <v>46203</v>
      </c>
      <c r="B124" s="8">
        <v>48.43</v>
      </c>
      <c r="C124" s="8">
        <v>50.6</v>
      </c>
      <c r="D124" s="6">
        <v>1.0448069378484399</v>
      </c>
      <c r="E124" s="6">
        <v>1.0395631876754901</v>
      </c>
      <c r="F124" s="6">
        <v>1.0438565342114801</v>
      </c>
      <c r="G124" s="6">
        <v>1.0440140643500899</v>
      </c>
      <c r="H124" s="8">
        <v>50.346045179123998</v>
      </c>
      <c r="I124" s="8">
        <v>50.549674665763298</v>
      </c>
      <c r="J124" s="8">
        <v>50.5598061873999</v>
      </c>
      <c r="K124" s="13">
        <v>5.0315068051737201E-3</v>
      </c>
      <c r="L124" s="13">
        <v>9.950667375928379E-4</v>
      </c>
      <c r="M124" s="13">
        <v>7.9465978099446796E-4</v>
      </c>
      <c r="N124" s="20">
        <v>0.22</v>
      </c>
      <c r="O124" s="4">
        <v>0</v>
      </c>
      <c r="P124" s="20">
        <f t="shared" si="55"/>
        <v>48.65</v>
      </c>
      <c r="Q124" s="20">
        <f t="shared" si="56"/>
        <v>50.6</v>
      </c>
      <c r="R124" s="19">
        <f t="shared" si="57"/>
        <v>1.0400822199383351</v>
      </c>
      <c r="S124" s="19">
        <f t="shared" si="29"/>
        <v>1.0384357751676798</v>
      </c>
      <c r="T124" s="19">
        <f t="shared" si="33"/>
        <v>1.0391340554275519</v>
      </c>
      <c r="U124" s="19">
        <f t="shared" si="35"/>
        <v>1.0392751192468885</v>
      </c>
      <c r="V124" s="21">
        <f t="shared" si="30"/>
        <v>50.519900461907625</v>
      </c>
      <c r="W124" s="21">
        <f t="shared" si="34"/>
        <v>50.549498729938733</v>
      </c>
      <c r="X124" s="21">
        <f t="shared" si="37"/>
        <v>50.558863560258295</v>
      </c>
      <c r="Y124" s="22">
        <f t="shared" si="31"/>
        <v>1.5842490840992489E-3</v>
      </c>
      <c r="Z124" s="22">
        <f t="shared" si="31"/>
        <v>9.9854719779339735E-4</v>
      </c>
      <c r="AA124" s="22">
        <f t="shared" si="31"/>
        <v>8.1330375928395822E-4</v>
      </c>
      <c r="AC124" s="9">
        <f t="shared" si="32"/>
        <v>-1.8566276607117301E-3</v>
      </c>
      <c r="AD124" s="9">
        <f t="shared" si="32"/>
        <v>-1.9760893256676296E-4</v>
      </c>
      <c r="AE124" s="9"/>
      <c r="AF124" s="9"/>
      <c r="AH124">
        <f t="shared" si="38"/>
        <v>0</v>
      </c>
      <c r="AI124">
        <f t="shared" si="39"/>
        <v>1</v>
      </c>
      <c r="AJ124">
        <f t="shared" si="40"/>
        <v>0</v>
      </c>
      <c r="AK124">
        <f t="shared" si="36"/>
        <v>0</v>
      </c>
      <c r="AL124" s="9">
        <f t="shared" si="41"/>
        <v>0</v>
      </c>
      <c r="AM124" s="9">
        <f t="shared" si="42"/>
        <v>0</v>
      </c>
      <c r="AN124" s="9">
        <f t="shared" si="43"/>
        <v>0</v>
      </c>
      <c r="AO124" s="16">
        <f t="shared" si="44"/>
        <v>9.5689834207591251E-3</v>
      </c>
      <c r="AQ124" s="9"/>
      <c r="AS124">
        <f t="shared" si="45"/>
        <v>0</v>
      </c>
      <c r="AT124">
        <f t="shared" si="46"/>
        <v>0</v>
      </c>
      <c r="AU124">
        <f t="shared" si="47"/>
        <v>0</v>
      </c>
      <c r="AV124">
        <f t="shared" si="48"/>
        <v>0</v>
      </c>
      <c r="AW124" s="9">
        <f t="shared" si="49"/>
        <v>0</v>
      </c>
      <c r="AX124" s="9">
        <f t="shared" si="50"/>
        <v>0</v>
      </c>
      <c r="AY124" s="9">
        <f t="shared" si="51"/>
        <v>0</v>
      </c>
      <c r="AZ124" s="16">
        <f t="shared" si="52"/>
        <v>7.4831673717649467E-3</v>
      </c>
      <c r="BB124" s="16">
        <f t="shared" si="53"/>
        <v>0</v>
      </c>
      <c r="BC124" s="16">
        <f t="shared" si="54"/>
        <v>1.7052150792524073E-2</v>
      </c>
    </row>
    <row r="125" spans="1:55" x14ac:dyDescent="0.3">
      <c r="A125" s="1">
        <v>46204</v>
      </c>
      <c r="B125" s="8">
        <v>48.27</v>
      </c>
      <c r="C125" s="8">
        <v>50.16</v>
      </c>
      <c r="D125" s="6">
        <v>1.0391547545058999</v>
      </c>
      <c r="E125" s="6">
        <v>1.0395631876754901</v>
      </c>
      <c r="F125" s="6">
        <v>1.0433648091654899</v>
      </c>
      <c r="G125" s="6">
        <v>1.0438244991708201</v>
      </c>
      <c r="H125" s="8">
        <v>50.179715069095899</v>
      </c>
      <c r="I125" s="8">
        <v>50.386954906388503</v>
      </c>
      <c r="J125" s="8">
        <v>50.394558886178999</v>
      </c>
      <c r="K125" s="13">
        <v>-3.9296642084487898E-4</v>
      </c>
      <c r="L125" s="13">
        <v>-4.5144140276267997E-3</v>
      </c>
      <c r="M125" s="13">
        <v>-4.6653143171485499E-3</v>
      </c>
      <c r="N125" s="4">
        <v>0</v>
      </c>
      <c r="O125" s="20">
        <v>0.1</v>
      </c>
      <c r="P125" s="20">
        <f t="shared" si="55"/>
        <v>48.27</v>
      </c>
      <c r="Q125" s="20">
        <f t="shared" si="56"/>
        <v>50.26</v>
      </c>
      <c r="R125" s="19">
        <f t="shared" si="57"/>
        <v>1.0412264346384916</v>
      </c>
      <c r="S125" s="19">
        <f t="shared" si="29"/>
        <v>1.0384357751676798</v>
      </c>
      <c r="T125" s="19">
        <f t="shared" si="33"/>
        <v>1.0393226103229154</v>
      </c>
      <c r="U125" s="19">
        <f t="shared" si="35"/>
        <v>1.0394260733621259</v>
      </c>
      <c r="V125" s="21">
        <f t="shared" si="30"/>
        <v>50.125294867343911</v>
      </c>
      <c r="W125" s="21">
        <f t="shared" si="34"/>
        <v>50.159000855487932</v>
      </c>
      <c r="X125" s="21">
        <f t="shared" si="37"/>
        <v>50.165810006047316</v>
      </c>
      <c r="Y125" s="22">
        <f t="shared" si="31"/>
        <v>6.9212807495704835E-4</v>
      </c>
      <c r="Z125" s="22">
        <f t="shared" si="31"/>
        <v>1.9919347353578365E-5</v>
      </c>
      <c r="AA125" s="22">
        <f t="shared" si="31"/>
        <v>-1.1582275893839468E-4</v>
      </c>
      <c r="AC125" s="9">
        <f t="shared" si="32"/>
        <v>-3.3092067427361524E-3</v>
      </c>
      <c r="AD125" s="9">
        <f t="shared" si="32"/>
        <v>-8.7336799687546662E-3</v>
      </c>
      <c r="AE125" s="9"/>
      <c r="AF125" s="9"/>
      <c r="AH125">
        <f t="shared" si="38"/>
        <v>0</v>
      </c>
      <c r="AI125">
        <f t="shared" si="39"/>
        <v>0</v>
      </c>
      <c r="AJ125">
        <f t="shared" si="40"/>
        <v>0</v>
      </c>
      <c r="AK125">
        <f t="shared" si="36"/>
        <v>0</v>
      </c>
      <c r="AL125" s="9">
        <f t="shared" si="41"/>
        <v>0</v>
      </c>
      <c r="AM125" s="9">
        <f t="shared" si="42"/>
        <v>0</v>
      </c>
      <c r="AN125" s="9">
        <f t="shared" si="43"/>
        <v>0</v>
      </c>
      <c r="AO125" s="16">
        <f t="shared" si="44"/>
        <v>9.5689834207591251E-3</v>
      </c>
      <c r="AQ125" s="9"/>
      <c r="AS125">
        <f t="shared" si="45"/>
        <v>0</v>
      </c>
      <c r="AT125">
        <f t="shared" si="46"/>
        <v>1</v>
      </c>
      <c r="AU125">
        <f t="shared" si="47"/>
        <v>0</v>
      </c>
      <c r="AV125">
        <f t="shared" si="48"/>
        <v>0</v>
      </c>
      <c r="AW125" s="9">
        <f t="shared" si="49"/>
        <v>0</v>
      </c>
      <c r="AX125" s="9">
        <f t="shared" si="50"/>
        <v>0</v>
      </c>
      <c r="AY125" s="9">
        <f t="shared" si="51"/>
        <v>0</v>
      </c>
      <c r="AZ125" s="16">
        <f t="shared" si="52"/>
        <v>7.4831673717649467E-3</v>
      </c>
      <c r="BB125" s="16">
        <f t="shared" si="53"/>
        <v>0</v>
      </c>
      <c r="BC125" s="16">
        <f t="shared" si="54"/>
        <v>1.7052150792524073E-2</v>
      </c>
    </row>
    <row r="126" spans="1:55" x14ac:dyDescent="0.3">
      <c r="A126" s="1">
        <v>46205</v>
      </c>
      <c r="B126" s="8">
        <v>48.24</v>
      </c>
      <c r="C126" s="8">
        <v>50.13</v>
      </c>
      <c r="D126" s="6">
        <v>1.03917910447761</v>
      </c>
      <c r="E126" s="6">
        <v>1.0395631876754901</v>
      </c>
      <c r="F126" s="6">
        <v>1.0428943942147799</v>
      </c>
      <c r="G126" s="6">
        <v>1.0435556800869801</v>
      </c>
      <c r="H126" s="8">
        <v>50.1485281734656</v>
      </c>
      <c r="I126" s="8">
        <v>50.331918394143401</v>
      </c>
      <c r="J126" s="8">
        <v>50.354093840000502</v>
      </c>
      <c r="K126" s="13">
        <v>-3.6953421662635902E-4</v>
      </c>
      <c r="L126" s="13">
        <v>-4.0198051016361496E-3</v>
      </c>
      <c r="M126" s="13">
        <v>-4.4602922303574903E-3</v>
      </c>
      <c r="N126" s="4">
        <v>0</v>
      </c>
      <c r="O126" s="20">
        <v>0.1</v>
      </c>
      <c r="P126" s="20">
        <f t="shared" si="55"/>
        <v>48.24</v>
      </c>
      <c r="Q126" s="20">
        <f t="shared" si="56"/>
        <v>50.230000000000004</v>
      </c>
      <c r="R126" s="19">
        <f t="shared" si="57"/>
        <v>1.0412520729684909</v>
      </c>
      <c r="S126" s="19">
        <f t="shared" si="29"/>
        <v>1.0384357751676798</v>
      </c>
      <c r="T126" s="19">
        <f t="shared" si="33"/>
        <v>1.0395327135604195</v>
      </c>
      <c r="U126" s="19">
        <f t="shared" si="35"/>
        <v>1.0394990397048507</v>
      </c>
      <c r="V126" s="21">
        <f t="shared" si="30"/>
        <v>50.094141794088877</v>
      </c>
      <c r="W126" s="21">
        <f t="shared" si="34"/>
        <v>50.136922721977442</v>
      </c>
      <c r="X126" s="21">
        <f t="shared" si="37"/>
        <v>50.141913778988958</v>
      </c>
      <c r="Y126" s="22">
        <f t="shared" si="31"/>
        <v>7.1556027917546124E-4</v>
      </c>
      <c r="Z126" s="22">
        <f t="shared" si="31"/>
        <v>-1.3808585723995565E-4</v>
      </c>
      <c r="AA126" s="22">
        <f t="shared" si="31"/>
        <v>-2.3762943372710775E-4</v>
      </c>
      <c r="AC126" s="9">
        <f t="shared" si="32"/>
        <v>-6.2169725347150425E-4</v>
      </c>
      <c r="AD126" s="9">
        <f t="shared" si="32"/>
        <v>-5.9826504925312497E-4</v>
      </c>
      <c r="AE126" s="9"/>
      <c r="AF126" s="9"/>
      <c r="AH126">
        <f t="shared" si="38"/>
        <v>0</v>
      </c>
      <c r="AI126">
        <f t="shared" si="39"/>
        <v>0</v>
      </c>
      <c r="AJ126">
        <f t="shared" si="40"/>
        <v>0</v>
      </c>
      <c r="AK126">
        <f t="shared" si="36"/>
        <v>0</v>
      </c>
      <c r="AL126" s="9">
        <f t="shared" si="41"/>
        <v>0</v>
      </c>
      <c r="AM126" s="9">
        <f t="shared" si="42"/>
        <v>0</v>
      </c>
      <c r="AN126" s="9">
        <f t="shared" si="43"/>
        <v>0</v>
      </c>
      <c r="AO126" s="16">
        <f t="shared" si="44"/>
        <v>9.5689834207591251E-3</v>
      </c>
      <c r="AQ126" s="9"/>
      <c r="AS126">
        <f t="shared" si="45"/>
        <v>0</v>
      </c>
      <c r="AT126">
        <f t="shared" si="46"/>
        <v>1</v>
      </c>
      <c r="AU126">
        <f t="shared" si="47"/>
        <v>0</v>
      </c>
      <c r="AV126">
        <f t="shared" si="48"/>
        <v>0</v>
      </c>
      <c r="AW126" s="9">
        <f t="shared" si="49"/>
        <v>0</v>
      </c>
      <c r="AX126" s="9">
        <f t="shared" si="50"/>
        <v>0</v>
      </c>
      <c r="AY126" s="9">
        <f t="shared" si="51"/>
        <v>0</v>
      </c>
      <c r="AZ126" s="16">
        <f t="shared" si="52"/>
        <v>7.4831673717649467E-3</v>
      </c>
      <c r="BB126" s="16">
        <f t="shared" si="53"/>
        <v>0</v>
      </c>
      <c r="BC126" s="16">
        <f t="shared" si="54"/>
        <v>1.7052150792524073E-2</v>
      </c>
    </row>
    <row r="127" spans="1:55" x14ac:dyDescent="0.3">
      <c r="A127" s="1">
        <v>46209</v>
      </c>
      <c r="B127" s="8">
        <v>48.22</v>
      </c>
      <c r="C127" s="8">
        <v>50.11</v>
      </c>
      <c r="D127" s="6">
        <v>1.03919535462463</v>
      </c>
      <c r="E127" s="6">
        <v>1.0395631876754901</v>
      </c>
      <c r="F127" s="6">
        <v>1.0423051396048599</v>
      </c>
      <c r="G127" s="6">
        <v>1.0432899902474899</v>
      </c>
      <c r="H127" s="8">
        <v>50.127736909712098</v>
      </c>
      <c r="I127" s="8">
        <v>50.288367689036903</v>
      </c>
      <c r="J127" s="8">
        <v>50.3202548937942</v>
      </c>
      <c r="K127" s="13">
        <v>-3.5389685450020597E-4</v>
      </c>
      <c r="L127" s="13">
        <v>-3.5532027223946498E-3</v>
      </c>
      <c r="M127" s="13">
        <v>-4.1870888646819296E-3</v>
      </c>
      <c r="N127" s="4">
        <v>0</v>
      </c>
      <c r="O127" s="20">
        <v>0.1</v>
      </c>
      <c r="P127" s="20">
        <f t="shared" si="55"/>
        <v>48.22</v>
      </c>
      <c r="Q127" s="20">
        <f t="shared" si="56"/>
        <v>50.21</v>
      </c>
      <c r="R127" s="19">
        <f t="shared" si="57"/>
        <v>1.0412691829116549</v>
      </c>
      <c r="S127" s="19">
        <f t="shared" si="29"/>
        <v>1.0384357751676798</v>
      </c>
      <c r="T127" s="19">
        <f t="shared" si="33"/>
        <v>1.0396242190453258</v>
      </c>
      <c r="U127" s="19">
        <f t="shared" si="35"/>
        <v>1.0395749212106817</v>
      </c>
      <c r="V127" s="21">
        <f t="shared" si="30"/>
        <v>50.073373078585519</v>
      </c>
      <c r="W127" s="21">
        <f t="shared" si="34"/>
        <v>50.126267447883428</v>
      </c>
      <c r="X127" s="21">
        <f t="shared" si="37"/>
        <v>50.124643694567901</v>
      </c>
      <c r="Y127" s="22">
        <f t="shared" si="31"/>
        <v>7.3119764130189153E-4</v>
      </c>
      <c r="Z127" s="22">
        <f t="shared" si="31"/>
        <v>-3.2458207873131928E-4</v>
      </c>
      <c r="AA127" s="22">
        <f t="shared" si="31"/>
        <v>-2.9218829203819563E-4</v>
      </c>
      <c r="AC127" s="9">
        <f t="shared" si="32"/>
        <v>-4.1467966590509299E-4</v>
      </c>
      <c r="AD127" s="9">
        <f t="shared" si="32"/>
        <v>-3.9904230377883922E-4</v>
      </c>
      <c r="AE127" s="9"/>
      <c r="AF127" s="9"/>
      <c r="AH127">
        <f t="shared" si="38"/>
        <v>0</v>
      </c>
      <c r="AI127">
        <f t="shared" si="39"/>
        <v>0</v>
      </c>
      <c r="AJ127">
        <f t="shared" si="40"/>
        <v>0</v>
      </c>
      <c r="AK127">
        <f t="shared" si="36"/>
        <v>0</v>
      </c>
      <c r="AL127" s="9">
        <f t="shared" si="41"/>
        <v>0</v>
      </c>
      <c r="AM127" s="9">
        <f t="shared" si="42"/>
        <v>0</v>
      </c>
      <c r="AN127" s="9">
        <f t="shared" si="43"/>
        <v>0</v>
      </c>
      <c r="AO127" s="16">
        <f t="shared" si="44"/>
        <v>9.5689834207591251E-3</v>
      </c>
      <c r="AQ127" s="9"/>
      <c r="AS127">
        <f t="shared" si="45"/>
        <v>0</v>
      </c>
      <c r="AT127">
        <f t="shared" si="46"/>
        <v>1</v>
      </c>
      <c r="AU127">
        <f t="shared" si="47"/>
        <v>0</v>
      </c>
      <c r="AV127">
        <f t="shared" si="48"/>
        <v>0</v>
      </c>
      <c r="AW127" s="9">
        <f t="shared" si="49"/>
        <v>0</v>
      </c>
      <c r="AX127" s="9">
        <f t="shared" si="50"/>
        <v>0</v>
      </c>
      <c r="AY127" s="9">
        <f t="shared" si="51"/>
        <v>0</v>
      </c>
      <c r="AZ127" s="16">
        <f t="shared" si="52"/>
        <v>7.4831673717649467E-3</v>
      </c>
      <c r="BB127" s="16">
        <f t="shared" si="53"/>
        <v>0</v>
      </c>
      <c r="BC127" s="16">
        <f t="shared" si="54"/>
        <v>1.7052150792524073E-2</v>
      </c>
    </row>
    <row r="128" spans="1:55" x14ac:dyDescent="0.3">
      <c r="A128" s="1">
        <v>46210</v>
      </c>
      <c r="B128" s="8">
        <v>48.02</v>
      </c>
      <c r="C128" s="8">
        <v>49.94</v>
      </c>
      <c r="D128" s="6">
        <v>1.0399833402748799</v>
      </c>
      <c r="E128" s="6">
        <v>1.0395631876754901</v>
      </c>
      <c r="F128" s="6">
        <v>1.0417872109433</v>
      </c>
      <c r="G128" s="6">
        <v>1.0430708694045401</v>
      </c>
      <c r="H128" s="8">
        <v>49.919824272177003</v>
      </c>
      <c r="I128" s="8">
        <v>50.051492803825397</v>
      </c>
      <c r="J128" s="8">
        <v>50.098785331684802</v>
      </c>
      <c r="K128" s="13">
        <v>4.0408098541151602E-4</v>
      </c>
      <c r="L128" s="13">
        <v>-2.2300467150672102E-3</v>
      </c>
      <c r="M128" s="13">
        <v>-3.1744780687294099E-3</v>
      </c>
      <c r="N128" s="4">
        <v>0</v>
      </c>
      <c r="O128" s="20">
        <v>0.1</v>
      </c>
      <c r="P128" s="20">
        <f t="shared" si="55"/>
        <v>48.02</v>
      </c>
      <c r="Q128" s="20">
        <f t="shared" si="56"/>
        <v>50.04</v>
      </c>
      <c r="R128" s="19">
        <f t="shared" si="57"/>
        <v>1.0420658059142023</v>
      </c>
      <c r="S128" s="19">
        <f t="shared" si="29"/>
        <v>1.0384357751676798</v>
      </c>
      <c r="T128" s="19">
        <f t="shared" si="33"/>
        <v>1.0397887291067398</v>
      </c>
      <c r="U128" s="19">
        <f t="shared" si="35"/>
        <v>1.03969811613007</v>
      </c>
      <c r="V128" s="21">
        <f t="shared" si="30"/>
        <v>49.865685923551986</v>
      </c>
      <c r="W128" s="21">
        <f t="shared" si="34"/>
        <v>49.922754998556549</v>
      </c>
      <c r="X128" s="21">
        <f t="shared" si="37"/>
        <v>49.920387716536943</v>
      </c>
      <c r="Y128" s="22">
        <f t="shared" si="31"/>
        <v>1.489175481213356E-3</v>
      </c>
      <c r="Z128" s="22">
        <f t="shared" si="31"/>
        <v>3.4537404090489667E-4</v>
      </c>
      <c r="AA128" s="22">
        <f t="shared" si="31"/>
        <v>3.9279406306496863E-4</v>
      </c>
      <c r="AC128" s="9">
        <f t="shared" si="32"/>
        <v>-4.1562819599177559E-3</v>
      </c>
      <c r="AD128" s="9">
        <f t="shared" si="32"/>
        <v>-3.3983041200062055E-3</v>
      </c>
      <c r="AE128" s="9"/>
      <c r="AF128" s="9"/>
      <c r="AH128">
        <f t="shared" si="38"/>
        <v>0</v>
      </c>
      <c r="AI128">
        <f t="shared" si="39"/>
        <v>1</v>
      </c>
      <c r="AJ128">
        <f t="shared" si="40"/>
        <v>0</v>
      </c>
      <c r="AK128">
        <f t="shared" si="36"/>
        <v>0</v>
      </c>
      <c r="AL128" s="9">
        <f t="shared" si="41"/>
        <v>0</v>
      </c>
      <c r="AM128" s="9">
        <f t="shared" si="42"/>
        <v>0</v>
      </c>
      <c r="AN128" s="9">
        <f t="shared" si="43"/>
        <v>0</v>
      </c>
      <c r="AO128" s="16">
        <f t="shared" si="44"/>
        <v>9.5689834207591251E-3</v>
      </c>
      <c r="AQ128" s="9"/>
      <c r="AS128">
        <f t="shared" si="45"/>
        <v>0</v>
      </c>
      <c r="AT128">
        <f t="shared" si="46"/>
        <v>0</v>
      </c>
      <c r="AU128">
        <f t="shared" si="47"/>
        <v>0</v>
      </c>
      <c r="AV128">
        <f t="shared" si="48"/>
        <v>0</v>
      </c>
      <c r="AW128" s="9">
        <f t="shared" si="49"/>
        <v>0</v>
      </c>
      <c r="AX128" s="9">
        <f t="shared" si="50"/>
        <v>0</v>
      </c>
      <c r="AY128" s="9">
        <f t="shared" si="51"/>
        <v>0</v>
      </c>
      <c r="AZ128" s="16">
        <f t="shared" si="52"/>
        <v>7.4831673717649467E-3</v>
      </c>
      <c r="BB128" s="16">
        <f t="shared" si="53"/>
        <v>0</v>
      </c>
      <c r="BC128" s="16">
        <f t="shared" si="54"/>
        <v>1.7052150792524073E-2</v>
      </c>
    </row>
    <row r="129" spans="1:55" x14ac:dyDescent="0.3">
      <c r="A129" s="1">
        <v>46211</v>
      </c>
      <c r="B129" s="8">
        <v>47.83</v>
      </c>
      <c r="C129" s="8">
        <v>49.81</v>
      </c>
      <c r="D129" s="6">
        <v>1.0413966130043899</v>
      </c>
      <c r="E129" s="6">
        <v>1.0395631876754901</v>
      </c>
      <c r="F129" s="6">
        <v>1.04162757501348</v>
      </c>
      <c r="G129" s="6">
        <v>1.0429300639755099</v>
      </c>
      <c r="H129" s="8">
        <v>49.722307266518698</v>
      </c>
      <c r="I129" s="8">
        <v>49.828682299418404</v>
      </c>
      <c r="J129" s="8">
        <v>49.890079683619298</v>
      </c>
      <c r="K129" s="13">
        <v>1.76209631987811E-3</v>
      </c>
      <c r="L129" s="13">
        <v>-3.7500093751243998E-4</v>
      </c>
      <c r="M129" s="13">
        <v>-1.60641197267554E-3</v>
      </c>
      <c r="N129" s="4">
        <v>0</v>
      </c>
      <c r="O129" s="20">
        <v>0.1</v>
      </c>
      <c r="P129" s="20">
        <f t="shared" si="55"/>
        <v>47.83</v>
      </c>
      <c r="Q129" s="20">
        <f t="shared" si="56"/>
        <v>49.910000000000004</v>
      </c>
      <c r="R129" s="19">
        <f t="shared" si="57"/>
        <v>1.0434873510349154</v>
      </c>
      <c r="S129" s="19">
        <f t="shared" si="29"/>
        <v>1.0384357751676798</v>
      </c>
      <c r="T129" s="19">
        <f t="shared" si="33"/>
        <v>1.0403103037164043</v>
      </c>
      <c r="U129" s="19">
        <f t="shared" si="35"/>
        <v>1.039900301825889</v>
      </c>
      <c r="V129" s="21">
        <f t="shared" si="30"/>
        <v>49.668383126270122</v>
      </c>
      <c r="W129" s="21">
        <f t="shared" si="34"/>
        <v>49.733094913175364</v>
      </c>
      <c r="X129" s="21">
        <f t="shared" si="37"/>
        <v>49.728760894501249</v>
      </c>
      <c r="Y129" s="22">
        <f t="shared" si="31"/>
        <v>2.8471908156802186E-3</v>
      </c>
      <c r="Z129" s="22">
        <f t="shared" si="31"/>
        <v>1.5451619661370566E-3</v>
      </c>
      <c r="AA129" s="22">
        <f t="shared" si="31"/>
        <v>1.6323113289086098E-3</v>
      </c>
      <c r="AC129" s="9">
        <f t="shared" si="32"/>
        <v>-3.9645331009017723E-3</v>
      </c>
      <c r="AD129" s="9">
        <f t="shared" si="32"/>
        <v>-2.6065177664350817E-3</v>
      </c>
      <c r="AE129" s="9"/>
      <c r="AF129" s="9"/>
      <c r="AH129">
        <f t="shared" si="38"/>
        <v>0</v>
      </c>
      <c r="AI129">
        <f t="shared" si="39"/>
        <v>1</v>
      </c>
      <c r="AJ129">
        <f t="shared" si="40"/>
        <v>0</v>
      </c>
      <c r="AK129">
        <f t="shared" si="36"/>
        <v>0</v>
      </c>
      <c r="AL129" s="9">
        <f t="shared" si="41"/>
        <v>0</v>
      </c>
      <c r="AM129" s="9">
        <f t="shared" si="42"/>
        <v>0</v>
      </c>
      <c r="AN129" s="9">
        <f t="shared" si="43"/>
        <v>0</v>
      </c>
      <c r="AO129" s="16">
        <f t="shared" si="44"/>
        <v>9.5689834207591251E-3</v>
      </c>
      <c r="AQ129" s="9"/>
      <c r="AS129">
        <f t="shared" si="45"/>
        <v>1</v>
      </c>
      <c r="AT129">
        <f t="shared" si="46"/>
        <v>0</v>
      </c>
      <c r="AU129">
        <f t="shared" si="47"/>
        <v>0</v>
      </c>
      <c r="AV129">
        <f t="shared" si="48"/>
        <v>0</v>
      </c>
      <c r="AW129" s="9">
        <f t="shared" si="49"/>
        <v>0</v>
      </c>
      <c r="AX129" s="9">
        <f t="shared" si="50"/>
        <v>0</v>
      </c>
      <c r="AY129" s="9">
        <f t="shared" si="51"/>
        <v>0</v>
      </c>
      <c r="AZ129" s="16">
        <f t="shared" si="52"/>
        <v>7.4831673717649467E-3</v>
      </c>
      <c r="BB129" s="16">
        <f t="shared" si="53"/>
        <v>0</v>
      </c>
      <c r="BC129" s="16">
        <f t="shared" si="54"/>
        <v>1.7052150792524073E-2</v>
      </c>
    </row>
    <row r="130" spans="1:55" x14ac:dyDescent="0.3">
      <c r="A130" s="1">
        <v>46212</v>
      </c>
      <c r="B130" s="8">
        <v>48.02</v>
      </c>
      <c r="C130" s="8">
        <v>49.9</v>
      </c>
      <c r="D130" s="6">
        <v>1.03915035401915</v>
      </c>
      <c r="E130" s="6">
        <v>1.0395631876754901</v>
      </c>
      <c r="F130" s="6">
        <v>1.0412539506215801</v>
      </c>
      <c r="G130" s="6">
        <v>1.04264753166605</v>
      </c>
      <c r="H130" s="8">
        <v>49.919824272177003</v>
      </c>
      <c r="I130" s="8">
        <v>50.018956152147602</v>
      </c>
      <c r="J130" s="8">
        <v>50.081501672104203</v>
      </c>
      <c r="K130" s="13">
        <v>-3.9720110874268702E-4</v>
      </c>
      <c r="L130" s="13">
        <v>-2.3810538646447301E-3</v>
      </c>
      <c r="M130" s="13">
        <v>-3.6307090501553601E-3</v>
      </c>
      <c r="N130" s="4">
        <v>0</v>
      </c>
      <c r="O130" s="20">
        <v>0.1</v>
      </c>
      <c r="P130" s="20">
        <f t="shared" si="55"/>
        <v>48.02</v>
      </c>
      <c r="Q130" s="20">
        <f t="shared" si="56"/>
        <v>50</v>
      </c>
      <c r="R130" s="19">
        <f t="shared" si="57"/>
        <v>1.0412328196584755</v>
      </c>
      <c r="S130" s="19">
        <f t="shared" si="29"/>
        <v>1.0384357751676798</v>
      </c>
      <c r="T130" s="19">
        <f t="shared" si="33"/>
        <v>1.040615851692104</v>
      </c>
      <c r="U130" s="19">
        <f t="shared" si="35"/>
        <v>1.0399602834020505</v>
      </c>
      <c r="V130" s="21">
        <f t="shared" si="30"/>
        <v>49.865685923551986</v>
      </c>
      <c r="W130" s="21">
        <f t="shared" si="34"/>
        <v>49.95570078446174</v>
      </c>
      <c r="X130" s="21">
        <f t="shared" si="37"/>
        <v>49.936012493679193</v>
      </c>
      <c r="Y130" s="22">
        <f t="shared" si="31"/>
        <v>6.8789338705928119E-4</v>
      </c>
      <c r="Z130" s="22">
        <f t="shared" si="31"/>
        <v>-1.1156256438311421E-3</v>
      </c>
      <c r="AA130" s="22">
        <f t="shared" si="31"/>
        <v>-7.2143296475129127E-4</v>
      </c>
      <c r="AC130" s="9">
        <f t="shared" si="32"/>
        <v>3.9645331009017853E-3</v>
      </c>
      <c r="AD130" s="9">
        <f t="shared" si="32"/>
        <v>1.8052356722809378E-3</v>
      </c>
      <c r="AE130" s="9"/>
      <c r="AF130" s="9"/>
      <c r="AH130">
        <f t="shared" si="38"/>
        <v>0</v>
      </c>
      <c r="AI130">
        <f t="shared" si="39"/>
        <v>0</v>
      </c>
      <c r="AJ130">
        <f t="shared" si="40"/>
        <v>0</v>
      </c>
      <c r="AK130">
        <f t="shared" si="36"/>
        <v>0</v>
      </c>
      <c r="AL130" s="9">
        <f t="shared" si="41"/>
        <v>0</v>
      </c>
      <c r="AM130" s="9">
        <f t="shared" si="42"/>
        <v>0</v>
      </c>
      <c r="AN130" s="9">
        <f t="shared" si="43"/>
        <v>0</v>
      </c>
      <c r="AO130" s="16">
        <f t="shared" si="44"/>
        <v>9.5689834207591251E-3</v>
      </c>
      <c r="AQ130" s="9"/>
      <c r="AS130">
        <f t="shared" si="45"/>
        <v>0</v>
      </c>
      <c r="AT130">
        <f t="shared" si="46"/>
        <v>1</v>
      </c>
      <c r="AU130">
        <f t="shared" si="47"/>
        <v>0</v>
      </c>
      <c r="AV130">
        <f t="shared" si="48"/>
        <v>1</v>
      </c>
      <c r="AW130" s="9">
        <f t="shared" si="49"/>
        <v>3.9645331009017853E-3</v>
      </c>
      <c r="AX130" s="9">
        <f t="shared" si="50"/>
        <v>-1.8052356722809378E-3</v>
      </c>
      <c r="AY130" s="9">
        <f t="shared" si="51"/>
        <v>2.1592974286208473E-3</v>
      </c>
      <c r="AZ130" s="16">
        <f t="shared" si="52"/>
        <v>9.642464800385794E-3</v>
      </c>
      <c r="BB130" s="16">
        <f t="shared" si="53"/>
        <v>2.1592974286208473E-3</v>
      </c>
      <c r="BC130" s="16">
        <f t="shared" si="54"/>
        <v>1.9211448221144921E-2</v>
      </c>
    </row>
    <row r="131" spans="1:55" x14ac:dyDescent="0.3">
      <c r="A131" s="1">
        <v>46213</v>
      </c>
      <c r="B131" s="8">
        <v>48.08</v>
      </c>
      <c r="C131" s="8">
        <v>49.99</v>
      </c>
      <c r="D131" s="6">
        <v>1.03972545757071</v>
      </c>
      <c r="E131" s="6">
        <v>1.0395631876754901</v>
      </c>
      <c r="F131" s="6">
        <v>1.0408750837162499</v>
      </c>
      <c r="G131" s="6">
        <v>1.0423582304318499</v>
      </c>
      <c r="H131" s="8">
        <v>49.982198063437501</v>
      </c>
      <c r="I131" s="8">
        <v>50.063489945885998</v>
      </c>
      <c r="J131" s="8">
        <v>50.130493322503803</v>
      </c>
      <c r="K131" s="13">
        <v>1.5608212541855099E-4</v>
      </c>
      <c r="L131" s="13">
        <v>-1.4690134075621801E-3</v>
      </c>
      <c r="M131" s="13">
        <v>-2.8064866653436898E-3</v>
      </c>
      <c r="N131" s="4">
        <v>0</v>
      </c>
      <c r="O131" s="20">
        <v>0.1</v>
      </c>
      <c r="P131" s="20">
        <f t="shared" si="55"/>
        <v>48.08</v>
      </c>
      <c r="Q131" s="20">
        <f t="shared" si="56"/>
        <v>50.09</v>
      </c>
      <c r="R131" s="19">
        <f t="shared" si="57"/>
        <v>1.0418053244592347</v>
      </c>
      <c r="S131" s="19">
        <f t="shared" si="29"/>
        <v>1.0384357751676798</v>
      </c>
      <c r="T131" s="19">
        <f t="shared" si="33"/>
        <v>1.0409162773837677</v>
      </c>
      <c r="U131" s="19">
        <f t="shared" si="35"/>
        <v>1.0400139743964172</v>
      </c>
      <c r="V131" s="21">
        <f t="shared" si="30"/>
        <v>49.927992070062047</v>
      </c>
      <c r="W131" s="21">
        <f t="shared" si="34"/>
        <v>50.032810149356358</v>
      </c>
      <c r="X131" s="21">
        <f t="shared" si="37"/>
        <v>50.001290425970588</v>
      </c>
      <c r="Y131" s="22">
        <f t="shared" si="31"/>
        <v>1.2411766212205052E-3</v>
      </c>
      <c r="Z131" s="22">
        <f t="shared" si="31"/>
        <v>-8.5600778275522131E-4</v>
      </c>
      <c r="AA131" s="22">
        <f t="shared" si="31"/>
        <v>-2.2582818904463419E-4</v>
      </c>
      <c r="AC131" s="9">
        <f t="shared" si="32"/>
        <v>1.248699433844798E-3</v>
      </c>
      <c r="AD131" s="9">
        <f t="shared" si="32"/>
        <v>1.8019826680061122E-3</v>
      </c>
      <c r="AE131" s="9"/>
      <c r="AF131" s="9"/>
      <c r="AH131">
        <f t="shared" si="38"/>
        <v>0</v>
      </c>
      <c r="AI131">
        <f t="shared" si="39"/>
        <v>0</v>
      </c>
      <c r="AJ131">
        <f t="shared" si="40"/>
        <v>0</v>
      </c>
      <c r="AK131">
        <f t="shared" si="36"/>
        <v>0</v>
      </c>
      <c r="AL131" s="9">
        <f t="shared" si="41"/>
        <v>0</v>
      </c>
      <c r="AM131" s="9">
        <f t="shared" si="42"/>
        <v>0</v>
      </c>
      <c r="AN131" s="9">
        <f t="shared" si="43"/>
        <v>0</v>
      </c>
      <c r="AO131" s="16">
        <f t="shared" si="44"/>
        <v>9.5689834207591251E-3</v>
      </c>
      <c r="AQ131" s="9"/>
      <c r="AS131">
        <f t="shared" si="45"/>
        <v>0</v>
      </c>
      <c r="AT131">
        <f t="shared" si="46"/>
        <v>1</v>
      </c>
      <c r="AU131">
        <f t="shared" si="47"/>
        <v>1</v>
      </c>
      <c r="AV131">
        <f t="shared" si="48"/>
        <v>0</v>
      </c>
      <c r="AW131" s="9">
        <f t="shared" si="49"/>
        <v>0</v>
      </c>
      <c r="AX131" s="9">
        <f t="shared" si="50"/>
        <v>0</v>
      </c>
      <c r="AY131" s="9">
        <f t="shared" si="51"/>
        <v>0</v>
      </c>
      <c r="AZ131" s="16">
        <f t="shared" si="52"/>
        <v>9.642464800385794E-3</v>
      </c>
      <c r="BB131" s="16">
        <f t="shared" si="53"/>
        <v>0</v>
      </c>
      <c r="BC131" s="16">
        <f t="shared" si="54"/>
        <v>1.9211448221144921E-2</v>
      </c>
    </row>
    <row r="132" spans="1:55" x14ac:dyDescent="0.3">
      <c r="A132" s="1">
        <v>46216</v>
      </c>
      <c r="B132" s="8">
        <v>47.89</v>
      </c>
      <c r="C132" s="8">
        <v>49.82</v>
      </c>
      <c r="D132" s="6">
        <v>1.04030068907913</v>
      </c>
      <c r="E132" s="6">
        <v>1.0395631876754901</v>
      </c>
      <c r="F132" s="6">
        <v>1.04059676260149</v>
      </c>
      <c r="G132" s="6">
        <v>1.0421628041137001</v>
      </c>
      <c r="H132" s="8">
        <v>49.784681057779203</v>
      </c>
      <c r="I132" s="8">
        <v>49.847507759171499</v>
      </c>
      <c r="J132" s="8">
        <v>49.918535655381497</v>
      </c>
      <c r="K132" s="13">
        <v>7.0918240640789902E-4</v>
      </c>
      <c r="L132" s="13">
        <v>-5.51990523058351E-4</v>
      </c>
      <c r="M132" s="13">
        <v>-1.9758799704012002E-3</v>
      </c>
      <c r="N132" s="4">
        <v>0</v>
      </c>
      <c r="O132" s="20">
        <v>0.1</v>
      </c>
      <c r="P132" s="20">
        <f t="shared" si="55"/>
        <v>47.89</v>
      </c>
      <c r="Q132" s="20">
        <f t="shared" si="56"/>
        <v>49.92</v>
      </c>
      <c r="R132" s="19">
        <f t="shared" si="57"/>
        <v>1.0423888076842764</v>
      </c>
      <c r="S132" s="19">
        <f t="shared" ref="S132:S156" si="58">S131</f>
        <v>1.0384357751676798</v>
      </c>
      <c r="T132" s="19">
        <f t="shared" si="33"/>
        <v>1.0413176863688993</v>
      </c>
      <c r="U132" s="19">
        <f t="shared" si="35"/>
        <v>1.0401602742847633</v>
      </c>
      <c r="V132" s="21">
        <f t="shared" ref="V132:V156" si="59">S131*P132</f>
        <v>49.730689272780189</v>
      </c>
      <c r="W132" s="21">
        <f t="shared" si="34"/>
        <v>49.849480523908632</v>
      </c>
      <c r="X132" s="21">
        <f t="shared" si="37"/>
        <v>49.806269233844418</v>
      </c>
      <c r="Y132" s="22">
        <f t="shared" ref="Y132:AA156" si="60">LN($C132/V132)</f>
        <v>1.794276902209934E-3</v>
      </c>
      <c r="Z132" s="22">
        <f t="shared" si="60"/>
        <v>-5.9156573533637171E-4</v>
      </c>
      <c r="AA132" s="22">
        <f t="shared" si="60"/>
        <v>2.7564549687777025E-4</v>
      </c>
      <c r="AC132" s="9">
        <f t="shared" ref="AC132:AD156" si="61">LN(B132/B131)</f>
        <v>-3.9595758724341405E-3</v>
      </c>
      <c r="AD132" s="9">
        <f t="shared" si="61"/>
        <v>-3.4064755914446584E-3</v>
      </c>
      <c r="AE132" s="9"/>
      <c r="AF132" s="9"/>
      <c r="AH132">
        <f t="shared" si="38"/>
        <v>0</v>
      </c>
      <c r="AI132">
        <f t="shared" si="39"/>
        <v>1</v>
      </c>
      <c r="AJ132">
        <f t="shared" si="40"/>
        <v>0</v>
      </c>
      <c r="AK132">
        <f t="shared" si="36"/>
        <v>0</v>
      </c>
      <c r="AL132" s="9">
        <f t="shared" si="41"/>
        <v>0</v>
      </c>
      <c r="AM132" s="9">
        <f t="shared" si="42"/>
        <v>0</v>
      </c>
      <c r="AN132" s="9">
        <f t="shared" si="43"/>
        <v>0</v>
      </c>
      <c r="AO132" s="16">
        <f t="shared" si="44"/>
        <v>9.5689834207591251E-3</v>
      </c>
      <c r="AQ132" s="9"/>
      <c r="AS132">
        <f t="shared" si="45"/>
        <v>0</v>
      </c>
      <c r="AT132">
        <f t="shared" si="46"/>
        <v>0</v>
      </c>
      <c r="AU132">
        <f t="shared" si="47"/>
        <v>0</v>
      </c>
      <c r="AV132">
        <f t="shared" si="48"/>
        <v>0</v>
      </c>
      <c r="AW132" s="9">
        <f t="shared" si="49"/>
        <v>0</v>
      </c>
      <c r="AX132" s="9">
        <f t="shared" si="50"/>
        <v>0</v>
      </c>
      <c r="AY132" s="9">
        <f t="shared" si="51"/>
        <v>0</v>
      </c>
      <c r="AZ132" s="16">
        <f t="shared" si="52"/>
        <v>9.642464800385794E-3</v>
      </c>
      <c r="BB132" s="16">
        <f t="shared" si="53"/>
        <v>0</v>
      </c>
      <c r="BC132" s="16">
        <f t="shared" si="54"/>
        <v>1.9211448221144921E-2</v>
      </c>
    </row>
    <row r="133" spans="1:55" x14ac:dyDescent="0.3">
      <c r="A133" s="1">
        <v>46217</v>
      </c>
      <c r="B133" s="8">
        <v>47.96</v>
      </c>
      <c r="C133" s="8">
        <v>49.91</v>
      </c>
      <c r="D133" s="6">
        <v>1.040658882402</v>
      </c>
      <c r="E133" s="6">
        <v>1.0395631876754901</v>
      </c>
      <c r="F133" s="6">
        <v>1.0403551487806799</v>
      </c>
      <c r="G133" s="6">
        <v>1.0420614755441999</v>
      </c>
      <c r="H133" s="8">
        <v>49.857450480916498</v>
      </c>
      <c r="I133" s="8">
        <v>49.907020734367599</v>
      </c>
      <c r="J133" s="8">
        <v>49.982128085293397</v>
      </c>
      <c r="K133" s="13">
        <v>1.0534402490959599E-3</v>
      </c>
      <c r="L133" s="13">
        <v>5.96945412975547E-5</v>
      </c>
      <c r="M133" s="13">
        <v>-1.4441197562030099E-3</v>
      </c>
      <c r="N133" s="4">
        <v>0</v>
      </c>
      <c r="O133" s="20">
        <v>0.1</v>
      </c>
      <c r="P133" s="20">
        <f t="shared" si="55"/>
        <v>47.96</v>
      </c>
      <c r="Q133" s="20">
        <f t="shared" si="56"/>
        <v>50.01</v>
      </c>
      <c r="R133" s="19">
        <f t="shared" si="57"/>
        <v>1.0427439532944121</v>
      </c>
      <c r="S133" s="19">
        <f t="shared" si="58"/>
        <v>1.0384357751676798</v>
      </c>
      <c r="T133" s="19">
        <f t="shared" si="33"/>
        <v>1.0417553972502487</v>
      </c>
      <c r="U133" s="19">
        <f t="shared" si="35"/>
        <v>1.0403997821805071</v>
      </c>
      <c r="V133" s="21">
        <f t="shared" si="59"/>
        <v>49.803379777041926</v>
      </c>
      <c r="W133" s="21">
        <f t="shared" si="34"/>
        <v>49.941596238252416</v>
      </c>
      <c r="X133" s="21">
        <f t="shared" si="37"/>
        <v>49.886086754697253</v>
      </c>
      <c r="Y133" s="22">
        <f t="shared" si="60"/>
        <v>2.1385347448977382E-3</v>
      </c>
      <c r="Z133" s="22">
        <f t="shared" si="60"/>
        <v>-6.3286398009301283E-4</v>
      </c>
      <c r="AA133" s="22">
        <f t="shared" si="60"/>
        <v>4.7924215343652358E-4</v>
      </c>
      <c r="AC133" s="9">
        <f t="shared" si="61"/>
        <v>1.460615804795598E-3</v>
      </c>
      <c r="AD133" s="9">
        <f t="shared" si="61"/>
        <v>1.8048736474833437E-3</v>
      </c>
      <c r="AE133" s="9"/>
      <c r="AF133" s="9"/>
      <c r="AH133">
        <f t="shared" si="38"/>
        <v>0</v>
      </c>
      <c r="AI133">
        <f t="shared" si="39"/>
        <v>1</v>
      </c>
      <c r="AJ133">
        <f t="shared" si="40"/>
        <v>0</v>
      </c>
      <c r="AK133">
        <f t="shared" si="36"/>
        <v>0</v>
      </c>
      <c r="AL133" s="9">
        <f t="shared" si="41"/>
        <v>0</v>
      </c>
      <c r="AM133" s="9">
        <f t="shared" si="42"/>
        <v>0</v>
      </c>
      <c r="AN133" s="9">
        <f t="shared" si="43"/>
        <v>0</v>
      </c>
      <c r="AO133" s="16">
        <f t="shared" si="44"/>
        <v>9.5689834207591251E-3</v>
      </c>
      <c r="AQ133" s="9"/>
      <c r="AS133">
        <f t="shared" si="45"/>
        <v>0</v>
      </c>
      <c r="AT133">
        <f t="shared" si="46"/>
        <v>0</v>
      </c>
      <c r="AU133">
        <f t="shared" si="47"/>
        <v>0</v>
      </c>
      <c r="AV133">
        <f t="shared" si="48"/>
        <v>0</v>
      </c>
      <c r="AW133" s="9">
        <f t="shared" si="49"/>
        <v>0</v>
      </c>
      <c r="AX133" s="9">
        <f t="shared" si="50"/>
        <v>0</v>
      </c>
      <c r="AY133" s="9">
        <f t="shared" si="51"/>
        <v>0</v>
      </c>
      <c r="AZ133" s="16">
        <f t="shared" si="52"/>
        <v>9.642464800385794E-3</v>
      </c>
      <c r="BB133" s="16">
        <f t="shared" si="53"/>
        <v>0</v>
      </c>
      <c r="BC133" s="16">
        <f t="shared" si="54"/>
        <v>1.9211448221144921E-2</v>
      </c>
    </row>
    <row r="134" spans="1:55" x14ac:dyDescent="0.3">
      <c r="A134" s="1">
        <v>46218</v>
      </c>
      <c r="B134" s="8">
        <v>48.03</v>
      </c>
      <c r="C134" s="8">
        <v>49.96</v>
      </c>
      <c r="D134" s="6">
        <v>1.0401832188215601</v>
      </c>
      <c r="E134" s="6">
        <v>1.0395631876754901</v>
      </c>
      <c r="F134" s="6">
        <v>1.039892776878</v>
      </c>
      <c r="G134" s="6">
        <v>1.04187465554474</v>
      </c>
      <c r="H134" s="8">
        <v>49.9302199040538</v>
      </c>
      <c r="I134" s="8">
        <v>49.968257795936402</v>
      </c>
      <c r="J134" s="8">
        <v>50.050212670388298</v>
      </c>
      <c r="K134" s="13">
        <v>5.9625650753551002E-4</v>
      </c>
      <c r="L134" s="13">
        <v>-1.6527449066770699E-4</v>
      </c>
      <c r="M134" s="13">
        <v>-1.80406965343399E-3</v>
      </c>
      <c r="N134" s="4">
        <v>0</v>
      </c>
      <c r="O134" s="20">
        <v>0.1</v>
      </c>
      <c r="P134" s="20">
        <f t="shared" si="55"/>
        <v>48.03</v>
      </c>
      <c r="Q134" s="20">
        <f t="shared" si="56"/>
        <v>50.06</v>
      </c>
      <c r="R134" s="19">
        <f t="shared" si="57"/>
        <v>1.0422652508848635</v>
      </c>
      <c r="S134" s="19">
        <f t="shared" si="58"/>
        <v>1.0384357751676798</v>
      </c>
      <c r="T134" s="19">
        <f t="shared" si="33"/>
        <v>1.0419737003449017</v>
      </c>
      <c r="U134" s="19">
        <f t="shared" si="35"/>
        <v>1.0405538778862267</v>
      </c>
      <c r="V134" s="21">
        <f t="shared" si="59"/>
        <v>49.876070281303662</v>
      </c>
      <c r="W134" s="21">
        <f t="shared" si="34"/>
        <v>50.035511729929446</v>
      </c>
      <c r="X134" s="21">
        <f t="shared" si="37"/>
        <v>49.970401538129757</v>
      </c>
      <c r="Y134" s="22">
        <f t="shared" si="60"/>
        <v>1.6813510033374614E-3</v>
      </c>
      <c r="Z134" s="22">
        <f t="shared" si="60"/>
        <v>-1.510302672123959E-3</v>
      </c>
      <c r="AA134" s="22">
        <f t="shared" si="60"/>
        <v>-2.0817565039711155E-4</v>
      </c>
      <c r="AC134" s="9">
        <f t="shared" si="61"/>
        <v>1.4584855174194701E-3</v>
      </c>
      <c r="AD134" s="9">
        <f t="shared" si="61"/>
        <v>1.0013017758590723E-3</v>
      </c>
      <c r="AE134" s="9"/>
      <c r="AF134" s="9"/>
      <c r="AH134">
        <f t="shared" si="38"/>
        <v>0</v>
      </c>
      <c r="AI134">
        <f t="shared" si="39"/>
        <v>0</v>
      </c>
      <c r="AJ134">
        <f t="shared" si="40"/>
        <v>0</v>
      </c>
      <c r="AK134">
        <f t="shared" si="36"/>
        <v>0</v>
      </c>
      <c r="AL134" s="9">
        <f t="shared" si="41"/>
        <v>0</v>
      </c>
      <c r="AM134" s="9">
        <f t="shared" si="42"/>
        <v>0</v>
      </c>
      <c r="AN134" s="9">
        <f t="shared" si="43"/>
        <v>0</v>
      </c>
      <c r="AO134" s="16">
        <f t="shared" si="44"/>
        <v>9.5689834207591251E-3</v>
      </c>
      <c r="AQ134" s="9"/>
      <c r="AS134">
        <f t="shared" si="45"/>
        <v>0</v>
      </c>
      <c r="AT134">
        <f t="shared" si="46"/>
        <v>1</v>
      </c>
      <c r="AU134">
        <f t="shared" si="47"/>
        <v>0</v>
      </c>
      <c r="AV134">
        <f t="shared" si="48"/>
        <v>0</v>
      </c>
      <c r="AW134" s="9">
        <f t="shared" si="49"/>
        <v>0</v>
      </c>
      <c r="AX134" s="9">
        <f t="shared" si="50"/>
        <v>0</v>
      </c>
      <c r="AY134" s="9">
        <f t="shared" si="51"/>
        <v>0</v>
      </c>
      <c r="AZ134" s="16">
        <f t="shared" si="52"/>
        <v>9.642464800385794E-3</v>
      </c>
      <c r="BB134" s="16">
        <f t="shared" si="53"/>
        <v>0</v>
      </c>
      <c r="BC134" s="16">
        <f t="shared" si="54"/>
        <v>1.9211448221144921E-2</v>
      </c>
    </row>
    <row r="135" spans="1:55" x14ac:dyDescent="0.3">
      <c r="A135" s="1">
        <v>46219</v>
      </c>
      <c r="B135" s="8">
        <v>47.96</v>
      </c>
      <c r="C135" s="8">
        <v>49.89</v>
      </c>
      <c r="D135" s="6">
        <v>1.0402418682235099</v>
      </c>
      <c r="E135" s="6">
        <v>1.0395631876754901</v>
      </c>
      <c r="F135" s="6">
        <v>1.0400014882497599</v>
      </c>
      <c r="G135" s="6">
        <v>1.0416831487076199</v>
      </c>
      <c r="H135" s="8">
        <v>49.857450480916498</v>
      </c>
      <c r="I135" s="8">
        <v>49.873257579068898</v>
      </c>
      <c r="J135" s="8">
        <v>49.968308479925902</v>
      </c>
      <c r="K135" s="13">
        <v>6.5263864052418196E-4</v>
      </c>
      <c r="L135" s="13">
        <v>3.3564303120216601E-4</v>
      </c>
      <c r="M135" s="13">
        <v>-1.5683921983118299E-3</v>
      </c>
      <c r="N135" s="4">
        <v>0</v>
      </c>
      <c r="O135" s="20">
        <v>0.1</v>
      </c>
      <c r="P135" s="20">
        <f t="shared" si="55"/>
        <v>47.96</v>
      </c>
      <c r="Q135" s="20">
        <f t="shared" si="56"/>
        <v>49.99</v>
      </c>
      <c r="R135" s="19">
        <f t="shared" si="57"/>
        <v>1.04232693911593</v>
      </c>
      <c r="S135" s="19">
        <f t="shared" si="58"/>
        <v>1.0384357751676798</v>
      </c>
      <c r="T135" s="19">
        <f t="shared" si="33"/>
        <v>1.0420837507926457</v>
      </c>
      <c r="U135" s="19">
        <f t="shared" si="35"/>
        <v>1.0407031805577804</v>
      </c>
      <c r="V135" s="21">
        <f t="shared" si="59"/>
        <v>49.803379777041926</v>
      </c>
      <c r="W135" s="21">
        <f t="shared" si="34"/>
        <v>49.973058668541483</v>
      </c>
      <c r="X135" s="21">
        <f t="shared" si="37"/>
        <v>49.904963983423428</v>
      </c>
      <c r="Y135" s="22">
        <f t="shared" si="60"/>
        <v>1.7377331363261216E-3</v>
      </c>
      <c r="Z135" s="22">
        <f t="shared" si="60"/>
        <v>-1.663451706793844E-3</v>
      </c>
      <c r="AA135" s="22">
        <f t="shared" si="60"/>
        <v>-2.9989456257663316E-4</v>
      </c>
      <c r="AC135" s="9">
        <f t="shared" si="61"/>
        <v>-1.4584855174195614E-3</v>
      </c>
      <c r="AD135" s="9">
        <f t="shared" si="61"/>
        <v>-1.4021033844309539E-3</v>
      </c>
      <c r="AE135" s="9"/>
      <c r="AF135" s="9"/>
      <c r="AH135">
        <f t="shared" si="38"/>
        <v>0</v>
      </c>
      <c r="AI135">
        <f t="shared" si="39"/>
        <v>0</v>
      </c>
      <c r="AJ135">
        <f t="shared" si="40"/>
        <v>0</v>
      </c>
      <c r="AK135">
        <f t="shared" si="36"/>
        <v>0</v>
      </c>
      <c r="AL135" s="9">
        <f t="shared" si="41"/>
        <v>0</v>
      </c>
      <c r="AM135" s="9">
        <f t="shared" si="42"/>
        <v>0</v>
      </c>
      <c r="AN135" s="9">
        <f t="shared" si="43"/>
        <v>0</v>
      </c>
      <c r="AO135" s="16">
        <f t="shared" si="44"/>
        <v>9.5689834207591251E-3</v>
      </c>
      <c r="AQ135" s="9"/>
      <c r="AS135">
        <f t="shared" si="45"/>
        <v>0</v>
      </c>
      <c r="AT135">
        <f t="shared" si="46"/>
        <v>1</v>
      </c>
      <c r="AU135">
        <f t="shared" si="47"/>
        <v>0</v>
      </c>
      <c r="AV135">
        <f t="shared" si="48"/>
        <v>0</v>
      </c>
      <c r="AW135" s="9">
        <f t="shared" si="49"/>
        <v>0</v>
      </c>
      <c r="AX135" s="9">
        <f t="shared" si="50"/>
        <v>0</v>
      </c>
      <c r="AY135" s="9">
        <f t="shared" si="51"/>
        <v>0</v>
      </c>
      <c r="AZ135" s="16">
        <f t="shared" si="52"/>
        <v>9.642464800385794E-3</v>
      </c>
      <c r="BB135" s="16">
        <f t="shared" si="53"/>
        <v>0</v>
      </c>
      <c r="BC135" s="16">
        <f t="shared" si="54"/>
        <v>1.9211448221144921E-2</v>
      </c>
    </row>
    <row r="136" spans="1:55" x14ac:dyDescent="0.3">
      <c r="A136" s="1">
        <v>46220</v>
      </c>
      <c r="B136" s="8">
        <v>47.93</v>
      </c>
      <c r="C136" s="8">
        <v>49.85</v>
      </c>
      <c r="D136" s="6">
        <v>1.0400584185270101</v>
      </c>
      <c r="E136" s="6">
        <v>1.0395631876754901</v>
      </c>
      <c r="F136" s="6">
        <v>1.0400894196546999</v>
      </c>
      <c r="G136" s="6">
        <v>1.0414919069347399</v>
      </c>
      <c r="H136" s="8">
        <v>49.826263585286199</v>
      </c>
      <c r="I136" s="8">
        <v>49.8472713318111</v>
      </c>
      <c r="J136" s="8">
        <v>49.927873317556603</v>
      </c>
      <c r="K136" s="13">
        <v>4.7627016319899402E-4</v>
      </c>
      <c r="L136" s="13">
        <v>5.4739074662540099E-5</v>
      </c>
      <c r="M136" s="13">
        <v>-1.5609339180922099E-3</v>
      </c>
      <c r="N136" s="4">
        <v>0</v>
      </c>
      <c r="O136" s="20">
        <v>0.1</v>
      </c>
      <c r="P136" s="20">
        <f t="shared" si="55"/>
        <v>47.93</v>
      </c>
      <c r="Q136" s="20">
        <f t="shared" si="56"/>
        <v>49.95</v>
      </c>
      <c r="R136" s="19">
        <f t="shared" si="57"/>
        <v>1.0421447944919675</v>
      </c>
      <c r="S136" s="19">
        <f t="shared" si="58"/>
        <v>1.0384357751676798</v>
      </c>
      <c r="T136" s="19">
        <f t="shared" si="33"/>
        <v>1.0421730229449935</v>
      </c>
      <c r="U136" s="19">
        <f t="shared" si="35"/>
        <v>1.0408528682527065</v>
      </c>
      <c r="V136" s="21">
        <f t="shared" si="59"/>
        <v>49.772226703786892</v>
      </c>
      <c r="W136" s="21">
        <f t="shared" si="34"/>
        <v>49.947074175491508</v>
      </c>
      <c r="X136" s="21">
        <f t="shared" si="37"/>
        <v>49.880903444134418</v>
      </c>
      <c r="Y136" s="22">
        <f t="shared" si="60"/>
        <v>1.5613646590010386E-3</v>
      </c>
      <c r="Z136" s="22">
        <f t="shared" si="60"/>
        <v>-1.9454319058939563E-3</v>
      </c>
      <c r="AA136" s="22">
        <f t="shared" si="60"/>
        <v>-6.1973659229560781E-4</v>
      </c>
      <c r="AC136" s="9">
        <f t="shared" si="61"/>
        <v>-6.2571698777356261E-4</v>
      </c>
      <c r="AD136" s="9">
        <f t="shared" si="61"/>
        <v>-8.0208546509869015E-4</v>
      </c>
      <c r="AE136" s="9"/>
      <c r="AF136" s="9"/>
      <c r="AH136">
        <f t="shared" si="38"/>
        <v>0</v>
      </c>
      <c r="AI136">
        <f t="shared" si="39"/>
        <v>0</v>
      </c>
      <c r="AJ136">
        <f t="shared" si="40"/>
        <v>0</v>
      </c>
      <c r="AK136">
        <f t="shared" si="36"/>
        <v>0</v>
      </c>
      <c r="AL136" s="9">
        <f t="shared" si="41"/>
        <v>0</v>
      </c>
      <c r="AM136" s="9">
        <f t="shared" si="42"/>
        <v>0</v>
      </c>
      <c r="AN136" s="9">
        <f t="shared" si="43"/>
        <v>0</v>
      </c>
      <c r="AO136" s="16">
        <f t="shared" si="44"/>
        <v>9.5689834207591251E-3</v>
      </c>
      <c r="AQ136" s="9"/>
      <c r="AS136">
        <f t="shared" si="45"/>
        <v>0</v>
      </c>
      <c r="AT136">
        <f t="shared" si="46"/>
        <v>1</v>
      </c>
      <c r="AU136">
        <f t="shared" si="47"/>
        <v>0</v>
      </c>
      <c r="AV136">
        <f t="shared" si="48"/>
        <v>0</v>
      </c>
      <c r="AW136" s="9">
        <f t="shared" si="49"/>
        <v>0</v>
      </c>
      <c r="AX136" s="9">
        <f t="shared" si="50"/>
        <v>0</v>
      </c>
      <c r="AY136" s="9">
        <f t="shared" si="51"/>
        <v>0</v>
      </c>
      <c r="AZ136" s="16">
        <f t="shared" si="52"/>
        <v>9.642464800385794E-3</v>
      </c>
      <c r="BB136" s="16">
        <f t="shared" si="53"/>
        <v>0</v>
      </c>
      <c r="BC136" s="16">
        <f t="shared" si="54"/>
        <v>1.9211448221144921E-2</v>
      </c>
    </row>
    <row r="137" spans="1:55" x14ac:dyDescent="0.3">
      <c r="A137" s="1">
        <v>46223</v>
      </c>
      <c r="B137" s="8">
        <v>47.82</v>
      </c>
      <c r="C137" s="8">
        <v>49.8</v>
      </c>
      <c r="D137" s="6">
        <v>1.0414052697616001</v>
      </c>
      <c r="E137" s="6">
        <v>1.0395631876754901</v>
      </c>
      <c r="F137" s="6">
        <v>1.0403104111684001</v>
      </c>
      <c r="G137" s="6">
        <v>1.04130777538663</v>
      </c>
      <c r="H137" s="8">
        <v>49.711911634641901</v>
      </c>
      <c r="I137" s="8">
        <v>49.737076047887903</v>
      </c>
      <c r="J137" s="8">
        <v>49.8041429896195</v>
      </c>
      <c r="K137" s="13">
        <v>1.7704089273201499E-3</v>
      </c>
      <c r="L137" s="13">
        <v>1.26433210603797E-3</v>
      </c>
      <c r="M137" s="13">
        <v>-8.3189102331414493E-5</v>
      </c>
      <c r="N137" s="4">
        <v>0</v>
      </c>
      <c r="O137" s="20">
        <v>0.1</v>
      </c>
      <c r="P137" s="20">
        <f t="shared" si="55"/>
        <v>47.82</v>
      </c>
      <c r="Q137" s="20">
        <f t="shared" si="56"/>
        <v>49.9</v>
      </c>
      <c r="R137" s="19">
        <f t="shared" si="57"/>
        <v>1.0434964450020912</v>
      </c>
      <c r="S137" s="19">
        <f t="shared" si="58"/>
        <v>1.0384357751676798</v>
      </c>
      <c r="T137" s="19">
        <f t="shared" si="33"/>
        <v>1.042395749154037</v>
      </c>
      <c r="U137" s="19">
        <f t="shared" si="35"/>
        <v>1.0410099840996812</v>
      </c>
      <c r="V137" s="21">
        <f t="shared" si="59"/>
        <v>49.657998768518446</v>
      </c>
      <c r="W137" s="21">
        <f t="shared" si="34"/>
        <v>49.836713957229591</v>
      </c>
      <c r="X137" s="21">
        <f t="shared" si="37"/>
        <v>49.773584159844425</v>
      </c>
      <c r="Y137" s="22">
        <f t="shared" si="60"/>
        <v>2.8555034231221924E-3</v>
      </c>
      <c r="Z137" s="22">
        <f t="shared" si="60"/>
        <v>-7.369564377039153E-4</v>
      </c>
      <c r="AA137" s="22">
        <f t="shared" si="60"/>
        <v>5.3057928964105592E-4</v>
      </c>
      <c r="AC137" s="9">
        <f t="shared" si="61"/>
        <v>-2.2976511413612625E-3</v>
      </c>
      <c r="AD137" s="9">
        <f t="shared" si="61"/>
        <v>-1.0035123772401337E-3</v>
      </c>
      <c r="AE137" s="9"/>
      <c r="AF137" s="9"/>
      <c r="AH137">
        <f t="shared" si="38"/>
        <v>0</v>
      </c>
      <c r="AI137">
        <f t="shared" si="39"/>
        <v>1</v>
      </c>
      <c r="AJ137">
        <f t="shared" si="40"/>
        <v>0</v>
      </c>
      <c r="AK137">
        <f t="shared" si="36"/>
        <v>0</v>
      </c>
      <c r="AL137" s="9">
        <f t="shared" si="41"/>
        <v>0</v>
      </c>
      <c r="AM137" s="9">
        <f t="shared" si="42"/>
        <v>0</v>
      </c>
      <c r="AN137" s="9">
        <f t="shared" si="43"/>
        <v>0</v>
      </c>
      <c r="AO137" s="16">
        <f t="shared" si="44"/>
        <v>9.5689834207591251E-3</v>
      </c>
      <c r="AQ137" s="9"/>
      <c r="AS137">
        <f t="shared" si="45"/>
        <v>0</v>
      </c>
      <c r="AT137">
        <f t="shared" si="46"/>
        <v>0</v>
      </c>
      <c r="AU137">
        <f t="shared" si="47"/>
        <v>0</v>
      </c>
      <c r="AV137">
        <f t="shared" si="48"/>
        <v>0</v>
      </c>
      <c r="AW137" s="9">
        <f t="shared" si="49"/>
        <v>0</v>
      </c>
      <c r="AX137" s="9">
        <f t="shared" si="50"/>
        <v>0</v>
      </c>
      <c r="AY137" s="9">
        <f t="shared" si="51"/>
        <v>0</v>
      </c>
      <c r="AZ137" s="16">
        <f t="shared" si="52"/>
        <v>9.642464800385794E-3</v>
      </c>
      <c r="BB137" s="16">
        <f t="shared" si="53"/>
        <v>0</v>
      </c>
      <c r="BC137" s="16">
        <f t="shared" si="54"/>
        <v>1.9211448221144921E-2</v>
      </c>
    </row>
    <row r="138" spans="1:55" x14ac:dyDescent="0.3">
      <c r="A138" s="1">
        <v>46224</v>
      </c>
      <c r="B138" s="8">
        <v>47.83</v>
      </c>
      <c r="C138" s="8">
        <v>49.78</v>
      </c>
      <c r="D138" s="6">
        <v>1.0407693915952301</v>
      </c>
      <c r="E138" s="6">
        <v>1.0395631876754901</v>
      </c>
      <c r="F138" s="6">
        <v>1.0403890163004299</v>
      </c>
      <c r="G138" s="6">
        <v>1.0410881136218699</v>
      </c>
      <c r="H138" s="8">
        <v>49.722307266518698</v>
      </c>
      <c r="I138" s="8">
        <v>49.758046966184502</v>
      </c>
      <c r="J138" s="8">
        <v>49.805750896742502</v>
      </c>
      <c r="K138" s="13">
        <v>1.15962617413211E-3</v>
      </c>
      <c r="L138" s="13">
        <v>4.4109835063986801E-4</v>
      </c>
      <c r="M138" s="13">
        <v>-5.1716027814415399E-4</v>
      </c>
      <c r="N138" s="4">
        <v>0</v>
      </c>
      <c r="O138" s="20">
        <v>0.1</v>
      </c>
      <c r="P138" s="20">
        <f t="shared" si="55"/>
        <v>47.83</v>
      </c>
      <c r="Q138" s="20">
        <f t="shared" si="56"/>
        <v>49.88</v>
      </c>
      <c r="R138" s="19">
        <f t="shared" si="57"/>
        <v>1.042860129625758</v>
      </c>
      <c r="S138" s="19">
        <f t="shared" si="58"/>
        <v>1.0384357751676798</v>
      </c>
      <c r="T138" s="19">
        <f t="shared" si="33"/>
        <v>1.0424751815251925</v>
      </c>
      <c r="U138" s="19">
        <f t="shared" si="35"/>
        <v>1.0411319553159661</v>
      </c>
      <c r="V138" s="21">
        <f t="shared" si="59"/>
        <v>49.668383126270122</v>
      </c>
      <c r="W138" s="21">
        <f t="shared" si="34"/>
        <v>49.857788682037587</v>
      </c>
      <c r="X138" s="21">
        <f t="shared" si="37"/>
        <v>49.791507539487746</v>
      </c>
      <c r="Y138" s="22">
        <f t="shared" si="60"/>
        <v>2.2447206699340119E-3</v>
      </c>
      <c r="Z138" s="22">
        <f t="shared" si="60"/>
        <v>-1.5614296316890993E-3</v>
      </c>
      <c r="AA138" s="22">
        <f t="shared" si="60"/>
        <v>-2.311412134523428E-4</v>
      </c>
      <c r="AC138" s="9">
        <f t="shared" si="61"/>
        <v>2.0909566202673274E-4</v>
      </c>
      <c r="AD138" s="9">
        <f t="shared" si="61"/>
        <v>-4.0168709116123309E-4</v>
      </c>
      <c r="AE138" s="9"/>
      <c r="AF138" s="9"/>
      <c r="AH138">
        <f t="shared" si="38"/>
        <v>0</v>
      </c>
      <c r="AI138">
        <f t="shared" si="39"/>
        <v>0</v>
      </c>
      <c r="AJ138">
        <f t="shared" si="40"/>
        <v>0</v>
      </c>
      <c r="AK138">
        <f t="shared" si="36"/>
        <v>0</v>
      </c>
      <c r="AL138" s="9">
        <f t="shared" si="41"/>
        <v>0</v>
      </c>
      <c r="AM138" s="9">
        <f t="shared" si="42"/>
        <v>0</v>
      </c>
      <c r="AN138" s="9">
        <f t="shared" si="43"/>
        <v>0</v>
      </c>
      <c r="AO138" s="16">
        <f t="shared" si="44"/>
        <v>9.5689834207591251E-3</v>
      </c>
      <c r="AQ138" s="9"/>
      <c r="AS138">
        <f t="shared" si="45"/>
        <v>0</v>
      </c>
      <c r="AT138">
        <f t="shared" si="46"/>
        <v>1</v>
      </c>
      <c r="AU138">
        <f t="shared" si="47"/>
        <v>0</v>
      </c>
      <c r="AV138">
        <f t="shared" si="48"/>
        <v>0</v>
      </c>
      <c r="AW138" s="9">
        <f t="shared" si="49"/>
        <v>0</v>
      </c>
      <c r="AX138" s="9">
        <f t="shared" si="50"/>
        <v>0</v>
      </c>
      <c r="AY138" s="9">
        <f t="shared" si="51"/>
        <v>0</v>
      </c>
      <c r="AZ138" s="16">
        <f t="shared" si="52"/>
        <v>9.642464800385794E-3</v>
      </c>
      <c r="BB138" s="16">
        <f t="shared" si="53"/>
        <v>0</v>
      </c>
      <c r="BC138" s="16">
        <f t="shared" si="54"/>
        <v>1.9211448221144921E-2</v>
      </c>
    </row>
    <row r="139" spans="1:55" x14ac:dyDescent="0.3">
      <c r="A139" s="1">
        <v>46225</v>
      </c>
      <c r="B139" s="8">
        <v>47.8</v>
      </c>
      <c r="C139" s="8">
        <v>49.75</v>
      </c>
      <c r="D139" s="6">
        <v>1.0407949790794899</v>
      </c>
      <c r="E139" s="6">
        <v>1.0395631876754901</v>
      </c>
      <c r="F139" s="6">
        <v>1.04032885290794</v>
      </c>
      <c r="G139" s="6">
        <v>1.04097821396071</v>
      </c>
      <c r="H139" s="8">
        <v>49.691120370888399</v>
      </c>
      <c r="I139" s="8">
        <v>49.730594979160799</v>
      </c>
      <c r="J139" s="8">
        <v>49.764011831125401</v>
      </c>
      <c r="K139" s="13">
        <v>1.1842110340831199E-3</v>
      </c>
      <c r="L139" s="13">
        <v>3.9012675968382699E-4</v>
      </c>
      <c r="M139" s="13">
        <v>-2.8160519227906901E-4</v>
      </c>
      <c r="N139" s="4">
        <v>0</v>
      </c>
      <c r="O139" s="20">
        <v>0.1</v>
      </c>
      <c r="P139" s="20">
        <f t="shared" si="55"/>
        <v>47.8</v>
      </c>
      <c r="Q139" s="20">
        <f t="shared" si="56"/>
        <v>49.85</v>
      </c>
      <c r="R139" s="19">
        <f t="shared" si="57"/>
        <v>1.0428870292887029</v>
      </c>
      <c r="S139" s="19">
        <f t="shared" si="58"/>
        <v>1.0384357751676798</v>
      </c>
      <c r="T139" s="19">
        <f t="shared" si="33"/>
        <v>1.0424151493505713</v>
      </c>
      <c r="U139" s="19">
        <f t="shared" si="35"/>
        <v>1.0413627265334877</v>
      </c>
      <c r="V139" s="21">
        <f t="shared" si="59"/>
        <v>49.637230053015095</v>
      </c>
      <c r="W139" s="21">
        <f t="shared" si="34"/>
        <v>49.830313676904197</v>
      </c>
      <c r="X139" s="21">
        <f t="shared" si="37"/>
        <v>49.766107464103179</v>
      </c>
      <c r="Y139" s="22">
        <f t="shared" si="60"/>
        <v>2.2693055298850413E-3</v>
      </c>
      <c r="Z139" s="22">
        <f t="shared" si="60"/>
        <v>-1.6130436097812565E-3</v>
      </c>
      <c r="AA139" s="22">
        <f t="shared" si="60"/>
        <v>-3.2371572108872332E-4</v>
      </c>
      <c r="AC139" s="9">
        <f t="shared" si="61"/>
        <v>-6.2741819479529527E-4</v>
      </c>
      <c r="AD139" s="9">
        <f t="shared" si="61"/>
        <v>-6.0283333484419631E-4</v>
      </c>
      <c r="AE139" s="9"/>
      <c r="AF139" s="9"/>
      <c r="AH139">
        <f t="shared" si="38"/>
        <v>0</v>
      </c>
      <c r="AI139">
        <f t="shared" si="39"/>
        <v>0</v>
      </c>
      <c r="AJ139">
        <f t="shared" si="40"/>
        <v>0</v>
      </c>
      <c r="AK139">
        <f t="shared" si="36"/>
        <v>0</v>
      </c>
      <c r="AL139" s="9">
        <f t="shared" si="41"/>
        <v>0</v>
      </c>
      <c r="AM139" s="9">
        <f t="shared" si="42"/>
        <v>0</v>
      </c>
      <c r="AN139" s="9">
        <f t="shared" si="43"/>
        <v>0</v>
      </c>
      <c r="AO139" s="16">
        <f t="shared" si="44"/>
        <v>9.5689834207591251E-3</v>
      </c>
      <c r="AQ139" s="9"/>
      <c r="AS139">
        <f t="shared" si="45"/>
        <v>0</v>
      </c>
      <c r="AT139">
        <f t="shared" si="46"/>
        <v>1</v>
      </c>
      <c r="AU139">
        <f t="shared" si="47"/>
        <v>0</v>
      </c>
      <c r="AV139">
        <f t="shared" si="48"/>
        <v>0</v>
      </c>
      <c r="AW139" s="9">
        <f t="shared" si="49"/>
        <v>0</v>
      </c>
      <c r="AX139" s="9">
        <f t="shared" si="50"/>
        <v>0</v>
      </c>
      <c r="AY139" s="9">
        <f t="shared" si="51"/>
        <v>0</v>
      </c>
      <c r="AZ139" s="16">
        <f t="shared" si="52"/>
        <v>9.642464800385794E-3</v>
      </c>
      <c r="BB139" s="16">
        <f t="shared" si="53"/>
        <v>0</v>
      </c>
      <c r="BC139" s="16">
        <f t="shared" si="54"/>
        <v>1.9211448221144921E-2</v>
      </c>
    </row>
    <row r="140" spans="1:55" x14ac:dyDescent="0.3">
      <c r="A140" s="1">
        <v>46226</v>
      </c>
      <c r="B140" s="8">
        <v>47.71</v>
      </c>
      <c r="C140" s="8">
        <v>49.72</v>
      </c>
      <c r="D140" s="6">
        <v>1.04212953259274</v>
      </c>
      <c r="E140" s="6">
        <v>1.0395631876754901</v>
      </c>
      <c r="F140" s="6">
        <v>1.0406267707653001</v>
      </c>
      <c r="G140" s="6">
        <v>1.04094036069344</v>
      </c>
      <c r="H140" s="8">
        <v>49.597559683997602</v>
      </c>
      <c r="I140" s="8">
        <v>49.634089572238103</v>
      </c>
      <c r="J140" s="8">
        <v>49.665070588065703</v>
      </c>
      <c r="K140" s="13">
        <v>2.4656340413862E-3</v>
      </c>
      <c r="L140" s="13">
        <v>1.7293792242104001E-3</v>
      </c>
      <c r="M140" s="13">
        <v>1.10538569228281E-3</v>
      </c>
      <c r="N140" s="4">
        <v>0</v>
      </c>
      <c r="O140" s="20">
        <v>0.1</v>
      </c>
      <c r="P140" s="20">
        <f t="shared" si="55"/>
        <v>47.71</v>
      </c>
      <c r="Q140" s="20">
        <f t="shared" si="56"/>
        <v>49.82</v>
      </c>
      <c r="R140" s="19">
        <f t="shared" si="57"/>
        <v>1.0442255292391531</v>
      </c>
      <c r="S140" s="19">
        <f t="shared" si="58"/>
        <v>1.0384357751676798</v>
      </c>
      <c r="T140" s="19">
        <f t="shared" ref="T140:T156" si="62">AVERAGE(R131:R140)</f>
        <v>1.0427144203086391</v>
      </c>
      <c r="U140" s="19">
        <f t="shared" si="35"/>
        <v>1.0416651360003715</v>
      </c>
      <c r="V140" s="21">
        <f t="shared" si="59"/>
        <v>49.543770833250008</v>
      </c>
      <c r="W140" s="21">
        <f t="shared" si="34"/>
        <v>49.733626775515759</v>
      </c>
      <c r="X140" s="21">
        <f t="shared" si="37"/>
        <v>49.683415682912702</v>
      </c>
      <c r="Y140" s="22">
        <f t="shared" si="60"/>
        <v>3.550728537188083E-3</v>
      </c>
      <c r="Z140" s="22">
        <f t="shared" si="60"/>
        <v>-2.7403275361277365E-4</v>
      </c>
      <c r="AA140" s="22">
        <f t="shared" si="60"/>
        <v>7.3607769889531653E-4</v>
      </c>
      <c r="AC140" s="9">
        <f t="shared" si="61"/>
        <v>-1.8846199693945437E-3</v>
      </c>
      <c r="AD140" s="9">
        <f t="shared" si="61"/>
        <v>-6.031969620913846E-4</v>
      </c>
      <c r="AE140" s="9"/>
      <c r="AF140" s="9"/>
      <c r="AH140">
        <f t="shared" si="38"/>
        <v>0</v>
      </c>
      <c r="AI140">
        <f t="shared" si="39"/>
        <v>1</v>
      </c>
      <c r="AJ140">
        <f t="shared" si="40"/>
        <v>0</v>
      </c>
      <c r="AK140">
        <f t="shared" si="36"/>
        <v>0</v>
      </c>
      <c r="AL140" s="9">
        <f t="shared" si="41"/>
        <v>0</v>
      </c>
      <c r="AM140" s="9">
        <f t="shared" si="42"/>
        <v>0</v>
      </c>
      <c r="AN140" s="9">
        <f t="shared" si="43"/>
        <v>0</v>
      </c>
      <c r="AO140" s="16">
        <f t="shared" si="44"/>
        <v>9.5689834207591251E-3</v>
      </c>
      <c r="AQ140" s="9"/>
      <c r="AS140">
        <f t="shared" si="45"/>
        <v>0</v>
      </c>
      <c r="AT140">
        <f t="shared" si="46"/>
        <v>0</v>
      </c>
      <c r="AU140">
        <f t="shared" si="47"/>
        <v>0</v>
      </c>
      <c r="AV140">
        <f t="shared" si="48"/>
        <v>0</v>
      </c>
      <c r="AW140" s="9">
        <f t="shared" si="49"/>
        <v>0</v>
      </c>
      <c r="AX140" s="9">
        <f t="shared" si="50"/>
        <v>0</v>
      </c>
      <c r="AY140" s="9">
        <f t="shared" si="51"/>
        <v>0</v>
      </c>
      <c r="AZ140" s="16">
        <f t="shared" si="52"/>
        <v>9.642464800385794E-3</v>
      </c>
      <c r="BB140" s="16">
        <f t="shared" si="53"/>
        <v>0</v>
      </c>
      <c r="BC140" s="16">
        <f t="shared" si="54"/>
        <v>1.9211448221144921E-2</v>
      </c>
    </row>
    <row r="141" spans="1:55" x14ac:dyDescent="0.3">
      <c r="A141" s="1">
        <v>46227</v>
      </c>
      <c r="B141" s="8">
        <v>47.8</v>
      </c>
      <c r="C141" s="8">
        <v>49.75</v>
      </c>
      <c r="D141" s="6">
        <v>1.0407949790794899</v>
      </c>
      <c r="E141" s="6">
        <v>1.0395631876754901</v>
      </c>
      <c r="F141" s="6">
        <v>1.0407337229161799</v>
      </c>
      <c r="G141" s="6">
        <v>1.04080440331621</v>
      </c>
      <c r="H141" s="8">
        <v>49.691120370888399</v>
      </c>
      <c r="I141" s="8">
        <v>49.741959642581499</v>
      </c>
      <c r="J141" s="8">
        <v>49.7569492411467</v>
      </c>
      <c r="K141" s="13">
        <v>1.1842110340831199E-3</v>
      </c>
      <c r="L141" s="13">
        <v>1.61628285638632E-4</v>
      </c>
      <c r="M141" s="13">
        <v>-1.3967348433581201E-4</v>
      </c>
      <c r="N141" s="4">
        <v>0</v>
      </c>
      <c r="O141" s="20">
        <v>0.1</v>
      </c>
      <c r="P141" s="20">
        <f t="shared" si="55"/>
        <v>47.8</v>
      </c>
      <c r="Q141" s="20">
        <f t="shared" si="56"/>
        <v>49.85</v>
      </c>
      <c r="R141" s="19">
        <f t="shared" si="57"/>
        <v>1.0428870292887029</v>
      </c>
      <c r="S141" s="19">
        <f t="shared" si="58"/>
        <v>1.0384357751676798</v>
      </c>
      <c r="T141" s="19">
        <f t="shared" si="62"/>
        <v>1.042822590791586</v>
      </c>
      <c r="U141" s="19">
        <f t="shared" si="35"/>
        <v>1.0418694340876766</v>
      </c>
      <c r="V141" s="21">
        <f t="shared" si="59"/>
        <v>49.637230053015095</v>
      </c>
      <c r="W141" s="21">
        <f t="shared" ref="W141:W156" si="63">T140*P141</f>
        <v>49.841749290752951</v>
      </c>
      <c r="X141" s="21">
        <f t="shared" si="37"/>
        <v>49.791593500817754</v>
      </c>
      <c r="Y141" s="22">
        <f t="shared" si="60"/>
        <v>2.2693055298850413E-3</v>
      </c>
      <c r="Z141" s="22">
        <f t="shared" si="60"/>
        <v>-1.8425083877430667E-3</v>
      </c>
      <c r="AA141" s="22">
        <f t="shared" si="60"/>
        <v>-8.3570097234056829E-4</v>
      </c>
      <c r="AC141" s="9">
        <f t="shared" si="61"/>
        <v>1.8846199693946721E-3</v>
      </c>
      <c r="AD141" s="9">
        <f t="shared" si="61"/>
        <v>6.031969620914695E-4</v>
      </c>
      <c r="AE141" s="9"/>
      <c r="AF141" s="9"/>
      <c r="AH141">
        <f t="shared" si="38"/>
        <v>0</v>
      </c>
      <c r="AI141">
        <f t="shared" si="39"/>
        <v>0</v>
      </c>
      <c r="AJ141">
        <f t="shared" si="40"/>
        <v>0</v>
      </c>
      <c r="AK141">
        <f t="shared" si="36"/>
        <v>0</v>
      </c>
      <c r="AL141" s="9">
        <f t="shared" si="41"/>
        <v>0</v>
      </c>
      <c r="AM141" s="9">
        <f t="shared" si="42"/>
        <v>0</v>
      </c>
      <c r="AN141" s="9">
        <f t="shared" si="43"/>
        <v>0</v>
      </c>
      <c r="AO141" s="16">
        <f t="shared" si="44"/>
        <v>9.5689834207591251E-3</v>
      </c>
      <c r="AQ141" s="9"/>
      <c r="AS141">
        <f t="shared" si="45"/>
        <v>0</v>
      </c>
      <c r="AT141">
        <f t="shared" si="46"/>
        <v>1</v>
      </c>
      <c r="AU141">
        <f t="shared" si="47"/>
        <v>0</v>
      </c>
      <c r="AV141">
        <f t="shared" si="48"/>
        <v>0</v>
      </c>
      <c r="AW141" s="9">
        <f t="shared" si="49"/>
        <v>0</v>
      </c>
      <c r="AX141" s="9">
        <f t="shared" si="50"/>
        <v>0</v>
      </c>
      <c r="AY141" s="9">
        <f t="shared" si="51"/>
        <v>0</v>
      </c>
      <c r="AZ141" s="16">
        <f t="shared" si="52"/>
        <v>9.642464800385794E-3</v>
      </c>
      <c r="BB141" s="16">
        <f t="shared" si="53"/>
        <v>0</v>
      </c>
      <c r="BC141" s="16">
        <f t="shared" si="54"/>
        <v>1.9211448221144921E-2</v>
      </c>
    </row>
    <row r="142" spans="1:55" x14ac:dyDescent="0.3">
      <c r="A142" s="1">
        <v>46230</v>
      </c>
      <c r="B142" s="8">
        <v>47.92</v>
      </c>
      <c r="C142" s="8">
        <v>49.83</v>
      </c>
      <c r="D142" s="6">
        <v>1.03985809682804</v>
      </c>
      <c r="E142" s="6">
        <v>1.0395631876754901</v>
      </c>
      <c r="F142" s="6">
        <v>1.04068946369107</v>
      </c>
      <c r="G142" s="6">
        <v>1.0406431131462801</v>
      </c>
      <c r="H142" s="8">
        <v>49.815867953409501</v>
      </c>
      <c r="I142" s="8">
        <v>49.871960002143503</v>
      </c>
      <c r="J142" s="8">
        <v>49.875347006913202</v>
      </c>
      <c r="K142" s="13">
        <v>2.8364541301071402E-4</v>
      </c>
      <c r="L142" s="13">
        <v>-8.4170872107027395E-4</v>
      </c>
      <c r="M142" s="13">
        <v>-9.0962042460599401E-4</v>
      </c>
      <c r="N142" s="4">
        <v>0</v>
      </c>
      <c r="O142" s="20">
        <v>0.1</v>
      </c>
      <c r="P142" s="20">
        <f t="shared" si="55"/>
        <v>47.92</v>
      </c>
      <c r="Q142" s="20">
        <f t="shared" si="56"/>
        <v>49.93</v>
      </c>
      <c r="R142" s="19">
        <f t="shared" si="57"/>
        <v>1.0419449081803005</v>
      </c>
      <c r="S142" s="19">
        <f t="shared" si="58"/>
        <v>1.0384357751676798</v>
      </c>
      <c r="T142" s="19">
        <f t="shared" si="62"/>
        <v>1.0427782008411881</v>
      </c>
      <c r="U142" s="19">
        <f t="shared" si="35"/>
        <v>1.0420479436050438</v>
      </c>
      <c r="V142" s="21">
        <f t="shared" si="59"/>
        <v>49.761842346035216</v>
      </c>
      <c r="W142" s="21">
        <f t="shared" si="63"/>
        <v>49.972058550732804</v>
      </c>
      <c r="X142" s="21">
        <f t="shared" si="37"/>
        <v>49.926383281481463</v>
      </c>
      <c r="Y142" s="22">
        <f t="shared" si="60"/>
        <v>1.3687399088127157E-3</v>
      </c>
      <c r="Z142" s="22">
        <f t="shared" si="60"/>
        <v>-2.8468079463749296E-3</v>
      </c>
      <c r="AA142" s="22">
        <f t="shared" si="60"/>
        <v>-1.9323738151434964E-3</v>
      </c>
      <c r="AC142" s="9">
        <f t="shared" si="61"/>
        <v>2.5073143097837673E-3</v>
      </c>
      <c r="AD142" s="9">
        <f t="shared" si="61"/>
        <v>1.6067486887114178E-3</v>
      </c>
      <c r="AE142" s="9"/>
      <c r="AF142" s="9"/>
      <c r="AH142">
        <f t="shared" si="38"/>
        <v>1</v>
      </c>
      <c r="AI142">
        <f t="shared" si="39"/>
        <v>0</v>
      </c>
      <c r="AJ142">
        <f t="shared" si="40"/>
        <v>0</v>
      </c>
      <c r="AK142">
        <f t="shared" si="36"/>
        <v>0</v>
      </c>
      <c r="AL142" s="9">
        <f t="shared" si="41"/>
        <v>0</v>
      </c>
      <c r="AM142" s="9">
        <f t="shared" si="42"/>
        <v>0</v>
      </c>
      <c r="AN142" s="9">
        <f t="shared" si="43"/>
        <v>0</v>
      </c>
      <c r="AO142" s="16">
        <f t="shared" si="44"/>
        <v>9.5689834207591251E-3</v>
      </c>
      <c r="AQ142" s="9"/>
      <c r="AS142">
        <f t="shared" si="45"/>
        <v>0</v>
      </c>
      <c r="AT142">
        <f t="shared" si="46"/>
        <v>1</v>
      </c>
      <c r="AU142">
        <f t="shared" si="47"/>
        <v>0</v>
      </c>
      <c r="AV142">
        <f t="shared" si="48"/>
        <v>0</v>
      </c>
      <c r="AW142" s="9">
        <f t="shared" si="49"/>
        <v>0</v>
      </c>
      <c r="AX142" s="9">
        <f t="shared" si="50"/>
        <v>0</v>
      </c>
      <c r="AY142" s="9">
        <f t="shared" si="51"/>
        <v>0</v>
      </c>
      <c r="AZ142" s="16">
        <f t="shared" si="52"/>
        <v>9.642464800385794E-3</v>
      </c>
      <c r="BB142" s="16">
        <f t="shared" si="53"/>
        <v>0</v>
      </c>
      <c r="BC142" s="16">
        <f t="shared" si="54"/>
        <v>1.9211448221144921E-2</v>
      </c>
    </row>
    <row r="143" spans="1:55" x14ac:dyDescent="0.3">
      <c r="A143" s="1">
        <v>46231</v>
      </c>
      <c r="B143" s="8">
        <v>47.99</v>
      </c>
      <c r="C143" s="8">
        <v>49.93</v>
      </c>
      <c r="D143" s="6">
        <v>1.0404250885601101</v>
      </c>
      <c r="E143" s="6">
        <v>1.0395631876754901</v>
      </c>
      <c r="F143" s="6">
        <v>1.04066608430688</v>
      </c>
      <c r="G143" s="6">
        <v>1.0405106165437801</v>
      </c>
      <c r="H143" s="8">
        <v>49.888637376546797</v>
      </c>
      <c r="I143" s="8">
        <v>49.942687362534599</v>
      </c>
      <c r="J143" s="8">
        <v>49.940462999890102</v>
      </c>
      <c r="K143" s="13">
        <v>8.2875556925515205E-4</v>
      </c>
      <c r="L143" s="13">
        <v>-2.54070716187587E-4</v>
      </c>
      <c r="M143" s="13">
        <v>-2.0953141928408201E-4</v>
      </c>
      <c r="N143" s="4">
        <v>0</v>
      </c>
      <c r="O143" s="20">
        <v>0.1</v>
      </c>
      <c r="P143" s="20">
        <f t="shared" si="55"/>
        <v>47.99</v>
      </c>
      <c r="Q143" s="20">
        <f t="shared" si="56"/>
        <v>50.03</v>
      </c>
      <c r="R143" s="19">
        <f t="shared" si="57"/>
        <v>1.0425088560116691</v>
      </c>
      <c r="S143" s="19">
        <f t="shared" si="58"/>
        <v>1.0384357751676798</v>
      </c>
      <c r="T143" s="19">
        <f t="shared" si="62"/>
        <v>1.0427546911129137</v>
      </c>
      <c r="U143" s="19">
        <f t="shared" si="35"/>
        <v>1.0422550441815814</v>
      </c>
      <c r="V143" s="21">
        <f t="shared" si="59"/>
        <v>49.834532850296959</v>
      </c>
      <c r="W143" s="21">
        <f t="shared" si="63"/>
        <v>50.042925858368619</v>
      </c>
      <c r="X143" s="21">
        <f t="shared" si="37"/>
        <v>50.007880813606057</v>
      </c>
      <c r="Y143" s="22">
        <f t="shared" si="60"/>
        <v>1.9138500650571655E-3</v>
      </c>
      <c r="Z143" s="22">
        <f t="shared" si="60"/>
        <v>-2.2591297679253816E-3</v>
      </c>
      <c r="AA143" s="22">
        <f t="shared" si="60"/>
        <v>-1.5585847676097139E-3</v>
      </c>
      <c r="AC143" s="9">
        <f t="shared" si="61"/>
        <v>1.4597020629602945E-3</v>
      </c>
      <c r="AD143" s="9">
        <f t="shared" si="61"/>
        <v>2.0048122192046687E-3</v>
      </c>
      <c r="AE143" s="9"/>
      <c r="AF143" s="9"/>
      <c r="AH143">
        <f t="shared" si="38"/>
        <v>1</v>
      </c>
      <c r="AI143">
        <f t="shared" si="39"/>
        <v>0</v>
      </c>
      <c r="AJ143">
        <f t="shared" si="40"/>
        <v>1</v>
      </c>
      <c r="AK143">
        <f t="shared" si="36"/>
        <v>1</v>
      </c>
      <c r="AL143" s="9">
        <f t="shared" si="41"/>
        <v>-1.4597020629602945E-3</v>
      </c>
      <c r="AM143" s="9">
        <f t="shared" si="42"/>
        <v>2.0048122192046687E-3</v>
      </c>
      <c r="AN143" s="9">
        <f t="shared" si="43"/>
        <v>5.4511015624437412E-4</v>
      </c>
      <c r="AO143" s="16">
        <f t="shared" si="44"/>
        <v>1.01140935770035E-2</v>
      </c>
      <c r="AQ143" s="9"/>
      <c r="AS143">
        <f t="shared" si="45"/>
        <v>0</v>
      </c>
      <c r="AT143">
        <f t="shared" si="46"/>
        <v>1</v>
      </c>
      <c r="AU143">
        <f t="shared" si="47"/>
        <v>0</v>
      </c>
      <c r="AV143">
        <f t="shared" si="48"/>
        <v>0</v>
      </c>
      <c r="AW143" s="9">
        <f t="shared" si="49"/>
        <v>0</v>
      </c>
      <c r="AX143" s="9">
        <f t="shared" si="50"/>
        <v>0</v>
      </c>
      <c r="AY143" s="9">
        <f t="shared" si="51"/>
        <v>0</v>
      </c>
      <c r="AZ143" s="16">
        <f t="shared" si="52"/>
        <v>9.642464800385794E-3</v>
      </c>
      <c r="BB143" s="16">
        <f t="shared" si="53"/>
        <v>5.4511015624437412E-4</v>
      </c>
      <c r="BC143" s="16">
        <f t="shared" si="54"/>
        <v>1.9756558377389294E-2</v>
      </c>
    </row>
    <row r="144" spans="1:55" x14ac:dyDescent="0.3">
      <c r="A144" s="1">
        <v>46232</v>
      </c>
      <c r="B144" s="8">
        <v>47.81</v>
      </c>
      <c r="C144" s="8">
        <v>49.77</v>
      </c>
      <c r="D144" s="6">
        <v>1.0409956076134701</v>
      </c>
      <c r="E144" s="6">
        <v>1.0395631876754901</v>
      </c>
      <c r="F144" s="6">
        <v>1.04074732318607</v>
      </c>
      <c r="G144" s="6">
        <v>1.04032005003203</v>
      </c>
      <c r="H144" s="8">
        <v>49.701516002765203</v>
      </c>
      <c r="I144" s="8">
        <v>49.754245490712101</v>
      </c>
      <c r="J144" s="8">
        <v>49.746812576958398</v>
      </c>
      <c r="K144" s="13">
        <v>1.37695715934248E-3</v>
      </c>
      <c r="L144" s="13">
        <v>3.1659641008535298E-4</v>
      </c>
      <c r="M144" s="13">
        <v>4.6600012320983898E-4</v>
      </c>
      <c r="N144" s="4">
        <v>0</v>
      </c>
      <c r="O144" s="20">
        <v>0.1</v>
      </c>
      <c r="P144" s="20">
        <f t="shared" si="55"/>
        <v>47.81</v>
      </c>
      <c r="Q144" s="20">
        <f t="shared" si="56"/>
        <v>49.870000000000005</v>
      </c>
      <c r="R144" s="19">
        <f t="shared" si="57"/>
        <v>1.0430872202468104</v>
      </c>
      <c r="S144" s="19">
        <f t="shared" si="58"/>
        <v>1.0384357751676798</v>
      </c>
      <c r="T144" s="19">
        <f t="shared" si="62"/>
        <v>1.0428368880491086</v>
      </c>
      <c r="U144" s="19">
        <f t="shared" si="35"/>
        <v>1.0424052941970052</v>
      </c>
      <c r="V144" s="21">
        <f t="shared" si="59"/>
        <v>49.647614410766778</v>
      </c>
      <c r="W144" s="21">
        <f t="shared" si="63"/>
        <v>49.854101782108408</v>
      </c>
      <c r="X144" s="21">
        <f t="shared" si="37"/>
        <v>49.830213662321412</v>
      </c>
      <c r="Y144" s="22">
        <f t="shared" si="60"/>
        <v>2.4620516551443726E-3</v>
      </c>
      <c r="Z144" s="22">
        <f t="shared" si="60"/>
        <v>-1.6883826420031861E-3</v>
      </c>
      <c r="AA144" s="22">
        <f t="shared" si="60"/>
        <v>-1.2091072386909833E-3</v>
      </c>
      <c r="AC144" s="9">
        <f t="shared" si="61"/>
        <v>-3.7578332321421006E-3</v>
      </c>
      <c r="AD144" s="9">
        <f t="shared" si="61"/>
        <v>-3.2096316420550525E-3</v>
      </c>
      <c r="AE144" s="9"/>
      <c r="AF144" s="9"/>
      <c r="AH144">
        <f t="shared" si="38"/>
        <v>1</v>
      </c>
      <c r="AI144">
        <f t="shared" si="39"/>
        <v>0</v>
      </c>
      <c r="AJ144">
        <f t="shared" si="40"/>
        <v>1</v>
      </c>
      <c r="AK144">
        <f t="shared" si="36"/>
        <v>1</v>
      </c>
      <c r="AL144" s="9">
        <f t="shared" si="41"/>
        <v>3.7578332321421006E-3</v>
      </c>
      <c r="AM144" s="9">
        <f t="shared" si="42"/>
        <v>-3.2096316420550525E-3</v>
      </c>
      <c r="AN144" s="9">
        <f t="shared" si="43"/>
        <v>5.4820159008704813E-4</v>
      </c>
      <c r="AO144" s="16">
        <f t="shared" si="44"/>
        <v>1.0662295167090548E-2</v>
      </c>
      <c r="AQ144" s="9"/>
      <c r="AS144">
        <f t="shared" si="45"/>
        <v>0</v>
      </c>
      <c r="AT144">
        <f t="shared" si="46"/>
        <v>1</v>
      </c>
      <c r="AU144">
        <f t="shared" si="47"/>
        <v>0</v>
      </c>
      <c r="AV144">
        <f t="shared" si="48"/>
        <v>0</v>
      </c>
      <c r="AW144" s="9">
        <f t="shared" si="49"/>
        <v>0</v>
      </c>
      <c r="AX144" s="9">
        <f t="shared" si="50"/>
        <v>0</v>
      </c>
      <c r="AY144" s="9">
        <f t="shared" si="51"/>
        <v>0</v>
      </c>
      <c r="AZ144" s="16">
        <f t="shared" si="52"/>
        <v>9.642464800385794E-3</v>
      </c>
      <c r="BB144" s="16">
        <f t="shared" si="53"/>
        <v>5.4820159008704813E-4</v>
      </c>
      <c r="BC144" s="16">
        <f t="shared" si="54"/>
        <v>2.0304759967476341E-2</v>
      </c>
    </row>
    <row r="145" spans="1:55" x14ac:dyDescent="0.3">
      <c r="A145" s="1">
        <v>46233</v>
      </c>
      <c r="B145" s="8">
        <v>47.88</v>
      </c>
      <c r="C145" s="8">
        <v>49.83</v>
      </c>
      <c r="D145" s="6">
        <v>1.0407268170426001</v>
      </c>
      <c r="E145" s="6">
        <v>1.0395631876754901</v>
      </c>
      <c r="F145" s="6">
        <v>1.0407958180679799</v>
      </c>
      <c r="G145" s="6">
        <v>1.04039865315887</v>
      </c>
      <c r="H145" s="8">
        <v>49.774285425902498</v>
      </c>
      <c r="I145" s="8">
        <v>49.830981834149199</v>
      </c>
      <c r="J145" s="8">
        <v>49.810523995533998</v>
      </c>
      <c r="K145" s="13">
        <v>1.1187185304323401E-3</v>
      </c>
      <c r="L145" s="13">
        <v>-1.9703481367626699E-5</v>
      </c>
      <c r="M145" s="13">
        <v>3.90925377206988E-4</v>
      </c>
      <c r="N145" s="4">
        <v>0</v>
      </c>
      <c r="O145" s="20">
        <v>0.1</v>
      </c>
      <c r="P145" s="20">
        <f t="shared" si="55"/>
        <v>47.88</v>
      </c>
      <c r="Q145" s="20">
        <f t="shared" si="56"/>
        <v>49.93</v>
      </c>
      <c r="R145" s="19">
        <f t="shared" si="57"/>
        <v>1.0428153717627402</v>
      </c>
      <c r="S145" s="19">
        <f t="shared" si="58"/>
        <v>1.0384357751676798</v>
      </c>
      <c r="T145" s="19">
        <f t="shared" si="62"/>
        <v>1.0428857313137896</v>
      </c>
      <c r="U145" s="19">
        <f t="shared" si="35"/>
        <v>1.0424847410532176</v>
      </c>
      <c r="V145" s="21">
        <f t="shared" si="59"/>
        <v>49.720304915028514</v>
      </c>
      <c r="W145" s="21">
        <f t="shared" si="63"/>
        <v>49.931030199791323</v>
      </c>
      <c r="X145" s="21">
        <f t="shared" si="37"/>
        <v>49.910365486152614</v>
      </c>
      <c r="Y145" s="22">
        <f t="shared" si="60"/>
        <v>2.2038130262343148E-3</v>
      </c>
      <c r="Z145" s="22">
        <f t="shared" si="60"/>
        <v>-2.0254448882108559E-3</v>
      </c>
      <c r="AA145" s="22">
        <f t="shared" si="60"/>
        <v>-1.6114940656723903E-3</v>
      </c>
      <c r="AC145" s="9">
        <f t="shared" si="61"/>
        <v>1.4630580517603152E-3</v>
      </c>
      <c r="AD145" s="9">
        <f t="shared" si="61"/>
        <v>1.2048194228503359E-3</v>
      </c>
      <c r="AE145" s="9"/>
      <c r="AF145" s="9"/>
      <c r="AH145">
        <f t="shared" si="38"/>
        <v>1</v>
      </c>
      <c r="AI145">
        <f t="shared" si="39"/>
        <v>0</v>
      </c>
      <c r="AJ145">
        <f t="shared" si="40"/>
        <v>1</v>
      </c>
      <c r="AK145">
        <f t="shared" si="36"/>
        <v>1</v>
      </c>
      <c r="AL145" s="9">
        <f t="shared" si="41"/>
        <v>-1.4630580517603152E-3</v>
      </c>
      <c r="AM145" s="9">
        <f t="shared" si="42"/>
        <v>1.2048194228503359E-3</v>
      </c>
      <c r="AN145" s="9">
        <f t="shared" si="43"/>
        <v>-2.5823862890997926E-4</v>
      </c>
      <c r="AO145" s="16">
        <f t="shared" si="44"/>
        <v>1.040405653818057E-2</v>
      </c>
      <c r="AQ145" s="9"/>
      <c r="AS145">
        <f t="shared" si="45"/>
        <v>0</v>
      </c>
      <c r="AT145">
        <f t="shared" si="46"/>
        <v>1</v>
      </c>
      <c r="AU145">
        <f t="shared" si="47"/>
        <v>0</v>
      </c>
      <c r="AV145">
        <f t="shared" si="48"/>
        <v>0</v>
      </c>
      <c r="AW145" s="9">
        <f t="shared" si="49"/>
        <v>0</v>
      </c>
      <c r="AX145" s="9">
        <f t="shared" si="50"/>
        <v>0</v>
      </c>
      <c r="AY145" s="9">
        <f t="shared" si="51"/>
        <v>0</v>
      </c>
      <c r="AZ145" s="16">
        <f t="shared" si="52"/>
        <v>9.642464800385794E-3</v>
      </c>
      <c r="BB145" s="16">
        <f t="shared" si="53"/>
        <v>-2.5823862890997926E-4</v>
      </c>
      <c r="BC145" s="16">
        <f t="shared" si="54"/>
        <v>2.004652133856636E-2</v>
      </c>
    </row>
    <row r="146" spans="1:55" x14ac:dyDescent="0.3">
      <c r="A146" s="1">
        <v>46234</v>
      </c>
      <c r="B146" s="8">
        <v>47.77</v>
      </c>
      <c r="C146" s="8">
        <v>49.75</v>
      </c>
      <c r="D146" s="6">
        <v>1.0414486079129099</v>
      </c>
      <c r="E146" s="6">
        <v>1.0395631876754901</v>
      </c>
      <c r="F146" s="6">
        <v>1.0409348370065701</v>
      </c>
      <c r="G146" s="6">
        <v>1.04051212833063</v>
      </c>
      <c r="H146" s="8">
        <v>49.6599334752581</v>
      </c>
      <c r="I146" s="8">
        <v>49.718816229107603</v>
      </c>
      <c r="J146" s="8">
        <v>49.699843661399299</v>
      </c>
      <c r="K146" s="13">
        <v>1.8120231296228E-3</v>
      </c>
      <c r="L146" s="13">
        <v>6.2700599235408099E-4</v>
      </c>
      <c r="M146" s="13">
        <v>1.00867615285376E-3</v>
      </c>
      <c r="N146" s="4">
        <v>0</v>
      </c>
      <c r="O146" s="20">
        <v>0.1</v>
      </c>
      <c r="P146" s="20">
        <f t="shared" si="55"/>
        <v>47.77</v>
      </c>
      <c r="Q146" s="20">
        <f t="shared" si="56"/>
        <v>49.85</v>
      </c>
      <c r="R146" s="19">
        <f t="shared" si="57"/>
        <v>1.0435419719489218</v>
      </c>
      <c r="S146" s="19">
        <f t="shared" si="58"/>
        <v>1.0384357751676798</v>
      </c>
      <c r="T146" s="19">
        <f t="shared" si="62"/>
        <v>1.0430254490594852</v>
      </c>
      <c r="U146" s="19">
        <f t="shared" si="35"/>
        <v>1.0425992360022394</v>
      </c>
      <c r="V146" s="21">
        <f t="shared" si="59"/>
        <v>49.606076979760068</v>
      </c>
      <c r="W146" s="21">
        <f t="shared" si="63"/>
        <v>49.818651384859734</v>
      </c>
      <c r="X146" s="21">
        <f t="shared" si="37"/>
        <v>49.799496080112213</v>
      </c>
      <c r="Y146" s="22">
        <f t="shared" si="60"/>
        <v>2.8971176254246585E-3</v>
      </c>
      <c r="Z146" s="22">
        <f t="shared" si="60"/>
        <v>-1.3789761091207518E-3</v>
      </c>
      <c r="AA146" s="22">
        <f t="shared" si="60"/>
        <v>-9.9440150156061271E-4</v>
      </c>
      <c r="AC146" s="9">
        <f t="shared" si="61"/>
        <v>-2.3000532879019074E-3</v>
      </c>
      <c r="AD146" s="9">
        <f t="shared" si="61"/>
        <v>-1.6067486887113571E-3</v>
      </c>
      <c r="AE146" s="9"/>
      <c r="AF146" s="9"/>
      <c r="AH146">
        <f t="shared" si="38"/>
        <v>0</v>
      </c>
      <c r="AI146">
        <f t="shared" si="39"/>
        <v>0</v>
      </c>
      <c r="AJ146">
        <f t="shared" si="40"/>
        <v>0</v>
      </c>
      <c r="AK146" s="23">
        <v>0</v>
      </c>
      <c r="AL146" s="9">
        <f t="shared" si="41"/>
        <v>0</v>
      </c>
      <c r="AM146" s="9">
        <f t="shared" si="42"/>
        <v>0</v>
      </c>
      <c r="AN146" s="9">
        <f t="shared" si="43"/>
        <v>0</v>
      </c>
      <c r="AO146" s="16">
        <f t="shared" si="44"/>
        <v>1.040405653818057E-2</v>
      </c>
      <c r="AQ146" s="9"/>
      <c r="AS146">
        <f t="shared" si="45"/>
        <v>0</v>
      </c>
      <c r="AT146">
        <f t="shared" si="46"/>
        <v>1</v>
      </c>
      <c r="AU146">
        <f t="shared" si="47"/>
        <v>0</v>
      </c>
      <c r="AV146">
        <f t="shared" si="48"/>
        <v>0</v>
      </c>
      <c r="AW146" s="9">
        <f t="shared" si="49"/>
        <v>0</v>
      </c>
      <c r="AX146" s="9">
        <f t="shared" si="50"/>
        <v>0</v>
      </c>
      <c r="AY146" s="9">
        <f t="shared" si="51"/>
        <v>0</v>
      </c>
      <c r="AZ146" s="16">
        <f t="shared" si="52"/>
        <v>9.642464800385794E-3</v>
      </c>
      <c r="BB146" s="16">
        <f t="shared" si="53"/>
        <v>0</v>
      </c>
      <c r="BC146" s="16">
        <f t="shared" si="54"/>
        <v>2.004652133856636E-2</v>
      </c>
    </row>
    <row r="147" spans="1:55" x14ac:dyDescent="0.3">
      <c r="A147" s="1">
        <v>46237</v>
      </c>
      <c r="B147" s="8">
        <v>47.84</v>
      </c>
      <c r="C147" s="8">
        <v>49.9</v>
      </c>
      <c r="D147" s="6">
        <v>1.04306020066889</v>
      </c>
      <c r="E147" s="6">
        <v>1.0395631876754901</v>
      </c>
      <c r="F147" s="6">
        <v>1.0411003300973001</v>
      </c>
      <c r="G147" s="6">
        <v>1.04070537063285</v>
      </c>
      <c r="H147" s="8">
        <v>49.732702898395402</v>
      </c>
      <c r="I147" s="8">
        <v>49.798322602394499</v>
      </c>
      <c r="J147" s="8">
        <v>49.778100219337702</v>
      </c>
      <c r="K147" s="13">
        <v>3.35828004198809E-3</v>
      </c>
      <c r="L147" s="13">
        <v>2.0397019769813102E-3</v>
      </c>
      <c r="M147" s="13">
        <v>2.4458700790621498E-3</v>
      </c>
      <c r="N147" s="20">
        <v>0.12</v>
      </c>
      <c r="O147" s="4">
        <v>0</v>
      </c>
      <c r="P147" s="20">
        <f t="shared" si="55"/>
        <v>47.96</v>
      </c>
      <c r="Q147" s="20">
        <f t="shared" si="56"/>
        <v>49.9</v>
      </c>
      <c r="R147" s="19">
        <f t="shared" si="57"/>
        <v>1.0404503753127605</v>
      </c>
      <c r="S147" s="19">
        <f t="shared" si="58"/>
        <v>1.0384357751676798</v>
      </c>
      <c r="T147" s="19">
        <f t="shared" si="62"/>
        <v>1.042720842090552</v>
      </c>
      <c r="U147" s="19">
        <f t="shared" si="35"/>
        <v>1.0425582956222945</v>
      </c>
      <c r="V147" s="21">
        <f t="shared" si="59"/>
        <v>49.803379777041926</v>
      </c>
      <c r="W147" s="21">
        <f t="shared" si="63"/>
        <v>50.023500536892911</v>
      </c>
      <c r="X147" s="21">
        <f t="shared" si="37"/>
        <v>50.0030593586674</v>
      </c>
      <c r="Y147" s="22">
        <f t="shared" si="60"/>
        <v>1.9381540208529746E-3</v>
      </c>
      <c r="Z147" s="22">
        <f t="shared" si="60"/>
        <v>-2.4719029880822863E-3</v>
      </c>
      <c r="AA147" s="22">
        <f t="shared" si="60"/>
        <v>-2.0631879721624106E-3</v>
      </c>
      <c r="AC147" s="9">
        <f t="shared" si="61"/>
        <v>1.4642822405058732E-3</v>
      </c>
      <c r="AD147" s="9">
        <f t="shared" si="61"/>
        <v>3.0105391528712842E-3</v>
      </c>
      <c r="AE147" s="9"/>
      <c r="AF147" s="9"/>
      <c r="AH147">
        <f t="shared" si="38"/>
        <v>1</v>
      </c>
      <c r="AI147">
        <f t="shared" si="39"/>
        <v>0</v>
      </c>
      <c r="AJ147">
        <f t="shared" si="40"/>
        <v>0</v>
      </c>
      <c r="AK147">
        <f t="shared" si="36"/>
        <v>0</v>
      </c>
      <c r="AL147" s="9">
        <f t="shared" si="41"/>
        <v>0</v>
      </c>
      <c r="AM147" s="9">
        <f t="shared" si="42"/>
        <v>0</v>
      </c>
      <c r="AN147" s="9">
        <f t="shared" si="43"/>
        <v>0</v>
      </c>
      <c r="AO147" s="16">
        <f t="shared" si="44"/>
        <v>1.040405653818057E-2</v>
      </c>
      <c r="AQ147" s="9"/>
      <c r="AS147">
        <f t="shared" si="45"/>
        <v>0</v>
      </c>
      <c r="AT147">
        <f t="shared" si="46"/>
        <v>1</v>
      </c>
      <c r="AU147">
        <f t="shared" si="47"/>
        <v>0</v>
      </c>
      <c r="AV147">
        <f t="shared" si="48"/>
        <v>0</v>
      </c>
      <c r="AW147" s="9">
        <f t="shared" si="49"/>
        <v>0</v>
      </c>
      <c r="AX147" s="9">
        <f t="shared" si="50"/>
        <v>0</v>
      </c>
      <c r="AY147" s="9">
        <f t="shared" si="51"/>
        <v>0</v>
      </c>
      <c r="AZ147" s="16">
        <f t="shared" si="52"/>
        <v>9.642464800385794E-3</v>
      </c>
      <c r="BB147" s="16">
        <f t="shared" si="53"/>
        <v>0</v>
      </c>
      <c r="BC147" s="16">
        <f t="shared" si="54"/>
        <v>2.004652133856636E-2</v>
      </c>
    </row>
    <row r="148" spans="1:55" x14ac:dyDescent="0.3">
      <c r="A148" s="1">
        <v>46238</v>
      </c>
      <c r="B148" s="8">
        <v>47.97</v>
      </c>
      <c r="C148" s="8">
        <v>50.03</v>
      </c>
      <c r="D148" s="6">
        <v>1.04294350635814</v>
      </c>
      <c r="E148" s="6">
        <v>1.0395631876754901</v>
      </c>
      <c r="F148" s="6">
        <v>1.0413177415735899</v>
      </c>
      <c r="G148" s="6">
        <v>1.04085337893701</v>
      </c>
      <c r="H148" s="8">
        <v>49.867846112793202</v>
      </c>
      <c r="I148" s="8">
        <v>49.941582834767601</v>
      </c>
      <c r="J148" s="8">
        <v>49.922636629257802</v>
      </c>
      <c r="K148" s="13">
        <v>3.2463969130326399E-3</v>
      </c>
      <c r="L148" s="13">
        <v>1.76884642172659E-3</v>
      </c>
      <c r="M148" s="13">
        <v>2.1482857412091498E-3</v>
      </c>
      <c r="N148" s="20">
        <v>0.12</v>
      </c>
      <c r="O148" s="4">
        <v>0</v>
      </c>
      <c r="P148" s="20">
        <f t="shared" si="55"/>
        <v>48.089999999999996</v>
      </c>
      <c r="Q148" s="20">
        <f t="shared" si="56"/>
        <v>50.03</v>
      </c>
      <c r="R148" s="19">
        <f t="shared" si="57"/>
        <v>1.0403410272405906</v>
      </c>
      <c r="S148" s="19">
        <f t="shared" si="58"/>
        <v>1.0384357751676798</v>
      </c>
      <c r="T148" s="19">
        <f t="shared" si="62"/>
        <v>1.0424689318520353</v>
      </c>
      <c r="U148" s="19">
        <f t="shared" si="35"/>
        <v>1.0424720566886139</v>
      </c>
      <c r="V148" s="21">
        <f t="shared" si="59"/>
        <v>49.938376427813722</v>
      </c>
      <c r="W148" s="21">
        <f t="shared" si="63"/>
        <v>50.144445296134641</v>
      </c>
      <c r="X148" s="21">
        <f t="shared" si="37"/>
        <v>50.136628436476137</v>
      </c>
      <c r="Y148" s="22">
        <f t="shared" si="60"/>
        <v>1.8330516332359075E-3</v>
      </c>
      <c r="Z148" s="22">
        <f t="shared" si="60"/>
        <v>-2.284920981359189E-3</v>
      </c>
      <c r="AA148" s="22">
        <f t="shared" si="60"/>
        <v>-2.1290219790175012E-3</v>
      </c>
      <c r="AC148" s="9">
        <f t="shared" si="61"/>
        <v>2.7137058715961042E-3</v>
      </c>
      <c r="AD148" s="9">
        <f t="shared" si="61"/>
        <v>2.6018227426408396E-3</v>
      </c>
      <c r="AE148" s="9"/>
      <c r="AF148" s="9"/>
      <c r="AH148">
        <f t="shared" si="38"/>
        <v>1</v>
      </c>
      <c r="AI148">
        <f t="shared" si="39"/>
        <v>0</v>
      </c>
      <c r="AJ148">
        <f t="shared" si="40"/>
        <v>1</v>
      </c>
      <c r="AK148">
        <f t="shared" si="36"/>
        <v>1</v>
      </c>
      <c r="AL148" s="9">
        <f t="shared" si="41"/>
        <v>-2.7137058715961042E-3</v>
      </c>
      <c r="AM148" s="9">
        <f t="shared" si="42"/>
        <v>2.6018227426408396E-3</v>
      </c>
      <c r="AN148" s="9">
        <f t="shared" si="43"/>
        <v>-1.1188312895526456E-4</v>
      </c>
      <c r="AO148" s="16">
        <f t="shared" si="44"/>
        <v>1.0292173409225305E-2</v>
      </c>
      <c r="AQ148" s="9"/>
      <c r="AS148">
        <f t="shared" si="45"/>
        <v>0</v>
      </c>
      <c r="AT148">
        <f t="shared" si="46"/>
        <v>1</v>
      </c>
      <c r="AU148">
        <f t="shared" si="47"/>
        <v>0</v>
      </c>
      <c r="AV148">
        <f t="shared" si="48"/>
        <v>0</v>
      </c>
      <c r="AW148" s="9">
        <f t="shared" si="49"/>
        <v>0</v>
      </c>
      <c r="AX148" s="9">
        <f t="shared" si="50"/>
        <v>0</v>
      </c>
      <c r="AY148" s="9">
        <f t="shared" si="51"/>
        <v>0</v>
      </c>
      <c r="AZ148" s="16">
        <f t="shared" si="52"/>
        <v>9.642464800385794E-3</v>
      </c>
      <c r="BB148" s="16">
        <f t="shared" si="53"/>
        <v>-1.1188312895526456E-4</v>
      </c>
      <c r="BC148" s="16">
        <f t="shared" si="54"/>
        <v>1.9934638209611097E-2</v>
      </c>
    </row>
    <row r="149" spans="1:55" x14ac:dyDescent="0.3">
      <c r="A149" s="1">
        <v>46239</v>
      </c>
      <c r="B149" s="8">
        <v>47.99</v>
      </c>
      <c r="C149" s="8">
        <v>50.05</v>
      </c>
      <c r="D149" s="6">
        <v>1.0429256095019701</v>
      </c>
      <c r="E149" s="6">
        <v>1.0395631876754901</v>
      </c>
      <c r="F149" s="6">
        <v>1.04153080461584</v>
      </c>
      <c r="G149" s="6">
        <v>1.04092982876189</v>
      </c>
      <c r="H149" s="8">
        <v>49.888637376546797</v>
      </c>
      <c r="I149" s="8">
        <v>49.972838418116702</v>
      </c>
      <c r="J149" s="8">
        <v>49.950553655187299</v>
      </c>
      <c r="K149" s="13">
        <v>3.22923681796686E-3</v>
      </c>
      <c r="L149" s="13">
        <v>1.5428795745119101E-3</v>
      </c>
      <c r="M149" s="13">
        <v>1.9889165401616601E-3</v>
      </c>
      <c r="N149" s="20">
        <v>0.12</v>
      </c>
      <c r="O149" s="4">
        <v>0</v>
      </c>
      <c r="P149" s="20">
        <f t="shared" si="55"/>
        <v>48.11</v>
      </c>
      <c r="Q149" s="20">
        <f t="shared" si="56"/>
        <v>50.05</v>
      </c>
      <c r="R149" s="19">
        <f t="shared" si="57"/>
        <v>1.040324256911245</v>
      </c>
      <c r="S149" s="19">
        <f t="shared" si="58"/>
        <v>1.0384357751676798</v>
      </c>
      <c r="T149" s="19">
        <f t="shared" si="62"/>
        <v>1.0422126546142896</v>
      </c>
      <c r="U149" s="19">
        <f t="shared" si="35"/>
        <v>1.0423139019824303</v>
      </c>
      <c r="V149" s="21">
        <f t="shared" si="59"/>
        <v>49.959145143317073</v>
      </c>
      <c r="W149" s="21">
        <f t="shared" si="63"/>
        <v>50.153180311401414</v>
      </c>
      <c r="X149" s="21">
        <f t="shared" si="37"/>
        <v>50.153330647289209</v>
      </c>
      <c r="Y149" s="22">
        <f t="shared" si="60"/>
        <v>1.8169314725608463E-3</v>
      </c>
      <c r="Z149" s="22">
        <f t="shared" si="60"/>
        <v>-2.0594226160947286E-3</v>
      </c>
      <c r="AA149" s="22">
        <f t="shared" si="60"/>
        <v>-2.0624201460927782E-3</v>
      </c>
      <c r="AC149" s="9">
        <f t="shared" si="61"/>
        <v>4.1684035618163575E-4</v>
      </c>
      <c r="AD149" s="9">
        <f t="shared" si="61"/>
        <v>3.9968026111589585E-4</v>
      </c>
      <c r="AE149" s="9"/>
      <c r="AF149" s="9"/>
      <c r="AH149">
        <f t="shared" si="38"/>
        <v>1</v>
      </c>
      <c r="AI149">
        <f t="shared" si="39"/>
        <v>0</v>
      </c>
      <c r="AJ149">
        <f t="shared" si="40"/>
        <v>1</v>
      </c>
      <c r="AK149">
        <f t="shared" si="36"/>
        <v>1</v>
      </c>
      <c r="AL149" s="9">
        <f t="shared" si="41"/>
        <v>-4.1684035618163575E-4</v>
      </c>
      <c r="AM149" s="9">
        <f t="shared" si="42"/>
        <v>3.9968026111589585E-4</v>
      </c>
      <c r="AN149" s="9">
        <f t="shared" si="43"/>
        <v>-1.7160095065739899E-5</v>
      </c>
      <c r="AO149" s="16">
        <f t="shared" si="44"/>
        <v>1.0275013314159564E-2</v>
      </c>
      <c r="AQ149" s="9"/>
      <c r="AS149">
        <f t="shared" si="45"/>
        <v>0</v>
      </c>
      <c r="AT149">
        <f t="shared" si="46"/>
        <v>1</v>
      </c>
      <c r="AU149">
        <f t="shared" si="47"/>
        <v>0</v>
      </c>
      <c r="AV149">
        <f t="shared" si="48"/>
        <v>0</v>
      </c>
      <c r="AW149" s="9">
        <f t="shared" si="49"/>
        <v>0</v>
      </c>
      <c r="AX149" s="9">
        <f t="shared" si="50"/>
        <v>0</v>
      </c>
      <c r="AY149" s="9">
        <f t="shared" si="51"/>
        <v>0</v>
      </c>
      <c r="AZ149" s="16">
        <f t="shared" si="52"/>
        <v>9.642464800385794E-3</v>
      </c>
      <c r="BB149" s="16">
        <f t="shared" si="53"/>
        <v>-1.7160095065739899E-5</v>
      </c>
      <c r="BC149" s="16">
        <f t="shared" si="54"/>
        <v>1.9917478114545358E-2</v>
      </c>
    </row>
    <row r="150" spans="1:55" x14ac:dyDescent="0.3">
      <c r="A150" s="1">
        <v>46240</v>
      </c>
      <c r="B150" s="8">
        <v>47.89</v>
      </c>
      <c r="C150" s="8">
        <v>49.96</v>
      </c>
      <c r="D150" s="6">
        <v>1.0432240551263301</v>
      </c>
      <c r="E150" s="6">
        <v>1.0395631876754901</v>
      </c>
      <c r="F150" s="6">
        <v>1.0416402568692</v>
      </c>
      <c r="G150" s="6">
        <v>1.0411335138172499</v>
      </c>
      <c r="H150" s="8">
        <v>49.784681057779203</v>
      </c>
      <c r="I150" s="8">
        <v>49.878910233052601</v>
      </c>
      <c r="J150" s="8">
        <v>49.850129499406997</v>
      </c>
      <c r="K150" s="13">
        <v>3.5153578297505198E-3</v>
      </c>
      <c r="L150" s="13">
        <v>1.6244124578106299E-3</v>
      </c>
      <c r="M150" s="13">
        <v>2.20159107141737E-3</v>
      </c>
      <c r="N150" s="20">
        <v>0.12</v>
      </c>
      <c r="O150" s="4">
        <v>0</v>
      </c>
      <c r="P150" s="20">
        <f t="shared" si="55"/>
        <v>48.01</v>
      </c>
      <c r="Q150" s="20">
        <f t="shared" si="56"/>
        <v>49.96</v>
      </c>
      <c r="R150" s="19">
        <f t="shared" si="57"/>
        <v>1.040616538221204</v>
      </c>
      <c r="S150" s="19">
        <f t="shared" si="58"/>
        <v>1.0384357751676798</v>
      </c>
      <c r="T150" s="19">
        <f t="shared" si="62"/>
        <v>1.0418517555124944</v>
      </c>
      <c r="U150" s="19">
        <f t="shared" ref="U150:U156" si="64">AVERAGE(R131:R150)</f>
        <v>1.0422830879105667</v>
      </c>
      <c r="V150" s="21">
        <f t="shared" si="59"/>
        <v>49.855301565800303</v>
      </c>
      <c r="W150" s="21">
        <f t="shared" si="63"/>
        <v>50.036629548032039</v>
      </c>
      <c r="X150" s="21">
        <f t="shared" si="37"/>
        <v>50.041490434176481</v>
      </c>
      <c r="Y150" s="22">
        <f t="shared" si="60"/>
        <v>2.0978441372215642E-3</v>
      </c>
      <c r="Z150" s="22">
        <f t="shared" si="60"/>
        <v>-1.5326429176380878E-3</v>
      </c>
      <c r="AA150" s="22">
        <f t="shared" si="60"/>
        <v>-1.6297847534185483E-3</v>
      </c>
      <c r="AC150" s="9">
        <f t="shared" si="61"/>
        <v>-2.0859415156362277E-3</v>
      </c>
      <c r="AD150" s="9">
        <f t="shared" si="61"/>
        <v>-1.7998205038525378E-3</v>
      </c>
      <c r="AE150" s="9"/>
      <c r="AF150" s="9"/>
      <c r="AH150">
        <f t="shared" si="38"/>
        <v>1</v>
      </c>
      <c r="AI150">
        <f t="shared" si="39"/>
        <v>0</v>
      </c>
      <c r="AJ150">
        <f t="shared" si="40"/>
        <v>1</v>
      </c>
      <c r="AK150">
        <f t="shared" ref="AK150:AK184" si="65">IF(AH149,1,IF(AI149,0,AJ149))</f>
        <v>1</v>
      </c>
      <c r="AL150" s="9">
        <f t="shared" si="41"/>
        <v>2.0859415156362277E-3</v>
      </c>
      <c r="AM150" s="9">
        <f t="shared" si="42"/>
        <v>-1.7998205038525378E-3</v>
      </c>
      <c r="AN150" s="9">
        <f t="shared" si="43"/>
        <v>2.8612101178368998E-4</v>
      </c>
      <c r="AO150" s="16">
        <f t="shared" si="44"/>
        <v>1.0561134325943255E-2</v>
      </c>
      <c r="AQ150" s="9"/>
      <c r="AS150">
        <f t="shared" si="45"/>
        <v>0</v>
      </c>
      <c r="AT150">
        <f t="shared" si="46"/>
        <v>1</v>
      </c>
      <c r="AU150">
        <f t="shared" si="47"/>
        <v>0</v>
      </c>
      <c r="AV150">
        <f t="shared" si="48"/>
        <v>0</v>
      </c>
      <c r="AW150" s="9">
        <f t="shared" si="49"/>
        <v>0</v>
      </c>
      <c r="AX150" s="9">
        <f t="shared" si="50"/>
        <v>0</v>
      </c>
      <c r="AY150" s="9">
        <f t="shared" si="51"/>
        <v>0</v>
      </c>
      <c r="AZ150" s="16">
        <f t="shared" si="52"/>
        <v>9.642464800385794E-3</v>
      </c>
      <c r="BB150" s="16">
        <f t="shared" si="53"/>
        <v>2.8612101178368998E-4</v>
      </c>
      <c r="BC150" s="16">
        <f t="shared" si="54"/>
        <v>2.0203599126329047E-2</v>
      </c>
    </row>
    <row r="151" spans="1:55" x14ac:dyDescent="0.3">
      <c r="A151" s="1">
        <v>46241</v>
      </c>
      <c r="B151" s="8">
        <v>47.95</v>
      </c>
      <c r="C151" s="8">
        <v>50.03</v>
      </c>
      <c r="D151" s="6">
        <v>1.04337851929092</v>
      </c>
      <c r="E151" s="6">
        <v>1.0395631876754901</v>
      </c>
      <c r="F151" s="6">
        <v>1.0418986108903401</v>
      </c>
      <c r="G151" s="6">
        <v>1.04131616690326</v>
      </c>
      <c r="H151" s="8">
        <v>49.847054849039701</v>
      </c>
      <c r="I151" s="8">
        <v>49.946650316878099</v>
      </c>
      <c r="J151" s="8">
        <v>49.922351987537198</v>
      </c>
      <c r="K151" s="13">
        <v>3.6634110975578699E-3</v>
      </c>
      <c r="L151" s="13">
        <v>1.6673833773819401E-3</v>
      </c>
      <c r="M151" s="13">
        <v>2.1539874138633299E-3</v>
      </c>
      <c r="N151" s="20">
        <v>0.12</v>
      </c>
      <c r="O151" s="4">
        <v>0</v>
      </c>
      <c r="P151" s="20">
        <f t="shared" si="55"/>
        <v>48.07</v>
      </c>
      <c r="Q151" s="20">
        <f t="shared" si="56"/>
        <v>50.03</v>
      </c>
      <c r="R151" s="19">
        <f t="shared" si="57"/>
        <v>1.040773871437487</v>
      </c>
      <c r="S151" s="19">
        <f t="shared" si="58"/>
        <v>1.0384357751676798</v>
      </c>
      <c r="T151" s="19">
        <f t="shared" si="62"/>
        <v>1.0416404397273729</v>
      </c>
      <c r="U151" s="19">
        <f t="shared" si="64"/>
        <v>1.0422315152594794</v>
      </c>
      <c r="V151" s="21">
        <f t="shared" si="59"/>
        <v>49.917607712310371</v>
      </c>
      <c r="W151" s="21">
        <f t="shared" si="63"/>
        <v>50.081813887485609</v>
      </c>
      <c r="X151" s="21">
        <f t="shared" ref="X151:X156" si="66">U150*P151</f>
        <v>50.102548035860941</v>
      </c>
      <c r="Y151" s="22">
        <f t="shared" si="60"/>
        <v>2.2490250169377888E-3</v>
      </c>
      <c r="Z151" s="22">
        <f t="shared" si="60"/>
        <v>-1.0351204338436104E-3</v>
      </c>
      <c r="AA151" s="22">
        <f t="shared" si="60"/>
        <v>-1.4490402966507662E-3</v>
      </c>
      <c r="AC151" s="9">
        <f t="shared" si="61"/>
        <v>1.2520869749293156E-3</v>
      </c>
      <c r="AD151" s="9">
        <f t="shared" si="61"/>
        <v>1.4001402427366635E-3</v>
      </c>
      <c r="AE151" s="9"/>
      <c r="AF151" s="9"/>
      <c r="AH151">
        <f t="shared" ref="AH151:AH156" si="67">IF(AA151&lt;AG$1,1,0)</f>
        <v>1</v>
      </c>
      <c r="AI151">
        <f t="shared" ref="AI151:AI156" si="68">IF($AA151&gt;AG$2,1,0)</f>
        <v>0</v>
      </c>
      <c r="AJ151">
        <f t="shared" ref="AJ151:AJ186" si="69">AK151</f>
        <v>1</v>
      </c>
      <c r="AK151">
        <f t="shared" si="65"/>
        <v>1</v>
      </c>
      <c r="AL151" s="9">
        <f t="shared" ref="AL151:AL156" si="70">-AK151*$AC151</f>
        <v>-1.2520869749293156E-3</v>
      </c>
      <c r="AM151" s="9">
        <f t="shared" ref="AM151:AM156" si="71">AK151*$AD151</f>
        <v>1.4001402427366635E-3</v>
      </c>
      <c r="AN151" s="9">
        <f t="shared" ref="AN151:AN156" si="72">AL151+AM151</f>
        <v>1.480532678073479E-4</v>
      </c>
      <c r="AO151" s="16">
        <f t="shared" ref="AO151:AO156" si="73">AO150+AN151</f>
        <v>1.0709187593750603E-2</v>
      </c>
      <c r="AQ151" s="9"/>
      <c r="AS151">
        <f t="shared" ref="AS151:AS156" si="74">IF($AA151&gt;AR$1,1,0)</f>
        <v>0</v>
      </c>
      <c r="AT151">
        <f t="shared" ref="AT151:AT156" si="75">IF($AA151&lt;AR$2,1,0)</f>
        <v>1</v>
      </c>
      <c r="AU151">
        <f t="shared" ref="AU151:AU156" si="76">AV150</f>
        <v>0</v>
      </c>
      <c r="AV151">
        <f t="shared" ref="AV151:AV156" si="77">IF(AS150,1,IF(AT150,0,AU150))</f>
        <v>0</v>
      </c>
      <c r="AW151" s="9">
        <f t="shared" ref="AW151:AW156" si="78">AV151*$AC151</f>
        <v>0</v>
      </c>
      <c r="AX151" s="9">
        <f t="shared" ref="AX151:AX156" si="79">-AV151*$AD151</f>
        <v>0</v>
      </c>
      <c r="AY151" s="9">
        <f t="shared" ref="AY151:AY156" si="80">AW151+AX151</f>
        <v>0</v>
      </c>
      <c r="AZ151" s="16">
        <f t="shared" ref="AZ151:AZ156" si="81">AZ150+AY151</f>
        <v>9.642464800385794E-3</v>
      </c>
      <c r="BB151" s="16">
        <f t="shared" ref="BB151:BB156" si="82">AN151+AY151</f>
        <v>1.480532678073479E-4</v>
      </c>
      <c r="BC151" s="16">
        <f t="shared" ref="BC151:BC156" si="83">BC150+BB151</f>
        <v>2.0351652394136395E-2</v>
      </c>
    </row>
    <row r="152" spans="1:55" x14ac:dyDescent="0.3">
      <c r="A152" s="1">
        <v>46244</v>
      </c>
      <c r="B152" s="8">
        <v>47.79</v>
      </c>
      <c r="C152" s="8">
        <v>49.9</v>
      </c>
      <c r="D152" s="6">
        <v>1.04415149612889</v>
      </c>
      <c r="E152" s="6">
        <v>1.0395631876754901</v>
      </c>
      <c r="F152" s="6">
        <v>1.04232795082042</v>
      </c>
      <c r="G152" s="6">
        <v>1.0415087072557501</v>
      </c>
      <c r="H152" s="8">
        <v>49.680724739011701</v>
      </c>
      <c r="I152" s="8">
        <v>49.792334614449402</v>
      </c>
      <c r="J152" s="8">
        <v>49.7644996163069</v>
      </c>
      <c r="K152" s="13">
        <v>4.4039770942977102E-3</v>
      </c>
      <c r="L152" s="13">
        <v>2.1599539789175699E-3</v>
      </c>
      <c r="M152" s="13">
        <v>2.7191320420390502E-3</v>
      </c>
      <c r="N152" s="20">
        <v>0.12</v>
      </c>
      <c r="O152" s="4">
        <v>0</v>
      </c>
      <c r="P152" s="20">
        <f t="shared" si="55"/>
        <v>47.91</v>
      </c>
      <c r="Q152" s="20">
        <f t="shared" si="56"/>
        <v>49.9</v>
      </c>
      <c r="R152" s="19">
        <f t="shared" si="57"/>
        <v>1.0415362137340849</v>
      </c>
      <c r="S152" s="19">
        <f t="shared" si="58"/>
        <v>1.0384357751676798</v>
      </c>
      <c r="T152" s="19">
        <f t="shared" si="62"/>
        <v>1.0415995702827514</v>
      </c>
      <c r="U152" s="19">
        <f t="shared" si="64"/>
        <v>1.0421888855619696</v>
      </c>
      <c r="V152" s="21">
        <f t="shared" si="59"/>
        <v>49.751457988283533</v>
      </c>
      <c r="W152" s="21">
        <f t="shared" si="63"/>
        <v>49.904993467338429</v>
      </c>
      <c r="X152" s="21">
        <f t="shared" si="66"/>
        <v>49.933311896081655</v>
      </c>
      <c r="Y152" s="22">
        <f t="shared" si="60"/>
        <v>2.9812332851358427E-3</v>
      </c>
      <c r="Z152" s="22">
        <f t="shared" si="60"/>
        <v>-1.0006447912309209E-4</v>
      </c>
      <c r="AA152" s="22">
        <f t="shared" si="60"/>
        <v>-6.6735033998746563E-4</v>
      </c>
      <c r="AC152" s="9">
        <f t="shared" si="61"/>
        <v>-3.3423887393805086E-3</v>
      </c>
      <c r="AD152" s="9">
        <f t="shared" si="61"/>
        <v>-2.6018227426407737E-3</v>
      </c>
      <c r="AE152" s="9"/>
      <c r="AF152" s="9"/>
      <c r="AH152">
        <f t="shared" si="67"/>
        <v>0</v>
      </c>
      <c r="AI152">
        <f t="shared" si="68"/>
        <v>0</v>
      </c>
      <c r="AJ152">
        <f t="shared" si="69"/>
        <v>1</v>
      </c>
      <c r="AK152">
        <f t="shared" si="65"/>
        <v>1</v>
      </c>
      <c r="AL152" s="9">
        <f t="shared" si="70"/>
        <v>3.3423887393805086E-3</v>
      </c>
      <c r="AM152" s="9">
        <f t="shared" si="71"/>
        <v>-2.6018227426407737E-3</v>
      </c>
      <c r="AN152" s="9">
        <f t="shared" si="72"/>
        <v>7.4056599673973491E-4</v>
      </c>
      <c r="AO152" s="16">
        <f t="shared" si="73"/>
        <v>1.1449753590490337E-2</v>
      </c>
      <c r="AQ152" s="9"/>
      <c r="AS152">
        <f t="shared" si="74"/>
        <v>0</v>
      </c>
      <c r="AT152">
        <f t="shared" si="75"/>
        <v>1</v>
      </c>
      <c r="AU152">
        <f t="shared" si="76"/>
        <v>0</v>
      </c>
      <c r="AV152">
        <f t="shared" si="77"/>
        <v>0</v>
      </c>
      <c r="AW152" s="9">
        <f t="shared" si="78"/>
        <v>0</v>
      </c>
      <c r="AX152" s="9">
        <f t="shared" si="79"/>
        <v>0</v>
      </c>
      <c r="AY152" s="9">
        <f t="shared" si="80"/>
        <v>0</v>
      </c>
      <c r="AZ152" s="16">
        <f t="shared" si="81"/>
        <v>9.642464800385794E-3</v>
      </c>
      <c r="BB152" s="16">
        <f t="shared" si="82"/>
        <v>7.4056599673973491E-4</v>
      </c>
      <c r="BC152" s="16">
        <f t="shared" si="83"/>
        <v>2.1092218390876129E-2</v>
      </c>
    </row>
    <row r="153" spans="1:55" x14ac:dyDescent="0.3">
      <c r="A153" s="1">
        <v>46245</v>
      </c>
      <c r="B153" s="8">
        <v>47.82</v>
      </c>
      <c r="C153" s="8">
        <v>49.91</v>
      </c>
      <c r="D153" s="6">
        <v>1.04370556252613</v>
      </c>
      <c r="E153" s="6">
        <v>1.0395631876754901</v>
      </c>
      <c r="F153" s="6">
        <v>1.04265599821703</v>
      </c>
      <c r="G153" s="6">
        <v>1.04166104126195</v>
      </c>
      <c r="H153" s="8">
        <v>49.711911634641901</v>
      </c>
      <c r="I153" s="8">
        <v>49.844122608232801</v>
      </c>
      <c r="J153" s="8">
        <v>49.804946380970001</v>
      </c>
      <c r="K153" s="13">
        <v>3.9768083782307498E-3</v>
      </c>
      <c r="L153" s="13">
        <v>1.3207955645658501E-3</v>
      </c>
      <c r="M153" s="13">
        <v>2.1070794642272799E-3</v>
      </c>
      <c r="N153" s="20">
        <v>0.12</v>
      </c>
      <c r="O153" s="4">
        <v>0</v>
      </c>
      <c r="P153" s="20">
        <f t="shared" si="55"/>
        <v>47.94</v>
      </c>
      <c r="Q153" s="20">
        <f t="shared" si="56"/>
        <v>49.91</v>
      </c>
      <c r="R153" s="19">
        <f t="shared" si="57"/>
        <v>1.041093032957864</v>
      </c>
      <c r="S153" s="19">
        <f t="shared" si="58"/>
        <v>1.0384357751676798</v>
      </c>
      <c r="T153" s="19">
        <f t="shared" si="62"/>
        <v>1.0414579879773709</v>
      </c>
      <c r="U153" s="19">
        <f t="shared" si="64"/>
        <v>1.0421063395451422</v>
      </c>
      <c r="V153" s="21">
        <f t="shared" si="59"/>
        <v>49.782611061538567</v>
      </c>
      <c r="W153" s="21">
        <f t="shared" si="63"/>
        <v>49.934283399355103</v>
      </c>
      <c r="X153" s="21">
        <f t="shared" si="66"/>
        <v>49.96253517384082</v>
      </c>
      <c r="Y153" s="22">
        <f t="shared" si="60"/>
        <v>2.5556358979731113E-3</v>
      </c>
      <c r="Z153" s="22">
        <f t="shared" si="60"/>
        <v>-4.8642544184100331E-4</v>
      </c>
      <c r="AA153" s="22">
        <f t="shared" si="60"/>
        <v>-1.052044560496333E-3</v>
      </c>
      <c r="AC153" s="9">
        <f t="shared" si="61"/>
        <v>6.2754944011183048E-4</v>
      </c>
      <c r="AD153" s="9">
        <f t="shared" si="61"/>
        <v>2.0038072404490384E-4</v>
      </c>
      <c r="AE153" s="9"/>
      <c r="AF153" s="9"/>
      <c r="AH153">
        <f t="shared" si="67"/>
        <v>1</v>
      </c>
      <c r="AI153">
        <f t="shared" si="68"/>
        <v>0</v>
      </c>
      <c r="AJ153">
        <f t="shared" si="69"/>
        <v>1</v>
      </c>
      <c r="AK153">
        <f t="shared" si="65"/>
        <v>1</v>
      </c>
      <c r="AL153" s="9">
        <f t="shared" si="70"/>
        <v>-6.2754944011183048E-4</v>
      </c>
      <c r="AM153" s="9">
        <f t="shared" si="71"/>
        <v>2.0038072404490384E-4</v>
      </c>
      <c r="AN153" s="9">
        <f t="shared" si="72"/>
        <v>-4.2716871606692663E-4</v>
      </c>
      <c r="AO153" s="16">
        <f t="shared" si="73"/>
        <v>1.1022584874423411E-2</v>
      </c>
      <c r="AQ153" s="9"/>
      <c r="AS153">
        <f t="shared" si="74"/>
        <v>0</v>
      </c>
      <c r="AT153">
        <f t="shared" si="75"/>
        <v>1</v>
      </c>
      <c r="AU153">
        <f t="shared" si="76"/>
        <v>0</v>
      </c>
      <c r="AV153">
        <f t="shared" si="77"/>
        <v>0</v>
      </c>
      <c r="AW153" s="9">
        <f t="shared" si="78"/>
        <v>0</v>
      </c>
      <c r="AX153" s="9">
        <f t="shared" si="79"/>
        <v>0</v>
      </c>
      <c r="AY153" s="9">
        <f t="shared" si="80"/>
        <v>0</v>
      </c>
      <c r="AZ153" s="16">
        <f t="shared" si="81"/>
        <v>9.642464800385794E-3</v>
      </c>
      <c r="BB153" s="16">
        <f t="shared" si="82"/>
        <v>-4.2716871606692663E-4</v>
      </c>
      <c r="BC153" s="16">
        <f t="shared" si="83"/>
        <v>2.0665049674809203E-2</v>
      </c>
    </row>
    <row r="154" spans="1:55" x14ac:dyDescent="0.3">
      <c r="A154" s="1">
        <v>46246</v>
      </c>
      <c r="B154" s="8">
        <v>47.82</v>
      </c>
      <c r="C154" s="8">
        <v>49.91</v>
      </c>
      <c r="D154" s="6">
        <v>1.04370556252613</v>
      </c>
      <c r="E154" s="6">
        <v>1.0395631876754901</v>
      </c>
      <c r="F154" s="6">
        <v>1.0429269937082899</v>
      </c>
      <c r="G154" s="6">
        <v>1.0418371584471799</v>
      </c>
      <c r="H154" s="8">
        <v>49.711911634641901</v>
      </c>
      <c r="I154" s="8">
        <v>49.8598098347384</v>
      </c>
      <c r="J154" s="8">
        <v>49.812230993146798</v>
      </c>
      <c r="K154" s="13">
        <v>3.9768083782307498E-3</v>
      </c>
      <c r="L154" s="13">
        <v>1.0061193777674701E-3</v>
      </c>
      <c r="M154" s="13">
        <v>1.9608273341868098E-3</v>
      </c>
      <c r="N154" s="20">
        <v>0.12</v>
      </c>
      <c r="O154" s="4">
        <v>0</v>
      </c>
      <c r="P154" s="20">
        <f t="shared" si="55"/>
        <v>47.94</v>
      </c>
      <c r="Q154" s="20">
        <f t="shared" si="56"/>
        <v>49.91</v>
      </c>
      <c r="R154" s="19">
        <f t="shared" si="57"/>
        <v>1.041093032957864</v>
      </c>
      <c r="S154" s="19">
        <f t="shared" si="58"/>
        <v>1.0384357751676798</v>
      </c>
      <c r="T154" s="19">
        <f t="shared" si="62"/>
        <v>1.0412585692484764</v>
      </c>
      <c r="U154" s="19">
        <f t="shared" si="64"/>
        <v>1.0420477286487924</v>
      </c>
      <c r="V154" s="21">
        <f t="shared" si="59"/>
        <v>49.782611061538567</v>
      </c>
      <c r="W154" s="21">
        <f t="shared" si="63"/>
        <v>49.927495943635158</v>
      </c>
      <c r="X154" s="21">
        <f t="shared" si="66"/>
        <v>49.958577917794116</v>
      </c>
      <c r="Y154" s="22">
        <f t="shared" si="60"/>
        <v>2.5556358979731113E-3</v>
      </c>
      <c r="Z154" s="22">
        <f t="shared" si="60"/>
        <v>-3.5048843420794356E-4</v>
      </c>
      <c r="AA154" s="22">
        <f t="shared" si="60"/>
        <v>-9.7283695508974398E-4</v>
      </c>
      <c r="AC154" s="9">
        <f t="shared" si="61"/>
        <v>0</v>
      </c>
      <c r="AD154" s="9">
        <f t="shared" si="61"/>
        <v>0</v>
      </c>
      <c r="AE154" s="9"/>
      <c r="AF154" s="9"/>
      <c r="AH154">
        <f t="shared" si="67"/>
        <v>0</v>
      </c>
      <c r="AI154">
        <f t="shared" si="68"/>
        <v>0</v>
      </c>
      <c r="AJ154">
        <f t="shared" si="69"/>
        <v>1</v>
      </c>
      <c r="AK154">
        <f t="shared" si="65"/>
        <v>1</v>
      </c>
      <c r="AL154" s="9">
        <f t="shared" si="70"/>
        <v>0</v>
      </c>
      <c r="AM154" s="9">
        <f t="shared" si="71"/>
        <v>0</v>
      </c>
      <c r="AN154" s="9">
        <f t="shared" si="72"/>
        <v>0</v>
      </c>
      <c r="AO154" s="16">
        <f t="shared" si="73"/>
        <v>1.1022584874423411E-2</v>
      </c>
      <c r="AQ154" s="9"/>
      <c r="AS154">
        <f t="shared" si="74"/>
        <v>0</v>
      </c>
      <c r="AT154">
        <f t="shared" si="75"/>
        <v>1</v>
      </c>
      <c r="AU154">
        <f t="shared" si="76"/>
        <v>0</v>
      </c>
      <c r="AV154">
        <f t="shared" si="77"/>
        <v>0</v>
      </c>
      <c r="AW154" s="9">
        <f t="shared" si="78"/>
        <v>0</v>
      </c>
      <c r="AX154" s="9">
        <f t="shared" si="79"/>
        <v>0</v>
      </c>
      <c r="AY154" s="9">
        <f t="shared" si="80"/>
        <v>0</v>
      </c>
      <c r="AZ154" s="16">
        <f t="shared" si="81"/>
        <v>9.642464800385794E-3</v>
      </c>
      <c r="BB154" s="16">
        <f t="shared" si="82"/>
        <v>0</v>
      </c>
      <c r="BC154" s="16">
        <f t="shared" si="83"/>
        <v>2.0665049674809203E-2</v>
      </c>
    </row>
    <row r="155" spans="1:55" x14ac:dyDescent="0.3">
      <c r="A155" s="1">
        <v>46247</v>
      </c>
      <c r="B155" s="8">
        <v>47.91</v>
      </c>
      <c r="C155" s="8">
        <v>49.99</v>
      </c>
      <c r="D155" s="6">
        <v>1.04341473596326</v>
      </c>
      <c r="E155" s="6">
        <v>1.0395631876754901</v>
      </c>
      <c r="F155" s="6">
        <v>1.04319578560036</v>
      </c>
      <c r="G155" s="6">
        <v>1.04199580183417</v>
      </c>
      <c r="H155" s="8">
        <v>49.805472321532697</v>
      </c>
      <c r="I155" s="8">
        <v>49.966632268564503</v>
      </c>
      <c r="J155" s="8">
        <v>49.914418261204702</v>
      </c>
      <c r="K155" s="13">
        <v>3.6981214573399198E-3</v>
      </c>
      <c r="L155" s="13">
        <v>4.6755740626374298E-4</v>
      </c>
      <c r="M155" s="13">
        <v>1.51308129371232E-3</v>
      </c>
      <c r="N155" s="20">
        <v>0.12</v>
      </c>
      <c r="O155" s="4">
        <v>0</v>
      </c>
      <c r="P155" s="20">
        <f t="shared" si="55"/>
        <v>48.029999999999994</v>
      </c>
      <c r="Q155" s="20">
        <f t="shared" si="56"/>
        <v>49.99</v>
      </c>
      <c r="R155" s="19">
        <f t="shared" si="57"/>
        <v>1.0408078284405582</v>
      </c>
      <c r="S155" s="19">
        <f t="shared" si="58"/>
        <v>1.0384357751676798</v>
      </c>
      <c r="T155" s="19">
        <f t="shared" si="62"/>
        <v>1.0410578149162579</v>
      </c>
      <c r="U155" s="19">
        <f t="shared" si="64"/>
        <v>1.0419717731150238</v>
      </c>
      <c r="V155" s="21">
        <f t="shared" si="59"/>
        <v>49.876070281303654</v>
      </c>
      <c r="W155" s="21">
        <f t="shared" si="63"/>
        <v>50.011649081004315</v>
      </c>
      <c r="X155" s="21">
        <f t="shared" si="66"/>
        <v>50.049552407001492</v>
      </c>
      <c r="Y155" s="22">
        <f t="shared" si="60"/>
        <v>2.2816511714396528E-3</v>
      </c>
      <c r="Z155" s="22">
        <f t="shared" si="60"/>
        <v>-4.3297448675039453E-4</v>
      </c>
      <c r="AA155" s="22">
        <f t="shared" si="60"/>
        <v>-1.1905773787093644E-3</v>
      </c>
      <c r="AC155" s="9">
        <f t="shared" si="61"/>
        <v>1.8802888648519064E-3</v>
      </c>
      <c r="AD155" s="9">
        <f t="shared" si="61"/>
        <v>1.6016019439611497E-3</v>
      </c>
      <c r="AE155" s="9"/>
      <c r="AF155" s="9"/>
      <c r="AH155">
        <f t="shared" si="67"/>
        <v>1</v>
      </c>
      <c r="AI155">
        <f t="shared" si="68"/>
        <v>0</v>
      </c>
      <c r="AJ155">
        <f t="shared" si="69"/>
        <v>1</v>
      </c>
      <c r="AK155">
        <f t="shared" si="65"/>
        <v>1</v>
      </c>
      <c r="AL155" s="9">
        <f t="shared" si="70"/>
        <v>-1.8802888648519064E-3</v>
      </c>
      <c r="AM155" s="9">
        <f t="shared" si="71"/>
        <v>1.6016019439611497E-3</v>
      </c>
      <c r="AN155" s="9">
        <f t="shared" si="72"/>
        <v>-2.7868692089075666E-4</v>
      </c>
      <c r="AO155" s="16">
        <f t="shared" si="73"/>
        <v>1.0743897953532654E-2</v>
      </c>
      <c r="AQ155" s="9"/>
      <c r="AS155">
        <f t="shared" si="74"/>
        <v>0</v>
      </c>
      <c r="AT155">
        <f t="shared" si="75"/>
        <v>1</v>
      </c>
      <c r="AU155">
        <f t="shared" si="76"/>
        <v>0</v>
      </c>
      <c r="AV155">
        <f t="shared" si="77"/>
        <v>0</v>
      </c>
      <c r="AW155" s="9">
        <f t="shared" si="78"/>
        <v>0</v>
      </c>
      <c r="AX155" s="9">
        <f t="shared" si="79"/>
        <v>0</v>
      </c>
      <c r="AY155" s="9">
        <f t="shared" si="80"/>
        <v>0</v>
      </c>
      <c r="AZ155" s="16">
        <f t="shared" si="81"/>
        <v>9.642464800385794E-3</v>
      </c>
      <c r="BB155" s="16">
        <f t="shared" si="82"/>
        <v>-2.7868692089075666E-4</v>
      </c>
      <c r="BC155" s="16">
        <f t="shared" si="83"/>
        <v>2.0386362753918447E-2</v>
      </c>
    </row>
    <row r="156" spans="1:55" x14ac:dyDescent="0.3">
      <c r="A156" s="1">
        <v>46248</v>
      </c>
      <c r="B156" s="8">
        <v>47.72</v>
      </c>
      <c r="C156" s="8">
        <v>49.87</v>
      </c>
      <c r="D156" s="6">
        <v>1.04505448449287</v>
      </c>
      <c r="E156" s="6">
        <v>1.0395631876754901</v>
      </c>
      <c r="F156" s="6">
        <v>1.0435563732583499</v>
      </c>
      <c r="G156" s="6">
        <v>1.04224560513246</v>
      </c>
      <c r="H156" s="8">
        <v>49.607955315874399</v>
      </c>
      <c r="I156" s="8">
        <v>49.781302888849297</v>
      </c>
      <c r="J156" s="8">
        <v>49.724039663526703</v>
      </c>
      <c r="K156" s="13">
        <v>5.2684092552074497E-3</v>
      </c>
      <c r="L156" s="13">
        <v>1.7801500231772599E-3</v>
      </c>
      <c r="M156" s="13">
        <v>2.93110795518608E-3</v>
      </c>
      <c r="N156" s="20">
        <v>0.12</v>
      </c>
      <c r="O156" s="4">
        <v>0</v>
      </c>
      <c r="P156" s="20">
        <f t="shared" si="55"/>
        <v>47.839999999999996</v>
      </c>
      <c r="Q156" s="20">
        <f t="shared" si="56"/>
        <v>49.87</v>
      </c>
      <c r="R156" s="19">
        <f t="shared" si="57"/>
        <v>1.042433110367893</v>
      </c>
      <c r="S156" s="19">
        <f t="shared" si="58"/>
        <v>1.0384357751676798</v>
      </c>
      <c r="T156" s="19">
        <f t="shared" si="62"/>
        <v>1.0409469287581552</v>
      </c>
      <c r="U156" s="19">
        <f t="shared" si="64"/>
        <v>1.0419861889088202</v>
      </c>
      <c r="V156" s="21">
        <f t="shared" si="59"/>
        <v>49.678767484021797</v>
      </c>
      <c r="W156" s="21">
        <f t="shared" si="63"/>
        <v>49.804205865593772</v>
      </c>
      <c r="X156" s="21">
        <f t="shared" si="66"/>
        <v>49.847929625822729</v>
      </c>
      <c r="Y156" s="22">
        <f t="shared" si="60"/>
        <v>3.8419913383485487E-3</v>
      </c>
      <c r="Z156" s="22">
        <f t="shared" si="60"/>
        <v>1.3201839611527892E-3</v>
      </c>
      <c r="AA156" s="22">
        <f t="shared" si="60"/>
        <v>4.4265609244929256E-4</v>
      </c>
      <c r="AC156" s="9">
        <f t="shared" si="61"/>
        <v>-3.9736536653152956E-3</v>
      </c>
      <c r="AD156" s="9">
        <f t="shared" si="61"/>
        <v>-2.4033658674479526E-3</v>
      </c>
      <c r="AE156" s="9"/>
      <c r="AF156" s="9"/>
      <c r="AH156">
        <f t="shared" si="67"/>
        <v>0</v>
      </c>
      <c r="AI156">
        <f t="shared" si="68"/>
        <v>1</v>
      </c>
      <c r="AJ156">
        <f t="shared" si="69"/>
        <v>1</v>
      </c>
      <c r="AK156">
        <f t="shared" si="65"/>
        <v>1</v>
      </c>
      <c r="AL156" s="9">
        <f t="shared" si="70"/>
        <v>3.9736536653152956E-3</v>
      </c>
      <c r="AM156" s="9">
        <f t="shared" si="71"/>
        <v>-2.4033658674479526E-3</v>
      </c>
      <c r="AN156" s="9">
        <f t="shared" si="72"/>
        <v>1.570287797867343E-3</v>
      </c>
      <c r="AO156" s="16">
        <f t="shared" si="73"/>
        <v>1.2314185751399998E-2</v>
      </c>
      <c r="AQ156" s="9"/>
      <c r="AS156">
        <f t="shared" si="74"/>
        <v>0</v>
      </c>
      <c r="AT156">
        <f t="shared" si="75"/>
        <v>0</v>
      </c>
      <c r="AU156">
        <f t="shared" si="76"/>
        <v>0</v>
      </c>
      <c r="AV156">
        <f t="shared" si="77"/>
        <v>0</v>
      </c>
      <c r="AW156" s="9">
        <f t="shared" si="78"/>
        <v>0</v>
      </c>
      <c r="AX156" s="9">
        <f t="shared" si="79"/>
        <v>0</v>
      </c>
      <c r="AY156" s="9">
        <f t="shared" si="80"/>
        <v>0</v>
      </c>
      <c r="AZ156" s="16">
        <f t="shared" si="81"/>
        <v>9.642464800385794E-3</v>
      </c>
      <c r="BB156" s="16">
        <f t="shared" si="82"/>
        <v>1.570287797867343E-3</v>
      </c>
      <c r="BC156" s="16">
        <f t="shared" si="83"/>
        <v>2.1956650551785788E-2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BNDX_IAGG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2026-09-03T00:38:18Z</dcterms:created>
  <dcterms:modified xsi:type="dcterms:W3CDTF">2026-09-03T00:38:18Z</dcterms:modified>
</cp:coreProperties>
</file>