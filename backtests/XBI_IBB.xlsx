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E8877228-8696-4F93-A206-5F6BC7FECB24}" xr6:coauthVersionLast="47" xr6:coauthVersionMax="47" xr10:uidLastSave="{00000000-0000-0000-0000-000000000000}"/>
  <bookViews>
    <workbookView xWindow="28680" yWindow="-120" windowWidth="29040" windowHeight="15720" xr2:uid="{770B8B57-144B-4E68-B903-668737A47E08}"/>
  </bookViews>
  <sheets>
    <sheet name="XBI_IBB_1" sheetId="1" r:id="rId1"/>
  </sheets>
  <externalReferences>
    <externalReference r:id="rId2"/>
    <externalReference r:id="rId3"/>
  </externalReferences>
  <calcPr calcId="0"/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R167" i="1" s="1"/>
  <c r="BE166" i="1"/>
  <c r="BC166" i="1"/>
  <c r="BB166" i="1"/>
  <c r="BQ165" i="1"/>
  <c r="BO165" i="1"/>
  <c r="BN165" i="1"/>
  <c r="BR166" i="1" s="1"/>
  <c r="BE165" i="1"/>
  <c r="BC165" i="1"/>
  <c r="BB165" i="1"/>
  <c r="BQ164" i="1"/>
  <c r="BO164" i="1"/>
  <c r="BN164" i="1"/>
  <c r="BR165" i="1" s="1"/>
  <c r="BE164" i="1"/>
  <c r="BC164" i="1"/>
  <c r="BB164" i="1"/>
  <c r="BQ163" i="1"/>
  <c r="BO163" i="1"/>
  <c r="BN163" i="1"/>
  <c r="BR164" i="1" s="1"/>
  <c r="BE163" i="1"/>
  <c r="BC163" i="1"/>
  <c r="BB163" i="1"/>
  <c r="BQ162" i="1"/>
  <c r="BO162" i="1"/>
  <c r="BN162" i="1"/>
  <c r="BR163" i="1" s="1"/>
  <c r="BE162" i="1"/>
  <c r="BC162" i="1"/>
  <c r="BB162" i="1"/>
  <c r="BQ161" i="1"/>
  <c r="BO161" i="1"/>
  <c r="BN161" i="1"/>
  <c r="BR162" i="1" s="1"/>
  <c r="BE161" i="1"/>
  <c r="BC161" i="1"/>
  <c r="BB161" i="1"/>
  <c r="BQ160" i="1"/>
  <c r="BO160" i="1"/>
  <c r="BN160" i="1"/>
  <c r="BR161" i="1" s="1"/>
  <c r="BE160" i="1"/>
  <c r="BC160" i="1"/>
  <c r="BB160" i="1"/>
  <c r="BQ159" i="1"/>
  <c r="BO159" i="1"/>
  <c r="BN159" i="1"/>
  <c r="BR160" i="1" s="1"/>
  <c r="BE159" i="1"/>
  <c r="BC159" i="1"/>
  <c r="BB159" i="1"/>
  <c r="BQ158" i="1"/>
  <c r="BO158" i="1"/>
  <c r="BN158" i="1"/>
  <c r="BR159" i="1" s="1"/>
  <c r="BE158" i="1"/>
  <c r="BC158" i="1"/>
  <c r="BB158" i="1"/>
  <c r="BQ157" i="1"/>
  <c r="BO157" i="1"/>
  <c r="BN157" i="1"/>
  <c r="BR158" i="1" s="1"/>
  <c r="BE157" i="1"/>
  <c r="BC157" i="1"/>
  <c r="BB157" i="1"/>
  <c r="BQ156" i="1"/>
  <c r="BO156" i="1"/>
  <c r="BN156" i="1"/>
  <c r="BR157" i="1" s="1"/>
  <c r="BE156" i="1"/>
  <c r="BC156" i="1"/>
  <c r="BB156" i="1"/>
  <c r="BQ155" i="1"/>
  <c r="BO155" i="1"/>
  <c r="BN155" i="1"/>
  <c r="BR156" i="1" s="1"/>
  <c r="BE155" i="1"/>
  <c r="BC155" i="1"/>
  <c r="BB155" i="1"/>
  <c r="BQ154" i="1"/>
  <c r="BO154" i="1"/>
  <c r="BN154" i="1"/>
  <c r="BR155" i="1" s="1"/>
  <c r="BE154" i="1"/>
  <c r="BC154" i="1"/>
  <c r="BB154" i="1"/>
  <c r="BQ153" i="1"/>
  <c r="BO153" i="1"/>
  <c r="BN153" i="1"/>
  <c r="BR154" i="1" s="1"/>
  <c r="BE153" i="1"/>
  <c r="BC153" i="1"/>
  <c r="BB153" i="1"/>
  <c r="BQ152" i="1"/>
  <c r="BO152" i="1"/>
  <c r="BN152" i="1"/>
  <c r="BR153" i="1" s="1"/>
  <c r="BE152" i="1"/>
  <c r="BC152" i="1"/>
  <c r="BB152" i="1"/>
  <c r="BQ151" i="1"/>
  <c r="BO151" i="1"/>
  <c r="BN151" i="1"/>
  <c r="BR152" i="1" s="1"/>
  <c r="BE151" i="1"/>
  <c r="BC151" i="1"/>
  <c r="BB151" i="1"/>
  <c r="BQ150" i="1"/>
  <c r="BO150" i="1"/>
  <c r="BN150" i="1"/>
  <c r="BR151" i="1" s="1"/>
  <c r="BE150" i="1"/>
  <c r="BC150" i="1"/>
  <c r="BB150" i="1"/>
  <c r="BQ149" i="1"/>
  <c r="BO149" i="1"/>
  <c r="BN149" i="1"/>
  <c r="BR150" i="1" s="1"/>
  <c r="BE149" i="1"/>
  <c r="BC149" i="1"/>
  <c r="BB149" i="1"/>
  <c r="BQ148" i="1"/>
  <c r="BO148" i="1"/>
  <c r="BN148" i="1"/>
  <c r="BR149" i="1" s="1"/>
  <c r="BE148" i="1"/>
  <c r="BC148" i="1"/>
  <c r="BB148" i="1"/>
  <c r="BQ147" i="1"/>
  <c r="BO147" i="1"/>
  <c r="BN147" i="1"/>
  <c r="BR148" i="1" s="1"/>
  <c r="BE147" i="1"/>
  <c r="BC147" i="1"/>
  <c r="BB147" i="1"/>
  <c r="BQ146" i="1"/>
  <c r="BO146" i="1"/>
  <c r="BN146" i="1"/>
  <c r="BR147" i="1" s="1"/>
  <c r="BE146" i="1"/>
  <c r="BC146" i="1"/>
  <c r="BB146" i="1"/>
  <c r="BF147" i="1" s="1"/>
  <c r="BQ145" i="1"/>
  <c r="BO145" i="1"/>
  <c r="BN145" i="1"/>
  <c r="BR146" i="1" s="1"/>
  <c r="BE145" i="1"/>
  <c r="BC145" i="1"/>
  <c r="BB145" i="1"/>
  <c r="BQ144" i="1"/>
  <c r="BO144" i="1"/>
  <c r="BN144" i="1"/>
  <c r="BR145" i="1" s="1"/>
  <c r="BE144" i="1"/>
  <c r="BC144" i="1"/>
  <c r="BB144" i="1"/>
  <c r="BF145" i="1" s="1"/>
  <c r="BQ143" i="1"/>
  <c r="BO143" i="1"/>
  <c r="BN143" i="1"/>
  <c r="BR144" i="1" s="1"/>
  <c r="BE143" i="1"/>
  <c r="BC143" i="1"/>
  <c r="BB143" i="1"/>
  <c r="BF144" i="1" s="1"/>
  <c r="BQ142" i="1"/>
  <c r="BO142" i="1"/>
  <c r="BN142" i="1"/>
  <c r="BR143" i="1" s="1"/>
  <c r="BE142" i="1"/>
  <c r="BC142" i="1"/>
  <c r="BB142" i="1"/>
  <c r="BQ141" i="1"/>
  <c r="BO141" i="1"/>
  <c r="BN141" i="1"/>
  <c r="BR142" i="1" s="1"/>
  <c r="BE141" i="1"/>
  <c r="BC141" i="1"/>
  <c r="BB141" i="1"/>
  <c r="BF142" i="1" s="1"/>
  <c r="BQ140" i="1"/>
  <c r="BO140" i="1"/>
  <c r="BN140" i="1"/>
  <c r="BR141" i="1" s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R139" i="1" s="1"/>
  <c r="BE138" i="1"/>
  <c r="BC138" i="1"/>
  <c r="BB138" i="1"/>
  <c r="BQ137" i="1"/>
  <c r="BO137" i="1"/>
  <c r="BN137" i="1"/>
  <c r="BR138" i="1" s="1"/>
  <c r="BE137" i="1"/>
  <c r="BC137" i="1"/>
  <c r="BB137" i="1"/>
  <c r="BQ136" i="1"/>
  <c r="BO136" i="1"/>
  <c r="BN136" i="1"/>
  <c r="BR137" i="1" s="1"/>
  <c r="BE136" i="1"/>
  <c r="BC136" i="1"/>
  <c r="BB136" i="1"/>
  <c r="BQ135" i="1"/>
  <c r="BO135" i="1"/>
  <c r="BN135" i="1"/>
  <c r="BR136" i="1" s="1"/>
  <c r="BE135" i="1"/>
  <c r="BC135" i="1"/>
  <c r="BB135" i="1"/>
  <c r="BQ134" i="1"/>
  <c r="BO134" i="1"/>
  <c r="BN134" i="1"/>
  <c r="BR135" i="1" s="1"/>
  <c r="BE134" i="1"/>
  <c r="BC134" i="1"/>
  <c r="BB134" i="1"/>
  <c r="BF135" i="1" s="1"/>
  <c r="BQ133" i="1"/>
  <c r="BO133" i="1"/>
  <c r="BN133" i="1"/>
  <c r="BR134" i="1" s="1"/>
  <c r="BE133" i="1"/>
  <c r="BC133" i="1"/>
  <c r="BB133" i="1"/>
  <c r="BF134" i="1" s="1"/>
  <c r="BQ132" i="1"/>
  <c r="BO132" i="1"/>
  <c r="BN132" i="1"/>
  <c r="BR133" i="1" s="1"/>
  <c r="BE132" i="1"/>
  <c r="BC132" i="1"/>
  <c r="BB132" i="1"/>
  <c r="BF133" i="1" s="1"/>
  <c r="BQ131" i="1"/>
  <c r="BO131" i="1"/>
  <c r="BN131" i="1"/>
  <c r="BR132" i="1" s="1"/>
  <c r="BE131" i="1"/>
  <c r="BC131" i="1"/>
  <c r="BB131" i="1"/>
  <c r="BF132" i="1" s="1"/>
  <c r="BQ130" i="1"/>
  <c r="BO130" i="1"/>
  <c r="BN130" i="1"/>
  <c r="BE130" i="1"/>
  <c r="BC130" i="1"/>
  <c r="BB130" i="1"/>
  <c r="BF131" i="1" s="1"/>
  <c r="BQ129" i="1"/>
  <c r="BO129" i="1"/>
  <c r="BN129" i="1"/>
  <c r="BE129" i="1"/>
  <c r="BC129" i="1"/>
  <c r="BB129" i="1"/>
  <c r="BF130" i="1" s="1"/>
  <c r="BQ128" i="1"/>
  <c r="BO128" i="1"/>
  <c r="BN128" i="1"/>
  <c r="BE128" i="1"/>
  <c r="BC128" i="1"/>
  <c r="BB128" i="1"/>
  <c r="BF129" i="1" s="1"/>
  <c r="BQ127" i="1"/>
  <c r="BO127" i="1"/>
  <c r="BN127" i="1"/>
  <c r="BE127" i="1"/>
  <c r="BC127" i="1"/>
  <c r="BB127" i="1"/>
  <c r="BF128" i="1" s="1"/>
  <c r="BQ126" i="1"/>
  <c r="BO126" i="1"/>
  <c r="BN126" i="1"/>
  <c r="BE126" i="1"/>
  <c r="BC126" i="1"/>
  <c r="BB126" i="1"/>
  <c r="BF127" i="1" s="1"/>
  <c r="BQ125" i="1"/>
  <c r="BO125" i="1"/>
  <c r="BN125" i="1"/>
  <c r="BE125" i="1"/>
  <c r="BC125" i="1"/>
  <c r="BB125" i="1"/>
  <c r="BF126" i="1" s="1"/>
  <c r="BQ124" i="1"/>
  <c r="BO124" i="1"/>
  <c r="BN124" i="1"/>
  <c r="BR125" i="1" s="1"/>
  <c r="BE124" i="1"/>
  <c r="BC124" i="1"/>
  <c r="BB124" i="1"/>
  <c r="BF125" i="1" s="1"/>
  <c r="BQ123" i="1"/>
  <c r="BO123" i="1"/>
  <c r="BN123" i="1"/>
  <c r="BR124" i="1" s="1"/>
  <c r="BE123" i="1"/>
  <c r="BC123" i="1"/>
  <c r="BB123" i="1"/>
  <c r="BF124" i="1" s="1"/>
  <c r="BQ122" i="1"/>
  <c r="BO122" i="1"/>
  <c r="BN122" i="1"/>
  <c r="BR123" i="1" s="1"/>
  <c r="BE122" i="1"/>
  <c r="BC122" i="1"/>
  <c r="BB122" i="1"/>
  <c r="BF123" i="1" s="1"/>
  <c r="BQ121" i="1"/>
  <c r="BO121" i="1"/>
  <c r="BN121" i="1"/>
  <c r="BR122" i="1" s="1"/>
  <c r="BE121" i="1"/>
  <c r="BC121" i="1"/>
  <c r="BB121" i="1"/>
  <c r="BF122" i="1" s="1"/>
  <c r="BQ120" i="1"/>
  <c r="BO120" i="1"/>
  <c r="BN120" i="1"/>
  <c r="BR121" i="1" s="1"/>
  <c r="BE120" i="1"/>
  <c r="BC120" i="1"/>
  <c r="BB120" i="1"/>
  <c r="BF121" i="1" s="1"/>
  <c r="BQ119" i="1"/>
  <c r="BO119" i="1"/>
  <c r="BN119" i="1"/>
  <c r="BR120" i="1" s="1"/>
  <c r="BE119" i="1"/>
  <c r="BC119" i="1"/>
  <c r="BB119" i="1"/>
  <c r="BF120" i="1" s="1"/>
  <c r="BQ118" i="1"/>
  <c r="BO118" i="1"/>
  <c r="BN118" i="1"/>
  <c r="BR119" i="1" s="1"/>
  <c r="BE118" i="1"/>
  <c r="BC118" i="1"/>
  <c r="BB118" i="1"/>
  <c r="BF119" i="1" s="1"/>
  <c r="BQ117" i="1"/>
  <c r="BO117" i="1"/>
  <c r="BN117" i="1"/>
  <c r="BE117" i="1"/>
  <c r="BC117" i="1"/>
  <c r="BB117" i="1"/>
  <c r="BF118" i="1" s="1"/>
  <c r="BQ116" i="1"/>
  <c r="BO116" i="1"/>
  <c r="BN116" i="1"/>
  <c r="BE116" i="1"/>
  <c r="BC116" i="1"/>
  <c r="BB116" i="1"/>
  <c r="BQ115" i="1"/>
  <c r="BO115" i="1"/>
  <c r="BN115" i="1"/>
  <c r="BR116" i="1" s="1"/>
  <c r="BE115" i="1"/>
  <c r="BC115" i="1"/>
  <c r="BB115" i="1"/>
  <c r="BF116" i="1" s="1"/>
  <c r="BQ114" i="1"/>
  <c r="BO114" i="1"/>
  <c r="BN114" i="1"/>
  <c r="BR115" i="1" s="1"/>
  <c r="BE114" i="1"/>
  <c r="BC114" i="1"/>
  <c r="BB114" i="1"/>
  <c r="BQ113" i="1"/>
  <c r="BO113" i="1"/>
  <c r="BN113" i="1"/>
  <c r="BR114" i="1" s="1"/>
  <c r="BE113" i="1"/>
  <c r="BC113" i="1"/>
  <c r="BB113" i="1"/>
  <c r="BF114" i="1" s="1"/>
  <c r="BQ112" i="1"/>
  <c r="BO112" i="1"/>
  <c r="BN112" i="1"/>
  <c r="BR113" i="1" s="1"/>
  <c r="BE112" i="1"/>
  <c r="BC112" i="1"/>
  <c r="BB112" i="1"/>
  <c r="BQ111" i="1"/>
  <c r="BO111" i="1"/>
  <c r="BN111" i="1"/>
  <c r="BR112" i="1" s="1"/>
  <c r="BE111" i="1"/>
  <c r="BC111" i="1"/>
  <c r="BB111" i="1"/>
  <c r="BQ110" i="1"/>
  <c r="BO110" i="1"/>
  <c r="BN110" i="1"/>
  <c r="BR111" i="1" s="1"/>
  <c r="BE110" i="1"/>
  <c r="BC110" i="1"/>
  <c r="BB110" i="1"/>
  <c r="BQ109" i="1"/>
  <c r="BO109" i="1"/>
  <c r="BN109" i="1"/>
  <c r="BR110" i="1" s="1"/>
  <c r="BE109" i="1"/>
  <c r="BC109" i="1"/>
  <c r="BB109" i="1"/>
  <c r="BQ108" i="1"/>
  <c r="BO108" i="1"/>
  <c r="BN108" i="1"/>
  <c r="BR109" i="1" s="1"/>
  <c r="BE108" i="1"/>
  <c r="BC108" i="1"/>
  <c r="BB108" i="1"/>
  <c r="BF109" i="1" s="1"/>
  <c r="BQ107" i="1"/>
  <c r="BO107" i="1"/>
  <c r="BN107" i="1"/>
  <c r="BR108" i="1" s="1"/>
  <c r="BE107" i="1"/>
  <c r="BC107" i="1"/>
  <c r="BB107" i="1"/>
  <c r="BQ106" i="1"/>
  <c r="BO106" i="1"/>
  <c r="BN106" i="1"/>
  <c r="BR107" i="1" s="1"/>
  <c r="BE106" i="1"/>
  <c r="BC106" i="1"/>
  <c r="BB106" i="1"/>
  <c r="BQ105" i="1"/>
  <c r="BO105" i="1"/>
  <c r="BN105" i="1"/>
  <c r="BR106" i="1" s="1"/>
  <c r="BE105" i="1"/>
  <c r="BC105" i="1"/>
  <c r="BB105" i="1"/>
  <c r="BQ104" i="1"/>
  <c r="BO104" i="1"/>
  <c r="BN104" i="1"/>
  <c r="BR105" i="1" s="1"/>
  <c r="BE104" i="1"/>
  <c r="BC104" i="1"/>
  <c r="BB104" i="1"/>
  <c r="BF105" i="1" s="1"/>
  <c r="BQ103" i="1"/>
  <c r="BO103" i="1"/>
  <c r="BN103" i="1"/>
  <c r="BR104" i="1" s="1"/>
  <c r="BE103" i="1"/>
  <c r="BC103" i="1"/>
  <c r="BB103" i="1"/>
  <c r="BF104" i="1" s="1"/>
  <c r="BQ102" i="1"/>
  <c r="BO102" i="1"/>
  <c r="BN102" i="1"/>
  <c r="BR103" i="1" s="1"/>
  <c r="BE102" i="1"/>
  <c r="BC102" i="1"/>
  <c r="BB102" i="1"/>
  <c r="BF103" i="1" s="1"/>
  <c r="BQ101" i="1"/>
  <c r="BO101" i="1"/>
  <c r="BN101" i="1"/>
  <c r="BE101" i="1"/>
  <c r="BC101" i="1"/>
  <c r="BB101" i="1"/>
  <c r="BF102" i="1" s="1"/>
  <c r="BQ100" i="1"/>
  <c r="BO100" i="1"/>
  <c r="BN100" i="1"/>
  <c r="BR101" i="1" s="1"/>
  <c r="BE100" i="1"/>
  <c r="BC100" i="1"/>
  <c r="BB100" i="1"/>
  <c r="BF101" i="1" s="1"/>
  <c r="BQ99" i="1"/>
  <c r="BO99" i="1"/>
  <c r="BN99" i="1"/>
  <c r="BR100" i="1" s="1"/>
  <c r="BE99" i="1"/>
  <c r="BC99" i="1"/>
  <c r="BB99" i="1"/>
  <c r="BQ98" i="1"/>
  <c r="BO98" i="1"/>
  <c r="BN98" i="1"/>
  <c r="BR99" i="1" s="1"/>
  <c r="BE98" i="1"/>
  <c r="BC98" i="1"/>
  <c r="BB98" i="1"/>
  <c r="BF99" i="1" s="1"/>
  <c r="BQ97" i="1"/>
  <c r="BO97" i="1"/>
  <c r="BN97" i="1"/>
  <c r="BR98" i="1" s="1"/>
  <c r="BE97" i="1"/>
  <c r="BC97" i="1"/>
  <c r="BB97" i="1"/>
  <c r="BF98" i="1" s="1"/>
  <c r="BQ96" i="1"/>
  <c r="BO96" i="1"/>
  <c r="BN96" i="1"/>
  <c r="BR97" i="1" s="1"/>
  <c r="BE96" i="1"/>
  <c r="BC96" i="1"/>
  <c r="BB96" i="1"/>
  <c r="BQ95" i="1"/>
  <c r="BO95" i="1"/>
  <c r="BN95" i="1"/>
  <c r="BR96" i="1" s="1"/>
  <c r="BE95" i="1"/>
  <c r="BC95" i="1"/>
  <c r="BB95" i="1"/>
  <c r="BQ94" i="1"/>
  <c r="BO94" i="1"/>
  <c r="BN94" i="1"/>
  <c r="BR95" i="1" s="1"/>
  <c r="BE94" i="1"/>
  <c r="BC94" i="1"/>
  <c r="BB94" i="1"/>
  <c r="BF95" i="1" s="1"/>
  <c r="BQ93" i="1"/>
  <c r="BO93" i="1"/>
  <c r="BN93" i="1"/>
  <c r="BR94" i="1" s="1"/>
  <c r="BE93" i="1"/>
  <c r="BC93" i="1"/>
  <c r="BB93" i="1"/>
  <c r="BF94" i="1" s="1"/>
  <c r="BQ92" i="1"/>
  <c r="BO92" i="1"/>
  <c r="BN92" i="1"/>
  <c r="BR93" i="1" s="1"/>
  <c r="BE92" i="1"/>
  <c r="BC92" i="1"/>
  <c r="BB92" i="1"/>
  <c r="BQ91" i="1"/>
  <c r="BO91" i="1"/>
  <c r="BN91" i="1"/>
  <c r="BE91" i="1"/>
  <c r="BC91" i="1"/>
  <c r="BB91" i="1"/>
  <c r="BF92" i="1" s="1"/>
  <c r="BQ90" i="1"/>
  <c r="BO90" i="1"/>
  <c r="BN90" i="1"/>
  <c r="BE90" i="1"/>
  <c r="BC90" i="1"/>
  <c r="BB90" i="1"/>
  <c r="BF91" i="1" s="1"/>
  <c r="BQ89" i="1"/>
  <c r="BO89" i="1"/>
  <c r="BN89" i="1"/>
  <c r="BR90" i="1" s="1"/>
  <c r="BE89" i="1"/>
  <c r="BC89" i="1"/>
  <c r="BB89" i="1"/>
  <c r="BF90" i="1" s="1"/>
  <c r="BQ88" i="1"/>
  <c r="BO88" i="1"/>
  <c r="BN88" i="1"/>
  <c r="BR89" i="1" s="1"/>
  <c r="BE88" i="1"/>
  <c r="BC88" i="1"/>
  <c r="BB88" i="1"/>
  <c r="BF89" i="1" s="1"/>
  <c r="BQ87" i="1"/>
  <c r="BO87" i="1"/>
  <c r="BN87" i="1"/>
  <c r="BR88" i="1" s="1"/>
  <c r="BE87" i="1"/>
  <c r="BC87" i="1"/>
  <c r="BB87" i="1"/>
  <c r="BF88" i="1" s="1"/>
  <c r="BQ86" i="1"/>
  <c r="BO86" i="1"/>
  <c r="BN86" i="1"/>
  <c r="BR87" i="1" s="1"/>
  <c r="BE86" i="1"/>
  <c r="BC86" i="1"/>
  <c r="BB86" i="1"/>
  <c r="BF87" i="1" s="1"/>
  <c r="BQ85" i="1"/>
  <c r="BO85" i="1"/>
  <c r="BN85" i="1"/>
  <c r="BR86" i="1" s="1"/>
  <c r="BE85" i="1"/>
  <c r="BC85" i="1"/>
  <c r="BB85" i="1"/>
  <c r="BF86" i="1" s="1"/>
  <c r="BQ84" i="1"/>
  <c r="BO84" i="1"/>
  <c r="BN84" i="1"/>
  <c r="BR85" i="1" s="1"/>
  <c r="BE84" i="1"/>
  <c r="BC84" i="1"/>
  <c r="BB84" i="1"/>
  <c r="BQ83" i="1"/>
  <c r="BO83" i="1"/>
  <c r="BN83" i="1"/>
  <c r="BR84" i="1" s="1"/>
  <c r="BE83" i="1"/>
  <c r="BC83" i="1"/>
  <c r="BB83" i="1"/>
  <c r="BQ82" i="1"/>
  <c r="BO82" i="1"/>
  <c r="BN82" i="1"/>
  <c r="BR83" i="1" s="1"/>
  <c r="BE82" i="1"/>
  <c r="BC82" i="1"/>
  <c r="BB82" i="1"/>
  <c r="BQ81" i="1"/>
  <c r="BO81" i="1"/>
  <c r="BN81" i="1"/>
  <c r="BR82" i="1" s="1"/>
  <c r="BE81" i="1"/>
  <c r="BC81" i="1"/>
  <c r="BB81" i="1"/>
  <c r="BQ80" i="1"/>
  <c r="BO80" i="1"/>
  <c r="BN80" i="1"/>
  <c r="BE80" i="1"/>
  <c r="BC80" i="1"/>
  <c r="BB80" i="1"/>
  <c r="BF81" i="1" s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F78" i="1" s="1"/>
  <c r="BQ76" i="1"/>
  <c r="BO76" i="1"/>
  <c r="BN76" i="1"/>
  <c r="BE76" i="1"/>
  <c r="BC76" i="1"/>
  <c r="BB76" i="1"/>
  <c r="BF77" i="1" s="1"/>
  <c r="BQ75" i="1"/>
  <c r="BO75" i="1"/>
  <c r="BN75" i="1"/>
  <c r="BE75" i="1"/>
  <c r="BC75" i="1"/>
  <c r="BB75" i="1"/>
  <c r="BQ74" i="1"/>
  <c r="BO74" i="1"/>
  <c r="BN74" i="1"/>
  <c r="BR75" i="1" s="1"/>
  <c r="BE74" i="1"/>
  <c r="BC74" i="1"/>
  <c r="BB74" i="1"/>
  <c r="BQ73" i="1"/>
  <c r="BO73" i="1"/>
  <c r="BN73" i="1"/>
  <c r="BE73" i="1"/>
  <c r="BC73" i="1"/>
  <c r="BB73" i="1"/>
  <c r="BF74" i="1" s="1"/>
  <c r="BQ72" i="1"/>
  <c r="BO72" i="1"/>
  <c r="BN72" i="1"/>
  <c r="BE72" i="1"/>
  <c r="BC72" i="1"/>
  <c r="BB72" i="1"/>
  <c r="BF73" i="1" s="1"/>
  <c r="BQ71" i="1"/>
  <c r="BO71" i="1"/>
  <c r="BN71" i="1"/>
  <c r="BE71" i="1"/>
  <c r="BC71" i="1"/>
  <c r="BB71" i="1"/>
  <c r="BF72" i="1" s="1"/>
  <c r="BQ70" i="1"/>
  <c r="BO70" i="1"/>
  <c r="BN70" i="1"/>
  <c r="BE70" i="1"/>
  <c r="BC70" i="1"/>
  <c r="BB70" i="1"/>
  <c r="BF71" i="1" s="1"/>
  <c r="BQ69" i="1"/>
  <c r="BO69" i="1"/>
  <c r="BN69" i="1"/>
  <c r="BE69" i="1"/>
  <c r="BC69" i="1"/>
  <c r="BB69" i="1"/>
  <c r="BF70" i="1" s="1"/>
  <c r="BQ68" i="1"/>
  <c r="BO68" i="1"/>
  <c r="BN68" i="1"/>
  <c r="BE68" i="1"/>
  <c r="BC68" i="1"/>
  <c r="BB68" i="1"/>
  <c r="BF69" i="1" s="1"/>
  <c r="BQ67" i="1"/>
  <c r="BO67" i="1"/>
  <c r="BN67" i="1"/>
  <c r="BR68" i="1" s="1"/>
  <c r="BE67" i="1"/>
  <c r="BC67" i="1"/>
  <c r="BB67" i="1"/>
  <c r="BQ66" i="1"/>
  <c r="BO66" i="1"/>
  <c r="BN66" i="1"/>
  <c r="BE66" i="1"/>
  <c r="BC66" i="1"/>
  <c r="BB66" i="1"/>
  <c r="BF67" i="1" s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F65" i="1" s="1"/>
  <c r="BQ63" i="1"/>
  <c r="BO63" i="1"/>
  <c r="BN63" i="1"/>
  <c r="BR64" i="1" s="1"/>
  <c r="BE63" i="1"/>
  <c r="BC63" i="1"/>
  <c r="BB63" i="1"/>
  <c r="BF64" i="1" s="1"/>
  <c r="BQ62" i="1"/>
  <c r="BO62" i="1"/>
  <c r="BN62" i="1"/>
  <c r="BE62" i="1"/>
  <c r="BC62" i="1"/>
  <c r="BB62" i="1"/>
  <c r="BQ61" i="1"/>
  <c r="BO61" i="1"/>
  <c r="BN61" i="1"/>
  <c r="BR62" i="1" s="1"/>
  <c r="BE61" i="1"/>
  <c r="BC61" i="1"/>
  <c r="BB61" i="1"/>
  <c r="BQ60" i="1"/>
  <c r="BO60" i="1"/>
  <c r="BN60" i="1"/>
  <c r="BR61" i="1" s="1"/>
  <c r="BE60" i="1"/>
  <c r="BC60" i="1"/>
  <c r="BB60" i="1"/>
  <c r="BF61" i="1" s="1"/>
  <c r="BQ59" i="1"/>
  <c r="BO59" i="1"/>
  <c r="BN59" i="1"/>
  <c r="BR60" i="1" s="1"/>
  <c r="BE59" i="1"/>
  <c r="BC59" i="1"/>
  <c r="BB59" i="1"/>
  <c r="BQ58" i="1"/>
  <c r="BO58" i="1"/>
  <c r="BN58" i="1"/>
  <c r="BR59" i="1" s="1"/>
  <c r="BE58" i="1"/>
  <c r="BC58" i="1"/>
  <c r="BB58" i="1"/>
  <c r="BF59" i="1" s="1"/>
  <c r="BQ57" i="1"/>
  <c r="BO57" i="1"/>
  <c r="BN57" i="1"/>
  <c r="BR58" i="1" s="1"/>
  <c r="BE57" i="1"/>
  <c r="BC57" i="1"/>
  <c r="BB57" i="1"/>
  <c r="BQ56" i="1"/>
  <c r="BO56" i="1"/>
  <c r="BN56" i="1"/>
  <c r="BR57" i="1" s="1"/>
  <c r="BE56" i="1"/>
  <c r="BC56" i="1"/>
  <c r="BB56" i="1"/>
  <c r="BF57" i="1" s="1"/>
  <c r="BQ55" i="1"/>
  <c r="BO55" i="1"/>
  <c r="BN55" i="1"/>
  <c r="BR56" i="1" s="1"/>
  <c r="BE55" i="1"/>
  <c r="BC55" i="1"/>
  <c r="BB55" i="1"/>
  <c r="BF56" i="1" s="1"/>
  <c r="BQ54" i="1"/>
  <c r="BO54" i="1"/>
  <c r="BN54" i="1"/>
  <c r="BR55" i="1" s="1"/>
  <c r="BE54" i="1"/>
  <c r="BC54" i="1"/>
  <c r="BB54" i="1"/>
  <c r="BF55" i="1" s="1"/>
  <c r="BQ53" i="1"/>
  <c r="BO53" i="1"/>
  <c r="BN53" i="1"/>
  <c r="BR54" i="1" s="1"/>
  <c r="BE53" i="1"/>
  <c r="BC53" i="1"/>
  <c r="BB53" i="1"/>
  <c r="BQ52" i="1"/>
  <c r="BO52" i="1"/>
  <c r="BN52" i="1"/>
  <c r="BR53" i="1" s="1"/>
  <c r="BE52" i="1"/>
  <c r="BC52" i="1"/>
  <c r="BB52" i="1"/>
  <c r="BF53" i="1" s="1"/>
  <c r="BQ51" i="1"/>
  <c r="BO51" i="1"/>
  <c r="BN51" i="1"/>
  <c r="BR52" i="1" s="1"/>
  <c r="BE51" i="1"/>
  <c r="BC51" i="1"/>
  <c r="BB51" i="1"/>
  <c r="BF52" i="1" s="1"/>
  <c r="BQ50" i="1"/>
  <c r="BO50" i="1"/>
  <c r="BN50" i="1"/>
  <c r="BR51" i="1" s="1"/>
  <c r="BE50" i="1"/>
  <c r="BC50" i="1"/>
  <c r="BB50" i="1"/>
  <c r="BF51" i="1" s="1"/>
  <c r="BQ49" i="1"/>
  <c r="BO49" i="1"/>
  <c r="BN49" i="1"/>
  <c r="BR50" i="1" s="1"/>
  <c r="BE49" i="1"/>
  <c r="BC49" i="1"/>
  <c r="BB49" i="1"/>
  <c r="BF50" i="1" s="1"/>
  <c r="BQ48" i="1"/>
  <c r="BO48" i="1"/>
  <c r="BN48" i="1"/>
  <c r="BR49" i="1" s="1"/>
  <c r="BE48" i="1"/>
  <c r="BC48" i="1"/>
  <c r="BB48" i="1"/>
  <c r="BQ47" i="1"/>
  <c r="BO47" i="1"/>
  <c r="BN47" i="1"/>
  <c r="BR48" i="1" s="1"/>
  <c r="BE47" i="1"/>
  <c r="BC47" i="1"/>
  <c r="BB47" i="1"/>
  <c r="BF48" i="1" s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F46" i="1" s="1"/>
  <c r="BQ44" i="1"/>
  <c r="BO44" i="1"/>
  <c r="BN44" i="1"/>
  <c r="BR45" i="1" s="1"/>
  <c r="BE44" i="1"/>
  <c r="BC44" i="1"/>
  <c r="BB44" i="1"/>
  <c r="BF45" i="1" s="1"/>
  <c r="BQ43" i="1"/>
  <c r="BO43" i="1"/>
  <c r="BN43" i="1"/>
  <c r="BR44" i="1" s="1"/>
  <c r="BE43" i="1"/>
  <c r="BC43" i="1"/>
  <c r="BB43" i="1"/>
  <c r="BF44" i="1" s="1"/>
  <c r="BQ42" i="1"/>
  <c r="BO42" i="1"/>
  <c r="BN42" i="1"/>
  <c r="BR43" i="1" s="1"/>
  <c r="BE42" i="1"/>
  <c r="BC42" i="1"/>
  <c r="BB42" i="1"/>
  <c r="BF43" i="1" s="1"/>
  <c r="BQ41" i="1"/>
  <c r="BO41" i="1"/>
  <c r="BN41" i="1"/>
  <c r="BR42" i="1" s="1"/>
  <c r="BE41" i="1"/>
  <c r="BC41" i="1"/>
  <c r="BB41" i="1"/>
  <c r="BF42" i="1" s="1"/>
  <c r="BQ40" i="1"/>
  <c r="BO40" i="1"/>
  <c r="BN40" i="1"/>
  <c r="BR41" i="1" s="1"/>
  <c r="BE40" i="1"/>
  <c r="BC40" i="1"/>
  <c r="BB40" i="1"/>
  <c r="BF41" i="1" s="1"/>
  <c r="BQ39" i="1"/>
  <c r="BO39" i="1"/>
  <c r="BN39" i="1"/>
  <c r="BR40" i="1" s="1"/>
  <c r="BE39" i="1"/>
  <c r="BC39" i="1"/>
  <c r="BB39" i="1"/>
  <c r="BF40" i="1" s="1"/>
  <c r="BQ38" i="1"/>
  <c r="BO38" i="1"/>
  <c r="BN38" i="1"/>
  <c r="BR39" i="1" s="1"/>
  <c r="BE38" i="1"/>
  <c r="BC38" i="1"/>
  <c r="BB38" i="1"/>
  <c r="BQ37" i="1"/>
  <c r="BO37" i="1"/>
  <c r="BN37" i="1"/>
  <c r="BR38" i="1" s="1"/>
  <c r="BE37" i="1"/>
  <c r="BC37" i="1"/>
  <c r="BB37" i="1"/>
  <c r="BF38" i="1" s="1"/>
  <c r="BQ36" i="1"/>
  <c r="BO36" i="1"/>
  <c r="BN36" i="1"/>
  <c r="BR37" i="1" s="1"/>
  <c r="BE36" i="1"/>
  <c r="BC36" i="1"/>
  <c r="BB36" i="1"/>
  <c r="BF37" i="1" s="1"/>
  <c r="BQ35" i="1"/>
  <c r="BO35" i="1"/>
  <c r="BN35" i="1"/>
  <c r="BR36" i="1" s="1"/>
  <c r="BE35" i="1"/>
  <c r="BC35" i="1"/>
  <c r="BB35" i="1"/>
  <c r="BQ34" i="1"/>
  <c r="BO34" i="1"/>
  <c r="BN34" i="1"/>
  <c r="BR35" i="1" s="1"/>
  <c r="BE34" i="1"/>
  <c r="BC34" i="1"/>
  <c r="BB34" i="1"/>
  <c r="BF35" i="1" s="1"/>
  <c r="BQ33" i="1"/>
  <c r="BO33" i="1"/>
  <c r="BN33" i="1"/>
  <c r="BR34" i="1" s="1"/>
  <c r="BE33" i="1"/>
  <c r="BC33" i="1"/>
  <c r="BB33" i="1"/>
  <c r="BQ32" i="1"/>
  <c r="BO32" i="1"/>
  <c r="BN32" i="1"/>
  <c r="BR33" i="1" s="1"/>
  <c r="BE32" i="1"/>
  <c r="BC32" i="1"/>
  <c r="BB32" i="1"/>
  <c r="BQ31" i="1"/>
  <c r="BO31" i="1"/>
  <c r="BN31" i="1"/>
  <c r="BR32" i="1" s="1"/>
  <c r="BE31" i="1"/>
  <c r="BC31" i="1"/>
  <c r="BB31" i="1"/>
  <c r="BQ30" i="1"/>
  <c r="BO30" i="1"/>
  <c r="BN30" i="1"/>
  <c r="BR31" i="1" s="1"/>
  <c r="BE30" i="1"/>
  <c r="BC30" i="1"/>
  <c r="BB30" i="1"/>
  <c r="BQ29" i="1"/>
  <c r="BO29" i="1"/>
  <c r="BN29" i="1"/>
  <c r="BR30" i="1" s="1"/>
  <c r="BE29" i="1"/>
  <c r="BC29" i="1"/>
  <c r="BB29" i="1"/>
  <c r="BQ28" i="1"/>
  <c r="BO28" i="1"/>
  <c r="BN28" i="1"/>
  <c r="BR29" i="1" s="1"/>
  <c r="BE28" i="1"/>
  <c r="BC28" i="1"/>
  <c r="BB28" i="1"/>
  <c r="BF29" i="1" s="1"/>
  <c r="BQ27" i="1"/>
  <c r="BO27" i="1"/>
  <c r="BN27" i="1"/>
  <c r="BR28" i="1" s="1"/>
  <c r="BE27" i="1"/>
  <c r="BC27" i="1"/>
  <c r="BB27" i="1"/>
  <c r="BQ26" i="1"/>
  <c r="BO26" i="1"/>
  <c r="BN26" i="1"/>
  <c r="BR27" i="1" s="1"/>
  <c r="BE26" i="1"/>
  <c r="BC26" i="1"/>
  <c r="BB26" i="1"/>
  <c r="BQ25" i="1"/>
  <c r="BO25" i="1"/>
  <c r="BN25" i="1"/>
  <c r="BR26" i="1" s="1"/>
  <c r="BE25" i="1"/>
  <c r="BC25" i="1"/>
  <c r="BB25" i="1"/>
  <c r="BQ24" i="1"/>
  <c r="BO24" i="1"/>
  <c r="BN24" i="1"/>
  <c r="BR25" i="1" s="1"/>
  <c r="BE24" i="1"/>
  <c r="BC24" i="1"/>
  <c r="BB24" i="1"/>
  <c r="BQ23" i="1"/>
  <c r="BO23" i="1"/>
  <c r="BN23" i="1"/>
  <c r="BR24" i="1" s="1"/>
  <c r="BE23" i="1"/>
  <c r="BC23" i="1"/>
  <c r="BB23" i="1"/>
  <c r="BF24" i="1" s="1"/>
  <c r="BQ22" i="1"/>
  <c r="BP22" i="1"/>
  <c r="BO22" i="1"/>
  <c r="BN22" i="1"/>
  <c r="BR23" i="1" s="1"/>
  <c r="BE22" i="1"/>
  <c r="BD22" i="1"/>
  <c r="BC22" i="1"/>
  <c r="BB22" i="1"/>
  <c r="BQ21" i="1"/>
  <c r="BR22" i="1" s="1"/>
  <c r="BE21" i="1"/>
  <c r="BF22" i="1" s="1"/>
  <c r="BT20" i="1"/>
  <c r="BS20" i="1"/>
  <c r="BH20" i="1"/>
  <c r="BG20" i="1"/>
  <c r="CL16" i="1"/>
  <c r="CL17" i="1" s="1"/>
  <c r="CL18" i="1" s="1"/>
  <c r="CL19" i="1" s="1"/>
  <c r="CL20" i="1" s="1"/>
  <c r="CL21" i="1" s="1"/>
  <c r="CL22" i="1" s="1"/>
  <c r="CN14" i="1"/>
  <c r="CO14" i="1" s="1"/>
  <c r="CP14" i="1" s="1"/>
  <c r="CQ14" i="1" s="1"/>
  <c r="CR14" i="1" s="1"/>
  <c r="CS14" i="1" s="1"/>
  <c r="CT14" i="1" s="1"/>
  <c r="CL5" i="1"/>
  <c r="CL6" i="1" s="1"/>
  <c r="CL7" i="1" s="1"/>
  <c r="CL8" i="1" s="1"/>
  <c r="CL9" i="1" s="1"/>
  <c r="CL10" i="1" s="1"/>
  <c r="CL11" i="1" s="1"/>
  <c r="CN3" i="1"/>
  <c r="CO3" i="1" s="1"/>
  <c r="CP3" i="1" s="1"/>
  <c r="CQ3" i="1" s="1"/>
  <c r="CR3" i="1" s="1"/>
  <c r="CS3" i="1" s="1"/>
  <c r="CT3" i="1" s="1"/>
  <c r="BF39" i="1" l="1"/>
  <c r="BF93" i="1"/>
  <c r="BF115" i="1"/>
  <c r="BF85" i="1"/>
  <c r="BF80" i="1"/>
  <c r="BF76" i="1"/>
  <c r="BF66" i="1"/>
  <c r="BF68" i="1"/>
  <c r="BF23" i="1"/>
  <c r="BF84" i="1"/>
  <c r="BF117" i="1"/>
  <c r="BF113" i="1"/>
  <c r="BF83" i="1"/>
  <c r="BF82" i="1"/>
  <c r="BF79" i="1"/>
  <c r="BF75" i="1"/>
  <c r="BF60" i="1"/>
  <c r="BF58" i="1"/>
  <c r="BF54" i="1"/>
  <c r="BF49" i="1"/>
  <c r="BF47" i="1"/>
  <c r="BR102" i="1"/>
  <c r="BR92" i="1"/>
  <c r="BF63" i="1"/>
  <c r="BR91" i="1"/>
  <c r="BF143" i="1"/>
  <c r="BR140" i="1"/>
  <c r="BS167" i="1"/>
  <c r="BT167" i="1"/>
  <c r="BP167" i="1"/>
  <c r="BS166" i="1"/>
  <c r="BT166" i="1"/>
  <c r="BP166" i="1"/>
  <c r="BS165" i="1"/>
  <c r="BT165" i="1"/>
  <c r="BP165" i="1"/>
  <c r="BS164" i="1"/>
  <c r="BT164" i="1"/>
  <c r="BP164" i="1"/>
  <c r="BS163" i="1"/>
  <c r="BT163" i="1"/>
  <c r="BP163" i="1"/>
  <c r="BS162" i="1"/>
  <c r="BT162" i="1"/>
  <c r="BP162" i="1"/>
  <c r="BS161" i="1"/>
  <c r="BT161" i="1"/>
  <c r="BP161" i="1"/>
  <c r="BS160" i="1"/>
  <c r="BT160" i="1"/>
  <c r="BP160" i="1"/>
  <c r="BS159" i="1"/>
  <c r="BT159" i="1"/>
  <c r="BP159" i="1"/>
  <c r="BT158" i="1"/>
  <c r="BP158" i="1"/>
  <c r="BS158" i="1"/>
  <c r="BU158" i="1" s="1"/>
  <c r="BS157" i="1"/>
  <c r="BT157" i="1"/>
  <c r="BP157" i="1"/>
  <c r="BP156" i="1"/>
  <c r="BT156" i="1"/>
  <c r="BS156" i="1"/>
  <c r="BU156" i="1" s="1"/>
  <c r="BS155" i="1"/>
  <c r="BT155" i="1"/>
  <c r="BP155" i="1"/>
  <c r="BT153" i="1"/>
  <c r="BS153" i="1"/>
  <c r="BU153" i="1" s="1"/>
  <c r="BP153" i="1"/>
  <c r="BT154" i="1"/>
  <c r="BP154" i="1"/>
  <c r="BS154" i="1"/>
  <c r="BU154" i="1" s="1"/>
  <c r="BT152" i="1"/>
  <c r="BS152" i="1"/>
  <c r="BU152" i="1" s="1"/>
  <c r="BP152" i="1"/>
  <c r="BT151" i="1"/>
  <c r="BS151" i="1"/>
  <c r="BU151" i="1" s="1"/>
  <c r="BP151" i="1"/>
  <c r="BS150" i="1"/>
  <c r="BT150" i="1"/>
  <c r="BP150" i="1"/>
  <c r="BT149" i="1"/>
  <c r="BP149" i="1"/>
  <c r="BS149" i="1"/>
  <c r="BU149" i="1" s="1"/>
  <c r="BT148" i="1"/>
  <c r="BS148" i="1"/>
  <c r="BU148" i="1" s="1"/>
  <c r="BP148" i="1"/>
  <c r="BP147" i="1"/>
  <c r="BS147" i="1"/>
  <c r="BT147" i="1"/>
  <c r="BH147" i="1"/>
  <c r="BD147" i="1"/>
  <c r="BF148" i="1" s="1"/>
  <c r="BG147" i="1"/>
  <c r="BI147" i="1" s="1"/>
  <c r="BP146" i="1"/>
  <c r="BT146" i="1"/>
  <c r="BS146" i="1"/>
  <c r="BU146" i="1" s="1"/>
  <c r="BT145" i="1"/>
  <c r="BP145" i="1"/>
  <c r="BS145" i="1"/>
  <c r="BU145" i="1" s="1"/>
  <c r="BD145" i="1"/>
  <c r="BF146" i="1" s="1"/>
  <c r="BG145" i="1"/>
  <c r="BH145" i="1"/>
  <c r="BT144" i="1"/>
  <c r="BP144" i="1"/>
  <c r="BS144" i="1"/>
  <c r="BU144" i="1" s="1"/>
  <c r="BD144" i="1"/>
  <c r="BG144" i="1"/>
  <c r="BH144" i="1"/>
  <c r="BS143" i="1"/>
  <c r="BP143" i="1"/>
  <c r="BT143" i="1"/>
  <c r="BD143" i="1"/>
  <c r="BH143" i="1"/>
  <c r="BG143" i="1"/>
  <c r="BI143" i="1" s="1"/>
  <c r="BT142" i="1"/>
  <c r="BS142" i="1"/>
  <c r="BU142" i="1" s="1"/>
  <c r="BP142" i="1"/>
  <c r="BH142" i="1"/>
  <c r="BD142" i="1"/>
  <c r="BG142" i="1"/>
  <c r="BI142" i="1" s="1"/>
  <c r="BX142" i="1" s="1"/>
  <c r="BP141" i="1"/>
  <c r="BT141" i="1"/>
  <c r="BS141" i="1"/>
  <c r="BU141" i="1" s="1"/>
  <c r="BS140" i="1"/>
  <c r="BP140" i="1"/>
  <c r="BT140" i="1"/>
  <c r="BP139" i="1"/>
  <c r="BT139" i="1"/>
  <c r="BS139" i="1"/>
  <c r="BU139" i="1" s="1"/>
  <c r="BT138" i="1"/>
  <c r="BP138" i="1"/>
  <c r="BS138" i="1"/>
  <c r="BU138" i="1" s="1"/>
  <c r="BT137" i="1"/>
  <c r="BS137" i="1"/>
  <c r="BU137" i="1" s="1"/>
  <c r="BP137" i="1"/>
  <c r="BT136" i="1"/>
  <c r="BP136" i="1"/>
  <c r="BS136" i="1"/>
  <c r="BU136" i="1" s="1"/>
  <c r="BP135" i="1"/>
  <c r="BT135" i="1"/>
  <c r="BS135" i="1"/>
  <c r="BU135" i="1" s="1"/>
  <c r="BH135" i="1"/>
  <c r="BD135" i="1"/>
  <c r="BF136" i="1" s="1"/>
  <c r="BG135" i="1"/>
  <c r="BI135" i="1" s="1"/>
  <c r="BX135" i="1" s="1"/>
  <c r="BS134" i="1"/>
  <c r="BP134" i="1"/>
  <c r="BT134" i="1"/>
  <c r="BD134" i="1"/>
  <c r="BH134" i="1"/>
  <c r="BG134" i="1"/>
  <c r="BI134" i="1" s="1"/>
  <c r="BP133" i="1"/>
  <c r="BS133" i="1"/>
  <c r="BT133" i="1"/>
  <c r="BD133" i="1"/>
  <c r="BG133" i="1"/>
  <c r="BH133" i="1"/>
  <c r="BS132" i="1"/>
  <c r="BT132" i="1"/>
  <c r="BP132" i="1"/>
  <c r="BD132" i="1"/>
  <c r="BG132" i="1"/>
  <c r="BH132" i="1"/>
  <c r="BH130" i="1"/>
  <c r="BD130" i="1"/>
  <c r="BG130" i="1"/>
  <c r="BI130" i="1" s="1"/>
  <c r="BG131" i="1"/>
  <c r="BD131" i="1"/>
  <c r="BH131" i="1"/>
  <c r="BG129" i="1"/>
  <c r="BH129" i="1"/>
  <c r="BD129" i="1"/>
  <c r="BG128" i="1"/>
  <c r="BH128" i="1"/>
  <c r="BD128" i="1"/>
  <c r="BG127" i="1"/>
  <c r="BH127" i="1"/>
  <c r="BD127" i="1"/>
  <c r="BG126" i="1"/>
  <c r="BH126" i="1"/>
  <c r="BD126" i="1"/>
  <c r="BS125" i="1"/>
  <c r="BT125" i="1"/>
  <c r="BP125" i="1"/>
  <c r="BR126" i="1" s="1"/>
  <c r="BG125" i="1"/>
  <c r="BH125" i="1"/>
  <c r="BD125" i="1"/>
  <c r="BS124" i="1"/>
  <c r="BT124" i="1"/>
  <c r="BP124" i="1"/>
  <c r="BG124" i="1"/>
  <c r="BH124" i="1"/>
  <c r="BD124" i="1"/>
  <c r="BS123" i="1"/>
  <c r="BT123" i="1"/>
  <c r="BP123" i="1"/>
  <c r="BG123" i="1"/>
  <c r="BH123" i="1"/>
  <c r="BD123" i="1"/>
  <c r="BS122" i="1"/>
  <c r="BT122" i="1"/>
  <c r="BP122" i="1"/>
  <c r="BG122" i="1"/>
  <c r="BH122" i="1"/>
  <c r="BD122" i="1"/>
  <c r="BS121" i="1"/>
  <c r="BT121" i="1"/>
  <c r="BP121" i="1"/>
  <c r="BG121" i="1"/>
  <c r="BH121" i="1"/>
  <c r="BD121" i="1"/>
  <c r="BS120" i="1"/>
  <c r="BT120" i="1"/>
  <c r="BP120" i="1"/>
  <c r="BG120" i="1"/>
  <c r="BH120" i="1"/>
  <c r="BD120" i="1"/>
  <c r="BS119" i="1"/>
  <c r="BT119" i="1"/>
  <c r="BP119" i="1"/>
  <c r="BG119" i="1"/>
  <c r="BH119" i="1"/>
  <c r="BD119" i="1"/>
  <c r="BG118" i="1"/>
  <c r="BH118" i="1"/>
  <c r="BD118" i="1"/>
  <c r="BG117" i="1"/>
  <c r="BH117" i="1"/>
  <c r="BD117" i="1"/>
  <c r="BS116" i="1"/>
  <c r="BT116" i="1"/>
  <c r="BP116" i="1"/>
  <c r="BR117" i="1" s="1"/>
  <c r="BH116" i="1"/>
  <c r="BG116" i="1"/>
  <c r="BI116" i="1" s="1"/>
  <c r="BD116" i="1"/>
  <c r="BS115" i="1"/>
  <c r="BP115" i="1"/>
  <c r="BT115" i="1"/>
  <c r="BG115" i="1"/>
  <c r="BD115" i="1"/>
  <c r="BH115" i="1"/>
  <c r="BT114" i="1"/>
  <c r="BP114" i="1"/>
  <c r="BS114" i="1"/>
  <c r="BU114" i="1" s="1"/>
  <c r="BD114" i="1"/>
  <c r="BG114" i="1"/>
  <c r="BH114" i="1"/>
  <c r="BS113" i="1"/>
  <c r="BP113" i="1"/>
  <c r="BT113" i="1"/>
  <c r="BH113" i="1"/>
  <c r="BD113" i="1"/>
  <c r="BG113" i="1"/>
  <c r="BI113" i="1" s="1"/>
  <c r="BT112" i="1"/>
  <c r="BP112" i="1"/>
  <c r="BS112" i="1"/>
  <c r="BU112" i="1" s="1"/>
  <c r="BT111" i="1"/>
  <c r="BP111" i="1"/>
  <c r="BS111" i="1"/>
  <c r="BS110" i="1"/>
  <c r="BP110" i="1"/>
  <c r="BT110" i="1"/>
  <c r="BS109" i="1"/>
  <c r="BT109" i="1"/>
  <c r="BP109" i="1"/>
  <c r="BH109" i="1"/>
  <c r="BD109" i="1"/>
  <c r="BF110" i="1" s="1"/>
  <c r="BG109" i="1"/>
  <c r="BI109" i="1" s="1"/>
  <c r="BP108" i="1"/>
  <c r="BT108" i="1"/>
  <c r="BS108" i="1"/>
  <c r="BU108" i="1" s="1"/>
  <c r="BS106" i="1"/>
  <c r="BT106" i="1"/>
  <c r="BP106" i="1"/>
  <c r="BT107" i="1"/>
  <c r="BS107" i="1"/>
  <c r="BU107" i="1" s="1"/>
  <c r="BP107" i="1"/>
  <c r="BP105" i="1"/>
  <c r="BT105" i="1"/>
  <c r="BS105" i="1"/>
  <c r="BU105" i="1" s="1"/>
  <c r="BD105" i="1"/>
  <c r="BF106" i="1" s="1"/>
  <c r="BG105" i="1"/>
  <c r="BH105" i="1"/>
  <c r="BS104" i="1"/>
  <c r="BP104" i="1"/>
  <c r="BT104" i="1"/>
  <c r="BH104" i="1"/>
  <c r="BD104" i="1"/>
  <c r="BG104" i="1"/>
  <c r="BI104" i="1" s="1"/>
  <c r="BP103" i="1"/>
  <c r="BT103" i="1"/>
  <c r="BS103" i="1"/>
  <c r="BU103" i="1" s="1"/>
  <c r="BH103" i="1"/>
  <c r="BD103" i="1"/>
  <c r="BG103" i="1"/>
  <c r="BI103" i="1" s="1"/>
  <c r="BX103" i="1" s="1"/>
  <c r="BP102" i="1"/>
  <c r="BS102" i="1"/>
  <c r="BT102" i="1"/>
  <c r="BG102" i="1"/>
  <c r="BD102" i="1"/>
  <c r="BH102" i="1"/>
  <c r="BS101" i="1"/>
  <c r="BP101" i="1"/>
  <c r="BT101" i="1"/>
  <c r="BH101" i="1"/>
  <c r="BD101" i="1"/>
  <c r="BG101" i="1"/>
  <c r="BI101" i="1" s="1"/>
  <c r="BT100" i="1"/>
  <c r="BS100" i="1"/>
  <c r="BU100" i="1" s="1"/>
  <c r="BP100" i="1"/>
  <c r="BT99" i="1"/>
  <c r="BP99" i="1"/>
  <c r="BS99" i="1"/>
  <c r="BU99" i="1" s="1"/>
  <c r="BH99" i="1"/>
  <c r="BG99" i="1"/>
  <c r="BI99" i="1" s="1"/>
  <c r="BX99" i="1" s="1"/>
  <c r="BD99" i="1"/>
  <c r="BF100" i="1" s="1"/>
  <c r="BT98" i="1"/>
  <c r="BP98" i="1"/>
  <c r="BS98" i="1"/>
  <c r="BU98" i="1" s="1"/>
  <c r="BG98" i="1"/>
  <c r="BD98" i="1"/>
  <c r="BH98" i="1"/>
  <c r="BS97" i="1"/>
  <c r="BT97" i="1"/>
  <c r="BP97" i="1"/>
  <c r="BT96" i="1"/>
  <c r="BP96" i="1"/>
  <c r="BS96" i="1"/>
  <c r="BU96" i="1" s="1"/>
  <c r="BS95" i="1"/>
  <c r="BP95" i="1"/>
  <c r="BT95" i="1"/>
  <c r="BD95" i="1"/>
  <c r="BF96" i="1" s="1"/>
  <c r="BG95" i="1"/>
  <c r="BH95" i="1"/>
  <c r="BS94" i="1"/>
  <c r="BP94" i="1"/>
  <c r="BT94" i="1"/>
  <c r="BD94" i="1"/>
  <c r="BG94" i="1"/>
  <c r="BH94" i="1"/>
  <c r="BT93" i="1"/>
  <c r="BP93" i="1"/>
  <c r="BS93" i="1"/>
  <c r="BU93" i="1" s="1"/>
  <c r="BD93" i="1"/>
  <c r="BH93" i="1"/>
  <c r="BG93" i="1"/>
  <c r="BI93" i="1" s="1"/>
  <c r="BX93" i="1" s="1"/>
  <c r="BS92" i="1"/>
  <c r="BP92" i="1"/>
  <c r="BT92" i="1"/>
  <c r="BH91" i="1"/>
  <c r="BG91" i="1"/>
  <c r="BI91" i="1" s="1"/>
  <c r="BD91" i="1"/>
  <c r="BH92" i="1"/>
  <c r="BD92" i="1"/>
  <c r="BG92" i="1"/>
  <c r="BI92" i="1" s="1"/>
  <c r="BP90" i="1"/>
  <c r="BT90" i="1"/>
  <c r="BS90" i="1"/>
  <c r="BU90" i="1" s="1"/>
  <c r="BT91" i="1"/>
  <c r="BS91" i="1"/>
  <c r="BU91" i="1" s="1"/>
  <c r="BP91" i="1"/>
  <c r="BG90" i="1"/>
  <c r="BH90" i="1"/>
  <c r="BD90" i="1"/>
  <c r="BS89" i="1"/>
  <c r="BT89" i="1"/>
  <c r="BP89" i="1"/>
  <c r="BG89" i="1"/>
  <c r="BH89" i="1"/>
  <c r="BD89" i="1"/>
  <c r="BS88" i="1"/>
  <c r="BT88" i="1"/>
  <c r="BP88" i="1"/>
  <c r="BG88" i="1"/>
  <c r="BH88" i="1"/>
  <c r="BD88" i="1"/>
  <c r="BS87" i="1"/>
  <c r="BT87" i="1"/>
  <c r="BP87" i="1"/>
  <c r="BG87" i="1"/>
  <c r="BH87" i="1"/>
  <c r="BD87" i="1"/>
  <c r="BS86" i="1"/>
  <c r="BT86" i="1"/>
  <c r="BP86" i="1"/>
  <c r="BG86" i="1"/>
  <c r="BH86" i="1"/>
  <c r="BD86" i="1"/>
  <c r="BS85" i="1"/>
  <c r="BT85" i="1"/>
  <c r="BP85" i="1"/>
  <c r="BG85" i="1"/>
  <c r="BH85" i="1"/>
  <c r="BD85" i="1"/>
  <c r="BS84" i="1"/>
  <c r="BT84" i="1"/>
  <c r="BP84" i="1"/>
  <c r="BG84" i="1"/>
  <c r="BH84" i="1"/>
  <c r="BD84" i="1"/>
  <c r="BS83" i="1"/>
  <c r="BT83" i="1"/>
  <c r="BP83" i="1"/>
  <c r="BG83" i="1"/>
  <c r="BH83" i="1"/>
  <c r="BD83" i="1"/>
  <c r="BS82" i="1"/>
  <c r="BT82" i="1"/>
  <c r="BP82" i="1"/>
  <c r="BG82" i="1"/>
  <c r="BH82" i="1"/>
  <c r="BD82" i="1"/>
  <c r="BG81" i="1"/>
  <c r="BH81" i="1"/>
  <c r="BD81" i="1"/>
  <c r="BG80" i="1"/>
  <c r="BH80" i="1"/>
  <c r="BD80" i="1"/>
  <c r="BG79" i="1"/>
  <c r="BH79" i="1"/>
  <c r="BD79" i="1"/>
  <c r="BG78" i="1"/>
  <c r="BH78" i="1"/>
  <c r="BD78" i="1"/>
  <c r="BG77" i="1"/>
  <c r="BH77" i="1"/>
  <c r="BD77" i="1"/>
  <c r="BG76" i="1"/>
  <c r="BH76" i="1"/>
  <c r="BD76" i="1"/>
  <c r="BS75" i="1"/>
  <c r="BT75" i="1"/>
  <c r="BP75" i="1"/>
  <c r="BR76" i="1" s="1"/>
  <c r="BG75" i="1"/>
  <c r="BH75" i="1"/>
  <c r="BD75" i="1"/>
  <c r="BG74" i="1"/>
  <c r="BH74" i="1"/>
  <c r="BD74" i="1"/>
  <c r="BG73" i="1"/>
  <c r="BH73" i="1"/>
  <c r="BD73" i="1"/>
  <c r="BG72" i="1"/>
  <c r="BH72" i="1"/>
  <c r="BD72" i="1"/>
  <c r="BG71" i="1"/>
  <c r="BH71" i="1"/>
  <c r="BD71" i="1"/>
  <c r="BG70" i="1"/>
  <c r="BH70" i="1"/>
  <c r="BD70" i="1"/>
  <c r="BG69" i="1"/>
  <c r="BH69" i="1"/>
  <c r="BD69" i="1"/>
  <c r="BT68" i="1"/>
  <c r="BP68" i="1"/>
  <c r="BR69" i="1" s="1"/>
  <c r="BS68" i="1"/>
  <c r="BU68" i="1" s="1"/>
  <c r="BH68" i="1"/>
  <c r="BD68" i="1"/>
  <c r="BG68" i="1"/>
  <c r="BI68" i="1" s="1"/>
  <c r="BX68" i="1" s="1"/>
  <c r="BH67" i="1"/>
  <c r="BD67" i="1"/>
  <c r="BG67" i="1"/>
  <c r="BI67" i="1" s="1"/>
  <c r="BH66" i="1"/>
  <c r="BD66" i="1"/>
  <c r="BG66" i="1"/>
  <c r="BI66" i="1" s="1"/>
  <c r="BH65" i="1"/>
  <c r="BD65" i="1"/>
  <c r="BG65" i="1"/>
  <c r="BI65" i="1" s="1"/>
  <c r="BP64" i="1"/>
  <c r="BR65" i="1" s="1"/>
  <c r="BS64" i="1"/>
  <c r="BT64" i="1"/>
  <c r="BG64" i="1"/>
  <c r="BH64" i="1"/>
  <c r="BD64" i="1"/>
  <c r="BT62" i="1"/>
  <c r="BP62" i="1"/>
  <c r="BR63" i="1" s="1"/>
  <c r="BS62" i="1"/>
  <c r="BU62" i="1" s="1"/>
  <c r="BS61" i="1"/>
  <c r="BP61" i="1"/>
  <c r="BT61" i="1"/>
  <c r="BG61" i="1"/>
  <c r="BH61" i="1"/>
  <c r="BD61" i="1"/>
  <c r="BF62" i="1" s="1"/>
  <c r="BP60" i="1"/>
  <c r="BT60" i="1"/>
  <c r="BS60" i="1"/>
  <c r="BU60" i="1" s="1"/>
  <c r="BD60" i="1"/>
  <c r="BG60" i="1"/>
  <c r="BH60" i="1"/>
  <c r="BP59" i="1"/>
  <c r="BS59" i="1"/>
  <c r="BT59" i="1"/>
  <c r="BG59" i="1"/>
  <c r="BD59" i="1"/>
  <c r="BH59" i="1"/>
  <c r="BS58" i="1"/>
  <c r="BP58" i="1"/>
  <c r="BT58" i="1"/>
  <c r="BD58" i="1"/>
  <c r="BH58" i="1"/>
  <c r="BG58" i="1"/>
  <c r="BP57" i="1"/>
  <c r="BS57" i="1"/>
  <c r="BT57" i="1"/>
  <c r="BH57" i="1"/>
  <c r="BG57" i="1"/>
  <c r="BI57" i="1" s="1"/>
  <c r="BD57" i="1"/>
  <c r="BS56" i="1"/>
  <c r="BT56" i="1"/>
  <c r="BP56" i="1"/>
  <c r="BH56" i="1"/>
  <c r="BG56" i="1"/>
  <c r="BI56" i="1" s="1"/>
  <c r="BD56" i="1"/>
  <c r="BP55" i="1"/>
  <c r="BT55" i="1"/>
  <c r="BS55" i="1"/>
  <c r="BU55" i="1" s="1"/>
  <c r="BD55" i="1"/>
  <c r="BG55" i="1"/>
  <c r="BH55" i="1"/>
  <c r="BS54" i="1"/>
  <c r="BP54" i="1"/>
  <c r="BT54" i="1"/>
  <c r="BS52" i="1"/>
  <c r="BP52" i="1"/>
  <c r="BT52" i="1"/>
  <c r="BT53" i="1"/>
  <c r="BP53" i="1"/>
  <c r="BS53" i="1"/>
  <c r="BU53" i="1" s="1"/>
  <c r="BH52" i="1"/>
  <c r="BG52" i="1"/>
  <c r="BI52" i="1" s="1"/>
  <c r="BD52" i="1"/>
  <c r="BD53" i="1"/>
  <c r="BG53" i="1"/>
  <c r="BH53" i="1"/>
  <c r="BS51" i="1"/>
  <c r="BT51" i="1"/>
  <c r="BP51" i="1"/>
  <c r="BG51" i="1"/>
  <c r="BH51" i="1"/>
  <c r="BD51" i="1"/>
  <c r="BS50" i="1"/>
  <c r="BT50" i="1"/>
  <c r="BP50" i="1"/>
  <c r="BG50" i="1"/>
  <c r="BH50" i="1"/>
  <c r="BD50" i="1"/>
  <c r="BS49" i="1"/>
  <c r="BT49" i="1"/>
  <c r="BP49" i="1"/>
  <c r="BS48" i="1"/>
  <c r="BT48" i="1"/>
  <c r="BP48" i="1"/>
  <c r="BG48" i="1"/>
  <c r="BH48" i="1"/>
  <c r="BD48" i="1"/>
  <c r="BG46" i="1"/>
  <c r="BH46" i="1"/>
  <c r="BD46" i="1"/>
  <c r="BS45" i="1"/>
  <c r="BT45" i="1"/>
  <c r="BP45" i="1"/>
  <c r="BR46" i="1" s="1"/>
  <c r="BG45" i="1"/>
  <c r="BH45" i="1"/>
  <c r="BD45" i="1"/>
  <c r="BS44" i="1"/>
  <c r="BT44" i="1"/>
  <c r="BP44" i="1"/>
  <c r="BG44" i="1"/>
  <c r="BH44" i="1"/>
  <c r="BD44" i="1"/>
  <c r="BS43" i="1"/>
  <c r="BT43" i="1"/>
  <c r="BP43" i="1"/>
  <c r="BG43" i="1"/>
  <c r="BH43" i="1"/>
  <c r="BD43" i="1"/>
  <c r="BS42" i="1"/>
  <c r="BT42" i="1"/>
  <c r="BP42" i="1"/>
  <c r="BG42" i="1"/>
  <c r="BH42" i="1"/>
  <c r="BD42" i="1"/>
  <c r="BS41" i="1"/>
  <c r="BT41" i="1"/>
  <c r="BP41" i="1"/>
  <c r="BG41" i="1"/>
  <c r="BH41" i="1"/>
  <c r="BD41" i="1"/>
  <c r="BS40" i="1"/>
  <c r="BT40" i="1"/>
  <c r="BP40" i="1"/>
  <c r="BG40" i="1"/>
  <c r="BH40" i="1"/>
  <c r="BD40" i="1"/>
  <c r="BS39" i="1"/>
  <c r="BT39" i="1"/>
  <c r="BP39" i="1"/>
  <c r="BG39" i="1"/>
  <c r="BH39" i="1"/>
  <c r="BD39" i="1"/>
  <c r="BS38" i="1"/>
  <c r="BT38" i="1"/>
  <c r="BP38" i="1"/>
  <c r="BG38" i="1"/>
  <c r="BH38" i="1"/>
  <c r="BD38" i="1"/>
  <c r="BS37" i="1"/>
  <c r="BT37" i="1"/>
  <c r="BP37" i="1"/>
  <c r="BG37" i="1"/>
  <c r="BH37" i="1"/>
  <c r="BD37" i="1"/>
  <c r="BS36" i="1"/>
  <c r="BT36" i="1"/>
  <c r="BP36" i="1"/>
  <c r="BS35" i="1"/>
  <c r="BT35" i="1"/>
  <c r="BP35" i="1"/>
  <c r="BG35" i="1"/>
  <c r="BH35" i="1"/>
  <c r="BD35" i="1"/>
  <c r="BF36" i="1" s="1"/>
  <c r="BS34" i="1"/>
  <c r="BT34" i="1"/>
  <c r="BP34" i="1"/>
  <c r="BS33" i="1"/>
  <c r="BT33" i="1"/>
  <c r="BP33" i="1"/>
  <c r="BS32" i="1"/>
  <c r="BT32" i="1"/>
  <c r="BP32" i="1"/>
  <c r="BS31" i="1"/>
  <c r="BT31" i="1"/>
  <c r="BP31" i="1"/>
  <c r="BS30" i="1"/>
  <c r="BT30" i="1"/>
  <c r="BP30" i="1"/>
  <c r="BS29" i="1"/>
  <c r="BT29" i="1"/>
  <c r="BP29" i="1"/>
  <c r="BG29" i="1"/>
  <c r="BH29" i="1"/>
  <c r="BD29" i="1"/>
  <c r="BF30" i="1" s="1"/>
  <c r="BS28" i="1"/>
  <c r="BT28" i="1"/>
  <c r="BP28" i="1"/>
  <c r="BS27" i="1"/>
  <c r="BT27" i="1"/>
  <c r="BP27" i="1"/>
  <c r="BS26" i="1"/>
  <c r="BT26" i="1"/>
  <c r="BP26" i="1"/>
  <c r="BS25" i="1"/>
  <c r="BT25" i="1"/>
  <c r="BP25" i="1"/>
  <c r="BS24" i="1"/>
  <c r="BT24" i="1"/>
  <c r="BP24" i="1"/>
  <c r="BG24" i="1"/>
  <c r="BH24" i="1"/>
  <c r="BD24" i="1"/>
  <c r="BF25" i="1" s="1"/>
  <c r="BS23" i="1"/>
  <c r="BT23" i="1"/>
  <c r="BP23" i="1"/>
  <c r="BS22" i="1"/>
  <c r="BT22" i="1"/>
  <c r="BG22" i="1"/>
  <c r="BH22" i="1"/>
  <c r="BG23" i="1" l="1"/>
  <c r="BH23" i="1"/>
  <c r="BD23" i="1"/>
  <c r="BG54" i="1"/>
  <c r="BD54" i="1"/>
  <c r="BH54" i="1"/>
  <c r="BG49" i="1"/>
  <c r="BH49" i="1"/>
  <c r="BD49" i="1"/>
  <c r="BG47" i="1"/>
  <c r="BH47" i="1"/>
  <c r="BD47" i="1"/>
  <c r="BH63" i="1"/>
  <c r="BD63" i="1"/>
  <c r="BG63" i="1"/>
  <c r="BI63" i="1" s="1"/>
  <c r="BI61" i="1"/>
  <c r="BU59" i="1"/>
  <c r="BI58" i="1"/>
  <c r="BU97" i="1"/>
  <c r="BU88" i="1"/>
  <c r="BU87" i="1"/>
  <c r="BI86" i="1"/>
  <c r="BU84" i="1"/>
  <c r="BU83" i="1"/>
  <c r="BU82" i="1"/>
  <c r="BI80" i="1"/>
  <c r="BI79" i="1"/>
  <c r="BI76" i="1"/>
  <c r="BI74" i="1"/>
  <c r="BU64" i="1"/>
  <c r="BI102" i="1"/>
  <c r="BD148" i="1"/>
  <c r="BF149" i="1" s="1"/>
  <c r="BG148" i="1"/>
  <c r="BH148" i="1"/>
  <c r="BG146" i="1"/>
  <c r="BD146" i="1"/>
  <c r="BH146" i="1"/>
  <c r="BG136" i="1"/>
  <c r="BD136" i="1"/>
  <c r="BF137" i="1" s="1"/>
  <c r="BH136" i="1"/>
  <c r="BP126" i="1"/>
  <c r="BR127" i="1" s="1"/>
  <c r="BT126" i="1"/>
  <c r="BS126" i="1"/>
  <c r="BU126" i="1" s="1"/>
  <c r="BP117" i="1"/>
  <c r="BR118" i="1" s="1"/>
  <c r="BT117" i="1"/>
  <c r="BS117" i="1"/>
  <c r="BU117" i="1" s="1"/>
  <c r="BG110" i="1"/>
  <c r="BD110" i="1"/>
  <c r="BF111" i="1" s="1"/>
  <c r="BH110" i="1"/>
  <c r="BH106" i="1"/>
  <c r="BG106" i="1"/>
  <c r="BI106" i="1" s="1"/>
  <c r="BD106" i="1"/>
  <c r="BF107" i="1" s="1"/>
  <c r="BG100" i="1"/>
  <c r="BD100" i="1"/>
  <c r="BH100" i="1"/>
  <c r="BG96" i="1"/>
  <c r="BD96" i="1"/>
  <c r="BF97" i="1" s="1"/>
  <c r="BH96" i="1"/>
  <c r="BP76" i="1"/>
  <c r="BR77" i="1" s="1"/>
  <c r="BT76" i="1"/>
  <c r="BS76" i="1"/>
  <c r="BU76" i="1" s="1"/>
  <c r="BX76" i="1" s="1"/>
  <c r="BP69" i="1"/>
  <c r="BR70" i="1" s="1"/>
  <c r="BT69" i="1"/>
  <c r="BS69" i="1"/>
  <c r="BU69" i="1" s="1"/>
  <c r="BT65" i="1"/>
  <c r="BS65" i="1"/>
  <c r="BU65" i="1" s="1"/>
  <c r="BX65" i="1" s="1"/>
  <c r="BP65" i="1"/>
  <c r="BR66" i="1" s="1"/>
  <c r="BS63" i="1"/>
  <c r="BP63" i="1"/>
  <c r="BT63" i="1"/>
  <c r="BD62" i="1"/>
  <c r="BG62" i="1"/>
  <c r="BH62" i="1"/>
  <c r="BP46" i="1"/>
  <c r="BR47" i="1" s="1"/>
  <c r="BT46" i="1"/>
  <c r="BS46" i="1"/>
  <c r="BU46" i="1" s="1"/>
  <c r="BD36" i="1"/>
  <c r="BH36" i="1"/>
  <c r="BG36" i="1"/>
  <c r="BD30" i="1"/>
  <c r="BF31" i="1" s="1"/>
  <c r="BH30" i="1"/>
  <c r="BG30" i="1"/>
  <c r="BI30" i="1" s="1"/>
  <c r="BD25" i="1"/>
  <c r="BF26" i="1" s="1"/>
  <c r="BH25" i="1"/>
  <c r="BG25" i="1"/>
  <c r="BI25" i="1" s="1"/>
  <c r="BX91" i="1"/>
  <c r="BI82" i="1"/>
  <c r="BX82" i="1" s="1"/>
  <c r="BI77" i="1"/>
  <c r="BI98" i="1"/>
  <c r="BX98" i="1" s="1"/>
  <c r="BI95" i="1"/>
  <c r="BU89" i="1"/>
  <c r="BI89" i="1"/>
  <c r="BX89" i="1" s="1"/>
  <c r="BI88" i="1"/>
  <c r="BX88" i="1" s="1"/>
  <c r="BI78" i="1"/>
  <c r="BU75" i="1"/>
  <c r="BI73" i="1"/>
  <c r="BI71" i="1"/>
  <c r="BI59" i="1"/>
  <c r="BX59" i="1" s="1"/>
  <c r="BU58" i="1"/>
  <c r="BX58" i="1" s="1"/>
  <c r="BU57" i="1"/>
  <c r="BX57" i="1" s="1"/>
  <c r="BU56" i="1"/>
  <c r="BX56" i="1" s="1"/>
  <c r="BI55" i="1"/>
  <c r="BX55" i="1" s="1"/>
  <c r="BU54" i="1"/>
  <c r="BI54" i="1"/>
  <c r="BX54" i="1" s="1"/>
  <c r="BU52" i="1"/>
  <c r="BX52" i="1" s="1"/>
  <c r="BI53" i="1"/>
  <c r="BX53" i="1" s="1"/>
  <c r="BU51" i="1"/>
  <c r="BI51" i="1"/>
  <c r="BX51" i="1" s="1"/>
  <c r="BU50" i="1"/>
  <c r="BI50" i="1"/>
  <c r="BX50" i="1" s="1"/>
  <c r="BU49" i="1"/>
  <c r="BI49" i="1"/>
  <c r="BX49" i="1" s="1"/>
  <c r="BU48" i="1"/>
  <c r="BI48" i="1"/>
  <c r="BX48" i="1" s="1"/>
  <c r="BI47" i="1"/>
  <c r="BI46" i="1"/>
  <c r="BX46" i="1" s="1"/>
  <c r="BU45" i="1"/>
  <c r="BI45" i="1"/>
  <c r="BX45" i="1" s="1"/>
  <c r="BU44" i="1"/>
  <c r="BI44" i="1"/>
  <c r="BX44" i="1" s="1"/>
  <c r="BU43" i="1"/>
  <c r="BI43" i="1"/>
  <c r="BX43" i="1" s="1"/>
  <c r="BU42" i="1"/>
  <c r="BI42" i="1"/>
  <c r="BX42" i="1" s="1"/>
  <c r="BU41" i="1"/>
  <c r="BI41" i="1"/>
  <c r="BX41" i="1" s="1"/>
  <c r="BU40" i="1"/>
  <c r="BI40" i="1"/>
  <c r="BX40" i="1" s="1"/>
  <c r="BU39" i="1"/>
  <c r="BI39" i="1"/>
  <c r="BX39" i="1" s="1"/>
  <c r="BU38" i="1"/>
  <c r="BI38" i="1"/>
  <c r="BX38" i="1" s="1"/>
  <c r="BU37" i="1"/>
  <c r="BI37" i="1"/>
  <c r="BX37" i="1" s="1"/>
  <c r="BU36" i="1"/>
  <c r="BU35" i="1"/>
  <c r="BI35" i="1"/>
  <c r="BU34" i="1"/>
  <c r="BU33" i="1"/>
  <c r="BU32" i="1"/>
  <c r="BU31" i="1"/>
  <c r="BU30" i="1"/>
  <c r="BU29" i="1"/>
  <c r="BI29" i="1"/>
  <c r="BX29" i="1" s="1"/>
  <c r="BU28" i="1"/>
  <c r="BU27" i="1"/>
  <c r="BU26" i="1"/>
  <c r="BU25" i="1"/>
  <c r="BU24" i="1"/>
  <c r="BI24" i="1"/>
  <c r="BX24" i="1" s="1"/>
  <c r="BU23" i="1"/>
  <c r="BI23" i="1"/>
  <c r="BX23" i="1" s="1"/>
  <c r="BU22" i="1"/>
  <c r="BI22" i="1"/>
  <c r="BI83" i="1"/>
  <c r="BX83" i="1" s="1"/>
  <c r="BI75" i="1"/>
  <c r="BX75" i="1" s="1"/>
  <c r="BU61" i="1"/>
  <c r="BX61" i="1" s="1"/>
  <c r="BI60" i="1"/>
  <c r="BX60" i="1" s="1"/>
  <c r="BI87" i="1"/>
  <c r="BX87" i="1" s="1"/>
  <c r="BU101" i="1"/>
  <c r="BX101" i="1" s="1"/>
  <c r="BU94" i="1"/>
  <c r="BI94" i="1"/>
  <c r="BX94" i="1" s="1"/>
  <c r="BU92" i="1"/>
  <c r="BX92" i="1" s="1"/>
  <c r="BU86" i="1"/>
  <c r="BX86" i="1" s="1"/>
  <c r="BU85" i="1"/>
  <c r="BI81" i="1"/>
  <c r="BI72" i="1"/>
  <c r="BU167" i="1"/>
  <c r="BU166" i="1"/>
  <c r="BU165" i="1"/>
  <c r="BU164" i="1"/>
  <c r="BU163" i="1"/>
  <c r="BU162" i="1"/>
  <c r="BU161" i="1"/>
  <c r="BU160" i="1"/>
  <c r="BU159" i="1"/>
  <c r="BU157" i="1"/>
  <c r="BU155" i="1"/>
  <c r="BU150" i="1"/>
  <c r="BU147" i="1"/>
  <c r="BX147" i="1" s="1"/>
  <c r="BI145" i="1"/>
  <c r="BX145" i="1" s="1"/>
  <c r="BI144" i="1"/>
  <c r="BX144" i="1" s="1"/>
  <c r="BU143" i="1"/>
  <c r="BX143" i="1" s="1"/>
  <c r="BU140" i="1"/>
  <c r="BU134" i="1"/>
  <c r="BX134" i="1" s="1"/>
  <c r="BU133" i="1"/>
  <c r="BI133" i="1"/>
  <c r="BX133" i="1" s="1"/>
  <c r="BU132" i="1"/>
  <c r="BI132" i="1"/>
  <c r="BX132" i="1" s="1"/>
  <c r="BI131" i="1"/>
  <c r="BI129" i="1"/>
  <c r="BI128" i="1"/>
  <c r="BI127" i="1"/>
  <c r="BI126" i="1"/>
  <c r="BX126" i="1" s="1"/>
  <c r="BU125" i="1"/>
  <c r="BI125" i="1"/>
  <c r="BX125" i="1" s="1"/>
  <c r="BU124" i="1"/>
  <c r="BI124" i="1"/>
  <c r="BX124" i="1" s="1"/>
  <c r="BU123" i="1"/>
  <c r="BI123" i="1"/>
  <c r="BX123" i="1" s="1"/>
  <c r="BU122" i="1"/>
  <c r="BI122" i="1"/>
  <c r="BX122" i="1" s="1"/>
  <c r="BU121" i="1"/>
  <c r="BI121" i="1"/>
  <c r="BX121" i="1" s="1"/>
  <c r="BU120" i="1"/>
  <c r="BI120" i="1"/>
  <c r="BX120" i="1" s="1"/>
  <c r="BU119" i="1"/>
  <c r="BI119" i="1"/>
  <c r="BX119" i="1" s="1"/>
  <c r="BI118" i="1"/>
  <c r="BI117" i="1"/>
  <c r="BX117" i="1" s="1"/>
  <c r="BU116" i="1"/>
  <c r="BX116" i="1" s="1"/>
  <c r="BU115" i="1"/>
  <c r="BI115" i="1"/>
  <c r="BX115" i="1" s="1"/>
  <c r="BI114" i="1"/>
  <c r="BX114" i="1" s="1"/>
  <c r="BU113" i="1"/>
  <c r="BX113" i="1" s="1"/>
  <c r="BU111" i="1"/>
  <c r="BU110" i="1"/>
  <c r="BU109" i="1"/>
  <c r="BX109" i="1" s="1"/>
  <c r="BU106" i="1"/>
  <c r="BI105" i="1"/>
  <c r="BX105" i="1" s="1"/>
  <c r="BU104" i="1"/>
  <c r="BX104" i="1" s="1"/>
  <c r="BU102" i="1"/>
  <c r="BU95" i="1"/>
  <c r="BI90" i="1"/>
  <c r="BX90" i="1" s="1"/>
  <c r="BI85" i="1"/>
  <c r="BX85" i="1" s="1"/>
  <c r="BI84" i="1"/>
  <c r="BX84" i="1" s="1"/>
  <c r="BI70" i="1"/>
  <c r="BI69" i="1"/>
  <c r="BI64" i="1"/>
  <c r="BX102" i="1" l="1"/>
  <c r="BI36" i="1"/>
  <c r="BX35" i="1"/>
  <c r="BX69" i="1"/>
  <c r="BX64" i="1"/>
  <c r="BD149" i="1"/>
  <c r="BF150" i="1" s="1"/>
  <c r="BG149" i="1"/>
  <c r="BH149" i="1"/>
  <c r="BH137" i="1"/>
  <c r="BD137" i="1"/>
  <c r="BF138" i="1" s="1"/>
  <c r="BG137" i="1"/>
  <c r="BI137" i="1" s="1"/>
  <c r="BX137" i="1" s="1"/>
  <c r="BP127" i="1"/>
  <c r="BR128" i="1" s="1"/>
  <c r="BT127" i="1"/>
  <c r="BS127" i="1"/>
  <c r="BU127" i="1" s="1"/>
  <c r="BX127" i="1" s="1"/>
  <c r="BP118" i="1"/>
  <c r="BT118" i="1"/>
  <c r="BS118" i="1"/>
  <c r="BU118" i="1" s="1"/>
  <c r="BX118" i="1" s="1"/>
  <c r="BH111" i="1"/>
  <c r="BG111" i="1"/>
  <c r="BD111" i="1"/>
  <c r="BF112" i="1" s="1"/>
  <c r="BG107" i="1"/>
  <c r="BD107" i="1"/>
  <c r="BF108" i="1" s="1"/>
  <c r="BH107" i="1"/>
  <c r="BG97" i="1"/>
  <c r="BD97" i="1"/>
  <c r="BH97" i="1"/>
  <c r="BP77" i="1"/>
  <c r="BR78" i="1" s="1"/>
  <c r="BT77" i="1"/>
  <c r="BS77" i="1"/>
  <c r="BU77" i="1" s="1"/>
  <c r="BX77" i="1" s="1"/>
  <c r="BP70" i="1"/>
  <c r="BR71" i="1" s="1"/>
  <c r="BT70" i="1"/>
  <c r="BS70" i="1"/>
  <c r="BU70" i="1" s="1"/>
  <c r="BX70" i="1" s="1"/>
  <c r="BT66" i="1"/>
  <c r="BP66" i="1"/>
  <c r="BR67" i="1" s="1"/>
  <c r="BS66" i="1"/>
  <c r="BU66" i="1" s="1"/>
  <c r="BX66" i="1" s="1"/>
  <c r="BP47" i="1"/>
  <c r="BT47" i="1"/>
  <c r="BS47" i="1"/>
  <c r="BD31" i="1"/>
  <c r="BF32" i="1" s="1"/>
  <c r="BH31" i="1"/>
  <c r="BG31" i="1"/>
  <c r="BI31" i="1" s="1"/>
  <c r="BX31" i="1" s="1"/>
  <c r="BD26" i="1"/>
  <c r="BF27" i="1" s="1"/>
  <c r="BH26" i="1"/>
  <c r="BG26" i="1"/>
  <c r="BI26" i="1" s="1"/>
  <c r="BV22" i="1"/>
  <c r="BV23" i="1" s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X22" i="1"/>
  <c r="BJ22" i="1"/>
  <c r="BJ23" i="1" s="1"/>
  <c r="BJ24" i="1" s="1"/>
  <c r="BJ25" i="1" s="1"/>
  <c r="BI148" i="1"/>
  <c r="BX148" i="1" s="1"/>
  <c r="BI146" i="1"/>
  <c r="BX146" i="1" s="1"/>
  <c r="BI136" i="1"/>
  <c r="BX136" i="1" s="1"/>
  <c r="BI110" i="1"/>
  <c r="BX110" i="1" s="1"/>
  <c r="BX106" i="1"/>
  <c r="BI100" i="1"/>
  <c r="BX100" i="1" s="1"/>
  <c r="BI96" i="1"/>
  <c r="BX96" i="1" s="1"/>
  <c r="BU63" i="1"/>
  <c r="BX63" i="1" s="1"/>
  <c r="BI62" i="1"/>
  <c r="BX62" i="1" s="1"/>
  <c r="BX36" i="1"/>
  <c r="BX30" i="1"/>
  <c r="BX25" i="1"/>
  <c r="BX95" i="1"/>
  <c r="BI111" i="1" l="1"/>
  <c r="BX111" i="1" s="1"/>
  <c r="BU47" i="1"/>
  <c r="BH150" i="1"/>
  <c r="BG150" i="1"/>
  <c r="BI150" i="1" s="1"/>
  <c r="BX150" i="1" s="1"/>
  <c r="BD150" i="1"/>
  <c r="BF151" i="1" s="1"/>
  <c r="BD138" i="1"/>
  <c r="BF139" i="1" s="1"/>
  <c r="BG138" i="1"/>
  <c r="BH138" i="1"/>
  <c r="BP128" i="1"/>
  <c r="BR129" i="1" s="1"/>
  <c r="BT128" i="1"/>
  <c r="BS128" i="1"/>
  <c r="BU128" i="1" s="1"/>
  <c r="BX128" i="1" s="1"/>
  <c r="BH112" i="1"/>
  <c r="BG112" i="1"/>
  <c r="BD112" i="1"/>
  <c r="BH108" i="1"/>
  <c r="BD108" i="1"/>
  <c r="BG108" i="1"/>
  <c r="BP78" i="1"/>
  <c r="BR79" i="1" s="1"/>
  <c r="BT78" i="1"/>
  <c r="BS78" i="1"/>
  <c r="BU78" i="1" s="1"/>
  <c r="BX78" i="1" s="1"/>
  <c r="BP71" i="1"/>
  <c r="BR72" i="1" s="1"/>
  <c r="BT71" i="1"/>
  <c r="BS71" i="1"/>
  <c r="BU71" i="1" s="1"/>
  <c r="BX71" i="1" s="1"/>
  <c r="BS67" i="1"/>
  <c r="BT67" i="1"/>
  <c r="BP67" i="1"/>
  <c r="BD32" i="1"/>
  <c r="BF33" i="1" s="1"/>
  <c r="BH32" i="1"/>
  <c r="BG32" i="1"/>
  <c r="BD27" i="1"/>
  <c r="BF28" i="1" s="1"/>
  <c r="BH27" i="1"/>
  <c r="BG27" i="1"/>
  <c r="BI27" i="1" s="1"/>
  <c r="BY22" i="1"/>
  <c r="BY23" i="1" s="1"/>
  <c r="BY24" i="1" s="1"/>
  <c r="BY25" i="1" s="1"/>
  <c r="BJ26" i="1"/>
  <c r="BI149" i="1"/>
  <c r="BX149" i="1" s="1"/>
  <c r="BI107" i="1"/>
  <c r="BX107" i="1" s="1"/>
  <c r="BI97" i="1"/>
  <c r="BX97" i="1" s="1"/>
  <c r="BX26" i="1"/>
  <c r="BI32" i="1" l="1"/>
  <c r="BX32" i="1" s="1"/>
  <c r="BI112" i="1"/>
  <c r="BX112" i="1" s="1"/>
  <c r="BV47" i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X47" i="1"/>
  <c r="BI108" i="1"/>
  <c r="BX108" i="1" s="1"/>
  <c r="BY26" i="1"/>
  <c r="BD151" i="1"/>
  <c r="BF152" i="1" s="1"/>
  <c r="BH151" i="1"/>
  <c r="BG151" i="1"/>
  <c r="BI151" i="1" s="1"/>
  <c r="BX151" i="1" s="1"/>
  <c r="BG139" i="1"/>
  <c r="BD139" i="1"/>
  <c r="BF140" i="1" s="1"/>
  <c r="BH139" i="1"/>
  <c r="BT129" i="1"/>
  <c r="BP129" i="1"/>
  <c r="BR130" i="1" s="1"/>
  <c r="BS129" i="1"/>
  <c r="BP79" i="1"/>
  <c r="BR80" i="1" s="1"/>
  <c r="BT79" i="1"/>
  <c r="BS79" i="1"/>
  <c r="BU79" i="1" s="1"/>
  <c r="BX79" i="1" s="1"/>
  <c r="BP72" i="1"/>
  <c r="BR73" i="1" s="1"/>
  <c r="BT72" i="1"/>
  <c r="BS72" i="1"/>
  <c r="BU72" i="1" s="1"/>
  <c r="BX72" i="1" s="1"/>
  <c r="BD33" i="1"/>
  <c r="BF34" i="1" s="1"/>
  <c r="BH33" i="1"/>
  <c r="BG33" i="1"/>
  <c r="BD28" i="1"/>
  <c r="BH28" i="1"/>
  <c r="BG28" i="1"/>
  <c r="BI28" i="1" s="1"/>
  <c r="BJ27" i="1"/>
  <c r="BI138" i="1"/>
  <c r="BX138" i="1" s="1"/>
  <c r="BU67" i="1"/>
  <c r="BX27" i="1"/>
  <c r="BI33" i="1" l="1"/>
  <c r="BX33" i="1" s="1"/>
  <c r="BU129" i="1"/>
  <c r="BX129" i="1" s="1"/>
  <c r="BY27" i="1"/>
  <c r="BD152" i="1"/>
  <c r="BF153" i="1" s="1"/>
  <c r="BH152" i="1"/>
  <c r="BG152" i="1"/>
  <c r="BI152" i="1" s="1"/>
  <c r="BX152" i="1" s="1"/>
  <c r="BG140" i="1"/>
  <c r="BD140" i="1"/>
  <c r="BF141" i="1" s="1"/>
  <c r="BH140" i="1"/>
  <c r="BS130" i="1"/>
  <c r="BP130" i="1"/>
  <c r="BR131" i="1" s="1"/>
  <c r="BT130" i="1"/>
  <c r="BP80" i="1"/>
  <c r="BR81" i="1" s="1"/>
  <c r="BT80" i="1"/>
  <c r="BS80" i="1"/>
  <c r="BU80" i="1" s="1"/>
  <c r="BX80" i="1" s="1"/>
  <c r="BP73" i="1"/>
  <c r="BR74" i="1" s="1"/>
  <c r="BT73" i="1"/>
  <c r="BS73" i="1"/>
  <c r="BU73" i="1" s="1"/>
  <c r="BD34" i="1"/>
  <c r="BH34" i="1"/>
  <c r="BG34" i="1"/>
  <c r="BX67" i="1"/>
  <c r="BV67" i="1"/>
  <c r="BV68" i="1" s="1"/>
  <c r="BV69" i="1" s="1"/>
  <c r="BV70" i="1" s="1"/>
  <c r="BV71" i="1" s="1"/>
  <c r="BV72" i="1" s="1"/>
  <c r="BJ28" i="1"/>
  <c r="BJ29" i="1" s="1"/>
  <c r="BJ30" i="1" s="1"/>
  <c r="BJ31" i="1" s="1"/>
  <c r="BJ32" i="1" s="1"/>
  <c r="BJ33" i="1" s="1"/>
  <c r="BI139" i="1"/>
  <c r="BX139" i="1" s="1"/>
  <c r="BX28" i="1"/>
  <c r="BY28" i="1" s="1"/>
  <c r="BY29" i="1" s="1"/>
  <c r="BY30" i="1" s="1"/>
  <c r="BY31" i="1" s="1"/>
  <c r="BY32" i="1" s="1"/>
  <c r="BY33" i="1" s="1"/>
  <c r="BI34" i="1" l="1"/>
  <c r="BD153" i="1"/>
  <c r="BF154" i="1" s="1"/>
  <c r="BH153" i="1"/>
  <c r="BG153" i="1"/>
  <c r="BG141" i="1"/>
  <c r="BD141" i="1"/>
  <c r="BH141" i="1"/>
  <c r="BT131" i="1"/>
  <c r="BS131" i="1"/>
  <c r="BU131" i="1" s="1"/>
  <c r="BX131" i="1" s="1"/>
  <c r="BP131" i="1"/>
  <c r="BP81" i="1"/>
  <c r="BT81" i="1"/>
  <c r="BS81" i="1"/>
  <c r="BU81" i="1" s="1"/>
  <c r="BX81" i="1" s="1"/>
  <c r="BP74" i="1"/>
  <c r="BT74" i="1"/>
  <c r="BS74" i="1"/>
  <c r="BU74" i="1" s="1"/>
  <c r="BV73" i="1"/>
  <c r="BI140" i="1"/>
  <c r="BX140" i="1" s="1"/>
  <c r="BU130" i="1"/>
  <c r="BX130" i="1" s="1"/>
  <c r="BX73" i="1"/>
  <c r="BX34" i="1" l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J34" i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I153" i="1"/>
  <c r="BX153" i="1" s="1"/>
  <c r="BH154" i="1"/>
  <c r="BG154" i="1"/>
  <c r="BD154" i="1"/>
  <c r="BF155" i="1" s="1"/>
  <c r="BV74" i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I141" i="1"/>
  <c r="BX141" i="1" s="1"/>
  <c r="BX74" i="1"/>
  <c r="BV10" i="1"/>
  <c r="BV9" i="1"/>
  <c r="BV11" i="1" s="1"/>
  <c r="CL14" i="1" s="1"/>
  <c r="BI154" i="1" l="1"/>
  <c r="BX154" i="1" s="1"/>
  <c r="BH155" i="1"/>
  <c r="BG155" i="1"/>
  <c r="BI155" i="1" s="1"/>
  <c r="BX155" i="1" s="1"/>
  <c r="BD155" i="1"/>
  <c r="BF156" i="1" s="1"/>
  <c r="BY74" i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J141" i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l="1"/>
  <c r="BG156" i="1"/>
  <c r="BH156" i="1"/>
  <c r="BD156" i="1"/>
  <c r="BF157" i="1" s="1"/>
  <c r="BJ155" i="1"/>
  <c r="BY155" i="1"/>
  <c r="BG157" i="1" l="1"/>
  <c r="BD157" i="1"/>
  <c r="BF158" i="1" s="1"/>
  <c r="BH157" i="1"/>
  <c r="BI156" i="1"/>
  <c r="BD158" i="1" l="1"/>
  <c r="BF159" i="1" s="1"/>
  <c r="BH158" i="1"/>
  <c r="BG158" i="1"/>
  <c r="BJ156" i="1"/>
  <c r="BX156" i="1"/>
  <c r="BY156" i="1" s="1"/>
  <c r="BI157" i="1"/>
  <c r="BX157" i="1" s="1"/>
  <c r="BI158" i="1" l="1"/>
  <c r="BX158" i="1" s="1"/>
  <c r="BJ157" i="1"/>
  <c r="BJ158" i="1" s="1"/>
  <c r="BY157" i="1"/>
  <c r="BD159" i="1"/>
  <c r="BF160" i="1" s="1"/>
  <c r="BH159" i="1"/>
  <c r="BG159" i="1"/>
  <c r="BI159" i="1" l="1"/>
  <c r="BY158" i="1"/>
  <c r="BD160" i="1"/>
  <c r="BF161" i="1" s="1"/>
  <c r="BH160" i="1"/>
  <c r="BG160" i="1"/>
  <c r="BJ159" i="1" l="1"/>
  <c r="BX159" i="1"/>
  <c r="BY159" i="1" s="1"/>
  <c r="BI160" i="1"/>
  <c r="BD161" i="1"/>
  <c r="BF162" i="1" s="1"/>
  <c r="BH161" i="1"/>
  <c r="BG161" i="1"/>
  <c r="BI161" i="1" l="1"/>
  <c r="BJ160" i="1"/>
  <c r="BX160" i="1"/>
  <c r="BY160" i="1" s="1"/>
  <c r="BD162" i="1"/>
  <c r="BF163" i="1" s="1"/>
  <c r="BH162" i="1"/>
  <c r="BG162" i="1"/>
  <c r="BJ161" i="1"/>
  <c r="BX161" i="1"/>
  <c r="BY161" i="1" s="1"/>
  <c r="BI162" i="1" l="1"/>
  <c r="BD163" i="1"/>
  <c r="BF164" i="1" s="1"/>
  <c r="BH163" i="1"/>
  <c r="BG163" i="1"/>
  <c r="BI163" i="1" s="1"/>
  <c r="BJ162" i="1" l="1"/>
  <c r="BJ163" i="1" s="1"/>
  <c r="BX162" i="1"/>
  <c r="BY162" i="1" s="1"/>
  <c r="BD164" i="1"/>
  <c r="BF165" i="1" s="1"/>
  <c r="BH164" i="1"/>
  <c r="BG164" i="1"/>
  <c r="BI164" i="1" s="1"/>
  <c r="BX164" i="1" s="1"/>
  <c r="BX163" i="1"/>
  <c r="BJ164" i="1" l="1"/>
  <c r="BY163" i="1"/>
  <c r="BY164" i="1" s="1"/>
  <c r="BD165" i="1"/>
  <c r="BF166" i="1" s="1"/>
  <c r="BH165" i="1"/>
  <c r="BG165" i="1"/>
  <c r="BI165" i="1" s="1"/>
  <c r="BD166" i="1" l="1"/>
  <c r="BF167" i="1" s="1"/>
  <c r="BH166" i="1"/>
  <c r="BG166" i="1"/>
  <c r="BI166" i="1" s="1"/>
  <c r="BX166" i="1" s="1"/>
  <c r="BJ165" i="1"/>
  <c r="BX165" i="1"/>
  <c r="BY165" i="1" s="1"/>
  <c r="BD167" i="1" l="1"/>
  <c r="BH167" i="1"/>
  <c r="BG167" i="1"/>
  <c r="BJ166" i="1"/>
  <c r="BY166" i="1"/>
  <c r="BI167" i="1" l="1"/>
  <c r="BJ167" i="1" l="1"/>
  <c r="BJ1" i="1" s="1"/>
  <c r="BJ10" i="1"/>
  <c r="BJ9" i="1"/>
  <c r="BJ11" i="1" s="1"/>
  <c r="CL3" i="1" s="1"/>
  <c r="BX167" i="1"/>
  <c r="BY9" i="1"/>
  <c r="BY10" i="1" l="1"/>
  <c r="BY11" i="1" s="1"/>
  <c r="BY167" i="1"/>
  <c r="BY1" i="1" s="1"/>
</calcChain>
</file>

<file path=xl/sharedStrings.xml><?xml version="1.0" encoding="utf-8"?>
<sst xmlns="http://schemas.openxmlformats.org/spreadsheetml/2006/main" count="65" uniqueCount="50">
  <si>
    <t>date</t>
  </si>
  <si>
    <t>XBI</t>
  </si>
  <si>
    <t>IBB</t>
  </si>
  <si>
    <t>XBI log rtn</t>
  </si>
  <si>
    <t>IBB log rtn</t>
  </si>
  <si>
    <t>XBI div</t>
  </si>
  <si>
    <t>XBI div cumsum</t>
  </si>
  <si>
    <t>IBB div</t>
  </si>
  <si>
    <t>IBB div cumsum</t>
  </si>
  <si>
    <t>XBI div adjustment</t>
  </si>
  <si>
    <t>IBB div adjustment</t>
  </si>
  <si>
    <t>XBI*</t>
  </si>
  <si>
    <t>IBB*</t>
  </si>
  <si>
    <t>IBB/XBI</t>
  </si>
  <si>
    <t>IBB/XBI avg</t>
  </si>
  <si>
    <t>IBB/XBI 10 dma</t>
  </si>
  <si>
    <t>IBB/XBI 20 dma</t>
  </si>
  <si>
    <t>XBI x avg</t>
  </si>
  <si>
    <t>XBI x 10 dma</t>
  </si>
  <si>
    <t>XBI x 20 dma</t>
  </si>
  <si>
    <t>log diff XBI x avg / IBB</t>
  </si>
  <si>
    <t>log diff XBI x 10 dma / IBB</t>
  </si>
  <si>
    <t>log diff XBI x 20 dma / IBB</t>
  </si>
  <si>
    <t>IBB*/XBI*</t>
  </si>
  <si>
    <t>IBB*/XBI* avg</t>
  </si>
  <si>
    <t>IBB*/XBI* 10 dma</t>
  </si>
  <si>
    <t>IBB*/XBI* 20 dma</t>
  </si>
  <si>
    <t>XBI* x avg</t>
  </si>
  <si>
    <t>XBI* x 10 dma</t>
  </si>
  <si>
    <t>XBI* x 20 dma</t>
  </si>
  <si>
    <t>log diff XBI* x avg / IBB*</t>
  </si>
  <si>
    <t>log diff XBI* x 10 dma / IBB*</t>
  </si>
  <si>
    <t>log diff XBI* x 20 dma / IBB*</t>
  </si>
  <si>
    <t>enter</t>
  </si>
  <si>
    <t>row</t>
  </si>
  <si>
    <t>ba20</t>
  </si>
  <si>
    <t>col</t>
  </si>
  <si>
    <t>ba21</t>
  </si>
  <si>
    <t>exit</t>
  </si>
  <si>
    <t>bm20</t>
  </si>
  <si>
    <t>bm21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</si>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</sst>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0.0000%"/>
    <numFmt numFmtId="166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right"/>
    </xf>
    <xf numFmtId="44" fontId="0" fillId="0" borderId="0" xfId="2" applyFont="1"/>
    <xf numFmtId="43" fontId="16" fillId="0" borderId="0" xfId="1" applyFont="1"/>
    <xf numFmtId="10" fontId="16" fillId="0" borderId="0" xfId="3" applyNumberFormat="1" applyFont="1"/>
    <xf numFmtId="43" fontId="0" fillId="0" borderId="0" xfId="1" applyFont="1"/>
    <xf numFmtId="43" fontId="0" fillId="0" borderId="0" xfId="1" applyFont="1" applyBorder="1"/>
    <xf numFmtId="43" fontId="0" fillId="0" borderId="10" xfId="1" applyFont="1" applyBorder="1"/>
    <xf numFmtId="10" fontId="0" fillId="0" borderId="0" xfId="0" applyNumberFormat="1"/>
    <xf numFmtId="44" fontId="19" fillId="0" borderId="0" xfId="2" applyFont="1"/>
    <xf numFmtId="10" fontId="16" fillId="0" borderId="0" xfId="3" applyNumberFormat="1" applyFont="1" applyBorder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10" fontId="0" fillId="0" borderId="0" xfId="3" applyNumberFormat="1" applyFont="1"/>
    <xf numFmtId="164" fontId="18" fillId="0" borderId="0" xfId="2" applyNumberFormat="1" applyFont="1" applyAlignment="1">
      <alignment horizontal="right"/>
    </xf>
    <xf numFmtId="165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4" fontId="0" fillId="0" borderId="0" xfId="2" applyNumberFormat="1" applyFont="1"/>
    <xf numFmtId="165" fontId="0" fillId="0" borderId="0" xfId="3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672-4F1A-ADA5-B44FC3EF2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XBI_IBB_1!$BY$22:$BY$167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1.0273644025232401E-2</c:v>
                </c:pt>
                <c:pt idx="5">
                  <c:v>1.853495266937661E-2</c:v>
                </c:pt>
                <c:pt idx="6">
                  <c:v>1.853495266937661E-2</c:v>
                </c:pt>
                <c:pt idx="7">
                  <c:v>1.853495266937661E-2</c:v>
                </c:pt>
                <c:pt idx="8">
                  <c:v>1.853495266937661E-2</c:v>
                </c:pt>
                <c:pt idx="9">
                  <c:v>1.853495266937661E-2</c:v>
                </c:pt>
                <c:pt idx="10">
                  <c:v>2.4065806105416691E-2</c:v>
                </c:pt>
                <c:pt idx="11">
                  <c:v>2.7575343355872792E-2</c:v>
                </c:pt>
                <c:pt idx="12">
                  <c:v>2.7575343355872792E-2</c:v>
                </c:pt>
                <c:pt idx="13">
                  <c:v>2.7575343355872792E-2</c:v>
                </c:pt>
                <c:pt idx="14">
                  <c:v>2.7575343355872792E-2</c:v>
                </c:pt>
                <c:pt idx="15">
                  <c:v>2.7575343355872792E-2</c:v>
                </c:pt>
                <c:pt idx="16">
                  <c:v>2.7575343355872792E-2</c:v>
                </c:pt>
                <c:pt idx="17">
                  <c:v>2.7575343355872792E-2</c:v>
                </c:pt>
                <c:pt idx="18">
                  <c:v>2.7575343355872792E-2</c:v>
                </c:pt>
                <c:pt idx="19">
                  <c:v>2.7575343355872792E-2</c:v>
                </c:pt>
                <c:pt idx="20">
                  <c:v>2.7575343355872792E-2</c:v>
                </c:pt>
                <c:pt idx="21">
                  <c:v>2.7575343355872792E-2</c:v>
                </c:pt>
                <c:pt idx="22">
                  <c:v>2.7575343355872792E-2</c:v>
                </c:pt>
                <c:pt idx="23">
                  <c:v>2.7575343355872792E-2</c:v>
                </c:pt>
                <c:pt idx="24">
                  <c:v>2.7575343355872792E-2</c:v>
                </c:pt>
                <c:pt idx="25">
                  <c:v>2.7575343355872792E-2</c:v>
                </c:pt>
                <c:pt idx="26">
                  <c:v>2.7575343355872792E-2</c:v>
                </c:pt>
                <c:pt idx="27">
                  <c:v>2.7575343355872792E-2</c:v>
                </c:pt>
                <c:pt idx="28">
                  <c:v>2.7575343355872792E-2</c:v>
                </c:pt>
                <c:pt idx="29">
                  <c:v>2.7575343355872792E-2</c:v>
                </c:pt>
                <c:pt idx="30">
                  <c:v>2.7575343355872792E-2</c:v>
                </c:pt>
                <c:pt idx="31">
                  <c:v>2.7575343355872792E-2</c:v>
                </c:pt>
                <c:pt idx="32">
                  <c:v>2.7575343355872792E-2</c:v>
                </c:pt>
                <c:pt idx="33">
                  <c:v>2.7575343355872792E-2</c:v>
                </c:pt>
                <c:pt idx="34">
                  <c:v>2.7575343355872792E-2</c:v>
                </c:pt>
                <c:pt idx="35">
                  <c:v>2.7575343355872792E-2</c:v>
                </c:pt>
                <c:pt idx="36">
                  <c:v>2.7575343355872792E-2</c:v>
                </c:pt>
                <c:pt idx="37">
                  <c:v>2.7575343355872792E-2</c:v>
                </c:pt>
                <c:pt idx="38">
                  <c:v>2.7575343355872792E-2</c:v>
                </c:pt>
                <c:pt idx="39">
                  <c:v>2.7575343355872792E-2</c:v>
                </c:pt>
                <c:pt idx="40">
                  <c:v>2.7575343355872792E-2</c:v>
                </c:pt>
                <c:pt idx="41">
                  <c:v>2.7575343355872792E-2</c:v>
                </c:pt>
                <c:pt idx="42">
                  <c:v>2.7575343355872792E-2</c:v>
                </c:pt>
                <c:pt idx="43">
                  <c:v>2.7575343355872792E-2</c:v>
                </c:pt>
                <c:pt idx="44">
                  <c:v>2.7575343355872792E-2</c:v>
                </c:pt>
                <c:pt idx="45">
                  <c:v>2.7575343355872792E-2</c:v>
                </c:pt>
                <c:pt idx="46">
                  <c:v>2.7575343355872792E-2</c:v>
                </c:pt>
                <c:pt idx="47">
                  <c:v>2.7575343355872792E-2</c:v>
                </c:pt>
                <c:pt idx="48">
                  <c:v>2.7575343355872792E-2</c:v>
                </c:pt>
                <c:pt idx="49">
                  <c:v>2.7575343355872792E-2</c:v>
                </c:pt>
                <c:pt idx="50">
                  <c:v>2.7575343355872792E-2</c:v>
                </c:pt>
                <c:pt idx="51">
                  <c:v>2.7575343355872792E-2</c:v>
                </c:pt>
                <c:pt idx="52">
                  <c:v>2.7575343355872792E-2</c:v>
                </c:pt>
                <c:pt idx="53">
                  <c:v>2.8834012875202431E-2</c:v>
                </c:pt>
                <c:pt idx="54">
                  <c:v>2.8924769164500631E-2</c:v>
                </c:pt>
                <c:pt idx="55">
                  <c:v>2.4326355841190962E-2</c:v>
                </c:pt>
                <c:pt idx="56">
                  <c:v>2.871370339093526E-2</c:v>
                </c:pt>
                <c:pt idx="57">
                  <c:v>2.7496674695948711E-2</c:v>
                </c:pt>
                <c:pt idx="58">
                  <c:v>2.4812588036323621E-2</c:v>
                </c:pt>
                <c:pt idx="59">
                  <c:v>3.1859806841282333E-2</c:v>
                </c:pt>
                <c:pt idx="60">
                  <c:v>3.1859806841282333E-2</c:v>
                </c:pt>
                <c:pt idx="61">
                  <c:v>3.1859806841282333E-2</c:v>
                </c:pt>
                <c:pt idx="62">
                  <c:v>3.1859806841282333E-2</c:v>
                </c:pt>
                <c:pt idx="63">
                  <c:v>3.1859806841282333E-2</c:v>
                </c:pt>
                <c:pt idx="64">
                  <c:v>3.1859806841282333E-2</c:v>
                </c:pt>
                <c:pt idx="65">
                  <c:v>3.1859806841282333E-2</c:v>
                </c:pt>
                <c:pt idx="66">
                  <c:v>3.1859806841282333E-2</c:v>
                </c:pt>
                <c:pt idx="67">
                  <c:v>3.1859806841282333E-2</c:v>
                </c:pt>
                <c:pt idx="68">
                  <c:v>3.1859806841282333E-2</c:v>
                </c:pt>
                <c:pt idx="69">
                  <c:v>3.1859806841282333E-2</c:v>
                </c:pt>
                <c:pt idx="70">
                  <c:v>3.1859806841282333E-2</c:v>
                </c:pt>
                <c:pt idx="71">
                  <c:v>3.1859806841282333E-2</c:v>
                </c:pt>
                <c:pt idx="72">
                  <c:v>3.1859806841282333E-2</c:v>
                </c:pt>
                <c:pt idx="73">
                  <c:v>3.1859806841282333E-2</c:v>
                </c:pt>
                <c:pt idx="74">
                  <c:v>3.1859806841282333E-2</c:v>
                </c:pt>
                <c:pt idx="75">
                  <c:v>4.7526340564939429E-2</c:v>
                </c:pt>
                <c:pt idx="76">
                  <c:v>4.7526340564939429E-2</c:v>
                </c:pt>
                <c:pt idx="77">
                  <c:v>4.7526340564939429E-2</c:v>
                </c:pt>
                <c:pt idx="78">
                  <c:v>4.7526340564939429E-2</c:v>
                </c:pt>
                <c:pt idx="79">
                  <c:v>4.7526340564939429E-2</c:v>
                </c:pt>
                <c:pt idx="80">
                  <c:v>4.7526340564939429E-2</c:v>
                </c:pt>
                <c:pt idx="81">
                  <c:v>4.7526340564939429E-2</c:v>
                </c:pt>
                <c:pt idx="82">
                  <c:v>4.7526340564939429E-2</c:v>
                </c:pt>
                <c:pt idx="83">
                  <c:v>4.7526340564939429E-2</c:v>
                </c:pt>
                <c:pt idx="84">
                  <c:v>4.7526340564939429E-2</c:v>
                </c:pt>
                <c:pt idx="85">
                  <c:v>4.7526340564939429E-2</c:v>
                </c:pt>
                <c:pt idx="86">
                  <c:v>4.7526340564939429E-2</c:v>
                </c:pt>
                <c:pt idx="87">
                  <c:v>5.472430976338042E-2</c:v>
                </c:pt>
                <c:pt idx="88">
                  <c:v>6.2922217299484814E-2</c:v>
                </c:pt>
                <c:pt idx="89">
                  <c:v>6.2922217299484814E-2</c:v>
                </c:pt>
                <c:pt idx="90">
                  <c:v>6.2922217299484814E-2</c:v>
                </c:pt>
                <c:pt idx="91">
                  <c:v>6.2922217299484814E-2</c:v>
                </c:pt>
                <c:pt idx="92">
                  <c:v>6.2922217299484814E-2</c:v>
                </c:pt>
                <c:pt idx="93">
                  <c:v>6.2922217299484814E-2</c:v>
                </c:pt>
                <c:pt idx="94">
                  <c:v>6.2922217299484814E-2</c:v>
                </c:pt>
                <c:pt idx="95">
                  <c:v>6.2922217299484814E-2</c:v>
                </c:pt>
                <c:pt idx="96">
                  <c:v>6.2922217299484814E-2</c:v>
                </c:pt>
                <c:pt idx="97">
                  <c:v>6.107213518009133E-2</c:v>
                </c:pt>
                <c:pt idx="98">
                  <c:v>6.2140582122337432E-2</c:v>
                </c:pt>
                <c:pt idx="99">
                  <c:v>6.1380903450259636E-2</c:v>
                </c:pt>
                <c:pt idx="100">
                  <c:v>5.6577912608875638E-2</c:v>
                </c:pt>
                <c:pt idx="101">
                  <c:v>5.078280394488504E-2</c:v>
                </c:pt>
                <c:pt idx="102">
                  <c:v>5.3267253751027026E-2</c:v>
                </c:pt>
                <c:pt idx="103">
                  <c:v>6.3699746255136844E-2</c:v>
                </c:pt>
                <c:pt idx="104">
                  <c:v>6.7957926358263449E-2</c:v>
                </c:pt>
                <c:pt idx="105">
                  <c:v>6.3784238264609522E-2</c:v>
                </c:pt>
                <c:pt idx="106">
                  <c:v>5.9774284425729622E-2</c:v>
                </c:pt>
                <c:pt idx="107">
                  <c:v>5.5701457758220871E-2</c:v>
                </c:pt>
                <c:pt idx="108">
                  <c:v>5.2775582622405871E-2</c:v>
                </c:pt>
                <c:pt idx="109">
                  <c:v>5.8134701823745472E-2</c:v>
                </c:pt>
                <c:pt idx="110">
                  <c:v>5.8134701823745472E-2</c:v>
                </c:pt>
                <c:pt idx="111">
                  <c:v>5.8134701823745472E-2</c:v>
                </c:pt>
                <c:pt idx="112">
                  <c:v>5.8134701823745472E-2</c:v>
                </c:pt>
                <c:pt idx="113">
                  <c:v>5.8134701823745472E-2</c:v>
                </c:pt>
                <c:pt idx="114">
                  <c:v>7.1575349252680068E-2</c:v>
                </c:pt>
                <c:pt idx="115">
                  <c:v>6.698629735643867E-2</c:v>
                </c:pt>
                <c:pt idx="116">
                  <c:v>7.5504187872168976E-2</c:v>
                </c:pt>
                <c:pt idx="117">
                  <c:v>7.5504187872168976E-2</c:v>
                </c:pt>
                <c:pt idx="118">
                  <c:v>7.5504187872168976E-2</c:v>
                </c:pt>
                <c:pt idx="119">
                  <c:v>6.8396660604455761E-2</c:v>
                </c:pt>
                <c:pt idx="120">
                  <c:v>6.8118011047558408E-2</c:v>
                </c:pt>
                <c:pt idx="121">
                  <c:v>5.1163217044047499E-2</c:v>
                </c:pt>
                <c:pt idx="122">
                  <c:v>4.9099677420272998E-2</c:v>
                </c:pt>
                <c:pt idx="123">
                  <c:v>6.5260882160241562E-2</c:v>
                </c:pt>
                <c:pt idx="124">
                  <c:v>5.4304904950206664E-2</c:v>
                </c:pt>
                <c:pt idx="125">
                  <c:v>5.9029366340207244E-2</c:v>
                </c:pt>
                <c:pt idx="126">
                  <c:v>6.7030343144818844E-2</c:v>
                </c:pt>
                <c:pt idx="127">
                  <c:v>6.580295843987008E-2</c:v>
                </c:pt>
                <c:pt idx="128">
                  <c:v>6.9412202085021663E-2</c:v>
                </c:pt>
                <c:pt idx="129">
                  <c:v>6.9412202085021663E-2</c:v>
                </c:pt>
                <c:pt idx="130">
                  <c:v>6.9412202085021663E-2</c:v>
                </c:pt>
                <c:pt idx="131">
                  <c:v>7.1066127286694661E-2</c:v>
                </c:pt>
                <c:pt idx="132">
                  <c:v>7.4487802285173765E-2</c:v>
                </c:pt>
                <c:pt idx="133">
                  <c:v>7.4487802285173765E-2</c:v>
                </c:pt>
                <c:pt idx="134">
                  <c:v>7.4487802285173765E-2</c:v>
                </c:pt>
                <c:pt idx="135">
                  <c:v>7.4487802285173765E-2</c:v>
                </c:pt>
                <c:pt idx="136">
                  <c:v>7.4487802285173765E-2</c:v>
                </c:pt>
                <c:pt idx="137">
                  <c:v>7.4487802285173765E-2</c:v>
                </c:pt>
                <c:pt idx="138">
                  <c:v>6.6079592847378063E-2</c:v>
                </c:pt>
                <c:pt idx="139">
                  <c:v>6.7495072969023961E-2</c:v>
                </c:pt>
                <c:pt idx="140">
                  <c:v>6.2872259901384064E-2</c:v>
                </c:pt>
                <c:pt idx="141">
                  <c:v>7.441464739776496E-2</c:v>
                </c:pt>
                <c:pt idx="142">
                  <c:v>7.441464739776496E-2</c:v>
                </c:pt>
                <c:pt idx="143">
                  <c:v>7.441464739776496E-2</c:v>
                </c:pt>
                <c:pt idx="144">
                  <c:v>7.441464739776496E-2</c:v>
                </c:pt>
                <c:pt idx="145">
                  <c:v>7.441464739776496E-2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3-4575-88D9-8D6D46E48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XBI_IBB_1!$BJ$22:$BJ$167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1.0273644025232401E-2</c:v>
                </c:pt>
                <c:pt idx="5">
                  <c:v>1.853495266937661E-2</c:v>
                </c:pt>
                <c:pt idx="6">
                  <c:v>1.853495266937661E-2</c:v>
                </c:pt>
                <c:pt idx="7">
                  <c:v>1.853495266937661E-2</c:v>
                </c:pt>
                <c:pt idx="8">
                  <c:v>1.853495266937661E-2</c:v>
                </c:pt>
                <c:pt idx="9">
                  <c:v>1.853495266937661E-2</c:v>
                </c:pt>
                <c:pt idx="10">
                  <c:v>2.4065806105416691E-2</c:v>
                </c:pt>
                <c:pt idx="11">
                  <c:v>2.7575343355872792E-2</c:v>
                </c:pt>
                <c:pt idx="12">
                  <c:v>2.7575343355872792E-2</c:v>
                </c:pt>
                <c:pt idx="13">
                  <c:v>2.7575343355872792E-2</c:v>
                </c:pt>
                <c:pt idx="14">
                  <c:v>2.7575343355872792E-2</c:v>
                </c:pt>
                <c:pt idx="15">
                  <c:v>2.7575343355872792E-2</c:v>
                </c:pt>
                <c:pt idx="16">
                  <c:v>2.7575343355872792E-2</c:v>
                </c:pt>
                <c:pt idx="17">
                  <c:v>2.7575343355872792E-2</c:v>
                </c:pt>
                <c:pt idx="18">
                  <c:v>2.7575343355872792E-2</c:v>
                </c:pt>
                <c:pt idx="19">
                  <c:v>2.7575343355872792E-2</c:v>
                </c:pt>
                <c:pt idx="20">
                  <c:v>2.7575343355872792E-2</c:v>
                </c:pt>
                <c:pt idx="21">
                  <c:v>2.7575343355872792E-2</c:v>
                </c:pt>
                <c:pt idx="22">
                  <c:v>2.7575343355872792E-2</c:v>
                </c:pt>
                <c:pt idx="23">
                  <c:v>2.7575343355872792E-2</c:v>
                </c:pt>
                <c:pt idx="24">
                  <c:v>2.7575343355872792E-2</c:v>
                </c:pt>
                <c:pt idx="25">
                  <c:v>2.7575343355872792E-2</c:v>
                </c:pt>
                <c:pt idx="26">
                  <c:v>2.7575343355872792E-2</c:v>
                </c:pt>
                <c:pt idx="27">
                  <c:v>2.7575343355872792E-2</c:v>
                </c:pt>
                <c:pt idx="28">
                  <c:v>2.7575343355872792E-2</c:v>
                </c:pt>
                <c:pt idx="29">
                  <c:v>2.7575343355872792E-2</c:v>
                </c:pt>
                <c:pt idx="30">
                  <c:v>2.7575343355872792E-2</c:v>
                </c:pt>
                <c:pt idx="31">
                  <c:v>2.7575343355872792E-2</c:v>
                </c:pt>
                <c:pt idx="32">
                  <c:v>2.7575343355872792E-2</c:v>
                </c:pt>
                <c:pt idx="33">
                  <c:v>2.7575343355872792E-2</c:v>
                </c:pt>
                <c:pt idx="34">
                  <c:v>2.7575343355872792E-2</c:v>
                </c:pt>
                <c:pt idx="35">
                  <c:v>2.7575343355872792E-2</c:v>
                </c:pt>
                <c:pt idx="36">
                  <c:v>2.7575343355872792E-2</c:v>
                </c:pt>
                <c:pt idx="37">
                  <c:v>2.7575343355872792E-2</c:v>
                </c:pt>
                <c:pt idx="38">
                  <c:v>2.7575343355872792E-2</c:v>
                </c:pt>
                <c:pt idx="39">
                  <c:v>2.7575343355872792E-2</c:v>
                </c:pt>
                <c:pt idx="40">
                  <c:v>2.7575343355872792E-2</c:v>
                </c:pt>
                <c:pt idx="41">
                  <c:v>2.7575343355872792E-2</c:v>
                </c:pt>
                <c:pt idx="42">
                  <c:v>2.7575343355872792E-2</c:v>
                </c:pt>
                <c:pt idx="43">
                  <c:v>2.7575343355872792E-2</c:v>
                </c:pt>
                <c:pt idx="44">
                  <c:v>2.7575343355872792E-2</c:v>
                </c:pt>
                <c:pt idx="45">
                  <c:v>2.7575343355872792E-2</c:v>
                </c:pt>
                <c:pt idx="46">
                  <c:v>2.7575343355872792E-2</c:v>
                </c:pt>
                <c:pt idx="47">
                  <c:v>2.7575343355872792E-2</c:v>
                </c:pt>
                <c:pt idx="48">
                  <c:v>2.7575343355872792E-2</c:v>
                </c:pt>
                <c:pt idx="49">
                  <c:v>2.7575343355872792E-2</c:v>
                </c:pt>
                <c:pt idx="50">
                  <c:v>2.7575343355872792E-2</c:v>
                </c:pt>
                <c:pt idx="51">
                  <c:v>2.7575343355872792E-2</c:v>
                </c:pt>
                <c:pt idx="52">
                  <c:v>2.7575343355872792E-2</c:v>
                </c:pt>
                <c:pt idx="53">
                  <c:v>2.7575343355872792E-2</c:v>
                </c:pt>
                <c:pt idx="54">
                  <c:v>2.7575343355872792E-2</c:v>
                </c:pt>
                <c:pt idx="55">
                  <c:v>2.7575343355872792E-2</c:v>
                </c:pt>
                <c:pt idx="56">
                  <c:v>2.7575343355872792E-2</c:v>
                </c:pt>
                <c:pt idx="57">
                  <c:v>2.7575343355872792E-2</c:v>
                </c:pt>
                <c:pt idx="58">
                  <c:v>2.7575343355872792E-2</c:v>
                </c:pt>
                <c:pt idx="59">
                  <c:v>2.7575343355872792E-2</c:v>
                </c:pt>
                <c:pt idx="60">
                  <c:v>2.7575343355872792E-2</c:v>
                </c:pt>
                <c:pt idx="61">
                  <c:v>2.7575343355872792E-2</c:v>
                </c:pt>
                <c:pt idx="62">
                  <c:v>2.7575343355872792E-2</c:v>
                </c:pt>
                <c:pt idx="63">
                  <c:v>2.7575343355872792E-2</c:v>
                </c:pt>
                <c:pt idx="64">
                  <c:v>2.7575343355872792E-2</c:v>
                </c:pt>
                <c:pt idx="65">
                  <c:v>2.7575343355872792E-2</c:v>
                </c:pt>
                <c:pt idx="66">
                  <c:v>2.7575343355872792E-2</c:v>
                </c:pt>
                <c:pt idx="67">
                  <c:v>2.7575343355872792E-2</c:v>
                </c:pt>
                <c:pt idx="68">
                  <c:v>2.7575343355872792E-2</c:v>
                </c:pt>
                <c:pt idx="69">
                  <c:v>2.7575343355872792E-2</c:v>
                </c:pt>
                <c:pt idx="70">
                  <c:v>2.7575343355872792E-2</c:v>
                </c:pt>
                <c:pt idx="71">
                  <c:v>2.7575343355872792E-2</c:v>
                </c:pt>
                <c:pt idx="72">
                  <c:v>2.7575343355872792E-2</c:v>
                </c:pt>
                <c:pt idx="73">
                  <c:v>2.7575343355872792E-2</c:v>
                </c:pt>
                <c:pt idx="74">
                  <c:v>2.7575343355872792E-2</c:v>
                </c:pt>
                <c:pt idx="75">
                  <c:v>4.3241877079529895E-2</c:v>
                </c:pt>
                <c:pt idx="76">
                  <c:v>4.3241877079529895E-2</c:v>
                </c:pt>
                <c:pt idx="77">
                  <c:v>4.3241877079529895E-2</c:v>
                </c:pt>
                <c:pt idx="78">
                  <c:v>4.3241877079529895E-2</c:v>
                </c:pt>
                <c:pt idx="79">
                  <c:v>4.3241877079529895E-2</c:v>
                </c:pt>
                <c:pt idx="80">
                  <c:v>4.3241877079529895E-2</c:v>
                </c:pt>
                <c:pt idx="81">
                  <c:v>4.3241877079529895E-2</c:v>
                </c:pt>
                <c:pt idx="82">
                  <c:v>4.3241877079529895E-2</c:v>
                </c:pt>
                <c:pt idx="83">
                  <c:v>4.3241877079529895E-2</c:v>
                </c:pt>
                <c:pt idx="84">
                  <c:v>4.3241877079529895E-2</c:v>
                </c:pt>
                <c:pt idx="85">
                  <c:v>4.3241877079529895E-2</c:v>
                </c:pt>
                <c:pt idx="86">
                  <c:v>4.3241877079529895E-2</c:v>
                </c:pt>
                <c:pt idx="87">
                  <c:v>5.0439846277970886E-2</c:v>
                </c:pt>
                <c:pt idx="88">
                  <c:v>5.8637753814075287E-2</c:v>
                </c:pt>
                <c:pt idx="89">
                  <c:v>5.8637753814075287E-2</c:v>
                </c:pt>
                <c:pt idx="90">
                  <c:v>5.8637753814075287E-2</c:v>
                </c:pt>
                <c:pt idx="91">
                  <c:v>5.8637753814075287E-2</c:v>
                </c:pt>
                <c:pt idx="92">
                  <c:v>5.8637753814075287E-2</c:v>
                </c:pt>
                <c:pt idx="93">
                  <c:v>5.8637753814075287E-2</c:v>
                </c:pt>
                <c:pt idx="94">
                  <c:v>5.8637753814075287E-2</c:v>
                </c:pt>
                <c:pt idx="95">
                  <c:v>5.8637753814075287E-2</c:v>
                </c:pt>
                <c:pt idx="96">
                  <c:v>5.8637753814075287E-2</c:v>
                </c:pt>
                <c:pt idx="97">
                  <c:v>5.8637753814075287E-2</c:v>
                </c:pt>
                <c:pt idx="98">
                  <c:v>5.8637753814075287E-2</c:v>
                </c:pt>
                <c:pt idx="99">
                  <c:v>5.8637753814075287E-2</c:v>
                </c:pt>
                <c:pt idx="100">
                  <c:v>5.8637753814075287E-2</c:v>
                </c:pt>
                <c:pt idx="101">
                  <c:v>5.8637753814075287E-2</c:v>
                </c:pt>
                <c:pt idx="102">
                  <c:v>5.8637753814075287E-2</c:v>
                </c:pt>
                <c:pt idx="103">
                  <c:v>5.8637753814075287E-2</c:v>
                </c:pt>
                <c:pt idx="104">
                  <c:v>5.8637753814075287E-2</c:v>
                </c:pt>
                <c:pt idx="105">
                  <c:v>5.8637753814075287E-2</c:v>
                </c:pt>
                <c:pt idx="106">
                  <c:v>5.8637753814075287E-2</c:v>
                </c:pt>
                <c:pt idx="107">
                  <c:v>5.8637753814075287E-2</c:v>
                </c:pt>
                <c:pt idx="108">
                  <c:v>5.8637753814075287E-2</c:v>
                </c:pt>
                <c:pt idx="109">
                  <c:v>5.8637753814075287E-2</c:v>
                </c:pt>
                <c:pt idx="110">
                  <c:v>5.8637753814075287E-2</c:v>
                </c:pt>
                <c:pt idx="111">
                  <c:v>5.8637753814075287E-2</c:v>
                </c:pt>
                <c:pt idx="112">
                  <c:v>5.8637753814075287E-2</c:v>
                </c:pt>
                <c:pt idx="113">
                  <c:v>5.8637753814075287E-2</c:v>
                </c:pt>
                <c:pt idx="114">
                  <c:v>7.207840124300989E-2</c:v>
                </c:pt>
                <c:pt idx="115">
                  <c:v>6.7489349346768493E-2</c:v>
                </c:pt>
                <c:pt idx="116">
                  <c:v>7.6007239862498799E-2</c:v>
                </c:pt>
                <c:pt idx="117">
                  <c:v>7.6007239862498799E-2</c:v>
                </c:pt>
                <c:pt idx="118">
                  <c:v>7.6007239862498799E-2</c:v>
                </c:pt>
                <c:pt idx="119">
                  <c:v>6.8899712594785584E-2</c:v>
                </c:pt>
                <c:pt idx="120">
                  <c:v>6.862106303788823E-2</c:v>
                </c:pt>
                <c:pt idx="121">
                  <c:v>5.1666269034377321E-2</c:v>
                </c:pt>
                <c:pt idx="122">
                  <c:v>4.9602729410602821E-2</c:v>
                </c:pt>
                <c:pt idx="123">
                  <c:v>6.5763934150571385E-2</c:v>
                </c:pt>
                <c:pt idx="124">
                  <c:v>5.4807956940536487E-2</c:v>
                </c:pt>
                <c:pt idx="125">
                  <c:v>5.9532418330537067E-2</c:v>
                </c:pt>
                <c:pt idx="126">
                  <c:v>6.7533395135148666E-2</c:v>
                </c:pt>
                <c:pt idx="127">
                  <c:v>6.6306010430199902E-2</c:v>
                </c:pt>
                <c:pt idx="128">
                  <c:v>6.9915254075351485E-2</c:v>
                </c:pt>
                <c:pt idx="129">
                  <c:v>6.9915254075351485E-2</c:v>
                </c:pt>
                <c:pt idx="130">
                  <c:v>6.9915254075351485E-2</c:v>
                </c:pt>
                <c:pt idx="131">
                  <c:v>7.1569179277024483E-2</c:v>
                </c:pt>
                <c:pt idx="132">
                  <c:v>7.4990854275503588E-2</c:v>
                </c:pt>
                <c:pt idx="133">
                  <c:v>7.4990854275503588E-2</c:v>
                </c:pt>
                <c:pt idx="134">
                  <c:v>7.4990854275503588E-2</c:v>
                </c:pt>
                <c:pt idx="135">
                  <c:v>7.4990854275503588E-2</c:v>
                </c:pt>
                <c:pt idx="136">
                  <c:v>7.4990854275503588E-2</c:v>
                </c:pt>
                <c:pt idx="137">
                  <c:v>7.4990854275503588E-2</c:v>
                </c:pt>
                <c:pt idx="138">
                  <c:v>6.6582644837707886E-2</c:v>
                </c:pt>
                <c:pt idx="139">
                  <c:v>6.7998124959353784E-2</c:v>
                </c:pt>
                <c:pt idx="140">
                  <c:v>6.3375311891713887E-2</c:v>
                </c:pt>
                <c:pt idx="141">
                  <c:v>7.4917699388094783E-2</c:v>
                </c:pt>
                <c:pt idx="142">
                  <c:v>7.4917699388094783E-2</c:v>
                </c:pt>
                <c:pt idx="143">
                  <c:v>7.4917699388094783E-2</c:v>
                </c:pt>
                <c:pt idx="144">
                  <c:v>7.4917699388094783E-2</c:v>
                </c:pt>
                <c:pt idx="145">
                  <c:v>7.4917699388094783E-2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D-42E6-B3D2-EC5297A44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XBI_IBB_1!$BV$22:$BV$167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1.2586695193296405E-3</c:v>
                </c:pt>
                <c:pt idx="54">
                  <c:v>1.3494258086278414E-3</c:v>
                </c:pt>
                <c:pt idx="55">
                  <c:v>-3.2489875146818285E-3</c:v>
                </c:pt>
                <c:pt idx="56">
                  <c:v>1.13836003506247E-3</c:v>
                </c:pt>
                <c:pt idx="57">
                  <c:v>-7.8668659924079412E-5</c:v>
                </c:pt>
                <c:pt idx="58">
                  <c:v>-2.7627553195491697E-3</c:v>
                </c:pt>
                <c:pt idx="59">
                  <c:v>4.2844634854095395E-3</c:v>
                </c:pt>
                <c:pt idx="60">
                  <c:v>4.2844634854095395E-3</c:v>
                </c:pt>
                <c:pt idx="61">
                  <c:v>4.2844634854095395E-3</c:v>
                </c:pt>
                <c:pt idx="62">
                  <c:v>4.2844634854095395E-3</c:v>
                </c:pt>
                <c:pt idx="63">
                  <c:v>4.2844634854095395E-3</c:v>
                </c:pt>
                <c:pt idx="64">
                  <c:v>4.2844634854095395E-3</c:v>
                </c:pt>
                <c:pt idx="65">
                  <c:v>4.2844634854095395E-3</c:v>
                </c:pt>
                <c:pt idx="66">
                  <c:v>4.2844634854095395E-3</c:v>
                </c:pt>
                <c:pt idx="67">
                  <c:v>4.2844634854095395E-3</c:v>
                </c:pt>
                <c:pt idx="68">
                  <c:v>4.2844634854095395E-3</c:v>
                </c:pt>
                <c:pt idx="69">
                  <c:v>4.2844634854095395E-3</c:v>
                </c:pt>
                <c:pt idx="70">
                  <c:v>4.2844634854095395E-3</c:v>
                </c:pt>
                <c:pt idx="71">
                  <c:v>4.2844634854095395E-3</c:v>
                </c:pt>
                <c:pt idx="72">
                  <c:v>4.2844634854095395E-3</c:v>
                </c:pt>
                <c:pt idx="73">
                  <c:v>4.2844634854095395E-3</c:v>
                </c:pt>
                <c:pt idx="74">
                  <c:v>4.2844634854095395E-3</c:v>
                </c:pt>
                <c:pt idx="75">
                  <c:v>4.2844634854095395E-3</c:v>
                </c:pt>
                <c:pt idx="76">
                  <c:v>4.2844634854095395E-3</c:v>
                </c:pt>
                <c:pt idx="77">
                  <c:v>4.2844634854095395E-3</c:v>
                </c:pt>
                <c:pt idx="78">
                  <c:v>4.2844634854095395E-3</c:v>
                </c:pt>
                <c:pt idx="79">
                  <c:v>4.2844634854095395E-3</c:v>
                </c:pt>
                <c:pt idx="80">
                  <c:v>4.2844634854095395E-3</c:v>
                </c:pt>
                <c:pt idx="81">
                  <c:v>4.2844634854095395E-3</c:v>
                </c:pt>
                <c:pt idx="82">
                  <c:v>4.2844634854095395E-3</c:v>
                </c:pt>
                <c:pt idx="83">
                  <c:v>4.2844634854095395E-3</c:v>
                </c:pt>
                <c:pt idx="84">
                  <c:v>4.2844634854095395E-3</c:v>
                </c:pt>
                <c:pt idx="85">
                  <c:v>4.2844634854095395E-3</c:v>
                </c:pt>
                <c:pt idx="86">
                  <c:v>4.2844634854095395E-3</c:v>
                </c:pt>
                <c:pt idx="87">
                  <c:v>4.2844634854095395E-3</c:v>
                </c:pt>
                <c:pt idx="88">
                  <c:v>4.2844634854095395E-3</c:v>
                </c:pt>
                <c:pt idx="89">
                  <c:v>4.2844634854095395E-3</c:v>
                </c:pt>
                <c:pt idx="90">
                  <c:v>4.2844634854095395E-3</c:v>
                </c:pt>
                <c:pt idx="91">
                  <c:v>4.2844634854095395E-3</c:v>
                </c:pt>
                <c:pt idx="92">
                  <c:v>4.2844634854095395E-3</c:v>
                </c:pt>
                <c:pt idx="93">
                  <c:v>4.2844634854095395E-3</c:v>
                </c:pt>
                <c:pt idx="94">
                  <c:v>4.2844634854095395E-3</c:v>
                </c:pt>
                <c:pt idx="95">
                  <c:v>4.2844634854095395E-3</c:v>
                </c:pt>
                <c:pt idx="96">
                  <c:v>4.2844634854095395E-3</c:v>
                </c:pt>
                <c:pt idx="97">
                  <c:v>2.4343813660160588E-3</c:v>
                </c:pt>
                <c:pt idx="98">
                  <c:v>3.5028283082621566E-3</c:v>
                </c:pt>
                <c:pt idx="99">
                  <c:v>2.7431496361843572E-3</c:v>
                </c:pt>
                <c:pt idx="100">
                  <c:v>-2.0598412051996435E-3</c:v>
                </c:pt>
                <c:pt idx="101">
                  <c:v>-7.854949869190244E-3</c:v>
                </c:pt>
                <c:pt idx="102">
                  <c:v>-5.3705000630482553E-3</c:v>
                </c:pt>
                <c:pt idx="103">
                  <c:v>5.0619924410615592E-3</c:v>
                </c:pt>
                <c:pt idx="104">
                  <c:v>9.3201725441881614E-3</c:v>
                </c:pt>
                <c:pt idx="105">
                  <c:v>5.1464844505342312E-3</c:v>
                </c:pt>
                <c:pt idx="106">
                  <c:v>1.1365306116543298E-3</c:v>
                </c:pt>
                <c:pt idx="107">
                  <c:v>-2.9362960558544206E-3</c:v>
                </c:pt>
                <c:pt idx="108">
                  <c:v>-5.8621711916694201E-3</c:v>
                </c:pt>
                <c:pt idx="109">
                  <c:v>-5.030519903298199E-4</c:v>
                </c:pt>
                <c:pt idx="110">
                  <c:v>-5.030519903298199E-4</c:v>
                </c:pt>
                <c:pt idx="111">
                  <c:v>-5.030519903298199E-4</c:v>
                </c:pt>
                <c:pt idx="112">
                  <c:v>-5.030519903298199E-4</c:v>
                </c:pt>
                <c:pt idx="113">
                  <c:v>-5.030519903298199E-4</c:v>
                </c:pt>
                <c:pt idx="114">
                  <c:v>-5.030519903298199E-4</c:v>
                </c:pt>
                <c:pt idx="115">
                  <c:v>-5.030519903298199E-4</c:v>
                </c:pt>
                <c:pt idx="116">
                  <c:v>-5.030519903298199E-4</c:v>
                </c:pt>
                <c:pt idx="117">
                  <c:v>-5.030519903298199E-4</c:v>
                </c:pt>
                <c:pt idx="118">
                  <c:v>-5.030519903298199E-4</c:v>
                </c:pt>
                <c:pt idx="119">
                  <c:v>-5.030519903298199E-4</c:v>
                </c:pt>
                <c:pt idx="120">
                  <c:v>-5.030519903298199E-4</c:v>
                </c:pt>
                <c:pt idx="121">
                  <c:v>-5.030519903298199E-4</c:v>
                </c:pt>
                <c:pt idx="122">
                  <c:v>-5.030519903298199E-4</c:v>
                </c:pt>
                <c:pt idx="123">
                  <c:v>-5.030519903298199E-4</c:v>
                </c:pt>
                <c:pt idx="124">
                  <c:v>-5.030519903298199E-4</c:v>
                </c:pt>
                <c:pt idx="125">
                  <c:v>-5.030519903298199E-4</c:v>
                </c:pt>
                <c:pt idx="126">
                  <c:v>-5.030519903298199E-4</c:v>
                </c:pt>
                <c:pt idx="127">
                  <c:v>-5.030519903298199E-4</c:v>
                </c:pt>
                <c:pt idx="128">
                  <c:v>-5.030519903298199E-4</c:v>
                </c:pt>
                <c:pt idx="129">
                  <c:v>-5.030519903298199E-4</c:v>
                </c:pt>
                <c:pt idx="130">
                  <c:v>-5.030519903298199E-4</c:v>
                </c:pt>
                <c:pt idx="131">
                  <c:v>-5.030519903298199E-4</c:v>
                </c:pt>
                <c:pt idx="132">
                  <c:v>-5.030519903298199E-4</c:v>
                </c:pt>
                <c:pt idx="133">
                  <c:v>-5.030519903298199E-4</c:v>
                </c:pt>
                <c:pt idx="134">
                  <c:v>-5.030519903298199E-4</c:v>
                </c:pt>
                <c:pt idx="135">
                  <c:v>-5.030519903298199E-4</c:v>
                </c:pt>
                <c:pt idx="136">
                  <c:v>-5.030519903298199E-4</c:v>
                </c:pt>
                <c:pt idx="137">
                  <c:v>-5.030519903298199E-4</c:v>
                </c:pt>
                <c:pt idx="138">
                  <c:v>-5.030519903298199E-4</c:v>
                </c:pt>
                <c:pt idx="139">
                  <c:v>-5.030519903298199E-4</c:v>
                </c:pt>
                <c:pt idx="140">
                  <c:v>-5.030519903298199E-4</c:v>
                </c:pt>
                <c:pt idx="141">
                  <c:v>-5.030519903298199E-4</c:v>
                </c:pt>
                <c:pt idx="142">
                  <c:v>-5.030519903298199E-4</c:v>
                </c:pt>
                <c:pt idx="143">
                  <c:v>-5.030519903298199E-4</c:v>
                </c:pt>
                <c:pt idx="144">
                  <c:v>-5.030519903298199E-4</c:v>
                </c:pt>
                <c:pt idx="145">
                  <c:v>-5.030519903298199E-4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E-4B6A-BD2C-E083DE17D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XBI_IBB_1!$O$1</c:f>
              <c:strCache>
                <c:ptCount val="1"/>
                <c:pt idx="0">
                  <c:v> IBB/XBI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XBI_IBB_1!$O$2:$O$167</c:f>
              <c:numCache>
                <c:formatCode>_(* #,##0.0000_);_(* \(#,##0.0000\);_(* "-"??_);_(@_)</c:formatCode>
                <c:ptCount val="166"/>
                <c:pt idx="0">
                  <c:v>1.3022492118915701</c:v>
                </c:pt>
                <c:pt idx="1">
                  <c:v>1.3022492118915701</c:v>
                </c:pt>
                <c:pt idx="2">
                  <c:v>1.3022492118915701</c:v>
                </c:pt>
                <c:pt idx="3">
                  <c:v>1.3022492118915701</c:v>
                </c:pt>
                <c:pt idx="4">
                  <c:v>1.3022492118915701</c:v>
                </c:pt>
                <c:pt idx="5">
                  <c:v>1.3022492118915701</c:v>
                </c:pt>
                <c:pt idx="6">
                  <c:v>1.3022492118915701</c:v>
                </c:pt>
                <c:pt idx="7">
                  <c:v>1.3022492118915701</c:v>
                </c:pt>
                <c:pt idx="8">
                  <c:v>1.3022492118915701</c:v>
                </c:pt>
                <c:pt idx="9">
                  <c:v>1.3022492118915701</c:v>
                </c:pt>
                <c:pt idx="10">
                  <c:v>1.3022492118915701</c:v>
                </c:pt>
                <c:pt idx="11">
                  <c:v>1.3022492118915701</c:v>
                </c:pt>
                <c:pt idx="12">
                  <c:v>1.3022492118915701</c:v>
                </c:pt>
                <c:pt idx="13">
                  <c:v>1.3022492118915701</c:v>
                </c:pt>
                <c:pt idx="14">
                  <c:v>1.3022492118915701</c:v>
                </c:pt>
                <c:pt idx="15">
                  <c:v>1.3022492118915701</c:v>
                </c:pt>
                <c:pt idx="16">
                  <c:v>1.3022492118915701</c:v>
                </c:pt>
                <c:pt idx="17">
                  <c:v>1.3022492118915701</c:v>
                </c:pt>
                <c:pt idx="18">
                  <c:v>1.3022492118915701</c:v>
                </c:pt>
                <c:pt idx="19">
                  <c:v>1.3022492118915701</c:v>
                </c:pt>
                <c:pt idx="20">
                  <c:v>1.3022492118915701</c:v>
                </c:pt>
                <c:pt idx="21">
                  <c:v>1.3022492118915701</c:v>
                </c:pt>
                <c:pt idx="22">
                  <c:v>1.3022492118915701</c:v>
                </c:pt>
                <c:pt idx="23">
                  <c:v>1.3022492118915701</c:v>
                </c:pt>
                <c:pt idx="24">
                  <c:v>1.3022492118915701</c:v>
                </c:pt>
                <c:pt idx="25">
                  <c:v>1.3022492118915701</c:v>
                </c:pt>
                <c:pt idx="26">
                  <c:v>1.3022492118915701</c:v>
                </c:pt>
                <c:pt idx="27">
                  <c:v>1.3022492118915701</c:v>
                </c:pt>
                <c:pt idx="28">
                  <c:v>1.3022492118915701</c:v>
                </c:pt>
                <c:pt idx="29">
                  <c:v>1.3022492118915701</c:v>
                </c:pt>
                <c:pt idx="30">
                  <c:v>1.3022492118915701</c:v>
                </c:pt>
                <c:pt idx="31">
                  <c:v>1.3022492118915701</c:v>
                </c:pt>
                <c:pt idx="32">
                  <c:v>1.3022492118915701</c:v>
                </c:pt>
                <c:pt idx="33">
                  <c:v>1.3022492118915701</c:v>
                </c:pt>
                <c:pt idx="34">
                  <c:v>1.3022492118915701</c:v>
                </c:pt>
                <c:pt idx="35">
                  <c:v>1.3022492118915701</c:v>
                </c:pt>
                <c:pt idx="36">
                  <c:v>1.3022492118915701</c:v>
                </c:pt>
                <c:pt idx="37">
                  <c:v>1.3022492118915701</c:v>
                </c:pt>
                <c:pt idx="38">
                  <c:v>1.3022492118915701</c:v>
                </c:pt>
                <c:pt idx="39">
                  <c:v>1.3022492118915701</c:v>
                </c:pt>
                <c:pt idx="40">
                  <c:v>1.3022492118915701</c:v>
                </c:pt>
                <c:pt idx="41">
                  <c:v>1.3022492118915701</c:v>
                </c:pt>
                <c:pt idx="42">
                  <c:v>1.3022492118915701</c:v>
                </c:pt>
                <c:pt idx="43">
                  <c:v>1.3022492118915701</c:v>
                </c:pt>
                <c:pt idx="44">
                  <c:v>1.3022492118915701</c:v>
                </c:pt>
                <c:pt idx="45">
                  <c:v>1.3022492118915701</c:v>
                </c:pt>
                <c:pt idx="46">
                  <c:v>1.3022492118915701</c:v>
                </c:pt>
                <c:pt idx="47">
                  <c:v>1.3022492118915701</c:v>
                </c:pt>
                <c:pt idx="48">
                  <c:v>1.3022492118915701</c:v>
                </c:pt>
                <c:pt idx="49">
                  <c:v>1.3022492118915701</c:v>
                </c:pt>
                <c:pt idx="50">
                  <c:v>1.3022492118915701</c:v>
                </c:pt>
                <c:pt idx="51">
                  <c:v>1.3022492118915701</c:v>
                </c:pt>
                <c:pt idx="52">
                  <c:v>1.3022492118915701</c:v>
                </c:pt>
                <c:pt idx="53">
                  <c:v>1.3022492118915701</c:v>
                </c:pt>
                <c:pt idx="54">
                  <c:v>1.3022492118915701</c:v>
                </c:pt>
                <c:pt idx="55">
                  <c:v>1.3022492118915701</c:v>
                </c:pt>
                <c:pt idx="56">
                  <c:v>1.3022492118915701</c:v>
                </c:pt>
                <c:pt idx="57">
                  <c:v>1.3022492118915701</c:v>
                </c:pt>
                <c:pt idx="58">
                  <c:v>1.3022492118915701</c:v>
                </c:pt>
                <c:pt idx="59">
                  <c:v>1.3022492118915701</c:v>
                </c:pt>
                <c:pt idx="60">
                  <c:v>1.3022492118915701</c:v>
                </c:pt>
                <c:pt idx="61">
                  <c:v>1.3022492118915701</c:v>
                </c:pt>
                <c:pt idx="62">
                  <c:v>1.3022492118915701</c:v>
                </c:pt>
                <c:pt idx="63">
                  <c:v>1.3022492118915701</c:v>
                </c:pt>
                <c:pt idx="64">
                  <c:v>1.3022492118915701</c:v>
                </c:pt>
                <c:pt idx="65">
                  <c:v>1.3022492118915701</c:v>
                </c:pt>
                <c:pt idx="66">
                  <c:v>1.3022492118915701</c:v>
                </c:pt>
                <c:pt idx="67">
                  <c:v>1.3022492118915701</c:v>
                </c:pt>
                <c:pt idx="68">
                  <c:v>1.3022492118915701</c:v>
                </c:pt>
                <c:pt idx="69">
                  <c:v>1.3022492118915701</c:v>
                </c:pt>
                <c:pt idx="70">
                  <c:v>1.3022492118915701</c:v>
                </c:pt>
                <c:pt idx="71">
                  <c:v>1.3022492118915701</c:v>
                </c:pt>
                <c:pt idx="72">
                  <c:v>1.3022492118915701</c:v>
                </c:pt>
                <c:pt idx="73">
                  <c:v>1.3022492118915701</c:v>
                </c:pt>
                <c:pt idx="74">
                  <c:v>1.3022492118915701</c:v>
                </c:pt>
                <c:pt idx="75">
                  <c:v>1.3022492118915701</c:v>
                </c:pt>
                <c:pt idx="76">
                  <c:v>1.3022492118915701</c:v>
                </c:pt>
                <c:pt idx="77">
                  <c:v>1.3022492118915701</c:v>
                </c:pt>
                <c:pt idx="78">
                  <c:v>1.3022492118915701</c:v>
                </c:pt>
                <c:pt idx="79">
                  <c:v>1.3022492118915701</c:v>
                </c:pt>
                <c:pt idx="80">
                  <c:v>1.3022492118915701</c:v>
                </c:pt>
                <c:pt idx="81">
                  <c:v>1.3022492118915701</c:v>
                </c:pt>
                <c:pt idx="82">
                  <c:v>1.3022492118915701</c:v>
                </c:pt>
                <c:pt idx="83">
                  <c:v>1.3022492118915701</c:v>
                </c:pt>
                <c:pt idx="84">
                  <c:v>1.3022492118915701</c:v>
                </c:pt>
                <c:pt idx="85">
                  <c:v>1.3022492118915701</c:v>
                </c:pt>
                <c:pt idx="86">
                  <c:v>1.3022492118915701</c:v>
                </c:pt>
                <c:pt idx="87">
                  <c:v>1.3022492118915701</c:v>
                </c:pt>
                <c:pt idx="88">
                  <c:v>1.3022492118915701</c:v>
                </c:pt>
                <c:pt idx="89">
                  <c:v>1.3022492118915701</c:v>
                </c:pt>
                <c:pt idx="90">
                  <c:v>1.3022492118915701</c:v>
                </c:pt>
                <c:pt idx="91">
                  <c:v>1.3022492118915701</c:v>
                </c:pt>
                <c:pt idx="92">
                  <c:v>1.3022492118915701</c:v>
                </c:pt>
                <c:pt idx="93">
                  <c:v>1.3022492118915701</c:v>
                </c:pt>
                <c:pt idx="94">
                  <c:v>1.3022492118915701</c:v>
                </c:pt>
                <c:pt idx="95">
                  <c:v>1.3022492118915701</c:v>
                </c:pt>
                <c:pt idx="96">
                  <c:v>1.3022492118915701</c:v>
                </c:pt>
                <c:pt idx="97">
                  <c:v>1.3022492118915701</c:v>
                </c:pt>
                <c:pt idx="98">
                  <c:v>1.3022492118915701</c:v>
                </c:pt>
                <c:pt idx="99">
                  <c:v>1.3022492118915701</c:v>
                </c:pt>
                <c:pt idx="100">
                  <c:v>1.3022492118915701</c:v>
                </c:pt>
                <c:pt idx="101">
                  <c:v>1.3022492118915701</c:v>
                </c:pt>
                <c:pt idx="102">
                  <c:v>1.3022492118915701</c:v>
                </c:pt>
                <c:pt idx="103">
                  <c:v>1.3022492118915701</c:v>
                </c:pt>
                <c:pt idx="104">
                  <c:v>1.3022492118915701</c:v>
                </c:pt>
                <c:pt idx="105">
                  <c:v>1.3022492118915701</c:v>
                </c:pt>
                <c:pt idx="106">
                  <c:v>1.3022492118915701</c:v>
                </c:pt>
                <c:pt idx="107">
                  <c:v>1.3022492118915701</c:v>
                </c:pt>
                <c:pt idx="108">
                  <c:v>1.3022492118915701</c:v>
                </c:pt>
                <c:pt idx="109">
                  <c:v>1.3022492118915701</c:v>
                </c:pt>
                <c:pt idx="110">
                  <c:v>1.3022492118915701</c:v>
                </c:pt>
                <c:pt idx="111">
                  <c:v>1.3022492118915701</c:v>
                </c:pt>
                <c:pt idx="112">
                  <c:v>1.3022492118915701</c:v>
                </c:pt>
                <c:pt idx="113">
                  <c:v>1.3022492118915701</c:v>
                </c:pt>
                <c:pt idx="114">
                  <c:v>1.3022492118915701</c:v>
                </c:pt>
                <c:pt idx="115">
                  <c:v>1.3022492118915701</c:v>
                </c:pt>
                <c:pt idx="116">
                  <c:v>1.3022492118915701</c:v>
                </c:pt>
                <c:pt idx="117">
                  <c:v>1.3022492118915701</c:v>
                </c:pt>
                <c:pt idx="118">
                  <c:v>1.3022492118915701</c:v>
                </c:pt>
                <c:pt idx="119">
                  <c:v>1.3022492118915701</c:v>
                </c:pt>
                <c:pt idx="120">
                  <c:v>1.3022492118915701</c:v>
                </c:pt>
                <c:pt idx="121">
                  <c:v>1.3022492118915701</c:v>
                </c:pt>
                <c:pt idx="122">
                  <c:v>1.3022492118915701</c:v>
                </c:pt>
                <c:pt idx="123">
                  <c:v>1.3022492118915701</c:v>
                </c:pt>
                <c:pt idx="124">
                  <c:v>1.3022492118915701</c:v>
                </c:pt>
                <c:pt idx="125">
                  <c:v>1.3022492118915701</c:v>
                </c:pt>
                <c:pt idx="126">
                  <c:v>1.3022492118915701</c:v>
                </c:pt>
                <c:pt idx="127">
                  <c:v>1.3022492118915701</c:v>
                </c:pt>
                <c:pt idx="128">
                  <c:v>1.3022492118915701</c:v>
                </c:pt>
                <c:pt idx="129">
                  <c:v>1.3022492118915701</c:v>
                </c:pt>
                <c:pt idx="130">
                  <c:v>1.3022492118915701</c:v>
                </c:pt>
                <c:pt idx="131">
                  <c:v>1.3022492118915701</c:v>
                </c:pt>
                <c:pt idx="132">
                  <c:v>1.3022492118915701</c:v>
                </c:pt>
                <c:pt idx="133">
                  <c:v>1.3022492118915701</c:v>
                </c:pt>
                <c:pt idx="134">
                  <c:v>1.3022492118915701</c:v>
                </c:pt>
                <c:pt idx="135">
                  <c:v>1.3022492118915701</c:v>
                </c:pt>
                <c:pt idx="136">
                  <c:v>1.3022492118915701</c:v>
                </c:pt>
                <c:pt idx="137">
                  <c:v>1.3022492118915701</c:v>
                </c:pt>
                <c:pt idx="138">
                  <c:v>1.3022492118915701</c:v>
                </c:pt>
                <c:pt idx="139">
                  <c:v>1.3022492118915701</c:v>
                </c:pt>
                <c:pt idx="140">
                  <c:v>1.3022492118915701</c:v>
                </c:pt>
                <c:pt idx="141">
                  <c:v>1.3022492118915701</c:v>
                </c:pt>
                <c:pt idx="142">
                  <c:v>1.3022492118915701</c:v>
                </c:pt>
                <c:pt idx="143">
                  <c:v>1.3022492118915701</c:v>
                </c:pt>
                <c:pt idx="144">
                  <c:v>1.3022492118915701</c:v>
                </c:pt>
                <c:pt idx="145">
                  <c:v>1.3022492118915701</c:v>
                </c:pt>
                <c:pt idx="146">
                  <c:v>1.3022492118915701</c:v>
                </c:pt>
                <c:pt idx="147">
                  <c:v>1.3022492118915701</c:v>
                </c:pt>
                <c:pt idx="148">
                  <c:v>1.3022492118915701</c:v>
                </c:pt>
                <c:pt idx="149">
                  <c:v>1.3022492118915701</c:v>
                </c:pt>
                <c:pt idx="150">
                  <c:v>1.3022492118915701</c:v>
                </c:pt>
                <c:pt idx="151">
                  <c:v>1.3022492118915701</c:v>
                </c:pt>
                <c:pt idx="152">
                  <c:v>1.3022492118915701</c:v>
                </c:pt>
                <c:pt idx="153">
                  <c:v>1.3022492118915701</c:v>
                </c:pt>
                <c:pt idx="154">
                  <c:v>1.3022492118915701</c:v>
                </c:pt>
                <c:pt idx="155">
                  <c:v>1.3022492118915701</c:v>
                </c:pt>
                <c:pt idx="156">
                  <c:v>1.3022492118915701</c:v>
                </c:pt>
                <c:pt idx="157">
                  <c:v>1.3022492118915701</c:v>
                </c:pt>
                <c:pt idx="158">
                  <c:v>1.3022492118915701</c:v>
                </c:pt>
                <c:pt idx="159">
                  <c:v>1.3022492118915701</c:v>
                </c:pt>
                <c:pt idx="160">
                  <c:v>1.3022492118915701</c:v>
                </c:pt>
                <c:pt idx="161">
                  <c:v>1.3022492118915701</c:v>
                </c:pt>
                <c:pt idx="162">
                  <c:v>1.3022492118915701</c:v>
                </c:pt>
                <c:pt idx="163">
                  <c:v>1.3022492118915701</c:v>
                </c:pt>
                <c:pt idx="164">
                  <c:v>1.3022492118915701</c:v>
                </c:pt>
                <c:pt idx="165">
                  <c:v>1.3022492118915701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C-4CE6-B5E5-A0D069A6A789}"/>
            </c:ext>
          </c:extLst>
        </c:ser>
        <c:ser>
          <c:idx val="1"/>
          <c:order val="1"/>
          <c:tx>
            <c:strRef>
              <c:f>XBI_IBB_1!$P$1</c:f>
              <c:strCache>
                <c:ptCount val="1"/>
                <c:pt idx="0">
                  <c:v> IBB/XBI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XBI_IBB_1!$P$2:$P$167</c:f>
              <c:numCache>
                <c:formatCode>_(* #,##0.0000_);_(* \(#,##0.0000\);_(* "-"??_);_(@_)</c:formatCode>
                <c:ptCount val="166"/>
                <c:pt idx="9">
                  <c:v>1.38618200241551</c:v>
                </c:pt>
                <c:pt idx="10">
                  <c:v>1.38397608458996</c:v>
                </c:pt>
                <c:pt idx="11">
                  <c:v>1.3809600565565201</c:v>
                </c:pt>
                <c:pt idx="12">
                  <c:v>1.3773544529460999</c:v>
                </c:pt>
                <c:pt idx="13">
                  <c:v>1.37257726330246</c:v>
                </c:pt>
                <c:pt idx="14">
                  <c:v>1.37026602551152</c:v>
                </c:pt>
                <c:pt idx="15">
                  <c:v>1.36933340153839</c:v>
                </c:pt>
                <c:pt idx="16">
                  <c:v>1.3686627576916099</c:v>
                </c:pt>
                <c:pt idx="17">
                  <c:v>1.3685189842854699</c:v>
                </c:pt>
                <c:pt idx="18">
                  <c:v>1.36972540989165</c:v>
                </c:pt>
                <c:pt idx="19">
                  <c:v>1.3707846123335301</c:v>
                </c:pt>
                <c:pt idx="20">
                  <c:v>1.3706600366561501</c:v>
                </c:pt>
                <c:pt idx="21">
                  <c:v>1.3705537044201801</c:v>
                </c:pt>
                <c:pt idx="22">
                  <c:v>1.3728198316204601</c:v>
                </c:pt>
                <c:pt idx="23">
                  <c:v>1.3786591213363</c:v>
                </c:pt>
                <c:pt idx="24">
                  <c:v>1.38114053668059</c:v>
                </c:pt>
                <c:pt idx="25">
                  <c:v>1.38187547577417</c:v>
                </c:pt>
                <c:pt idx="26">
                  <c:v>1.3815168514501801</c:v>
                </c:pt>
                <c:pt idx="27">
                  <c:v>1.38187993573745</c:v>
                </c:pt>
                <c:pt idx="28">
                  <c:v>1.3829227255105301</c:v>
                </c:pt>
                <c:pt idx="29">
                  <c:v>1.38510599617036</c:v>
                </c:pt>
                <c:pt idx="30">
                  <c:v>1.38799403467403</c:v>
                </c:pt>
                <c:pt idx="31">
                  <c:v>1.3909806172133601</c:v>
                </c:pt>
                <c:pt idx="32">
                  <c:v>1.39016453167746</c:v>
                </c:pt>
                <c:pt idx="33">
                  <c:v>1.3890676349364099</c:v>
                </c:pt>
                <c:pt idx="34">
                  <c:v>1.3875590410038301</c:v>
                </c:pt>
                <c:pt idx="35">
                  <c:v>1.3858346840461699</c:v>
                </c:pt>
                <c:pt idx="36">
                  <c:v>1.3852142649444099</c:v>
                </c:pt>
                <c:pt idx="37">
                  <c:v>1.38286120814695</c:v>
                </c:pt>
                <c:pt idx="38">
                  <c:v>1.38201770940716</c:v>
                </c:pt>
                <c:pt idx="39">
                  <c:v>1.3790458429860799</c:v>
                </c:pt>
                <c:pt idx="40">
                  <c:v>1.37714933377225</c:v>
                </c:pt>
                <c:pt idx="41">
                  <c:v>1.3748309118100699</c:v>
                </c:pt>
                <c:pt idx="42">
                  <c:v>1.3728632654506201</c:v>
                </c:pt>
                <c:pt idx="43">
                  <c:v>1.3682343236743799</c:v>
                </c:pt>
                <c:pt idx="44">
                  <c:v>1.3650744276012501</c:v>
                </c:pt>
                <c:pt idx="45">
                  <c:v>1.3637185523081301</c:v>
                </c:pt>
                <c:pt idx="46">
                  <c:v>1.3622677133186201</c:v>
                </c:pt>
                <c:pt idx="47">
                  <c:v>1.36163799655922</c:v>
                </c:pt>
                <c:pt idx="48">
                  <c:v>1.3598057514401001</c:v>
                </c:pt>
                <c:pt idx="49">
                  <c:v>1.35726213164443</c:v>
                </c:pt>
                <c:pt idx="50">
                  <c:v>1.3541375996569101</c:v>
                </c:pt>
                <c:pt idx="51">
                  <c:v>1.35254832755563</c:v>
                </c:pt>
                <c:pt idx="52">
                  <c:v>1.3508539790479399</c:v>
                </c:pt>
                <c:pt idx="53">
                  <c:v>1.3500861802700499</c:v>
                </c:pt>
                <c:pt idx="54">
                  <c:v>1.34902066747227</c:v>
                </c:pt>
                <c:pt idx="55">
                  <c:v>1.34905105810714</c:v>
                </c:pt>
                <c:pt idx="56">
                  <c:v>1.3476033519516</c:v>
                </c:pt>
                <c:pt idx="57">
                  <c:v>1.3454199507761</c:v>
                </c:pt>
                <c:pt idx="58">
                  <c:v>1.34370000139393</c:v>
                </c:pt>
                <c:pt idx="59">
                  <c:v>1.3450805081788799</c:v>
                </c:pt>
                <c:pt idx="60">
                  <c:v>1.3426651535571501</c:v>
                </c:pt>
                <c:pt idx="61">
                  <c:v>1.33977811113056</c:v>
                </c:pt>
                <c:pt idx="62">
                  <c:v>1.3367203044442599</c:v>
                </c:pt>
                <c:pt idx="63">
                  <c:v>1.3334382635106701</c:v>
                </c:pt>
                <c:pt idx="64">
                  <c:v>1.33052929602795</c:v>
                </c:pt>
                <c:pt idx="65">
                  <c:v>1.32685324762682</c:v>
                </c:pt>
                <c:pt idx="66">
                  <c:v>1.32369993534064</c:v>
                </c:pt>
                <c:pt idx="67">
                  <c:v>1.32116644532566</c:v>
                </c:pt>
                <c:pt idx="68">
                  <c:v>1.31743073326465</c:v>
                </c:pt>
                <c:pt idx="69">
                  <c:v>1.3107302298610299</c:v>
                </c:pt>
                <c:pt idx="70">
                  <c:v>1.3075149704379301</c:v>
                </c:pt>
                <c:pt idx="71">
                  <c:v>1.3037093698834601</c:v>
                </c:pt>
                <c:pt idx="72">
                  <c:v>1.29972352212039</c:v>
                </c:pt>
                <c:pt idx="73">
                  <c:v>1.2962007560198401</c:v>
                </c:pt>
                <c:pt idx="74">
                  <c:v>1.29299654378441</c:v>
                </c:pt>
                <c:pt idx="75">
                  <c:v>1.2884369950130801</c:v>
                </c:pt>
                <c:pt idx="76">
                  <c:v>1.28537573961486</c:v>
                </c:pt>
                <c:pt idx="77">
                  <c:v>1.2819134245281301</c:v>
                </c:pt>
                <c:pt idx="78">
                  <c:v>1.2785603457479999</c:v>
                </c:pt>
                <c:pt idx="79">
                  <c:v>1.2769350874596499</c:v>
                </c:pt>
                <c:pt idx="80">
                  <c:v>1.27625844850348</c:v>
                </c:pt>
                <c:pt idx="81">
                  <c:v>1.2761660806828801</c:v>
                </c:pt>
                <c:pt idx="82">
                  <c:v>1.2770249735097501</c:v>
                </c:pt>
                <c:pt idx="83">
                  <c:v>1.2769292212210099</c:v>
                </c:pt>
                <c:pt idx="84">
                  <c:v>1.2766801503573499</c:v>
                </c:pt>
                <c:pt idx="85">
                  <c:v>1.27598300034485</c:v>
                </c:pt>
                <c:pt idx="86">
                  <c:v>1.2757051243709601</c:v>
                </c:pt>
                <c:pt idx="87">
                  <c:v>1.2744716456777301</c:v>
                </c:pt>
                <c:pt idx="88">
                  <c:v>1.2735867025133401</c:v>
                </c:pt>
                <c:pt idx="89">
                  <c:v>1.2733436802090901</c:v>
                </c:pt>
                <c:pt idx="90">
                  <c:v>1.2721313724482499</c:v>
                </c:pt>
                <c:pt idx="91">
                  <c:v>1.2707362302362899</c:v>
                </c:pt>
                <c:pt idx="92">
                  <c:v>1.27013458654053</c:v>
                </c:pt>
                <c:pt idx="93">
                  <c:v>1.27115358654317</c:v>
                </c:pt>
                <c:pt idx="94">
                  <c:v>1.27333224833503</c:v>
                </c:pt>
                <c:pt idx="95">
                  <c:v>1.2745312838748299</c:v>
                </c:pt>
                <c:pt idx="96">
                  <c:v>1.27459147080456</c:v>
                </c:pt>
                <c:pt idx="97">
                  <c:v>1.2766404230364501</c:v>
                </c:pt>
                <c:pt idx="98">
                  <c:v>1.2775299871656101</c:v>
                </c:pt>
                <c:pt idx="99">
                  <c:v>1.2761818426965299</c:v>
                </c:pt>
                <c:pt idx="100">
                  <c:v>1.27574951371566</c:v>
                </c:pt>
                <c:pt idx="101">
                  <c:v>1.27466109323301</c:v>
                </c:pt>
                <c:pt idx="102">
                  <c:v>1.2737628448435101</c:v>
                </c:pt>
                <c:pt idx="103">
                  <c:v>1.27386019009497</c:v>
                </c:pt>
                <c:pt idx="104">
                  <c:v>1.2733774612409201</c:v>
                </c:pt>
                <c:pt idx="105">
                  <c:v>1.27438181808933</c:v>
                </c:pt>
                <c:pt idx="106">
                  <c:v>1.2779669516980701</c:v>
                </c:pt>
                <c:pt idx="107">
                  <c:v>1.2797351570409301</c:v>
                </c:pt>
                <c:pt idx="108">
                  <c:v>1.2815945478474</c:v>
                </c:pt>
                <c:pt idx="109">
                  <c:v>1.2840203926313301</c:v>
                </c:pt>
                <c:pt idx="110">
                  <c:v>1.28580307462865</c:v>
                </c:pt>
                <c:pt idx="111">
                  <c:v>1.2873973282612301</c:v>
                </c:pt>
                <c:pt idx="112">
                  <c:v>1.2868666916373099</c:v>
                </c:pt>
                <c:pt idx="113">
                  <c:v>1.2849632351045901</c:v>
                </c:pt>
                <c:pt idx="114">
                  <c:v>1.2803762337768501</c:v>
                </c:pt>
                <c:pt idx="115">
                  <c:v>1.27528122546403</c:v>
                </c:pt>
                <c:pt idx="116">
                  <c:v>1.26572193877446</c:v>
                </c:pt>
                <c:pt idx="117">
                  <c:v>1.2568772459995401</c:v>
                </c:pt>
                <c:pt idx="118">
                  <c:v>1.24922316155502</c:v>
                </c:pt>
                <c:pt idx="119">
                  <c:v>1.2416078589277899</c:v>
                </c:pt>
                <c:pt idx="120">
                  <c:v>1.2337506045978199</c:v>
                </c:pt>
                <c:pt idx="121">
                  <c:v>1.2260775268258901</c:v>
                </c:pt>
                <c:pt idx="122">
                  <c:v>1.2200364409943301</c:v>
                </c:pt>
                <c:pt idx="123">
                  <c:v>1.21480650634945</c:v>
                </c:pt>
                <c:pt idx="124">
                  <c:v>1.21234050173722</c:v>
                </c:pt>
                <c:pt idx="125">
                  <c:v>1.2104004175719201</c:v>
                </c:pt>
                <c:pt idx="126">
                  <c:v>1.21001901893688</c:v>
                </c:pt>
                <c:pt idx="127">
                  <c:v>1.20937023970522</c:v>
                </c:pt>
                <c:pt idx="128">
                  <c:v>1.2082399927154099</c:v>
                </c:pt>
                <c:pt idx="129">
                  <c:v>1.2078473130149701</c:v>
                </c:pt>
                <c:pt idx="130">
                  <c:v>1.20928817352725</c:v>
                </c:pt>
                <c:pt idx="131">
                  <c:v>1.21077335334116</c:v>
                </c:pt>
                <c:pt idx="132">
                  <c:v>1.2121494383899301</c:v>
                </c:pt>
                <c:pt idx="133">
                  <c:v>1.2153834417350899</c:v>
                </c:pt>
                <c:pt idx="134">
                  <c:v>1.2164346768566501</c:v>
                </c:pt>
                <c:pt idx="135">
                  <c:v>1.21855969269854</c:v>
                </c:pt>
                <c:pt idx="136">
                  <c:v>1.22012259667385</c:v>
                </c:pt>
                <c:pt idx="137">
                  <c:v>1.2225837833890401</c:v>
                </c:pt>
                <c:pt idx="138">
                  <c:v>1.2266007074362</c:v>
                </c:pt>
                <c:pt idx="139">
                  <c:v>1.23085762294099</c:v>
                </c:pt>
                <c:pt idx="140">
                  <c:v>1.2338963880307401</c:v>
                </c:pt>
                <c:pt idx="141">
                  <c:v>1.2397260657040301</c:v>
                </c:pt>
                <c:pt idx="142">
                  <c:v>1.2456293725146399</c:v>
                </c:pt>
                <c:pt idx="143">
                  <c:v>1.24637099354364</c:v>
                </c:pt>
                <c:pt idx="144">
                  <c:v>1.2501587966666801</c:v>
                </c:pt>
                <c:pt idx="145">
                  <c:v>1.25278313599909</c:v>
                </c:pt>
                <c:pt idx="146">
                  <c:v>1.2554499160238599</c:v>
                </c:pt>
                <c:pt idx="147">
                  <c:v>1.25786385228179</c:v>
                </c:pt>
                <c:pt idx="148">
                  <c:v>1.2586224263777499</c:v>
                </c:pt>
                <c:pt idx="149">
                  <c:v>1.2592297012887099</c:v>
                </c:pt>
                <c:pt idx="150">
                  <c:v>1.26073918048597</c:v>
                </c:pt>
                <c:pt idx="151">
                  <c:v>1.2599010257796099</c:v>
                </c:pt>
                <c:pt idx="152">
                  <c:v>1.25836848811464</c:v>
                </c:pt>
                <c:pt idx="153">
                  <c:v>1.2597757049699001</c:v>
                </c:pt>
                <c:pt idx="154">
                  <c:v>1.2589261443438899</c:v>
                </c:pt>
                <c:pt idx="155">
                  <c:v>1.25930097257581</c:v>
                </c:pt>
                <c:pt idx="156">
                  <c:v>1.26124104111935</c:v>
                </c:pt>
                <c:pt idx="157">
                  <c:v>1.2638520099122701</c:v>
                </c:pt>
                <c:pt idx="158">
                  <c:v>1.2679950560243201</c:v>
                </c:pt>
                <c:pt idx="159">
                  <c:v>1.2712213937997501</c:v>
                </c:pt>
                <c:pt idx="160">
                  <c:v>1.2741077594442101</c:v>
                </c:pt>
                <c:pt idx="161">
                  <c:v>1.27571763540325</c:v>
                </c:pt>
                <c:pt idx="162">
                  <c:v>1.2776039055092601</c:v>
                </c:pt>
                <c:pt idx="163">
                  <c:v>1.27845977570009</c:v>
                </c:pt>
                <c:pt idx="164">
                  <c:v>1.2811880787777901</c:v>
                </c:pt>
                <c:pt idx="165">
                  <c:v>1.28325615953424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7C-4CE6-B5E5-A0D069A6A789}"/>
            </c:ext>
          </c:extLst>
        </c:ser>
        <c:ser>
          <c:idx val="2"/>
          <c:order val="2"/>
          <c:tx>
            <c:strRef>
              <c:f>XBI_IBB_1!$Q$1</c:f>
              <c:strCache>
                <c:ptCount val="1"/>
                <c:pt idx="0">
                  <c:v> IBB/XBI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XBI_IBB_1!$Q$2:$Q$167</c:f>
              <c:numCache>
                <c:formatCode>_(* #,##0.0000_);_(* \(#,##0.0000\);_(* "-"??_);_(@_)</c:formatCode>
                <c:ptCount val="166"/>
                <c:pt idx="19">
                  <c:v>1.37848330737452</c:v>
                </c:pt>
                <c:pt idx="20">
                  <c:v>1.3773180606230599</c:v>
                </c:pt>
                <c:pt idx="21">
                  <c:v>1.37575688048835</c:v>
                </c:pt>
                <c:pt idx="22">
                  <c:v>1.37508714228328</c:v>
                </c:pt>
                <c:pt idx="23">
                  <c:v>1.37561819231938</c:v>
                </c:pt>
                <c:pt idx="24">
                  <c:v>1.3757032810960601</c:v>
                </c:pt>
                <c:pt idx="25">
                  <c:v>1.37560443865628</c:v>
                </c:pt>
                <c:pt idx="26">
                  <c:v>1.3750898045708899</c:v>
                </c:pt>
                <c:pt idx="27">
                  <c:v>1.3751994600114601</c:v>
                </c:pt>
                <c:pt idx="28">
                  <c:v>1.3763240677010899</c:v>
                </c:pt>
                <c:pt idx="29">
                  <c:v>1.3779453042519401</c:v>
                </c:pt>
                <c:pt idx="30">
                  <c:v>1.37932703566509</c:v>
                </c:pt>
                <c:pt idx="31">
                  <c:v>1.38076716081677</c:v>
                </c:pt>
                <c:pt idx="32">
                  <c:v>1.38149218164896</c:v>
                </c:pt>
                <c:pt idx="33">
                  <c:v>1.3838633781363601</c:v>
                </c:pt>
                <c:pt idx="34">
                  <c:v>1.38434978884221</c:v>
                </c:pt>
                <c:pt idx="35">
                  <c:v>1.3838550799101701</c:v>
                </c:pt>
                <c:pt idx="36">
                  <c:v>1.3833655581972899</c:v>
                </c:pt>
                <c:pt idx="37">
                  <c:v>1.3823705719421999</c:v>
                </c:pt>
                <c:pt idx="38">
                  <c:v>1.3824702174588499</c:v>
                </c:pt>
                <c:pt idx="39">
                  <c:v>1.38207591957822</c:v>
                </c:pt>
                <c:pt idx="40">
                  <c:v>1.3825716842231399</c:v>
                </c:pt>
                <c:pt idx="41">
                  <c:v>1.38290576451172</c:v>
                </c:pt>
                <c:pt idx="42">
                  <c:v>1.3815138985640401</c:v>
                </c:pt>
                <c:pt idx="43">
                  <c:v>1.3786509793054</c:v>
                </c:pt>
                <c:pt idx="44">
                  <c:v>1.37631673430254</c:v>
                </c:pt>
                <c:pt idx="45">
                  <c:v>1.3747766181771499</c:v>
                </c:pt>
                <c:pt idx="46">
                  <c:v>1.37374098913151</c:v>
                </c:pt>
                <c:pt idx="47">
                  <c:v>1.3722496023530899</c:v>
                </c:pt>
                <c:pt idx="48">
                  <c:v>1.37091173042363</c:v>
                </c:pt>
                <c:pt idx="49">
                  <c:v>1.36815398731525</c:v>
                </c:pt>
                <c:pt idx="50">
                  <c:v>1.36564346671458</c:v>
                </c:pt>
                <c:pt idx="51">
                  <c:v>1.3636896196828501</c:v>
                </c:pt>
                <c:pt idx="52">
                  <c:v>1.3618586222492799</c:v>
                </c:pt>
                <c:pt idx="53">
                  <c:v>1.3591602519722199</c:v>
                </c:pt>
                <c:pt idx="54">
                  <c:v>1.35704754753676</c:v>
                </c:pt>
                <c:pt idx="55">
                  <c:v>1.3563848052076299</c:v>
                </c:pt>
                <c:pt idx="56">
                  <c:v>1.35493553263511</c:v>
                </c:pt>
                <c:pt idx="57">
                  <c:v>1.3535289736676599</c:v>
                </c:pt>
                <c:pt idx="58">
                  <c:v>1.3517528764170199</c:v>
                </c:pt>
                <c:pt idx="59">
                  <c:v>1.35117131991165</c:v>
                </c:pt>
                <c:pt idx="60">
                  <c:v>1.34840137660703</c:v>
                </c:pt>
                <c:pt idx="61">
                  <c:v>1.3461632193430899</c:v>
                </c:pt>
                <c:pt idx="62">
                  <c:v>1.3437871417461</c:v>
                </c:pt>
                <c:pt idx="63">
                  <c:v>1.34176222189036</c:v>
                </c:pt>
                <c:pt idx="64">
                  <c:v>1.3397749817501099</c:v>
                </c:pt>
                <c:pt idx="65">
                  <c:v>1.33795215286698</c:v>
                </c:pt>
                <c:pt idx="66">
                  <c:v>1.3356516436461201</c:v>
                </c:pt>
                <c:pt idx="67">
                  <c:v>1.33329319805088</c:v>
                </c:pt>
                <c:pt idx="68">
                  <c:v>1.3305653673292901</c:v>
                </c:pt>
                <c:pt idx="69">
                  <c:v>1.32790536901995</c:v>
                </c:pt>
                <c:pt idx="70">
                  <c:v>1.3250900619975401</c:v>
                </c:pt>
                <c:pt idx="71">
                  <c:v>1.32174374050701</c:v>
                </c:pt>
                <c:pt idx="72">
                  <c:v>1.3182219132823201</c:v>
                </c:pt>
                <c:pt idx="73">
                  <c:v>1.31481950976526</c:v>
                </c:pt>
                <c:pt idx="74">
                  <c:v>1.31176291990618</c:v>
                </c:pt>
                <c:pt idx="75">
                  <c:v>1.30764512131995</c:v>
                </c:pt>
                <c:pt idx="76">
                  <c:v>1.3045378374777501</c:v>
                </c:pt>
                <c:pt idx="77">
                  <c:v>1.3015399349268999</c:v>
                </c:pt>
                <c:pt idx="78">
                  <c:v>1.2979955395063301</c:v>
                </c:pt>
                <c:pt idx="79">
                  <c:v>1.2938326586603399</c:v>
                </c:pt>
                <c:pt idx="80">
                  <c:v>1.2918867094707001</c:v>
                </c:pt>
                <c:pt idx="81">
                  <c:v>1.2899377252831701</c:v>
                </c:pt>
                <c:pt idx="82">
                  <c:v>1.2883742478150699</c:v>
                </c:pt>
                <c:pt idx="83">
                  <c:v>1.28656498862043</c:v>
                </c:pt>
                <c:pt idx="84">
                  <c:v>1.28483834707088</c:v>
                </c:pt>
                <c:pt idx="85">
                  <c:v>1.28220999767897</c:v>
                </c:pt>
                <c:pt idx="86">
                  <c:v>1.2805404319929099</c:v>
                </c:pt>
                <c:pt idx="87">
                  <c:v>1.27819253510293</c:v>
                </c:pt>
                <c:pt idx="88">
                  <c:v>1.27607352413067</c:v>
                </c:pt>
                <c:pt idx="89">
                  <c:v>1.2751393838343701</c:v>
                </c:pt>
                <c:pt idx="90">
                  <c:v>1.2741949104758601</c:v>
                </c:pt>
                <c:pt idx="91">
                  <c:v>1.27345115545959</c:v>
                </c:pt>
                <c:pt idx="92">
                  <c:v>1.2735797800251401</c:v>
                </c:pt>
                <c:pt idx="93">
                  <c:v>1.27404140388209</c:v>
                </c:pt>
                <c:pt idx="94">
                  <c:v>1.2750061993461901</c:v>
                </c:pt>
                <c:pt idx="95">
                  <c:v>1.27525714210984</c:v>
                </c:pt>
                <c:pt idx="96">
                  <c:v>1.2751482975877599</c:v>
                </c:pt>
                <c:pt idx="97">
                  <c:v>1.27555603435709</c:v>
                </c:pt>
                <c:pt idx="98">
                  <c:v>1.2755583448394701</c:v>
                </c:pt>
                <c:pt idx="99">
                  <c:v>1.2747627614528101</c:v>
                </c:pt>
                <c:pt idx="100">
                  <c:v>1.2739404430819601</c:v>
                </c:pt>
                <c:pt idx="101">
                  <c:v>1.2726986617346501</c:v>
                </c:pt>
                <c:pt idx="102">
                  <c:v>1.2719487156920199</c:v>
                </c:pt>
                <c:pt idx="103">
                  <c:v>1.27250688831907</c:v>
                </c:pt>
                <c:pt idx="104">
                  <c:v>1.2733548547879801</c:v>
                </c:pt>
                <c:pt idx="105">
                  <c:v>1.27445655098208</c:v>
                </c:pt>
                <c:pt idx="106">
                  <c:v>1.2762792112513199</c:v>
                </c:pt>
                <c:pt idx="107">
                  <c:v>1.27818779003869</c:v>
                </c:pt>
                <c:pt idx="108">
                  <c:v>1.2795622675064999</c:v>
                </c:pt>
                <c:pt idx="109">
                  <c:v>1.2801011176639301</c:v>
                </c:pt>
                <c:pt idx="110">
                  <c:v>1.2807762941721501</c:v>
                </c:pt>
                <c:pt idx="111">
                  <c:v>1.28102921074712</c:v>
                </c:pt>
                <c:pt idx="112">
                  <c:v>1.2803147682404099</c:v>
                </c:pt>
                <c:pt idx="113">
                  <c:v>1.2794117125997799</c:v>
                </c:pt>
                <c:pt idx="114">
                  <c:v>1.2768768475088801</c:v>
                </c:pt>
                <c:pt idx="115">
                  <c:v>1.2748315217766799</c:v>
                </c:pt>
                <c:pt idx="116">
                  <c:v>1.27184444523627</c:v>
                </c:pt>
                <c:pt idx="117">
                  <c:v>1.26830620152024</c:v>
                </c:pt>
                <c:pt idx="118">
                  <c:v>1.2654088547012099</c:v>
                </c:pt>
                <c:pt idx="119">
                  <c:v>1.26281412577956</c:v>
                </c:pt>
                <c:pt idx="120">
                  <c:v>1.2597768396132301</c:v>
                </c:pt>
                <c:pt idx="121">
                  <c:v>1.2567374275435601</c:v>
                </c:pt>
                <c:pt idx="122">
                  <c:v>1.2534515663158201</c:v>
                </c:pt>
                <c:pt idx="123">
                  <c:v>1.24988487072702</c:v>
                </c:pt>
                <c:pt idx="124">
                  <c:v>1.24635836775703</c:v>
                </c:pt>
                <c:pt idx="125">
                  <c:v>1.24284082151797</c:v>
                </c:pt>
                <c:pt idx="126">
                  <c:v>1.23787047885567</c:v>
                </c:pt>
                <c:pt idx="127">
                  <c:v>1.23312374285238</c:v>
                </c:pt>
                <c:pt idx="128">
                  <c:v>1.2287315771352201</c:v>
                </c:pt>
                <c:pt idx="129">
                  <c:v>1.22472758597138</c:v>
                </c:pt>
                <c:pt idx="130">
                  <c:v>1.22151938906254</c:v>
                </c:pt>
                <c:pt idx="131">
                  <c:v>1.2184254400835299</c:v>
                </c:pt>
                <c:pt idx="132">
                  <c:v>1.2160929396921301</c:v>
                </c:pt>
                <c:pt idx="133">
                  <c:v>1.2150949740422701</c:v>
                </c:pt>
                <c:pt idx="134">
                  <c:v>1.21438758929693</c:v>
                </c:pt>
                <c:pt idx="135">
                  <c:v>1.2144800551352299</c:v>
                </c:pt>
                <c:pt idx="136">
                  <c:v>1.21507080780537</c:v>
                </c:pt>
                <c:pt idx="137">
                  <c:v>1.21597701154713</c:v>
                </c:pt>
                <c:pt idx="138">
                  <c:v>1.2174203500758001</c:v>
                </c:pt>
                <c:pt idx="139">
                  <c:v>1.2193524679779799</c:v>
                </c:pt>
                <c:pt idx="140">
                  <c:v>1.2215922807790001</c:v>
                </c:pt>
                <c:pt idx="141">
                  <c:v>1.22524970952259</c:v>
                </c:pt>
                <c:pt idx="142">
                  <c:v>1.2288894054522801</c:v>
                </c:pt>
                <c:pt idx="143">
                  <c:v>1.2308772176393601</c:v>
                </c:pt>
                <c:pt idx="144">
                  <c:v>1.2332967367616701</c:v>
                </c:pt>
                <c:pt idx="145">
                  <c:v>1.2356714143488201</c:v>
                </c:pt>
                <c:pt idx="146">
                  <c:v>1.23778625634886</c:v>
                </c:pt>
                <c:pt idx="147">
                  <c:v>1.2402238178354099</c:v>
                </c:pt>
                <c:pt idx="148">
                  <c:v>1.2426115669069699</c:v>
                </c:pt>
                <c:pt idx="149">
                  <c:v>1.24504366211485</c:v>
                </c:pt>
                <c:pt idx="150">
                  <c:v>1.24731778425836</c:v>
                </c:pt>
                <c:pt idx="151">
                  <c:v>1.24981354574182</c:v>
                </c:pt>
                <c:pt idx="152">
                  <c:v>1.2519989303146399</c:v>
                </c:pt>
                <c:pt idx="153">
                  <c:v>1.2530733492567701</c:v>
                </c:pt>
                <c:pt idx="154">
                  <c:v>1.2545424705052901</c:v>
                </c:pt>
                <c:pt idx="155">
                  <c:v>1.25604205428745</c:v>
                </c:pt>
                <c:pt idx="156">
                  <c:v>1.2583454785716099</c:v>
                </c:pt>
                <c:pt idx="157">
                  <c:v>1.26085793109703</c:v>
                </c:pt>
                <c:pt idx="158">
                  <c:v>1.26330874120103</c:v>
                </c:pt>
                <c:pt idx="159">
                  <c:v>1.26522554754423</c:v>
                </c:pt>
                <c:pt idx="160">
                  <c:v>1.2674234699650899</c:v>
                </c:pt>
                <c:pt idx="161">
                  <c:v>1.26780933059143</c:v>
                </c:pt>
                <c:pt idx="162">
                  <c:v>1.2679861968119499</c:v>
                </c:pt>
                <c:pt idx="163">
                  <c:v>1.26911774033499</c:v>
                </c:pt>
                <c:pt idx="164">
                  <c:v>1.2700571115608399</c:v>
                </c:pt>
                <c:pt idx="165">
                  <c:v>1.2712785660550301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7C-4CE6-B5E5-A0D069A6A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XBI_IBB_1!$AE$1</c:f>
              <c:strCache>
                <c:ptCount val="1"/>
                <c:pt idx="0">
                  <c:v>log diff XBI* x avg / IBB*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XBI_IBB_1!$AE$2:$AE$167</c:f>
              <c:numCache>
                <c:formatCode>0.0000%</c:formatCode>
                <c:ptCount val="166"/>
                <c:pt idx="1">
                  <c:v>-6.7173220555874602E-2</c:v>
                </c:pt>
                <c:pt idx="2">
                  <c:v>-7.4194115466881094E-2</c:v>
                </c:pt>
                <c:pt idx="3">
                  <c:v>-7.0877442636952004E-2</c:v>
                </c:pt>
                <c:pt idx="4">
                  <c:v>-6.6951358357187199E-2</c:v>
                </c:pt>
                <c:pt idx="5">
                  <c:v>-6.1340147873024803E-2</c:v>
                </c:pt>
                <c:pt idx="6">
                  <c:v>-6.0169627957796401E-2</c:v>
                </c:pt>
                <c:pt idx="7">
                  <c:v>-6.0348508682701599E-2</c:v>
                </c:pt>
                <c:pt idx="8">
                  <c:v>-4.54262060114159E-2</c:v>
                </c:pt>
                <c:pt idx="9">
                  <c:v>-5.1873482598965903E-2</c:v>
                </c:pt>
                <c:pt idx="10">
                  <c:v>-4.9717501180763901E-2</c:v>
                </c:pt>
                <c:pt idx="11">
                  <c:v>-4.5280249166881802E-2</c:v>
                </c:pt>
                <c:pt idx="12">
                  <c:v>-4.8150827728016599E-2</c:v>
                </c:pt>
                <c:pt idx="13">
                  <c:v>-3.6106512917054502E-2</c:v>
                </c:pt>
                <c:pt idx="14">
                  <c:v>-5.0213709251274698E-2</c:v>
                </c:pt>
                <c:pt idx="15">
                  <c:v>-5.4581955452310503E-2</c:v>
                </c:pt>
                <c:pt idx="16">
                  <c:v>-5.5308772914599E-2</c:v>
                </c:pt>
                <c:pt idx="17">
                  <c:v>-5.9308606956385998E-2</c:v>
                </c:pt>
                <c:pt idx="18">
                  <c:v>-5.4239817616162297E-2</c:v>
                </c:pt>
                <c:pt idx="19">
                  <c:v>-5.9566134251312103E-2</c:v>
                </c:pt>
                <c:pt idx="20">
                  <c:v>-4.8806883845903398E-2</c:v>
                </c:pt>
                <c:pt idx="21">
                  <c:v>-4.4499581014698801E-2</c:v>
                </c:pt>
                <c:pt idx="22">
                  <c:v>-6.4598075870886507E-2</c:v>
                </c:pt>
                <c:pt idx="23">
                  <c:v>-7.8446400901895794E-2</c:v>
                </c:pt>
                <c:pt idx="24">
                  <c:v>-6.8172756876663507E-2</c:v>
                </c:pt>
                <c:pt idx="25">
                  <c:v>-5.9911448232519197E-2</c:v>
                </c:pt>
                <c:pt idx="26">
                  <c:v>-5.2699720267572601E-2</c:v>
                </c:pt>
                <c:pt idx="27">
                  <c:v>-6.19326870539657E-2</c:v>
                </c:pt>
                <c:pt idx="28">
                  <c:v>-6.1795885775097599E-2</c:v>
                </c:pt>
                <c:pt idx="29">
                  <c:v>-7.5238252606532899E-2</c:v>
                </c:pt>
                <c:pt idx="30">
                  <c:v>-6.9707399170492901E-2</c:v>
                </c:pt>
                <c:pt idx="31">
                  <c:v>-6.6197861920036599E-2</c:v>
                </c:pt>
                <c:pt idx="32">
                  <c:v>-5.8706155778273102E-2</c:v>
                </c:pt>
                <c:pt idx="33">
                  <c:v>-7.0628495569628302E-2</c:v>
                </c:pt>
                <c:pt idx="34">
                  <c:v>-5.7292913081006099E-2</c:v>
                </c:pt>
                <c:pt idx="35">
                  <c:v>-4.7361926470562497E-2</c:v>
                </c:pt>
                <c:pt idx="36">
                  <c:v>-4.8169928973134699E-2</c:v>
                </c:pt>
                <c:pt idx="37">
                  <c:v>-4.4803108159231698E-2</c:v>
                </c:pt>
                <c:pt idx="38">
                  <c:v>-5.5688302950432998E-2</c:v>
                </c:pt>
                <c:pt idx="39">
                  <c:v>-5.3844448252666099E-2</c:v>
                </c:pt>
                <c:pt idx="40">
                  <c:v>-5.6031855204683997E-2</c:v>
                </c:pt>
                <c:pt idx="41">
                  <c:v>-4.9394983882579298E-2</c:v>
                </c:pt>
                <c:pt idx="42">
                  <c:v>-4.4355866505726198E-2</c:v>
                </c:pt>
                <c:pt idx="43">
                  <c:v>-3.6946442344697197E-2</c:v>
                </c:pt>
                <c:pt idx="44">
                  <c:v>-3.4113016152332899E-2</c:v>
                </c:pt>
                <c:pt idx="45">
                  <c:v>-3.7382331104989897E-2</c:v>
                </c:pt>
                <c:pt idx="46">
                  <c:v>-3.7496303985772701E-2</c:v>
                </c:pt>
                <c:pt idx="47">
                  <c:v>-4.0168741083725902E-2</c:v>
                </c:pt>
                <c:pt idx="48">
                  <c:v>-4.2291497457032902E-2</c:v>
                </c:pt>
                <c:pt idx="49">
                  <c:v>-3.5162800815788403E-2</c:v>
                </c:pt>
                <c:pt idx="50">
                  <c:v>-3.3813561551186901E-2</c:v>
                </c:pt>
                <c:pt idx="51">
                  <c:v>-3.8454866155554601E-2</c:v>
                </c:pt>
                <c:pt idx="52">
                  <c:v>-3.2572021228303702E-2</c:v>
                </c:pt>
                <c:pt idx="53">
                  <c:v>-3.2001578281581199E-2</c:v>
                </c:pt>
                <c:pt idx="54">
                  <c:v>-2.61740613984974E-2</c:v>
                </c:pt>
                <c:pt idx="55">
                  <c:v>-3.7607108685064602E-2</c:v>
                </c:pt>
                <c:pt idx="56">
                  <c:v>-2.67309448282586E-2</c:v>
                </c:pt>
                <c:pt idx="57">
                  <c:v>-2.3931714508841399E-2</c:v>
                </c:pt>
                <c:pt idx="58">
                  <c:v>-2.9550323518933601E-2</c:v>
                </c:pt>
                <c:pt idx="59">
                  <c:v>-4.5345233350741497E-2</c:v>
                </c:pt>
                <c:pt idx="60">
                  <c:v>-1.4978597647790999E-2</c:v>
                </c:pt>
                <c:pt idx="61">
                  <c:v>-1.6131428853047601E-2</c:v>
                </c:pt>
                <c:pt idx="62">
                  <c:v>-8.8240952825966792E-3</c:v>
                </c:pt>
                <c:pt idx="63">
                  <c:v>-6.5179896897489603E-3</c:v>
                </c:pt>
                <c:pt idx="64">
                  <c:v>-4.1733245649423203E-3</c:v>
                </c:pt>
                <c:pt idx="65">
                  <c:v>-1.0044711789355501E-2</c:v>
                </c:pt>
                <c:pt idx="66">
                  <c:v>-2.8734332197457501E-3</c:v>
                </c:pt>
                <c:pt idx="67">
                  <c:v>-4.7547294637482404E-3</c:v>
                </c:pt>
                <c:pt idx="68">
                  <c:v>-1.30439142585302E-3</c:v>
                </c:pt>
                <c:pt idx="69">
                  <c:v>5.0760691251381298E-3</c:v>
                </c:pt>
                <c:pt idx="70">
                  <c:v>9.6445600413279202E-3</c:v>
                </c:pt>
                <c:pt idx="71">
                  <c:v>1.30451652317609E-2</c:v>
                </c:pt>
                <c:pt idx="72">
                  <c:v>2.1983516577886698E-2</c:v>
                </c:pt>
                <c:pt idx="73">
                  <c:v>2.07248470585569E-2</c:v>
                </c:pt>
                <c:pt idx="74">
                  <c:v>2.06340907692588E-2</c:v>
                </c:pt>
                <c:pt idx="75">
                  <c:v>2.5232504092568601E-2</c:v>
                </c:pt>
                <c:pt idx="76">
                  <c:v>2.0845156542824199E-2</c:v>
                </c:pt>
                <c:pt idx="77">
                  <c:v>2.2062185237810901E-2</c:v>
                </c:pt>
                <c:pt idx="78">
                  <c:v>2.4746271897436001E-2</c:v>
                </c:pt>
                <c:pt idx="79">
                  <c:v>1.7699053092477102E-2</c:v>
                </c:pt>
                <c:pt idx="80">
                  <c:v>1.49045417802212E-2</c:v>
                </c:pt>
                <c:pt idx="81">
                  <c:v>1.3764016753948701E-2</c:v>
                </c:pt>
                <c:pt idx="82">
                  <c:v>1.52642267702387E-2</c:v>
                </c:pt>
                <c:pt idx="83">
                  <c:v>2.1475795077422501E-2</c:v>
                </c:pt>
                <c:pt idx="84">
                  <c:v>2.25884549016932E-2</c:v>
                </c:pt>
                <c:pt idx="85">
                  <c:v>3.07377464926856E-2</c:v>
                </c:pt>
                <c:pt idx="86">
                  <c:v>2.3026250810207999E-2</c:v>
                </c:pt>
                <c:pt idx="87">
                  <c:v>3.1792374264181501E-2</c:v>
                </c:pt>
                <c:pt idx="88">
                  <c:v>3.1736260867944698E-2</c:v>
                </c:pt>
                <c:pt idx="89">
                  <c:v>1.9600317393915798E-2</c:v>
                </c:pt>
                <c:pt idx="90">
                  <c:v>2.4398400165455299E-2</c:v>
                </c:pt>
                <c:pt idx="91">
                  <c:v>2.46850163699576E-2</c:v>
                </c:pt>
                <c:pt idx="92">
                  <c:v>1.99662648704623E-2</c:v>
                </c:pt>
                <c:pt idx="93">
                  <c:v>1.3512960036965E-2</c:v>
                </c:pt>
                <c:pt idx="94">
                  <c:v>5.6213688450202099E-3</c:v>
                </c:pt>
                <c:pt idx="95">
                  <c:v>2.1287902568677401E-2</c:v>
                </c:pt>
                <c:pt idx="96">
                  <c:v>2.2553429919331701E-2</c:v>
                </c:pt>
                <c:pt idx="97">
                  <c:v>1.5680991467994398E-2</c:v>
                </c:pt>
                <c:pt idx="98">
                  <c:v>2.4709899753718598E-2</c:v>
                </c:pt>
                <c:pt idx="99">
                  <c:v>3.02135653989032E-2</c:v>
                </c:pt>
                <c:pt idx="100">
                  <c:v>2.7805988693860001E-2</c:v>
                </c:pt>
                <c:pt idx="101">
                  <c:v>3.32886350638531E-2</c:v>
                </c:pt>
                <c:pt idx="102">
                  <c:v>2.70277677234015E-2</c:v>
                </c:pt>
                <c:pt idx="103">
                  <c:v>1.2755576482748599E-2</c:v>
                </c:pt>
                <c:pt idx="104">
                  <c:v>9.3560392361410998E-3</c:v>
                </c:pt>
                <c:pt idx="105">
                  <c:v>1.34405153910795E-2</c:v>
                </c:pt>
                <c:pt idx="106">
                  <c:v>-5.2151279677282404E-3</c:v>
                </c:pt>
                <c:pt idx="107">
                  <c:v>1.98284123071294E-3</c:v>
                </c:pt>
                <c:pt idx="108">
                  <c:v>1.0180748766817E-2</c:v>
                </c:pt>
                <c:pt idx="109">
                  <c:v>1.1196412552777601E-2</c:v>
                </c:pt>
                <c:pt idx="110">
                  <c:v>1.3829171869739001E-2</c:v>
                </c:pt>
                <c:pt idx="111">
                  <c:v>2.0711621506189201E-2</c:v>
                </c:pt>
                <c:pt idx="112">
                  <c:v>3.1084797831446999E-2</c:v>
                </c:pt>
                <c:pt idx="113">
                  <c:v>2.7531604960150901E-2</c:v>
                </c:pt>
                <c:pt idx="114">
                  <c:v>4.5420465673821998E-2</c:v>
                </c:pt>
                <c:pt idx="115">
                  <c:v>5.3764492041807797E-2</c:v>
                </c:pt>
                <c:pt idx="116">
                  <c:v>7.0611013111357895E-2</c:v>
                </c:pt>
                <c:pt idx="117">
                  <c:v>7.2461095230751504E-2</c:v>
                </c:pt>
                <c:pt idx="118">
                  <c:v>7.13926482885055E-2</c:v>
                </c:pt>
                <c:pt idx="119">
                  <c:v>7.2152326960583393E-2</c:v>
                </c:pt>
                <c:pt idx="120">
                  <c:v>7.6955317801967404E-2</c:v>
                </c:pt>
                <c:pt idx="121">
                  <c:v>8.2750426465958093E-2</c:v>
                </c:pt>
                <c:pt idx="122">
                  <c:v>8.0265976659815996E-2</c:v>
                </c:pt>
                <c:pt idx="123">
                  <c:v>6.9833484155706102E-2</c:v>
                </c:pt>
                <c:pt idx="124">
                  <c:v>6.5575304052579497E-2</c:v>
                </c:pt>
                <c:pt idx="125">
                  <c:v>6.9748992146233493E-2</c:v>
                </c:pt>
                <c:pt idx="126">
                  <c:v>7.3758945985113206E-2</c:v>
                </c:pt>
                <c:pt idx="127">
                  <c:v>7.7831772652622103E-2</c:v>
                </c:pt>
                <c:pt idx="128">
                  <c:v>8.0757647788437401E-2</c:v>
                </c:pt>
                <c:pt idx="129">
                  <c:v>7.5398528587097696E-2</c:v>
                </c:pt>
                <c:pt idx="130">
                  <c:v>6.5076909158257507E-2</c:v>
                </c:pt>
                <c:pt idx="131">
                  <c:v>7.0438167410341104E-2</c:v>
                </c:pt>
                <c:pt idx="132">
                  <c:v>6.8881140493011098E-2</c:v>
                </c:pt>
                <c:pt idx="133">
                  <c:v>4.3552215396657802E-2</c:v>
                </c:pt>
                <c:pt idx="134">
                  <c:v>5.69928628255926E-2</c:v>
                </c:pt>
                <c:pt idx="135">
                  <c:v>5.2403810929351098E-2</c:v>
                </c:pt>
                <c:pt idx="136">
                  <c:v>6.0921701445081598E-2</c:v>
                </c:pt>
                <c:pt idx="137">
                  <c:v>5.7608814598164998E-2</c:v>
                </c:pt>
                <c:pt idx="138">
                  <c:v>4.78648338457828E-2</c:v>
                </c:pt>
                <c:pt idx="139">
                  <c:v>4.0757306578069703E-2</c:v>
                </c:pt>
                <c:pt idx="140">
                  <c:v>4.0478657021172197E-2</c:v>
                </c:pt>
                <c:pt idx="141">
                  <c:v>2.35238630176615E-2</c:v>
                </c:pt>
                <c:pt idx="142">
                  <c:v>2.1460323393886802E-2</c:v>
                </c:pt>
                <c:pt idx="143">
                  <c:v>3.76215281338554E-2</c:v>
                </c:pt>
                <c:pt idx="144">
                  <c:v>2.66655509238206E-2</c:v>
                </c:pt>
                <c:pt idx="145">
                  <c:v>3.13900123138212E-2</c:v>
                </c:pt>
                <c:pt idx="146">
                  <c:v>3.93909891184328E-2</c:v>
                </c:pt>
                <c:pt idx="147">
                  <c:v>3.8163604413484299E-2</c:v>
                </c:pt>
                <c:pt idx="148">
                  <c:v>4.1772848058635799E-2</c:v>
                </c:pt>
                <c:pt idx="149">
                  <c:v>3.5911898155084103E-2</c:v>
                </c:pt>
                <c:pt idx="150">
                  <c:v>2.84810150017424E-2</c:v>
                </c:pt>
                <c:pt idx="151">
                  <c:v>3.0134940203415499E-2</c:v>
                </c:pt>
                <c:pt idx="152">
                  <c:v>3.35566152018947E-2</c:v>
                </c:pt>
                <c:pt idx="153">
                  <c:v>2.6463904189352599E-2</c:v>
                </c:pt>
                <c:pt idx="154">
                  <c:v>3.3388053891078601E-2</c:v>
                </c:pt>
                <c:pt idx="155">
                  <c:v>2.84243777512748E-2</c:v>
                </c:pt>
                <c:pt idx="156">
                  <c:v>2.4013765422431398E-2</c:v>
                </c:pt>
                <c:pt idx="157">
                  <c:v>1.7548351948717001E-2</c:v>
                </c:pt>
                <c:pt idx="158">
                  <c:v>9.1401425109212502E-3</c:v>
                </c:pt>
                <c:pt idx="159">
                  <c:v>1.0555622632566999E-2</c:v>
                </c:pt>
                <c:pt idx="160">
                  <c:v>5.9328095649272203E-3</c:v>
                </c:pt>
                <c:pt idx="161">
                  <c:v>1.7475197061308099E-2</c:v>
                </c:pt>
                <c:pt idx="162">
                  <c:v>1.86889819752298E-2</c:v>
                </c:pt>
                <c:pt idx="163">
                  <c:v>1.97382162254593E-2</c:v>
                </c:pt>
                <c:pt idx="164">
                  <c:v>1.1957766669476001E-2</c:v>
                </c:pt>
                <c:pt idx="165">
                  <c:v>1.22180320963182E-2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5C-4C30-8883-E2A1C3AA9FAC}"/>
            </c:ext>
          </c:extLst>
        </c:ser>
        <c:ser>
          <c:idx val="1"/>
          <c:order val="1"/>
          <c:tx>
            <c:strRef>
              <c:f>XBI_IBB_1!$AF$1</c:f>
              <c:strCache>
                <c:ptCount val="1"/>
                <c:pt idx="0">
                  <c:v>log diff XBI* x 10 dma / IBB*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XBI_IBB_1!$AF$2:$AF$167</c:f>
              <c:numCache>
                <c:formatCode>0.0000%</c:formatCode>
                <c:ptCount val="166"/>
                <c:pt idx="10">
                  <c:v>1.2722217710910699E-2</c:v>
                </c:pt>
                <c:pt idx="11">
                  <c:v>1.5566839829653E-2</c:v>
                </c:pt>
                <c:pt idx="12">
                  <c:v>1.05146345865944E-2</c:v>
                </c:pt>
                <c:pt idx="13">
                  <c:v>1.9944595123128701E-2</c:v>
                </c:pt>
                <c:pt idx="14">
                  <c:v>2.3629892818810899E-3</c:v>
                </c:pt>
                <c:pt idx="15">
                  <c:v>-3.6905433862237302E-3</c:v>
                </c:pt>
                <c:pt idx="16">
                  <c:v>-5.0982078365435501E-3</c:v>
                </c:pt>
                <c:pt idx="17">
                  <c:v>-9.5879212070025793E-3</c:v>
                </c:pt>
                <c:pt idx="18">
                  <c:v>-4.6241840115225996E-3</c:v>
                </c:pt>
                <c:pt idx="19">
                  <c:v>-9.0693333653211593E-3</c:v>
                </c:pt>
                <c:pt idx="20">
                  <c:v>2.4629136619045799E-3</c:v>
                </c:pt>
                <c:pt idx="21">
                  <c:v>6.6793332593297998E-3</c:v>
                </c:pt>
                <c:pt idx="22">
                  <c:v>-1.3496742001789901E-2</c:v>
                </c:pt>
                <c:pt idx="23">
                  <c:v>-2.5692993273298499E-2</c:v>
                </c:pt>
                <c:pt idx="24">
                  <c:v>-1.1174869401263301E-2</c:v>
                </c:pt>
                <c:pt idx="25">
                  <c:v>-1.1153026801074199E-3</c:v>
                </c:pt>
                <c:pt idx="26">
                  <c:v>6.6284085289451296E-3</c:v>
                </c:pt>
                <c:pt idx="27">
                  <c:v>-2.86411193896528E-3</c:v>
                </c:pt>
                <c:pt idx="28">
                  <c:v>-2.46452951260558E-3</c:v>
                </c:pt>
                <c:pt idx="29">
                  <c:v>-1.51525641545189E-2</c:v>
                </c:pt>
                <c:pt idx="30">
                  <c:v>-8.0442190577313197E-3</c:v>
                </c:pt>
                <c:pt idx="31">
                  <c:v>-2.4517857590393502E-3</c:v>
                </c:pt>
                <c:pt idx="32">
                  <c:v>7.18933451080115E-3</c:v>
                </c:pt>
                <c:pt idx="33">
                  <c:v>-5.31987544779594E-3</c:v>
                </c:pt>
                <c:pt idx="34">
                  <c:v>7.2263546353827602E-3</c:v>
                </c:pt>
                <c:pt idx="35">
                  <c:v>1.6070703208313799E-2</c:v>
                </c:pt>
                <c:pt idx="36">
                  <c:v>1.40192009716197E-2</c:v>
                </c:pt>
                <c:pt idx="37">
                  <c:v>1.69382353165341E-2</c:v>
                </c:pt>
                <c:pt idx="38">
                  <c:v>4.3529009250062797E-3</c:v>
                </c:pt>
                <c:pt idx="39">
                  <c:v>5.5866032138586798E-3</c:v>
                </c:pt>
                <c:pt idx="40">
                  <c:v>1.2464985695529499E-3</c:v>
                </c:pt>
                <c:pt idx="41">
                  <c:v>6.5071904910581502E-3</c:v>
                </c:pt>
                <c:pt idx="42">
                  <c:v>9.8613956928426602E-3</c:v>
                </c:pt>
                <c:pt idx="43">
                  <c:v>1.5838603188657999E-2</c:v>
                </c:pt>
                <c:pt idx="44">
                  <c:v>1.52945894862639E-2</c:v>
                </c:pt>
                <c:pt idx="45">
                  <c:v>9.7131336315680796E-3</c:v>
                </c:pt>
                <c:pt idx="46">
                  <c:v>8.60540606533069E-3</c:v>
                </c:pt>
                <c:pt idx="47">
                  <c:v>4.8685181704022397E-3</c:v>
                </c:pt>
                <c:pt idx="48">
                  <c:v>2.2833986775993402E-3</c:v>
                </c:pt>
                <c:pt idx="49">
                  <c:v>8.0655707784709103E-3</c:v>
                </c:pt>
                <c:pt idx="50">
                  <c:v>7.5424824839509397E-3</c:v>
                </c:pt>
                <c:pt idx="51">
                  <c:v>6.6887424493216696E-4</c:v>
                </c:pt>
                <c:pt idx="52">
                  <c:v>5.4518320814230404E-3</c:v>
                </c:pt>
                <c:pt idx="53">
                  <c:v>4.8426695083597197E-3</c:v>
                </c:pt>
                <c:pt idx="54">
                  <c:v>1.01767484243298E-2</c:v>
                </c:pt>
                <c:pt idx="55">
                  <c:v>-2.0455951604615602E-3</c:v>
                </c:pt>
                <c:pt idx="56">
                  <c:v>8.8530896969747294E-3</c:v>
                </c:pt>
                <c:pt idx="57">
                  <c:v>1.0578932591833999E-2</c:v>
                </c:pt>
                <c:pt idx="58">
                  <c:v>3.3392800288693401E-3</c:v>
                </c:pt>
                <c:pt idx="59">
                  <c:v>-1.3734441272723601E-2</c:v>
                </c:pt>
                <c:pt idx="60">
                  <c:v>1.76587540775727E-2</c:v>
                </c:pt>
                <c:pt idx="61">
                  <c:v>1.4636110478762799E-2</c:v>
                </c:pt>
                <c:pt idx="62">
                  <c:v>1.9716318501715301E-2</c:v>
                </c:pt>
                <c:pt idx="63">
                  <c:v>1.96633468260097E-2</c:v>
                </c:pt>
                <c:pt idx="64">
                  <c:v>1.9473954294245199E-2</c:v>
                </c:pt>
                <c:pt idx="65">
                  <c:v>1.14186300856803E-2</c:v>
                </c:pt>
                <c:pt idx="66">
                  <c:v>1.5823238305360799E-2</c:v>
                </c:pt>
                <c:pt idx="67">
                  <c:v>1.15625792972988E-2</c:v>
                </c:pt>
                <c:pt idx="68">
                  <c:v>1.3097137537496001E-2</c:v>
                </c:pt>
                <c:pt idx="69">
                  <c:v>1.6646006675158798E-2</c:v>
                </c:pt>
                <c:pt idx="70">
                  <c:v>1.6115481195193401E-2</c:v>
                </c:pt>
                <c:pt idx="71">
                  <c:v>1.7060043659779402E-2</c:v>
                </c:pt>
                <c:pt idx="72">
                  <c:v>2.3083591256494299E-2</c:v>
                </c:pt>
                <c:pt idx="73">
                  <c:v>1.8762925486345401E-2</c:v>
                </c:pt>
                <c:pt idx="74">
                  <c:v>1.59580929101075E-2</c:v>
                </c:pt>
                <c:pt idx="75">
                  <c:v>1.8081442729056301E-2</c:v>
                </c:pt>
                <c:pt idx="76">
                  <c:v>1.0161520395276701E-2</c:v>
                </c:pt>
                <c:pt idx="77">
                  <c:v>8.9997770836124508E-3</c:v>
                </c:pt>
                <c:pt idx="78">
                  <c:v>8.9866084171397395E-3</c:v>
                </c:pt>
                <c:pt idx="79">
                  <c:v>-6.7971997279216905E-4</c:v>
                </c:pt>
                <c:pt idx="80">
                  <c:v>-4.7462026502530699E-3</c:v>
                </c:pt>
                <c:pt idx="81">
                  <c:v>-6.41676111307169E-3</c:v>
                </c:pt>
                <c:pt idx="82">
                  <c:v>-4.9889276310005996E-3</c:v>
                </c:pt>
                <c:pt idx="83">
                  <c:v>1.89544019728491E-3</c:v>
                </c:pt>
                <c:pt idx="84">
                  <c:v>2.93311646156848E-3</c:v>
                </c:pt>
                <c:pt idx="85">
                  <c:v>1.08873344698687E-2</c:v>
                </c:pt>
                <c:pt idx="86">
                  <c:v>2.6296249012074898E-3</c:v>
                </c:pt>
                <c:pt idx="87">
                  <c:v>1.1177950598244E-2</c:v>
                </c:pt>
                <c:pt idx="88">
                  <c:v>1.0154469916795099E-2</c:v>
                </c:pt>
                <c:pt idx="89">
                  <c:v>-2.6760755474865001E-3</c:v>
                </c:pt>
                <c:pt idx="90">
                  <c:v>1.9311717723740701E-3</c:v>
                </c:pt>
                <c:pt idx="91">
                  <c:v>1.26526805236939E-3</c:v>
                </c:pt>
                <c:pt idx="92">
                  <c:v>-4.5507819069207896E-3</c:v>
                </c:pt>
                <c:pt idx="93">
                  <c:v>-1.1477659582478501E-2</c:v>
                </c:pt>
                <c:pt idx="94">
                  <c:v>-1.8567295240182399E-2</c:v>
                </c:pt>
                <c:pt idx="95">
                  <c:v>-1.18830370331498E-3</c:v>
                </c:pt>
                <c:pt idx="96">
                  <c:v>1.01843232131922E-3</c:v>
                </c:pt>
                <c:pt idx="97">
                  <c:v>-5.8067844498287799E-3</c:v>
                </c:pt>
                <c:pt idx="98">
                  <c:v>4.82836956946459E-3</c:v>
                </c:pt>
                <c:pt idx="99">
                  <c:v>1.1028593409493199E-2</c:v>
                </c:pt>
                <c:pt idx="100">
                  <c:v>7.5651852840400297E-3</c:v>
                </c:pt>
                <c:pt idx="101">
                  <c:v>1.2709006721366E-2</c:v>
                </c:pt>
                <c:pt idx="102">
                  <c:v>5.5946136421500901E-3</c:v>
                </c:pt>
                <c:pt idx="103">
                  <c:v>-9.3825218687843496E-3</c:v>
                </c:pt>
                <c:pt idx="104">
                  <c:v>-1.27056386637275E-2</c:v>
                </c:pt>
                <c:pt idx="105">
                  <c:v>-9.0001839633194903E-3</c:v>
                </c:pt>
                <c:pt idx="106">
                  <c:v>-2.6867403620891701E-2</c:v>
                </c:pt>
                <c:pt idx="107">
                  <c:v>-1.6860150668579699E-2</c:v>
                </c:pt>
                <c:pt idx="108">
                  <c:v>-7.2795914010582198E-3</c:v>
                </c:pt>
                <c:pt idx="109">
                  <c:v>-4.8120324299071099E-3</c:v>
                </c:pt>
                <c:pt idx="110">
                  <c:v>-2.8822900608035999E-4</c:v>
                </c:pt>
                <c:pt idx="111">
                  <c:v>7.9816173181057794E-3</c:v>
                </c:pt>
                <c:pt idx="112">
                  <c:v>1.9593915038480899E-2</c:v>
                </c:pt>
                <c:pt idx="113">
                  <c:v>1.56420035173232E-2</c:v>
                </c:pt>
                <c:pt idx="114">
                  <c:v>3.2064319122946099E-2</c:v>
                </c:pt>
                <c:pt idx="115">
                  <c:v>3.6845623744668703E-2</c:v>
                </c:pt>
                <c:pt idx="116">
                  <c:v>4.9718310196788601E-2</c:v>
                </c:pt>
                <c:pt idx="117">
                  <c:v>4.4044739303662497E-2</c:v>
                </c:pt>
                <c:pt idx="118">
                  <c:v>3.5964282195196297E-2</c:v>
                </c:pt>
                <c:pt idx="119">
                  <c:v>3.0615915800414801E-2</c:v>
                </c:pt>
                <c:pt idx="120">
                  <c:v>2.9304557872648102E-2</c:v>
                </c:pt>
                <c:pt idx="121">
                  <c:v>2.8751621872418798E-2</c:v>
                </c:pt>
                <c:pt idx="122">
                  <c:v>2.0028791061564102E-2</c:v>
                </c:pt>
                <c:pt idx="123">
                  <c:v>4.6429484101089998E-3</c:v>
                </c:pt>
                <c:pt idx="124">
                  <c:v>-3.9254273178872404E-3</c:v>
                </c:pt>
                <c:pt idx="125">
                  <c:v>-1.7977703859338499E-3</c:v>
                </c:pt>
                <c:pt idx="126">
                  <c:v>5.9668633467794001E-4</c:v>
                </c:pt>
                <c:pt idx="127">
                  <c:v>4.3543621382995399E-3</c:v>
                </c:pt>
                <c:pt idx="128">
                  <c:v>6.7439207265430397E-3</c:v>
                </c:pt>
                <c:pt idx="129">
                  <c:v>4.49789704856362E-4</c:v>
                </c:pt>
                <c:pt idx="130">
                  <c:v>-1.01968839577151E-2</c:v>
                </c:pt>
                <c:pt idx="131">
                  <c:v>-3.6434205595220598E-3</c:v>
                </c:pt>
                <c:pt idx="132">
                  <c:v>-3.97305719452388E-3</c:v>
                </c:pt>
                <c:pt idx="133">
                  <c:v>-2.8166093684418098E-2</c:v>
                </c:pt>
                <c:pt idx="134">
                  <c:v>-1.20610083935882E-2</c:v>
                </c:pt>
                <c:pt idx="135">
                  <c:v>-1.5785493010719999E-2</c:v>
                </c:pt>
                <c:pt idx="136">
                  <c:v>-5.5222051273909802E-3</c:v>
                </c:pt>
                <c:pt idx="137">
                  <c:v>-7.5533307575265801E-3</c:v>
                </c:pt>
                <c:pt idx="138">
                  <c:v>-1.5282179795238699E-2</c:v>
                </c:pt>
                <c:pt idx="139">
                  <c:v>-1.9109490595807299E-2</c:v>
                </c:pt>
                <c:pt idx="140">
                  <c:v>-1.5923650268956601E-2</c:v>
                </c:pt>
                <c:pt idx="141">
                  <c:v>-3.0412667472123098E-2</c:v>
                </c:pt>
                <c:pt idx="142">
                  <c:v>-2.7762724278339999E-2</c:v>
                </c:pt>
                <c:pt idx="143">
                  <c:v>-6.8510377187292002E-3</c:v>
                </c:pt>
                <c:pt idx="144">
                  <c:v>-1.72118135307248E-2</c:v>
                </c:pt>
                <c:pt idx="145">
                  <c:v>-9.4528952362763104E-3</c:v>
                </c:pt>
                <c:pt idx="146">
                  <c:v>6.4508610515932505E-4</c:v>
                </c:pt>
                <c:pt idx="147">
                  <c:v>1.5441234465796399E-3</c:v>
                </c:pt>
                <c:pt idx="148">
                  <c:v>7.0742868198126196E-3</c:v>
                </c:pt>
                <c:pt idx="149">
                  <c:v>1.8162204887787201E-3</c:v>
                </c:pt>
                <c:pt idx="150">
                  <c:v>-5.1322872970315297E-3</c:v>
                </c:pt>
                <c:pt idx="151">
                  <c:v>-2.2803477954870602E-3</c:v>
                </c:pt>
                <c:pt idx="152">
                  <c:v>4.7629398232970199E-4</c:v>
                </c:pt>
                <c:pt idx="153">
                  <c:v>-7.8335527225651194E-3</c:v>
                </c:pt>
                <c:pt idx="154">
                  <c:v>2.0825895071772401E-4</c:v>
                </c:pt>
                <c:pt idx="155">
                  <c:v>-5.4300191936548304E-3</c:v>
                </c:pt>
                <c:pt idx="156">
                  <c:v>-9.54293936267042E-3</c:v>
                </c:pt>
                <c:pt idx="157">
                  <c:v>-1.4468946695859901E-2</c:v>
                </c:pt>
                <c:pt idx="158">
                  <c:v>-2.0809137513606201E-2</c:v>
                </c:pt>
                <c:pt idx="159">
                  <c:v>-1.6120908523545401E-2</c:v>
                </c:pt>
                <c:pt idx="160">
                  <c:v>-1.82025128557959E-2</c:v>
                </c:pt>
                <c:pt idx="161">
                  <c:v>-4.3921539436156502E-3</c:v>
                </c:pt>
                <c:pt idx="162">
                  <c:v>-1.9156345881913199E-3</c:v>
                </c:pt>
                <c:pt idx="163">
                  <c:v>6.11102921169922E-4</c:v>
                </c:pt>
                <c:pt idx="164">
                  <c:v>-6.4996683094199299E-3</c:v>
                </c:pt>
                <c:pt idx="165">
                  <c:v>-4.1076220548670996E-3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5C-4C30-8883-E2A1C3AA9FAC}"/>
            </c:ext>
          </c:extLst>
        </c:ser>
        <c:ser>
          <c:idx val="2"/>
          <c:order val="2"/>
          <c:tx>
            <c:strRef>
              <c:f>XBI_IBB_1!$AG$1</c:f>
              <c:strCache>
                <c:ptCount val="1"/>
                <c:pt idx="0">
                  <c:v>log diff XBI* x 20 dma / IBB*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XBI_IBB_1!$AG$2:$AG$167</c:f>
              <c:numCache>
                <c:formatCode>0.0000%</c:formatCode>
                <c:ptCount val="166"/>
                <c:pt idx="20">
                  <c:v>8.0634701657267202E-3</c:v>
                </c:pt>
                <c:pt idx="21">
                  <c:v>1.15251047753844E-2</c:v>
                </c:pt>
                <c:pt idx="22">
                  <c:v>-9.7075257911902399E-3</c:v>
                </c:pt>
                <c:pt idx="23">
                  <c:v>-2.4042783714620802E-2</c:v>
                </c:pt>
                <c:pt idx="24">
                  <c:v>-1.33830205104177E-2</c:v>
                </c:pt>
                <c:pt idx="25">
                  <c:v>-5.0598588421687596E-3</c:v>
                </c:pt>
                <c:pt idx="26">
                  <c:v>2.0800178797415799E-3</c:v>
                </c:pt>
                <c:pt idx="27">
                  <c:v>-7.5271337820944596E-3</c:v>
                </c:pt>
                <c:pt idx="28">
                  <c:v>-7.3105914795945203E-3</c:v>
                </c:pt>
                <c:pt idx="29">
                  <c:v>-1.9935514635967998E-2</c:v>
                </c:pt>
                <c:pt idx="30">
                  <c:v>-1.3227407620736001E-2</c:v>
                </c:pt>
                <c:pt idx="31">
                  <c:v>-8.7156251376970806E-3</c:v>
                </c:pt>
                <c:pt idx="32">
                  <c:v>-1.8038556565552199E-4</c:v>
                </c:pt>
                <c:pt idx="33">
                  <c:v>-1.1577777653736399E-2</c:v>
                </c:pt>
                <c:pt idx="34">
                  <c:v>3.4727358933112399E-3</c:v>
                </c:pt>
                <c:pt idx="35">
                  <c:v>1.37551482658065E-2</c:v>
                </c:pt>
                <c:pt idx="36">
                  <c:v>1.25897235630986E-2</c:v>
                </c:pt>
                <c:pt idx="37">
                  <c:v>1.56027440972243E-2</c:v>
                </c:pt>
                <c:pt idx="38">
                  <c:v>3.9980401039855602E-3</c:v>
                </c:pt>
                <c:pt idx="39">
                  <c:v>5.9139752753004302E-3</c:v>
                </c:pt>
                <c:pt idx="40">
                  <c:v>3.4413150746421799E-3</c:v>
                </c:pt>
                <c:pt idx="41">
                  <c:v>1.0436832214428E-2</c:v>
                </c:pt>
                <c:pt idx="42">
                  <c:v>1.5717557267639199E-2</c:v>
                </c:pt>
                <c:pt idx="43">
                  <c:v>2.2119995344838599E-2</c:v>
                </c:pt>
                <c:pt idx="44">
                  <c:v>2.28789655448969E-2</c:v>
                </c:pt>
                <c:pt idx="45">
                  <c:v>1.7915078601500899E-2</c:v>
                </c:pt>
                <c:pt idx="46">
                  <c:v>1.66814662981618E-2</c:v>
                </c:pt>
                <c:pt idx="47">
                  <c:v>1.32554381794405E-2</c:v>
                </c:pt>
                <c:pt idx="48">
                  <c:v>1.0046453084379001E-2</c:v>
                </c:pt>
                <c:pt idx="49">
                  <c:v>1.6199726210030099E-2</c:v>
                </c:pt>
                <c:pt idx="50">
                  <c:v>1.55353270121829E-2</c:v>
                </c:pt>
                <c:pt idx="51">
                  <c:v>9.0932802995726796E-3</c:v>
                </c:pt>
                <c:pt idx="52">
                  <c:v>1.3581314479141E-2</c:v>
                </c:pt>
                <c:pt idx="53">
                  <c:v>1.28448316728504E-2</c:v>
                </c:pt>
                <c:pt idx="54">
                  <c:v>1.6726456170466E-2</c:v>
                </c:pt>
                <c:pt idx="55">
                  <c:v>3.7380093571622E-3</c:v>
                </c:pt>
                <c:pt idx="56">
                  <c:v>1.41257550834836E-2</c:v>
                </c:pt>
                <c:pt idx="57">
                  <c:v>1.5856089800037599E-2</c:v>
                </c:pt>
                <c:pt idx="58">
                  <c:v>9.1989944830314103E-3</c:v>
                </c:pt>
                <c:pt idx="59">
                  <c:v>-7.9087805902521308E-3</c:v>
                </c:pt>
                <c:pt idx="60">
                  <c:v>2.2027602151813298E-2</c:v>
                </c:pt>
                <c:pt idx="61">
                  <c:v>1.88229392497446E-2</c:v>
                </c:pt>
                <c:pt idx="62">
                  <c:v>2.4469280175449699E-2</c:v>
                </c:pt>
                <c:pt idx="63">
                  <c:v>2.5009014605377598E-2</c:v>
                </c:pt>
                <c:pt idx="64">
                  <c:v>2.5845892102791399E-2</c:v>
                </c:pt>
                <c:pt idx="65">
                  <c:v>1.8492560510194701E-2</c:v>
                </c:pt>
                <c:pt idx="66">
                  <c:v>2.4302567260479E-2</c:v>
                </c:pt>
                <c:pt idx="67">
                  <c:v>2.0700622591496E-2</c:v>
                </c:pt>
                <c:pt idx="68">
                  <c:v>2.238390033396E-2</c:v>
                </c:pt>
                <c:pt idx="69">
                  <c:v>2.67166375802932E-2</c:v>
                </c:pt>
                <c:pt idx="70">
                  <c:v>2.9284279300548499E-2</c:v>
                </c:pt>
                <c:pt idx="71">
                  <c:v>3.0525834552099399E-2</c:v>
                </c:pt>
                <c:pt idx="72">
                  <c:v>3.6897879382820298E-2</c:v>
                </c:pt>
                <c:pt idx="73">
                  <c:v>3.29335566351244E-2</c:v>
                </c:pt>
                <c:pt idx="74">
                  <c:v>3.0220003918205601E-2</c:v>
                </c:pt>
                <c:pt idx="75">
                  <c:v>3.2490988865903098E-2</c:v>
                </c:pt>
                <c:pt idx="76">
                  <c:v>2.49595706608687E-2</c:v>
                </c:pt>
                <c:pt idx="77">
                  <c:v>2.3797527631697499E-2</c:v>
                </c:pt>
                <c:pt idx="78">
                  <c:v>2.4180912520272501E-2</c:v>
                </c:pt>
                <c:pt idx="79">
                  <c:v>1.44067468035694E-2</c:v>
                </c:pt>
                <c:pt idx="80">
                  <c:v>8.3999203936927398E-3</c:v>
                </c:pt>
                <c:pt idx="81">
                  <c:v>5.7542439724187896E-3</c:v>
                </c:pt>
                <c:pt idx="82">
                  <c:v>5.7446808751608703E-3</c:v>
                </c:pt>
                <c:pt idx="83">
                  <c:v>1.07434574984433E-2</c:v>
                </c:pt>
                <c:pt idx="84">
                  <c:v>1.0450834070367E-2</c:v>
                </c:pt>
                <c:pt idx="85">
                  <c:v>1.7257168852454E-2</c:v>
                </c:pt>
                <c:pt idx="86">
                  <c:v>7.49791250684097E-3</c:v>
                </c:pt>
                <c:pt idx="87">
                  <c:v>1.49610874544585E-2</c:v>
                </c:pt>
                <c:pt idx="88">
                  <c:v>1.3069770792273099E-2</c:v>
                </c:pt>
                <c:pt idx="89">
                  <c:v>-7.2536668053458102E-4</c:v>
                </c:pt>
                <c:pt idx="90">
                  <c:v>3.3404053260888398E-3</c:v>
                </c:pt>
                <c:pt idx="91">
                  <c:v>2.88606464327738E-3</c:v>
                </c:pt>
                <c:pt idx="92">
                  <c:v>-2.4165631232960999E-3</c:v>
                </c:pt>
                <c:pt idx="93">
                  <c:v>-8.7688683467194092E-3</c:v>
                </c:pt>
                <c:pt idx="94">
                  <c:v>-1.62980635396676E-2</c:v>
                </c:pt>
                <c:pt idx="95">
                  <c:v>1.2545527045494499E-4</c:v>
                </c:pt>
                <c:pt idx="96">
                  <c:v>1.5877801520792401E-3</c:v>
                </c:pt>
                <c:pt idx="97">
                  <c:v>-5.3700129808695396E-3</c:v>
                </c:pt>
                <c:pt idx="98">
                  <c:v>3.9786005468077099E-3</c:v>
                </c:pt>
                <c:pt idx="99">
                  <c:v>9.4840775434590196E-3</c:v>
                </c:pt>
                <c:pt idx="100">
                  <c:v>6.4525924133073198E-3</c:v>
                </c:pt>
                <c:pt idx="101">
                  <c:v>1.1289955018660499E-2</c:v>
                </c:pt>
                <c:pt idx="102">
                  <c:v>4.0538560928833501E-3</c:v>
                </c:pt>
                <c:pt idx="103">
                  <c:v>-1.08077653933867E-2</c:v>
                </c:pt>
                <c:pt idx="104">
                  <c:v>-1.3768566247722099E-2</c:v>
                </c:pt>
                <c:pt idx="105">
                  <c:v>-9.0179372645237694E-3</c:v>
                </c:pt>
                <c:pt idx="106">
                  <c:v>-2.6808762874048299E-2</c:v>
                </c:pt>
                <c:pt idx="107">
                  <c:v>-1.8181668317786798E-2</c:v>
                </c:pt>
                <c:pt idx="108">
                  <c:v>-8.4894536392896205E-3</c:v>
                </c:pt>
                <c:pt idx="109">
                  <c:v>-6.3990346433218902E-3</c:v>
                </c:pt>
                <c:pt idx="110">
                  <c:v>-3.3452432730788901E-3</c:v>
                </c:pt>
                <c:pt idx="111">
                  <c:v>4.0645072960506599E-3</c:v>
                </c:pt>
                <c:pt idx="112">
                  <c:v>1.4635135438244001E-2</c:v>
                </c:pt>
                <c:pt idx="113">
                  <c:v>1.05308839666255E-2</c:v>
                </c:pt>
                <c:pt idx="114">
                  <c:v>2.7721026703044001E-2</c:v>
                </c:pt>
                <c:pt idx="115">
                  <c:v>3.4088519538474901E-2</c:v>
                </c:pt>
                <c:pt idx="116">
                  <c:v>4.9338595946333101E-2</c:v>
                </c:pt>
                <c:pt idx="117">
                  <c:v>4.8842877436164098E-2</c:v>
                </c:pt>
                <c:pt idx="118">
                  <c:v>4.4988650859506402E-2</c:v>
                </c:pt>
                <c:pt idx="119">
                  <c:v>4.3461356309507197E-2</c:v>
                </c:pt>
                <c:pt idx="120">
                  <c:v>4.62117915852912E-2</c:v>
                </c:pt>
                <c:pt idx="121">
                  <c:v>4.9598896205449397E-2</c:v>
                </c:pt>
                <c:pt idx="122">
                  <c:v>4.4698938315512103E-2</c:v>
                </c:pt>
                <c:pt idx="123">
                  <c:v>3.1648497231533498E-2</c:v>
                </c:pt>
                <c:pt idx="124">
                  <c:v>2.4540840150978498E-2</c:v>
                </c:pt>
                <c:pt idx="125">
                  <c:v>2.5889156211612401E-2</c:v>
                </c:pt>
                <c:pt idx="126">
                  <c:v>2.7072939152745199E-2</c:v>
                </c:pt>
                <c:pt idx="127">
                  <c:v>2.7138680291320601E-2</c:v>
                </c:pt>
                <c:pt idx="128">
                  <c:v>2.6222693427246001E-2</c:v>
                </c:pt>
                <c:pt idx="129">
                  <c:v>1.72954950306413E-2</c:v>
                </c:pt>
                <c:pt idx="130">
                  <c:v>3.7100085986853798E-3</c:v>
                </c:pt>
                <c:pt idx="131">
                  <c:v>6.4483850549637099E-3</c:v>
                </c:pt>
                <c:pt idx="132">
                  <c:v>2.35534734239149E-3</c:v>
                </c:pt>
                <c:pt idx="133">
                  <c:v>-2.48968805480459E-2</c:v>
                </c:pt>
                <c:pt idx="134">
                  <c:v>-1.22844135087322E-2</c:v>
                </c:pt>
                <c:pt idx="135">
                  <c:v>-1.7462813241405199E-2</c:v>
                </c:pt>
                <c:pt idx="136">
                  <c:v>-8.8757396434730098E-3</c:v>
                </c:pt>
                <c:pt idx="137">
                  <c:v>-1.17023204074097E-2</c:v>
                </c:pt>
                <c:pt idx="138">
                  <c:v>-2.0700775895728898E-2</c:v>
                </c:pt>
                <c:pt idx="139">
                  <c:v>-2.6622028598754299E-2</c:v>
                </c:pt>
                <c:pt idx="140">
                  <c:v>-2.5314877220279801E-2</c:v>
                </c:pt>
                <c:pt idx="141">
                  <c:v>-4.0434469152303698E-2</c:v>
                </c:pt>
                <c:pt idx="142">
                  <c:v>-3.9508497003747797E-2</c:v>
                </c:pt>
                <c:pt idx="143">
                  <c:v>-2.0381120887399701E-2</c:v>
                </c:pt>
                <c:pt idx="144">
                  <c:v>-2.9720836943918499E-2</c:v>
                </c:pt>
                <c:pt idx="145">
                  <c:v>-2.3032618169401199E-2</c:v>
                </c:pt>
                <c:pt idx="146">
                  <c:v>-1.3108021314576401E-2</c:v>
                </c:pt>
                <c:pt idx="147">
                  <c:v>-1.2625376743145299E-2</c:v>
                </c:pt>
                <c:pt idx="148">
                  <c:v>-7.0487784869981201E-3</c:v>
                </c:pt>
                <c:pt idx="149">
                  <c:v>-1.09863227371962E-2</c:v>
                </c:pt>
                <c:pt idx="150">
                  <c:v>-1.6461873853852099E-2</c:v>
                </c:pt>
                <c:pt idx="151">
                  <c:v>-1.2983074673395399E-2</c:v>
                </c:pt>
                <c:pt idx="152">
                  <c:v>-7.5624961455062504E-3</c:v>
                </c:pt>
                <c:pt idx="153">
                  <c:v>-1.29081656434824E-2</c:v>
                </c:pt>
                <c:pt idx="154">
                  <c:v>-5.1262211253936298E-3</c:v>
                </c:pt>
                <c:pt idx="155">
                  <c:v>-8.9181695986024906E-3</c:v>
                </c:pt>
                <c:pt idx="156">
                  <c:v>-1.21341725082515E-2</c:v>
                </c:pt>
                <c:pt idx="157">
                  <c:v>-1.6767390349094299E-2</c:v>
                </c:pt>
                <c:pt idx="158">
                  <c:v>-2.3180958664397299E-2</c:v>
                </c:pt>
                <c:pt idx="159">
                  <c:v>-1.9823601327554501E-2</c:v>
                </c:pt>
                <c:pt idx="160">
                  <c:v>-2.29302738240303E-2</c:v>
                </c:pt>
                <c:pt idx="161">
                  <c:v>-9.6522151332225307E-3</c:v>
                </c:pt>
                <c:pt idx="162">
                  <c:v>-8.1340316415992198E-3</c:v>
                </c:pt>
                <c:pt idx="163">
                  <c:v>-6.9453017428481598E-3</c:v>
                </c:pt>
                <c:pt idx="164">
                  <c:v>-1.3833755049480201E-2</c:v>
                </c:pt>
                <c:pt idx="165">
                  <c:v>-1.28335868404398E-2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5C-4C30-8883-E2A1C3AA9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XBI_IBB_1!$Y$1</c:f>
              <c:strCache>
                <c:ptCount val="1"/>
                <c:pt idx="0">
                  <c:v> IBB*/XBI*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XBI_IBB_1!$Y$2:$Y$167</c:f>
              <c:numCache>
                <c:formatCode>_(* #,##0.0000_);_(* \(#,##0.0000\);_(* "-"??_);_(@_)</c:formatCode>
                <c:ptCount val="166"/>
                <c:pt idx="0">
                  <c:v>1.3022759807794699</c:v>
                </c:pt>
                <c:pt idx="1">
                  <c:v>1.3022759807794699</c:v>
                </c:pt>
                <c:pt idx="2">
                  <c:v>1.3022759807794699</c:v>
                </c:pt>
                <c:pt idx="3">
                  <c:v>1.3022759807794699</c:v>
                </c:pt>
                <c:pt idx="4">
                  <c:v>1.3022759807794699</c:v>
                </c:pt>
                <c:pt idx="5">
                  <c:v>1.3022759807794699</c:v>
                </c:pt>
                <c:pt idx="6">
                  <c:v>1.3022759807794699</c:v>
                </c:pt>
                <c:pt idx="7">
                  <c:v>1.3022759807794699</c:v>
                </c:pt>
                <c:pt idx="8">
                  <c:v>1.3022759807794699</c:v>
                </c:pt>
                <c:pt idx="9">
                  <c:v>1.3022759807794699</c:v>
                </c:pt>
                <c:pt idx="10">
                  <c:v>1.3022759807794699</c:v>
                </c:pt>
                <c:pt idx="11">
                  <c:v>1.3022759807794699</c:v>
                </c:pt>
                <c:pt idx="12">
                  <c:v>1.3022759807794699</c:v>
                </c:pt>
                <c:pt idx="13">
                  <c:v>1.3022759807794699</c:v>
                </c:pt>
                <c:pt idx="14">
                  <c:v>1.3022759807794699</c:v>
                </c:pt>
                <c:pt idx="15">
                  <c:v>1.3022759807794699</c:v>
                </c:pt>
                <c:pt idx="16">
                  <c:v>1.3022759807794699</c:v>
                </c:pt>
                <c:pt idx="17">
                  <c:v>1.3022759807794699</c:v>
                </c:pt>
                <c:pt idx="18">
                  <c:v>1.3022759807794699</c:v>
                </c:pt>
                <c:pt idx="19">
                  <c:v>1.3022759807794699</c:v>
                </c:pt>
                <c:pt idx="20">
                  <c:v>1.3022759807794699</c:v>
                </c:pt>
                <c:pt idx="21">
                  <c:v>1.3022759807794699</c:v>
                </c:pt>
                <c:pt idx="22">
                  <c:v>1.3022759807794699</c:v>
                </c:pt>
                <c:pt idx="23">
                  <c:v>1.3022759807794699</c:v>
                </c:pt>
                <c:pt idx="24">
                  <c:v>1.3022759807794699</c:v>
                </c:pt>
                <c:pt idx="25">
                  <c:v>1.3022759807794699</c:v>
                </c:pt>
                <c:pt idx="26">
                  <c:v>1.3022759807794699</c:v>
                </c:pt>
                <c:pt idx="27">
                  <c:v>1.3022759807794699</c:v>
                </c:pt>
                <c:pt idx="28">
                  <c:v>1.3022759807794699</c:v>
                </c:pt>
                <c:pt idx="29">
                  <c:v>1.3022759807794699</c:v>
                </c:pt>
                <c:pt idx="30">
                  <c:v>1.3022759807794699</c:v>
                </c:pt>
                <c:pt idx="31">
                  <c:v>1.3022759807794699</c:v>
                </c:pt>
                <c:pt idx="32">
                  <c:v>1.3022759807794699</c:v>
                </c:pt>
                <c:pt idx="33">
                  <c:v>1.3022759807794699</c:v>
                </c:pt>
                <c:pt idx="34">
                  <c:v>1.3022759807794699</c:v>
                </c:pt>
                <c:pt idx="35">
                  <c:v>1.3022759807794699</c:v>
                </c:pt>
                <c:pt idx="36">
                  <c:v>1.3022759807794699</c:v>
                </c:pt>
                <c:pt idx="37">
                  <c:v>1.3022759807794699</c:v>
                </c:pt>
                <c:pt idx="38">
                  <c:v>1.3022759807794699</c:v>
                </c:pt>
                <c:pt idx="39">
                  <c:v>1.3022759807794699</c:v>
                </c:pt>
                <c:pt idx="40">
                  <c:v>1.3022759807794699</c:v>
                </c:pt>
                <c:pt idx="41">
                  <c:v>1.3022759807794699</c:v>
                </c:pt>
                <c:pt idx="42">
                  <c:v>1.3022759807794699</c:v>
                </c:pt>
                <c:pt idx="43">
                  <c:v>1.3022759807794699</c:v>
                </c:pt>
                <c:pt idx="44">
                  <c:v>1.3022759807794699</c:v>
                </c:pt>
                <c:pt idx="45">
                  <c:v>1.3022759807794699</c:v>
                </c:pt>
                <c:pt idx="46">
                  <c:v>1.3022759807794699</c:v>
                </c:pt>
                <c:pt idx="47">
                  <c:v>1.3022759807794699</c:v>
                </c:pt>
                <c:pt idx="48">
                  <c:v>1.3022759807794699</c:v>
                </c:pt>
                <c:pt idx="49">
                  <c:v>1.3022759807794699</c:v>
                </c:pt>
                <c:pt idx="50">
                  <c:v>1.3022759807794699</c:v>
                </c:pt>
                <c:pt idx="51">
                  <c:v>1.3022759807794699</c:v>
                </c:pt>
                <c:pt idx="52">
                  <c:v>1.3022759807794699</c:v>
                </c:pt>
                <c:pt idx="53">
                  <c:v>1.3022759807794699</c:v>
                </c:pt>
                <c:pt idx="54">
                  <c:v>1.3022759807794699</c:v>
                </c:pt>
                <c:pt idx="55">
                  <c:v>1.3022759807794699</c:v>
                </c:pt>
                <c:pt idx="56">
                  <c:v>1.3022759807794699</c:v>
                </c:pt>
                <c:pt idx="57">
                  <c:v>1.3022759807794699</c:v>
                </c:pt>
                <c:pt idx="58">
                  <c:v>1.3022759807794699</c:v>
                </c:pt>
                <c:pt idx="59">
                  <c:v>1.3022759807794699</c:v>
                </c:pt>
                <c:pt idx="60">
                  <c:v>1.3022759807794699</c:v>
                </c:pt>
                <c:pt idx="61">
                  <c:v>1.3022759807794699</c:v>
                </c:pt>
                <c:pt idx="62">
                  <c:v>1.3022759807794699</c:v>
                </c:pt>
                <c:pt idx="63">
                  <c:v>1.3022759807794699</c:v>
                </c:pt>
                <c:pt idx="64">
                  <c:v>1.3022759807794699</c:v>
                </c:pt>
                <c:pt idx="65">
                  <c:v>1.3022759807794699</c:v>
                </c:pt>
                <c:pt idx="66">
                  <c:v>1.3022759807794699</c:v>
                </c:pt>
                <c:pt idx="67">
                  <c:v>1.3022759807794699</c:v>
                </c:pt>
                <c:pt idx="68">
                  <c:v>1.3022759807794699</c:v>
                </c:pt>
                <c:pt idx="69">
                  <c:v>1.3022759807794699</c:v>
                </c:pt>
                <c:pt idx="70">
                  <c:v>1.3022759807794699</c:v>
                </c:pt>
                <c:pt idx="71">
                  <c:v>1.3022759807794699</c:v>
                </c:pt>
                <c:pt idx="72">
                  <c:v>1.3022759807794699</c:v>
                </c:pt>
                <c:pt idx="73">
                  <c:v>1.3022759807794699</c:v>
                </c:pt>
                <c:pt idx="74">
                  <c:v>1.3022759807794699</c:v>
                </c:pt>
                <c:pt idx="75">
                  <c:v>1.3022759807794699</c:v>
                </c:pt>
                <c:pt idx="76">
                  <c:v>1.3022759807794699</c:v>
                </c:pt>
                <c:pt idx="77">
                  <c:v>1.3022759807794699</c:v>
                </c:pt>
                <c:pt idx="78">
                  <c:v>1.3022759807794699</c:v>
                </c:pt>
                <c:pt idx="79">
                  <c:v>1.3022759807794699</c:v>
                </c:pt>
                <c:pt idx="80">
                  <c:v>1.3022759807794699</c:v>
                </c:pt>
                <c:pt idx="81">
                  <c:v>1.3022759807794699</c:v>
                </c:pt>
                <c:pt idx="82">
                  <c:v>1.3022759807794699</c:v>
                </c:pt>
                <c:pt idx="83">
                  <c:v>1.3022759807794699</c:v>
                </c:pt>
                <c:pt idx="84">
                  <c:v>1.3022759807794699</c:v>
                </c:pt>
                <c:pt idx="85">
                  <c:v>1.3022759807794699</c:v>
                </c:pt>
                <c:pt idx="86">
                  <c:v>1.3022759807794699</c:v>
                </c:pt>
                <c:pt idx="87">
                  <c:v>1.3022759807794699</c:v>
                </c:pt>
                <c:pt idx="88">
                  <c:v>1.3022759807794699</c:v>
                </c:pt>
                <c:pt idx="89">
                  <c:v>1.3022759807794699</c:v>
                </c:pt>
                <c:pt idx="90">
                  <c:v>1.3022759807794699</c:v>
                </c:pt>
                <c:pt idx="91">
                  <c:v>1.3022759807794699</c:v>
                </c:pt>
                <c:pt idx="92">
                  <c:v>1.3022759807794699</c:v>
                </c:pt>
                <c:pt idx="93">
                  <c:v>1.3022759807794699</c:v>
                </c:pt>
                <c:pt idx="94">
                  <c:v>1.3022759807794699</c:v>
                </c:pt>
                <c:pt idx="95">
                  <c:v>1.3022759807794699</c:v>
                </c:pt>
                <c:pt idx="96">
                  <c:v>1.3022759807794699</c:v>
                </c:pt>
                <c:pt idx="97">
                  <c:v>1.3022759807794699</c:v>
                </c:pt>
                <c:pt idx="98">
                  <c:v>1.3022759807794699</c:v>
                </c:pt>
                <c:pt idx="99">
                  <c:v>1.3022759807794699</c:v>
                </c:pt>
                <c:pt idx="100">
                  <c:v>1.3022759807794699</c:v>
                </c:pt>
                <c:pt idx="101">
                  <c:v>1.3022759807794699</c:v>
                </c:pt>
                <c:pt idx="102">
                  <c:v>1.3022759807794699</c:v>
                </c:pt>
                <c:pt idx="103">
                  <c:v>1.3022759807794699</c:v>
                </c:pt>
                <c:pt idx="104">
                  <c:v>1.3022759807794699</c:v>
                </c:pt>
                <c:pt idx="105">
                  <c:v>1.3022759807794699</c:v>
                </c:pt>
                <c:pt idx="106">
                  <c:v>1.3022759807794699</c:v>
                </c:pt>
                <c:pt idx="107">
                  <c:v>1.3022759807794699</c:v>
                </c:pt>
                <c:pt idx="108">
                  <c:v>1.3022759807794699</c:v>
                </c:pt>
                <c:pt idx="109">
                  <c:v>1.3022759807794699</c:v>
                </c:pt>
                <c:pt idx="110">
                  <c:v>1.3022759807794699</c:v>
                </c:pt>
                <c:pt idx="111">
                  <c:v>1.3022759807794699</c:v>
                </c:pt>
                <c:pt idx="112">
                  <c:v>1.3022759807794699</c:v>
                </c:pt>
                <c:pt idx="113">
                  <c:v>1.3022759807794699</c:v>
                </c:pt>
                <c:pt idx="114">
                  <c:v>1.3022759807794699</c:v>
                </c:pt>
                <c:pt idx="115">
                  <c:v>1.3022759807794699</c:v>
                </c:pt>
                <c:pt idx="116">
                  <c:v>1.3022759807794699</c:v>
                </c:pt>
                <c:pt idx="117">
                  <c:v>1.3022759807794699</c:v>
                </c:pt>
                <c:pt idx="118">
                  <c:v>1.3022759807794699</c:v>
                </c:pt>
                <c:pt idx="119">
                  <c:v>1.3022759807794699</c:v>
                </c:pt>
                <c:pt idx="120">
                  <c:v>1.3022759807794699</c:v>
                </c:pt>
                <c:pt idx="121">
                  <c:v>1.3022759807794699</c:v>
                </c:pt>
                <c:pt idx="122">
                  <c:v>1.3022759807794699</c:v>
                </c:pt>
                <c:pt idx="123">
                  <c:v>1.3022759807794699</c:v>
                </c:pt>
                <c:pt idx="124">
                  <c:v>1.3022759807794699</c:v>
                </c:pt>
                <c:pt idx="125">
                  <c:v>1.3022759807794699</c:v>
                </c:pt>
                <c:pt idx="126">
                  <c:v>1.3022759807794699</c:v>
                </c:pt>
                <c:pt idx="127">
                  <c:v>1.3022759807794699</c:v>
                </c:pt>
                <c:pt idx="128">
                  <c:v>1.3022759807794699</c:v>
                </c:pt>
                <c:pt idx="129">
                  <c:v>1.3022759807794699</c:v>
                </c:pt>
                <c:pt idx="130">
                  <c:v>1.3022759807794699</c:v>
                </c:pt>
                <c:pt idx="131">
                  <c:v>1.3022759807794699</c:v>
                </c:pt>
                <c:pt idx="132">
                  <c:v>1.3022759807794699</c:v>
                </c:pt>
                <c:pt idx="133">
                  <c:v>1.3022759807794699</c:v>
                </c:pt>
                <c:pt idx="134">
                  <c:v>1.3022759807794699</c:v>
                </c:pt>
                <c:pt idx="135">
                  <c:v>1.3022759807794699</c:v>
                </c:pt>
                <c:pt idx="136">
                  <c:v>1.3022759807794699</c:v>
                </c:pt>
                <c:pt idx="137">
                  <c:v>1.3022759807794699</c:v>
                </c:pt>
                <c:pt idx="138">
                  <c:v>1.3022759807794699</c:v>
                </c:pt>
                <c:pt idx="139">
                  <c:v>1.3022759807794699</c:v>
                </c:pt>
                <c:pt idx="140">
                  <c:v>1.3022759807794699</c:v>
                </c:pt>
                <c:pt idx="141">
                  <c:v>1.3022759807794699</c:v>
                </c:pt>
                <c:pt idx="142">
                  <c:v>1.3022759807794699</c:v>
                </c:pt>
                <c:pt idx="143">
                  <c:v>1.3022759807794699</c:v>
                </c:pt>
                <c:pt idx="144">
                  <c:v>1.3022759807794699</c:v>
                </c:pt>
                <c:pt idx="145">
                  <c:v>1.3022759807794699</c:v>
                </c:pt>
                <c:pt idx="146">
                  <c:v>1.3022759807794699</c:v>
                </c:pt>
                <c:pt idx="147">
                  <c:v>1.3022759807794699</c:v>
                </c:pt>
                <c:pt idx="148">
                  <c:v>1.3022759807794699</c:v>
                </c:pt>
                <c:pt idx="149">
                  <c:v>1.3022759807794699</c:v>
                </c:pt>
                <c:pt idx="150">
                  <c:v>1.3022759807794699</c:v>
                </c:pt>
                <c:pt idx="151">
                  <c:v>1.3022759807794699</c:v>
                </c:pt>
                <c:pt idx="152">
                  <c:v>1.3022759807794699</c:v>
                </c:pt>
                <c:pt idx="153">
                  <c:v>1.3022759807794699</c:v>
                </c:pt>
                <c:pt idx="154">
                  <c:v>1.3022759807794699</c:v>
                </c:pt>
                <c:pt idx="155">
                  <c:v>1.3022759807794699</c:v>
                </c:pt>
                <c:pt idx="156">
                  <c:v>1.3022759807794699</c:v>
                </c:pt>
                <c:pt idx="157">
                  <c:v>1.3022759807794699</c:v>
                </c:pt>
                <c:pt idx="158">
                  <c:v>1.3022759807794699</c:v>
                </c:pt>
                <c:pt idx="159">
                  <c:v>1.3022759807794699</c:v>
                </c:pt>
                <c:pt idx="160">
                  <c:v>1.3022759807794699</c:v>
                </c:pt>
                <c:pt idx="161">
                  <c:v>1.3022759807794699</c:v>
                </c:pt>
                <c:pt idx="162">
                  <c:v>1.3022759807794699</c:v>
                </c:pt>
                <c:pt idx="163">
                  <c:v>1.3022759807794699</c:v>
                </c:pt>
                <c:pt idx="164">
                  <c:v>1.3022759807794699</c:v>
                </c:pt>
                <c:pt idx="165">
                  <c:v>1.3022759807794699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C-423D-B10A-1BACFF4E0CF6}"/>
            </c:ext>
          </c:extLst>
        </c:ser>
        <c:ser>
          <c:idx val="1"/>
          <c:order val="1"/>
          <c:tx>
            <c:strRef>
              <c:f>XBI_IBB_1!$Z$1</c:f>
              <c:strCache>
                <c:ptCount val="1"/>
                <c:pt idx="0">
                  <c:v> IBB*/XBI*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XBI_IBB_1!$Z$2:$Z$167</c:f>
              <c:numCache>
                <c:formatCode>_(* #,##0.0000_);_(* \(#,##0.0000\);_(* "-"??_);_(@_)</c:formatCode>
                <c:ptCount val="166"/>
                <c:pt idx="9">
                  <c:v>1.38618200241551</c:v>
                </c:pt>
                <c:pt idx="10">
                  <c:v>1.38397608458996</c:v>
                </c:pt>
                <c:pt idx="11">
                  <c:v>1.3809600565565201</c:v>
                </c:pt>
                <c:pt idx="12">
                  <c:v>1.3773544529460999</c:v>
                </c:pt>
                <c:pt idx="13">
                  <c:v>1.37257726330246</c:v>
                </c:pt>
                <c:pt idx="14">
                  <c:v>1.37026602551152</c:v>
                </c:pt>
                <c:pt idx="15">
                  <c:v>1.36933340153839</c:v>
                </c:pt>
                <c:pt idx="16">
                  <c:v>1.3686627576916099</c:v>
                </c:pt>
                <c:pt idx="17">
                  <c:v>1.3685189842854699</c:v>
                </c:pt>
                <c:pt idx="18">
                  <c:v>1.36972540989165</c:v>
                </c:pt>
                <c:pt idx="19">
                  <c:v>1.3707846123335301</c:v>
                </c:pt>
                <c:pt idx="20">
                  <c:v>1.3706600366561501</c:v>
                </c:pt>
                <c:pt idx="21">
                  <c:v>1.3705537044201801</c:v>
                </c:pt>
                <c:pt idx="22">
                  <c:v>1.3728198316204601</c:v>
                </c:pt>
                <c:pt idx="23">
                  <c:v>1.3786591213363</c:v>
                </c:pt>
                <c:pt idx="24">
                  <c:v>1.38114053668059</c:v>
                </c:pt>
                <c:pt idx="25">
                  <c:v>1.38187547577417</c:v>
                </c:pt>
                <c:pt idx="26">
                  <c:v>1.3815168514501801</c:v>
                </c:pt>
                <c:pt idx="27">
                  <c:v>1.38187993573745</c:v>
                </c:pt>
                <c:pt idx="28">
                  <c:v>1.3829227255105301</c:v>
                </c:pt>
                <c:pt idx="29">
                  <c:v>1.38510599617036</c:v>
                </c:pt>
                <c:pt idx="30">
                  <c:v>1.38799403467403</c:v>
                </c:pt>
                <c:pt idx="31">
                  <c:v>1.3909806172133601</c:v>
                </c:pt>
                <c:pt idx="32">
                  <c:v>1.39016453167746</c:v>
                </c:pt>
                <c:pt idx="33">
                  <c:v>1.3890676349364099</c:v>
                </c:pt>
                <c:pt idx="34">
                  <c:v>1.3875590410038301</c:v>
                </c:pt>
                <c:pt idx="35">
                  <c:v>1.3858346840461699</c:v>
                </c:pt>
                <c:pt idx="36">
                  <c:v>1.3852142649444099</c:v>
                </c:pt>
                <c:pt idx="37">
                  <c:v>1.38286120814695</c:v>
                </c:pt>
                <c:pt idx="38">
                  <c:v>1.38201770940716</c:v>
                </c:pt>
                <c:pt idx="39">
                  <c:v>1.3790458429860799</c:v>
                </c:pt>
                <c:pt idx="40">
                  <c:v>1.37714933377225</c:v>
                </c:pt>
                <c:pt idx="41">
                  <c:v>1.3748309118100699</c:v>
                </c:pt>
                <c:pt idx="42">
                  <c:v>1.3728632654506201</c:v>
                </c:pt>
                <c:pt idx="43">
                  <c:v>1.3682343236743799</c:v>
                </c:pt>
                <c:pt idx="44">
                  <c:v>1.3650744276012501</c:v>
                </c:pt>
                <c:pt idx="45">
                  <c:v>1.3637185523081301</c:v>
                </c:pt>
                <c:pt idx="46">
                  <c:v>1.3622677133186201</c:v>
                </c:pt>
                <c:pt idx="47">
                  <c:v>1.36163799655922</c:v>
                </c:pt>
                <c:pt idx="48">
                  <c:v>1.3598057514401001</c:v>
                </c:pt>
                <c:pt idx="49">
                  <c:v>1.35726213164443</c:v>
                </c:pt>
                <c:pt idx="50">
                  <c:v>1.3542356896802601</c:v>
                </c:pt>
                <c:pt idx="51">
                  <c:v>1.3527470021715</c:v>
                </c:pt>
                <c:pt idx="52">
                  <c:v>1.3511522351237899</c:v>
                </c:pt>
                <c:pt idx="53">
                  <c:v>1.3504856897745501</c:v>
                </c:pt>
                <c:pt idx="54">
                  <c:v>1.34942017697677</c:v>
                </c:pt>
                <c:pt idx="55">
                  <c:v>1.34945056761164</c:v>
                </c:pt>
                <c:pt idx="56">
                  <c:v>1.3480028614560899</c:v>
                </c:pt>
                <c:pt idx="57">
                  <c:v>1.3458194602806</c:v>
                </c:pt>
                <c:pt idx="58">
                  <c:v>1.3440995108984299</c:v>
                </c:pt>
                <c:pt idx="59">
                  <c:v>1.3454800176833801</c:v>
                </c:pt>
                <c:pt idx="60">
                  <c:v>1.3429665730383</c:v>
                </c:pt>
                <c:pt idx="61">
                  <c:v>1.33997894601919</c:v>
                </c:pt>
                <c:pt idx="62">
                  <c:v>1.3368215578728999</c:v>
                </c:pt>
                <c:pt idx="63">
                  <c:v>1.3334382635106701</c:v>
                </c:pt>
                <c:pt idx="64">
                  <c:v>1.33052929602795</c:v>
                </c:pt>
                <c:pt idx="65">
                  <c:v>1.32685324762682</c:v>
                </c:pt>
                <c:pt idx="66">
                  <c:v>1.32369993534064</c:v>
                </c:pt>
                <c:pt idx="67">
                  <c:v>1.32116644532566</c:v>
                </c:pt>
                <c:pt idx="68">
                  <c:v>1.31743073326465</c:v>
                </c:pt>
                <c:pt idx="69">
                  <c:v>1.3107302298610299</c:v>
                </c:pt>
                <c:pt idx="70">
                  <c:v>1.3075149704379301</c:v>
                </c:pt>
                <c:pt idx="71">
                  <c:v>1.3037093698834601</c:v>
                </c:pt>
                <c:pt idx="72">
                  <c:v>1.29972352212039</c:v>
                </c:pt>
                <c:pt idx="73">
                  <c:v>1.2962007560198401</c:v>
                </c:pt>
                <c:pt idx="74">
                  <c:v>1.29299654378441</c:v>
                </c:pt>
                <c:pt idx="75">
                  <c:v>1.2884369950130801</c:v>
                </c:pt>
                <c:pt idx="76">
                  <c:v>1.28537573961486</c:v>
                </c:pt>
                <c:pt idx="77">
                  <c:v>1.2819134245281301</c:v>
                </c:pt>
                <c:pt idx="78">
                  <c:v>1.2785603457479999</c:v>
                </c:pt>
                <c:pt idx="79">
                  <c:v>1.2769350874596499</c:v>
                </c:pt>
                <c:pt idx="80">
                  <c:v>1.27625844850348</c:v>
                </c:pt>
                <c:pt idx="81">
                  <c:v>1.2761660806828801</c:v>
                </c:pt>
                <c:pt idx="82">
                  <c:v>1.2770249735097501</c:v>
                </c:pt>
                <c:pt idx="83">
                  <c:v>1.2769292212210099</c:v>
                </c:pt>
                <c:pt idx="84">
                  <c:v>1.2766801503573499</c:v>
                </c:pt>
                <c:pt idx="85">
                  <c:v>1.27598300034485</c:v>
                </c:pt>
                <c:pt idx="86">
                  <c:v>1.2757051243709601</c:v>
                </c:pt>
                <c:pt idx="87">
                  <c:v>1.2744716456777301</c:v>
                </c:pt>
                <c:pt idx="88">
                  <c:v>1.2735867025133401</c:v>
                </c:pt>
                <c:pt idx="89">
                  <c:v>1.2733436802090901</c:v>
                </c:pt>
                <c:pt idx="90">
                  <c:v>1.2721313724482499</c:v>
                </c:pt>
                <c:pt idx="91">
                  <c:v>1.2707362302362899</c:v>
                </c:pt>
                <c:pt idx="92">
                  <c:v>1.27013458654053</c:v>
                </c:pt>
                <c:pt idx="93">
                  <c:v>1.27115358654317</c:v>
                </c:pt>
                <c:pt idx="94">
                  <c:v>1.27333224833503</c:v>
                </c:pt>
                <c:pt idx="95">
                  <c:v>1.2745312838748299</c:v>
                </c:pt>
                <c:pt idx="96">
                  <c:v>1.27459147080456</c:v>
                </c:pt>
                <c:pt idx="97">
                  <c:v>1.2766404230364501</c:v>
                </c:pt>
                <c:pt idx="98">
                  <c:v>1.2775299871656101</c:v>
                </c:pt>
                <c:pt idx="99">
                  <c:v>1.2761818426965299</c:v>
                </c:pt>
                <c:pt idx="100">
                  <c:v>1.27574951371566</c:v>
                </c:pt>
                <c:pt idx="101">
                  <c:v>1.27466109323301</c:v>
                </c:pt>
                <c:pt idx="102">
                  <c:v>1.2737628448435101</c:v>
                </c:pt>
                <c:pt idx="103">
                  <c:v>1.27386019009497</c:v>
                </c:pt>
                <c:pt idx="104">
                  <c:v>1.2733774612409201</c:v>
                </c:pt>
                <c:pt idx="105">
                  <c:v>1.27438181808933</c:v>
                </c:pt>
                <c:pt idx="106">
                  <c:v>1.2779669516980701</c:v>
                </c:pt>
                <c:pt idx="107">
                  <c:v>1.2797351570409301</c:v>
                </c:pt>
                <c:pt idx="108">
                  <c:v>1.2815945478474</c:v>
                </c:pt>
                <c:pt idx="109">
                  <c:v>1.2840203926313301</c:v>
                </c:pt>
                <c:pt idx="110">
                  <c:v>1.28580307462865</c:v>
                </c:pt>
                <c:pt idx="111">
                  <c:v>1.2873973282612301</c:v>
                </c:pt>
                <c:pt idx="112">
                  <c:v>1.28688412125607</c:v>
                </c:pt>
                <c:pt idx="113">
                  <c:v>1.2849982308531001</c:v>
                </c:pt>
                <c:pt idx="114">
                  <c:v>1.28042828526824</c:v>
                </c:pt>
                <c:pt idx="115">
                  <c:v>1.27535017149778</c:v>
                </c:pt>
                <c:pt idx="116">
                  <c:v>1.26579088480821</c:v>
                </c:pt>
                <c:pt idx="117">
                  <c:v>1.2569461920332901</c:v>
                </c:pt>
                <c:pt idx="118">
                  <c:v>1.24929210758877</c:v>
                </c:pt>
                <c:pt idx="119">
                  <c:v>1.2416768049615401</c:v>
                </c:pt>
                <c:pt idx="120">
                  <c:v>1.2338195506315699</c:v>
                </c:pt>
                <c:pt idx="121">
                  <c:v>1.2261464728596401</c:v>
                </c:pt>
                <c:pt idx="122">
                  <c:v>1.22008795740931</c:v>
                </c:pt>
                <c:pt idx="123">
                  <c:v>1.21484045663468</c:v>
                </c:pt>
                <c:pt idx="124">
                  <c:v>1.21235739627957</c:v>
                </c:pt>
                <c:pt idx="125">
                  <c:v>1.2104004175719201</c:v>
                </c:pt>
                <c:pt idx="126">
                  <c:v>1.21001901893688</c:v>
                </c:pt>
                <c:pt idx="127">
                  <c:v>1.20937023970522</c:v>
                </c:pt>
                <c:pt idx="128">
                  <c:v>1.2082399927154099</c:v>
                </c:pt>
                <c:pt idx="129">
                  <c:v>1.2078473130149701</c:v>
                </c:pt>
                <c:pt idx="130">
                  <c:v>1.20928817352725</c:v>
                </c:pt>
                <c:pt idx="131">
                  <c:v>1.21077335334116</c:v>
                </c:pt>
                <c:pt idx="132">
                  <c:v>1.2121494383899301</c:v>
                </c:pt>
                <c:pt idx="133">
                  <c:v>1.2153834417350899</c:v>
                </c:pt>
                <c:pt idx="134">
                  <c:v>1.2164346768566501</c:v>
                </c:pt>
                <c:pt idx="135">
                  <c:v>1.21855969269854</c:v>
                </c:pt>
                <c:pt idx="136">
                  <c:v>1.22012259667385</c:v>
                </c:pt>
                <c:pt idx="137">
                  <c:v>1.2225837833890401</c:v>
                </c:pt>
                <c:pt idx="138">
                  <c:v>1.2266007074362</c:v>
                </c:pt>
                <c:pt idx="139">
                  <c:v>1.23085762294099</c:v>
                </c:pt>
                <c:pt idx="140">
                  <c:v>1.2338963880307401</c:v>
                </c:pt>
                <c:pt idx="141">
                  <c:v>1.2397260657040301</c:v>
                </c:pt>
                <c:pt idx="142">
                  <c:v>1.2456293725146399</c:v>
                </c:pt>
                <c:pt idx="143">
                  <c:v>1.24637099354364</c:v>
                </c:pt>
                <c:pt idx="144">
                  <c:v>1.2501587966666801</c:v>
                </c:pt>
                <c:pt idx="145">
                  <c:v>1.25278313599909</c:v>
                </c:pt>
                <c:pt idx="146">
                  <c:v>1.2554499160238599</c:v>
                </c:pt>
                <c:pt idx="147">
                  <c:v>1.25786385228179</c:v>
                </c:pt>
                <c:pt idx="148">
                  <c:v>1.2586224263777499</c:v>
                </c:pt>
                <c:pt idx="149">
                  <c:v>1.2592297012887099</c:v>
                </c:pt>
                <c:pt idx="150">
                  <c:v>1.26073918048597</c:v>
                </c:pt>
                <c:pt idx="151">
                  <c:v>1.2599010257796099</c:v>
                </c:pt>
                <c:pt idx="152">
                  <c:v>1.25836848811464</c:v>
                </c:pt>
                <c:pt idx="153">
                  <c:v>1.2597757049699001</c:v>
                </c:pt>
                <c:pt idx="154">
                  <c:v>1.2589261443438899</c:v>
                </c:pt>
                <c:pt idx="155">
                  <c:v>1.25930097257581</c:v>
                </c:pt>
                <c:pt idx="156">
                  <c:v>1.26124104111935</c:v>
                </c:pt>
                <c:pt idx="157">
                  <c:v>1.2638520099122701</c:v>
                </c:pt>
                <c:pt idx="158">
                  <c:v>1.2679950560243201</c:v>
                </c:pt>
                <c:pt idx="159">
                  <c:v>1.2712213937997501</c:v>
                </c:pt>
                <c:pt idx="160">
                  <c:v>1.2741077594442101</c:v>
                </c:pt>
                <c:pt idx="161">
                  <c:v>1.27571763540325</c:v>
                </c:pt>
                <c:pt idx="162">
                  <c:v>1.2776039055092601</c:v>
                </c:pt>
                <c:pt idx="163">
                  <c:v>1.27845977570009</c:v>
                </c:pt>
                <c:pt idx="164">
                  <c:v>1.2811880787777901</c:v>
                </c:pt>
                <c:pt idx="165">
                  <c:v>1.28325615953424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0C-423D-B10A-1BACFF4E0CF6}"/>
            </c:ext>
          </c:extLst>
        </c:ser>
        <c:ser>
          <c:idx val="2"/>
          <c:order val="2"/>
          <c:tx>
            <c:strRef>
              <c:f>XBI_IBB_1!$AA$1</c:f>
              <c:strCache>
                <c:ptCount val="1"/>
                <c:pt idx="0">
                  <c:v> IBB*/XBI*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XBI_IBB_1!$AA$2:$AA$167</c:f>
              <c:numCache>
                <c:formatCode>_(* #,##0.0000_);_(* \(#,##0.0000\);_(* "-"??_);_(@_)</c:formatCode>
                <c:ptCount val="166"/>
                <c:pt idx="19">
                  <c:v>1.37848330737452</c:v>
                </c:pt>
                <c:pt idx="20">
                  <c:v>1.3773180606230599</c:v>
                </c:pt>
                <c:pt idx="21">
                  <c:v>1.37575688048835</c:v>
                </c:pt>
                <c:pt idx="22">
                  <c:v>1.37508714228328</c:v>
                </c:pt>
                <c:pt idx="23">
                  <c:v>1.37561819231938</c:v>
                </c:pt>
                <c:pt idx="24">
                  <c:v>1.3757032810960601</c:v>
                </c:pt>
                <c:pt idx="25">
                  <c:v>1.37560443865628</c:v>
                </c:pt>
                <c:pt idx="26">
                  <c:v>1.3750898045708899</c:v>
                </c:pt>
                <c:pt idx="27">
                  <c:v>1.3751994600114601</c:v>
                </c:pt>
                <c:pt idx="28">
                  <c:v>1.3763240677010899</c:v>
                </c:pt>
                <c:pt idx="29">
                  <c:v>1.3779453042519401</c:v>
                </c:pt>
                <c:pt idx="30">
                  <c:v>1.37932703566509</c:v>
                </c:pt>
                <c:pt idx="31">
                  <c:v>1.38076716081677</c:v>
                </c:pt>
                <c:pt idx="32">
                  <c:v>1.38149218164896</c:v>
                </c:pt>
                <c:pt idx="33">
                  <c:v>1.3838633781363601</c:v>
                </c:pt>
                <c:pt idx="34">
                  <c:v>1.38434978884221</c:v>
                </c:pt>
                <c:pt idx="35">
                  <c:v>1.3838550799101701</c:v>
                </c:pt>
                <c:pt idx="36">
                  <c:v>1.3833655581972899</c:v>
                </c:pt>
                <c:pt idx="37">
                  <c:v>1.3823705719421999</c:v>
                </c:pt>
                <c:pt idx="38">
                  <c:v>1.3824702174588499</c:v>
                </c:pt>
                <c:pt idx="39">
                  <c:v>1.38207591957822</c:v>
                </c:pt>
                <c:pt idx="40">
                  <c:v>1.3825716842231399</c:v>
                </c:pt>
                <c:pt idx="41">
                  <c:v>1.38290576451172</c:v>
                </c:pt>
                <c:pt idx="42">
                  <c:v>1.3815138985640401</c:v>
                </c:pt>
                <c:pt idx="43">
                  <c:v>1.3786509793054</c:v>
                </c:pt>
                <c:pt idx="44">
                  <c:v>1.37631673430254</c:v>
                </c:pt>
                <c:pt idx="45">
                  <c:v>1.3747766181771499</c:v>
                </c:pt>
                <c:pt idx="46">
                  <c:v>1.37374098913151</c:v>
                </c:pt>
                <c:pt idx="47">
                  <c:v>1.3722496023530899</c:v>
                </c:pt>
                <c:pt idx="48">
                  <c:v>1.37091173042363</c:v>
                </c:pt>
                <c:pt idx="49">
                  <c:v>1.36815398731525</c:v>
                </c:pt>
                <c:pt idx="50">
                  <c:v>1.3656925117262499</c:v>
                </c:pt>
                <c:pt idx="51">
                  <c:v>1.36378895699078</c:v>
                </c:pt>
                <c:pt idx="52">
                  <c:v>1.3620077502872101</c:v>
                </c:pt>
                <c:pt idx="53">
                  <c:v>1.35936000672446</c:v>
                </c:pt>
                <c:pt idx="54">
                  <c:v>1.3572473022890099</c:v>
                </c:pt>
                <c:pt idx="55">
                  <c:v>1.35658455995988</c:v>
                </c:pt>
                <c:pt idx="56">
                  <c:v>1.3551352873873601</c:v>
                </c:pt>
                <c:pt idx="57">
                  <c:v>1.35372872841991</c:v>
                </c:pt>
                <c:pt idx="58">
                  <c:v>1.35195263116927</c:v>
                </c:pt>
                <c:pt idx="59">
                  <c:v>1.3513710746639001</c:v>
                </c:pt>
                <c:pt idx="60">
                  <c:v>1.3486011313592801</c:v>
                </c:pt>
                <c:pt idx="61">
                  <c:v>1.34636297409534</c:v>
                </c:pt>
                <c:pt idx="62">
                  <c:v>1.3439868964983499</c:v>
                </c:pt>
                <c:pt idx="63">
                  <c:v>1.3419619766426101</c:v>
                </c:pt>
                <c:pt idx="64">
                  <c:v>1.33997473650236</c:v>
                </c:pt>
                <c:pt idx="65">
                  <c:v>1.3381519076192301</c:v>
                </c:pt>
                <c:pt idx="66">
                  <c:v>1.33585139839837</c:v>
                </c:pt>
                <c:pt idx="67">
                  <c:v>1.3334929528031301</c:v>
                </c:pt>
                <c:pt idx="68">
                  <c:v>1.33076512208154</c:v>
                </c:pt>
                <c:pt idx="69">
                  <c:v>1.3281051237721999</c:v>
                </c:pt>
                <c:pt idx="70">
                  <c:v>1.32524077173812</c:v>
                </c:pt>
                <c:pt idx="71">
                  <c:v>1.32184415795132</c:v>
                </c:pt>
                <c:pt idx="72">
                  <c:v>1.31827253999664</c:v>
                </c:pt>
                <c:pt idx="73">
                  <c:v>1.31481950976526</c:v>
                </c:pt>
                <c:pt idx="74">
                  <c:v>1.31176291990618</c:v>
                </c:pt>
                <c:pt idx="75">
                  <c:v>1.30764512131995</c:v>
                </c:pt>
                <c:pt idx="76">
                  <c:v>1.3045378374777501</c:v>
                </c:pt>
                <c:pt idx="77">
                  <c:v>1.3015399349268999</c:v>
                </c:pt>
                <c:pt idx="78">
                  <c:v>1.2979955395063301</c:v>
                </c:pt>
                <c:pt idx="79">
                  <c:v>1.2938326586603399</c:v>
                </c:pt>
                <c:pt idx="80">
                  <c:v>1.2918867094707001</c:v>
                </c:pt>
                <c:pt idx="81">
                  <c:v>1.2899377252831701</c:v>
                </c:pt>
                <c:pt idx="82">
                  <c:v>1.2883742478150699</c:v>
                </c:pt>
                <c:pt idx="83">
                  <c:v>1.28656498862043</c:v>
                </c:pt>
                <c:pt idx="84">
                  <c:v>1.28483834707088</c:v>
                </c:pt>
                <c:pt idx="85">
                  <c:v>1.28220999767897</c:v>
                </c:pt>
                <c:pt idx="86">
                  <c:v>1.2805404319929099</c:v>
                </c:pt>
                <c:pt idx="87">
                  <c:v>1.27819253510293</c:v>
                </c:pt>
                <c:pt idx="88">
                  <c:v>1.27607352413067</c:v>
                </c:pt>
                <c:pt idx="89">
                  <c:v>1.2751393838343701</c:v>
                </c:pt>
                <c:pt idx="90">
                  <c:v>1.2741949104758601</c:v>
                </c:pt>
                <c:pt idx="91">
                  <c:v>1.27345115545959</c:v>
                </c:pt>
                <c:pt idx="92">
                  <c:v>1.2735797800251401</c:v>
                </c:pt>
                <c:pt idx="93">
                  <c:v>1.27404140388209</c:v>
                </c:pt>
                <c:pt idx="94">
                  <c:v>1.2750061993461901</c:v>
                </c:pt>
                <c:pt idx="95">
                  <c:v>1.27525714210984</c:v>
                </c:pt>
                <c:pt idx="96">
                  <c:v>1.2751482975877599</c:v>
                </c:pt>
                <c:pt idx="97">
                  <c:v>1.27555603435709</c:v>
                </c:pt>
                <c:pt idx="98">
                  <c:v>1.2755583448394701</c:v>
                </c:pt>
                <c:pt idx="99">
                  <c:v>1.2747627614528101</c:v>
                </c:pt>
                <c:pt idx="100">
                  <c:v>1.2739404430819601</c:v>
                </c:pt>
                <c:pt idx="101">
                  <c:v>1.2726986617346501</c:v>
                </c:pt>
                <c:pt idx="102">
                  <c:v>1.2719487156920199</c:v>
                </c:pt>
                <c:pt idx="103">
                  <c:v>1.27250688831907</c:v>
                </c:pt>
                <c:pt idx="104">
                  <c:v>1.2733548547879801</c:v>
                </c:pt>
                <c:pt idx="105">
                  <c:v>1.27445655098208</c:v>
                </c:pt>
                <c:pt idx="106">
                  <c:v>1.2762792112513199</c:v>
                </c:pt>
                <c:pt idx="107">
                  <c:v>1.27818779003869</c:v>
                </c:pt>
                <c:pt idx="108">
                  <c:v>1.2795622675064999</c:v>
                </c:pt>
                <c:pt idx="109">
                  <c:v>1.2801011176639301</c:v>
                </c:pt>
                <c:pt idx="110">
                  <c:v>1.2807762941721501</c:v>
                </c:pt>
                <c:pt idx="111">
                  <c:v>1.28102921074712</c:v>
                </c:pt>
                <c:pt idx="112">
                  <c:v>1.28032348304979</c:v>
                </c:pt>
                <c:pt idx="113">
                  <c:v>1.2794292104740299</c:v>
                </c:pt>
                <c:pt idx="114">
                  <c:v>1.27690287325458</c:v>
                </c:pt>
                <c:pt idx="115">
                  <c:v>1.2748659947935499</c:v>
                </c:pt>
                <c:pt idx="116">
                  <c:v>1.27187891825314</c:v>
                </c:pt>
                <c:pt idx="117">
                  <c:v>1.26834067453711</c:v>
                </c:pt>
                <c:pt idx="118">
                  <c:v>1.2654433277180901</c:v>
                </c:pt>
                <c:pt idx="119">
                  <c:v>1.26284859879643</c:v>
                </c:pt>
                <c:pt idx="120">
                  <c:v>1.25981131263011</c:v>
                </c:pt>
                <c:pt idx="121">
                  <c:v>1.2567719005604401</c:v>
                </c:pt>
                <c:pt idx="122">
                  <c:v>1.2534860393326901</c:v>
                </c:pt>
                <c:pt idx="123">
                  <c:v>1.24991934374389</c:v>
                </c:pt>
                <c:pt idx="124">
                  <c:v>1.24639284077391</c:v>
                </c:pt>
                <c:pt idx="125">
                  <c:v>1.24287529453485</c:v>
                </c:pt>
                <c:pt idx="126">
                  <c:v>1.23790495187255</c:v>
                </c:pt>
                <c:pt idx="127">
                  <c:v>1.23315821586925</c:v>
                </c:pt>
                <c:pt idx="128">
                  <c:v>1.2287660501520901</c:v>
                </c:pt>
                <c:pt idx="129">
                  <c:v>1.22476205898825</c:v>
                </c:pt>
                <c:pt idx="130">
                  <c:v>1.22155386207941</c:v>
                </c:pt>
                <c:pt idx="131">
                  <c:v>1.2184599131003999</c:v>
                </c:pt>
                <c:pt idx="132">
                  <c:v>1.2161186978996199</c:v>
                </c:pt>
                <c:pt idx="133">
                  <c:v>1.2151119491848901</c:v>
                </c:pt>
                <c:pt idx="134">
                  <c:v>1.2143960365681099</c:v>
                </c:pt>
                <c:pt idx="135">
                  <c:v>1.2144800551352299</c:v>
                </c:pt>
                <c:pt idx="136">
                  <c:v>1.21507080780537</c:v>
                </c:pt>
                <c:pt idx="137">
                  <c:v>1.21597701154713</c:v>
                </c:pt>
                <c:pt idx="138">
                  <c:v>1.2174203500758001</c:v>
                </c:pt>
                <c:pt idx="139">
                  <c:v>1.2193524679779799</c:v>
                </c:pt>
                <c:pt idx="140">
                  <c:v>1.2215922807790001</c:v>
                </c:pt>
                <c:pt idx="141">
                  <c:v>1.22524970952259</c:v>
                </c:pt>
                <c:pt idx="142">
                  <c:v>1.2288894054522801</c:v>
                </c:pt>
                <c:pt idx="143">
                  <c:v>1.2308772176393601</c:v>
                </c:pt>
                <c:pt idx="144">
                  <c:v>1.2332967367616701</c:v>
                </c:pt>
                <c:pt idx="145">
                  <c:v>1.2356714143488201</c:v>
                </c:pt>
                <c:pt idx="146">
                  <c:v>1.23778625634886</c:v>
                </c:pt>
                <c:pt idx="147">
                  <c:v>1.2402238178354099</c:v>
                </c:pt>
                <c:pt idx="148">
                  <c:v>1.2426115669069699</c:v>
                </c:pt>
                <c:pt idx="149">
                  <c:v>1.24504366211485</c:v>
                </c:pt>
                <c:pt idx="150">
                  <c:v>1.24731778425836</c:v>
                </c:pt>
                <c:pt idx="151">
                  <c:v>1.24981354574182</c:v>
                </c:pt>
                <c:pt idx="152">
                  <c:v>1.2519989303146399</c:v>
                </c:pt>
                <c:pt idx="153">
                  <c:v>1.2530733492567701</c:v>
                </c:pt>
                <c:pt idx="154">
                  <c:v>1.2545424705052901</c:v>
                </c:pt>
                <c:pt idx="155">
                  <c:v>1.25604205428745</c:v>
                </c:pt>
                <c:pt idx="156">
                  <c:v>1.2583454785716099</c:v>
                </c:pt>
                <c:pt idx="157">
                  <c:v>1.26085793109703</c:v>
                </c:pt>
                <c:pt idx="158">
                  <c:v>1.26330874120103</c:v>
                </c:pt>
                <c:pt idx="159">
                  <c:v>1.26522554754423</c:v>
                </c:pt>
                <c:pt idx="160">
                  <c:v>1.2674234699650899</c:v>
                </c:pt>
                <c:pt idx="161">
                  <c:v>1.26780933059143</c:v>
                </c:pt>
                <c:pt idx="162">
                  <c:v>1.2679861968119499</c:v>
                </c:pt>
                <c:pt idx="163">
                  <c:v>1.26911774033499</c:v>
                </c:pt>
                <c:pt idx="164">
                  <c:v>1.2700571115608399</c:v>
                </c:pt>
                <c:pt idx="165">
                  <c:v>1.2712785660550301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0C-423D-B10A-1BACFF4E0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XBI_IBB_1!$U$1</c:f>
              <c:strCache>
                <c:ptCount val="1"/>
                <c:pt idx="0">
                  <c:v>log diff XBI x avg / IBB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XBI_IBB_1!$U$2:$U$167</c:f>
              <c:numCache>
                <c:formatCode>0.0000%</c:formatCode>
                <c:ptCount val="166"/>
                <c:pt idx="1">
                  <c:v>-6.7193776231800603E-2</c:v>
                </c:pt>
                <c:pt idx="2">
                  <c:v>-7.4214671142807206E-2</c:v>
                </c:pt>
                <c:pt idx="3">
                  <c:v>-7.0897998312877797E-2</c:v>
                </c:pt>
                <c:pt idx="4">
                  <c:v>-6.69719140331132E-2</c:v>
                </c:pt>
                <c:pt idx="5">
                  <c:v>-6.1360703548950797E-2</c:v>
                </c:pt>
                <c:pt idx="6">
                  <c:v>-6.0190183633722402E-2</c:v>
                </c:pt>
                <c:pt idx="7">
                  <c:v>-6.0369064358627503E-2</c:v>
                </c:pt>
                <c:pt idx="8">
                  <c:v>-4.5446761687341901E-2</c:v>
                </c:pt>
                <c:pt idx="9">
                  <c:v>-5.1894038274891897E-2</c:v>
                </c:pt>
                <c:pt idx="10">
                  <c:v>-4.9738056856689999E-2</c:v>
                </c:pt>
                <c:pt idx="11">
                  <c:v>-4.5300804842807699E-2</c:v>
                </c:pt>
                <c:pt idx="12">
                  <c:v>-4.81713834039426E-2</c:v>
                </c:pt>
                <c:pt idx="13">
                  <c:v>-3.61270685929806E-2</c:v>
                </c:pt>
                <c:pt idx="14">
                  <c:v>-5.0234264927200602E-2</c:v>
                </c:pt>
                <c:pt idx="15">
                  <c:v>-5.46025111282364E-2</c:v>
                </c:pt>
                <c:pt idx="16">
                  <c:v>-5.5329328590525001E-2</c:v>
                </c:pt>
                <c:pt idx="17">
                  <c:v>-5.9329162632311999E-2</c:v>
                </c:pt>
                <c:pt idx="18">
                  <c:v>-5.4260373292088299E-2</c:v>
                </c:pt>
                <c:pt idx="19">
                  <c:v>-5.9586689927238E-2</c:v>
                </c:pt>
                <c:pt idx="20">
                  <c:v>-4.8827439521829399E-2</c:v>
                </c:pt>
                <c:pt idx="21">
                  <c:v>-4.4520136690624698E-2</c:v>
                </c:pt>
                <c:pt idx="22">
                  <c:v>-6.4618631546812494E-2</c:v>
                </c:pt>
                <c:pt idx="23">
                  <c:v>-7.8466956577821698E-2</c:v>
                </c:pt>
                <c:pt idx="24">
                  <c:v>-6.8193312552589397E-2</c:v>
                </c:pt>
                <c:pt idx="25">
                  <c:v>-5.9932003908445101E-2</c:v>
                </c:pt>
                <c:pt idx="26">
                  <c:v>-5.2720275943498401E-2</c:v>
                </c:pt>
                <c:pt idx="27">
                  <c:v>-6.1953242729891798E-2</c:v>
                </c:pt>
                <c:pt idx="28">
                  <c:v>-6.1816441451023697E-2</c:v>
                </c:pt>
                <c:pt idx="29">
                  <c:v>-7.52588082824589E-2</c:v>
                </c:pt>
                <c:pt idx="30">
                  <c:v>-6.9727954846418805E-2</c:v>
                </c:pt>
                <c:pt idx="31">
                  <c:v>-6.6218417595962795E-2</c:v>
                </c:pt>
                <c:pt idx="32">
                  <c:v>-5.8726711454199297E-2</c:v>
                </c:pt>
                <c:pt idx="33">
                  <c:v>-7.0649051245554401E-2</c:v>
                </c:pt>
                <c:pt idx="34">
                  <c:v>-5.7313468756932003E-2</c:v>
                </c:pt>
                <c:pt idx="35">
                  <c:v>-4.7382482146488401E-2</c:v>
                </c:pt>
                <c:pt idx="36">
                  <c:v>-4.8190484649060603E-2</c:v>
                </c:pt>
                <c:pt idx="37">
                  <c:v>-4.4823663835157797E-2</c:v>
                </c:pt>
                <c:pt idx="38">
                  <c:v>-5.5708858626358999E-2</c:v>
                </c:pt>
                <c:pt idx="39">
                  <c:v>-5.3865003928591997E-2</c:v>
                </c:pt>
                <c:pt idx="40">
                  <c:v>-5.6052410880609999E-2</c:v>
                </c:pt>
                <c:pt idx="41">
                  <c:v>-4.9415539558505098E-2</c:v>
                </c:pt>
                <c:pt idx="42">
                  <c:v>-4.4376422181652102E-2</c:v>
                </c:pt>
                <c:pt idx="43">
                  <c:v>-3.6966998020623199E-2</c:v>
                </c:pt>
                <c:pt idx="44">
                  <c:v>-3.4133571828258803E-2</c:v>
                </c:pt>
                <c:pt idx="45">
                  <c:v>-3.7402886780915801E-2</c:v>
                </c:pt>
                <c:pt idx="46">
                  <c:v>-3.7516859661698702E-2</c:v>
                </c:pt>
                <c:pt idx="47">
                  <c:v>-4.0189296759651903E-2</c:v>
                </c:pt>
                <c:pt idx="48">
                  <c:v>-4.2312053132958799E-2</c:v>
                </c:pt>
                <c:pt idx="49">
                  <c:v>-3.5183356491714397E-2</c:v>
                </c:pt>
                <c:pt idx="50">
                  <c:v>-3.3105675301423998E-2</c:v>
                </c:pt>
                <c:pt idx="51">
                  <c:v>-3.7731907855908998E-2</c:v>
                </c:pt>
                <c:pt idx="52">
                  <c:v>-3.1852136030750301E-2</c:v>
                </c:pt>
                <c:pt idx="53">
                  <c:v>-3.1268826672834898E-2</c:v>
                </c:pt>
                <c:pt idx="54">
                  <c:v>-2.6194617074423401E-2</c:v>
                </c:pt>
                <c:pt idx="55">
                  <c:v>-3.76276643609905E-2</c:v>
                </c:pt>
                <c:pt idx="56">
                  <c:v>-2.6751500504184501E-2</c:v>
                </c:pt>
                <c:pt idx="57">
                  <c:v>-2.3952270184767199E-2</c:v>
                </c:pt>
                <c:pt idx="58">
                  <c:v>-2.9570879194859599E-2</c:v>
                </c:pt>
                <c:pt idx="59">
                  <c:v>-4.5365789026667602E-2</c:v>
                </c:pt>
                <c:pt idx="60">
                  <c:v>-1.4999153323717001E-2</c:v>
                </c:pt>
                <c:pt idx="61">
                  <c:v>-1.6151984528973599E-2</c:v>
                </c:pt>
                <c:pt idx="62">
                  <c:v>-8.8446509585227307E-3</c:v>
                </c:pt>
                <c:pt idx="63">
                  <c:v>-6.53854536567484E-3</c:v>
                </c:pt>
                <c:pt idx="64">
                  <c:v>-4.1938802408682703E-3</c:v>
                </c:pt>
                <c:pt idx="65">
                  <c:v>-1.0065267465281301E-2</c:v>
                </c:pt>
                <c:pt idx="66">
                  <c:v>-2.8939888956716099E-3</c:v>
                </c:pt>
                <c:pt idx="67">
                  <c:v>-4.7752851396743604E-3</c:v>
                </c:pt>
                <c:pt idx="68">
                  <c:v>-1.32494710177912E-3</c:v>
                </c:pt>
                <c:pt idx="69">
                  <c:v>5.0555134492120497E-3</c:v>
                </c:pt>
                <c:pt idx="70">
                  <c:v>9.6240043654018705E-3</c:v>
                </c:pt>
                <c:pt idx="71">
                  <c:v>1.30246095558348E-2</c:v>
                </c:pt>
                <c:pt idx="72">
                  <c:v>2.19629609019606E-2</c:v>
                </c:pt>
                <c:pt idx="73">
                  <c:v>2.0704291382630899E-2</c:v>
                </c:pt>
                <c:pt idx="74">
                  <c:v>2.0613535093332799E-2</c:v>
                </c:pt>
                <c:pt idx="75">
                  <c:v>2.52119484166425E-2</c:v>
                </c:pt>
                <c:pt idx="76">
                  <c:v>2.0824600866898298E-2</c:v>
                </c:pt>
                <c:pt idx="77">
                  <c:v>2.20416295618849E-2</c:v>
                </c:pt>
                <c:pt idx="78">
                  <c:v>2.4725716221509899E-2</c:v>
                </c:pt>
                <c:pt idx="79">
                  <c:v>1.7678497416551E-2</c:v>
                </c:pt>
                <c:pt idx="80">
                  <c:v>1.4883986104295E-2</c:v>
                </c:pt>
                <c:pt idx="81">
                  <c:v>1.37434610780227E-2</c:v>
                </c:pt>
                <c:pt idx="82">
                  <c:v>1.52436710943127E-2</c:v>
                </c:pt>
                <c:pt idx="83">
                  <c:v>2.1455239401496601E-2</c:v>
                </c:pt>
                <c:pt idx="84">
                  <c:v>2.2567899225767098E-2</c:v>
                </c:pt>
                <c:pt idx="85">
                  <c:v>3.07171908167597E-2</c:v>
                </c:pt>
                <c:pt idx="86">
                  <c:v>2.3005695134281901E-2</c:v>
                </c:pt>
                <c:pt idx="87">
                  <c:v>3.1771818588255403E-2</c:v>
                </c:pt>
                <c:pt idx="88">
                  <c:v>3.1715705192018898E-2</c:v>
                </c:pt>
                <c:pt idx="89">
                  <c:v>1.9579761717989901E-2</c:v>
                </c:pt>
                <c:pt idx="90">
                  <c:v>2.4377844489529499E-2</c:v>
                </c:pt>
                <c:pt idx="91">
                  <c:v>2.4664460694031502E-2</c:v>
                </c:pt>
                <c:pt idx="92">
                  <c:v>1.9945709194536299E-2</c:v>
                </c:pt>
                <c:pt idx="93">
                  <c:v>1.3492404361039E-2</c:v>
                </c:pt>
                <c:pt idx="94">
                  <c:v>5.6008131690943701E-3</c:v>
                </c:pt>
                <c:pt idx="95">
                  <c:v>2.12673468927514E-2</c:v>
                </c:pt>
                <c:pt idx="96">
                  <c:v>2.2532874243405599E-2</c:v>
                </c:pt>
                <c:pt idx="97">
                  <c:v>1.56604357920683E-2</c:v>
                </c:pt>
                <c:pt idx="98">
                  <c:v>2.4689344077792299E-2</c:v>
                </c:pt>
                <c:pt idx="99">
                  <c:v>3.0193009722977199E-2</c:v>
                </c:pt>
                <c:pt idx="100">
                  <c:v>2.77854330179341E-2</c:v>
                </c:pt>
                <c:pt idx="101">
                  <c:v>3.3268079387927002E-2</c:v>
                </c:pt>
                <c:pt idx="102">
                  <c:v>2.7007212047475498E-2</c:v>
                </c:pt>
                <c:pt idx="103">
                  <c:v>1.2735020806822501E-2</c:v>
                </c:pt>
                <c:pt idx="104">
                  <c:v>9.3354835602149893E-3</c:v>
                </c:pt>
                <c:pt idx="105">
                  <c:v>1.34199597151534E-2</c:v>
                </c:pt>
                <c:pt idx="106">
                  <c:v>-5.2356836436542103E-3</c:v>
                </c:pt>
                <c:pt idx="107">
                  <c:v>1.9622855547866201E-3</c:v>
                </c:pt>
                <c:pt idx="108">
                  <c:v>1.01601930908912E-2</c:v>
                </c:pt>
                <c:pt idx="109">
                  <c:v>1.11758568768516E-2</c:v>
                </c:pt>
                <c:pt idx="110">
                  <c:v>1.3808616193813201E-2</c:v>
                </c:pt>
                <c:pt idx="111">
                  <c:v>2.0691065830263099E-2</c:v>
                </c:pt>
                <c:pt idx="112">
                  <c:v>3.1202317074155099E-2</c:v>
                </c:pt>
                <c:pt idx="113">
                  <c:v>2.7649712091931799E-2</c:v>
                </c:pt>
                <c:pt idx="114">
                  <c:v>4.5536973943687602E-2</c:v>
                </c:pt>
                <c:pt idx="115">
                  <c:v>5.3880842451084099E-2</c:v>
                </c:pt>
                <c:pt idx="116">
                  <c:v>7.0590457435432005E-2</c:v>
                </c:pt>
                <c:pt idx="117">
                  <c:v>7.24405395548256E-2</c:v>
                </c:pt>
                <c:pt idx="118">
                  <c:v>7.1372092612579596E-2</c:v>
                </c:pt>
                <c:pt idx="119">
                  <c:v>7.2131771284657503E-2</c:v>
                </c:pt>
                <c:pt idx="120">
                  <c:v>7.69347621260415E-2</c:v>
                </c:pt>
                <c:pt idx="121">
                  <c:v>8.2729870790031995E-2</c:v>
                </c:pt>
                <c:pt idx="122">
                  <c:v>8.0245420983889995E-2</c:v>
                </c:pt>
                <c:pt idx="123">
                  <c:v>6.9812928479780198E-2</c:v>
                </c:pt>
                <c:pt idx="124">
                  <c:v>6.5554748376653593E-2</c:v>
                </c:pt>
                <c:pt idx="125">
                  <c:v>6.9728436470307395E-2</c:v>
                </c:pt>
                <c:pt idx="126">
                  <c:v>7.3738390309187302E-2</c:v>
                </c:pt>
                <c:pt idx="127">
                  <c:v>7.7811216976696101E-2</c:v>
                </c:pt>
                <c:pt idx="128">
                  <c:v>8.0737092112511205E-2</c:v>
                </c:pt>
                <c:pt idx="129">
                  <c:v>7.5377972911171695E-2</c:v>
                </c:pt>
                <c:pt idx="130">
                  <c:v>6.5056353482331297E-2</c:v>
                </c:pt>
                <c:pt idx="131">
                  <c:v>7.04176117344152E-2</c:v>
                </c:pt>
                <c:pt idx="132">
                  <c:v>6.8860584817084902E-2</c:v>
                </c:pt>
                <c:pt idx="133">
                  <c:v>4.3531659720731801E-2</c:v>
                </c:pt>
                <c:pt idx="134">
                  <c:v>5.6972307149666397E-2</c:v>
                </c:pt>
                <c:pt idx="135">
                  <c:v>5.2383255253425097E-2</c:v>
                </c:pt>
                <c:pt idx="136">
                  <c:v>6.0901145769155597E-2</c:v>
                </c:pt>
                <c:pt idx="137">
                  <c:v>5.7588258922239101E-2</c:v>
                </c:pt>
                <c:pt idx="138">
                  <c:v>4.7844278169856799E-2</c:v>
                </c:pt>
                <c:pt idx="139">
                  <c:v>4.0736750902143501E-2</c:v>
                </c:pt>
                <c:pt idx="140">
                  <c:v>4.0458101345246099E-2</c:v>
                </c:pt>
                <c:pt idx="141">
                  <c:v>2.35033073417352E-2</c:v>
                </c:pt>
                <c:pt idx="142">
                  <c:v>2.14397677179608E-2</c:v>
                </c:pt>
                <c:pt idx="143">
                  <c:v>3.76009724579296E-2</c:v>
                </c:pt>
                <c:pt idx="144">
                  <c:v>2.66449952478948E-2</c:v>
                </c:pt>
                <c:pt idx="145">
                  <c:v>3.1369456637895102E-2</c:v>
                </c:pt>
                <c:pt idx="146">
                  <c:v>3.9370433442507E-2</c:v>
                </c:pt>
                <c:pt idx="147">
                  <c:v>3.8143048737558201E-2</c:v>
                </c:pt>
                <c:pt idx="148">
                  <c:v>4.1752292382709597E-2</c:v>
                </c:pt>
                <c:pt idx="149">
                  <c:v>3.5891342479157901E-2</c:v>
                </c:pt>
                <c:pt idx="150">
                  <c:v>2.8460459325816499E-2</c:v>
                </c:pt>
                <c:pt idx="151">
                  <c:v>3.01143845274894E-2</c:v>
                </c:pt>
                <c:pt idx="152">
                  <c:v>3.3536059525968803E-2</c:v>
                </c:pt>
                <c:pt idx="153">
                  <c:v>2.6443348513426699E-2</c:v>
                </c:pt>
                <c:pt idx="154">
                  <c:v>3.3367498215152801E-2</c:v>
                </c:pt>
                <c:pt idx="155">
                  <c:v>2.8403822075348702E-2</c:v>
                </c:pt>
                <c:pt idx="156">
                  <c:v>2.3993209746505401E-2</c:v>
                </c:pt>
                <c:pt idx="157">
                  <c:v>1.7527796272791E-2</c:v>
                </c:pt>
                <c:pt idx="158">
                  <c:v>9.1195868349953097E-3</c:v>
                </c:pt>
                <c:pt idx="159">
                  <c:v>1.0535066956641101E-2</c:v>
                </c:pt>
                <c:pt idx="160">
                  <c:v>5.9122538890011098E-3</c:v>
                </c:pt>
                <c:pt idx="161">
                  <c:v>1.7454641385382001E-2</c:v>
                </c:pt>
                <c:pt idx="162">
                  <c:v>1.8668426299303799E-2</c:v>
                </c:pt>
                <c:pt idx="163">
                  <c:v>1.9717660549533299E-2</c:v>
                </c:pt>
                <c:pt idx="164">
                  <c:v>1.19372109935501E-2</c:v>
                </c:pt>
                <c:pt idx="165">
                  <c:v>1.2197476420391999E-2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BC-4F59-834E-E74B0934C6C4}"/>
            </c:ext>
          </c:extLst>
        </c:ser>
        <c:ser>
          <c:idx val="1"/>
          <c:order val="1"/>
          <c:tx>
            <c:strRef>
              <c:f>XBI_IBB_1!$V$1</c:f>
              <c:strCache>
                <c:ptCount val="1"/>
                <c:pt idx="0">
                  <c:v>log diff XBI x 10 dma / IBB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XBI_IBB_1!$V$2:$V$167</c:f>
              <c:numCache>
                <c:formatCode>0.0000%</c:formatCode>
                <c:ptCount val="166"/>
                <c:pt idx="10">
                  <c:v>1.2722217710910699E-2</c:v>
                </c:pt>
                <c:pt idx="11">
                  <c:v>1.5566839829653E-2</c:v>
                </c:pt>
                <c:pt idx="12">
                  <c:v>1.05146345865944E-2</c:v>
                </c:pt>
                <c:pt idx="13">
                  <c:v>1.9944595123128701E-2</c:v>
                </c:pt>
                <c:pt idx="14">
                  <c:v>2.3629892818810899E-3</c:v>
                </c:pt>
                <c:pt idx="15">
                  <c:v>-3.6905433862237302E-3</c:v>
                </c:pt>
                <c:pt idx="16">
                  <c:v>-5.0982078365435501E-3</c:v>
                </c:pt>
                <c:pt idx="17">
                  <c:v>-9.5879212070025793E-3</c:v>
                </c:pt>
                <c:pt idx="18">
                  <c:v>-4.6241840115225996E-3</c:v>
                </c:pt>
                <c:pt idx="19">
                  <c:v>-9.0693333653211593E-3</c:v>
                </c:pt>
                <c:pt idx="20">
                  <c:v>2.4629136619045799E-3</c:v>
                </c:pt>
                <c:pt idx="21">
                  <c:v>6.6793332593297998E-3</c:v>
                </c:pt>
                <c:pt idx="22">
                  <c:v>-1.3496742001789901E-2</c:v>
                </c:pt>
                <c:pt idx="23">
                  <c:v>-2.5692993273298499E-2</c:v>
                </c:pt>
                <c:pt idx="24">
                  <c:v>-1.1174869401263301E-2</c:v>
                </c:pt>
                <c:pt idx="25">
                  <c:v>-1.1153026801074199E-3</c:v>
                </c:pt>
                <c:pt idx="26">
                  <c:v>6.6284085289451296E-3</c:v>
                </c:pt>
                <c:pt idx="27">
                  <c:v>-2.86411193896528E-3</c:v>
                </c:pt>
                <c:pt idx="28">
                  <c:v>-2.46452951260558E-3</c:v>
                </c:pt>
                <c:pt idx="29">
                  <c:v>-1.51525641545189E-2</c:v>
                </c:pt>
                <c:pt idx="30">
                  <c:v>-8.0442190577313197E-3</c:v>
                </c:pt>
                <c:pt idx="31">
                  <c:v>-2.4517857590393502E-3</c:v>
                </c:pt>
                <c:pt idx="32">
                  <c:v>7.18933451080115E-3</c:v>
                </c:pt>
                <c:pt idx="33">
                  <c:v>-5.31987544779594E-3</c:v>
                </c:pt>
                <c:pt idx="34">
                  <c:v>7.2263546353827602E-3</c:v>
                </c:pt>
                <c:pt idx="35">
                  <c:v>1.6070703208313799E-2</c:v>
                </c:pt>
                <c:pt idx="36">
                  <c:v>1.40192009716197E-2</c:v>
                </c:pt>
                <c:pt idx="37">
                  <c:v>1.69382353165341E-2</c:v>
                </c:pt>
                <c:pt idx="38">
                  <c:v>4.3529009250062797E-3</c:v>
                </c:pt>
                <c:pt idx="39">
                  <c:v>5.5866032138586798E-3</c:v>
                </c:pt>
                <c:pt idx="40">
                  <c:v>1.2464985695529499E-3</c:v>
                </c:pt>
                <c:pt idx="41">
                  <c:v>6.5071904910581502E-3</c:v>
                </c:pt>
                <c:pt idx="42">
                  <c:v>9.8613956928426602E-3</c:v>
                </c:pt>
                <c:pt idx="43">
                  <c:v>1.5838603188657999E-2</c:v>
                </c:pt>
                <c:pt idx="44">
                  <c:v>1.52945894862639E-2</c:v>
                </c:pt>
                <c:pt idx="45">
                  <c:v>9.7131336315680796E-3</c:v>
                </c:pt>
                <c:pt idx="46">
                  <c:v>8.60540606533069E-3</c:v>
                </c:pt>
                <c:pt idx="47">
                  <c:v>4.8685181704022397E-3</c:v>
                </c:pt>
                <c:pt idx="48">
                  <c:v>2.2833986775993402E-3</c:v>
                </c:pt>
                <c:pt idx="49">
                  <c:v>8.0655707784709103E-3</c:v>
                </c:pt>
                <c:pt idx="50">
                  <c:v>8.2709244096397395E-3</c:v>
                </c:pt>
                <c:pt idx="51">
                  <c:v>1.3399535795475201E-3</c:v>
                </c:pt>
                <c:pt idx="52">
                  <c:v>6.04539463515316E-3</c:v>
                </c:pt>
                <c:pt idx="53">
                  <c:v>5.37521040433707E-3</c:v>
                </c:pt>
                <c:pt idx="54">
                  <c:v>9.8808781223064697E-3</c:v>
                </c:pt>
                <c:pt idx="55">
                  <c:v>-2.3416991185967501E-3</c:v>
                </c:pt>
                <c:pt idx="56">
                  <c:v>8.5569924083093406E-3</c:v>
                </c:pt>
                <c:pt idx="57">
                  <c:v>1.02825172582911E-2</c:v>
                </c:pt>
                <c:pt idx="58">
                  <c:v>3.0423837320987701E-3</c:v>
                </c:pt>
                <c:pt idx="59">
                  <c:v>-1.40317175432291E-2</c:v>
                </c:pt>
                <c:pt idx="60">
                  <c:v>1.73617828676004E-2</c:v>
                </c:pt>
                <c:pt idx="61">
                  <c:v>1.4411642261897799E-2</c:v>
                </c:pt>
                <c:pt idx="62">
                  <c:v>1.95664281312669E-2</c:v>
                </c:pt>
                <c:pt idx="63">
                  <c:v>1.9587602039576199E-2</c:v>
                </c:pt>
                <c:pt idx="64">
                  <c:v>1.9473954294245199E-2</c:v>
                </c:pt>
                <c:pt idx="65">
                  <c:v>1.14186300856803E-2</c:v>
                </c:pt>
                <c:pt idx="66">
                  <c:v>1.5823238305360799E-2</c:v>
                </c:pt>
                <c:pt idx="67">
                  <c:v>1.15625792972988E-2</c:v>
                </c:pt>
                <c:pt idx="68">
                  <c:v>1.3097137537496001E-2</c:v>
                </c:pt>
                <c:pt idx="69">
                  <c:v>1.6646006675158798E-2</c:v>
                </c:pt>
                <c:pt idx="70">
                  <c:v>1.6115481195193401E-2</c:v>
                </c:pt>
                <c:pt idx="71">
                  <c:v>1.7060043659779402E-2</c:v>
                </c:pt>
                <c:pt idx="72">
                  <c:v>2.30835912564945E-2</c:v>
                </c:pt>
                <c:pt idx="73">
                  <c:v>1.8762925486345401E-2</c:v>
                </c:pt>
                <c:pt idx="74">
                  <c:v>1.5958092910107802E-2</c:v>
                </c:pt>
                <c:pt idx="75">
                  <c:v>1.8081442729056301E-2</c:v>
                </c:pt>
                <c:pt idx="76">
                  <c:v>1.0161520395276499E-2</c:v>
                </c:pt>
                <c:pt idx="77">
                  <c:v>8.9997770836124508E-3</c:v>
                </c:pt>
                <c:pt idx="78">
                  <c:v>8.9866084171397395E-3</c:v>
                </c:pt>
                <c:pt idx="79">
                  <c:v>-6.7971997279194602E-4</c:v>
                </c:pt>
                <c:pt idx="80">
                  <c:v>-4.7462026502530699E-3</c:v>
                </c:pt>
                <c:pt idx="81">
                  <c:v>-6.41676111307169E-3</c:v>
                </c:pt>
                <c:pt idx="82">
                  <c:v>-4.9889276310008199E-3</c:v>
                </c:pt>
                <c:pt idx="83">
                  <c:v>1.89544019728491E-3</c:v>
                </c:pt>
                <c:pt idx="84">
                  <c:v>2.9331164615682601E-3</c:v>
                </c:pt>
                <c:pt idx="85">
                  <c:v>1.08873344698687E-2</c:v>
                </c:pt>
                <c:pt idx="86">
                  <c:v>2.6296249012074898E-3</c:v>
                </c:pt>
                <c:pt idx="87">
                  <c:v>1.11779505982442E-2</c:v>
                </c:pt>
                <c:pt idx="88">
                  <c:v>1.0154469916794801E-2</c:v>
                </c:pt>
                <c:pt idx="89">
                  <c:v>-2.6760755474865001E-3</c:v>
                </c:pt>
                <c:pt idx="90">
                  <c:v>1.9311717723740701E-3</c:v>
                </c:pt>
                <c:pt idx="91">
                  <c:v>1.26526805236939E-3</c:v>
                </c:pt>
                <c:pt idx="92">
                  <c:v>-4.5507819069207896E-3</c:v>
                </c:pt>
                <c:pt idx="93">
                  <c:v>-1.1477659582478299E-2</c:v>
                </c:pt>
                <c:pt idx="94">
                  <c:v>-1.8567295240182399E-2</c:v>
                </c:pt>
                <c:pt idx="95">
                  <c:v>-1.18830370331498E-3</c:v>
                </c:pt>
                <c:pt idx="96">
                  <c:v>1.01843232131922E-3</c:v>
                </c:pt>
                <c:pt idx="97">
                  <c:v>-5.8067844498287799E-3</c:v>
                </c:pt>
                <c:pt idx="98">
                  <c:v>4.82836956946459E-3</c:v>
                </c:pt>
                <c:pt idx="99">
                  <c:v>1.1028593409493199E-2</c:v>
                </c:pt>
                <c:pt idx="100">
                  <c:v>7.56518528404025E-3</c:v>
                </c:pt>
                <c:pt idx="101">
                  <c:v>1.2709006721366E-2</c:v>
                </c:pt>
                <c:pt idx="102">
                  <c:v>5.5946136421498698E-3</c:v>
                </c:pt>
                <c:pt idx="103">
                  <c:v>-9.3825218687843496E-3</c:v>
                </c:pt>
                <c:pt idx="104">
                  <c:v>-1.27056386637277E-2</c:v>
                </c:pt>
                <c:pt idx="105">
                  <c:v>-9.0001839633194903E-3</c:v>
                </c:pt>
                <c:pt idx="106">
                  <c:v>-2.6867403620891499E-2</c:v>
                </c:pt>
                <c:pt idx="107">
                  <c:v>-1.6860150668579699E-2</c:v>
                </c:pt>
                <c:pt idx="108">
                  <c:v>-7.2795914010582198E-3</c:v>
                </c:pt>
                <c:pt idx="109">
                  <c:v>-4.8120324299071099E-3</c:v>
                </c:pt>
                <c:pt idx="110">
                  <c:v>-2.8822900608035999E-4</c:v>
                </c:pt>
                <c:pt idx="111">
                  <c:v>7.9816173181057794E-3</c:v>
                </c:pt>
                <c:pt idx="112">
                  <c:v>1.97319899571149E-2</c:v>
                </c:pt>
                <c:pt idx="113">
                  <c:v>1.5767122186505601E-2</c:v>
                </c:pt>
                <c:pt idx="114">
                  <c:v>3.2174148614850899E-2</c:v>
                </c:pt>
                <c:pt idx="115">
                  <c:v>3.6941877377865598E-2</c:v>
                </c:pt>
                <c:pt idx="116">
                  <c:v>4.96642482622826E-2</c:v>
                </c:pt>
                <c:pt idx="117">
                  <c:v>4.3990269080858499E-2</c:v>
                </c:pt>
                <c:pt idx="118">
                  <c:v>3.5909428673884497E-2</c:v>
                </c:pt>
                <c:pt idx="119">
                  <c:v>3.05607261967186E-2</c:v>
                </c:pt>
                <c:pt idx="120">
                  <c:v>2.9249029777323798E-2</c:v>
                </c:pt>
                <c:pt idx="121">
                  <c:v>2.8695740151187199E-2</c:v>
                </c:pt>
                <c:pt idx="122">
                  <c:v>1.9972559629381399E-2</c:v>
                </c:pt>
                <c:pt idx="123">
                  <c:v>4.6007239931721696E-3</c:v>
                </c:pt>
                <c:pt idx="124">
                  <c:v>-3.9533739996502901E-3</c:v>
                </c:pt>
                <c:pt idx="125">
                  <c:v>-1.8117057651558699E-3</c:v>
                </c:pt>
                <c:pt idx="126">
                  <c:v>5.9668633467816195E-4</c:v>
                </c:pt>
                <c:pt idx="127">
                  <c:v>4.3543621382999796E-3</c:v>
                </c:pt>
                <c:pt idx="128">
                  <c:v>6.7439207265428203E-3</c:v>
                </c:pt>
                <c:pt idx="129">
                  <c:v>4.4978970485658399E-4</c:v>
                </c:pt>
                <c:pt idx="130">
                  <c:v>-1.0196883957714901E-2</c:v>
                </c:pt>
                <c:pt idx="131">
                  <c:v>-3.6434205595222801E-3</c:v>
                </c:pt>
                <c:pt idx="132">
                  <c:v>-3.9730571945237698E-3</c:v>
                </c:pt>
                <c:pt idx="133">
                  <c:v>-2.8166093684418199E-2</c:v>
                </c:pt>
                <c:pt idx="134">
                  <c:v>-1.2061008393588001E-2</c:v>
                </c:pt>
                <c:pt idx="135">
                  <c:v>-1.5785493010719999E-2</c:v>
                </c:pt>
                <c:pt idx="136">
                  <c:v>-5.5222051273909802E-3</c:v>
                </c:pt>
                <c:pt idx="137">
                  <c:v>-7.5533307575265801E-3</c:v>
                </c:pt>
                <c:pt idx="138">
                  <c:v>-1.5282179795238699E-2</c:v>
                </c:pt>
                <c:pt idx="139">
                  <c:v>-1.9109490595807199E-2</c:v>
                </c:pt>
                <c:pt idx="140">
                  <c:v>-1.5923650268956601E-2</c:v>
                </c:pt>
                <c:pt idx="141">
                  <c:v>-3.0412667472123098E-2</c:v>
                </c:pt>
                <c:pt idx="142">
                  <c:v>-2.7762724278340201E-2</c:v>
                </c:pt>
                <c:pt idx="143">
                  <c:v>-6.8510377187292002E-3</c:v>
                </c:pt>
                <c:pt idx="144">
                  <c:v>-1.72118135307248E-2</c:v>
                </c:pt>
                <c:pt idx="145">
                  <c:v>-9.4528952362766504E-3</c:v>
                </c:pt>
                <c:pt idx="146">
                  <c:v>6.4508610515932505E-4</c:v>
                </c:pt>
                <c:pt idx="147">
                  <c:v>1.5441234465796399E-3</c:v>
                </c:pt>
                <c:pt idx="148">
                  <c:v>7.0742868198124002E-3</c:v>
                </c:pt>
                <c:pt idx="149">
                  <c:v>1.8162204887785E-3</c:v>
                </c:pt>
                <c:pt idx="150">
                  <c:v>-5.1322872970315297E-3</c:v>
                </c:pt>
                <c:pt idx="151">
                  <c:v>-2.2803477954869401E-3</c:v>
                </c:pt>
                <c:pt idx="152">
                  <c:v>4.7629398232970199E-4</c:v>
                </c:pt>
                <c:pt idx="153">
                  <c:v>-7.8335527225653397E-3</c:v>
                </c:pt>
                <c:pt idx="154">
                  <c:v>2.0825895071772401E-4</c:v>
                </c:pt>
                <c:pt idx="155">
                  <c:v>-5.4300191936548304E-3</c:v>
                </c:pt>
                <c:pt idx="156">
                  <c:v>-9.5429393626705397E-3</c:v>
                </c:pt>
                <c:pt idx="157">
                  <c:v>-1.4468946695859901E-2</c:v>
                </c:pt>
                <c:pt idx="158">
                  <c:v>-2.08091375136061E-2</c:v>
                </c:pt>
                <c:pt idx="159">
                  <c:v>-1.6120908523545301E-2</c:v>
                </c:pt>
                <c:pt idx="160">
                  <c:v>-1.8202512855796198E-2</c:v>
                </c:pt>
                <c:pt idx="161">
                  <c:v>-4.3921539436156502E-3</c:v>
                </c:pt>
                <c:pt idx="162">
                  <c:v>-1.91563458819121E-3</c:v>
                </c:pt>
                <c:pt idx="163">
                  <c:v>6.11102921169922E-4</c:v>
                </c:pt>
                <c:pt idx="164">
                  <c:v>-6.4996683094199299E-3</c:v>
                </c:pt>
                <c:pt idx="165">
                  <c:v>-4.1076220548670996E-3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BC-4F59-834E-E74B0934C6C4}"/>
            </c:ext>
          </c:extLst>
        </c:ser>
        <c:ser>
          <c:idx val="2"/>
          <c:order val="2"/>
          <c:tx>
            <c:strRef>
              <c:f>XBI_IBB_1!$W$1</c:f>
              <c:strCache>
                <c:ptCount val="1"/>
                <c:pt idx="0">
                  <c:v>log diff XBI x 20 dma / IBB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XBI_IBB_1!$W$2:$W$167</c:f>
              <c:numCache>
                <c:formatCode>0.0000%</c:formatCode>
                <c:ptCount val="166"/>
                <c:pt idx="20">
                  <c:v>8.0634701657267202E-3</c:v>
                </c:pt>
                <c:pt idx="21">
                  <c:v>1.15251047753844E-2</c:v>
                </c:pt>
                <c:pt idx="22">
                  <c:v>-9.7075257911902399E-3</c:v>
                </c:pt>
                <c:pt idx="23">
                  <c:v>-2.4042783714620802E-2</c:v>
                </c:pt>
                <c:pt idx="24">
                  <c:v>-1.33830205104177E-2</c:v>
                </c:pt>
                <c:pt idx="25">
                  <c:v>-5.0598588421687596E-3</c:v>
                </c:pt>
                <c:pt idx="26">
                  <c:v>2.0800178797415799E-3</c:v>
                </c:pt>
                <c:pt idx="27">
                  <c:v>-7.5271337820944596E-3</c:v>
                </c:pt>
                <c:pt idx="28">
                  <c:v>-7.3105914795945203E-3</c:v>
                </c:pt>
                <c:pt idx="29">
                  <c:v>-1.9935514635967998E-2</c:v>
                </c:pt>
                <c:pt idx="30">
                  <c:v>-1.3227407620736001E-2</c:v>
                </c:pt>
                <c:pt idx="31">
                  <c:v>-8.7156251376970806E-3</c:v>
                </c:pt>
                <c:pt idx="32">
                  <c:v>-1.8038556565552199E-4</c:v>
                </c:pt>
                <c:pt idx="33">
                  <c:v>-1.1577777653736399E-2</c:v>
                </c:pt>
                <c:pt idx="34">
                  <c:v>3.4727358933112399E-3</c:v>
                </c:pt>
                <c:pt idx="35">
                  <c:v>1.37551482658065E-2</c:v>
                </c:pt>
                <c:pt idx="36">
                  <c:v>1.25897235630986E-2</c:v>
                </c:pt>
                <c:pt idx="37">
                  <c:v>1.56027440972243E-2</c:v>
                </c:pt>
                <c:pt idx="38">
                  <c:v>3.9980401039855602E-3</c:v>
                </c:pt>
                <c:pt idx="39">
                  <c:v>5.9139752753004302E-3</c:v>
                </c:pt>
                <c:pt idx="40">
                  <c:v>3.4413150746421799E-3</c:v>
                </c:pt>
                <c:pt idx="41">
                  <c:v>1.0436832214428E-2</c:v>
                </c:pt>
                <c:pt idx="42">
                  <c:v>1.5717557267639199E-2</c:v>
                </c:pt>
                <c:pt idx="43">
                  <c:v>2.2119995344838599E-2</c:v>
                </c:pt>
                <c:pt idx="44">
                  <c:v>2.28789655448969E-2</c:v>
                </c:pt>
                <c:pt idx="45">
                  <c:v>1.7915078601500899E-2</c:v>
                </c:pt>
                <c:pt idx="46">
                  <c:v>1.66814662981618E-2</c:v>
                </c:pt>
                <c:pt idx="47">
                  <c:v>1.32554381794405E-2</c:v>
                </c:pt>
                <c:pt idx="48">
                  <c:v>1.0046453084379001E-2</c:v>
                </c:pt>
                <c:pt idx="49">
                  <c:v>1.6199726210030099E-2</c:v>
                </c:pt>
                <c:pt idx="50">
                  <c:v>1.6263768937871698E-2</c:v>
                </c:pt>
                <c:pt idx="51">
                  <c:v>9.8008814382994896E-3</c:v>
                </c:pt>
                <c:pt idx="52">
                  <c:v>1.42489134914019E-2</c:v>
                </c:pt>
                <c:pt idx="53">
                  <c:v>1.3488641634467001E-2</c:v>
                </c:pt>
                <c:pt idx="54">
                  <c:v>1.65794977271955E-2</c:v>
                </c:pt>
                <c:pt idx="55">
                  <c:v>3.5908221401046098E-3</c:v>
                </c:pt>
                <c:pt idx="56">
                  <c:v>1.39784959546669E-2</c:v>
                </c:pt>
                <c:pt idx="57">
                  <c:v>1.5708673170822599E-2</c:v>
                </c:pt>
                <c:pt idx="58">
                  <c:v>9.0514246728446105E-3</c:v>
                </c:pt>
                <c:pt idx="59">
                  <c:v>-8.0565442812695499E-3</c:v>
                </c:pt>
                <c:pt idx="60">
                  <c:v>2.1879774866651099E-2</c:v>
                </c:pt>
                <c:pt idx="61">
                  <c:v>1.86748083139931E-2</c:v>
                </c:pt>
                <c:pt idx="62">
                  <c:v>2.43209029725816E-2</c:v>
                </c:pt>
                <c:pt idx="63">
                  <c:v>2.4860375062190802E-2</c:v>
                </c:pt>
                <c:pt idx="64">
                  <c:v>2.5697028257000602E-2</c:v>
                </c:pt>
                <c:pt idx="65">
                  <c:v>1.8343475876462699E-2</c:v>
                </c:pt>
                <c:pt idx="66">
                  <c:v>2.4153279528682899E-2</c:v>
                </c:pt>
                <c:pt idx="67">
                  <c:v>2.0551077747655001E-2</c:v>
                </c:pt>
                <c:pt idx="68">
                  <c:v>2.2234090981936301E-2</c:v>
                </c:pt>
                <c:pt idx="69">
                  <c:v>2.6566521122815E-2</c:v>
                </c:pt>
                <c:pt idx="70">
                  <c:v>2.9133862159375402E-2</c:v>
                </c:pt>
                <c:pt idx="71">
                  <c:v>3.04121055498047E-2</c:v>
                </c:pt>
                <c:pt idx="72">
                  <c:v>3.6821908809327501E-2</c:v>
                </c:pt>
                <c:pt idx="73">
                  <c:v>3.2895152067828802E-2</c:v>
                </c:pt>
                <c:pt idx="74">
                  <c:v>3.0220003918205601E-2</c:v>
                </c:pt>
                <c:pt idx="75">
                  <c:v>3.2490988865903098E-2</c:v>
                </c:pt>
                <c:pt idx="76">
                  <c:v>2.49595706608687E-2</c:v>
                </c:pt>
                <c:pt idx="77">
                  <c:v>2.37975276316971E-2</c:v>
                </c:pt>
                <c:pt idx="78">
                  <c:v>2.4180912520272501E-2</c:v>
                </c:pt>
                <c:pt idx="79">
                  <c:v>1.44067468035694E-2</c:v>
                </c:pt>
                <c:pt idx="80">
                  <c:v>8.3999203936927398E-3</c:v>
                </c:pt>
                <c:pt idx="81">
                  <c:v>5.7542439724187896E-3</c:v>
                </c:pt>
                <c:pt idx="82">
                  <c:v>5.7446808751608703E-3</c:v>
                </c:pt>
                <c:pt idx="83">
                  <c:v>1.07434574984433E-2</c:v>
                </c:pt>
                <c:pt idx="84">
                  <c:v>1.0450834070367E-2</c:v>
                </c:pt>
                <c:pt idx="85">
                  <c:v>1.7257168852454E-2</c:v>
                </c:pt>
                <c:pt idx="86">
                  <c:v>7.49791250684097E-3</c:v>
                </c:pt>
                <c:pt idx="87">
                  <c:v>1.4961087454458301E-2</c:v>
                </c:pt>
                <c:pt idx="88">
                  <c:v>1.3069770792273099E-2</c:v>
                </c:pt>
                <c:pt idx="89">
                  <c:v>-7.2536668053435898E-4</c:v>
                </c:pt>
                <c:pt idx="90">
                  <c:v>3.3404053260888398E-3</c:v>
                </c:pt>
                <c:pt idx="91">
                  <c:v>2.88606464327738E-3</c:v>
                </c:pt>
                <c:pt idx="92">
                  <c:v>-2.4165631232960999E-3</c:v>
                </c:pt>
                <c:pt idx="93">
                  <c:v>-8.7688683467194092E-3</c:v>
                </c:pt>
                <c:pt idx="94">
                  <c:v>-1.62980635396676E-2</c:v>
                </c:pt>
                <c:pt idx="95">
                  <c:v>1.2545527045494499E-4</c:v>
                </c:pt>
                <c:pt idx="96">
                  <c:v>1.5877801520794699E-3</c:v>
                </c:pt>
                <c:pt idx="97">
                  <c:v>-5.3700129808695396E-3</c:v>
                </c:pt>
                <c:pt idx="98">
                  <c:v>3.9786005468077099E-3</c:v>
                </c:pt>
                <c:pt idx="99">
                  <c:v>9.4840775434590196E-3</c:v>
                </c:pt>
                <c:pt idx="100">
                  <c:v>6.4525924133073198E-3</c:v>
                </c:pt>
                <c:pt idx="101">
                  <c:v>1.1289955018660499E-2</c:v>
                </c:pt>
                <c:pt idx="102">
                  <c:v>4.0538560928833501E-3</c:v>
                </c:pt>
                <c:pt idx="103">
                  <c:v>-1.0807765393386499E-2</c:v>
                </c:pt>
                <c:pt idx="104">
                  <c:v>-1.3768566247722099E-2</c:v>
                </c:pt>
                <c:pt idx="105">
                  <c:v>-9.0179372645237694E-3</c:v>
                </c:pt>
                <c:pt idx="106">
                  <c:v>-2.6808762874048299E-2</c:v>
                </c:pt>
                <c:pt idx="107">
                  <c:v>-1.8181668317786798E-2</c:v>
                </c:pt>
                <c:pt idx="108">
                  <c:v>-8.4894536392896205E-3</c:v>
                </c:pt>
                <c:pt idx="109">
                  <c:v>-6.3990346433218902E-3</c:v>
                </c:pt>
                <c:pt idx="110">
                  <c:v>-3.3452432730788901E-3</c:v>
                </c:pt>
                <c:pt idx="111">
                  <c:v>4.0645072960506599E-3</c:v>
                </c:pt>
                <c:pt idx="112">
                  <c:v>1.4773210356877901E-2</c:v>
                </c:pt>
                <c:pt idx="113">
                  <c:v>1.06627400265384E-2</c:v>
                </c:pt>
                <c:pt idx="114">
                  <c:v>2.78444142423812E-2</c:v>
                </c:pt>
                <c:pt idx="115">
                  <c:v>3.4205043485400002E-2</c:v>
                </c:pt>
                <c:pt idx="116">
                  <c:v>4.9311555078424198E-2</c:v>
                </c:pt>
                <c:pt idx="117">
                  <c:v>4.8815773060451602E-2</c:v>
                </c:pt>
                <c:pt idx="118">
                  <c:v>4.4961470870677998E-2</c:v>
                </c:pt>
                <c:pt idx="119">
                  <c:v>4.3434114088790901E-2</c:v>
                </c:pt>
                <c:pt idx="120">
                  <c:v>4.6184493390214701E-2</c:v>
                </c:pt>
                <c:pt idx="121">
                  <c:v>4.9571532196100603E-2</c:v>
                </c:pt>
                <c:pt idx="122">
                  <c:v>4.4671508127375401E-2</c:v>
                </c:pt>
                <c:pt idx="123">
                  <c:v>3.1620995137505097E-2</c:v>
                </c:pt>
                <c:pt idx="124">
                  <c:v>2.4513259577526401E-2</c:v>
                </c:pt>
                <c:pt idx="125">
                  <c:v>2.58614976015124E-2</c:v>
                </c:pt>
                <c:pt idx="126">
                  <c:v>2.70452022630383E-2</c:v>
                </c:pt>
                <c:pt idx="127">
                  <c:v>2.71108320329943E-2</c:v>
                </c:pt>
                <c:pt idx="128">
                  <c:v>2.6194737972473198E-2</c:v>
                </c:pt>
                <c:pt idx="129">
                  <c:v>1.72674396490256E-2</c:v>
                </c:pt>
                <c:pt idx="130">
                  <c:v>3.6818614971470599E-3</c:v>
                </c:pt>
                <c:pt idx="131">
                  <c:v>6.4201640289583998E-3</c:v>
                </c:pt>
                <c:pt idx="132">
                  <c:v>2.3270546557191802E-3</c:v>
                </c:pt>
                <c:pt idx="133">
                  <c:v>-2.4918061441265099E-2</c:v>
                </c:pt>
                <c:pt idx="134">
                  <c:v>-1.2298383629922E-2</c:v>
                </c:pt>
                <c:pt idx="135">
                  <c:v>-1.7469769209888301E-2</c:v>
                </c:pt>
                <c:pt idx="136">
                  <c:v>-8.8757396434730098E-3</c:v>
                </c:pt>
                <c:pt idx="137">
                  <c:v>-1.1702320407409801E-2</c:v>
                </c:pt>
                <c:pt idx="138">
                  <c:v>-2.0700775895728898E-2</c:v>
                </c:pt>
                <c:pt idx="139">
                  <c:v>-2.6622028598754299E-2</c:v>
                </c:pt>
                <c:pt idx="140">
                  <c:v>-2.5314877220279801E-2</c:v>
                </c:pt>
                <c:pt idx="141">
                  <c:v>-4.0434469152303601E-2</c:v>
                </c:pt>
                <c:pt idx="142">
                  <c:v>-3.95084970037482E-2</c:v>
                </c:pt>
                <c:pt idx="143">
                  <c:v>-2.0381120887399701E-2</c:v>
                </c:pt>
                <c:pt idx="144">
                  <c:v>-2.9720836943918499E-2</c:v>
                </c:pt>
                <c:pt idx="145">
                  <c:v>-2.3032618169401199E-2</c:v>
                </c:pt>
                <c:pt idx="146">
                  <c:v>-1.3108021314576401E-2</c:v>
                </c:pt>
                <c:pt idx="147">
                  <c:v>-1.2625376743145299E-2</c:v>
                </c:pt>
                <c:pt idx="148">
                  <c:v>-7.0487784869981201E-3</c:v>
                </c:pt>
                <c:pt idx="149">
                  <c:v>-1.09863227371963E-2</c:v>
                </c:pt>
                <c:pt idx="150">
                  <c:v>-1.6461873853852099E-2</c:v>
                </c:pt>
                <c:pt idx="151">
                  <c:v>-1.2983074673395399E-2</c:v>
                </c:pt>
                <c:pt idx="152">
                  <c:v>-7.5624961455061403E-3</c:v>
                </c:pt>
                <c:pt idx="153">
                  <c:v>-1.29081656434823E-2</c:v>
                </c:pt>
                <c:pt idx="154">
                  <c:v>-5.1262211253936298E-3</c:v>
                </c:pt>
                <c:pt idx="155">
                  <c:v>-8.9181695986021593E-3</c:v>
                </c:pt>
                <c:pt idx="156">
                  <c:v>-1.2134172508251301E-2</c:v>
                </c:pt>
                <c:pt idx="157">
                  <c:v>-1.6767390349094299E-2</c:v>
                </c:pt>
                <c:pt idx="158">
                  <c:v>-2.3180958664397299E-2</c:v>
                </c:pt>
                <c:pt idx="159">
                  <c:v>-1.9823601327554501E-2</c:v>
                </c:pt>
                <c:pt idx="160">
                  <c:v>-2.29302738240303E-2</c:v>
                </c:pt>
                <c:pt idx="161">
                  <c:v>-9.65221513322264E-3</c:v>
                </c:pt>
                <c:pt idx="162">
                  <c:v>-8.1340316415992198E-3</c:v>
                </c:pt>
                <c:pt idx="163">
                  <c:v>-6.9453017428480496E-3</c:v>
                </c:pt>
                <c:pt idx="164">
                  <c:v>-1.383375504948E-2</c:v>
                </c:pt>
                <c:pt idx="165">
                  <c:v>-1.28335868404398E-2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BC-4F59-834E-E74B0934C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349246-1F90-4B1D-987A-E744F941F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2529C5-E1B2-4F26-A0E2-2442A2FCD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044EF0-0774-42A4-862A-289E9ED5E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A9AACA-B275-49EF-BBEE-06349CD75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9525</xdr:colOff>
      <xdr:row>1</xdr:row>
      <xdr:rowOff>0</xdr:rowOff>
    </xdr:from>
    <xdr:to>
      <xdr:col>41</xdr:col>
      <xdr:colOff>314325</xdr:colOff>
      <xdr:row>16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1473925-9635-4111-BEF9-993BE72A6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0D2979-18F8-4F53-86D6-93E635C70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2CAA71E-1978-4F21-95E5-1B501A11E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9525</xdr:colOff>
      <xdr:row>18</xdr:row>
      <xdr:rowOff>0</xdr:rowOff>
    </xdr:from>
    <xdr:to>
      <xdr:col>41</xdr:col>
      <xdr:colOff>314325</xdr:colOff>
      <xdr:row>33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DF1D7B3-6108-40BC-BF45-0903244C0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ITA_XAR.xlsx" TargetMode="External"/><Relationship Id="rId1" Type="http://schemas.openxmlformats.org/officeDocument/2006/relationships/externalLinkPath" Target="ITA_XA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FIDU_VIS_2.xlsx" TargetMode="External"/><Relationship Id="rId1" Type="http://schemas.openxmlformats.org/officeDocument/2006/relationships/externalLinkPath" Target="FIDU_VIS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A_XAR_1"/>
    </sheetNames>
    <sheetDataSet>
      <sheetData sheetId="0">
        <row r="1">
          <cell r="Q1" t="str">
            <v>XAR/ITA 20 dma</v>
          </cell>
          <cell r="W1" t="str">
            <v>log diff ITA x 20 dma / XAR</v>
          </cell>
          <cell r="AA1" t="str">
            <v>XAR*/ITA* 20 dma</v>
          </cell>
          <cell r="AG1" t="str">
            <v>log diff ITA* x 20 dma / XAR*</v>
          </cell>
        </row>
        <row r="21">
          <cell r="Q21">
            <v>1.18514412064443</v>
          </cell>
          <cell r="AA21">
            <v>1.18514412064443</v>
          </cell>
        </row>
        <row r="22">
          <cell r="Q22">
            <v>1.1872119360813</v>
          </cell>
          <cell r="W22">
            <v>1.3516040754480501E-2</v>
          </cell>
          <cell r="AA22">
            <v>1.1872119360813</v>
          </cell>
          <cell r="AG22">
            <v>1.3516040754480501E-2</v>
          </cell>
        </row>
        <row r="23">
          <cell r="Q23">
            <v>1.18911453636662</v>
          </cell>
          <cell r="W23">
            <v>-2.5383207004588598E-4</v>
          </cell>
          <cell r="AA23">
            <v>1.18911453636662</v>
          </cell>
          <cell r="AG23">
            <v>-2.5383207004588598E-4</v>
          </cell>
        </row>
        <row r="24">
          <cell r="Q24">
            <v>1.18940506915247</v>
          </cell>
          <cell r="W24">
            <v>2.3202175742785099E-2</v>
          </cell>
          <cell r="AA24">
            <v>1.18940506915247</v>
          </cell>
          <cell r="AG24">
            <v>2.3202175742785099E-2</v>
          </cell>
        </row>
        <row r="25">
          <cell r="Q25">
            <v>1.18875000990632</v>
          </cell>
          <cell r="W25">
            <v>3.6490214757735298E-2</v>
          </cell>
          <cell r="AA25">
            <v>1.18875000990632</v>
          </cell>
          <cell r="AG25">
            <v>3.6490214757735298E-2</v>
          </cell>
        </row>
        <row r="26">
          <cell r="Q26">
            <v>1.1878630980561899</v>
          </cell>
          <cell r="W26">
            <v>2.12769712935615E-2</v>
          </cell>
          <cell r="AA26">
            <v>1.1878630980561899</v>
          </cell>
          <cell r="AG26">
            <v>2.12769712935615E-2</v>
          </cell>
        </row>
        <row r="27">
          <cell r="Q27">
            <v>1.1873434826410301</v>
          </cell>
          <cell r="W27">
            <v>9.13895999379063E-3</v>
          </cell>
          <cell r="AA27">
            <v>1.1873434826410301</v>
          </cell>
          <cell r="AG27">
            <v>9.13895999379063E-3</v>
          </cell>
        </row>
        <row r="28">
          <cell r="Q28">
            <v>1.1862535220638899</v>
          </cell>
          <cell r="W28">
            <v>1.8407335759645201E-2</v>
          </cell>
          <cell r="AA28">
            <v>1.1862535220638899</v>
          </cell>
          <cell r="AG28">
            <v>1.8407335759645201E-2</v>
          </cell>
        </row>
        <row r="29">
          <cell r="Q29">
            <v>1.1847916530286</v>
          </cell>
          <cell r="W29">
            <v>2.6239628443712401E-2</v>
          </cell>
          <cell r="AA29">
            <v>1.1847916530286</v>
          </cell>
          <cell r="AG29">
            <v>2.6239628443712401E-2</v>
          </cell>
        </row>
        <row r="30">
          <cell r="Q30">
            <v>1.1826178389747699</v>
          </cell>
          <cell r="W30">
            <v>2.8793950622899099E-2</v>
          </cell>
          <cell r="AA30">
            <v>1.1826178389747699</v>
          </cell>
          <cell r="AG30">
            <v>2.8793950622899099E-2</v>
          </cell>
        </row>
        <row r="31">
          <cell r="Q31">
            <v>1.18024184348743</v>
          </cell>
          <cell r="W31">
            <v>2.5677581999014799E-2</v>
          </cell>
          <cell r="AA31">
            <v>1.18024184348743</v>
          </cell>
          <cell r="AG31">
            <v>2.5677581999014799E-2</v>
          </cell>
        </row>
        <row r="32">
          <cell r="Q32">
            <v>1.1776166098422101</v>
          </cell>
          <cell r="W32">
            <v>2.7365889725962201E-2</v>
          </cell>
          <cell r="AA32">
            <v>1.1776166098422101</v>
          </cell>
          <cell r="AG32">
            <v>2.7365889725962201E-2</v>
          </cell>
        </row>
        <row r="33">
          <cell r="Q33">
            <v>1.17582117973333</v>
          </cell>
          <cell r="W33">
            <v>1.6692411450339499E-2</v>
          </cell>
          <cell r="AA33">
            <v>1.17582117973333</v>
          </cell>
          <cell r="AG33">
            <v>1.6692411450339499E-2</v>
          </cell>
        </row>
        <row r="34">
          <cell r="Q34">
            <v>1.17485730531551</v>
          </cell>
          <cell r="W34">
            <v>6.4500076400065597E-3</v>
          </cell>
          <cell r="AA34">
            <v>1.17485730531551</v>
          </cell>
          <cell r="AG34">
            <v>6.4500076400065597E-3</v>
          </cell>
        </row>
        <row r="35">
          <cell r="Q35">
            <v>1.17220851662644</v>
          </cell>
          <cell r="W35">
            <v>1.49369359239638E-2</v>
          </cell>
          <cell r="AA35">
            <v>1.17220851662644</v>
          </cell>
          <cell r="AG35">
            <v>1.49369359239638E-2</v>
          </cell>
        </row>
        <row r="36">
          <cell r="Q36">
            <v>1.1697740350485499</v>
          </cell>
          <cell r="W36">
            <v>1.39473418318864E-2</v>
          </cell>
          <cell r="AA36">
            <v>1.1697740350485499</v>
          </cell>
          <cell r="AG36">
            <v>1.39473418318864E-2</v>
          </cell>
        </row>
        <row r="37">
          <cell r="Q37">
            <v>1.1679694852185301</v>
          </cell>
          <cell r="W37">
            <v>5.1957876690023903E-3</v>
          </cell>
          <cell r="AA37">
            <v>1.1679694852185301</v>
          </cell>
          <cell r="AG37">
            <v>5.1957876690023903E-3</v>
          </cell>
        </row>
        <row r="38">
          <cell r="Q38">
            <v>1.16597289846443</v>
          </cell>
          <cell r="W38">
            <v>4.2598212592591502E-3</v>
          </cell>
          <cell r="AA38">
            <v>1.16597289846443</v>
          </cell>
          <cell r="AG38">
            <v>4.2598212592591502E-3</v>
          </cell>
        </row>
        <row r="39">
          <cell r="Q39">
            <v>1.16414837481958</v>
          </cell>
          <cell r="W39">
            <v>-2.07631709096301E-3</v>
          </cell>
          <cell r="AA39">
            <v>1.16414837481958</v>
          </cell>
          <cell r="AG39">
            <v>-2.07631709096301E-3</v>
          </cell>
        </row>
        <row r="40">
          <cell r="Q40">
            <v>1.16250079110812</v>
          </cell>
          <cell r="W40">
            <v>2.7749753114449998E-3</v>
          </cell>
          <cell r="AA40">
            <v>1.16250079110812</v>
          </cell>
          <cell r="AG40">
            <v>2.7749753114449998E-3</v>
          </cell>
        </row>
        <row r="41">
          <cell r="Q41">
            <v>1.16160921450173</v>
          </cell>
          <cell r="W41">
            <v>4.9192232068796804E-3</v>
          </cell>
          <cell r="AA41">
            <v>1.16160921450173</v>
          </cell>
          <cell r="AG41">
            <v>4.9192232068796804E-3</v>
          </cell>
        </row>
        <row r="42">
          <cell r="Q42">
            <v>1.16118085177379</v>
          </cell>
          <cell r="W42">
            <v>8.1216700338736995E-4</v>
          </cell>
          <cell r="AA42">
            <v>1.16118085177379</v>
          </cell>
          <cell r="AG42">
            <v>8.1216700338736995E-4</v>
          </cell>
        </row>
        <row r="43">
          <cell r="Q43">
            <v>1.15994585029216</v>
          </cell>
          <cell r="W43">
            <v>-1.40486210521489E-3</v>
          </cell>
          <cell r="AA43">
            <v>1.15994585029216</v>
          </cell>
          <cell r="AG43">
            <v>-1.40486210521489E-3</v>
          </cell>
        </row>
        <row r="44">
          <cell r="Q44">
            <v>1.15992115046143</v>
          </cell>
          <cell r="W44">
            <v>-1.20816971204118E-3</v>
          </cell>
          <cell r="AA44">
            <v>1.15992115046143</v>
          </cell>
          <cell r="AG44">
            <v>-1.20816971204118E-3</v>
          </cell>
        </row>
        <row r="45">
          <cell r="Q45">
            <v>1.16023875829611</v>
          </cell>
          <cell r="W45">
            <v>5.8651916718417798E-3</v>
          </cell>
          <cell r="AA45">
            <v>1.16023875829611</v>
          </cell>
          <cell r="AG45">
            <v>5.8651916718417798E-3</v>
          </cell>
        </row>
        <row r="46">
          <cell r="Q46">
            <v>1.16034834609325</v>
          </cell>
          <cell r="W46">
            <v>-4.8811886011829097E-3</v>
          </cell>
          <cell r="AA46">
            <v>1.16034834609325</v>
          </cell>
          <cell r="AG46">
            <v>-4.8811886011829097E-3</v>
          </cell>
        </row>
        <row r="47">
          <cell r="Q47">
            <v>1.1594693963203799</v>
          </cell>
          <cell r="W47">
            <v>7.5059258450270797E-4</v>
          </cell>
          <cell r="AA47">
            <v>1.1594693963203799</v>
          </cell>
          <cell r="AG47">
            <v>7.5059258450270797E-4</v>
          </cell>
        </row>
        <row r="48">
          <cell r="Q48">
            <v>1.1593067704091</v>
          </cell>
          <cell r="W48">
            <v>-2.5545106119909001E-3</v>
          </cell>
          <cell r="AA48">
            <v>1.1593067704091</v>
          </cell>
          <cell r="AG48">
            <v>-2.5545106119909001E-3</v>
          </cell>
        </row>
        <row r="49">
          <cell r="Q49">
            <v>1.15954998026477</v>
          </cell>
          <cell r="W49">
            <v>-9.38850670991364E-4</v>
          </cell>
          <cell r="AA49">
            <v>1.15954998026477</v>
          </cell>
          <cell r="AG49">
            <v>-9.38850670991364E-4</v>
          </cell>
        </row>
        <row r="50">
          <cell r="Q50">
            <v>1.1598120825795699</v>
          </cell>
          <cell r="W50">
            <v>2.71563541806577E-3</v>
          </cell>
          <cell r="AA50">
            <v>1.1598120825795699</v>
          </cell>
          <cell r="AG50">
            <v>2.71563541806577E-3</v>
          </cell>
        </row>
        <row r="51">
          <cell r="Q51">
            <v>1.1603456579235001</v>
          </cell>
          <cell r="W51">
            <v>-3.01065328755469E-3</v>
          </cell>
          <cell r="AA51">
            <v>1.1603456579235001</v>
          </cell>
          <cell r="AG51">
            <v>-3.01065328755469E-3</v>
          </cell>
        </row>
        <row r="52">
          <cell r="Q52">
            <v>1.16169859266404</v>
          </cell>
          <cell r="W52">
            <v>-1.2924691554283101E-2</v>
          </cell>
          <cell r="AA52">
            <v>1.16166043079699</v>
          </cell>
          <cell r="AG52">
            <v>-1.2275160166770899E-2</v>
          </cell>
        </row>
        <row r="53">
          <cell r="Q53">
            <v>1.1623501307219</v>
          </cell>
          <cell r="W53">
            <v>-8.1057213808175908E-3</v>
          </cell>
          <cell r="AA53">
            <v>1.16227370480922</v>
          </cell>
          <cell r="AG53">
            <v>-7.4849162380764096E-3</v>
          </cell>
        </row>
        <row r="54">
          <cell r="Q54">
            <v>1.1628847930798301</v>
          </cell>
          <cell r="W54">
            <v>-1.4184333722551699E-2</v>
          </cell>
          <cell r="AA54">
            <v>1.1627691522613399</v>
          </cell>
          <cell r="AG54">
            <v>-1.3584617019638799E-2</v>
          </cell>
        </row>
        <row r="55">
          <cell r="Q55">
            <v>1.1631724430261401</v>
          </cell>
          <cell r="W55">
            <v>-2.6409718576557401E-4</v>
          </cell>
          <cell r="AA55">
            <v>1.16301728467939</v>
          </cell>
          <cell r="AG55">
            <v>3.1615277358496198E-4</v>
          </cell>
        </row>
        <row r="56">
          <cell r="Q56">
            <v>1.16421418760117</v>
          </cell>
          <cell r="W56">
            <v>-1.1654297373456701E-2</v>
          </cell>
          <cell r="AA56">
            <v>1.16405902925442</v>
          </cell>
          <cell r="AG56">
            <v>-1.1787698656358699E-2</v>
          </cell>
        </row>
        <row r="57">
          <cell r="Q57">
            <v>1.16479386389299</v>
          </cell>
          <cell r="W57">
            <v>-9.48170832089704E-3</v>
          </cell>
          <cell r="AA57">
            <v>1.1646387055462499</v>
          </cell>
          <cell r="AG57">
            <v>-9.6149902277207801E-3</v>
          </cell>
        </row>
        <row r="58">
          <cell r="Q58">
            <v>1.1656602750749201</v>
          </cell>
          <cell r="W58">
            <v>-1.32524288708427E-2</v>
          </cell>
          <cell r="AA58">
            <v>1.16550511672817</v>
          </cell>
          <cell r="AG58">
            <v>-1.33856444436047E-2</v>
          </cell>
        </row>
        <row r="59">
          <cell r="Q59">
            <v>1.1656245211646501</v>
          </cell>
          <cell r="W59">
            <v>-1.7322712175821199E-3</v>
          </cell>
          <cell r="AA59">
            <v>1.1654693628179</v>
          </cell>
          <cell r="AG59">
            <v>-1.8653877673725399E-3</v>
          </cell>
        </row>
        <row r="60">
          <cell r="Q60">
            <v>1.16556997830215</v>
          </cell>
          <cell r="W60">
            <v>4.9822661712810102E-3</v>
          </cell>
          <cell r="AA60">
            <v>1.16541481995541</v>
          </cell>
          <cell r="AG60">
            <v>4.8491455380537197E-3</v>
          </cell>
        </row>
        <row r="61">
          <cell r="Q61">
            <v>1.16519019797593</v>
          </cell>
          <cell r="W61">
            <v>1.4143626097271799E-2</v>
          </cell>
          <cell r="AA61">
            <v>1.16503503962919</v>
          </cell>
          <cell r="AG61">
            <v>1.40104992342483E-2</v>
          </cell>
        </row>
        <row r="62">
          <cell r="Q62">
            <v>1.1652094605629699</v>
          </cell>
          <cell r="W62">
            <v>3.5583352342103401E-3</v>
          </cell>
          <cell r="AA62">
            <v>1.1650543022162201</v>
          </cell>
          <cell r="AG62">
            <v>3.42516497712943E-3</v>
          </cell>
        </row>
        <row r="63">
          <cell r="Q63">
            <v>1.1651867531364699</v>
          </cell>
          <cell r="W63">
            <v>2.4491766599490702E-3</v>
          </cell>
          <cell r="AA63">
            <v>1.1650315947897301</v>
          </cell>
          <cell r="AG63">
            <v>2.31600860451028E-3</v>
          </cell>
        </row>
        <row r="64">
          <cell r="Q64">
            <v>1.16560702288768</v>
          </cell>
          <cell r="W64">
            <v>-3.91166869979409E-3</v>
          </cell>
          <cell r="AA64">
            <v>1.16545186454093</v>
          </cell>
          <cell r="AG64">
            <v>-4.0448393506151E-3</v>
          </cell>
        </row>
        <row r="65">
          <cell r="Q65">
            <v>1.1664847636389</v>
          </cell>
          <cell r="W65">
            <v>-4.3536389115743004E-3</v>
          </cell>
          <cell r="AA65">
            <v>1.1663296052921599</v>
          </cell>
          <cell r="AG65">
            <v>-4.4867615433625101E-3</v>
          </cell>
        </row>
        <row r="66">
          <cell r="Q66">
            <v>1.16642004555747</v>
          </cell>
          <cell r="W66">
            <v>1.59853601296149E-3</v>
          </cell>
          <cell r="AA66">
            <v>1.16626488721072</v>
          </cell>
          <cell r="AG66">
            <v>1.4655135581617899E-3</v>
          </cell>
        </row>
        <row r="67">
          <cell r="Q67">
            <v>1.16695716422402</v>
          </cell>
          <cell r="W67">
            <v>-3.2525805453511702E-3</v>
          </cell>
          <cell r="AA67">
            <v>1.1668020058772799</v>
          </cell>
          <cell r="AG67">
            <v>-3.3856103813088901E-3</v>
          </cell>
        </row>
        <row r="68">
          <cell r="Q68">
            <v>1.1668997881909899</v>
          </cell>
          <cell r="W68">
            <v>4.8703098864353398E-3</v>
          </cell>
          <cell r="AA68">
            <v>1.1667446298442501</v>
          </cell>
          <cell r="AG68">
            <v>4.7373412845666402E-3</v>
          </cell>
        </row>
        <row r="69">
          <cell r="Q69">
            <v>1.1671908376684901</v>
          </cell>
          <cell r="W69">
            <v>5.8556975569429097E-4</v>
          </cell>
          <cell r="AA69">
            <v>1.16703567932175</v>
          </cell>
          <cell r="AG69">
            <v>4.5259461537379701E-4</v>
          </cell>
        </row>
        <row r="70">
          <cell r="Q70">
            <v>1.16816100078014</v>
          </cell>
          <cell r="W70">
            <v>-7.3562121648052701E-3</v>
          </cell>
          <cell r="AA70">
            <v>1.1680058424333899</v>
          </cell>
          <cell r="AG70">
            <v>-7.4891541443808298E-3</v>
          </cell>
        </row>
        <row r="71">
          <cell r="Q71">
            <v>1.16871363427271</v>
          </cell>
          <cell r="W71">
            <v>-5.2941382186071501E-3</v>
          </cell>
          <cell r="AA71">
            <v>1.16855847592597</v>
          </cell>
          <cell r="AG71">
            <v>-5.4269697819211002E-3</v>
          </cell>
        </row>
        <row r="72">
          <cell r="Q72">
            <v>1.1688027402314001</v>
          </cell>
          <cell r="W72">
            <v>-7.2539283081452903E-3</v>
          </cell>
          <cell r="AA72">
            <v>1.1686857437517</v>
          </cell>
          <cell r="AG72">
            <v>-7.3866970570604503E-3</v>
          </cell>
        </row>
        <row r="73">
          <cell r="Q73">
            <v>1.16976348070967</v>
          </cell>
          <cell r="W73">
            <v>-1.82826392894745E-2</v>
          </cell>
          <cell r="AA73">
            <v>1.1696847482756001</v>
          </cell>
          <cell r="AG73">
            <v>-1.83827437225852E-2</v>
          </cell>
        </row>
        <row r="74">
          <cell r="Q74">
            <v>1.1703958056489601</v>
          </cell>
          <cell r="W74">
            <v>-1.8496437712434002E-2</v>
          </cell>
          <cell r="AA74">
            <v>1.1703562881206999</v>
          </cell>
          <cell r="AG74">
            <v>-1.8563746262475801E-2</v>
          </cell>
        </row>
        <row r="75">
          <cell r="Q75">
            <v>1.1718329302555699</v>
          </cell>
          <cell r="W75">
            <v>-1.8235580414669699E-2</v>
          </cell>
          <cell r="AA75">
            <v>1.1718329302555699</v>
          </cell>
          <cell r="AG75">
            <v>-1.8269345227580901E-2</v>
          </cell>
        </row>
        <row r="76">
          <cell r="Q76">
            <v>1.1729369622610899</v>
          </cell>
          <cell r="W76">
            <v>-2.2825614943099301E-2</v>
          </cell>
          <cell r="AA76">
            <v>1.1729369622610899</v>
          </cell>
          <cell r="AG76">
            <v>-2.2825614943099301E-2</v>
          </cell>
        </row>
        <row r="77">
          <cell r="Q77">
            <v>1.17438615594944</v>
          </cell>
          <cell r="W77">
            <v>-2.63787724411234E-2</v>
          </cell>
          <cell r="AA77">
            <v>1.17438615594944</v>
          </cell>
          <cell r="AG77">
            <v>-2.63787724411234E-2</v>
          </cell>
        </row>
        <row r="78">
          <cell r="Q78">
            <v>1.17506098763442</v>
          </cell>
          <cell r="W78">
            <v>-1.6420686622968798E-2</v>
          </cell>
          <cell r="AA78">
            <v>1.17506098763442</v>
          </cell>
          <cell r="AG78">
            <v>-1.6420686622968798E-2</v>
          </cell>
        </row>
        <row r="79">
          <cell r="Q79">
            <v>1.17609536739896</v>
          </cell>
          <cell r="W79">
            <v>-1.1261610392384399E-2</v>
          </cell>
          <cell r="AA79">
            <v>1.17609536739896</v>
          </cell>
          <cell r="AG79">
            <v>-1.1261610392384399E-2</v>
          </cell>
        </row>
        <row r="80">
          <cell r="Q80">
            <v>1.1778149563639699</v>
          </cell>
          <cell r="W80">
            <v>-1.52960682814766E-2</v>
          </cell>
          <cell r="AA80">
            <v>1.1778149563639699</v>
          </cell>
          <cell r="AG80">
            <v>-1.52960682814766E-2</v>
          </cell>
        </row>
        <row r="81">
          <cell r="Q81">
            <v>1.17930455735512</v>
          </cell>
          <cell r="W81">
            <v>-9.9939407138602298E-4</v>
          </cell>
          <cell r="AA81">
            <v>1.17930455735512</v>
          </cell>
          <cell r="AG81">
            <v>-9.9939407138602298E-4</v>
          </cell>
        </row>
        <row r="82">
          <cell r="Q82">
            <v>1.1798402377797901</v>
          </cell>
          <cell r="W82">
            <v>6.4137158282995699E-3</v>
          </cell>
          <cell r="AA82">
            <v>1.1798402377797901</v>
          </cell>
          <cell r="AG82">
            <v>6.4137158282995699E-3</v>
          </cell>
        </row>
        <row r="83">
          <cell r="Q83">
            <v>1.1810057722954901</v>
          </cell>
          <cell r="W83">
            <v>-4.9288422189917398E-3</v>
          </cell>
          <cell r="AA83">
            <v>1.1810057722954901</v>
          </cell>
          <cell r="AG83">
            <v>-4.9288422189917398E-3</v>
          </cell>
        </row>
        <row r="84">
          <cell r="Q84">
            <v>1.18180509947002</v>
          </cell>
          <cell r="W84">
            <v>-4.0006671973962897E-3</v>
          </cell>
          <cell r="AA84">
            <v>1.18180509947002</v>
          </cell>
          <cell r="AG84">
            <v>-4.0006671973962897E-3</v>
          </cell>
        </row>
        <row r="85">
          <cell r="Q85">
            <v>1.18269984818465</v>
          </cell>
          <cell r="W85">
            <v>-5.7227738311037999E-3</v>
          </cell>
          <cell r="AA85">
            <v>1.18269984818465</v>
          </cell>
          <cell r="AG85">
            <v>-5.7227738311037999E-3</v>
          </cell>
        </row>
        <row r="86">
          <cell r="Q86">
            <v>1.1837202895579899</v>
          </cell>
          <cell r="W86">
            <v>-1.96860713775858E-3</v>
          </cell>
          <cell r="AA86">
            <v>1.1837202895579899</v>
          </cell>
          <cell r="AG86">
            <v>-1.96860713775858E-3</v>
          </cell>
        </row>
        <row r="87">
          <cell r="Q87">
            <v>1.18502040276445</v>
          </cell>
          <cell r="W87">
            <v>-1.0506292585284901E-2</v>
          </cell>
          <cell r="AA87">
            <v>1.18502040276445</v>
          </cell>
          <cell r="AG87">
            <v>-1.0506292585284901E-2</v>
          </cell>
        </row>
        <row r="88">
          <cell r="Q88">
            <v>1.1860005631469499</v>
          </cell>
          <cell r="W88">
            <v>3.4909683539284201E-3</v>
          </cell>
          <cell r="AA88">
            <v>1.1860005631469499</v>
          </cell>
          <cell r="AG88">
            <v>3.4909683539284201E-3</v>
          </cell>
        </row>
        <row r="89">
          <cell r="Q89">
            <v>1.18706598724311</v>
          </cell>
          <cell r="W89">
            <v>-1.2846761705523899E-3</v>
          </cell>
          <cell r="AA89">
            <v>1.18706598724311</v>
          </cell>
          <cell r="AG89">
            <v>-1.2846761705523899E-3</v>
          </cell>
        </row>
        <row r="90">
          <cell r="Q90">
            <v>1.1878799645534199</v>
          </cell>
          <cell r="W90">
            <v>-4.2218077764562901E-3</v>
          </cell>
          <cell r="AA90">
            <v>1.1878799645534199</v>
          </cell>
          <cell r="AG90">
            <v>-4.2218077764562901E-3</v>
          </cell>
        </row>
        <row r="91">
          <cell r="Q91">
            <v>1.1887075506337199</v>
          </cell>
          <cell r="W91">
            <v>-2.5505070231043301E-3</v>
          </cell>
          <cell r="AA91">
            <v>1.1887075506337199</v>
          </cell>
          <cell r="AG91">
            <v>-2.5505070231043301E-3</v>
          </cell>
        </row>
        <row r="92">
          <cell r="Q92">
            <v>1.1896820693130501</v>
          </cell>
          <cell r="W92">
            <v>-6.7116690004548401E-3</v>
          </cell>
          <cell r="AA92">
            <v>1.1896820693130501</v>
          </cell>
          <cell r="AG92">
            <v>-6.7116690004548401E-3</v>
          </cell>
        </row>
        <row r="93">
          <cell r="Q93">
            <v>1.1906087337740701</v>
          </cell>
          <cell r="W93">
            <v>-1.6025880138256701E-2</v>
          </cell>
          <cell r="AA93">
            <v>1.1906087337740701</v>
          </cell>
          <cell r="AG93">
            <v>-1.6025880138256701E-2</v>
          </cell>
        </row>
        <row r="94">
          <cell r="Q94">
            <v>1.19103235201905</v>
          </cell>
          <cell r="W94">
            <v>-7.9182051699137196E-3</v>
          </cell>
          <cell r="AA94">
            <v>1.19103235201905</v>
          </cell>
          <cell r="AG94">
            <v>-7.9182051699137196E-3</v>
          </cell>
        </row>
        <row r="95">
          <cell r="Q95">
            <v>1.1911936102938401</v>
          </cell>
          <cell r="W95">
            <v>-3.4592841113876001E-3</v>
          </cell>
          <cell r="AA95">
            <v>1.1911936102938401</v>
          </cell>
          <cell r="AG95">
            <v>-3.4592841113876001E-3</v>
          </cell>
        </row>
        <row r="96">
          <cell r="Q96">
            <v>1.1906711426744501</v>
          </cell>
          <cell r="W96">
            <v>2.3151665386865398E-3</v>
          </cell>
          <cell r="AA96">
            <v>1.1906711426744501</v>
          </cell>
          <cell r="AG96">
            <v>2.3151665386867601E-3</v>
          </cell>
        </row>
        <row r="97">
          <cell r="Q97">
            <v>1.19013510836613</v>
          </cell>
          <cell r="W97">
            <v>-2.43052079369386E-3</v>
          </cell>
          <cell r="AA97">
            <v>1.19013510836613</v>
          </cell>
          <cell r="AG97">
            <v>-2.43052079369386E-3</v>
          </cell>
        </row>
        <row r="98">
          <cell r="Q98">
            <v>1.1901276982122899</v>
          </cell>
          <cell r="W98">
            <v>-2.9752915162686998E-3</v>
          </cell>
          <cell r="AA98">
            <v>1.1901276982122899</v>
          </cell>
          <cell r="AG98">
            <v>-2.9752915162686998E-3</v>
          </cell>
        </row>
        <row r="99">
          <cell r="Q99">
            <v>1.1908725422486</v>
          </cell>
          <cell r="W99">
            <v>-1.09787002152953E-2</v>
          </cell>
          <cell r="AA99">
            <v>1.1908725422486</v>
          </cell>
          <cell r="AG99">
            <v>-1.09787002152953E-2</v>
          </cell>
        </row>
        <row r="100">
          <cell r="Q100">
            <v>1.1914167264664</v>
          </cell>
          <cell r="W100">
            <v>-1.1882072823960499E-2</v>
          </cell>
          <cell r="AA100">
            <v>1.1914167264664</v>
          </cell>
          <cell r="AG100">
            <v>-1.1882072823960499E-2</v>
          </cell>
        </row>
        <row r="101">
          <cell r="Q101">
            <v>1.19297125938488</v>
          </cell>
          <cell r="W101">
            <v>-1.5546078406017801E-2</v>
          </cell>
          <cell r="AA101">
            <v>1.19297125938488</v>
          </cell>
          <cell r="AG101">
            <v>-1.5546078406017801E-2</v>
          </cell>
        </row>
        <row r="102">
          <cell r="Q102">
            <v>1.19584244633963</v>
          </cell>
          <cell r="W102">
            <v>-2.99073684385253E-2</v>
          </cell>
          <cell r="AA102">
            <v>1.19584244633963</v>
          </cell>
          <cell r="AG102">
            <v>-2.99073684385253E-2</v>
          </cell>
        </row>
        <row r="103">
          <cell r="Q103">
            <v>1.19772103390305</v>
          </cell>
          <cell r="W103">
            <v>-2.2653463189684399E-2</v>
          </cell>
          <cell r="AA103">
            <v>1.19772103390305</v>
          </cell>
          <cell r="AG103">
            <v>-2.2653463189684399E-2</v>
          </cell>
        </row>
        <row r="104">
          <cell r="Q104">
            <v>1.19932742461174</v>
          </cell>
          <cell r="W104">
            <v>-1.6681062443413101E-2</v>
          </cell>
          <cell r="AA104">
            <v>1.19932742461174</v>
          </cell>
          <cell r="AG104">
            <v>-1.6681062443413101E-2</v>
          </cell>
        </row>
        <row r="105">
          <cell r="Q105">
            <v>1.2010551372017899</v>
          </cell>
          <cell r="W105">
            <v>-1.96619916729758E-2</v>
          </cell>
          <cell r="AA105">
            <v>1.2010551372017899</v>
          </cell>
          <cell r="AG105">
            <v>-1.96619916729758E-2</v>
          </cell>
        </row>
        <row r="106">
          <cell r="Q106">
            <v>1.2026022292179599</v>
          </cell>
          <cell r="W106">
            <v>-1.2343513656183301E-2</v>
          </cell>
          <cell r="AA106">
            <v>1.2026022292179599</v>
          </cell>
          <cell r="AG106">
            <v>-1.23435136561831E-2</v>
          </cell>
        </row>
        <row r="107">
          <cell r="Q107">
            <v>1.20333867775491</v>
          </cell>
          <cell r="W107">
            <v>-6.9185423761371299E-3</v>
          </cell>
          <cell r="AA107">
            <v>1.20333867775491</v>
          </cell>
          <cell r="AG107">
            <v>-6.9185423761371299E-3</v>
          </cell>
        </row>
        <row r="108">
          <cell r="Q108">
            <v>1.20369052308491</v>
          </cell>
          <cell r="W108">
            <v>1.28896040061933E-2</v>
          </cell>
          <cell r="AA108">
            <v>1.20369052308491</v>
          </cell>
          <cell r="AG108">
            <v>1.28896040061933E-2</v>
          </cell>
        </row>
        <row r="109">
          <cell r="Q109">
            <v>1.2039618049016001</v>
          </cell>
          <cell r="W109">
            <v>8.9623671267696093E-3</v>
          </cell>
          <cell r="AA109">
            <v>1.2039618049016001</v>
          </cell>
          <cell r="AG109">
            <v>8.9623671267696093E-3</v>
          </cell>
        </row>
        <row r="110">
          <cell r="Q110">
            <v>1.2036717825260499</v>
          </cell>
          <cell r="W110">
            <v>1.4788773321788001E-2</v>
          </cell>
          <cell r="AA110">
            <v>1.2036717825260499</v>
          </cell>
          <cell r="AG110">
            <v>1.4788773321788001E-2</v>
          </cell>
        </row>
        <row r="111">
          <cell r="Q111">
            <v>1.2034337060895299</v>
          </cell>
          <cell r="W111">
            <v>1.46622504951097E-2</v>
          </cell>
          <cell r="AA111">
            <v>1.2034337060895299</v>
          </cell>
          <cell r="AG111">
            <v>1.46622504951097E-2</v>
          </cell>
        </row>
        <row r="112">
          <cell r="Q112">
            <v>1.2038399844502501</v>
          </cell>
          <cell r="W112">
            <v>-1.1663609170648201E-3</v>
          </cell>
          <cell r="AA112">
            <v>1.2038399844502501</v>
          </cell>
          <cell r="AG112">
            <v>-1.1663609170648201E-3</v>
          </cell>
        </row>
        <row r="113">
          <cell r="Q113">
            <v>1.20327130107643</v>
          </cell>
          <cell r="W113">
            <v>5.25725672536617E-3</v>
          </cell>
          <cell r="AA113">
            <v>1.20327130107643</v>
          </cell>
          <cell r="AG113">
            <v>5.25725672536617E-3</v>
          </cell>
        </row>
        <row r="114">
          <cell r="Q114">
            <v>1.2028274336806399</v>
          </cell>
          <cell r="W114">
            <v>1.0085841453198199E-2</v>
          </cell>
          <cell r="AA114">
            <v>1.2027864223670299</v>
          </cell>
          <cell r="AG114">
            <v>1.0774652188824301E-2</v>
          </cell>
        </row>
        <row r="115">
          <cell r="Q115">
            <v>1.2018975261996101</v>
          </cell>
          <cell r="W115">
            <v>2.2078815729545499E-2</v>
          </cell>
          <cell r="AA115">
            <v>1.2018163657187</v>
          </cell>
          <cell r="AG115">
            <v>2.2727435517939199E-2</v>
          </cell>
        </row>
        <row r="116">
          <cell r="Q116">
            <v>1.20128977834096</v>
          </cell>
          <cell r="W116">
            <v>2.1541236061944E-2</v>
          </cell>
          <cell r="AA116">
            <v>1.20116901841438</v>
          </cell>
          <cell r="AG116">
            <v>2.2147230936200898E-2</v>
          </cell>
        </row>
        <row r="117">
          <cell r="Q117">
            <v>1.2010887316619101</v>
          </cell>
          <cell r="W117">
            <v>9.8226610031838402E-3</v>
          </cell>
          <cell r="AA117">
            <v>1.2009272894654901</v>
          </cell>
          <cell r="AG117">
            <v>1.04063603706765E-2</v>
          </cell>
        </row>
        <row r="118">
          <cell r="Q118">
            <v>1.2003979113443599</v>
          </cell>
          <cell r="W118">
            <v>1.7828418832128601E-2</v>
          </cell>
          <cell r="AA118">
            <v>1.2002364691479399</v>
          </cell>
          <cell r="AG118">
            <v>1.7693996584119399E-2</v>
          </cell>
        </row>
        <row r="119">
          <cell r="Q119">
            <v>1.1985824393351501</v>
          </cell>
          <cell r="W119">
            <v>2.8254187944641702E-2</v>
          </cell>
          <cell r="AA119">
            <v>1.1984209971387301</v>
          </cell>
          <cell r="AG119">
            <v>2.81196883323982E-2</v>
          </cell>
        </row>
        <row r="120">
          <cell r="Q120">
            <v>1.1959946462995701</v>
          </cell>
          <cell r="W120">
            <v>3.8467839497856399E-2</v>
          </cell>
          <cell r="AA120">
            <v>1.1958332041031501</v>
          </cell>
          <cell r="AG120">
            <v>3.8333136147663302E-2</v>
          </cell>
        </row>
        <row r="121">
          <cell r="Q121">
            <v>1.1929468801018199</v>
          </cell>
          <cell r="W121">
            <v>3.9974802309899998E-2</v>
          </cell>
          <cell r="AA121">
            <v>1.1927854379054099</v>
          </cell>
          <cell r="AG121">
            <v>3.9839807480207198E-2</v>
          </cell>
        </row>
        <row r="122">
          <cell r="Q122">
            <v>1.1893660627990199</v>
          </cell>
          <cell r="W122">
            <v>3.0101536181443001E-2</v>
          </cell>
          <cell r="AA122">
            <v>1.1892046206025999</v>
          </cell>
          <cell r="AG122">
            <v>2.9966196440733499E-2</v>
          </cell>
        </row>
        <row r="123">
          <cell r="Q123">
            <v>1.18611808858669</v>
          </cell>
          <cell r="W123">
            <v>2.6482480533959098E-2</v>
          </cell>
          <cell r="AA123">
            <v>1.18595664639027</v>
          </cell>
          <cell r="AG123">
            <v>2.6346733299043201E-2</v>
          </cell>
        </row>
        <row r="124">
          <cell r="Q124">
            <v>1.1837574073422901</v>
          </cell>
          <cell r="W124">
            <v>1.3123095429344801E-2</v>
          </cell>
          <cell r="AA124">
            <v>1.1835959651458801</v>
          </cell>
          <cell r="AG124">
            <v>1.29869764493793E-2</v>
          </cell>
        </row>
        <row r="125">
          <cell r="Q125">
            <v>1.1810580318019599</v>
          </cell>
          <cell r="W125">
            <v>1.2412842437588801E-2</v>
          </cell>
          <cell r="AA125">
            <v>1.1808965896055399</v>
          </cell>
          <cell r="AG125">
            <v>1.2276451986935499E-2</v>
          </cell>
        </row>
        <row r="126">
          <cell r="Q126">
            <v>1.1781908426530701</v>
          </cell>
          <cell r="W126">
            <v>1.9173721613472999E-2</v>
          </cell>
          <cell r="AA126">
            <v>1.1780294004566501</v>
          </cell>
          <cell r="AG126">
            <v>1.90370194133524E-2</v>
          </cell>
        </row>
        <row r="127">
          <cell r="Q127">
            <v>1.1754090468376599</v>
          </cell>
          <cell r="W127">
            <v>1.9606683702103E-2</v>
          </cell>
          <cell r="AA127">
            <v>1.1752476046412399</v>
          </cell>
          <cell r="AG127">
            <v>1.9469648807221001E-2</v>
          </cell>
        </row>
        <row r="128">
          <cell r="Q128">
            <v>1.1729932035331601</v>
          </cell>
          <cell r="W128">
            <v>3.0929422789745999E-2</v>
          </cell>
          <cell r="AA128">
            <v>1.17283176133675</v>
          </cell>
          <cell r="AG128">
            <v>3.0792063557323401E-2</v>
          </cell>
        </row>
        <row r="129">
          <cell r="Q129">
            <v>1.1704816646063001</v>
          </cell>
          <cell r="W129">
            <v>2.6147366769070899E-2</v>
          </cell>
          <cell r="AA129">
            <v>1.1703202224098901</v>
          </cell>
          <cell r="AG129">
            <v>2.6009724618367602E-2</v>
          </cell>
        </row>
        <row r="130">
          <cell r="Q130">
            <v>1.16831818530773</v>
          </cell>
          <cell r="W130">
            <v>2.3743112528021401E-2</v>
          </cell>
          <cell r="AA130">
            <v>1.16815674311131</v>
          </cell>
          <cell r="AG130">
            <v>2.3605175013902299E-2</v>
          </cell>
        </row>
        <row r="131">
          <cell r="Q131">
            <v>1.1657850352899799</v>
          </cell>
          <cell r="W131">
            <v>2.8501872332962901E-2</v>
          </cell>
          <cell r="AA131">
            <v>1.1656235930935599</v>
          </cell>
          <cell r="AG131">
            <v>2.8363679369959E-2</v>
          </cell>
        </row>
        <row r="132">
          <cell r="Q132">
            <v>1.16173755385654</v>
          </cell>
          <cell r="W132">
            <v>3.6600132286883899E-2</v>
          </cell>
          <cell r="AA132">
            <v>1.16157611166012</v>
          </cell>
          <cell r="AG132">
            <v>3.6461639021733598E-2</v>
          </cell>
        </row>
        <row r="133">
          <cell r="Q133">
            <v>1.1585109756719401</v>
          </cell>
          <cell r="W133">
            <v>2.5051207467660201E-2</v>
          </cell>
          <cell r="AA133">
            <v>1.15834953347553</v>
          </cell>
          <cell r="AG133">
            <v>2.4912231659898799E-2</v>
          </cell>
        </row>
        <row r="134">
          <cell r="Q134">
            <v>1.1552746531034901</v>
          </cell>
          <cell r="W134">
            <v>2.8046829937950501E-2</v>
          </cell>
          <cell r="AA134">
            <v>1.1551542222206901</v>
          </cell>
          <cell r="AG134">
            <v>2.79074670405829E-2</v>
          </cell>
        </row>
        <row r="135">
          <cell r="Q135">
            <v>1.15254688779694</v>
          </cell>
          <cell r="W135">
            <v>2.9219822128634301E-2</v>
          </cell>
          <cell r="AA135">
            <v>1.1524666060814299</v>
          </cell>
          <cell r="AG135">
            <v>2.9115572320991701E-2</v>
          </cell>
        </row>
        <row r="136">
          <cell r="Q136">
            <v>1.1497657118379101</v>
          </cell>
          <cell r="W136">
            <v>2.8055924025597499E-2</v>
          </cell>
          <cell r="AA136">
            <v>1.1497250295680801</v>
          </cell>
          <cell r="AG136">
            <v>2.79862656780374E-2</v>
          </cell>
        </row>
        <row r="137">
          <cell r="Q137">
            <v>1.1468395556569599</v>
          </cell>
          <cell r="W137">
            <v>1.6434283948306101E-2</v>
          </cell>
          <cell r="AA137">
            <v>1.1468395556569599</v>
          </cell>
          <cell r="AG137">
            <v>1.6398900226940901E-2</v>
          </cell>
        </row>
        <row r="138">
          <cell r="Q138">
            <v>1.1455006118290101</v>
          </cell>
          <cell r="W138">
            <v>-5.4319643086418899E-3</v>
          </cell>
          <cell r="AA138">
            <v>1.1455006118290101</v>
          </cell>
          <cell r="AG138">
            <v>-5.4319643086421102E-3</v>
          </cell>
        </row>
        <row r="139">
          <cell r="Q139">
            <v>1.1443333601672201</v>
          </cell>
          <cell r="W139">
            <v>1.65072307154985E-3</v>
          </cell>
          <cell r="AA139">
            <v>1.1443333601672201</v>
          </cell>
          <cell r="AG139">
            <v>1.6507230715496299E-3</v>
          </cell>
        </row>
        <row r="140">
          <cell r="Q140">
            <v>1.14344706619167</v>
          </cell>
          <cell r="W140">
            <v>7.6388811709905196E-3</v>
          </cell>
          <cell r="AA140">
            <v>1.14344706619167</v>
          </cell>
          <cell r="AG140">
            <v>7.6388811709905196E-3</v>
          </cell>
        </row>
        <row r="141">
          <cell r="Q141">
            <v>1.1420017440408301</v>
          </cell>
          <cell r="W141">
            <v>2.0520975336171501E-2</v>
          </cell>
          <cell r="AA141">
            <v>1.1420017440408301</v>
          </cell>
          <cell r="AG141">
            <v>2.0520975336171501E-2</v>
          </cell>
        </row>
        <row r="142">
          <cell r="Q142">
            <v>1.1401007372295799</v>
          </cell>
          <cell r="W142">
            <v>1.9853770631278501E-2</v>
          </cell>
          <cell r="AA142">
            <v>1.1401007372295799</v>
          </cell>
          <cell r="AG142">
            <v>1.98537706312783E-2</v>
          </cell>
        </row>
        <row r="143">
          <cell r="Q143">
            <v>1.13768503996452</v>
          </cell>
          <cell r="W143">
            <v>2.67852936649055E-2</v>
          </cell>
          <cell r="AA143">
            <v>1.13768503996452</v>
          </cell>
          <cell r="AG143">
            <v>2.67852936649055E-2</v>
          </cell>
        </row>
        <row r="144">
          <cell r="Q144">
            <v>1.1337764710354801</v>
          </cell>
          <cell r="W144">
            <v>4.0542573983270901E-2</v>
          </cell>
          <cell r="AA144">
            <v>1.1337764710354801</v>
          </cell>
          <cell r="AG144">
            <v>4.0542573983270901E-2</v>
          </cell>
        </row>
        <row r="145">
          <cell r="Q145">
            <v>1.13050499220047</v>
          </cell>
          <cell r="W145">
            <v>2.6863378076232201E-2</v>
          </cell>
          <cell r="AA145">
            <v>1.13050499220047</v>
          </cell>
          <cell r="AG145">
            <v>2.6863378076232E-2</v>
          </cell>
        </row>
        <row r="146">
          <cell r="Q146">
            <v>1.12783101674569</v>
          </cell>
          <cell r="W146">
            <v>2.2684296404266498E-2</v>
          </cell>
          <cell r="AA146">
            <v>1.12783101674569</v>
          </cell>
          <cell r="AG146">
            <v>2.2684296404266498E-2</v>
          </cell>
        </row>
        <row r="147">
          <cell r="Q147">
            <v>1.1256630190325001</v>
          </cell>
          <cell r="W147">
            <v>1.4176191461091499E-2</v>
          </cell>
          <cell r="AA147">
            <v>1.1256630190325001</v>
          </cell>
          <cell r="AG147">
            <v>1.4176191461091499E-2</v>
          </cell>
        </row>
        <row r="148">
          <cell r="Q148">
            <v>1.1249541732794599</v>
          </cell>
          <cell r="W148">
            <v>2.0358706125621199E-4</v>
          </cell>
          <cell r="AA148">
            <v>1.1249541732794599</v>
          </cell>
          <cell r="AG148">
            <v>2.0358706125643401E-4</v>
          </cell>
        </row>
        <row r="149">
          <cell r="Q149">
            <v>1.1237243079833901</v>
          </cell>
          <cell r="W149">
            <v>6.0911631098926802E-3</v>
          </cell>
          <cell r="AA149">
            <v>1.1237243079833901</v>
          </cell>
          <cell r="AG149">
            <v>6.0911631098926802E-3</v>
          </cell>
        </row>
        <row r="150">
          <cell r="Q150">
            <v>1.1231576657533899</v>
          </cell>
          <cell r="W150">
            <v>-7.0594650089437902E-3</v>
          </cell>
          <cell r="AA150">
            <v>1.1231576657533899</v>
          </cell>
          <cell r="AG150">
            <v>-7.0594650089437902E-3</v>
          </cell>
        </row>
        <row r="151">
          <cell r="Q151">
            <v>1.1235776325742599</v>
          </cell>
          <cell r="W151">
            <v>-1.82892160909412E-2</v>
          </cell>
          <cell r="AA151">
            <v>1.1235776325742599</v>
          </cell>
          <cell r="AG151">
            <v>-1.82892160909412E-2</v>
          </cell>
        </row>
        <row r="152">
          <cell r="Q152">
            <v>1.1247817643720499</v>
          </cell>
          <cell r="W152">
            <v>-2.1478275491301099E-2</v>
          </cell>
          <cell r="AA152">
            <v>1.1247817643720499</v>
          </cell>
          <cell r="AG152">
            <v>-2.1478275491301099E-2</v>
          </cell>
        </row>
        <row r="153">
          <cell r="Q153">
            <v>1.12615696769144</v>
          </cell>
          <cell r="W153">
            <v>-3.1262088158362303E-2</v>
          </cell>
          <cell r="AA153">
            <v>1.12615696769144</v>
          </cell>
          <cell r="AG153">
            <v>-3.1262088158362102E-2</v>
          </cell>
        </row>
        <row r="154">
          <cell r="Q154">
            <v>1.1281237545932301</v>
          </cell>
          <cell r="W154">
            <v>-3.4601409970676698E-2</v>
          </cell>
          <cell r="AA154">
            <v>1.1281237545932301</v>
          </cell>
          <cell r="AG154">
            <v>-3.4601409970676698E-2</v>
          </cell>
        </row>
        <row r="155">
          <cell r="Q155">
            <v>1.1305159778256</v>
          </cell>
          <cell r="W155">
            <v>-3.6320202390760899E-2</v>
          </cell>
          <cell r="AA155">
            <v>1.1305159778256</v>
          </cell>
          <cell r="AG155">
            <v>-3.6320202390760899E-2</v>
          </cell>
        </row>
        <row r="156">
          <cell r="Q156">
            <v>1.1330742957070199</v>
          </cell>
          <cell r="W156">
            <v>-3.5889812276783797E-2</v>
          </cell>
          <cell r="AA156">
            <v>1.1330742957070199</v>
          </cell>
          <cell r="AG156">
            <v>-3.5889812276783797E-2</v>
          </cell>
        </row>
        <row r="157">
          <cell r="Q157">
            <v>1.1352153449670801</v>
          </cell>
          <cell r="W157">
            <v>-3.53505924344584E-2</v>
          </cell>
          <cell r="AA157">
            <v>1.1352153449670801</v>
          </cell>
          <cell r="AG157">
            <v>-3.53505924344584E-2</v>
          </cell>
        </row>
        <row r="158">
          <cell r="Q158">
            <v>1.1351494760144201</v>
          </cell>
          <cell r="W158">
            <v>-1.4476412545372601E-2</v>
          </cell>
          <cell r="AA158">
            <v>1.1351494760144201</v>
          </cell>
          <cell r="AG158">
            <v>-1.4476412545372601E-2</v>
          </cell>
        </row>
        <row r="159">
          <cell r="Q159">
            <v>1.13567762684498</v>
          </cell>
          <cell r="W159">
            <v>-1.6620843464840399E-2</v>
          </cell>
          <cell r="AA159">
            <v>1.13567762684498</v>
          </cell>
          <cell r="AG159">
            <v>-1.6620843464840399E-2</v>
          </cell>
        </row>
        <row r="160">
          <cell r="Q160">
            <v>1.1360987560140801</v>
          </cell>
          <cell r="W160">
            <v>-7.3431915044152203E-3</v>
          </cell>
          <cell r="AA160">
            <v>1.1360987560140801</v>
          </cell>
          <cell r="AG160">
            <v>-7.3431915044152203E-3</v>
          </cell>
        </row>
        <row r="161">
          <cell r="Q161">
            <v>1.13754533482608</v>
          </cell>
          <cell r="W161">
            <v>-1.14249985612124E-2</v>
          </cell>
          <cell r="AA161">
            <v>1.13754533482608</v>
          </cell>
          <cell r="AG161">
            <v>-1.1424998561212299E-2</v>
          </cell>
        </row>
        <row r="162">
          <cell r="Q162">
            <v>1.1384678915117401</v>
          </cell>
          <cell r="W162">
            <v>-4.0262180251637403E-4</v>
          </cell>
          <cell r="AA162">
            <v>1.1384678915117401</v>
          </cell>
          <cell r="AG162">
            <v>-4.0262180251637403E-4</v>
          </cell>
        </row>
        <row r="163">
          <cell r="Q163">
            <v>1.13948890302602</v>
          </cell>
          <cell r="W163">
            <v>7.1221211981161801E-3</v>
          </cell>
          <cell r="AA163">
            <v>1.13948890302602</v>
          </cell>
          <cell r="AG163">
            <v>7.1221211981161801E-3</v>
          </cell>
        </row>
        <row r="164">
          <cell r="Q164">
            <v>1.1412675860907999</v>
          </cell>
          <cell r="W164">
            <v>1.0083573734716E-2</v>
          </cell>
          <cell r="AA164">
            <v>1.1412675860907999</v>
          </cell>
          <cell r="AG164">
            <v>1.00835737347162E-2</v>
          </cell>
        </row>
        <row r="165">
          <cell r="Q165">
            <v>1.1428665392183901</v>
          </cell>
          <cell r="W165">
            <v>4.8869109067304298E-3</v>
          </cell>
          <cell r="AA165">
            <v>1.1428665392183901</v>
          </cell>
          <cell r="AG165">
            <v>4.8869109067304298E-3</v>
          </cell>
        </row>
        <row r="166">
          <cell r="Q166">
            <v>1.1438306357078301</v>
          </cell>
          <cell r="W166">
            <v>1.62625815776637E-2</v>
          </cell>
          <cell r="AA166">
            <v>1.1438306357078301</v>
          </cell>
          <cell r="AG166">
            <v>1.6262581577663901E-2</v>
          </cell>
        </row>
        <row r="167">
          <cell r="Q167">
            <v>1.14440102553372</v>
          </cell>
          <cell r="W167">
            <v>1.8055741638171599E-2</v>
          </cell>
          <cell r="AA167">
            <v>1.14440102553372</v>
          </cell>
          <cell r="AG167">
            <v>1.8055741638171401E-2</v>
          </cell>
        </row>
        <row r="168">
          <cell r="Q168">
            <v>1.1440239473899301</v>
          </cell>
          <cell r="W168">
            <v>2.34363328681821E-2</v>
          </cell>
          <cell r="AA168">
            <v>1.1440239473899301</v>
          </cell>
          <cell r="AG168">
            <v>2.3436332868181801E-2</v>
          </cell>
        </row>
        <row r="169">
          <cell r="Q169">
            <v>1.1441257801915401</v>
          </cell>
          <cell r="W169">
            <v>2.1080849857446401E-2</v>
          </cell>
          <cell r="AA169">
            <v>1.1441257801915401</v>
          </cell>
          <cell r="AG169">
            <v>2.1080849857446599E-2</v>
          </cell>
        </row>
        <row r="170">
          <cell r="Q170">
            <v>1.14372569241177</v>
          </cell>
          <cell r="W170">
            <v>1.80286959294821E-2</v>
          </cell>
          <cell r="AA170">
            <v>1.14372569241177</v>
          </cell>
          <cell r="AG170">
            <v>1.80286959294821E-2</v>
          </cell>
        </row>
        <row r="171">
          <cell r="Q171">
            <v>1.14258375560528</v>
          </cell>
          <cell r="W171">
            <v>2.0025696537848602E-2</v>
          </cell>
          <cell r="AA171">
            <v>1.14258375560528</v>
          </cell>
          <cell r="AG171">
            <v>2.00256965378483E-2</v>
          </cell>
        </row>
        <row r="172">
          <cell r="Q172">
            <v>1.1418375480046401</v>
          </cell>
          <cell r="W172">
            <v>8.38167003964152E-3</v>
          </cell>
          <cell r="AA172">
            <v>1.1418375480046401</v>
          </cell>
          <cell r="AG172">
            <v>8.38167003964152E-3</v>
          </cell>
        </row>
        <row r="173">
          <cell r="Q173">
            <v>1.14002124165719</v>
          </cell>
          <cell r="W173">
            <v>1.5590241528873E-2</v>
          </cell>
          <cell r="AA173">
            <v>1.14002124165719</v>
          </cell>
          <cell r="AG173">
            <v>1.5590241528873E-2</v>
          </cell>
        </row>
        <row r="174">
          <cell r="Q174">
            <v>1.1377633921264001</v>
          </cell>
          <cell r="W174">
            <v>1.7139280046751301E-2</v>
          </cell>
          <cell r="AA174">
            <v>1.1377633921264001</v>
          </cell>
          <cell r="AG174">
            <v>1.7139280046751099E-2</v>
          </cell>
        </row>
        <row r="175">
          <cell r="Q175">
            <v>1.1354235484802</v>
          </cell>
          <cell r="W175">
            <v>1.30128683455155E-2</v>
          </cell>
          <cell r="AA175">
            <v>1.1354235484802</v>
          </cell>
          <cell r="AG175">
            <v>1.30128683455155E-2</v>
          </cell>
        </row>
        <row r="176">
          <cell r="Q176">
            <v>1.1328431843634901</v>
          </cell>
          <cell r="W176">
            <v>1.34810253595845E-2</v>
          </cell>
          <cell r="AA176">
            <v>1.1328431843634901</v>
          </cell>
          <cell r="AG176">
            <v>1.34810253595845E-2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LU_IDU_1"/>
    </sheetNames>
    <sheetDataSet>
      <sheetData sheetId="0">
        <row r="1">
          <cell r="O1" t="str">
            <v>VIS/FIDU avg</v>
          </cell>
          <cell r="P1" t="str">
            <v>VIS/FIDU 10 dma</v>
          </cell>
          <cell r="Q1" t="str">
            <v>VIS/FIDU 20 dma</v>
          </cell>
          <cell r="U1" t="str">
            <v>log diff FIDU x avg / VIS</v>
          </cell>
          <cell r="V1" t="str">
            <v>log diff FIDU x 10 dma / VIS</v>
          </cell>
          <cell r="W1" t="str">
            <v>log diff FIDU x 20 dma / VIS</v>
          </cell>
          <cell r="Y1" t="str">
            <v>VIS*/FIDU* avg</v>
          </cell>
          <cell r="Z1" t="str">
            <v>VIS*/FIDU* 10 dma</v>
          </cell>
          <cell r="AA1" t="str">
            <v>VIS*/FIDU* 20 dma</v>
          </cell>
          <cell r="AE1" t="str">
            <v>log diff FIDU* x avg / VIS*</v>
          </cell>
          <cell r="AF1" t="str">
            <v>log diff FIDU* x 10 dma / VIS*</v>
          </cell>
          <cell r="AG1" t="str">
            <v>log diff FIDU* x 20 dma / VIS*</v>
          </cell>
        </row>
        <row r="2">
          <cell r="O2">
            <v>3.6128150130856298</v>
          </cell>
          <cell r="Y2">
            <v>3.6110228019569499</v>
          </cell>
        </row>
        <row r="3">
          <cell r="O3">
            <v>3.6128150130856298</v>
          </cell>
          <cell r="U3">
            <v>-2.4092859133695499E-3</v>
          </cell>
          <cell r="Y3">
            <v>3.6110228019569499</v>
          </cell>
          <cell r="AE3">
            <v>-2.9054795465453002E-3</v>
          </cell>
        </row>
        <row r="4">
          <cell r="O4">
            <v>3.6128150130856298</v>
          </cell>
          <cell r="U4">
            <v>-1.1554365723589299E-3</v>
          </cell>
          <cell r="Y4">
            <v>3.6110228019569499</v>
          </cell>
          <cell r="AE4">
            <v>-1.6516302055345699E-3</v>
          </cell>
        </row>
        <row r="5">
          <cell r="O5">
            <v>3.6128150130856298</v>
          </cell>
          <cell r="U5">
            <v>-7.8347101788015297E-4</v>
          </cell>
          <cell r="Y5">
            <v>3.6110228019569499</v>
          </cell>
          <cell r="AE5">
            <v>-1.27966465105582E-3</v>
          </cell>
        </row>
        <row r="6">
          <cell r="O6">
            <v>3.6128150130856298</v>
          </cell>
          <cell r="U6">
            <v>-1.09024124094411E-3</v>
          </cell>
          <cell r="Y6">
            <v>3.6110228019569499</v>
          </cell>
          <cell r="AE6">
            <v>-1.5864348741198399E-3</v>
          </cell>
        </row>
        <row r="7">
          <cell r="O7">
            <v>3.6128150130856298</v>
          </cell>
          <cell r="U7">
            <v>-1.04116923050735E-3</v>
          </cell>
          <cell r="Y7">
            <v>3.6110228019569499</v>
          </cell>
          <cell r="AE7">
            <v>-1.5373628636829401E-3</v>
          </cell>
        </row>
        <row r="8">
          <cell r="O8">
            <v>3.6128150130856298</v>
          </cell>
          <cell r="U8">
            <v>-6.1879901310915803E-4</v>
          </cell>
          <cell r="Y8">
            <v>3.6110228019569499</v>
          </cell>
          <cell r="AE8">
            <v>-1.1149926462848301E-3</v>
          </cell>
        </row>
        <row r="9">
          <cell r="O9">
            <v>3.6128150130856298</v>
          </cell>
          <cell r="U9">
            <v>7.6980729606419102E-5</v>
          </cell>
          <cell r="Y9">
            <v>3.6110228019569499</v>
          </cell>
          <cell r="AE9">
            <v>-4.1921290356924598E-4</v>
          </cell>
        </row>
        <row r="10">
          <cell r="O10">
            <v>3.6128150130856298</v>
          </cell>
          <cell r="U10">
            <v>1.0099530430384999E-3</v>
          </cell>
          <cell r="Y10">
            <v>3.6110228019569499</v>
          </cell>
          <cell r="AE10">
            <v>5.1375940986279499E-4</v>
          </cell>
        </row>
        <row r="11">
          <cell r="O11">
            <v>3.6128150130856298</v>
          </cell>
          <cell r="P11">
            <v>3.6155090193581398</v>
          </cell>
          <cell r="U11">
            <v>-9.3433814977714002E-5</v>
          </cell>
          <cell r="Y11">
            <v>3.6110228019569499</v>
          </cell>
          <cell r="Z11">
            <v>3.6155090193581398</v>
          </cell>
          <cell r="AE11">
            <v>-5.8962744815335396E-4</v>
          </cell>
        </row>
        <row r="12">
          <cell r="O12">
            <v>3.6128150130856298</v>
          </cell>
          <cell r="P12">
            <v>3.6146421696923001</v>
          </cell>
          <cell r="U12">
            <v>1.0537509013303101E-3</v>
          </cell>
          <cell r="V12">
            <v>1.79915367662214E-3</v>
          </cell>
          <cell r="Y12">
            <v>3.6110228019569499</v>
          </cell>
          <cell r="Z12">
            <v>3.6146421696923001</v>
          </cell>
          <cell r="AE12">
            <v>5.5755726815450097E-4</v>
          </cell>
          <cell r="AF12">
            <v>1.79915367662214E-3</v>
          </cell>
        </row>
        <row r="13">
          <cell r="O13">
            <v>3.6128150130856298</v>
          </cell>
          <cell r="P13">
            <v>3.6130223706273901</v>
          </cell>
          <cell r="U13">
            <v>2.0734393962256099E-3</v>
          </cell>
          <cell r="V13">
            <v>2.5790547459638201E-3</v>
          </cell>
          <cell r="Y13">
            <v>3.6110228019569499</v>
          </cell>
          <cell r="Z13">
            <v>3.6130223706273901</v>
          </cell>
          <cell r="AE13">
            <v>1.5772457630498901E-3</v>
          </cell>
          <cell r="AF13">
            <v>2.5790547459638201E-3</v>
          </cell>
        </row>
        <row r="14">
          <cell r="O14">
            <v>3.6128150130856298</v>
          </cell>
          <cell r="P14">
            <v>3.61235490078999</v>
          </cell>
          <cell r="U14">
            <v>6.9164104802691296E-4</v>
          </cell>
          <cell r="V14">
            <v>7.4903440766245597E-4</v>
          </cell>
          <cell r="Y14">
            <v>3.6110228019569499</v>
          </cell>
          <cell r="Z14">
            <v>3.61235490078999</v>
          </cell>
          <cell r="AE14">
            <v>1.95447414851214E-4</v>
          </cell>
          <cell r="AF14">
            <v>7.4903440766245597E-4</v>
          </cell>
        </row>
        <row r="15">
          <cell r="O15">
            <v>3.6128150130856298</v>
          </cell>
          <cell r="P15">
            <v>3.6118982372231399</v>
          </cell>
          <cell r="U15">
            <v>4.8034771452135501E-4</v>
          </cell>
          <cell r="V15">
            <v>3.5298398418645398E-4</v>
          </cell>
          <cell r="Y15">
            <v>3.6110228019569499</v>
          </cell>
          <cell r="Z15">
            <v>3.6118982372231399</v>
          </cell>
          <cell r="AE15">
            <v>-1.5845918654332399E-5</v>
          </cell>
          <cell r="AF15">
            <v>3.5298398418645398E-4</v>
          </cell>
        </row>
        <row r="16">
          <cell r="O16">
            <v>3.6128150130856298</v>
          </cell>
          <cell r="P16">
            <v>3.6114830843854002</v>
          </cell>
          <cell r="U16">
            <v>5.8277732203588103E-5</v>
          </cell>
          <cell r="V16">
            <v>-1.9551112713363399E-4</v>
          </cell>
          <cell r="Y16">
            <v>3.6110228019569499</v>
          </cell>
          <cell r="Z16">
            <v>3.6114830843854002</v>
          </cell>
          <cell r="AE16">
            <v>-4.3791590097212198E-4</v>
          </cell>
          <cell r="AF16">
            <v>-1.9551112713363399E-4</v>
          </cell>
        </row>
        <row r="17">
          <cell r="O17">
            <v>3.6128150130856298</v>
          </cell>
          <cell r="P17">
            <v>3.6107350412390899</v>
          </cell>
          <cell r="U17">
            <v>1.0293452784856699E-3</v>
          </cell>
          <cell r="V17">
            <v>6.6060946571689196E-4</v>
          </cell>
          <cell r="Y17">
            <v>3.6110228019569499</v>
          </cell>
          <cell r="Z17">
            <v>3.6107350412390899</v>
          </cell>
          <cell r="AE17">
            <v>5.3315164531000405E-4</v>
          </cell>
          <cell r="AF17">
            <v>6.6060946571689196E-4</v>
          </cell>
        </row>
        <row r="18">
          <cell r="O18">
            <v>3.6128150130856298</v>
          </cell>
          <cell r="P18">
            <v>3.6103928839039598</v>
          </cell>
          <cell r="U18">
            <v>3.2812906732122301E-4</v>
          </cell>
          <cell r="V18">
            <v>-2.4775727343568298E-4</v>
          </cell>
          <cell r="Y18">
            <v>3.6110228019569499</v>
          </cell>
          <cell r="Z18">
            <v>3.6103928839039598</v>
          </cell>
          <cell r="AE18">
            <v>-1.6806456585452699E-4</v>
          </cell>
          <cell r="AF18">
            <v>-2.4775727343568298E-4</v>
          </cell>
        </row>
        <row r="19">
          <cell r="O19">
            <v>3.6128150130856298</v>
          </cell>
          <cell r="P19">
            <v>3.61032749099068</v>
          </cell>
          <cell r="U19">
            <v>2.58013710822892E-4</v>
          </cell>
          <cell r="V19">
            <v>-4.1263825074246E-4</v>
          </cell>
          <cell r="Y19">
            <v>3.6110228019569499</v>
          </cell>
          <cell r="Z19">
            <v>3.61032749099068</v>
          </cell>
          <cell r="AE19">
            <v>-2.38179922352781E-4</v>
          </cell>
          <cell r="AF19">
            <v>-4.1263825074246E-4</v>
          </cell>
        </row>
        <row r="20">
          <cell r="O20">
            <v>3.6128150130856298</v>
          </cell>
          <cell r="P20">
            <v>3.6104981267874701</v>
          </cell>
          <cell r="U20">
            <v>5.3728048061461495E-4</v>
          </cell>
          <cell r="V20">
            <v>-1.51484054180856E-4</v>
          </cell>
          <cell r="Y20">
            <v>3.6110228019569499</v>
          </cell>
          <cell r="Z20">
            <v>3.6104981267874701</v>
          </cell>
          <cell r="AE20">
            <v>4.1086847439041798E-5</v>
          </cell>
          <cell r="AF20">
            <v>-1.51484054180856E-4</v>
          </cell>
        </row>
        <row r="21">
          <cell r="O21">
            <v>3.6128150130856298</v>
          </cell>
          <cell r="P21">
            <v>3.6095880452579898</v>
          </cell>
          <cell r="Q21">
            <v>3.6125485323080602</v>
          </cell>
          <cell r="U21">
            <v>2.42854551768491E-3</v>
          </cell>
          <cell r="V21">
            <v>1.7870431121380999E-3</v>
          </cell>
          <cell r="Y21">
            <v>3.6110228019569499</v>
          </cell>
          <cell r="Z21">
            <v>3.6095880452579898</v>
          </cell>
          <cell r="AA21">
            <v>3.6125485323080602</v>
          </cell>
          <cell r="AE21">
            <v>1.93235188450918E-3</v>
          </cell>
          <cell r="AF21">
            <v>1.7870431121380999E-3</v>
          </cell>
        </row>
        <row r="22">
          <cell r="O22">
            <v>3.6128150130856298</v>
          </cell>
          <cell r="P22">
            <v>3.6098940366854402</v>
          </cell>
          <cell r="Q22">
            <v>3.6122681031888701</v>
          </cell>
          <cell r="U22">
            <v>2.06255932533747E-4</v>
          </cell>
          <cell r="V22">
            <v>-6.8734361219211903E-4</v>
          </cell>
          <cell r="W22">
            <v>1.3249333885478E-4</v>
          </cell>
          <cell r="Y22">
            <v>3.6110228019569499</v>
          </cell>
          <cell r="Z22">
            <v>3.6098940366854402</v>
          </cell>
          <cell r="AA22">
            <v>3.6122681031888701</v>
          </cell>
          <cell r="AE22">
            <v>-2.8993770064203201E-4</v>
          </cell>
          <cell r="AF22">
            <v>-6.8734361219211903E-4</v>
          </cell>
          <cell r="AG22">
            <v>1.3249333885478E-4</v>
          </cell>
          <cell r="BJ22">
            <v>0</v>
          </cell>
          <cell r="BV22">
            <v>0</v>
          </cell>
          <cell r="BY22">
            <v>0</v>
          </cell>
        </row>
        <row r="23">
          <cell r="O23">
            <v>3.6128150130856298</v>
          </cell>
          <cell r="P23">
            <v>3.6104566544110002</v>
          </cell>
          <cell r="Q23">
            <v>3.6117395125192</v>
          </cell>
          <cell r="U23">
            <v>5.1413993990046002E-4</v>
          </cell>
          <cell r="V23">
            <v>-2.94691355754764E-4</v>
          </cell>
          <cell r="W23">
            <v>3.6274793817432698E-4</v>
          </cell>
          <cell r="Y23">
            <v>3.6110228019569499</v>
          </cell>
          <cell r="Z23">
            <v>3.6104566544110002</v>
          </cell>
          <cell r="AA23">
            <v>3.6117395125192</v>
          </cell>
          <cell r="AE23">
            <v>1.79463067246175E-5</v>
          </cell>
          <cell r="AF23">
            <v>-2.94691355754764E-4</v>
          </cell>
          <cell r="AG23">
            <v>3.6274793817432698E-4</v>
          </cell>
          <cell r="BJ23">
            <v>0</v>
          </cell>
          <cell r="BV23">
            <v>0</v>
          </cell>
          <cell r="BY23">
            <v>0</v>
          </cell>
        </row>
        <row r="24">
          <cell r="O24">
            <v>3.6128150130856298</v>
          </cell>
          <cell r="P24">
            <v>3.61061568252493</v>
          </cell>
          <cell r="Q24">
            <v>3.61148529165746</v>
          </cell>
          <cell r="U24">
            <v>2.51255633109736E-4</v>
          </cell>
          <cell r="V24">
            <v>-4.0173344635187201E-4</v>
          </cell>
          <cell r="W24">
            <v>-4.64791464035783E-5</v>
          </cell>
          <cell r="Y24">
            <v>3.6110228019569499</v>
          </cell>
          <cell r="Z24">
            <v>3.61061568252493</v>
          </cell>
          <cell r="AA24">
            <v>3.61148529165746</v>
          </cell>
          <cell r="AE24">
            <v>-2.4493800006608699E-4</v>
          </cell>
          <cell r="AF24">
            <v>-4.0173344635187201E-4</v>
          </cell>
          <cell r="AG24">
            <v>-4.64791464035783E-5</v>
          </cell>
          <cell r="BJ24">
            <v>0</v>
          </cell>
          <cell r="BV24">
            <v>0</v>
          </cell>
          <cell r="BY24">
            <v>0</v>
          </cell>
        </row>
        <row r="25">
          <cell r="O25">
            <v>3.6128150130856298</v>
          </cell>
          <cell r="P25">
            <v>3.6111136331963598</v>
          </cell>
          <cell r="Q25">
            <v>3.6115059352097498</v>
          </cell>
          <cell r="U25">
            <v>-8.9765459656855802E-4</v>
          </cell>
          <cell r="V25">
            <v>-1.5065981086874801E-3</v>
          </cell>
          <cell r="W25">
            <v>-1.2657792279097801E-3</v>
          </cell>
          <cell r="Y25">
            <v>3.6110228019569499</v>
          </cell>
          <cell r="Z25">
            <v>3.6111136331963598</v>
          </cell>
          <cell r="AA25">
            <v>3.6115059352097498</v>
          </cell>
          <cell r="AE25">
            <v>-1.3938482297441901E-3</v>
          </cell>
          <cell r="AF25">
            <v>-1.5065981086874801E-3</v>
          </cell>
          <cell r="AG25">
            <v>-1.2657792279097801E-3</v>
          </cell>
          <cell r="BJ25">
            <v>0</v>
          </cell>
          <cell r="BV25">
            <v>0</v>
          </cell>
          <cell r="BY25">
            <v>0</v>
          </cell>
        </row>
        <row r="26">
          <cell r="O26">
            <v>3.6128150130856298</v>
          </cell>
          <cell r="P26">
            <v>3.61130052602272</v>
          </cell>
          <cell r="Q26">
            <v>3.6113918052040601</v>
          </cell>
          <cell r="U26">
            <v>-4.5892391915988403E-4</v>
          </cell>
          <cell r="V26">
            <v>-9.2996398725631697E-4</v>
          </cell>
          <cell r="W26">
            <v>-8.2133248311541803E-4</v>
          </cell>
          <cell r="Y26">
            <v>3.6110228019569499</v>
          </cell>
          <cell r="Z26">
            <v>3.61130052602272</v>
          </cell>
          <cell r="AA26">
            <v>3.6113918052040601</v>
          </cell>
          <cell r="AE26">
            <v>-9.5511755233550503E-4</v>
          </cell>
          <cell r="AF26">
            <v>-9.2996398725631697E-4</v>
          </cell>
          <cell r="AG26">
            <v>-8.2133248311541803E-4</v>
          </cell>
          <cell r="BJ26">
            <v>4.3873067740859972E-4</v>
          </cell>
          <cell r="BV26">
            <v>0</v>
          </cell>
          <cell r="BY26">
            <v>4.3873067740859972E-4</v>
          </cell>
        </row>
        <row r="27">
          <cell r="O27">
            <v>3.6128150130856298</v>
          </cell>
          <cell r="P27">
            <v>3.61164232416166</v>
          </cell>
          <cell r="Q27">
            <v>3.6111886827003699</v>
          </cell>
          <cell r="U27">
            <v>8.2747588283309096E-5</v>
          </cell>
          <cell r="V27">
            <v>-3.3653891866652398E-4</v>
          </cell>
          <cell r="W27">
            <v>-3.1126325215437799E-4</v>
          </cell>
          <cell r="Y27">
            <v>3.6110228019569499</v>
          </cell>
          <cell r="Z27">
            <v>3.61164232416166</v>
          </cell>
          <cell r="AA27">
            <v>3.6111886827003699</v>
          </cell>
          <cell r="AE27">
            <v>-4.1344604489233799E-4</v>
          </cell>
          <cell r="AF27">
            <v>-3.3653891866652398E-4</v>
          </cell>
          <cell r="AG27">
            <v>-3.1126325215437799E-4</v>
          </cell>
          <cell r="BJ27">
            <v>9.8040218485179968E-4</v>
          </cell>
          <cell r="BV27">
            <v>0</v>
          </cell>
          <cell r="BY27">
            <v>9.8040218485179968E-4</v>
          </cell>
        </row>
        <row r="28">
          <cell r="O28">
            <v>3.6128150130856298</v>
          </cell>
          <cell r="P28">
            <v>3.6120813233467</v>
          </cell>
          <cell r="Q28">
            <v>3.6112371036253301</v>
          </cell>
          <cell r="U28">
            <v>-8.8664827070745404E-4</v>
          </cell>
          <cell r="V28">
            <v>-1.21129242860959E-3</v>
          </cell>
          <cell r="W28">
            <v>-1.33690562970781E-3</v>
          </cell>
          <cell r="Y28">
            <v>3.6110228019569499</v>
          </cell>
          <cell r="Z28">
            <v>3.6120813233467</v>
          </cell>
          <cell r="AA28">
            <v>3.6112371036253301</v>
          </cell>
          <cell r="AE28">
            <v>-1.38284190388317E-3</v>
          </cell>
          <cell r="AF28">
            <v>-1.21129242860959E-3</v>
          </cell>
          <cell r="AG28">
            <v>-1.33690562970781E-3</v>
          </cell>
          <cell r="BJ28">
            <v>1.1006325860889741E-5</v>
          </cell>
          <cell r="BV28">
            <v>0</v>
          </cell>
          <cell r="BY28">
            <v>1.1006325860889741E-5</v>
          </cell>
        </row>
        <row r="29">
          <cell r="O29">
            <v>3.6128150130856298</v>
          </cell>
          <cell r="P29">
            <v>3.6127530938539101</v>
          </cell>
          <cell r="Q29">
            <v>3.6115402924222999</v>
          </cell>
          <cell r="U29">
            <v>-1.60014884669952E-3</v>
          </cell>
          <cell r="V29">
            <v>-1.8032492670482299E-3</v>
          </cell>
          <cell r="W29">
            <v>-2.0369977121013801E-3</v>
          </cell>
          <cell r="Y29">
            <v>3.6110228019569499</v>
          </cell>
          <cell r="Z29">
            <v>3.6127530938539101</v>
          </cell>
          <cell r="AA29">
            <v>3.6115402924222999</v>
          </cell>
          <cell r="AE29">
            <v>-2.0963424798751298E-3</v>
          </cell>
          <cell r="AF29">
            <v>-1.8032492670482299E-3</v>
          </cell>
          <cell r="AG29">
            <v>-2.0369977121013801E-3</v>
          </cell>
          <cell r="BJ29">
            <v>-7.0249425013114964E-4</v>
          </cell>
          <cell r="BV29">
            <v>0</v>
          </cell>
          <cell r="BY29">
            <v>-7.0249425013114964E-4</v>
          </cell>
        </row>
        <row r="30">
          <cell r="O30">
            <v>3.6128150130856298</v>
          </cell>
          <cell r="P30">
            <v>3.6129172711787998</v>
          </cell>
          <cell r="Q30">
            <v>3.61170769898313</v>
          </cell>
          <cell r="U30">
            <v>8.2709114836625395E-5</v>
          </cell>
          <cell r="V30">
            <v>6.5570190725923198E-5</v>
          </cell>
          <cell r="W30">
            <v>-2.70186229497415E-4</v>
          </cell>
          <cell r="Y30">
            <v>3.6110228019569499</v>
          </cell>
          <cell r="Z30">
            <v>3.6129172711787998</v>
          </cell>
          <cell r="AA30">
            <v>3.61170769898313</v>
          </cell>
          <cell r="AE30">
            <v>-4.13484518339079E-4</v>
          </cell>
          <cell r="AF30">
            <v>6.5570190725923198E-5</v>
          </cell>
          <cell r="AG30">
            <v>-2.70186229497415E-4</v>
          </cell>
          <cell r="BJ30">
            <v>9.8036371140495051E-4</v>
          </cell>
          <cell r="BV30">
            <v>0</v>
          </cell>
          <cell r="BY30">
            <v>9.8036371140495051E-4</v>
          </cell>
        </row>
        <row r="31">
          <cell r="O31">
            <v>3.6128150130856298</v>
          </cell>
          <cell r="P31">
            <v>3.6134352037873798</v>
          </cell>
          <cell r="Q31">
            <v>3.6115116245226799</v>
          </cell>
          <cell r="U31">
            <v>9.9249287196282094E-4</v>
          </cell>
          <cell r="V31">
            <v>1.0207967418413E-3</v>
          </cell>
          <cell r="W31">
            <v>6.8594968418351598E-4</v>
          </cell>
          <cell r="Y31">
            <v>3.6110228019569499</v>
          </cell>
          <cell r="Z31">
            <v>3.6134352037873798</v>
          </cell>
          <cell r="AA31">
            <v>3.6115116245226799</v>
          </cell>
          <cell r="AE31">
            <v>4.9629923878707796E-4</v>
          </cell>
          <cell r="AF31">
            <v>1.0207967418413E-3</v>
          </cell>
          <cell r="AG31">
            <v>6.8594968418351598E-4</v>
          </cell>
          <cell r="BJ31">
            <v>1.8901474685311811E-3</v>
          </cell>
          <cell r="BV31">
            <v>0</v>
          </cell>
          <cell r="BY31">
            <v>1.8901474685311811E-3</v>
          </cell>
        </row>
        <row r="32">
          <cell r="O32">
            <v>3.6128150130856298</v>
          </cell>
          <cell r="P32">
            <v>3.6129055996808499</v>
          </cell>
          <cell r="Q32">
            <v>3.6113998181831501</v>
          </cell>
          <cell r="U32">
            <v>1.67353854872113E-3</v>
          </cell>
          <cell r="V32">
            <v>1.8451879338542399E-3</v>
          </cell>
          <cell r="W32">
            <v>1.31270531332824E-3</v>
          </cell>
          <cell r="Y32">
            <v>3.6110228019569499</v>
          </cell>
          <cell r="Z32">
            <v>3.6129055996808499</v>
          </cell>
          <cell r="AA32">
            <v>3.6113998181831501</v>
          </cell>
          <cell r="AE32">
            <v>1.17734491554548E-3</v>
          </cell>
          <cell r="AF32">
            <v>1.8451879338542399E-3</v>
          </cell>
          <cell r="AG32">
            <v>1.31270531332824E-3</v>
          </cell>
          <cell r="BJ32">
            <v>1.8901474685311811E-3</v>
          </cell>
          <cell r="BV32">
            <v>0</v>
          </cell>
          <cell r="BY32">
            <v>1.8901474685311811E-3</v>
          </cell>
        </row>
        <row r="33">
          <cell r="O33">
            <v>3.6128150130856298</v>
          </cell>
          <cell r="P33">
            <v>3.6131540691592199</v>
          </cell>
          <cell r="Q33">
            <v>3.6118053617851098</v>
          </cell>
          <cell r="U33">
            <v>-1.7372192933200401E-4</v>
          </cell>
          <cell r="V33">
            <v>-1.48648556010327E-4</v>
          </cell>
          <cell r="W33">
            <v>-5.6551396587656202E-4</v>
          </cell>
          <cell r="Y33">
            <v>3.6110228019569499</v>
          </cell>
          <cell r="Z33">
            <v>3.6131540691592199</v>
          </cell>
          <cell r="AA33">
            <v>3.6118053617851098</v>
          </cell>
          <cell r="AE33">
            <v>-6.69915562507656E-4</v>
          </cell>
          <cell r="AF33">
            <v>-1.48648556010327E-4</v>
          </cell>
          <cell r="AG33">
            <v>-5.6551396587656202E-4</v>
          </cell>
          <cell r="BJ33">
            <v>1.8901474685311811E-3</v>
          </cell>
          <cell r="BV33">
            <v>1.8472604780531009E-3</v>
          </cell>
          <cell r="BY33">
            <v>3.7374079465842822E-3</v>
          </cell>
        </row>
        <row r="34">
          <cell r="O34">
            <v>3.6128150130856298</v>
          </cell>
          <cell r="P34">
            <v>3.6126138743402398</v>
          </cell>
          <cell r="Q34">
            <v>3.6116147784325801</v>
          </cell>
          <cell r="U34">
            <v>1.7479694754970101E-3</v>
          </cell>
          <cell r="V34">
            <v>1.84181324094164E-3</v>
          </cell>
          <cell r="W34">
            <v>1.46846653839934E-3</v>
          </cell>
          <cell r="Y34">
            <v>3.6110228019569499</v>
          </cell>
          <cell r="Z34">
            <v>3.6126138743402398</v>
          </cell>
          <cell r="AA34">
            <v>3.6116147784325801</v>
          </cell>
          <cell r="AE34">
            <v>1.25177584232157E-3</v>
          </cell>
          <cell r="AF34">
            <v>1.84181324094164E-3</v>
          </cell>
          <cell r="AG34">
            <v>1.46846653839934E-3</v>
          </cell>
          <cell r="BJ34">
            <v>1.8901474685311811E-3</v>
          </cell>
          <cell r="BV34">
            <v>1.8472604780531009E-3</v>
          </cell>
          <cell r="BY34">
            <v>3.7374079465842822E-3</v>
          </cell>
        </row>
        <row r="35">
          <cell r="O35">
            <v>3.6128150130856298</v>
          </cell>
          <cell r="P35">
            <v>3.6121389239577999</v>
          </cell>
          <cell r="Q35">
            <v>3.6116262785770799</v>
          </cell>
          <cell r="U35">
            <v>4.1665608654890401E-4</v>
          </cell>
          <cell r="V35">
            <v>3.6098084606670601E-4</v>
          </cell>
          <cell r="W35">
            <v>8.4384973470491293E-5</v>
          </cell>
          <cell r="Y35">
            <v>3.6110228019569499</v>
          </cell>
          <cell r="Z35">
            <v>3.6121389239577999</v>
          </cell>
          <cell r="AA35">
            <v>3.6116262785770799</v>
          </cell>
          <cell r="AE35">
            <v>-7.9537546626778599E-5</v>
          </cell>
          <cell r="AF35">
            <v>3.6098084606670601E-4</v>
          </cell>
          <cell r="AG35">
            <v>8.4384973470491293E-5</v>
          </cell>
          <cell r="BJ35">
            <v>1.8901474685311811E-3</v>
          </cell>
          <cell r="BV35">
            <v>3.1785738670012508E-3</v>
          </cell>
          <cell r="BY35">
            <v>5.0687213355324317E-3</v>
          </cell>
        </row>
        <row r="36">
          <cell r="O36">
            <v>3.6128150130856298</v>
          </cell>
          <cell r="P36">
            <v>3.6114344593162402</v>
          </cell>
          <cell r="Q36">
            <v>3.6113674926694799</v>
          </cell>
          <cell r="U36">
            <v>1.4919883193522799E-3</v>
          </cell>
          <cell r="V36">
            <v>1.30483442586109E-3</v>
          </cell>
          <cell r="W36">
            <v>1.1629014124784E-3</v>
          </cell>
          <cell r="Y36">
            <v>3.6110228019569499</v>
          </cell>
          <cell r="Z36">
            <v>3.6114344593162402</v>
          </cell>
          <cell r="AA36">
            <v>3.6113674926694799</v>
          </cell>
          <cell r="AE36">
            <v>9.9579468617650509E-4</v>
          </cell>
          <cell r="AF36">
            <v>1.30483442586109E-3</v>
          </cell>
          <cell r="AG36">
            <v>1.1629014124784E-3</v>
          </cell>
          <cell r="BJ36">
            <v>1.8901474685311811E-3</v>
          </cell>
          <cell r="BV36">
            <v>2.103241634197851E-3</v>
          </cell>
          <cell r="BY36">
            <v>3.9933891027290318E-3</v>
          </cell>
        </row>
        <row r="37">
          <cell r="O37">
            <v>3.6128150130856298</v>
          </cell>
          <cell r="P37">
            <v>3.6115232213369</v>
          </cell>
          <cell r="Q37">
            <v>3.61158277274928</v>
          </cell>
          <cell r="U37">
            <v>-1.6292915311022499E-4</v>
          </cell>
          <cell r="V37">
            <v>-5.4512907338555305E-4</v>
          </cell>
          <cell r="W37">
            <v>-5.6367219479608397E-4</v>
          </cell>
          <cell r="Y37">
            <v>3.6110228019569499</v>
          </cell>
          <cell r="Z37">
            <v>3.6115232213369</v>
          </cell>
          <cell r="AA37">
            <v>3.61158277274928</v>
          </cell>
          <cell r="AE37">
            <v>-6.5912278628589701E-4</v>
          </cell>
          <cell r="AF37">
            <v>-5.4512907338555305E-4</v>
          </cell>
          <cell r="AG37">
            <v>-5.6367219479608397E-4</v>
          </cell>
          <cell r="BJ37">
            <v>1.8901474685311811E-3</v>
          </cell>
          <cell r="BV37">
            <v>3.7581591066605507E-3</v>
          </cell>
          <cell r="BY37">
            <v>5.6483065751917316E-3</v>
          </cell>
        </row>
        <row r="38">
          <cell r="O38">
            <v>3.6128150130856298</v>
          </cell>
          <cell r="P38">
            <v>3.6108295675431901</v>
          </cell>
          <cell r="Q38">
            <v>3.6114554454449399</v>
          </cell>
          <cell r="U38">
            <v>1.03347387661792E-3</v>
          </cell>
          <cell r="V38">
            <v>6.7585170539954205E-4</v>
          </cell>
          <cell r="W38">
            <v>6.9234084800143595E-4</v>
          </cell>
          <cell r="Y38">
            <v>3.6110228019569499</v>
          </cell>
          <cell r="Z38">
            <v>3.6108295675431901</v>
          </cell>
          <cell r="AA38">
            <v>3.6114554454449399</v>
          </cell>
          <cell r="AE38">
            <v>5.3728024344234203E-4</v>
          </cell>
          <cell r="AF38">
            <v>6.7585170539954205E-4</v>
          </cell>
          <cell r="AG38">
            <v>6.9234084800143595E-4</v>
          </cell>
          <cell r="BJ38">
            <v>1.8901474685311811E-3</v>
          </cell>
          <cell r="BV38">
            <v>3.7581591066605507E-3</v>
          </cell>
          <cell r="BY38">
            <v>5.6483065751917316E-3</v>
          </cell>
        </row>
        <row r="39">
          <cell r="O39">
            <v>3.6128150130856298</v>
          </cell>
          <cell r="P39">
            <v>3.6098175110969</v>
          </cell>
          <cell r="Q39">
            <v>3.6112853024754101</v>
          </cell>
          <cell r="U39">
            <v>1.2005867082199599E-3</v>
          </cell>
          <cell r="V39">
            <v>6.5087926614354398E-4</v>
          </cell>
          <cell r="W39">
            <v>8.2419779406076499E-4</v>
          </cell>
          <cell r="Y39">
            <v>3.6110228019569499</v>
          </cell>
          <cell r="Z39">
            <v>3.6098175110969</v>
          </cell>
          <cell r="AA39">
            <v>3.6112853024754101</v>
          </cell>
          <cell r="AE39">
            <v>7.0439307504412195E-4</v>
          </cell>
          <cell r="AF39">
            <v>6.5087926614354398E-4</v>
          </cell>
          <cell r="AG39">
            <v>8.2419779406076499E-4</v>
          </cell>
          <cell r="BJ39">
            <v>1.8901474685311811E-3</v>
          </cell>
          <cell r="BV39">
            <v>3.7581591066605507E-3</v>
          </cell>
          <cell r="BY39">
            <v>5.6483065751917316E-3</v>
          </cell>
        </row>
        <row r="40">
          <cell r="O40">
            <v>3.6128150130856298</v>
          </cell>
          <cell r="P40">
            <v>3.60981496517191</v>
          </cell>
          <cell r="Q40">
            <v>3.61136611817536</v>
          </cell>
          <cell r="U40">
            <v>8.9756651271302105E-5</v>
          </cell>
          <cell r="V40">
            <v>-7.40273715299349E-4</v>
          </cell>
          <cell r="W40">
            <v>-3.3374539500956199E-4</v>
          </cell>
          <cell r="Y40">
            <v>3.6110228019569499</v>
          </cell>
          <cell r="Z40">
            <v>3.60981496517191</v>
          </cell>
          <cell r="AA40">
            <v>3.61136611817536</v>
          </cell>
          <cell r="AE40">
            <v>-4.0643698190427402E-4</v>
          </cell>
          <cell r="AF40">
            <v>-7.40273715299349E-4</v>
          </cell>
          <cell r="AG40">
            <v>-3.3374539500956199E-4</v>
          </cell>
          <cell r="BJ40">
            <v>1.8901474685311811E-3</v>
          </cell>
          <cell r="BV40">
            <v>3.7581591066605507E-3</v>
          </cell>
          <cell r="BY40">
            <v>5.6483065751917316E-3</v>
          </cell>
        </row>
        <row r="41">
          <cell r="O41">
            <v>3.6128150130856298</v>
          </cell>
          <cell r="P41">
            <v>3.60979552646238</v>
          </cell>
          <cell r="Q41">
            <v>3.6116153651248801</v>
          </cell>
          <cell r="U41">
            <v>1.04635263457002E-3</v>
          </cell>
          <cell r="V41">
            <v>2.1561698971823601E-4</v>
          </cell>
          <cell r="W41">
            <v>6.4522899069132398E-4</v>
          </cell>
          <cell r="Y41">
            <v>3.6110228019569499</v>
          </cell>
          <cell r="Z41">
            <v>3.60979552646238</v>
          </cell>
          <cell r="AA41">
            <v>3.6116153651248801</v>
          </cell>
          <cell r="AE41">
            <v>5.5015900139423297E-4</v>
          </cell>
          <cell r="AF41">
            <v>2.1561698971823601E-4</v>
          </cell>
          <cell r="AG41">
            <v>6.4522899069132398E-4</v>
          </cell>
          <cell r="BJ41">
            <v>1.8901474685311811E-3</v>
          </cell>
          <cell r="BV41">
            <v>3.7581591066605507E-3</v>
          </cell>
          <cell r="BY41">
            <v>5.6483065751917316E-3</v>
          </cell>
        </row>
        <row r="42">
          <cell r="O42">
            <v>3.6128150130856298</v>
          </cell>
          <cell r="P42">
            <v>3.6094721580760298</v>
          </cell>
          <cell r="Q42">
            <v>3.6111888788784401</v>
          </cell>
          <cell r="U42">
            <v>2.5704992198697998E-3</v>
          </cell>
          <cell r="V42">
            <v>1.7343786004257601E-3</v>
          </cell>
          <cell r="W42">
            <v>2.2383905527567699E-3</v>
          </cell>
          <cell r="Y42">
            <v>3.6110228019569499</v>
          </cell>
          <cell r="Z42">
            <v>3.6094721580760298</v>
          </cell>
          <cell r="AA42">
            <v>3.6111888788784401</v>
          </cell>
          <cell r="AE42">
            <v>2.0743055866941501E-3</v>
          </cell>
          <cell r="AF42">
            <v>1.7343786004257601E-3</v>
          </cell>
          <cell r="AG42">
            <v>2.2383905527567699E-3</v>
          </cell>
          <cell r="BJ42">
            <v>1.8901474685311811E-3</v>
          </cell>
          <cell r="BV42">
            <v>3.7581591066605507E-3</v>
          </cell>
          <cell r="BY42">
            <v>5.6483065751917316E-3</v>
          </cell>
        </row>
        <row r="43">
          <cell r="O43">
            <v>3.6128150130856298</v>
          </cell>
          <cell r="P43">
            <v>3.60878258111196</v>
          </cell>
          <cell r="Q43">
            <v>3.6109683251355902</v>
          </cell>
          <cell r="U43">
            <v>1.7364668948140901E-3</v>
          </cell>
          <cell r="V43">
            <v>8.1076145854359905E-4</v>
          </cell>
          <cell r="W43">
            <v>1.2862638608786899E-3</v>
          </cell>
          <cell r="Y43">
            <v>3.6110228019569499</v>
          </cell>
          <cell r="Z43">
            <v>3.60878258111196</v>
          </cell>
          <cell r="AA43">
            <v>3.6109683251355902</v>
          </cell>
          <cell r="AE43">
            <v>1.24027326163841E-3</v>
          </cell>
          <cell r="AF43">
            <v>8.1076145854359905E-4</v>
          </cell>
          <cell r="AG43">
            <v>1.2862638608786899E-3</v>
          </cell>
          <cell r="BJ43">
            <v>1.8901474685311811E-3</v>
          </cell>
          <cell r="BV43">
            <v>4.5921914317162606E-3</v>
          </cell>
          <cell r="BY43">
            <v>6.4823389002474415E-3</v>
          </cell>
        </row>
        <row r="44">
          <cell r="O44">
            <v>3.6128150130856298</v>
          </cell>
          <cell r="P44">
            <v>3.6084036287582801</v>
          </cell>
          <cell r="Q44">
            <v>3.61050875154926</v>
          </cell>
          <cell r="U44">
            <v>2.7992685547631999E-3</v>
          </cell>
          <cell r="V44">
            <v>1.68249838301905E-3</v>
          </cell>
          <cell r="W44">
            <v>2.2879885498655098E-3</v>
          </cell>
          <cell r="Y44">
            <v>3.6110228019569499</v>
          </cell>
          <cell r="Z44">
            <v>3.6084036287582801</v>
          </cell>
          <cell r="AA44">
            <v>3.61050875154926</v>
          </cell>
          <cell r="AE44">
            <v>2.30307492158745E-3</v>
          </cell>
          <cell r="AF44">
            <v>1.68249838301905E-3</v>
          </cell>
          <cell r="AG44">
            <v>2.2879885498655098E-3</v>
          </cell>
          <cell r="BJ44">
            <v>1.8901474685311811E-3</v>
          </cell>
          <cell r="BV44">
            <v>3.5293897717670625E-3</v>
          </cell>
          <cell r="BY44">
            <v>5.4195372402982434E-3</v>
          </cell>
        </row>
        <row r="45">
          <cell r="O45">
            <v>3.6128150130856298</v>
          </cell>
          <cell r="P45">
            <v>3.6079801994757799</v>
          </cell>
          <cell r="Q45">
            <v>3.6100595617167901</v>
          </cell>
          <cell r="U45">
            <v>1.58985282408074E-3</v>
          </cell>
          <cell r="V45">
            <v>3.6806877490207403E-4</v>
          </cell>
          <cell r="W45">
            <v>9.5129315545981503E-4</v>
          </cell>
          <cell r="Y45">
            <v>3.6110228019569499</v>
          </cell>
          <cell r="Z45">
            <v>3.6079801994757799</v>
          </cell>
          <cell r="AA45">
            <v>3.6100595617167901</v>
          </cell>
          <cell r="AE45">
            <v>1.09365919090501E-3</v>
          </cell>
          <cell r="AF45">
            <v>3.6806877490207403E-4</v>
          </cell>
          <cell r="AG45">
            <v>9.5129315545981503E-4</v>
          </cell>
          <cell r="BJ45">
            <v>1.8901474685311811E-3</v>
          </cell>
          <cell r="BV45">
            <v>4.738805502449461E-3</v>
          </cell>
          <cell r="BY45">
            <v>6.6289529709806418E-3</v>
          </cell>
        </row>
        <row r="46">
          <cell r="O46">
            <v>3.6128150130856298</v>
          </cell>
          <cell r="P46">
            <v>3.60771059309773</v>
          </cell>
          <cell r="Q46">
            <v>3.6095725262069802</v>
          </cell>
          <cell r="U46">
            <v>2.2396321225844301E-3</v>
          </cell>
          <cell r="V46">
            <v>9.0049586680008697E-4</v>
          </cell>
          <cell r="W46">
            <v>1.47665293085775E-3</v>
          </cell>
          <cell r="Y46">
            <v>3.6110228019569499</v>
          </cell>
          <cell r="Z46">
            <v>3.60771059309773</v>
          </cell>
          <cell r="AA46">
            <v>3.6095725262069802</v>
          </cell>
          <cell r="AE46">
            <v>1.74343848940901E-3</v>
          </cell>
          <cell r="AF46">
            <v>9.0049586680008697E-4</v>
          </cell>
          <cell r="AG46">
            <v>1.47665293085775E-3</v>
          </cell>
          <cell r="BJ46">
            <v>1.8901474685311811E-3</v>
          </cell>
          <cell r="BV46">
            <v>4.0890262039454811E-3</v>
          </cell>
          <cell r="BY46">
            <v>5.979173672476662E-3</v>
          </cell>
        </row>
        <row r="47">
          <cell r="O47">
            <v>3.6128150130856298</v>
          </cell>
          <cell r="P47">
            <v>3.6068307282765799</v>
          </cell>
          <cell r="Q47">
            <v>3.6091769748067399</v>
          </cell>
          <cell r="U47">
            <v>2.2750431151033401E-3</v>
          </cell>
          <cell r="V47">
            <v>8.6117905128687395E-4</v>
          </cell>
          <cell r="W47">
            <v>1.3771441644149199E-3</v>
          </cell>
          <cell r="Y47">
            <v>3.6110228019569499</v>
          </cell>
          <cell r="Z47">
            <v>3.6068307282765799</v>
          </cell>
          <cell r="AA47">
            <v>3.6091769748067399</v>
          </cell>
          <cell r="AE47">
            <v>1.77884948192758E-3</v>
          </cell>
          <cell r="AF47">
            <v>8.6117905128687395E-4</v>
          </cell>
          <cell r="AG47">
            <v>1.3771441644149199E-3</v>
          </cell>
          <cell r="BJ47">
            <v>1.8901474685311811E-3</v>
          </cell>
          <cell r="BV47">
            <v>4.0536152114268413E-3</v>
          </cell>
          <cell r="BY47">
            <v>5.9437626799580222E-3</v>
          </cell>
        </row>
        <row r="48">
          <cell r="O48">
            <v>3.6128150130856298</v>
          </cell>
          <cell r="P48">
            <v>3.6060657387497401</v>
          </cell>
          <cell r="Q48">
            <v>3.60844765314646</v>
          </cell>
          <cell r="U48">
            <v>3.1553463252647902E-3</v>
          </cell>
          <cell r="V48">
            <v>1.4975679815761699E-3</v>
          </cell>
          <cell r="W48">
            <v>2.1478573685556599E-3</v>
          </cell>
          <cell r="Y48">
            <v>3.6110228019569499</v>
          </cell>
          <cell r="Z48">
            <v>3.6060657387497401</v>
          </cell>
          <cell r="AA48">
            <v>3.60844765314646</v>
          </cell>
          <cell r="AE48">
            <v>2.65915269208916E-3</v>
          </cell>
          <cell r="AF48">
            <v>1.4975679815761699E-3</v>
          </cell>
          <cell r="AG48">
            <v>2.1478573685556599E-3</v>
          </cell>
          <cell r="BJ48">
            <v>1.8901474685311811E-3</v>
          </cell>
          <cell r="BV48">
            <v>3.1733120012653699E-3</v>
          </cell>
          <cell r="BY48">
            <v>5.0634594697965508E-3</v>
          </cell>
        </row>
        <row r="49">
          <cell r="O49">
            <v>3.6128150130856298</v>
          </cell>
          <cell r="P49">
            <v>3.60558696467591</v>
          </cell>
          <cell r="Q49">
            <v>3.6077022378864001</v>
          </cell>
          <cell r="U49">
            <v>2.52827027224566E-3</v>
          </cell>
          <cell r="V49">
            <v>6.5837477611728002E-4</v>
          </cell>
          <cell r="W49">
            <v>1.3186866651897599E-3</v>
          </cell>
          <cell r="Y49">
            <v>3.6110228019569499</v>
          </cell>
          <cell r="Z49">
            <v>3.60558696467591</v>
          </cell>
          <cell r="AA49">
            <v>3.6077022378864001</v>
          </cell>
          <cell r="AE49">
            <v>2.0320766390699799E-3</v>
          </cell>
          <cell r="AF49">
            <v>6.5837477611728002E-4</v>
          </cell>
          <cell r="AG49">
            <v>1.3186866651897599E-3</v>
          </cell>
          <cell r="BJ49">
            <v>1.8901474685311811E-3</v>
          </cell>
          <cell r="BV49">
            <v>3.8003880542845708E-3</v>
          </cell>
          <cell r="BY49">
            <v>5.6905355228157517E-3</v>
          </cell>
        </row>
        <row r="50">
          <cell r="O50">
            <v>3.6128150130856298</v>
          </cell>
          <cell r="P50">
            <v>3.6049187549334598</v>
          </cell>
          <cell r="Q50">
            <v>3.6073668600526898</v>
          </cell>
          <cell r="U50">
            <v>1.94118978089551E-3</v>
          </cell>
          <cell r="V50">
            <v>-6.1483621830274197E-5</v>
          </cell>
          <cell r="W50">
            <v>5.2500978269887902E-4</v>
          </cell>
          <cell r="Y50">
            <v>3.6110228019569499</v>
          </cell>
          <cell r="Z50">
            <v>3.6049187549334598</v>
          </cell>
          <cell r="AA50">
            <v>3.6073668600526898</v>
          </cell>
          <cell r="AE50">
            <v>1.44499614771987E-3</v>
          </cell>
          <cell r="AF50">
            <v>-6.1483621830274197E-5</v>
          </cell>
          <cell r="AG50">
            <v>5.2500978269887902E-4</v>
          </cell>
          <cell r="BJ50">
            <v>1.8901474685311811E-3</v>
          </cell>
          <cell r="BV50">
            <v>4.3874685456346306E-3</v>
          </cell>
          <cell r="BY50">
            <v>6.2776160141658115E-3</v>
          </cell>
        </row>
        <row r="51">
          <cell r="O51">
            <v>3.6128150130856298</v>
          </cell>
          <cell r="P51">
            <v>3.6044707571282601</v>
          </cell>
          <cell r="Q51">
            <v>3.6071331417953201</v>
          </cell>
          <cell r="U51">
            <v>2.288446096598E-3</v>
          </cell>
          <cell r="V51">
            <v>1.0042931565788299E-4</v>
          </cell>
          <cell r="W51">
            <v>7.7930016019481403E-4</v>
          </cell>
          <cell r="Y51">
            <v>3.6110228019569499</v>
          </cell>
          <cell r="Z51">
            <v>3.6044707571282601</v>
          </cell>
          <cell r="AA51">
            <v>3.6071331417953201</v>
          </cell>
          <cell r="AE51">
            <v>1.7922524634226399E-3</v>
          </cell>
          <cell r="AF51">
            <v>1.0042931565788299E-4</v>
          </cell>
          <cell r="AG51">
            <v>7.7930016019481403E-4</v>
          </cell>
          <cell r="BJ51">
            <v>1.8901474685311811E-3</v>
          </cell>
          <cell r="BV51">
            <v>4.0402122299320895E-3</v>
          </cell>
          <cell r="BY51">
            <v>5.9303596984632704E-3</v>
          </cell>
        </row>
        <row r="52">
          <cell r="O52">
            <v>3.6128150130856298</v>
          </cell>
          <cell r="P52">
            <v>3.6047949315569801</v>
          </cell>
          <cell r="Q52">
            <v>3.6071335448165001</v>
          </cell>
          <cell r="U52">
            <v>1.6713037497381E-3</v>
          </cell>
          <cell r="V52">
            <v>-6.4099479043638798E-4</v>
          </cell>
          <cell r="W52">
            <v>9.7366557561154204E-5</v>
          </cell>
          <cell r="Y52">
            <v>3.6110228019569499</v>
          </cell>
          <cell r="Z52">
            <v>3.6047949315569801</v>
          </cell>
          <cell r="AA52">
            <v>3.6071335448165001</v>
          </cell>
          <cell r="AE52">
            <v>1.1751101165625799E-3</v>
          </cell>
          <cell r="AF52">
            <v>-6.4099479043638798E-4</v>
          </cell>
          <cell r="AG52">
            <v>9.7366557561154204E-5</v>
          </cell>
          <cell r="BJ52">
            <v>1.8901474685311811E-3</v>
          </cell>
          <cell r="BV52">
            <v>4.6573545767922197E-3</v>
          </cell>
          <cell r="BY52">
            <v>6.5475020453234006E-3</v>
          </cell>
        </row>
        <row r="53">
          <cell r="O53">
            <v>3.6128150130856298</v>
          </cell>
          <cell r="P53">
            <v>3.60458901530638</v>
          </cell>
          <cell r="Q53">
            <v>3.60668579820917</v>
          </cell>
          <cell r="U53">
            <v>2.3075812084103202E-3</v>
          </cell>
          <cell r="V53">
            <v>8.5215386194387494E-5</v>
          </cell>
          <cell r="W53">
            <v>7.3375574517202304E-4</v>
          </cell>
          <cell r="Y53">
            <v>3.6110228019569499</v>
          </cell>
          <cell r="Z53">
            <v>3.60458901530638</v>
          </cell>
          <cell r="AA53">
            <v>3.60668579820917</v>
          </cell>
          <cell r="AE53">
            <v>1.8113875752347401E-3</v>
          </cell>
          <cell r="AF53">
            <v>8.5215386194387494E-5</v>
          </cell>
          <cell r="AG53">
            <v>7.3375574517202304E-4</v>
          </cell>
          <cell r="BJ53">
            <v>1.8901474685311811E-3</v>
          </cell>
          <cell r="BV53">
            <v>4.02107711811999E-3</v>
          </cell>
          <cell r="BY53">
            <v>5.9112245866511709E-3</v>
          </cell>
        </row>
        <row r="54">
          <cell r="O54">
            <v>3.6128150130856298</v>
          </cell>
          <cell r="P54">
            <v>3.6054804796523299</v>
          </cell>
          <cell r="Q54">
            <v>3.6069420542052999</v>
          </cell>
          <cell r="U54">
            <v>3.2790180549045799E-4</v>
          </cell>
          <cell r="V54">
            <v>-1.9515885233862299E-3</v>
          </cell>
          <cell r="W54">
            <v>-1.37005945505878E-3</v>
          </cell>
          <cell r="Y54">
            <v>3.6110228019569499</v>
          </cell>
          <cell r="Z54">
            <v>3.6054804796523299</v>
          </cell>
          <cell r="AA54">
            <v>3.6069420542052999</v>
          </cell>
          <cell r="AE54">
            <v>-1.6829182768505701E-4</v>
          </cell>
          <cell r="AF54">
            <v>-1.9515885233862299E-3</v>
          </cell>
          <cell r="AG54">
            <v>-1.37005945505878E-3</v>
          </cell>
          <cell r="BJ54">
            <v>1.8901474685311811E-3</v>
          </cell>
          <cell r="BV54">
            <v>6.0007565210397603E-3</v>
          </cell>
          <cell r="BY54">
            <v>7.8909039895709403E-3</v>
          </cell>
        </row>
        <row r="55">
          <cell r="O55">
            <v>3.6128150130856298</v>
          </cell>
          <cell r="P55">
            <v>3.60643744203455</v>
          </cell>
          <cell r="Q55">
            <v>3.60720882075517</v>
          </cell>
          <cell r="U55">
            <v>-1.05964853478549E-3</v>
          </cell>
          <cell r="V55">
            <v>-3.0918557130316599E-3</v>
          </cell>
          <cell r="W55">
            <v>-2.6865620502942501E-3</v>
          </cell>
          <cell r="Y55">
            <v>3.6110228019569499</v>
          </cell>
          <cell r="Z55">
            <v>3.60532682030744</v>
          </cell>
          <cell r="AA55">
            <v>3.6066535098916099</v>
          </cell>
          <cell r="AE55">
            <v>1.5197441821487099E-3</v>
          </cell>
          <cell r="AF55">
            <v>-1.6269362921882701E-5</v>
          </cell>
          <cell r="AG55">
            <v>3.8902429981533599E-4</v>
          </cell>
          <cell r="BJ55">
            <v>1.8901474685311811E-3</v>
          </cell>
          <cell r="BV55">
            <v>6.0007565210397603E-3</v>
          </cell>
          <cell r="BY55">
            <v>7.8909039895709403E-3</v>
          </cell>
        </row>
        <row r="56">
          <cell r="O56">
            <v>3.6128150130856298</v>
          </cell>
          <cell r="P56">
            <v>3.60797932100997</v>
          </cell>
          <cell r="Q56">
            <v>3.60784495705385</v>
          </cell>
          <cell r="U56">
            <v>-2.0286198790986799E-3</v>
          </cell>
          <cell r="V56">
            <v>-3.7954434525317702E-3</v>
          </cell>
          <cell r="W56">
            <v>-3.5815769291524802E-3</v>
          </cell>
          <cell r="Y56">
            <v>3.6110228019569499</v>
          </cell>
          <cell r="Z56">
            <v>3.6057711188900901</v>
          </cell>
          <cell r="AA56">
            <v>3.6067408559939098</v>
          </cell>
          <cell r="AE56">
            <v>5.1165506157676904E-4</v>
          </cell>
          <cell r="AF56">
            <v>-1.06697766287933E-3</v>
          </cell>
          <cell r="AG56">
            <v>-6.9906495696641204E-4</v>
          </cell>
          <cell r="BJ56">
            <v>1.8901474685311811E-3</v>
          </cell>
          <cell r="BV56">
            <v>6.0007565210397603E-3</v>
          </cell>
          <cell r="BY56">
            <v>7.8909039895709403E-3</v>
          </cell>
        </row>
        <row r="57">
          <cell r="O57">
            <v>3.6128150130856298</v>
          </cell>
          <cell r="P57">
            <v>3.6079172228124698</v>
          </cell>
          <cell r="Q57">
            <v>3.60737397554453</v>
          </cell>
          <cell r="U57">
            <v>2.4473325789741902E-3</v>
          </cell>
          <cell r="V57">
            <v>1.1079528446018699E-3</v>
          </cell>
          <cell r="W57">
            <v>1.07071137336944E-3</v>
          </cell>
          <cell r="Y57">
            <v>3.6110228019569499</v>
          </cell>
          <cell r="Z57">
            <v>3.6054993449541901</v>
          </cell>
          <cell r="AA57">
            <v>3.6061650366153901</v>
          </cell>
          <cell r="AE57">
            <v>2.5330970006950302E-3</v>
          </cell>
          <cell r="AF57">
            <v>1.07769061069031E-3</v>
          </cell>
          <cell r="AG57">
            <v>1.34659473536696E-3</v>
          </cell>
          <cell r="BJ57">
            <v>1.8901474685311811E-3</v>
          </cell>
          <cell r="BV57">
            <v>6.0007565210397603E-3</v>
          </cell>
          <cell r="BY57">
            <v>7.8909039895709403E-3</v>
          </cell>
        </row>
        <row r="58">
          <cell r="O58">
            <v>3.6128150130856298</v>
          </cell>
          <cell r="P58">
            <v>3.6086031779808301</v>
          </cell>
          <cell r="Q58">
            <v>3.6073344583652802</v>
          </cell>
          <cell r="U58">
            <v>1.25248521359926E-3</v>
          </cell>
          <cell r="V58">
            <v>-1.04106019612543E-4</v>
          </cell>
          <cell r="W58">
            <v>-2.5468823564165E-4</v>
          </cell>
          <cell r="Y58">
            <v>3.6110228019569499</v>
          </cell>
          <cell r="Z58">
            <v>3.6059758970194302</v>
          </cell>
          <cell r="AA58">
            <v>3.6060208178845898</v>
          </cell>
          <cell r="AE58">
            <v>1.33679847877348E-3</v>
          </cell>
          <cell r="AF58">
            <v>-1.9398268392539799E-4</v>
          </cell>
          <cell r="AG58">
            <v>-9.3674195800309808E-6</v>
          </cell>
          <cell r="BJ58">
            <v>1.8901474685311811E-3</v>
          </cell>
          <cell r="BV58">
            <v>7.195603886414971E-3</v>
          </cell>
          <cell r="BY58">
            <v>9.0857513549461519E-3</v>
          </cell>
        </row>
        <row r="59">
          <cell r="O59">
            <v>3.6128150130856298</v>
          </cell>
          <cell r="P59">
            <v>3.6090525858816398</v>
          </cell>
          <cell r="Q59">
            <v>3.60731977527877</v>
          </cell>
          <cell r="U59">
            <v>1.28197102253884E-3</v>
          </cell>
          <cell r="V59">
            <v>1.15486691914277E-4</v>
          </cell>
          <cell r="W59">
            <v>-2.3615704243034599E-4</v>
          </cell>
          <cell r="Y59">
            <v>3.6110228019569499</v>
          </cell>
          <cell r="Z59">
            <v>3.6062104394084802</v>
          </cell>
          <cell r="AA59">
            <v>3.60589870204219</v>
          </cell>
          <cell r="AE59">
            <v>1.38144924661755E-3</v>
          </cell>
          <cell r="AF59">
            <v>-1.7166984510856998E-5</v>
          </cell>
          <cell r="AG59">
            <v>-4.70972283232889E-6</v>
          </cell>
          <cell r="BJ59">
            <v>1.8901474685311811E-3</v>
          </cell>
          <cell r="BV59">
            <v>7.195603886414971E-3</v>
          </cell>
          <cell r="BY59">
            <v>9.0857513549461519E-3</v>
          </cell>
        </row>
        <row r="60">
          <cell r="O60">
            <v>3.6128150130856298</v>
          </cell>
          <cell r="P60">
            <v>3.6092585670190398</v>
          </cell>
          <cell r="Q60">
            <v>3.6070886609762498</v>
          </cell>
          <cell r="U60">
            <v>1.37010477258772E-3</v>
          </cell>
          <cell r="V60">
            <v>3.2815059859279798E-4</v>
          </cell>
          <cell r="W60">
            <v>-1.5209364309743201E-4</v>
          </cell>
          <cell r="Y60">
            <v>3.6110228019569499</v>
          </cell>
          <cell r="Z60">
            <v>3.6061989117431401</v>
          </cell>
          <cell r="AA60">
            <v>3.6055588333383</v>
          </cell>
          <cell r="AE60">
            <v>1.4769663677594799E-3</v>
          </cell>
          <cell r="AF60">
            <v>1.43390716058826E-4</v>
          </cell>
          <cell r="AG60">
            <v>5.6942394113262998E-5</v>
          </cell>
          <cell r="BJ60">
            <v>1.8901474685311811E-3</v>
          </cell>
          <cell r="BV60">
            <v>7.195603886414971E-3</v>
          </cell>
          <cell r="BY60">
            <v>9.0857513549461519E-3</v>
          </cell>
        </row>
        <row r="61">
          <cell r="O61">
            <v>3.6128150130856298</v>
          </cell>
          <cell r="P61">
            <v>3.6096563481186599</v>
          </cell>
          <cell r="Q61">
            <v>3.60706355262346</v>
          </cell>
          <cell r="U61">
            <v>1.18550389163382E-3</v>
          </cell>
          <cell r="V61">
            <v>2.0062155427623201E-4</v>
          </cell>
          <cell r="W61">
            <v>-4.0076472596479198E-4</v>
          </cell>
          <cell r="Y61">
            <v>3.6110228019569499</v>
          </cell>
          <cell r="Z61">
            <v>3.6063751120809902</v>
          </cell>
          <cell r="AA61">
            <v>3.60542293460463</v>
          </cell>
          <cell r="AE61">
            <v>1.3035452542068901E-3</v>
          </cell>
          <cell r="AF61">
            <v>-3.3227017314463501E-5</v>
          </cell>
          <cell r="AG61">
            <v>-2.10736697795441E-4</v>
          </cell>
          <cell r="BJ61">
            <v>1.8901474685311811E-3</v>
          </cell>
          <cell r="BV61">
            <v>7.195603886414971E-3</v>
          </cell>
          <cell r="BY61">
            <v>9.0857513549461519E-3</v>
          </cell>
        </row>
        <row r="62">
          <cell r="O62">
            <v>3.6128150130856298</v>
          </cell>
          <cell r="P62">
            <v>3.6098426936337802</v>
          </cell>
          <cell r="Q62">
            <v>3.6073188125953801</v>
          </cell>
          <cell r="U62">
            <v>1.1547840472703099E-3</v>
          </cell>
          <cell r="V62">
            <v>2.8010694288811699E-4</v>
          </cell>
          <cell r="W62">
            <v>-4.3844543060642398E-4</v>
          </cell>
          <cell r="Y62">
            <v>3.6110228019569499</v>
          </cell>
          <cell r="Z62">
            <v>3.6063471451792499</v>
          </cell>
          <cell r="AA62">
            <v>3.6055710383681099</v>
          </cell>
          <cell r="AE62">
            <v>1.2526528859971599E-3</v>
          </cell>
          <cell r="AF62">
            <v>-3.5260174566468402E-5</v>
          </cell>
          <cell r="AG62">
            <v>-2.9932122445625899E-4</v>
          </cell>
          <cell r="BJ62">
            <v>1.8901474685311811E-3</v>
          </cell>
          <cell r="BV62">
            <v>7.195603886414971E-3</v>
          </cell>
          <cell r="BY62">
            <v>9.0857513549461519E-3</v>
          </cell>
        </row>
        <row r="63">
          <cell r="O63">
            <v>3.6128150130856298</v>
          </cell>
          <cell r="P63">
            <v>3.6101987373934499</v>
          </cell>
          <cell r="Q63">
            <v>3.6073938763499198</v>
          </cell>
          <cell r="U63">
            <v>1.32028966320762E-3</v>
          </cell>
          <cell r="V63">
            <v>4.9723539694256004E-4</v>
          </cell>
          <cell r="W63">
            <v>-2.02175621949132E-4</v>
          </cell>
          <cell r="Y63">
            <v>3.6110228019569499</v>
          </cell>
          <cell r="Z63">
            <v>3.6064925777613301</v>
          </cell>
          <cell r="AA63">
            <v>3.6055407965338602</v>
          </cell>
          <cell r="AE63">
            <v>1.40799252905507E-3</v>
          </cell>
          <cell r="AF63">
            <v>1.12324587394679E-4</v>
          </cell>
          <cell r="AG63">
            <v>-1.0290436955712199E-4</v>
          </cell>
          <cell r="BJ63">
            <v>1.8901474685311811E-3</v>
          </cell>
          <cell r="BV63">
            <v>7.195603886414971E-3</v>
          </cell>
          <cell r="BY63">
            <v>9.0857513549461519E-3</v>
          </cell>
        </row>
        <row r="64">
          <cell r="O64">
            <v>3.6128150130856298</v>
          </cell>
          <cell r="P64">
            <v>3.60984772531677</v>
          </cell>
          <cell r="Q64">
            <v>3.6076641024845499</v>
          </cell>
          <cell r="U64">
            <v>1.30026803942192E-3</v>
          </cell>
          <cell r="V64">
            <v>5.7584028752094205E-4</v>
          </cell>
          <cell r="W64">
            <v>-2.01388723545311E-4</v>
          </cell>
          <cell r="Y64">
            <v>3.6110228019569499</v>
          </cell>
          <cell r="Z64">
            <v>3.6059302382458598</v>
          </cell>
          <cell r="AA64">
            <v>3.6057053589490899</v>
          </cell>
          <cell r="AE64">
            <v>1.38994550951497E-3</v>
          </cell>
          <cell r="AF64">
            <v>1.3460359413278701E-4</v>
          </cell>
          <cell r="AG64">
            <v>-1.29338953996052E-4</v>
          </cell>
          <cell r="BJ64">
            <v>1.8901474685311811E-3</v>
          </cell>
          <cell r="BV64">
            <v>7.195603886414971E-3</v>
          </cell>
          <cell r="BY64">
            <v>9.0857513549461519E-3</v>
          </cell>
        </row>
        <row r="65">
          <cell r="O65">
            <v>3.6128150130856298</v>
          </cell>
          <cell r="P65">
            <v>3.6092072587178201</v>
          </cell>
          <cell r="Q65">
            <v>3.6078223503761899</v>
          </cell>
          <cell r="U65">
            <v>7.1280716051417496E-4</v>
          </cell>
          <cell r="V65">
            <v>-1.08853227980649E-4</v>
          </cell>
          <cell r="W65">
            <v>-7.1394344492620003E-4</v>
          </cell>
          <cell r="Y65">
            <v>3.6110228019569499</v>
          </cell>
          <cell r="Z65">
            <v>3.6061893867715802</v>
          </cell>
          <cell r="AA65">
            <v>3.6057581035395101</v>
          </cell>
          <cell r="AE65">
            <v>8.0125125032188497E-4</v>
          </cell>
          <cell r="AF65">
            <v>-6.1002703511614E-4</v>
          </cell>
          <cell r="AG65">
            <v>-6.7239272007173397E-4</v>
          </cell>
          <cell r="BJ65">
            <v>1.8901474685311811E-3</v>
          </cell>
          <cell r="BV65">
            <v>7.195603886414971E-3</v>
          </cell>
          <cell r="BY65">
            <v>9.0857513549461519E-3</v>
          </cell>
        </row>
        <row r="66">
          <cell r="O66">
            <v>3.6128150130856298</v>
          </cell>
          <cell r="P66">
            <v>3.6082248677320501</v>
          </cell>
          <cell r="Q66">
            <v>3.6081020943710098</v>
          </cell>
          <cell r="U66">
            <v>6.8874250688643701E-4</v>
          </cell>
          <cell r="V66">
            <v>-3.1035567701128601E-4</v>
          </cell>
          <cell r="W66">
            <v>-6.9414469649661597E-4</v>
          </cell>
          <cell r="Y66">
            <v>3.6110228019569499</v>
          </cell>
          <cell r="Z66">
            <v>3.60609316062469</v>
          </cell>
          <cell r="AA66">
            <v>3.6059321397573898</v>
          </cell>
          <cell r="AE66">
            <v>7.7830591338892902E-4</v>
          </cell>
          <cell r="AF66">
            <v>-5.6110763898581395E-4</v>
          </cell>
          <cell r="AG66">
            <v>-6.8071007180004199E-4</v>
          </cell>
          <cell r="BJ66">
            <v>1.8901474685311811E-3</v>
          </cell>
          <cell r="BV66">
            <v>7.195603886414971E-3</v>
          </cell>
          <cell r="BY66">
            <v>9.0857513549461519E-3</v>
          </cell>
        </row>
        <row r="67">
          <cell r="O67">
            <v>3.6128150130856298</v>
          </cell>
          <cell r="P67">
            <v>3.60853762109496</v>
          </cell>
          <cell r="Q67">
            <v>3.6082274219537198</v>
          </cell>
          <cell r="U67">
            <v>1.57990993691314E-3</v>
          </cell>
          <cell r="V67">
            <v>3.08584463688467E-4</v>
          </cell>
          <cell r="W67">
            <v>2.7455791203743899E-4</v>
          </cell>
          <cell r="Y67">
            <v>3.6110228019569499</v>
          </cell>
          <cell r="Z67">
            <v>3.6064131301467799</v>
          </cell>
          <cell r="AA67">
            <v>3.6059562375504801</v>
          </cell>
          <cell r="AE67">
            <v>1.6451528248580701E-3</v>
          </cell>
          <cell r="AF67">
            <v>2.7905530766112602E-4</v>
          </cell>
          <cell r="AG67">
            <v>2.3440186826637399E-4</v>
          </cell>
          <cell r="BJ67">
            <v>1.8901474685311811E-3</v>
          </cell>
          <cell r="BV67">
            <v>7.195603886414971E-3</v>
          </cell>
          <cell r="BY67">
            <v>9.0857513549461519E-3</v>
          </cell>
        </row>
        <row r="68">
          <cell r="O68">
            <v>3.6128150130856298</v>
          </cell>
          <cell r="P68">
            <v>3.6082910919009699</v>
          </cell>
          <cell r="Q68">
            <v>3.6084471349409002</v>
          </cell>
          <cell r="U68">
            <v>1.9359481716904399E-3</v>
          </cell>
          <cell r="V68">
            <v>7.5129684455146699E-4</v>
          </cell>
          <cell r="W68">
            <v>6.65330586931806E-4</v>
          </cell>
          <cell r="Y68">
            <v>3.6110228019569499</v>
          </cell>
          <cell r="Z68">
            <v>3.6061759238027</v>
          </cell>
          <cell r="AA68">
            <v>3.6060759104110698</v>
          </cell>
          <cell r="AE68">
            <v>1.9947888015496898E-3</v>
          </cell>
          <cell r="AF68">
            <v>7.1741759096388203E-4</v>
          </cell>
          <cell r="AG68">
            <v>5.9072064198275698E-4</v>
          </cell>
          <cell r="BJ68">
            <v>1.8901474685311811E-3</v>
          </cell>
          <cell r="BV68">
            <v>7.195603886414971E-3</v>
          </cell>
          <cell r="BY68">
            <v>9.0857513549461519E-3</v>
          </cell>
        </row>
        <row r="69">
          <cell r="O69">
            <v>3.6128150130856298</v>
          </cell>
          <cell r="P69">
            <v>3.6078504195421002</v>
          </cell>
          <cell r="Q69">
            <v>3.60845150271187</v>
          </cell>
          <cell r="U69">
            <v>2.5040300343433602E-3</v>
          </cell>
          <cell r="V69">
            <v>1.2510580628075499E-3</v>
          </cell>
          <cell r="W69">
            <v>1.2943028182771401E-3</v>
          </cell>
          <cell r="Y69">
            <v>3.6110228019569499</v>
          </cell>
          <cell r="Z69">
            <v>3.60575008270076</v>
          </cell>
          <cell r="AA69">
            <v>3.6059802610546199</v>
          </cell>
          <cell r="AE69">
            <v>2.5630584361264201E-3</v>
          </cell>
          <cell r="AF69">
            <v>1.2199115817631201E-3</v>
          </cell>
          <cell r="AG69">
            <v>1.19217727798682E-3</v>
          </cell>
          <cell r="BJ69">
            <v>1.8901474685311811E-3</v>
          </cell>
          <cell r="BV69">
            <v>7.195603886414971E-3</v>
          </cell>
          <cell r="BY69">
            <v>9.0857513549461519E-3</v>
          </cell>
        </row>
        <row r="70">
          <cell r="O70">
            <v>3.6128150130856298</v>
          </cell>
          <cell r="P70">
            <v>3.60783479210308</v>
          </cell>
          <cell r="Q70">
            <v>3.6085466795610599</v>
          </cell>
          <cell r="U70">
            <v>1.41342059083721E-3</v>
          </cell>
          <cell r="V70">
            <v>3.8313442566566501E-5</v>
          </cell>
          <cell r="W70">
            <v>2.0490380356751099E-4</v>
          </cell>
          <cell r="Y70">
            <v>3.6110228019569499</v>
          </cell>
          <cell r="Z70">
            <v>3.60575246486342</v>
          </cell>
          <cell r="AA70">
            <v>3.6059756883032801</v>
          </cell>
          <cell r="AE70">
            <v>1.4703597194943201E-3</v>
          </cell>
          <cell r="AF70">
            <v>9.1192790192415597E-6</v>
          </cell>
          <cell r="AG70">
            <v>7.2953710693540101E-5</v>
          </cell>
          <cell r="BJ70">
            <v>1.8901474685311811E-3</v>
          </cell>
          <cell r="BV70">
            <v>8.2862133299210113E-3</v>
          </cell>
          <cell r="BY70">
            <v>1.0176360798452192E-2</v>
          </cell>
        </row>
        <row r="71">
          <cell r="O71">
            <v>3.6128150130856298</v>
          </cell>
          <cell r="P71">
            <v>3.6076604293326402</v>
          </cell>
          <cell r="Q71">
            <v>3.60865838872565</v>
          </cell>
          <cell r="U71">
            <v>1.6688161822818099E-3</v>
          </cell>
          <cell r="V71">
            <v>2.8937751494880902E-4</v>
          </cell>
          <cell r="W71">
            <v>4.8667513927329401E-4</v>
          </cell>
          <cell r="Y71">
            <v>3.6110228019569499</v>
          </cell>
          <cell r="Z71">
            <v>3.6056015524483702</v>
          </cell>
          <cell r="AA71">
            <v>3.6059883322646802</v>
          </cell>
          <cell r="AE71">
            <v>1.7220994940624901E-3</v>
          </cell>
          <cell r="AF71">
            <v>2.6151970998864902E-4</v>
          </cell>
          <cell r="AG71">
            <v>3.2342538230233997E-4</v>
          </cell>
          <cell r="BJ71">
            <v>1.8901474685311811E-3</v>
          </cell>
          <cell r="BV71">
            <v>8.0308177384763521E-3</v>
          </cell>
          <cell r="BY71">
            <v>9.920965207007533E-3</v>
          </cell>
        </row>
        <row r="72">
          <cell r="O72">
            <v>3.6128150130856298</v>
          </cell>
          <cell r="P72">
            <v>3.6075768004048001</v>
          </cell>
          <cell r="Q72">
            <v>3.6087097470192901</v>
          </cell>
          <cell r="U72">
            <v>1.38655694377855E-3</v>
          </cell>
          <cell r="V72">
            <v>-4.1211814592385599E-5</v>
          </cell>
          <cell r="W72">
            <v>2.3537225119842599E-4</v>
          </cell>
          <cell r="Y72">
            <v>3.6110228019569499</v>
          </cell>
          <cell r="Z72">
            <v>3.6055313281189498</v>
          </cell>
          <cell r="AA72">
            <v>3.6059392366491001</v>
          </cell>
          <cell r="AE72">
            <v>1.4473877338721901E-3</v>
          </cell>
          <cell r="AF72">
            <v>-5.5046163785203398E-5</v>
          </cell>
          <cell r="AG72">
            <v>5.22200071603342E-5</v>
          </cell>
          <cell r="BJ72">
            <v>1.8901474685311811E-3</v>
          </cell>
          <cell r="BV72">
            <v>8.3130769769796525E-3</v>
          </cell>
          <cell r="BY72">
            <v>1.0203224445510833E-2</v>
          </cell>
        </row>
        <row r="73">
          <cell r="O73">
            <v>3.6128150130856298</v>
          </cell>
          <cell r="P73">
            <v>3.6077087997519701</v>
          </cell>
          <cell r="Q73">
            <v>3.60895376857271</v>
          </cell>
          <cell r="U73">
            <v>9.5450960698640502E-4</v>
          </cell>
          <cell r="V73">
            <v>-4.9644035116695902E-4</v>
          </cell>
          <cell r="W73">
            <v>-1.8244322359848501E-4</v>
          </cell>
          <cell r="Y73">
            <v>3.6110228019569499</v>
          </cell>
          <cell r="Z73">
            <v>3.6056717091636599</v>
          </cell>
          <cell r="AA73">
            <v>3.6060821434624999</v>
          </cell>
          <cell r="AE73">
            <v>1.0187635205955699E-3</v>
          </cell>
          <cell r="AF73">
            <v>-5.0314701979847396E-4</v>
          </cell>
          <cell r="AG73">
            <v>-3.9001932221771699E-4</v>
          </cell>
          <cell r="BJ73">
            <v>1.8901474685311811E-3</v>
          </cell>
          <cell r="BV73">
            <v>8.7451243137715538E-3</v>
          </cell>
          <cell r="BY73">
            <v>1.0635271782302735E-2</v>
          </cell>
        </row>
        <row r="74">
          <cell r="O74">
            <v>3.6128150130856298</v>
          </cell>
          <cell r="P74">
            <v>3.6078244037067</v>
          </cell>
          <cell r="Q74">
            <v>3.6088360645117401</v>
          </cell>
          <cell r="U74">
            <v>9.7991997745529194E-4</v>
          </cell>
          <cell r="V74">
            <v>-4.3444117340681097E-4</v>
          </cell>
          <cell r="W74">
            <v>-8.9414972915949296E-5</v>
          </cell>
          <cell r="Y74">
            <v>3.6110228019569499</v>
          </cell>
          <cell r="Z74">
            <v>3.6058002516121901</v>
          </cell>
          <cell r="AA74">
            <v>3.60586524492903</v>
          </cell>
          <cell r="AE74">
            <v>1.0335414938139199E-3</v>
          </cell>
          <cell r="AF74">
            <v>-4.4943489259909898E-4</v>
          </cell>
          <cell r="AG74">
            <v>-3.3561117990210697E-4</v>
          </cell>
          <cell r="BJ74">
            <v>1.8901474685311811E-3</v>
          </cell>
          <cell r="BV74">
            <v>8.7451243137715538E-3</v>
          </cell>
          <cell r="BY74">
            <v>1.0635271782302735E-2</v>
          </cell>
        </row>
        <row r="75">
          <cell r="O75">
            <v>3.6128150130856298</v>
          </cell>
          <cell r="P75">
            <v>3.60735996868216</v>
          </cell>
          <cell r="Q75">
            <v>3.6082836136999901</v>
          </cell>
          <cell r="U75">
            <v>2.0000731747553502E-3</v>
          </cell>
          <cell r="V75">
            <v>6.1775510414172595E-4</v>
          </cell>
          <cell r="W75">
            <v>8.9812323733039798E-4</v>
          </cell>
          <cell r="Y75">
            <v>3.6110228019569499</v>
          </cell>
          <cell r="Z75">
            <v>3.6053503529443698</v>
          </cell>
          <cell r="AA75">
            <v>3.6057698698579701</v>
          </cell>
          <cell r="AE75">
            <v>2.0489316642219799E-3</v>
          </cell>
          <cell r="AF75">
            <v>6.0160471227943004E-4</v>
          </cell>
          <cell r="AG75">
            <v>6.1962920797019099E-4</v>
          </cell>
          <cell r="BJ75">
            <v>1.8901474685311811E-3</v>
          </cell>
          <cell r="BV75">
            <v>8.7451243137715538E-3</v>
          </cell>
          <cell r="BY75">
            <v>1.0635271782302735E-2</v>
          </cell>
        </row>
        <row r="76">
          <cell r="O76">
            <v>3.6128150130856298</v>
          </cell>
          <cell r="P76">
            <v>3.6074083510346999</v>
          </cell>
          <cell r="Q76">
            <v>3.6078166093833701</v>
          </cell>
          <cell r="U76">
            <v>5.5474050845748702E-4</v>
          </cell>
          <cell r="V76">
            <v>-9.5631579009598398E-4</v>
          </cell>
          <cell r="W76">
            <v>-7.0030397012985795E-4</v>
          </cell>
          <cell r="Y76">
            <v>3.6110228019569499</v>
          </cell>
          <cell r="Z76">
            <v>3.6054094245939399</v>
          </cell>
          <cell r="AA76">
            <v>3.60575129260932</v>
          </cell>
          <cell r="AE76">
            <v>6.1460491273385804E-4</v>
          </cell>
          <cell r="AF76">
            <v>-9.5750064752895896E-4</v>
          </cell>
          <cell r="AG76">
            <v>-8.4114787538877003E-4</v>
          </cell>
          <cell r="BJ76">
            <v>1.8901474685311811E-3</v>
          </cell>
          <cell r="BV76">
            <v>8.7451243137715538E-3</v>
          </cell>
          <cell r="BY76">
            <v>1.0635271782302735E-2</v>
          </cell>
        </row>
        <row r="77">
          <cell r="O77">
            <v>3.6128150130856298</v>
          </cell>
          <cell r="P77">
            <v>3.6076132548167799</v>
          </cell>
          <cell r="Q77">
            <v>3.6080754379558702</v>
          </cell>
          <cell r="U77">
            <v>1.01201620734201E-3</v>
          </cell>
          <cell r="V77">
            <v>-4.8562805900397601E-4</v>
          </cell>
          <cell r="W77">
            <v>-3.7246225991894899E-4</v>
          </cell>
          <cell r="Y77">
            <v>3.6110228019569499</v>
          </cell>
          <cell r="Z77">
            <v>3.60561629507183</v>
          </cell>
          <cell r="AA77">
            <v>3.6060147126093001</v>
          </cell>
          <cell r="AE77">
            <v>1.07148803863103E-3</v>
          </cell>
          <cell r="AF77">
            <v>-4.84233215012902E-4</v>
          </cell>
          <cell r="AG77">
            <v>-3.8941685214425898E-4</v>
          </cell>
          <cell r="BJ77">
            <v>1.8901474685311811E-3</v>
          </cell>
          <cell r="BV77">
            <v>8.7451243137715538E-3</v>
          </cell>
          <cell r="BY77">
            <v>1.0635271782302735E-2</v>
          </cell>
        </row>
        <row r="78">
          <cell r="O78">
            <v>3.6128150130856298</v>
          </cell>
          <cell r="P78">
            <v>3.6077158972259098</v>
          </cell>
          <cell r="Q78">
            <v>3.6080034945634401</v>
          </cell>
          <cell r="U78">
            <v>1.6513316686395301E-3</v>
          </cell>
          <cell r="V78">
            <v>2.1048661741165101E-4</v>
          </cell>
          <cell r="W78">
            <v>3.3859168385891298E-4</v>
          </cell>
          <cell r="Y78">
            <v>3.6110228019569499</v>
          </cell>
          <cell r="Z78">
            <v>3.60572213123397</v>
          </cell>
          <cell r="AA78">
            <v>3.6059490275183399</v>
          </cell>
          <cell r="AE78">
            <v>1.70115475202048E-3</v>
          </cell>
          <cell r="AF78">
            <v>2.0280965705044099E-4</v>
          </cell>
          <cell r="AG78">
            <v>3.1330270292480701E-4</v>
          </cell>
          <cell r="BJ78">
            <v>1.8901474685311811E-3</v>
          </cell>
          <cell r="BV78">
            <v>8.7451243137715538E-3</v>
          </cell>
          <cell r="BY78">
            <v>1.0635271782302735E-2</v>
          </cell>
        </row>
        <row r="79">
          <cell r="O79">
            <v>3.6128150130856298</v>
          </cell>
          <cell r="P79">
            <v>3.6081734050443699</v>
          </cell>
          <cell r="Q79">
            <v>3.6080119122932302</v>
          </cell>
          <cell r="U79">
            <v>1.2353130489714799E-3</v>
          </cell>
          <cell r="V79">
            <v>-1.77080795947746E-4</v>
          </cell>
          <cell r="W79">
            <v>-9.7366682339562296E-5</v>
          </cell>
          <cell r="Y79">
            <v>3.6110228019569499</v>
          </cell>
          <cell r="Z79">
            <v>3.60618058991601</v>
          </cell>
          <cell r="AA79">
            <v>3.6059653363083801</v>
          </cell>
          <cell r="AE79">
            <v>1.2910006523222199E-3</v>
          </cell>
          <cell r="AF79">
            <v>-1.77991732819454E-4</v>
          </cell>
          <cell r="AG79">
            <v>-1.1506698779296E-4</v>
          </cell>
          <cell r="BJ79">
            <v>1.8901474685311811E-3</v>
          </cell>
          <cell r="BV79">
            <v>8.7451243137715538E-3</v>
          </cell>
          <cell r="BY79">
            <v>1.0635271782302735E-2</v>
          </cell>
        </row>
        <row r="80">
          <cell r="O80">
            <v>3.6128150130856298</v>
          </cell>
          <cell r="P80">
            <v>3.6081168546982401</v>
          </cell>
          <cell r="Q80">
            <v>3.6079758234006598</v>
          </cell>
          <cell r="U80">
            <v>1.57018137345154E-3</v>
          </cell>
          <cell r="V80">
            <v>2.8459319306085699E-4</v>
          </cell>
          <cell r="W80">
            <v>2.3983471082651901E-4</v>
          </cell>
          <cell r="Y80">
            <v>3.6110228019569499</v>
          </cell>
          <cell r="Z80">
            <v>3.6061249470714798</v>
          </cell>
          <cell r="AA80">
            <v>3.6059387059674499</v>
          </cell>
          <cell r="AE80">
            <v>1.6246900100414701E-3</v>
          </cell>
          <cell r="AF80">
            <v>2.8283707765823702E-4</v>
          </cell>
          <cell r="AG80">
            <v>2.2314510528442E-4</v>
          </cell>
          <cell r="BJ80">
            <v>1.8901474685311811E-3</v>
          </cell>
          <cell r="BV80">
            <v>8.7451243137715538E-3</v>
          </cell>
          <cell r="BY80">
            <v>1.0635271782302735E-2</v>
          </cell>
        </row>
        <row r="81">
          <cell r="O81">
            <v>3.6128150130856298</v>
          </cell>
          <cell r="P81">
            <v>3.6084006777791799</v>
          </cell>
          <cell r="Q81">
            <v>3.6080305535559098</v>
          </cell>
          <cell r="U81">
            <v>8.8221259480662296E-4</v>
          </cell>
          <cell r="V81">
            <v>-4.1904855440674798E-4</v>
          </cell>
          <cell r="W81">
            <v>-4.5813654950086901E-4</v>
          </cell>
          <cell r="Y81">
            <v>3.6110228019569499</v>
          </cell>
          <cell r="Z81">
            <v>3.6064055146863501</v>
          </cell>
          <cell r="AA81">
            <v>3.6060035335673599</v>
          </cell>
          <cell r="AE81">
            <v>9.4408756924689303E-4</v>
          </cell>
          <cell r="AF81">
            <v>-4.1319533743328199E-4</v>
          </cell>
          <cell r="AG81">
            <v>-4.6484244234949198E-4</v>
          </cell>
          <cell r="BJ81">
            <v>1.8901474685311811E-3</v>
          </cell>
          <cell r="BV81">
            <v>8.7451243137715538E-3</v>
          </cell>
          <cell r="BY81">
            <v>1.0635271782302735E-2</v>
          </cell>
        </row>
        <row r="82">
          <cell r="O82">
            <v>3.6128150130856298</v>
          </cell>
          <cell r="P82">
            <v>3.6085011892100098</v>
          </cell>
          <cell r="Q82">
            <v>3.6080389948074001</v>
          </cell>
          <cell r="U82">
            <v>1.1080016505424801E-3</v>
          </cell>
          <cell r="V82">
            <v>-1.14600206343366E-4</v>
          </cell>
          <cell r="W82">
            <v>-2.17178395403732E-4</v>
          </cell>
          <cell r="Y82">
            <v>3.6110228019569499</v>
          </cell>
          <cell r="Z82">
            <v>3.6065045781738099</v>
          </cell>
          <cell r="AA82">
            <v>3.6060179531463801</v>
          </cell>
          <cell r="AE82">
            <v>1.17269174125059E-3</v>
          </cell>
          <cell r="AF82">
            <v>-1.06791115503126E-4</v>
          </cell>
          <cell r="AG82">
            <v>-2.18260422558921E-4</v>
          </cell>
          <cell r="BJ82">
            <v>1.8901474685311811E-3</v>
          </cell>
          <cell r="BV82">
            <v>8.7451243137715538E-3</v>
          </cell>
          <cell r="BY82">
            <v>1.0635271782302735E-2</v>
          </cell>
        </row>
        <row r="83">
          <cell r="O83">
            <v>3.6128150130856298</v>
          </cell>
          <cell r="P83">
            <v>3.6079841283588601</v>
          </cell>
          <cell r="Q83">
            <v>3.60784646405541</v>
          </cell>
          <cell r="U83">
            <v>2.3880889374660601E-3</v>
          </cell>
          <cell r="V83">
            <v>1.19334153466023E-3</v>
          </cell>
          <cell r="W83">
            <v>1.0652484619550001E-3</v>
          </cell>
          <cell r="Y83">
            <v>3.6110228019569499</v>
          </cell>
          <cell r="Z83">
            <v>3.6059943952255802</v>
          </cell>
          <cell r="AA83">
            <v>3.6058330521946198</v>
          </cell>
          <cell r="AE83">
            <v>2.4340535326985101E-3</v>
          </cell>
          <cell r="AF83">
            <v>1.18203905866121E-3</v>
          </cell>
          <cell r="AG83">
            <v>1.04710013096876E-3</v>
          </cell>
          <cell r="BJ83">
            <v>1.8901474685311811E-3</v>
          </cell>
          <cell r="BV83">
            <v>8.7451243137715538E-3</v>
          </cell>
          <cell r="BY83">
            <v>1.0635271782302735E-2</v>
          </cell>
        </row>
        <row r="84">
          <cell r="O84">
            <v>3.6128150130856298</v>
          </cell>
          <cell r="P84">
            <v>3.6079632385212599</v>
          </cell>
          <cell r="Q84">
            <v>3.6078938211139802</v>
          </cell>
          <cell r="U84">
            <v>1.03779983866292E-3</v>
          </cell>
          <cell r="V84">
            <v>-3.0024747518742501E-4</v>
          </cell>
          <cell r="W84">
            <v>-3.3840366571835499E-4</v>
          </cell>
          <cell r="Y84">
            <v>3.6110228019569499</v>
          </cell>
          <cell r="Z84">
            <v>3.6059734586465999</v>
          </cell>
          <cell r="AA84">
            <v>3.6058868551293899</v>
          </cell>
          <cell r="AE84">
            <v>1.0915827701140899E-3</v>
          </cell>
          <cell r="AF84">
            <v>-3.0190359902327398E-4</v>
          </cell>
          <cell r="AG84">
            <v>-3.4664760660332102E-4</v>
          </cell>
          <cell r="BJ84">
            <v>1.8901474685311811E-3</v>
          </cell>
          <cell r="BV84">
            <v>1.0095413412574554E-2</v>
          </cell>
          <cell r="BY84">
            <v>1.1985560881105735E-2</v>
          </cell>
        </row>
        <row r="85">
          <cell r="O85">
            <v>3.6128150130856298</v>
          </cell>
          <cell r="P85">
            <v>3.6082082768083601</v>
          </cell>
          <cell r="Q85">
            <v>3.6077841227452598</v>
          </cell>
          <cell r="U85">
            <v>1.3206985664206501E-3</v>
          </cell>
          <cell r="V85">
            <v>-2.3138655958480199E-5</v>
          </cell>
          <cell r="W85">
            <v>-4.23788949789224E-5</v>
          </cell>
          <cell r="Y85">
            <v>3.6110228019569499</v>
          </cell>
          <cell r="Z85">
            <v>3.6062145547970399</v>
          </cell>
          <cell r="AA85">
            <v>3.6057824538707002</v>
          </cell>
          <cell r="AE85">
            <v>1.3801187566946499E-3</v>
          </cell>
          <cell r="AF85">
            <v>-1.91736779730412E-5</v>
          </cell>
          <cell r="AG85">
            <v>-4.3190648196170002E-5</v>
          </cell>
          <cell r="BJ85">
            <v>1.8901474685311811E-3</v>
          </cell>
          <cell r="BV85">
            <v>1.0095413412574554E-2</v>
          </cell>
          <cell r="BY85">
            <v>1.1985560881105735E-2</v>
          </cell>
        </row>
        <row r="86">
          <cell r="O86">
            <v>3.6128150130856298</v>
          </cell>
          <cell r="P86">
            <v>3.6080385623076801</v>
          </cell>
          <cell r="Q86">
            <v>3.6077234566711902</v>
          </cell>
          <cell r="U86">
            <v>1.0248686294251901E-3</v>
          </cell>
          <cell r="V86">
            <v>-2.5105493910698501E-4</v>
          </cell>
          <cell r="W86">
            <v>-3.6861439319265299E-4</v>
          </cell>
          <cell r="Y86">
            <v>3.6110228019569499</v>
          </cell>
          <cell r="Z86">
            <v>3.60604703300368</v>
          </cell>
          <cell r="AA86">
            <v>3.6057282287988102</v>
          </cell>
          <cell r="AE86">
            <v>1.07891575187068E-3</v>
          </cell>
          <cell r="AF86">
            <v>-2.5351870569476401E-4</v>
          </cell>
          <cell r="AG86">
            <v>-3.73347076763447E-4</v>
          </cell>
          <cell r="BJ86">
            <v>1.8901474685311811E-3</v>
          </cell>
          <cell r="BV86">
            <v>1.0095413412574554E-2</v>
          </cell>
          <cell r="BY86">
            <v>1.1985560881105735E-2</v>
          </cell>
        </row>
        <row r="87">
          <cell r="O87">
            <v>3.6128150130856298</v>
          </cell>
          <cell r="P87">
            <v>3.6079080414602802</v>
          </cell>
          <cell r="Q87">
            <v>3.6077606481385298</v>
          </cell>
          <cell r="U87">
            <v>1.3737192926711499E-3</v>
          </cell>
          <cell r="V87">
            <v>5.0758946020316497E-5</v>
          </cell>
          <cell r="W87">
            <v>-3.6579199518408498E-5</v>
          </cell>
          <cell r="Y87">
            <v>3.6110228019569499</v>
          </cell>
          <cell r="Z87">
            <v>3.6059234723681302</v>
          </cell>
          <cell r="AA87">
            <v>3.6057698837199799</v>
          </cell>
          <cell r="AE87">
            <v>1.4140898359213301E-3</v>
          </cell>
          <cell r="AF87">
            <v>3.5200659168116E-5</v>
          </cell>
          <cell r="AG87">
            <v>-5.3211470579209798E-5</v>
          </cell>
          <cell r="BJ87">
            <v>1.8901474685311811E-3</v>
          </cell>
          <cell r="BV87">
            <v>1.0095413412574554E-2</v>
          </cell>
          <cell r="BY87">
            <v>1.1985560881105735E-2</v>
          </cell>
        </row>
        <row r="88">
          <cell r="O88">
            <v>3.6128150130856298</v>
          </cell>
          <cell r="P88">
            <v>3.6087185472381198</v>
          </cell>
          <cell r="Q88">
            <v>3.6082172222320099</v>
          </cell>
          <cell r="U88">
            <v>-5.9327398936079301E-4</v>
          </cell>
          <cell r="V88">
            <v>-1.9524100048687299E-3</v>
          </cell>
          <cell r="W88">
            <v>-1.9932636881827598E-3</v>
          </cell>
          <cell r="Y88">
            <v>3.6110228019569499</v>
          </cell>
          <cell r="Z88">
            <v>3.6067317620573101</v>
          </cell>
          <cell r="AA88">
            <v>3.60622694664564</v>
          </cell>
          <cell r="AE88">
            <v>-5.3854176925627502E-4</v>
          </cell>
          <cell r="AF88">
            <v>-1.9516963760948601E-3</v>
          </cell>
          <cell r="AG88">
            <v>-1.99429071298299E-3</v>
          </cell>
          <cell r="BJ88">
            <v>1.8901474685311811E-3</v>
          </cell>
          <cell r="BV88">
            <v>1.0095413412574554E-2</v>
          </cell>
          <cell r="BY88">
            <v>1.1985560881105735E-2</v>
          </cell>
        </row>
        <row r="89">
          <cell r="O89">
            <v>3.6128150130856298</v>
          </cell>
          <cell r="P89">
            <v>3.6088823204263001</v>
          </cell>
          <cell r="Q89">
            <v>3.6085278627353401</v>
          </cell>
          <cell r="U89">
            <v>7.8154383291733904E-4</v>
          </cell>
          <cell r="V89">
            <v>-3.5297039531065599E-4</v>
          </cell>
          <cell r="W89">
            <v>-4.9190055152102403E-4</v>
          </cell>
          <cell r="Y89">
            <v>3.6110228019569499</v>
          </cell>
          <cell r="Z89">
            <v>3.6068966603599399</v>
          </cell>
          <cell r="AA89">
            <v>3.6065386251379801</v>
          </cell>
          <cell r="AE89">
            <v>8.3386261547246205E-4</v>
          </cell>
          <cell r="AF89">
            <v>-3.5516102536458402E-4</v>
          </cell>
          <cell r="AG89">
            <v>-4.9513559970478795E-4</v>
          </cell>
          <cell r="BJ89">
            <v>3.2649652908092013E-3</v>
          </cell>
          <cell r="BV89">
            <v>1.0095413412574554E-2</v>
          </cell>
          <cell r="BY89">
            <v>1.3360378703383755E-2</v>
          </cell>
        </row>
        <row r="90">
          <cell r="O90">
            <v>3.6128150130856298</v>
          </cell>
          <cell r="P90">
            <v>3.6089505170538598</v>
          </cell>
          <cell r="Q90">
            <v>3.6085336858760502</v>
          </cell>
          <cell r="U90">
            <v>1.38113948627032E-3</v>
          </cell>
          <cell r="V90">
            <v>2.9200687202203898E-4</v>
          </cell>
          <cell r="W90">
            <v>1.9378391329955301E-4</v>
          </cell>
          <cell r="Y90">
            <v>3.6110228019569499</v>
          </cell>
          <cell r="Z90">
            <v>3.6069679890691102</v>
          </cell>
          <cell r="AA90">
            <v>3.6065464680703001</v>
          </cell>
          <cell r="AE90">
            <v>1.42685790673326E-3</v>
          </cell>
          <cell r="AF90">
            <v>2.8355281223900502E-4</v>
          </cell>
          <cell r="AG90">
            <v>1.8428382095017699E-4</v>
          </cell>
          <cell r="BJ90">
            <v>3.8645609441622011E-3</v>
          </cell>
          <cell r="BV90">
            <v>1.0095413412574554E-2</v>
          </cell>
          <cell r="BY90">
            <v>1.3959974356736755E-2</v>
          </cell>
        </row>
        <row r="91">
          <cell r="O91">
            <v>3.6128150130856298</v>
          </cell>
          <cell r="P91">
            <v>3.60893189936706</v>
          </cell>
          <cell r="Q91">
            <v>3.60866628857312</v>
          </cell>
          <cell r="U91">
            <v>9.3379176315682301E-4</v>
          </cell>
          <cell r="V91">
            <v>-1.3644414647196601E-4</v>
          </cell>
          <cell r="W91">
            <v>-2.5195009468184301E-4</v>
          </cell>
          <cell r="Y91">
            <v>3.6110228019569499</v>
          </cell>
          <cell r="Z91">
            <v>3.60695374896267</v>
          </cell>
          <cell r="AA91">
            <v>3.6066796318245098</v>
          </cell>
          <cell r="AE91">
            <v>9.8356070135966205E-4</v>
          </cell>
          <cell r="AF91">
            <v>-1.39968943322012E-4</v>
          </cell>
          <cell r="AG91">
            <v>-2.5683874424790003E-4</v>
          </cell>
          <cell r="BJ91">
            <v>3.8645609441622011E-3</v>
          </cell>
          <cell r="BV91">
            <v>1.0095413412574554E-2</v>
          </cell>
          <cell r="BY91">
            <v>1.3959974356736755E-2</v>
          </cell>
        </row>
        <row r="92">
          <cell r="O92">
            <v>3.6128150130856298</v>
          </cell>
          <cell r="P92">
            <v>3.6086546036548701</v>
          </cell>
          <cell r="Q92">
            <v>3.6085778964324402</v>
          </cell>
          <cell r="U92">
            <v>1.87668156692854E-3</v>
          </cell>
          <cell r="V92">
            <v>8.0128689030178695E-4</v>
          </cell>
          <cell r="W92">
            <v>7.2768600891656102E-4</v>
          </cell>
          <cell r="Y92">
            <v>3.6110228019569499</v>
          </cell>
          <cell r="Z92">
            <v>3.60668227622766</v>
          </cell>
          <cell r="AA92">
            <v>3.6065934272007398</v>
          </cell>
          <cell r="AE92">
            <v>1.9256463100046301E-3</v>
          </cell>
          <cell r="AF92">
            <v>7.9816871386029903E-4</v>
          </cell>
          <cell r="AG92">
            <v>7.2216897175530603E-4</v>
          </cell>
          <cell r="BJ92">
            <v>3.8645609441622011E-3</v>
          </cell>
          <cell r="BV92">
            <v>1.0095413412574554E-2</v>
          </cell>
          <cell r="BY92">
            <v>1.3959974356736755E-2</v>
          </cell>
        </row>
        <row r="93">
          <cell r="O93">
            <v>3.6128150130856298</v>
          </cell>
          <cell r="P93">
            <v>3.60901667312049</v>
          </cell>
          <cell r="Q93">
            <v>3.6085004007396702</v>
          </cell>
          <cell r="U93">
            <v>1.3840160041592401E-3</v>
          </cell>
          <cell r="V93">
            <v>2.3178242516208499E-4</v>
          </cell>
          <cell r="W93">
            <v>2.1052573918597399E-4</v>
          </cell>
          <cell r="Y93">
            <v>3.6110228019569499</v>
          </cell>
          <cell r="Z93">
            <v>3.6070439728394699</v>
          </cell>
          <cell r="AA93">
            <v>3.6065191840325199</v>
          </cell>
          <cell r="AE93">
            <v>1.43047037986063E-3</v>
          </cell>
          <cell r="AF93">
            <v>2.27726237362446E-4</v>
          </cell>
          <cell r="AG93">
            <v>2.0309137503880299E-4</v>
          </cell>
          <cell r="BJ93">
            <v>3.8645609441622011E-3</v>
          </cell>
          <cell r="BV93">
            <v>1.0095413412574554E-2</v>
          </cell>
          <cell r="BY93">
            <v>1.3959974356736755E-2</v>
          </cell>
        </row>
        <row r="94">
          <cell r="O94">
            <v>3.6128150130856298</v>
          </cell>
          <cell r="P94">
            <v>3.6091244861737399</v>
          </cell>
          <cell r="Q94">
            <v>3.6085438623475001</v>
          </cell>
          <cell r="U94">
            <v>7.3911617399231996E-4</v>
          </cell>
          <cell r="V94">
            <v>-3.1278879428407302E-4</v>
          </cell>
          <cell r="W94">
            <v>-4.5584973239100199E-4</v>
          </cell>
          <cell r="Y94">
            <v>3.6110228019569499</v>
          </cell>
          <cell r="Z94">
            <v>3.6071496203704001</v>
          </cell>
          <cell r="AA94">
            <v>3.6065615395084998</v>
          </cell>
          <cell r="AE94">
            <v>7.9873656739777804E-4</v>
          </cell>
          <cell r="AF94">
            <v>-3.0372747030583399E-4</v>
          </cell>
          <cell r="AG94">
            <v>-4.4922804927307599E-4</v>
          </cell>
          <cell r="BJ94">
            <v>3.8645609441622011E-3</v>
          </cell>
          <cell r="BV94">
            <v>1.0095413412574554E-2</v>
          </cell>
          <cell r="BY94">
            <v>1.3959974356736755E-2</v>
          </cell>
        </row>
        <row r="95">
          <cell r="O95">
            <v>3.6128150130856298</v>
          </cell>
          <cell r="P95">
            <v>3.6091808918572101</v>
          </cell>
          <cell r="Q95">
            <v>3.6086945843327798</v>
          </cell>
          <cell r="U95">
            <v>1.16437776676178E-3</v>
          </cell>
          <cell r="V95">
            <v>1.42345601159736E-4</v>
          </cell>
          <cell r="W95">
            <v>-1.8543982417078699E-5</v>
          </cell>
          <cell r="Y95">
            <v>3.6110228019569499</v>
          </cell>
          <cell r="Z95">
            <v>3.607205322614</v>
          </cell>
          <cell r="AA95">
            <v>3.6067099387055199</v>
          </cell>
          <cell r="AE95">
            <v>1.2256615078558601E-3</v>
          </cell>
          <cell r="AF95">
            <v>1.52486268568773E-4</v>
          </cell>
          <cell r="AG95">
            <v>-1.05590350684208E-5</v>
          </cell>
          <cell r="BJ95">
            <v>3.8645609441622011E-3</v>
          </cell>
          <cell r="BV95">
            <v>1.0095413412574554E-2</v>
          </cell>
          <cell r="BY95">
            <v>1.3959974356736755E-2</v>
          </cell>
        </row>
        <row r="96">
          <cell r="O96">
            <v>3.6128150130856298</v>
          </cell>
          <cell r="P96">
            <v>3.6090272923241602</v>
          </cell>
          <cell r="Q96">
            <v>3.6085329273159199</v>
          </cell>
          <cell r="U96">
            <v>1.45054711110684E-3</v>
          </cell>
          <cell r="V96">
            <v>4.4414345677320903E-4</v>
          </cell>
          <cell r="W96">
            <v>3.0939257979687899E-4</v>
          </cell>
          <cell r="Y96">
            <v>3.6110228019569499</v>
          </cell>
          <cell r="Z96">
            <v>3.60704688562108</v>
          </cell>
          <cell r="AA96">
            <v>3.60654695931238</v>
          </cell>
          <cell r="AE96">
            <v>1.51824520832831E-3</v>
          </cell>
          <cell r="AF96">
            <v>4.6051202700564501E-4</v>
          </cell>
          <cell r="AG96">
            <v>3.2317082148320401E-4</v>
          </cell>
          <cell r="BJ96">
            <v>3.8645609441622011E-3</v>
          </cell>
          <cell r="BV96">
            <v>1.0095413412574554E-2</v>
          </cell>
          <cell r="BY96">
            <v>1.3959974356736755E-2</v>
          </cell>
        </row>
        <row r="97">
          <cell r="O97">
            <v>3.6128150130856298</v>
          </cell>
          <cell r="P97">
            <v>3.6091009640228</v>
          </cell>
          <cell r="Q97">
            <v>3.6085045027415399</v>
          </cell>
          <cell r="U97">
            <v>1.1695421038880899E-3</v>
          </cell>
          <cell r="V97">
            <v>1.20579540431597E-4</v>
          </cell>
          <cell r="W97">
            <v>-1.64099668174265E-5</v>
          </cell>
          <cell r="Y97">
            <v>3.6110228019569499</v>
          </cell>
          <cell r="Z97">
            <v>3.6071134135218199</v>
          </cell>
          <cell r="AA97">
            <v>3.6065184429449801</v>
          </cell>
          <cell r="AE97">
            <v>1.2296105280599401E-3</v>
          </cell>
          <cell r="AF97">
            <v>1.27954015979891E-4</v>
          </cell>
          <cell r="AG97">
            <v>-1.0652709112893E-5</v>
          </cell>
          <cell r="BJ97">
            <v>3.8645609441622011E-3</v>
          </cell>
          <cell r="BV97">
            <v>1.0095413412574554E-2</v>
          </cell>
          <cell r="BY97">
            <v>1.3959974356736755E-2</v>
          </cell>
        </row>
        <row r="98">
          <cell r="O98">
            <v>3.6128150130856298</v>
          </cell>
          <cell r="P98">
            <v>3.6085363000516502</v>
          </cell>
          <cell r="Q98">
            <v>3.6086274236448799</v>
          </cell>
          <cell r="U98">
            <v>9.6996762217601803E-4</v>
          </cell>
          <cell r="V98">
            <v>-5.85819765819818E-5</v>
          </cell>
          <cell r="W98">
            <v>-2.2386152403452899E-4</v>
          </cell>
          <cell r="Y98">
            <v>3.6110228019569499</v>
          </cell>
          <cell r="Z98">
            <v>3.60654683957612</v>
          </cell>
          <cell r="AA98">
            <v>3.6066393008167101</v>
          </cell>
          <cell r="AE98">
            <v>1.03085671479083E-3</v>
          </cell>
          <cell r="AF98">
            <v>-5.2356098233431899E-5</v>
          </cell>
          <cell r="AG98">
            <v>-2.17313387442238E-4</v>
          </cell>
          <cell r="BJ98">
            <v>3.8645609441622011E-3</v>
          </cell>
          <cell r="BV98">
            <v>1.0095413412574554E-2</v>
          </cell>
          <cell r="BY98">
            <v>1.3959974356736755E-2</v>
          </cell>
        </row>
        <row r="99">
          <cell r="O99">
            <v>3.6128150130856298</v>
          </cell>
          <cell r="P99">
            <v>3.60861353910287</v>
          </cell>
          <cell r="Q99">
            <v>3.6087479297645899</v>
          </cell>
          <cell r="U99">
            <v>5.6760768628236397E-4</v>
          </cell>
          <cell r="V99">
            <v>-6.1740972919842796E-4</v>
          </cell>
          <cell r="W99">
            <v>-5.9215781675050897E-4</v>
          </cell>
          <cell r="Y99">
            <v>3.6110228019569499</v>
          </cell>
          <cell r="Z99">
            <v>3.6066221839850199</v>
          </cell>
          <cell r="AA99">
            <v>3.6067594221724799</v>
          </cell>
          <cell r="AE99">
            <v>6.2505919951703003E-4</v>
          </cell>
          <cell r="AF99">
            <v>-6.1523723735240502E-4</v>
          </cell>
          <cell r="AG99">
            <v>-5.8960051072369599E-4</v>
          </cell>
          <cell r="BJ99">
            <v>3.8645609441622011E-3</v>
          </cell>
          <cell r="BV99">
            <v>1.0095413412574554E-2</v>
          </cell>
          <cell r="BY99">
            <v>1.3959974356736755E-2</v>
          </cell>
        </row>
        <row r="100">
          <cell r="O100">
            <v>3.6128150130856298</v>
          </cell>
          <cell r="P100">
            <v>3.6087658645685998</v>
          </cell>
          <cell r="Q100">
            <v>3.60885819081123</v>
          </cell>
          <cell r="U100">
            <v>9.5902044243388401E-4</v>
          </cell>
          <cell r="V100">
            <v>-2.0459266443738399E-4</v>
          </cell>
          <cell r="W100">
            <v>-1.67351724708108E-4</v>
          </cell>
          <cell r="Y100">
            <v>3.6110228019569499</v>
          </cell>
          <cell r="Z100">
            <v>3.6067740022707802</v>
          </cell>
          <cell r="AA100">
            <v>3.6068709956699401</v>
          </cell>
          <cell r="AE100">
            <v>1.0059160431117101E-3</v>
          </cell>
          <cell r="AF100">
            <v>-2.1348960119281E-4</v>
          </cell>
          <cell r="AG100">
            <v>-1.7543860237584301E-4</v>
          </cell>
          <cell r="BJ100">
            <v>3.8645609441622011E-3</v>
          </cell>
          <cell r="BV100">
            <v>1.0095413412574554E-2</v>
          </cell>
          <cell r="BY100">
            <v>1.3959974356736755E-2</v>
          </cell>
        </row>
        <row r="101">
          <cell r="O101">
            <v>3.6128150130856298</v>
          </cell>
          <cell r="P101">
            <v>3.6089567083240102</v>
          </cell>
          <cell r="Q101">
            <v>3.60894430384554</v>
          </cell>
          <cell r="U101">
            <v>4.0519684732217301E-4</v>
          </cell>
          <cell r="V101">
            <v>-7.1620551871541798E-4</v>
          </cell>
          <cell r="W101">
            <v>-6.9062196326020596E-4</v>
          </cell>
          <cell r="Y101">
            <v>3.6110228019569499</v>
          </cell>
          <cell r="Z101">
            <v>3.6069654331692398</v>
          </cell>
          <cell r="AA101">
            <v>3.6069595910659502</v>
          </cell>
          <cell r="AE101">
            <v>4.5305047751482898E-4</v>
          </cell>
          <cell r="AF101">
            <v>-7.2426173898909195E-4</v>
          </cell>
          <cell r="AG101">
            <v>-6.9737009150742295E-4</v>
          </cell>
          <cell r="BJ101">
            <v>3.8645609441622011E-3</v>
          </cell>
          <cell r="BV101">
            <v>1.0095413412574554E-2</v>
          </cell>
          <cell r="BY101">
            <v>1.3959974356736755E-2</v>
          </cell>
        </row>
        <row r="102">
          <cell r="O102">
            <v>3.6128150130856298</v>
          </cell>
          <cell r="P102">
            <v>3.6098495685389902</v>
          </cell>
          <cell r="Q102">
            <v>3.6092520860969302</v>
          </cell>
          <cell r="U102">
            <v>-5.9627035895087595E-4</v>
          </cell>
          <cell r="V102">
            <v>-1.6647907380372899E-3</v>
          </cell>
          <cell r="W102">
            <v>-1.6682278809007399E-3</v>
          </cell>
          <cell r="Y102">
            <v>3.6110228019569499</v>
          </cell>
          <cell r="Z102">
            <v>3.6078569799661602</v>
          </cell>
          <cell r="AA102">
            <v>3.6072696280969101</v>
          </cell>
          <cell r="AE102">
            <v>-5.4501720871889597E-4</v>
          </cell>
          <cell r="AF102">
            <v>-1.66925545430379E-3</v>
          </cell>
          <cell r="AG102">
            <v>-1.67087512827192E-3</v>
          </cell>
          <cell r="BJ102">
            <v>3.8645609441622011E-3</v>
          </cell>
          <cell r="BV102">
            <v>1.0095413412574554E-2</v>
          </cell>
          <cell r="BY102">
            <v>1.3959974356736755E-2</v>
          </cell>
        </row>
        <row r="103">
          <cell r="O103">
            <v>3.6128150130856298</v>
          </cell>
          <cell r="P103">
            <v>3.6103744866157901</v>
          </cell>
          <cell r="Q103">
            <v>3.60969557986814</v>
          </cell>
          <cell r="U103">
            <v>-6.9872586305791797E-5</v>
          </cell>
          <cell r="V103">
            <v>-8.9102236552179501E-4</v>
          </cell>
          <cell r="W103">
            <v>-1.0565505633519201E-3</v>
          </cell>
          <cell r="Y103">
            <v>3.6110228019569499</v>
          </cell>
          <cell r="Z103">
            <v>3.6083796607873699</v>
          </cell>
          <cell r="AA103">
            <v>3.6077118168134201</v>
          </cell>
          <cell r="AE103">
            <v>-1.8011302991353301E-5</v>
          </cell>
          <cell r="AF103">
            <v>-8.9510644500273096E-4</v>
          </cell>
          <cell r="AG103">
            <v>-1.0579176893371501E-3</v>
          </cell>
          <cell r="BJ103">
            <v>4.3909587168073708E-3</v>
          </cell>
          <cell r="BV103">
            <v>1.0095413412574554E-2</v>
          </cell>
          <cell r="BY103">
            <v>1.4486372129381924E-2</v>
          </cell>
        </row>
        <row r="104">
          <cell r="O104">
            <v>3.6128150130856298</v>
          </cell>
          <cell r="P104">
            <v>3.6110941185793299</v>
          </cell>
          <cell r="Q104">
            <v>3.6101093023765398</v>
          </cell>
          <cell r="U104">
            <v>-1.25225960510315E-3</v>
          </cell>
          <cell r="V104">
            <v>-1.92800722679093E-3</v>
          </cell>
          <cell r="W104">
            <v>-2.11606821329146E-3</v>
          </cell>
          <cell r="Y104">
            <v>3.6110228019569499</v>
          </cell>
          <cell r="Z104">
            <v>3.6090991416404399</v>
          </cell>
          <cell r="AA104">
            <v>3.6081243810054202</v>
          </cell>
          <cell r="AE104">
            <v>-1.19332728085352E-3</v>
          </cell>
          <cell r="AF104">
            <v>-1.9255599833003199E-3</v>
          </cell>
          <cell r="AG104">
            <v>-2.1106585170237099E-3</v>
          </cell>
          <cell r="BJ104">
            <v>3.2085716980101309E-3</v>
          </cell>
          <cell r="BV104">
            <v>1.0095413412574554E-2</v>
          </cell>
          <cell r="BY104">
            <v>1.3303985110584685E-2</v>
          </cell>
        </row>
        <row r="105">
          <cell r="O105">
            <v>3.6128150130856298</v>
          </cell>
          <cell r="P105">
            <v>3.6116756427806598</v>
          </cell>
          <cell r="Q105">
            <v>3.6104282673189401</v>
          </cell>
          <cell r="U105">
            <v>-4.4581568221643201E-4</v>
          </cell>
          <cell r="V105">
            <v>-9.2225980893230204E-4</v>
          </cell>
          <cell r="W105">
            <v>-1.19501662008748E-3</v>
          </cell>
          <cell r="Y105">
            <v>3.6110228019569499</v>
          </cell>
          <cell r="Z105">
            <v>3.6096842955961401</v>
          </cell>
          <cell r="AA105">
            <v>3.60844480910507</v>
          </cell>
          <cell r="AE105">
            <v>-3.9547706415902698E-4</v>
          </cell>
          <cell r="AF105">
            <v>-9.2833797067896602E-4</v>
          </cell>
          <cell r="AG105">
            <v>-1.1984586446160601E-3</v>
          </cell>
          <cell r="BJ105">
            <v>4.0150156208967301E-3</v>
          </cell>
          <cell r="BV105">
            <v>1.0095413412574554E-2</v>
          </cell>
          <cell r="BY105">
            <v>1.4110429033471284E-2</v>
          </cell>
        </row>
        <row r="106">
          <cell r="O106">
            <v>3.6128150130856298</v>
          </cell>
          <cell r="P106">
            <v>3.6119166535119902</v>
          </cell>
          <cell r="Q106">
            <v>3.6104719729180701</v>
          </cell>
          <cell r="U106">
            <v>7.8270224552433895E-4</v>
          </cell>
          <cell r="V106">
            <v>4.6728338246793003E-4</v>
          </cell>
          <cell r="W106">
            <v>1.21850669325787E-4</v>
          </cell>
          <cell r="Y106">
            <v>3.6110228019569499</v>
          </cell>
          <cell r="Z106">
            <v>3.6099320570090598</v>
          </cell>
          <cell r="AA106">
            <v>3.6084894713150701</v>
          </cell>
          <cell r="AE106">
            <v>8.3131339519012604E-4</v>
          </cell>
          <cell r="AF106">
            <v>4.60572314556583E-4</v>
          </cell>
          <cell r="AG106">
            <v>1.1713525897904099E-4</v>
          </cell>
          <cell r="BJ106">
            <v>5.2435335486375302E-3</v>
          </cell>
          <cell r="BV106">
            <v>1.0095413412574554E-2</v>
          </cell>
          <cell r="BY106">
            <v>1.5338946961212085E-2</v>
          </cell>
        </row>
        <row r="107">
          <cell r="O107">
            <v>3.6128150130856298</v>
          </cell>
          <cell r="P107">
            <v>3.61230691590977</v>
          </cell>
          <cell r="Q107">
            <v>3.6107039399662901</v>
          </cell>
          <cell r="U107">
            <v>8.8645445065167503E-5</v>
          </cell>
          <cell r="V107">
            <v>-1.6004464329648501E-4</v>
          </cell>
          <cell r="W107">
            <v>-5.6010082634183199E-4</v>
          </cell>
          <cell r="Y107">
            <v>3.6110228019569499</v>
          </cell>
          <cell r="Z107">
            <v>3.6103278368745499</v>
          </cell>
          <cell r="AA107">
            <v>3.60872062519819</v>
          </cell>
          <cell r="AE107">
            <v>1.3283110377623801E-4</v>
          </cell>
          <cell r="AF107">
            <v>-1.6927435941698101E-4</v>
          </cell>
          <cell r="AG107">
            <v>-5.6896997362765496E-4</v>
          </cell>
          <cell r="BJ107">
            <v>5.2435335486375302E-3</v>
          </cell>
          <cell r="BV107">
            <v>1.0095413412574554E-2</v>
          </cell>
          <cell r="BY107">
            <v>1.5338946961212085E-2</v>
          </cell>
        </row>
        <row r="108">
          <cell r="O108">
            <v>3.6128150130856298</v>
          </cell>
          <cell r="P108">
            <v>3.61269753346228</v>
          </cell>
          <cell r="Q108">
            <v>3.6106169167569702</v>
          </cell>
          <cell r="U108">
            <v>-1.1169638752859E-4</v>
          </cell>
          <cell r="V108">
            <v>-2.5234375146101698E-4</v>
          </cell>
          <cell r="W108">
            <v>-6.9619632257965705E-4</v>
          </cell>
          <cell r="Y108">
            <v>3.6110228019569499</v>
          </cell>
          <cell r="Z108">
            <v>3.6107211062782998</v>
          </cell>
          <cell r="AA108">
            <v>3.6086339729272101</v>
          </cell>
          <cell r="AE108">
            <v>-5.8753076203623603E-5</v>
          </cell>
          <cell r="AF108">
            <v>-2.5122817381222301E-4</v>
          </cell>
          <cell r="AG108">
            <v>-6.9649785481352099E-4</v>
          </cell>
          <cell r="BJ108">
            <v>5.2435335486375302E-3</v>
          </cell>
          <cell r="BV108">
            <v>1.0095413412574554E-2</v>
          </cell>
          <cell r="BY108">
            <v>1.5338946961212085E-2</v>
          </cell>
        </row>
        <row r="109">
          <cell r="O109">
            <v>3.6128150130856298</v>
          </cell>
          <cell r="P109">
            <v>3.61277595169364</v>
          </cell>
          <cell r="Q109">
            <v>3.6106947453982601</v>
          </cell>
          <cell r="U109">
            <v>3.5045226729628999E-4</v>
          </cell>
          <cell r="V109">
            <v>3.1793426318054699E-4</v>
          </cell>
          <cell r="W109">
            <v>-2.5814941064951602E-4</v>
          </cell>
          <cell r="Y109">
            <v>3.6110228019569499</v>
          </cell>
          <cell r="Z109">
            <v>3.6108009598822601</v>
          </cell>
          <cell r="AA109">
            <v>3.60871157193364</v>
          </cell>
          <cell r="AE109">
            <v>4.0380694474424702E-4</v>
          </cell>
          <cell r="AF109">
            <v>3.2025491557901599E-4</v>
          </cell>
          <cell r="AG109">
            <v>-2.5795003107919597E-4</v>
          </cell>
          <cell r="BJ109">
            <v>5.2435335486375302E-3</v>
          </cell>
          <cell r="BV109">
            <v>1.0095413412574554E-2</v>
          </cell>
          <cell r="BY109">
            <v>1.5338946961212085E-2</v>
          </cell>
        </row>
        <row r="110">
          <cell r="O110">
            <v>3.6128150130856298</v>
          </cell>
          <cell r="P110">
            <v>3.61330216933277</v>
          </cell>
          <cell r="Q110">
            <v>3.6110340169506898</v>
          </cell>
          <cell r="U110">
            <v>-4.9784613859413999E-4</v>
          </cell>
          <cell r="V110">
            <v>-5.0865809631007097E-4</v>
          </cell>
          <cell r="W110">
            <v>-1.08489255208568E-3</v>
          </cell>
          <cell r="Y110">
            <v>3.6110228019569499</v>
          </cell>
          <cell r="Z110">
            <v>3.61132591732482</v>
          </cell>
          <cell r="AA110">
            <v>3.6090499597978001</v>
          </cell>
          <cell r="AE110">
            <v>-4.4825309444601299E-4</v>
          </cell>
          <cell r="AF110">
            <v>-5.0968967392413505E-4</v>
          </cell>
          <cell r="AG110">
            <v>-1.08850659480249E-3</v>
          </cell>
          <cell r="BJ110">
            <v>5.2435335486375302E-3</v>
          </cell>
          <cell r="BV110">
            <v>1.0095413412574554E-2</v>
          </cell>
          <cell r="BY110">
            <v>1.5338946961212085E-2</v>
          </cell>
        </row>
        <row r="111">
          <cell r="O111">
            <v>3.6128150130856298</v>
          </cell>
          <cell r="P111">
            <v>3.6134672030152002</v>
          </cell>
          <cell r="Q111">
            <v>3.6112119556696101</v>
          </cell>
          <cell r="U111">
            <v>-5.1684708136679302E-5</v>
          </cell>
          <cell r="V111">
            <v>8.3147383726352297E-5</v>
          </cell>
          <cell r="W111">
            <v>-5.4477257961015296E-4</v>
          </cell>
          <cell r="Y111">
            <v>3.6110228019569499</v>
          </cell>
          <cell r="Z111">
            <v>3.6114838314934099</v>
          </cell>
          <cell r="AA111">
            <v>3.6092246323313302</v>
          </cell>
          <cell r="AE111">
            <v>1.5636518937088698E-5</v>
          </cell>
          <cell r="AF111">
            <v>9.95746891451066E-5</v>
          </cell>
          <cell r="AG111">
            <v>-5.3085166015675895E-4</v>
          </cell>
          <cell r="BJ111">
            <v>5.6896949790949296E-3</v>
          </cell>
          <cell r="BV111">
            <v>1.0095413412574554E-2</v>
          </cell>
          <cell r="BY111">
            <v>1.5785108391669484E-2</v>
          </cell>
        </row>
        <row r="112">
          <cell r="O112">
            <v>3.6128150130856298</v>
          </cell>
          <cell r="P112">
            <v>3.6133228220537199</v>
          </cell>
          <cell r="Q112">
            <v>3.6115861952963502</v>
          </cell>
          <cell r="U112">
            <v>-1.9679316536956899E-4</v>
          </cell>
          <cell r="V112">
            <v>-1.6288194256168501E-5</v>
          </cell>
          <cell r="W112">
            <v>-6.4060586132810805E-4</v>
          </cell>
          <cell r="Y112">
            <v>3.6110228019569499</v>
          </cell>
          <cell r="Z112">
            <v>3.6113402485932</v>
          </cell>
          <cell r="AA112">
            <v>3.6095986142796801</v>
          </cell>
          <cell r="AE112">
            <v>-1.4753096531791801E-4</v>
          </cell>
          <cell r="AF112">
            <v>-1.9866274790872198E-5</v>
          </cell>
          <cell r="AG112">
            <v>-6.4562183523945505E-4</v>
          </cell>
          <cell r="BJ112">
            <v>5.5445865218620273E-3</v>
          </cell>
          <cell r="BV112">
            <v>1.0095413412574554E-2</v>
          </cell>
          <cell r="BY112">
            <v>1.5639999934436582E-2</v>
          </cell>
        </row>
        <row r="113">
          <cell r="O113">
            <v>3.6128150130856298</v>
          </cell>
          <cell r="P113">
            <v>3.61381973395783</v>
          </cell>
          <cell r="Q113">
            <v>3.6120971102868098</v>
          </cell>
          <cell r="U113">
            <v>-1.4442463467661799E-3</v>
          </cell>
          <cell r="V113">
            <v>-1.30369852426266E-3</v>
          </cell>
          <cell r="W113">
            <v>-1.78443171734217E-3</v>
          </cell>
          <cell r="Y113">
            <v>3.6110228019569499</v>
          </cell>
          <cell r="Z113">
            <v>3.6118375647255601</v>
          </cell>
          <cell r="AA113">
            <v>3.6101086127564699</v>
          </cell>
          <cell r="AE113">
            <v>-1.3942558540078599E-3</v>
          </cell>
          <cell r="AF113">
            <v>-1.30634926879859E-3</v>
          </cell>
          <cell r="AG113">
            <v>-1.78873372887169E-3</v>
          </cell>
          <cell r="BJ113">
            <v>4.2971333404653572E-3</v>
          </cell>
          <cell r="BV113">
            <v>1.0095413412574554E-2</v>
          </cell>
          <cell r="BY113">
            <v>1.4392546753039913E-2</v>
          </cell>
        </row>
        <row r="114">
          <cell r="O114">
            <v>3.6128150130856298</v>
          </cell>
          <cell r="P114">
            <v>3.6139423775013202</v>
          </cell>
          <cell r="Q114">
            <v>3.6125182480403302</v>
          </cell>
          <cell r="U114">
            <v>-1.59124540312637E-3</v>
          </cell>
          <cell r="V114">
            <v>-1.3131848911893599E-3</v>
          </cell>
          <cell r="W114">
            <v>-1.78997523926168E-3</v>
          </cell>
          <cell r="Y114">
            <v>3.6110228019569499</v>
          </cell>
          <cell r="Z114">
            <v>3.61196583242068</v>
          </cell>
          <cell r="AA114">
            <v>3.61053248703056</v>
          </cell>
          <cell r="AE114">
            <v>-1.54805226235901E-3</v>
          </cell>
          <cell r="AF114">
            <v>-1.3224455828143599E-3</v>
          </cell>
          <cell r="AG114">
            <v>-1.8012505917795699E-3</v>
          </cell>
          <cell r="BJ114">
            <v>4.1501342841052582E-3</v>
          </cell>
          <cell r="BV114">
            <v>1.0095413412574554E-2</v>
          </cell>
          <cell r="BY114">
            <v>1.4245547696679814E-2</v>
          </cell>
        </row>
        <row r="115">
          <cell r="O115">
            <v>3.6128150130856298</v>
          </cell>
          <cell r="P115">
            <v>3.6143023946926101</v>
          </cell>
          <cell r="Q115">
            <v>3.61298901873664</v>
          </cell>
          <cell r="U115">
            <v>-1.4413762757928201E-3</v>
          </cell>
          <cell r="V115">
            <v>-1.1293789680376499E-3</v>
          </cell>
          <cell r="W115">
            <v>-1.52352198028817E-3</v>
          </cell>
          <cell r="Y115">
            <v>3.6110228019569499</v>
          </cell>
          <cell r="Z115">
            <v>3.6123294991587298</v>
          </cell>
          <cell r="AA115">
            <v>3.6110068973774299</v>
          </cell>
          <cell r="AE115">
            <v>-1.40167422035362E-3</v>
          </cell>
          <cell r="AF115">
            <v>-1.1405550308263E-3</v>
          </cell>
          <cell r="AG115">
            <v>-1.53746627830288E-3</v>
          </cell>
          <cell r="BJ115">
            <v>4.3000034114388285E-3</v>
          </cell>
          <cell r="BV115">
            <v>1.0095413412574554E-2</v>
          </cell>
          <cell r="BY115">
            <v>1.4395416824013383E-2</v>
          </cell>
        </row>
        <row r="116">
          <cell r="O116">
            <v>3.6128150130856298</v>
          </cell>
          <cell r="P116">
            <v>3.6145369022534601</v>
          </cell>
          <cell r="Q116">
            <v>3.6132267778827201</v>
          </cell>
          <cell r="U116">
            <v>1.3330562306255E-4</v>
          </cell>
          <cell r="V116">
            <v>5.4491693198621303E-4</v>
          </cell>
          <cell r="W116">
            <v>1.8146791760372799E-4</v>
          </cell>
          <cell r="Y116">
            <v>3.6110228019569499</v>
          </cell>
          <cell r="Z116">
            <v>3.6125680250790899</v>
          </cell>
          <cell r="AA116">
            <v>3.6112500410440802</v>
          </cell>
          <cell r="AE116">
            <v>1.7043300125488999E-4</v>
          </cell>
          <cell r="AF116">
            <v>5.3223100350238304E-4</v>
          </cell>
          <cell r="AG116">
            <v>1.6602853874894601E-4</v>
          </cell>
          <cell r="BJ116">
            <v>5.8746853102942783E-3</v>
          </cell>
          <cell r="BV116">
            <v>1.0095413412574554E-2</v>
          </cell>
          <cell r="BY116">
            <v>1.5970098722868833E-2</v>
          </cell>
        </row>
        <row r="117">
          <cell r="O117">
            <v>3.6128150130856298</v>
          </cell>
          <cell r="P117">
            <v>3.6156900495111799</v>
          </cell>
          <cell r="Q117">
            <v>3.6139984827104699</v>
          </cell>
          <cell r="U117">
            <v>-3.0983783540944202E-3</v>
          </cell>
          <cell r="V117">
            <v>-2.6218859345818902E-3</v>
          </cell>
          <cell r="W117">
            <v>-2.98441145231154E-3</v>
          </cell>
          <cell r="Y117">
            <v>3.6110228019569499</v>
          </cell>
          <cell r="Z117">
            <v>3.6129350949375398</v>
          </cell>
          <cell r="AA117">
            <v>3.6116314659060502</v>
          </cell>
          <cell r="AE117">
            <v>-8.8331348707861696E-4</v>
          </cell>
          <cell r="AF117">
            <v>-4.5548661185414603E-4</v>
          </cell>
          <cell r="AG117">
            <v>-8.2038618091211405E-4</v>
          </cell>
          <cell r="BJ117">
            <v>5.8746853102942783E-3</v>
          </cell>
          <cell r="BV117">
            <v>1.0095413412574554E-2</v>
          </cell>
          <cell r="BY117">
            <v>1.5970098722868833E-2</v>
          </cell>
        </row>
        <row r="118">
          <cell r="O118">
            <v>3.6128150130856298</v>
          </cell>
          <cell r="P118">
            <v>3.6167714507660702</v>
          </cell>
          <cell r="Q118">
            <v>3.6147344921141702</v>
          </cell>
          <cell r="U118">
            <v>-3.1001295252132402E-3</v>
          </cell>
          <cell r="V118">
            <v>-2.3046575563203499E-3</v>
          </cell>
          <cell r="W118">
            <v>-2.7726076828113598E-3</v>
          </cell>
          <cell r="Y118">
            <v>3.6110228019569499</v>
          </cell>
          <cell r="Z118">
            <v>3.6132399814750502</v>
          </cell>
          <cell r="AA118">
            <v>3.6119805438766699</v>
          </cell>
          <cell r="AE118">
            <v>-9.0266910238572895E-4</v>
          </cell>
          <cell r="AF118">
            <v>-3.7323826888654001E-4</v>
          </cell>
          <cell r="AG118">
            <v>-7.3412609092021904E-4</v>
          </cell>
          <cell r="BJ118">
            <v>5.8746853102942783E-3</v>
          </cell>
          <cell r="BV118">
            <v>1.0095413412574554E-2</v>
          </cell>
          <cell r="BY118">
            <v>1.5970098722868833E-2</v>
          </cell>
        </row>
        <row r="119">
          <cell r="O119">
            <v>3.6128150130856298</v>
          </cell>
          <cell r="P119">
            <v>3.6179175898562099</v>
          </cell>
          <cell r="Q119">
            <v>3.6153467707749201</v>
          </cell>
          <cell r="U119">
            <v>-2.8180613917568199E-3</v>
          </cell>
          <cell r="V119">
            <v>-1.7235484219797999E-3</v>
          </cell>
          <cell r="W119">
            <v>-2.28690513408251E-3</v>
          </cell>
          <cell r="Y119">
            <v>3.6110228019569499</v>
          </cell>
          <cell r="Z119">
            <v>3.6135892799320999</v>
          </cell>
          <cell r="AA119">
            <v>3.61219511990718</v>
          </cell>
          <cell r="AE119">
            <v>-5.6342750957525496E-4</v>
          </cell>
          <cell r="AF119">
            <v>5.0387257185131201E-5</v>
          </cell>
          <cell r="AG119">
            <v>-2.9823535072303503E-4</v>
          </cell>
          <cell r="BJ119">
            <v>5.8746853102942783E-3</v>
          </cell>
          <cell r="BV119">
            <v>1.0095413412574554E-2</v>
          </cell>
          <cell r="BY119">
            <v>1.5970098722868833E-2</v>
          </cell>
        </row>
        <row r="120">
          <cell r="O120">
            <v>3.6128150130856298</v>
          </cell>
          <cell r="P120">
            <v>3.6184487630759898</v>
          </cell>
          <cell r="Q120">
            <v>3.6158754662043799</v>
          </cell>
          <cell r="U120">
            <v>-1.96628317020342E-3</v>
          </cell>
          <cell r="V120">
            <v>-5.5492476497155804E-4</v>
          </cell>
          <cell r="W120">
            <v>-1.26575712539942E-3</v>
          </cell>
          <cell r="Y120">
            <v>3.6110228019569499</v>
          </cell>
          <cell r="Z120">
            <v>3.61405662851356</v>
          </cell>
          <cell r="AA120">
            <v>3.6126912729191898</v>
          </cell>
          <cell r="AE120">
            <v>-1.74106476350026E-3</v>
          </cell>
          <cell r="AF120">
            <v>-1.03058285692332E-3</v>
          </cell>
          <cell r="AG120">
            <v>-1.4164676176840699E-3</v>
          </cell>
          <cell r="BJ120">
            <v>5.8746853102942783E-3</v>
          </cell>
          <cell r="BV120">
            <v>1.0095413412574554E-2</v>
          </cell>
          <cell r="BY120">
            <v>1.5970098722868833E-2</v>
          </cell>
        </row>
        <row r="121">
          <cell r="O121">
            <v>3.6128150130856298</v>
          </cell>
          <cell r="P121">
            <v>3.6189869723942998</v>
          </cell>
          <cell r="Q121">
            <v>3.61622708770475</v>
          </cell>
          <cell r="U121">
            <v>-1.54022217158954E-3</v>
          </cell>
          <cell r="V121">
            <v>1.7942847577549699E-5</v>
          </cell>
          <cell r="W121">
            <v>-6.93470381518098E-4</v>
          </cell>
          <cell r="Y121">
            <v>3.6110228019569499</v>
          </cell>
          <cell r="Z121">
            <v>3.6145431587730501</v>
          </cell>
          <cell r="AA121">
            <v>3.61301349513323</v>
          </cell>
          <cell r="AE121">
            <v>-1.33082517643859E-3</v>
          </cell>
          <cell r="AF121">
            <v>-4.9102078006805702E-4</v>
          </cell>
          <cell r="AG121">
            <v>-8.6888247643225104E-4</v>
          </cell>
          <cell r="BJ121">
            <v>6.3007463089081806E-3</v>
          </cell>
          <cell r="BV121">
            <v>1.0095413412574554E-2</v>
          </cell>
          <cell r="BY121">
            <v>1.6396159721482735E-2</v>
          </cell>
        </row>
        <row r="122">
          <cell r="O122">
            <v>3.6128150130856298</v>
          </cell>
          <cell r="P122">
            <v>3.6202951339279501</v>
          </cell>
          <cell r="Q122">
            <v>3.6168089779908401</v>
          </cell>
          <cell r="U122">
            <v>-3.8104362412787001E-3</v>
          </cell>
          <cell r="V122">
            <v>-2.1035419376029198E-3</v>
          </cell>
          <cell r="W122">
            <v>-2.8664453708630699E-3</v>
          </cell>
          <cell r="Y122">
            <v>3.6110228019569499</v>
          </cell>
          <cell r="Z122">
            <v>3.6157843940972598</v>
          </cell>
          <cell r="AA122">
            <v>3.6135623213452299</v>
          </cell>
          <cell r="AE122">
            <v>-3.5784825471808202E-3</v>
          </cell>
          <cell r="AF122">
            <v>-2.60406556343693E-3</v>
          </cell>
          <cell r="AG122">
            <v>-3.02735208636719E-3</v>
          </cell>
          <cell r="BJ122">
            <v>4.0305322392189787E-3</v>
          </cell>
          <cell r="BV122">
            <v>1.0095413412574554E-2</v>
          </cell>
          <cell r="BY122">
            <v>1.4125945651793533E-2</v>
          </cell>
        </row>
        <row r="123">
          <cell r="O123">
            <v>3.6128150130856298</v>
          </cell>
          <cell r="P123">
            <v>3.6204670362419198</v>
          </cell>
          <cell r="Q123">
            <v>3.61714338509988</v>
          </cell>
          <cell r="U123">
            <v>-1.9192594804923299E-3</v>
          </cell>
          <cell r="V123">
            <v>1.49041252350729E-4</v>
          </cell>
          <cell r="W123">
            <v>-8.1437067398058404E-4</v>
          </cell>
          <cell r="Y123">
            <v>3.6110228019569499</v>
          </cell>
          <cell r="Z123">
            <v>3.61589590054944</v>
          </cell>
          <cell r="AA123">
            <v>3.6138667326374998</v>
          </cell>
          <cell r="AE123">
            <v>-1.7025727305893599E-3</v>
          </cell>
          <cell r="AF123">
            <v>-3.8481436228759302E-4</v>
          </cell>
          <cell r="AG123">
            <v>-9.9955118691971603E-4</v>
          </cell>
          <cell r="BJ123">
            <v>5.9217090000054486E-3</v>
          </cell>
          <cell r="BV123">
            <v>1.0095413412574554E-2</v>
          </cell>
          <cell r="BY123">
            <v>1.6017122412580003E-2</v>
          </cell>
        </row>
        <row r="124">
          <cell r="O124">
            <v>3.6128150130856298</v>
          </cell>
          <cell r="P124">
            <v>3.62040117460977</v>
          </cell>
          <cell r="Q124">
            <v>3.61717177605555</v>
          </cell>
          <cell r="U124">
            <v>-1.4092186506607599E-3</v>
          </cell>
          <cell r="V124">
            <v>7.0656391074071202E-4</v>
          </cell>
          <cell r="W124">
            <v>-2.1187496125970901E-4</v>
          </cell>
          <cell r="Y124">
            <v>3.6110228019569499</v>
          </cell>
          <cell r="Z124">
            <v>3.6157717292026299</v>
          </cell>
          <cell r="AA124">
            <v>3.6138687808116501</v>
          </cell>
          <cell r="AE124">
            <v>-1.2046576987974E-3</v>
          </cell>
          <cell r="AF124">
            <v>1.43938994110161E-4</v>
          </cell>
          <cell r="AG124">
            <v>-4.1739837425818399E-4</v>
          </cell>
          <cell r="BJ124">
            <v>6.4317498298368482E-3</v>
          </cell>
          <cell r="BV124">
            <v>1.0095413412574554E-2</v>
          </cell>
          <cell r="BY124">
            <v>1.6527163242411401E-2</v>
          </cell>
        </row>
        <row r="125">
          <cell r="O125">
            <v>3.6128150130856298</v>
          </cell>
          <cell r="P125">
            <v>3.6208822922671802</v>
          </cell>
          <cell r="Q125">
            <v>3.6175923434799002</v>
          </cell>
          <cell r="U125">
            <v>-2.7702722671715798E-3</v>
          </cell>
          <cell r="V125">
            <v>-6.7268134528990198E-4</v>
          </cell>
          <cell r="W125">
            <v>-1.5650796093368701E-3</v>
          </cell>
          <cell r="Y125">
            <v>3.6110228019569499</v>
          </cell>
          <cell r="Z125">
            <v>3.6161873948975298</v>
          </cell>
          <cell r="AA125">
            <v>3.61425844702813</v>
          </cell>
          <cell r="AE125">
            <v>-2.55050410429758E-3</v>
          </cell>
          <cell r="AF125">
            <v>-1.2362484107779699E-3</v>
          </cell>
          <cell r="AG125">
            <v>-1.7626780257183399E-3</v>
          </cell>
          <cell r="BJ125">
            <v>5.0706962133259476E-3</v>
          </cell>
          <cell r="BV125">
            <v>1.0095413412574554E-2</v>
          </cell>
          <cell r="BY125">
            <v>1.51661096259005E-2</v>
          </cell>
        </row>
        <row r="126">
          <cell r="O126">
            <v>3.6128150130856298</v>
          </cell>
          <cell r="P126">
            <v>3.6211044193422501</v>
          </cell>
          <cell r="Q126">
            <v>3.6178206607978498</v>
          </cell>
          <cell r="U126">
            <v>-4.81418384386742E-4</v>
          </cell>
          <cell r="V126">
            <v>1.74905441135462E-3</v>
          </cell>
          <cell r="W126">
            <v>8.4003720002714596E-4</v>
          </cell>
          <cell r="Y126">
            <v>3.6110228019569499</v>
          </cell>
          <cell r="Z126">
            <v>3.6163468193159201</v>
          </cell>
          <cell r="AA126">
            <v>3.6144574221974999</v>
          </cell>
          <cell r="AE126">
            <v>-2.7103858878295401E-4</v>
          </cell>
          <cell r="AF126">
            <v>1.1581695507404701E-3</v>
          </cell>
          <cell r="AG126">
            <v>6.2460690264577604E-4</v>
          </cell>
          <cell r="BJ126">
            <v>7.3595500961107334E-3</v>
          </cell>
          <cell r="BV126">
            <v>1.0095413412574554E-2</v>
          </cell>
          <cell r="BY126">
            <v>1.7454963508685285E-2</v>
          </cell>
        </row>
        <row r="127">
          <cell r="O127">
            <v>3.6128150130856298</v>
          </cell>
          <cell r="P127">
            <v>3.62095565778192</v>
          </cell>
          <cell r="Q127">
            <v>3.6183228536465499</v>
          </cell>
          <cell r="U127">
            <v>-2.6878070967236798E-3</v>
          </cell>
          <cell r="V127">
            <v>-3.9599006383182002E-4</v>
          </cell>
          <cell r="W127">
            <v>-1.30324044514632E-3</v>
          </cell>
          <cell r="Y127">
            <v>3.6110228019569499</v>
          </cell>
          <cell r="Z127">
            <v>3.61692215557221</v>
          </cell>
          <cell r="AA127">
            <v>3.61492862525487</v>
          </cell>
          <cell r="AE127">
            <v>-2.4739188878570499E-3</v>
          </cell>
          <cell r="AF127">
            <v>-1.00062539354807E-3</v>
          </cell>
          <cell r="AG127">
            <v>-1.52322207803997E-3</v>
          </cell>
          <cell r="BJ127">
            <v>7.3595500961107334E-3</v>
          </cell>
          <cell r="BV127">
            <v>1.0095413412574554E-2</v>
          </cell>
          <cell r="BY127">
            <v>1.7454963508685285E-2</v>
          </cell>
        </row>
        <row r="128">
          <cell r="O128">
            <v>3.6128150130856298</v>
          </cell>
          <cell r="P128">
            <v>3.6205876241750401</v>
          </cell>
          <cell r="Q128">
            <v>3.6186795374705598</v>
          </cell>
          <cell r="U128">
            <v>-2.0840773777327901E-3</v>
          </cell>
          <cell r="V128">
            <v>1.6665699117709301E-4</v>
          </cell>
          <cell r="W128">
            <v>-5.6070948527323799E-4</v>
          </cell>
          <cell r="Y128">
            <v>3.6110228019569499</v>
          </cell>
          <cell r="Z128">
            <v>3.6172678171147301</v>
          </cell>
          <cell r="AA128">
            <v>3.6152538992948902</v>
          </cell>
          <cell r="AE128">
            <v>-1.8585883733027301E-3</v>
          </cell>
          <cell r="AF128">
            <v>-2.2621431403723E-4</v>
          </cell>
          <cell r="AG128">
            <v>-7.7753386645818998E-4</v>
          </cell>
          <cell r="BJ128">
            <v>7.9632798151014345E-3</v>
          </cell>
          <cell r="BV128">
            <v>1.0095413412574554E-2</v>
          </cell>
          <cell r="BY128">
            <v>1.8058693227675986E-2</v>
          </cell>
        </row>
        <row r="129">
          <cell r="O129">
            <v>3.6128150130856298</v>
          </cell>
          <cell r="P129">
            <v>3.6200436256639499</v>
          </cell>
          <cell r="Q129">
            <v>3.6189806077600801</v>
          </cell>
          <cell r="U129">
            <v>-1.3154233815282101E-3</v>
          </cell>
          <cell r="V129">
            <v>8.3366591177638804E-4</v>
          </cell>
          <cell r="W129">
            <v>3.0651676640898099E-4</v>
          </cell>
          <cell r="Y129">
            <v>3.6110228019569499</v>
          </cell>
          <cell r="Z129">
            <v>3.6174565144212401</v>
          </cell>
          <cell r="AA129">
            <v>3.6155228971766702</v>
          </cell>
          <cell r="AE129">
            <v>-1.08555600184413E-3</v>
          </cell>
          <cell r="AF129">
            <v>6.4238136004219899E-4</v>
          </cell>
          <cell r="AG129">
            <v>8.5475221115812499E-5</v>
          </cell>
          <cell r="BJ129">
            <v>8.7319338113062347E-3</v>
          </cell>
          <cell r="BV129">
            <v>1.0095413412574554E-2</v>
          </cell>
          <cell r="BY129">
            <v>1.8827347223880787E-2</v>
          </cell>
        </row>
        <row r="130">
          <cell r="O130">
            <v>3.6128150130856298</v>
          </cell>
          <cell r="P130">
            <v>3.62000565045085</v>
          </cell>
          <cell r="Q130">
            <v>3.6192272067634201</v>
          </cell>
          <cell r="U130">
            <v>-1.8613716138457101E-3</v>
          </cell>
          <cell r="V130">
            <v>1.37454948671365E-4</v>
          </cell>
          <cell r="W130">
            <v>-1.5623599011734199E-4</v>
          </cell>
          <cell r="Y130">
            <v>3.6110228019569499</v>
          </cell>
          <cell r="Z130">
            <v>3.6174171918844999</v>
          </cell>
          <cell r="AA130">
            <v>3.61573691019903</v>
          </cell>
          <cell r="AE130">
            <v>-1.6323524425828301E-3</v>
          </cell>
          <cell r="AF130">
            <v>1.4774925837297099E-4</v>
          </cell>
          <cell r="AG130">
            <v>-3.8691762801018798E-4</v>
          </cell>
          <cell r="BJ130">
            <v>8.7319338113062347E-3</v>
          </cell>
          <cell r="BV130">
            <v>1.0095413412574554E-2</v>
          </cell>
          <cell r="BY130">
            <v>1.8827347223880787E-2</v>
          </cell>
        </row>
        <row r="131">
          <cell r="O131">
            <v>3.6128150130856298</v>
          </cell>
          <cell r="P131">
            <v>3.6200179327283402</v>
          </cell>
          <cell r="Q131">
            <v>3.6195024525613202</v>
          </cell>
          <cell r="U131">
            <v>-1.5741656933031499E-3</v>
          </cell>
          <cell r="V131">
            <v>4.1417055025204602E-4</v>
          </cell>
          <cell r="W131">
            <v>1.9910806896805499E-4</v>
          </cell>
          <cell r="Y131">
            <v>3.6110228019569499</v>
          </cell>
          <cell r="Z131">
            <v>3.6174237223458499</v>
          </cell>
          <cell r="AA131">
            <v>3.6159834405594502</v>
          </cell>
          <cell r="AE131">
            <v>-1.3488857584236401E-3</v>
          </cell>
          <cell r="AF131">
            <v>4.2034566660467199E-4</v>
          </cell>
          <cell r="AG131">
            <v>-4.42598684028475E-5</v>
          </cell>
          <cell r="BJ131">
            <v>8.7319338113062347E-3</v>
          </cell>
          <cell r="BV131">
            <v>1.0095413412574554E-2</v>
          </cell>
          <cell r="BY131">
            <v>1.8827347223880787E-2</v>
          </cell>
        </row>
        <row r="132">
          <cell r="O132">
            <v>3.6128150130856298</v>
          </cell>
          <cell r="P132">
            <v>3.6194333258273699</v>
          </cell>
          <cell r="Q132">
            <v>3.6198642298776602</v>
          </cell>
          <cell r="U132">
            <v>-2.1971418030062701E-3</v>
          </cell>
          <cell r="V132">
            <v>-2.0541267616883301E-4</v>
          </cell>
          <cell r="W132">
            <v>-3.4781994639022202E-4</v>
          </cell>
          <cell r="Y132">
            <v>3.6110228019569499</v>
          </cell>
          <cell r="Z132">
            <v>3.61683834429286</v>
          </cell>
          <cell r="AA132">
            <v>3.6163113691950599</v>
          </cell>
          <cell r="AE132">
            <v>-1.9618806537017499E-3</v>
          </cell>
          <cell r="AF132">
            <v>-1.9084394741604701E-4</v>
          </cell>
          <cell r="AG132">
            <v>-5.89074483316257E-4</v>
          </cell>
          <cell r="BJ132">
            <v>8.7319338113062347E-3</v>
          </cell>
          <cell r="BV132">
            <v>1.0095413412574554E-2</v>
          </cell>
          <cell r="BY132">
            <v>1.8827347223880787E-2</v>
          </cell>
        </row>
        <row r="133">
          <cell r="O133">
            <v>3.6128150130856298</v>
          </cell>
          <cell r="P133">
            <v>3.6193451864097299</v>
          </cell>
          <cell r="Q133">
            <v>3.61990611132582</v>
          </cell>
          <cell r="U133">
            <v>-1.67573433713293E-3</v>
          </cell>
          <cell r="V133">
            <v>1.54488929284291E-4</v>
          </cell>
          <cell r="W133">
            <v>2.7353474760723998E-4</v>
          </cell>
          <cell r="Y133">
            <v>3.6110228019569499</v>
          </cell>
          <cell r="Z133">
            <v>3.6167450593934101</v>
          </cell>
          <cell r="AA133">
            <v>3.6163204799714199</v>
          </cell>
          <cell r="AE133">
            <v>-1.4446451965083101E-3</v>
          </cell>
          <cell r="AF133">
            <v>1.64556605575075E-4</v>
          </cell>
          <cell r="AG133">
            <v>1.8845506093499299E-5</v>
          </cell>
          <cell r="BJ133">
            <v>8.7319338113062347E-3</v>
          </cell>
          <cell r="BV133">
            <v>1.0095413412574554E-2</v>
          </cell>
          <cell r="BY133">
            <v>1.8827347223880787E-2</v>
          </cell>
        </row>
        <row r="134">
          <cell r="O134">
            <v>3.6128150130856298</v>
          </cell>
          <cell r="P134">
            <v>3.6193771182355099</v>
          </cell>
          <cell r="Q134">
            <v>3.6198891464226399</v>
          </cell>
          <cell r="U134">
            <v>-1.4974751801205999E-3</v>
          </cell>
          <cell r="V134">
            <v>3.0839607234873899E-4</v>
          </cell>
          <cell r="W134">
            <v>4.6336373244194E-4</v>
          </cell>
          <cell r="Y134">
            <v>3.6110228019569499</v>
          </cell>
          <cell r="Z134">
            <v>3.6167673499106301</v>
          </cell>
          <cell r="AA134">
            <v>3.61626953955663</v>
          </cell>
          <cell r="AE134">
            <v>-1.2663105762983199E-3</v>
          </cell>
          <cell r="AF134">
            <v>3.1709905771124002E-4</v>
          </cell>
          <cell r="AG134">
            <v>1.9969947930009599E-4</v>
          </cell>
          <cell r="BJ134">
            <v>8.7319338113062347E-3</v>
          </cell>
          <cell r="BV134">
            <v>1.0095413412574554E-2</v>
          </cell>
          <cell r="BY134">
            <v>1.8827347223880787E-2</v>
          </cell>
        </row>
        <row r="135">
          <cell r="O135">
            <v>3.6128150130856298</v>
          </cell>
          <cell r="P135">
            <v>3.6189375451833401</v>
          </cell>
          <cell r="Q135">
            <v>3.6199099187252601</v>
          </cell>
          <cell r="U135">
            <v>-1.5561963958656601E-3</v>
          </cell>
          <cell r="V135">
            <v>2.5849735992498901E-4</v>
          </cell>
          <cell r="W135">
            <v>3.9995594682113198E-4</v>
          </cell>
          <cell r="Y135">
            <v>3.6110228019569499</v>
          </cell>
          <cell r="Z135">
            <v>3.6163235257732498</v>
          </cell>
          <cell r="AA135">
            <v>3.61625546033539</v>
          </cell>
          <cell r="AE135">
            <v>-1.3238012808164301E-3</v>
          </cell>
          <cell r="AF135">
            <v>2.6577147726439601E-4</v>
          </cell>
          <cell r="AG135">
            <v>1.2812241991947001E-4</v>
          </cell>
          <cell r="BJ135">
            <v>8.7319338113062347E-3</v>
          </cell>
          <cell r="BV135">
            <v>1.0095413412574554E-2</v>
          </cell>
          <cell r="BY135">
            <v>1.8827347223880787E-2</v>
          </cell>
        </row>
        <row r="136">
          <cell r="O136">
            <v>3.6128150130856298</v>
          </cell>
          <cell r="P136">
            <v>3.6191663731780102</v>
          </cell>
          <cell r="Q136">
            <v>3.6201353962601299</v>
          </cell>
          <cell r="U136">
            <v>-1.1142918950717701E-3</v>
          </cell>
          <cell r="V136">
            <v>5.7894456764566102E-4</v>
          </cell>
          <cell r="W136">
            <v>8.4759881201685499E-4</v>
          </cell>
          <cell r="Y136">
            <v>3.6110228019569499</v>
          </cell>
          <cell r="Z136">
            <v>3.6165438165744601</v>
          </cell>
          <cell r="AA136">
            <v>3.6164453179451899</v>
          </cell>
          <cell r="AE136">
            <v>-8.8073834273223099E-4</v>
          </cell>
          <cell r="AF136">
            <v>5.8611395031894201E-4</v>
          </cell>
          <cell r="AG136">
            <v>5.6729205069021499E-4</v>
          </cell>
          <cell r="BJ136">
            <v>8.7319338113062347E-3</v>
          </cell>
          <cell r="BV136">
            <v>1.0095413412574554E-2</v>
          </cell>
          <cell r="BY136">
            <v>1.8827347223880787E-2</v>
          </cell>
        </row>
        <row r="137">
          <cell r="O137">
            <v>3.6128150130856298</v>
          </cell>
          <cell r="P137">
            <v>3.6189537587290102</v>
          </cell>
          <cell r="Q137">
            <v>3.6199547082554702</v>
          </cell>
          <cell r="U137">
            <v>-2.1007136536590398E-3</v>
          </cell>
          <cell r="V137">
            <v>-3.4424847874588502E-4</v>
          </cell>
          <cell r="W137">
            <v>-7.65367245556577E-5</v>
          </cell>
          <cell r="Y137">
            <v>3.6110228019569499</v>
          </cell>
          <cell r="Z137">
            <v>3.6163201490553001</v>
          </cell>
          <cell r="AA137">
            <v>3.6166211523137499</v>
          </cell>
          <cell r="AE137">
            <v>-1.85585625969254E-3</v>
          </cell>
          <cell r="AF137">
            <v>-3.2809014343806298E-4</v>
          </cell>
          <cell r="AG137">
            <v>-3.5532608350239699E-4</v>
          </cell>
          <cell r="BJ137">
            <v>8.7319338113062347E-3</v>
          </cell>
          <cell r="BV137">
            <v>1.0095413412574554E-2</v>
          </cell>
          <cell r="BY137">
            <v>1.8827347223880787E-2</v>
          </cell>
        </row>
        <row r="138">
          <cell r="O138">
            <v>3.6128150130856298</v>
          </cell>
          <cell r="P138">
            <v>3.6186338391598301</v>
          </cell>
          <cell r="Q138">
            <v>3.6196107316674402</v>
          </cell>
          <cell r="U138">
            <v>-1.2000169825389501E-3</v>
          </cell>
          <cell r="V138">
            <v>4.9769966508147296E-4</v>
          </cell>
          <cell r="W138">
            <v>7.7424675430077204E-4</v>
          </cell>
          <cell r="Y138">
            <v>3.6110228019569499</v>
          </cell>
          <cell r="Z138">
            <v>3.6159968344041298</v>
          </cell>
          <cell r="AA138">
            <v>3.6166323257594302</v>
          </cell>
          <cell r="AE138">
            <v>-9.6449656691255999E-4</v>
          </cell>
          <cell r="AF138">
            <v>5.0142198237647601E-4</v>
          </cell>
          <cell r="AG138">
            <v>5.8465320079425305E-4</v>
          </cell>
          <cell r="BJ138">
            <v>8.7319338113062347E-3</v>
          </cell>
          <cell r="BV138">
            <v>1.0095413412574554E-2</v>
          </cell>
          <cell r="BY138">
            <v>1.8827347223880787E-2</v>
          </cell>
        </row>
        <row r="139">
          <cell r="O139">
            <v>3.6128150130856298</v>
          </cell>
          <cell r="P139">
            <v>3.61859832192334</v>
          </cell>
          <cell r="Q139">
            <v>3.6193209737936498</v>
          </cell>
          <cell r="U139">
            <v>-1.21723875752314E-3</v>
          </cell>
          <cell r="V139">
            <v>3.9207286146992202E-4</v>
          </cell>
          <cell r="W139">
            <v>6.6199811861759601E-4</v>
          </cell>
          <cell r="Y139">
            <v>3.6110228019569499</v>
          </cell>
          <cell r="Z139">
            <v>3.6159596043133</v>
          </cell>
          <cell r="AA139">
            <v>3.6167080593672698</v>
          </cell>
          <cell r="AE139">
            <v>-9.8256132512297093E-4</v>
          </cell>
          <cell r="AF139">
            <v>3.93948905333054E-4</v>
          </cell>
          <cell r="AG139">
            <v>5.6967790867655196E-4</v>
          </cell>
          <cell r="BJ139">
            <v>8.7319338113062347E-3</v>
          </cell>
          <cell r="BV139">
            <v>1.0095413412574554E-2</v>
          </cell>
          <cell r="BY139">
            <v>1.8827347223880787E-2</v>
          </cell>
        </row>
        <row r="140">
          <cell r="O140">
            <v>3.6128150130856298</v>
          </cell>
          <cell r="P140">
            <v>3.61806771026813</v>
          </cell>
          <cell r="Q140">
            <v>3.61903668035949</v>
          </cell>
          <cell r="U140">
            <v>-3.9433416180641498E-4</v>
          </cell>
          <cell r="V140">
            <v>1.2051623135781999E-3</v>
          </cell>
          <cell r="W140">
            <v>1.40484729020931E-3</v>
          </cell>
          <cell r="Y140">
            <v>3.6110228019569499</v>
          </cell>
          <cell r="Z140">
            <v>3.6154323562653601</v>
          </cell>
          <cell r="AA140">
            <v>3.6164247740749298</v>
          </cell>
          <cell r="AE140">
            <v>-1.7356316800365299E-4</v>
          </cell>
          <cell r="AF140">
            <v>1.1926510682369401E-3</v>
          </cell>
          <cell r="AG140">
            <v>1.3996162134488001E-3</v>
          </cell>
          <cell r="BJ140">
            <v>8.7319338113062347E-3</v>
          </cell>
          <cell r="BV140">
            <v>1.0095413412574554E-2</v>
          </cell>
          <cell r="BY140">
            <v>1.8827347223880787E-2</v>
          </cell>
        </row>
        <row r="141">
          <cell r="O141">
            <v>3.6128150130856298</v>
          </cell>
          <cell r="P141">
            <v>3.6178134919011198</v>
          </cell>
          <cell r="Q141">
            <v>3.6189157123147302</v>
          </cell>
          <cell r="U141">
            <v>-8.7136828738155602E-4</v>
          </cell>
          <cell r="V141">
            <v>5.814828533143E-4</v>
          </cell>
          <cell r="W141">
            <v>8.4926124778046403E-4</v>
          </cell>
          <cell r="Y141">
            <v>3.6110228019569499</v>
          </cell>
          <cell r="Z141">
            <v>3.6151794133673798</v>
          </cell>
          <cell r="AA141">
            <v>3.6163015678566102</v>
          </cell>
          <cell r="AE141">
            <v>-6.4911081005163498E-4</v>
          </cell>
          <cell r="AF141">
            <v>5.7128141799016796E-4</v>
          </cell>
          <cell r="AG141">
            <v>8.4573866954098696E-4</v>
          </cell>
          <cell r="BJ141">
            <v>8.7319338113062347E-3</v>
          </cell>
          <cell r="BV141">
            <v>1.0572447538149749E-2</v>
          </cell>
          <cell r="BY141">
            <v>1.9304381349455984E-2</v>
          </cell>
        </row>
        <row r="142">
          <cell r="O142">
            <v>3.6128150130856298</v>
          </cell>
          <cell r="P142">
            <v>3.61772744248186</v>
          </cell>
          <cell r="Q142">
            <v>3.6185803841546198</v>
          </cell>
          <cell r="U142">
            <v>-1.9594579804121499E-3</v>
          </cell>
          <cell r="V142">
            <v>-5.7687288196091703E-4</v>
          </cell>
          <cell r="W142">
            <v>-2.7225448571260001E-4</v>
          </cell>
          <cell r="Y142">
            <v>3.6110228019569499</v>
          </cell>
          <cell r="Z142">
            <v>3.6150971234408402</v>
          </cell>
          <cell r="AA142">
            <v>3.6159677338668499</v>
          </cell>
          <cell r="AE142">
            <v>-1.7344160617588299E-3</v>
          </cell>
          <cell r="AF142">
            <v>-5.8398828655810398E-4</v>
          </cell>
          <cell r="AG142">
            <v>-2.7363567658571399E-4</v>
          </cell>
          <cell r="BJ142">
            <v>8.7319338113062347E-3</v>
          </cell>
          <cell r="BV142">
            <v>1.1660537231180429E-2</v>
          </cell>
          <cell r="BY142">
            <v>2.0392471042486662E-2</v>
          </cell>
        </row>
        <row r="143">
          <cell r="O143">
            <v>3.6128150130856298</v>
          </cell>
          <cell r="P143">
            <v>3.6176683684377702</v>
          </cell>
          <cell r="Q143">
            <v>3.6185067774237498</v>
          </cell>
          <cell r="U143">
            <v>-1.5124822790970401E-3</v>
          </cell>
          <cell r="V143">
            <v>-1.5368238759576899E-4</v>
          </cell>
          <cell r="W143">
            <v>8.2057079861789996E-5</v>
          </cell>
          <cell r="Y143">
            <v>3.6110228019569499</v>
          </cell>
          <cell r="Z143">
            <v>3.6150396413201298</v>
          </cell>
          <cell r="AA143">
            <v>3.6158923503567699</v>
          </cell>
          <cell r="AE143">
            <v>-1.2856772115836001E-3</v>
          </cell>
          <cell r="AF143">
            <v>-1.5801203090271601E-4</v>
          </cell>
          <cell r="AG143">
            <v>8.27852644880723E-5</v>
          </cell>
          <cell r="BJ143">
            <v>8.7319338113062347E-3</v>
          </cell>
          <cell r="BV143">
            <v>1.1660537231180429E-2</v>
          </cell>
          <cell r="BY143">
            <v>2.0392471042486662E-2</v>
          </cell>
        </row>
        <row r="144">
          <cell r="O144">
            <v>3.6128150130856298</v>
          </cell>
          <cell r="P144">
            <v>3.61790074538448</v>
          </cell>
          <cell r="Q144">
            <v>3.6186389318100001</v>
          </cell>
          <cell r="U144">
            <v>-2.1395084707733201E-3</v>
          </cell>
          <cell r="V144">
            <v>-7.9703776032415802E-4</v>
          </cell>
          <cell r="W144">
            <v>-5.6531064680655099E-4</v>
          </cell>
          <cell r="Y144">
            <v>3.6110228019569499</v>
          </cell>
          <cell r="Z144">
            <v>3.6152633173519702</v>
          </cell>
          <cell r="AA144">
            <v>3.6160153336312999</v>
          </cell>
          <cell r="AE144">
            <v>-1.8847611051505801E-3</v>
          </cell>
          <cell r="AF144">
            <v>-7.7299662526919305E-4</v>
          </cell>
          <cell r="AG144">
            <v>-5.3714624206155305E-4</v>
          </cell>
          <cell r="BJ144">
            <v>8.7319338113062347E-3</v>
          </cell>
          <cell r="BV144">
            <v>1.1660537231180429E-2</v>
          </cell>
          <cell r="BY144">
            <v>2.0392471042486662E-2</v>
          </cell>
        </row>
        <row r="145">
          <cell r="O145">
            <v>3.6128150130856298</v>
          </cell>
          <cell r="P145">
            <v>3.6181700926364901</v>
          </cell>
          <cell r="Q145">
            <v>3.6185538189099198</v>
          </cell>
          <cell r="U145">
            <v>-2.3002931122017801E-3</v>
          </cell>
          <cell r="V145">
            <v>-8.9359056507683904E-4</v>
          </cell>
          <cell r="W145">
            <v>-6.8957415364087203E-4</v>
          </cell>
          <cell r="Y145">
            <v>3.6110228019569499</v>
          </cell>
          <cell r="Z145">
            <v>3.6155273378001098</v>
          </cell>
          <cell r="AA145">
            <v>3.6159254317866898</v>
          </cell>
          <cell r="AE145">
            <v>-2.0537189961170798E-3</v>
          </cell>
          <cell r="AF145">
            <v>-8.8008268784909997E-4</v>
          </cell>
          <cell r="AG145">
            <v>-6.7209283755148899E-4</v>
          </cell>
          <cell r="BJ145">
            <v>8.7319338113062347E-3</v>
          </cell>
          <cell r="BV145">
            <v>1.1660537231180429E-2</v>
          </cell>
          <cell r="BY145">
            <v>2.0392471042486662E-2</v>
          </cell>
        </row>
        <row r="146">
          <cell r="O146">
            <v>3.6128150130856298</v>
          </cell>
          <cell r="P146">
            <v>3.6182165227423799</v>
          </cell>
          <cell r="Q146">
            <v>3.6186914479602001</v>
          </cell>
          <cell r="U146">
            <v>-1.24265557065863E-3</v>
          </cell>
          <cell r="V146">
            <v>2.3849269657171901E-4</v>
          </cell>
          <cell r="W146">
            <v>3.4454241699078899E-4</v>
          </cell>
          <cell r="Y146">
            <v>3.6110228019569499</v>
          </cell>
          <cell r="Z146">
            <v>3.61557284673686</v>
          </cell>
          <cell r="AA146">
            <v>3.61605833165566</v>
          </cell>
          <cell r="AE146">
            <v>-1.0066472970881599E-3</v>
          </cell>
          <cell r="AF146">
            <v>2.4001572730217701E-4</v>
          </cell>
          <cell r="AG146">
            <v>3.5011642204696002E-4</v>
          </cell>
          <cell r="BJ146">
            <v>8.7319338113062347E-3</v>
          </cell>
          <cell r="BV146">
            <v>1.1660537231180429E-2</v>
          </cell>
          <cell r="BY146">
            <v>2.0392471042486662E-2</v>
          </cell>
        </row>
        <row r="147">
          <cell r="O147">
            <v>3.6128150130856298</v>
          </cell>
          <cell r="P147">
            <v>3.6181579800991499</v>
          </cell>
          <cell r="Q147">
            <v>3.61855586941408</v>
          </cell>
          <cell r="U147">
            <v>-1.93899899466673E-3</v>
          </cell>
          <cell r="V147">
            <v>-4.4501832685799899E-4</v>
          </cell>
          <cell r="W147">
            <v>-3.1376746104134497E-4</v>
          </cell>
          <cell r="Y147">
            <v>3.6110228019569499</v>
          </cell>
          <cell r="Z147">
            <v>3.6155217064145999</v>
          </cell>
          <cell r="AA147">
            <v>3.6159209277349502</v>
          </cell>
          <cell r="AE147">
            <v>-1.7144860379311401E-3</v>
          </cell>
          <cell r="AF147">
            <v>-4.5523601140183399E-4</v>
          </cell>
          <cell r="AG147">
            <v>-3.2096895392787499E-4</v>
          </cell>
          <cell r="BJ147">
            <v>8.7319338113062347E-3</v>
          </cell>
          <cell r="BV147">
            <v>1.1660537231180429E-2</v>
          </cell>
          <cell r="BY147">
            <v>2.0392471042486662E-2</v>
          </cell>
        </row>
        <row r="148">
          <cell r="O148">
            <v>3.6128150130856298</v>
          </cell>
          <cell r="P148">
            <v>3.6184855115561598</v>
          </cell>
          <cell r="Q148">
            <v>3.618559675358</v>
          </cell>
          <cell r="U148">
            <v>-2.1051024252551399E-3</v>
          </cell>
          <cell r="V148">
            <v>-6.2730186067710698E-4</v>
          </cell>
          <cell r="W148">
            <v>-5.1733777377058296E-4</v>
          </cell>
          <cell r="Y148">
            <v>3.6110228019569499</v>
          </cell>
          <cell r="Z148">
            <v>3.61585755957837</v>
          </cell>
          <cell r="AA148">
            <v>3.6159271969912501</v>
          </cell>
          <cell r="AE148">
            <v>-1.89324618115917E-3</v>
          </cell>
          <cell r="AF148">
            <v>-6.4814071376574601E-4</v>
          </cell>
          <cell r="AG148">
            <v>-5.3772807801572996E-4</v>
          </cell>
          <cell r="BJ148">
            <v>8.7319338113062347E-3</v>
          </cell>
          <cell r="BV148">
            <v>1.1660537231180429E-2</v>
          </cell>
          <cell r="BY148">
            <v>2.0392471042486662E-2</v>
          </cell>
        </row>
        <row r="149">
          <cell r="O149">
            <v>3.6128150130856298</v>
          </cell>
          <cell r="P149">
            <v>3.6188228299145</v>
          </cell>
          <cell r="Q149">
            <v>3.6187105759189202</v>
          </cell>
          <cell r="U149">
            <v>-2.1493402299056301E-3</v>
          </cell>
          <cell r="V149">
            <v>-5.8101939647218603E-4</v>
          </cell>
          <cell r="W149">
            <v>-5.6052379366171399E-4</v>
          </cell>
          <cell r="Y149">
            <v>3.6110228019569499</v>
          </cell>
          <cell r="Z149">
            <v>3.6162025903575401</v>
          </cell>
          <cell r="AA149">
            <v>3.61608109733542</v>
          </cell>
          <cell r="AE149">
            <v>-1.93666087420973E-3</v>
          </cell>
          <cell r="AF149">
            <v>-5.9866768743093595E-4</v>
          </cell>
          <cell r="AG149">
            <v>-5.7940898014718597E-4</v>
          </cell>
          <cell r="BJ149">
            <v>8.7319338113062347E-3</v>
          </cell>
          <cell r="BV149">
            <v>1.1660537231180429E-2</v>
          </cell>
          <cell r="BY149">
            <v>2.0392471042486662E-2</v>
          </cell>
        </row>
        <row r="150">
          <cell r="O150">
            <v>3.6128150130856298</v>
          </cell>
          <cell r="P150">
            <v>3.6194748255032101</v>
          </cell>
          <cell r="Q150">
            <v>3.6187712678856698</v>
          </cell>
          <cell r="U150">
            <v>-2.1966721801289801E-3</v>
          </cell>
          <cell r="V150">
            <v>-5.3513482401565599E-4</v>
          </cell>
          <cell r="W150">
            <v>-5.6615478324607003E-4</v>
          </cell>
          <cell r="Y150">
            <v>3.6110228019569499</v>
          </cell>
          <cell r="Z150">
            <v>3.6168551028913298</v>
          </cell>
          <cell r="AA150">
            <v>3.6161437295783401</v>
          </cell>
          <cell r="AE150">
            <v>-1.9786214437037099E-3</v>
          </cell>
          <cell r="AF150">
            <v>-5.4521124647959496E-4</v>
          </cell>
          <cell r="AG150">
            <v>-5.7880866255896905E-4</v>
          </cell>
          <cell r="BJ150">
            <v>8.7319338113062347E-3</v>
          </cell>
          <cell r="BV150">
            <v>1.1660537231180429E-2</v>
          </cell>
          <cell r="BY150">
            <v>2.0392471042486662E-2</v>
          </cell>
        </row>
        <row r="151">
          <cell r="O151">
            <v>3.6128150130856298</v>
          </cell>
          <cell r="P151">
            <v>3.6197382296963401</v>
          </cell>
          <cell r="Q151">
            <v>3.6187758607987299</v>
          </cell>
          <cell r="U151">
            <v>-1.59955105358688E-3</v>
          </cell>
          <cell r="V151">
            <v>2.4213794080339999E-4</v>
          </cell>
          <cell r="W151">
            <v>4.7737913315893502E-5</v>
          </cell>
          <cell r="Y151">
            <v>3.6110228019569499</v>
          </cell>
          <cell r="Z151">
            <v>3.61712187535143</v>
          </cell>
          <cell r="AA151">
            <v>3.6161506443593998</v>
          </cell>
          <cell r="AE151">
            <v>-1.38713158750805E-3</v>
          </cell>
          <cell r="AF151">
            <v>2.26703697758027E-4</v>
          </cell>
          <cell r="AG151">
            <v>3.0001518825636902E-5</v>
          </cell>
          <cell r="BJ151">
            <v>8.7319338113062347E-3</v>
          </cell>
          <cell r="BV151">
            <v>1.1660537231180429E-2</v>
          </cell>
          <cell r="BY151">
            <v>2.0392471042486662E-2</v>
          </cell>
        </row>
        <row r="152">
          <cell r="O152">
            <v>3.6128150130856298</v>
          </cell>
          <cell r="P152">
            <v>3.61969610416946</v>
          </cell>
          <cell r="Q152">
            <v>3.6187117733256602</v>
          </cell>
          <cell r="U152">
            <v>-1.84307917093086E-3</v>
          </cell>
          <cell r="V152">
            <v>7.13813225818175E-5</v>
          </cell>
          <cell r="W152">
            <v>-1.94521013519747E-4</v>
          </cell>
          <cell r="Y152">
            <v>3.6110228019569499</v>
          </cell>
          <cell r="Z152">
            <v>3.61708252357852</v>
          </cell>
          <cell r="AA152">
            <v>3.6160898235096801</v>
          </cell>
          <cell r="AE152">
            <v>-1.62562218585029E-3</v>
          </cell>
          <cell r="AF152">
            <v>6.1968506993634995E-5</v>
          </cell>
          <cell r="AG152">
            <v>-2.0657688382826099E-4</v>
          </cell>
          <cell r="BJ152">
            <v>8.7319338113062347E-3</v>
          </cell>
          <cell r="BV152">
            <v>1.1660537231180429E-2</v>
          </cell>
          <cell r="BY152">
            <v>2.0392471042486662E-2</v>
          </cell>
        </row>
        <row r="153">
          <cell r="O153">
            <v>3.6128150130856298</v>
          </cell>
          <cell r="P153">
            <v>3.6195785105648302</v>
          </cell>
          <cell r="Q153">
            <v>3.6186234395013002</v>
          </cell>
          <cell r="U153">
            <v>-1.18743113610619E-3</v>
          </cell>
          <cell r="V153">
            <v>7.1539156225792697E-4</v>
          </cell>
          <cell r="W153">
            <v>4.4341715392810099E-4</v>
          </cell>
          <cell r="Y153">
            <v>3.6110228019569499</v>
          </cell>
          <cell r="Z153">
            <v>3.6169709829860599</v>
          </cell>
          <cell r="AA153">
            <v>3.61600531215309</v>
          </cell>
          <cell r="AE153">
            <v>-9.7713730014693106E-4</v>
          </cell>
          <cell r="AF153">
            <v>6.99574028294437E-4</v>
          </cell>
          <cell r="AG153">
            <v>4.2508863587249399E-4</v>
          </cell>
          <cell r="BJ153">
            <v>8.7319338113062347E-3</v>
          </cell>
          <cell r="BV153">
            <v>1.1660537231180429E-2</v>
          </cell>
          <cell r="BY153">
            <v>2.0392471042486662E-2</v>
          </cell>
        </row>
        <row r="154">
          <cell r="O154">
            <v>3.6128150130856298</v>
          </cell>
          <cell r="P154">
            <v>3.6192343820000001</v>
          </cell>
          <cell r="Q154">
            <v>3.6185675636922401</v>
          </cell>
          <cell r="U154">
            <v>-1.1885702595764501E-3</v>
          </cell>
          <cell r="V154">
            <v>6.8176476263167403E-4</v>
          </cell>
          <cell r="W154">
            <v>4.1786743684317002E-4</v>
          </cell>
          <cell r="Y154">
            <v>3.6110228019569499</v>
          </cell>
          <cell r="Z154">
            <v>3.6166437185976501</v>
          </cell>
          <cell r="AA154">
            <v>3.6159535179748099</v>
          </cell>
          <cell r="AE154">
            <v>-9.7976547948984589E-4</v>
          </cell>
          <cell r="AF154">
            <v>6.6610820243060505E-4</v>
          </cell>
          <cell r="AG154">
            <v>3.9908926049053299E-4</v>
          </cell>
          <cell r="BJ154">
            <v>8.7319338113062347E-3</v>
          </cell>
          <cell r="BV154">
            <v>1.1660537231180429E-2</v>
          </cell>
          <cell r="BY154">
            <v>2.0392471042486662E-2</v>
          </cell>
        </row>
        <row r="155">
          <cell r="O155">
            <v>3.6128150130856298</v>
          </cell>
          <cell r="P155">
            <v>3.6190049140826299</v>
          </cell>
          <cell r="Q155">
            <v>3.61858750335956</v>
          </cell>
          <cell r="U155">
            <v>-1.6664016753671501E-3</v>
          </cell>
          <cell r="V155">
            <v>1.08854617718963E-4</v>
          </cell>
          <cell r="W155">
            <v>-7.5405276278728303E-5</v>
          </cell>
          <cell r="Y155">
            <v>3.6110228019569499</v>
          </cell>
          <cell r="Z155">
            <v>3.61642724066136</v>
          </cell>
          <cell r="AA155">
            <v>3.6159772892307398</v>
          </cell>
          <cell r="AE155">
            <v>-1.45527786817648E-3</v>
          </cell>
          <cell r="AF155">
            <v>1.00111484089232E-4</v>
          </cell>
          <cell r="AG155">
            <v>-9.0746820986408795E-5</v>
          </cell>
          <cell r="BJ155">
            <v>8.7319338113062347E-3</v>
          </cell>
          <cell r="BV155">
            <v>1.1660537231180429E-2</v>
          </cell>
          <cell r="BY155">
            <v>2.0392471042486662E-2</v>
          </cell>
        </row>
        <row r="156">
          <cell r="O156">
            <v>3.6128150130856298</v>
          </cell>
          <cell r="P156">
            <v>3.6187746887688199</v>
          </cell>
          <cell r="Q156">
            <v>3.6184956057556001</v>
          </cell>
          <cell r="U156">
            <v>-6.0599799482132205E-4</v>
          </cell>
          <cell r="V156">
            <v>1.1058539514174699E-3</v>
          </cell>
          <cell r="W156">
            <v>9.9050876493677101E-4</v>
          </cell>
          <cell r="Y156">
            <v>3.6110228019569499</v>
          </cell>
          <cell r="Z156">
            <v>3.6162089446374699</v>
          </cell>
          <cell r="AA156">
            <v>3.6158908956871598</v>
          </cell>
          <cell r="AE156">
            <v>-4.0254625415181899E-4</v>
          </cell>
          <cell r="AF156">
            <v>1.0929852762902501E-3</v>
          </cell>
          <cell r="AG156">
            <v>9.6855876520611105E-4</v>
          </cell>
          <cell r="BJ156">
            <v>8.7319338113062347E-3</v>
          </cell>
          <cell r="BV156">
            <v>1.1660537231180429E-2</v>
          </cell>
          <cell r="BY156">
            <v>2.0392471042486662E-2</v>
          </cell>
        </row>
        <row r="157">
          <cell r="O157">
            <v>3.6128150130856298</v>
          </cell>
          <cell r="P157">
            <v>3.6184615065325501</v>
          </cell>
          <cell r="Q157">
            <v>3.6183097433158502</v>
          </cell>
          <cell r="U157">
            <v>-1.0734388720325401E-3</v>
          </cell>
          <cell r="V157">
            <v>5.7479541063620203E-4</v>
          </cell>
          <cell r="W157">
            <v>4.9767157747846803E-4</v>
          </cell>
          <cell r="Y157">
            <v>3.6110228019569499</v>
          </cell>
          <cell r="Z157">
            <v>3.6159026283886999</v>
          </cell>
          <cell r="AA157">
            <v>3.6157121674016501</v>
          </cell>
          <cell r="AE157">
            <v>-8.6729927087154197E-4</v>
          </cell>
          <cell r="AF157">
            <v>5.6786809403987703E-4</v>
          </cell>
          <cell r="AG157">
            <v>4.7991329321254002E-4</v>
          </cell>
          <cell r="BJ157">
            <v>8.7319338113062347E-3</v>
          </cell>
          <cell r="BV157">
            <v>1.1660537231180429E-2</v>
          </cell>
          <cell r="BY157">
            <v>2.0392471042486662E-2</v>
          </cell>
        </row>
        <row r="158">
          <cell r="O158">
            <v>3.6128150130856298</v>
          </cell>
          <cell r="P158">
            <v>3.6178939953370501</v>
          </cell>
          <cell r="Q158">
            <v>3.6181897534465999</v>
          </cell>
          <cell r="U158">
            <v>-5.3634757938548897E-4</v>
          </cell>
          <cell r="V158">
            <v>1.0253392346035799E-3</v>
          </cell>
          <cell r="W158">
            <v>9.833969895110021E-4</v>
          </cell>
          <cell r="Y158">
            <v>3.6110228019569499</v>
          </cell>
          <cell r="Z158">
            <v>3.61533393623322</v>
          </cell>
          <cell r="AA158">
            <v>3.6155957479057999</v>
          </cell>
          <cell r="AE158">
            <v>-3.2010993403147001E-4</v>
          </cell>
          <cell r="AF158">
            <v>1.03034738572729E-3</v>
          </cell>
          <cell r="AG158">
            <v>9.7767284692131993E-4</v>
          </cell>
          <cell r="BJ158">
            <v>8.7319338113062347E-3</v>
          </cell>
          <cell r="BV158">
            <v>1.1660537231180429E-2</v>
          </cell>
          <cell r="BY158">
            <v>2.0392471042486662E-2</v>
          </cell>
        </row>
        <row r="159">
          <cell r="O159">
            <v>3.6128150130856298</v>
          </cell>
          <cell r="P159">
            <v>3.6172756884798898</v>
          </cell>
          <cell r="Q159">
            <v>3.61804925919719</v>
          </cell>
          <cell r="U159">
            <v>-4.4012800954886601E-4</v>
          </cell>
          <cell r="V159">
            <v>9.6470879989922302E-4</v>
          </cell>
          <cell r="W159">
            <v>1.04645415277026E-3</v>
          </cell>
          <cell r="Y159">
            <v>3.6110228019569499</v>
          </cell>
          <cell r="Z159">
            <v>3.6147127019010901</v>
          </cell>
          <cell r="AA159">
            <v>3.6154576461293102</v>
          </cell>
          <cell r="AE159">
            <v>-2.1813032179754201E-4</v>
          </cell>
          <cell r="AF159">
            <v>9.7503933309965498E-4</v>
          </cell>
          <cell r="AG159">
            <v>1.0474537207727399E-3</v>
          </cell>
          <cell r="BJ159">
            <v>8.7319338113062347E-3</v>
          </cell>
          <cell r="BV159">
            <v>1.1660537231180429E-2</v>
          </cell>
          <cell r="BY159">
            <v>2.0392471042486662E-2</v>
          </cell>
        </row>
        <row r="160">
          <cell r="O160">
            <v>3.6128150130856298</v>
          </cell>
          <cell r="P160">
            <v>3.6166696076857399</v>
          </cell>
          <cell r="Q160">
            <v>3.6180722165944701</v>
          </cell>
          <cell r="U160">
            <v>-5.2136468264473703E-4</v>
          </cell>
          <cell r="V160">
            <v>7.1255509633158997E-4</v>
          </cell>
          <cell r="W160">
            <v>9.2638674199894305E-4</v>
          </cell>
          <cell r="Y160">
            <v>3.6110228019569499</v>
          </cell>
          <cell r="Z160">
            <v>3.6141021190337899</v>
          </cell>
          <cell r="AA160">
            <v>3.6154786109625601</v>
          </cell>
          <cell r="AE160">
            <v>-2.8965203992972202E-4</v>
          </cell>
          <cell r="AF160">
            <v>7.3166966854266795E-4</v>
          </cell>
          <cell r="AG160">
            <v>9.3773514003371496E-4</v>
          </cell>
          <cell r="BJ160">
            <v>8.7319338113062347E-3</v>
          </cell>
          <cell r="BV160">
            <v>1.1741773904276128E-2</v>
          </cell>
          <cell r="BY160">
            <v>2.0473707715582361E-2</v>
          </cell>
        </row>
        <row r="161">
          <cell r="O161">
            <v>3.6128150130856298</v>
          </cell>
          <cell r="P161">
            <v>3.6163699356036201</v>
          </cell>
          <cell r="Q161">
            <v>3.6180540826499801</v>
          </cell>
          <cell r="U161">
            <v>-7.71063906191401E-4</v>
          </cell>
          <cell r="V161">
            <v>2.9529010590102197E-4</v>
          </cell>
          <cell r="W161">
            <v>6.8303274008990795E-4</v>
          </cell>
          <cell r="Y161">
            <v>3.6110228019569499</v>
          </cell>
          <cell r="Z161">
            <v>3.6137959894913698</v>
          </cell>
          <cell r="AA161">
            <v>3.6154589324213999</v>
          </cell>
          <cell r="AE161">
            <v>-5.4018409365819099E-4</v>
          </cell>
          <cell r="AF161">
            <v>3.1220733125364002E-4</v>
          </cell>
          <cell r="AG161">
            <v>6.9300173602313605E-4</v>
          </cell>
          <cell r="BJ161">
            <v>8.7319338113062347E-3</v>
          </cell>
          <cell r="BV161">
            <v>1.1991473127822968E-2</v>
          </cell>
          <cell r="BY161">
            <v>2.0723406939129201E-2</v>
          </cell>
        </row>
        <row r="162">
          <cell r="O162">
            <v>3.6128150130856298</v>
          </cell>
          <cell r="P162">
            <v>3.6158622704218999</v>
          </cell>
          <cell r="Q162">
            <v>3.6177791872956799</v>
          </cell>
          <cell r="U162">
            <v>-4.3950308140136698E-4</v>
          </cell>
          <cell r="V162">
            <v>5.4398892489239902E-4</v>
          </cell>
          <cell r="W162">
            <v>1.0095815062883E-3</v>
          </cell>
          <cell r="Y162">
            <v>3.6110228019569499</v>
          </cell>
          <cell r="Z162">
            <v>3.6132821743968901</v>
          </cell>
          <cell r="AA162">
            <v>3.6151823489877</v>
          </cell>
          <cell r="AE162">
            <v>-2.0401604687268299E-4</v>
          </cell>
          <cell r="AF162">
            <v>5.6366761431572503E-4</v>
          </cell>
          <cell r="AG162">
            <v>1.0237269087582099E-3</v>
          </cell>
          <cell r="BJ162">
            <v>8.7319338113062347E-3</v>
          </cell>
          <cell r="BV162">
            <v>1.1659912303032947E-2</v>
          </cell>
          <cell r="BY162">
            <v>2.0391846114339182E-2</v>
          </cell>
        </row>
        <row r="163">
          <cell r="O163">
            <v>3.6128150130856298</v>
          </cell>
          <cell r="P163">
            <v>3.6159121776543999</v>
          </cell>
          <cell r="Q163">
            <v>3.6177453441096099</v>
          </cell>
          <cell r="U163">
            <v>-1.32539714735765E-3</v>
          </cell>
          <cell r="V163">
            <v>-4.8229476575655498E-4</v>
          </cell>
          <cell r="W163">
            <v>4.7705768511903398E-5</v>
          </cell>
          <cell r="Y163">
            <v>3.6110228019569499</v>
          </cell>
          <cell r="Z163">
            <v>3.6133206428819502</v>
          </cell>
          <cell r="AA163">
            <v>3.6151458129340002</v>
          </cell>
          <cell r="AE163">
            <v>-1.08355831059668E-3</v>
          </cell>
          <cell r="AF163">
            <v>-4.5806630243805699E-4</v>
          </cell>
          <cell r="AG163">
            <v>6.7681490454416193E-5</v>
          </cell>
          <cell r="BJ163">
            <v>8.7319338113062347E-3</v>
          </cell>
          <cell r="BV163">
            <v>1.2545806368988997E-2</v>
          </cell>
          <cell r="BY163">
            <v>2.1277740180295233E-2</v>
          </cell>
        </row>
        <row r="164">
          <cell r="O164">
            <v>3.6128150130856298</v>
          </cell>
          <cell r="P164">
            <v>3.6159158367264599</v>
          </cell>
          <cell r="Q164">
            <v>3.61757510936323</v>
          </cell>
          <cell r="U164">
            <v>-1.1986862137006501E-3</v>
          </cell>
          <cell r="V164">
            <v>-3.4178162273815102E-4</v>
          </cell>
          <cell r="W164">
            <v>1.65061973033988E-4</v>
          </cell>
          <cell r="Y164">
            <v>3.6110228019569499</v>
          </cell>
          <cell r="Z164">
            <v>3.61331536149109</v>
          </cell>
          <cell r="AA164">
            <v>3.6149795400443701</v>
          </cell>
          <cell r="AE164">
            <v>-9.6515394780520396E-4</v>
          </cell>
          <cell r="AF164">
            <v>-3.29015585880743E-4</v>
          </cell>
          <cell r="AG164">
            <v>1.7597951978897601E-4</v>
          </cell>
          <cell r="BJ164">
            <v>8.7319338113062347E-3</v>
          </cell>
          <cell r="BV164">
            <v>1.2419095435332195E-2</v>
          </cell>
          <cell r="BY164">
            <v>2.1151029246638434E-2</v>
          </cell>
        </row>
        <row r="165">
          <cell r="O165">
            <v>3.6128150130856298</v>
          </cell>
          <cell r="P165">
            <v>3.6155743073803599</v>
          </cell>
          <cell r="Q165">
            <v>3.6172896107314898</v>
          </cell>
          <cell r="U165">
            <v>-7.2220252194593398E-4</v>
          </cell>
          <cell r="V165">
            <v>1.3571400460218899E-4</v>
          </cell>
          <cell r="W165">
            <v>5.9448907689863299E-4</v>
          </cell>
          <cell r="Y165">
            <v>3.6110228019569499</v>
          </cell>
          <cell r="Z165">
            <v>3.6129650282658199</v>
          </cell>
          <cell r="AA165">
            <v>3.6146961344635899</v>
          </cell>
          <cell r="AE165">
            <v>-4.8604188891353701E-4</v>
          </cell>
          <cell r="AF165">
            <v>1.48634827274429E-4</v>
          </cell>
          <cell r="AG165">
            <v>6.0909710927933402E-4</v>
          </cell>
          <cell r="BJ165">
            <v>8.7319338113062347E-3</v>
          </cell>
          <cell r="BV165">
            <v>1.1942611743577334E-2</v>
          </cell>
          <cell r="BY165">
            <v>2.0674545554883572E-2</v>
          </cell>
        </row>
        <row r="166">
          <cell r="O166">
            <v>3.6128150130856298</v>
          </cell>
          <cell r="P166">
            <v>3.61582471023232</v>
          </cell>
          <cell r="Q166">
            <v>3.61729969950057</v>
          </cell>
          <cell r="U166">
            <v>-1.29843456260513E-3</v>
          </cell>
          <cell r="V166">
            <v>-5.3497418258883003E-4</v>
          </cell>
          <cell r="W166">
            <v>-6.0665968661459999E-5</v>
          </cell>
          <cell r="Y166">
            <v>3.6110228019569499</v>
          </cell>
          <cell r="Z166">
            <v>3.6131993546619299</v>
          </cell>
          <cell r="AA166">
            <v>3.6147041496496999</v>
          </cell>
          <cell r="AE166">
            <v>-1.05099453387394E-3</v>
          </cell>
          <cell r="AF166">
            <v>-5.13278690128597E-4</v>
          </cell>
          <cell r="AG166">
            <v>-3.4256170423431998E-5</v>
          </cell>
          <cell r="BJ166">
            <v>8.7319338113062347E-3</v>
          </cell>
          <cell r="BV166">
            <v>1.2518843784236634E-2</v>
          </cell>
          <cell r="BY166">
            <v>2.125077759554287E-2</v>
          </cell>
        </row>
        <row r="167">
          <cell r="O167">
            <v>3.6128150130856298</v>
          </cell>
          <cell r="P167">
            <v>3.6158767988165099</v>
          </cell>
          <cell r="Q167">
            <v>3.61716915267453</v>
          </cell>
          <cell r="U167">
            <v>-1.2174510993841199E-3</v>
          </cell>
          <cell r="V167">
            <v>-3.8473638796021798E-4</v>
          </cell>
          <cell r="W167">
            <v>2.3106531681190399E-5</v>
          </cell>
          <cell r="Y167">
            <v>3.6110228019569499</v>
          </cell>
          <cell r="Z167">
            <v>3.6132338395455399</v>
          </cell>
          <cell r="AA167">
            <v>3.6145682339671201</v>
          </cell>
          <cell r="AE167">
            <v>-9.6271086495534105E-4</v>
          </cell>
          <cell r="AF167">
            <v>-3.6014003486311799E-4</v>
          </cell>
          <cell r="AG167">
            <v>5.6244884667908901E-5</v>
          </cell>
          <cell r="BJ167">
            <v>8.7319338113062347E-3</v>
          </cell>
          <cell r="BV167">
            <v>1.2518843784236634E-2</v>
          </cell>
          <cell r="BY167">
            <v>2.125077759554287E-2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036D-9A70-4A57-AF63-97D102F5E586}">
  <dimension ref="A1:CZ176"/>
  <sheetViews>
    <sheetView tabSelected="1" topLeftCell="AD1" workbookViewId="0">
      <selection activeCell="AN39" sqref="AN39"/>
    </sheetView>
  </sheetViews>
  <sheetFormatPr defaultRowHeight="15" x14ac:dyDescent="0.25"/>
  <cols>
    <col min="1" max="1" width="9.42578125" bestFit="1" customWidth="1"/>
    <col min="2" max="3" width="11" style="21" bestFit="1" customWidth="1"/>
    <col min="4" max="4" width="9.85546875" style="22" bestFit="1" customWidth="1"/>
    <col min="5" max="5" width="10.7109375" style="22" bestFit="1" customWidth="1"/>
    <col min="6" max="6" width="9" style="21" bestFit="1" customWidth="1"/>
    <col min="7" max="7" width="16.5703125" style="21" bestFit="1" customWidth="1"/>
    <col min="8" max="8" width="9.140625" style="21" bestFit="1"/>
    <col min="9" max="9" width="17.5703125" style="21" bestFit="1" customWidth="1"/>
    <col min="10" max="10" width="19.28515625" style="21" bestFit="1" customWidth="1"/>
    <col min="11" max="11" width="20.140625" style="21" bestFit="1" customWidth="1"/>
    <col min="12" max="13" width="11" style="21" bestFit="1" customWidth="1"/>
    <col min="14" max="14" width="9.42578125" style="23" bestFit="1" customWidth="1"/>
    <col min="15" max="15" width="12.85546875" style="23" bestFit="1" customWidth="1"/>
    <col min="16" max="17" width="16.28515625" style="23" bestFit="1" customWidth="1"/>
    <col min="18" max="18" width="11" style="21" bestFit="1" customWidth="1"/>
    <col min="19" max="20" width="13.42578125" style="21" bestFit="1" customWidth="1"/>
    <col min="21" max="21" width="20.7109375" style="22" bestFit="1" customWidth="1"/>
    <col min="22" max="23" width="24.140625" style="22" bestFit="1" customWidth="1"/>
    <col min="24" max="24" width="11.42578125" style="23" bestFit="1" customWidth="1"/>
    <col min="25" max="25" width="15" style="23" bestFit="1" customWidth="1"/>
    <col min="26" max="27" width="18.42578125" style="23" bestFit="1" customWidth="1"/>
    <col min="28" max="28" width="11" style="21" bestFit="1" customWidth="1"/>
    <col min="29" max="30" width="14.42578125" style="21" bestFit="1" customWidth="1"/>
    <col min="31" max="31" width="22.85546875" style="22" bestFit="1" customWidth="1"/>
    <col min="32" max="33" width="26.28515625" style="22" bestFit="1" customWidth="1"/>
    <col min="52" max="53" width="9.140625" style="5"/>
    <col min="58" max="58" width="13.5703125" bestFit="1" customWidth="1"/>
    <col min="59" max="59" width="9.7109375" bestFit="1" customWidth="1"/>
    <col min="60" max="60" width="10.5703125" bestFit="1" customWidth="1"/>
    <col min="61" max="61" width="9.7109375" customWidth="1"/>
    <col min="64" max="65" width="9.140625" style="5"/>
    <col min="70" max="70" width="13.5703125" bestFit="1" customWidth="1"/>
    <col min="71" max="71" width="12.28515625" bestFit="1" customWidth="1"/>
    <col min="72" max="72" width="10.140625" bestFit="1" customWidth="1"/>
    <col min="73" max="73" width="9.7109375" customWidth="1"/>
  </cols>
  <sheetData>
    <row r="1" spans="1:104" s="2" customFormat="1" x14ac:dyDescent="0.25">
      <c r="A1" s="2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18" t="s">
        <v>17</v>
      </c>
      <c r="S1" s="18" t="s">
        <v>18</v>
      </c>
      <c r="T1" s="18" t="s">
        <v>19</v>
      </c>
      <c r="U1" s="19" t="s">
        <v>20</v>
      </c>
      <c r="V1" s="19" t="s">
        <v>21</v>
      </c>
      <c r="W1" s="19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18" t="s">
        <v>27</v>
      </c>
      <c r="AC1" s="18" t="s">
        <v>28</v>
      </c>
      <c r="AD1" s="18" t="s">
        <v>29</v>
      </c>
      <c r="AE1" s="19" t="s">
        <v>30</v>
      </c>
      <c r="AF1" s="19" t="s">
        <v>31</v>
      </c>
      <c r="AG1" s="19" t="s">
        <v>32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Z1" s="3"/>
      <c r="BA1" s="3"/>
      <c r="BB1" s="3"/>
      <c r="BC1" s="3"/>
      <c r="BD1" s="3"/>
      <c r="BE1" s="3"/>
      <c r="BF1" s="3"/>
      <c r="BJ1" s="4">
        <f>BJ167</f>
        <v>7.4917699388094783E-2</v>
      </c>
      <c r="BK1" s="3"/>
      <c r="BL1" s="3"/>
      <c r="BM1" s="3"/>
      <c r="BN1" s="3"/>
      <c r="BO1" s="3"/>
      <c r="BP1" s="3"/>
      <c r="BQ1" s="3"/>
      <c r="BR1" s="3"/>
      <c r="BV1" s="4">
        <f>BV167</f>
        <v>-5.030519903298199E-4</v>
      </c>
      <c r="BW1" s="3"/>
      <c r="BX1" s="3"/>
      <c r="BY1" s="4">
        <f>BY167</f>
        <v>7.441464739776496E-2</v>
      </c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</row>
    <row r="2" spans="1:104" x14ac:dyDescent="0.25">
      <c r="A2" s="1">
        <v>46024</v>
      </c>
      <c r="B2" s="21">
        <v>121.52</v>
      </c>
      <c r="C2" s="21">
        <v>169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121.52</v>
      </c>
      <c r="M2" s="21">
        <v>169</v>
      </c>
      <c r="N2" s="23">
        <v>1.3907175773535201</v>
      </c>
      <c r="O2" s="23">
        <v>1.3022492118915701</v>
      </c>
      <c r="X2" s="23">
        <v>1.3907175773535201</v>
      </c>
      <c r="Y2" s="23">
        <v>1.3022759807794699</v>
      </c>
    </row>
    <row r="3" spans="1:104" x14ac:dyDescent="0.25">
      <c r="A3" s="1">
        <v>46027</v>
      </c>
      <c r="B3" s="21">
        <v>120.15</v>
      </c>
      <c r="C3" s="21">
        <v>167.34</v>
      </c>
      <c r="D3" s="22">
        <v>-1.1337896105039399E-2</v>
      </c>
      <c r="E3" s="22">
        <v>-9.8710440556208992E-3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120.15</v>
      </c>
      <c r="M3" s="21">
        <v>167.34</v>
      </c>
      <c r="N3" s="23">
        <v>1.39275905118601</v>
      </c>
      <c r="O3" s="23">
        <v>1.3022492118915701</v>
      </c>
      <c r="R3" s="21">
        <v>156.46524280877199</v>
      </c>
      <c r="U3" s="22">
        <v>-6.7193776231800603E-2</v>
      </c>
      <c r="X3" s="23">
        <v>1.39275905118601</v>
      </c>
      <c r="Y3" s="23">
        <v>1.3022759807794699</v>
      </c>
      <c r="AB3" s="21">
        <v>156.468459090653</v>
      </c>
      <c r="AE3" s="22">
        <v>-6.7173220555874602E-2</v>
      </c>
      <c r="CL3" s="6">
        <f>BJ11</f>
        <v>2.2603500513047203</v>
      </c>
      <c r="CM3" s="7">
        <v>0</v>
      </c>
      <c r="CN3" s="7">
        <f>CM3-0.005</f>
        <v>-5.0000000000000001E-3</v>
      </c>
      <c r="CO3" s="7">
        <f t="shared" ref="CO3:CT3" si="0">CN3-0.005</f>
        <v>-0.01</v>
      </c>
      <c r="CP3" s="7">
        <f t="shared" si="0"/>
        <v>-1.4999999999999999E-2</v>
      </c>
      <c r="CQ3" s="7">
        <f t="shared" si="0"/>
        <v>-0.02</v>
      </c>
      <c r="CR3" s="7">
        <f t="shared" si="0"/>
        <v>-2.5000000000000001E-2</v>
      </c>
      <c r="CS3" s="7">
        <f t="shared" si="0"/>
        <v>-3.0000000000000002E-2</v>
      </c>
      <c r="CT3" s="7">
        <f t="shared" si="0"/>
        <v>-3.5000000000000003E-2</v>
      </c>
      <c r="CU3" t="s">
        <v>33</v>
      </c>
    </row>
    <row r="4" spans="1:104" x14ac:dyDescent="0.25">
      <c r="A4" s="1">
        <v>46028</v>
      </c>
      <c r="B4" s="21">
        <v>122.09</v>
      </c>
      <c r="C4" s="21">
        <v>171.24</v>
      </c>
      <c r="D4" s="22">
        <v>1.6017515498285999E-2</v>
      </c>
      <c r="E4" s="22">
        <v>2.3038410409292699E-2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122.09</v>
      </c>
      <c r="M4" s="21">
        <v>171.24</v>
      </c>
      <c r="N4" s="23">
        <v>1.4025718732082799</v>
      </c>
      <c r="O4" s="23">
        <v>1.3022492118915701</v>
      </c>
      <c r="R4" s="21">
        <v>158.99160627984199</v>
      </c>
      <c r="U4" s="22">
        <v>-7.4214671142807206E-2</v>
      </c>
      <c r="X4" s="23">
        <v>1.4025718732082799</v>
      </c>
      <c r="Y4" s="23">
        <v>1.3022759807794699</v>
      </c>
      <c r="AB4" s="21">
        <v>158.99487449336601</v>
      </c>
      <c r="AE4" s="22">
        <v>-7.4194115466881094E-2</v>
      </c>
      <c r="CL4" s="7">
        <v>0</v>
      </c>
      <c r="CM4" s="8">
        <f t="dataTable" ref="CM4:CT11" dt2D="1" dtr="1" r1="BA20" r2="BA21"/>
        <v>0.73728288541264098</v>
      </c>
      <c r="CN4" s="8">
        <v>0.77423660631856905</v>
      </c>
      <c r="CO4" s="8">
        <v>0.83079002834146931</v>
      </c>
      <c r="CP4" s="8">
        <v>1.3283131219058799</v>
      </c>
      <c r="CQ4" s="8">
        <v>0.57027462870208523</v>
      </c>
      <c r="CR4" s="8">
        <v>-8.7538252428919924E-2</v>
      </c>
      <c r="CS4" s="8">
        <v>-0.45377687396890071</v>
      </c>
      <c r="CT4" s="8">
        <v>-0.45377687396890071</v>
      </c>
      <c r="CV4" t="s">
        <v>34</v>
      </c>
      <c r="CW4" t="s">
        <v>35</v>
      </c>
    </row>
    <row r="5" spans="1:104" x14ac:dyDescent="0.25">
      <c r="A5" s="1">
        <v>46029</v>
      </c>
      <c r="B5" s="21">
        <v>126.43</v>
      </c>
      <c r="C5" s="21">
        <v>176.74</v>
      </c>
      <c r="D5" s="22">
        <v>3.4930317643042198E-2</v>
      </c>
      <c r="E5" s="22">
        <v>3.1613644813112997E-2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126.43</v>
      </c>
      <c r="M5" s="21">
        <v>176.74</v>
      </c>
      <c r="N5" s="23">
        <v>1.3979277070315499</v>
      </c>
      <c r="O5" s="23">
        <v>1.3022492118915701</v>
      </c>
      <c r="R5" s="21">
        <v>164.64336785945099</v>
      </c>
      <c r="U5" s="22">
        <v>-7.0897998312877797E-2</v>
      </c>
      <c r="X5" s="23">
        <v>1.3979277070315499</v>
      </c>
      <c r="Y5" s="23">
        <v>1.3022759807794699</v>
      </c>
      <c r="AB5" s="21">
        <v>164.64675224994801</v>
      </c>
      <c r="AE5" s="22">
        <v>-7.0877442636952004E-2</v>
      </c>
      <c r="CL5" s="7">
        <f>CL4-0.005</f>
        <v>-5.0000000000000001E-3</v>
      </c>
      <c r="CM5" s="8">
        <v>0.73728288541264098</v>
      </c>
      <c r="CN5" s="8">
        <v>0.88958841959577295</v>
      </c>
      <c r="CO5" s="8">
        <v>0.97680189820444741</v>
      </c>
      <c r="CP5" s="8">
        <v>1.2036753345178284</v>
      </c>
      <c r="CQ5" s="8">
        <v>0.3813272792079741</v>
      </c>
      <c r="CR5" s="8">
        <v>-0.32326486737452503</v>
      </c>
      <c r="CS5" s="8">
        <v>-0.45377687396890071</v>
      </c>
      <c r="CT5" s="8">
        <v>-0.45377687396890071</v>
      </c>
      <c r="CV5" t="s">
        <v>36</v>
      </c>
      <c r="CW5" t="s">
        <v>37</v>
      </c>
    </row>
    <row r="6" spans="1:104" ht="15.75" thickBot="1" x14ac:dyDescent="0.3">
      <c r="A6" s="1">
        <v>46030</v>
      </c>
      <c r="B6" s="21">
        <v>123.71</v>
      </c>
      <c r="C6" s="21">
        <v>172.26</v>
      </c>
      <c r="D6" s="22">
        <v>-2.1748678449066201E-2</v>
      </c>
      <c r="E6" s="22">
        <v>-2.5674762728830802E-2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123.71</v>
      </c>
      <c r="M6" s="21">
        <v>172.26</v>
      </c>
      <c r="N6" s="23">
        <v>1.39245008487591</v>
      </c>
      <c r="O6" s="23">
        <v>1.3022492118915701</v>
      </c>
      <c r="R6" s="21">
        <v>161.101250003106</v>
      </c>
      <c r="U6" s="22">
        <v>-6.69719140331132E-2</v>
      </c>
      <c r="X6" s="23">
        <v>1.39245008487591</v>
      </c>
      <c r="Y6" s="23">
        <v>1.3022759807794699</v>
      </c>
      <c r="AB6" s="21">
        <v>161.104561582228</v>
      </c>
      <c r="AE6" s="22">
        <v>-6.6951358357187199E-2</v>
      </c>
      <c r="CL6" s="7">
        <f t="shared" ref="CL6:CL11" si="1">CL5-0.005</f>
        <v>-0.01</v>
      </c>
      <c r="CM6" s="8">
        <v>0.73728288541264098</v>
      </c>
      <c r="CN6" s="9">
        <v>0.88958841959577295</v>
      </c>
      <c r="CO6" s="9">
        <v>1.9653176102571583</v>
      </c>
      <c r="CP6" s="9">
        <v>2.2603500513047203</v>
      </c>
      <c r="CQ6" s="9">
        <v>1.7931306219203265</v>
      </c>
      <c r="CR6" s="9">
        <v>0.71982031106935718</v>
      </c>
      <c r="CS6" s="9">
        <v>1.0859717681575793</v>
      </c>
      <c r="CT6" s="9">
        <v>1.0859717681575793</v>
      </c>
    </row>
    <row r="7" spans="1:104" ht="15.75" thickBot="1" x14ac:dyDescent="0.3">
      <c r="A7" s="1">
        <v>46031</v>
      </c>
      <c r="B7" s="21">
        <v>124.5</v>
      </c>
      <c r="C7" s="21">
        <v>172.39</v>
      </c>
      <c r="D7" s="22">
        <v>6.3655990300220599E-3</v>
      </c>
      <c r="E7" s="22">
        <v>7.5438854585964995E-4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124.5</v>
      </c>
      <c r="M7" s="21">
        <v>172.39</v>
      </c>
      <c r="N7" s="23">
        <v>1.38465863453815</v>
      </c>
      <c r="O7" s="23">
        <v>1.3022492118915701</v>
      </c>
      <c r="R7" s="21">
        <v>162.13002688050099</v>
      </c>
      <c r="U7" s="22">
        <v>-6.1360703548950797E-2</v>
      </c>
      <c r="X7" s="23">
        <v>1.38465863453815</v>
      </c>
      <c r="Y7" s="23">
        <v>1.3022759807794699</v>
      </c>
      <c r="AB7" s="21">
        <v>162.13335960704401</v>
      </c>
      <c r="AE7" s="22">
        <v>-6.1340147873024803E-2</v>
      </c>
      <c r="CL7" s="7">
        <f t="shared" si="1"/>
        <v>-1.4999999999999999E-2</v>
      </c>
      <c r="CM7" s="8">
        <v>0.73728288541264098</v>
      </c>
      <c r="CN7" s="9">
        <v>0.88958841959577295</v>
      </c>
      <c r="CO7" s="9">
        <v>1.9653176102571583</v>
      </c>
      <c r="CP7" s="9">
        <v>1.9287564646968076</v>
      </c>
      <c r="CQ7" s="10">
        <v>1.3829376264443083</v>
      </c>
      <c r="CR7" s="9">
        <v>0.62025442456357449</v>
      </c>
      <c r="CS7" s="9">
        <v>0.95816465455227873</v>
      </c>
      <c r="CT7" s="9">
        <v>0.95816465455227873</v>
      </c>
    </row>
    <row r="8" spans="1:104" x14ac:dyDescent="0.25">
      <c r="A8" s="1">
        <v>46034</v>
      </c>
      <c r="B8" s="21">
        <v>123.93</v>
      </c>
      <c r="C8" s="21">
        <v>171.4</v>
      </c>
      <c r="D8" s="22">
        <v>-4.58882582797934E-3</v>
      </c>
      <c r="E8" s="22">
        <v>-5.7593457432077002E-3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123.93</v>
      </c>
      <c r="M8" s="21">
        <v>171.4</v>
      </c>
      <c r="N8" s="23">
        <v>1.38303881223271</v>
      </c>
      <c r="O8" s="23">
        <v>1.3022492118915701</v>
      </c>
      <c r="R8" s="21">
        <v>161.38774482972201</v>
      </c>
      <c r="U8" s="22">
        <v>-6.0190183633722402E-2</v>
      </c>
      <c r="X8" s="23">
        <v>1.38303881223271</v>
      </c>
      <c r="Y8" s="23">
        <v>1.3022759807794699</v>
      </c>
      <c r="AB8" s="21">
        <v>161.39106229800001</v>
      </c>
      <c r="AE8" s="22">
        <v>-6.0169627957796401E-2</v>
      </c>
      <c r="CL8" s="7">
        <f t="shared" si="1"/>
        <v>-0.02</v>
      </c>
      <c r="CM8" s="8">
        <v>0.73728288541264098</v>
      </c>
      <c r="CN8" s="9">
        <v>0.88958841959577295</v>
      </c>
      <c r="CO8" s="9">
        <v>1.9653176102571583</v>
      </c>
      <c r="CP8" s="9">
        <v>1.9287564646968076</v>
      </c>
      <c r="CQ8" s="9">
        <v>1.2981174831167899</v>
      </c>
      <c r="CR8" s="9">
        <v>0.26812082649353991</v>
      </c>
      <c r="CS8" s="9">
        <v>0.95816465455227873</v>
      </c>
      <c r="CT8" s="9">
        <v>0.95816465455227873</v>
      </c>
    </row>
    <row r="9" spans="1:104" x14ac:dyDescent="0.25">
      <c r="A9" s="1">
        <v>46035</v>
      </c>
      <c r="B9" s="21">
        <v>123.85</v>
      </c>
      <c r="C9" s="21">
        <v>171.32</v>
      </c>
      <c r="D9" s="22">
        <v>-6.4573414141435399E-4</v>
      </c>
      <c r="E9" s="22">
        <v>-4.6685341650930202E-4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123.85</v>
      </c>
      <c r="M9" s="21">
        <v>171.32</v>
      </c>
      <c r="N9" s="23">
        <v>1.3832862333467899</v>
      </c>
      <c r="O9" s="23">
        <v>1.3022492118915701</v>
      </c>
      <c r="R9" s="21">
        <v>161.28356489277101</v>
      </c>
      <c r="U9" s="22">
        <v>-6.0369064358627503E-2</v>
      </c>
      <c r="X9" s="23">
        <v>1.3832862333467899</v>
      </c>
      <c r="Y9" s="23">
        <v>1.3022759807794699</v>
      </c>
      <c r="AB9" s="21">
        <v>161.28688021953701</v>
      </c>
      <c r="AE9" s="22">
        <v>-6.0348508682701599E-2</v>
      </c>
      <c r="BJ9" s="11">
        <f>AVERAGE(BI22:BI200)</f>
        <v>5.1313492731571765E-4</v>
      </c>
      <c r="BV9" s="11">
        <f>AVERAGE(BU22:BU200)</f>
        <v>-3.445561577601506E-6</v>
      </c>
      <c r="BY9" s="11">
        <f>AVERAGE(BX22:BX200)</f>
        <v>5.0968936573811614E-4</v>
      </c>
      <c r="CL9" s="7">
        <f t="shared" si="1"/>
        <v>-2.5000000000000001E-2</v>
      </c>
      <c r="CM9" s="8">
        <v>0.73728288541264098</v>
      </c>
      <c r="CN9" s="9">
        <v>0.88958841959577295</v>
      </c>
      <c r="CO9" s="9">
        <v>1.9653176102571583</v>
      </c>
      <c r="CP9" s="9">
        <v>1.9287564646968076</v>
      </c>
      <c r="CQ9" s="9">
        <v>1.2981174831167899</v>
      </c>
      <c r="CR9" s="9">
        <v>0.45958288045809731</v>
      </c>
      <c r="CS9" s="9">
        <v>1.1358203322466294</v>
      </c>
      <c r="CT9" s="9">
        <v>1.1358203322466294</v>
      </c>
    </row>
    <row r="10" spans="1:104" x14ac:dyDescent="0.25">
      <c r="A10" s="1">
        <v>46036</v>
      </c>
      <c r="B10" s="21">
        <v>126.82</v>
      </c>
      <c r="C10" s="21">
        <v>172.83</v>
      </c>
      <c r="D10" s="22">
        <v>2.3697602336517E-2</v>
      </c>
      <c r="E10" s="22">
        <v>8.7752996652312593E-3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126.82</v>
      </c>
      <c r="M10" s="21">
        <v>172.83</v>
      </c>
      <c r="N10" s="23">
        <v>1.3627976659832799</v>
      </c>
      <c r="O10" s="23">
        <v>1.3022492118915701</v>
      </c>
      <c r="R10" s="21">
        <v>165.151245052089</v>
      </c>
      <c r="U10" s="22">
        <v>-4.5446761687341901E-2</v>
      </c>
      <c r="X10" s="23">
        <v>1.3627976659832799</v>
      </c>
      <c r="Y10" s="23">
        <v>1.3022759807794699</v>
      </c>
      <c r="AB10" s="21">
        <v>165.15463988245199</v>
      </c>
      <c r="AE10" s="22">
        <v>-4.54262060114159E-2</v>
      </c>
      <c r="AZ10" s="12"/>
      <c r="BJ10" s="11">
        <f>STDEV(BI22:BI200)</f>
        <v>3.6037623621569845E-3</v>
      </c>
      <c r="BL10" s="12"/>
      <c r="BV10" s="11">
        <f>STDEV(BU22:BU200)</f>
        <v>1.6244616303240679E-3</v>
      </c>
      <c r="BY10" s="11">
        <f>STDEV(BX22:BX200)</f>
        <v>3.9534212037176959E-3</v>
      </c>
      <c r="CL10" s="7">
        <f t="shared" si="1"/>
        <v>-3.0000000000000002E-2</v>
      </c>
      <c r="CM10" s="8">
        <v>0.73728288541264098</v>
      </c>
      <c r="CN10" s="9">
        <v>0.88958841959577295</v>
      </c>
      <c r="CO10" s="9">
        <v>1.9653176102571583</v>
      </c>
      <c r="CP10" s="9">
        <v>1.9287564646968076</v>
      </c>
      <c r="CQ10" s="9">
        <v>1.2981174831167899</v>
      </c>
      <c r="CR10" s="9">
        <v>0.45958288045809731</v>
      </c>
      <c r="CS10" s="9">
        <v>1.1358203322466294</v>
      </c>
      <c r="CT10" s="9">
        <v>1.1358203322466294</v>
      </c>
    </row>
    <row r="11" spans="1:104" x14ac:dyDescent="0.25">
      <c r="A11" s="1">
        <v>46037</v>
      </c>
      <c r="B11" s="21">
        <v>124.35</v>
      </c>
      <c r="C11" s="21">
        <v>170.56</v>
      </c>
      <c r="D11" s="22">
        <v>-1.96685880224719E-2</v>
      </c>
      <c r="E11" s="22">
        <v>-1.3221311434921701E-2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124.35</v>
      </c>
      <c r="M11" s="21">
        <v>170.56</v>
      </c>
      <c r="N11" s="23">
        <v>1.3716123843988699</v>
      </c>
      <c r="O11" s="23">
        <v>1.3022492118915701</v>
      </c>
      <c r="P11" s="23">
        <v>1.38618200241551</v>
      </c>
      <c r="R11" s="21">
        <v>161.93468949871701</v>
      </c>
      <c r="U11" s="22">
        <v>-5.1894038274891897E-2</v>
      </c>
      <c r="X11" s="23">
        <v>1.3716123843988699</v>
      </c>
      <c r="Y11" s="23">
        <v>1.3022759807794699</v>
      </c>
      <c r="Z11" s="23">
        <v>1.38618200241551</v>
      </c>
      <c r="AB11" s="21">
        <v>161.93801820992701</v>
      </c>
      <c r="AE11" s="22">
        <v>-5.1873482598965903E-2</v>
      </c>
      <c r="BJ11">
        <f>SQRT(252)*BJ9/BJ10</f>
        <v>2.2603500513047203</v>
      </c>
      <c r="BV11">
        <f>SQRT(252)*BV9/BV10</f>
        <v>-3.367059790562503E-2</v>
      </c>
      <c r="BY11">
        <f>SQRT(252)*BY9/BY10</f>
        <v>2.0465989908222197</v>
      </c>
      <c r="CL11" s="7">
        <f t="shared" si="1"/>
        <v>-3.5000000000000003E-2</v>
      </c>
      <c r="CM11" s="8">
        <v>0.73728288541264098</v>
      </c>
      <c r="CN11" s="9">
        <v>0.88958841959577295</v>
      </c>
      <c r="CO11" s="9">
        <v>1.9653176102571583</v>
      </c>
      <c r="CP11" s="9">
        <v>1.9287564646968076</v>
      </c>
      <c r="CQ11" s="9">
        <v>1.2981174831167899</v>
      </c>
      <c r="CR11" s="9">
        <v>0.45958288045809731</v>
      </c>
      <c r="CS11" s="9">
        <v>1.1358203322466294</v>
      </c>
      <c r="CT11" s="9">
        <v>1.1358203322466294</v>
      </c>
    </row>
    <row r="12" spans="1:104" x14ac:dyDescent="0.25">
      <c r="A12" s="1">
        <v>46038</v>
      </c>
      <c r="B12" s="21">
        <v>124.18</v>
      </c>
      <c r="C12" s="21">
        <v>169.96</v>
      </c>
      <c r="D12" s="22">
        <v>-1.3680443126668699E-3</v>
      </c>
      <c r="E12" s="22">
        <v>-3.5240257308688599E-3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124.18</v>
      </c>
      <c r="M12" s="21">
        <v>169.96</v>
      </c>
      <c r="N12" s="23">
        <v>1.3686583990980801</v>
      </c>
      <c r="O12" s="23">
        <v>1.3022492118915701</v>
      </c>
      <c r="P12" s="23">
        <v>1.38397608458996</v>
      </c>
      <c r="R12" s="21">
        <v>161.71330713269501</v>
      </c>
      <c r="S12" s="21">
        <v>172.136081059958</v>
      </c>
      <c r="U12" s="22">
        <v>-4.9738056856689999E-2</v>
      </c>
      <c r="V12" s="22">
        <v>1.2722217710910699E-2</v>
      </c>
      <c r="X12" s="23">
        <v>1.3686583990980801</v>
      </c>
      <c r="Y12" s="23">
        <v>1.3022759807794699</v>
      </c>
      <c r="Z12" s="23">
        <v>1.38397608458996</v>
      </c>
      <c r="AB12" s="21">
        <v>161.71663129319501</v>
      </c>
      <c r="AC12" s="21">
        <v>172.136081059958</v>
      </c>
      <c r="AE12" s="22">
        <v>-4.9717501180763901E-2</v>
      </c>
      <c r="AF12" s="22">
        <v>1.2722217710910699E-2</v>
      </c>
      <c r="CL12" t="s">
        <v>38</v>
      </c>
    </row>
    <row r="13" spans="1:104" x14ac:dyDescent="0.25">
      <c r="A13" s="1">
        <v>46042</v>
      </c>
      <c r="B13" s="21">
        <v>125.29</v>
      </c>
      <c r="C13" s="21">
        <v>170.72</v>
      </c>
      <c r="D13" s="22">
        <v>8.8989243207145598E-3</v>
      </c>
      <c r="E13" s="22">
        <v>4.4616723068322704E-3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125.29</v>
      </c>
      <c r="M13" s="21">
        <v>170.72</v>
      </c>
      <c r="N13" s="23">
        <v>1.3625987708516201</v>
      </c>
      <c r="O13" s="23">
        <v>1.3022492118915701</v>
      </c>
      <c r="P13" s="23">
        <v>1.3809600565565201</v>
      </c>
      <c r="R13" s="21">
        <v>163.15880375789499</v>
      </c>
      <c r="S13" s="21">
        <v>173.398363638277</v>
      </c>
      <c r="U13" s="22">
        <v>-4.5300804842807699E-2</v>
      </c>
      <c r="V13" s="22">
        <v>1.5566839829653E-2</v>
      </c>
      <c r="X13" s="23">
        <v>1.3625987708516201</v>
      </c>
      <c r="Y13" s="23">
        <v>1.3022759807794699</v>
      </c>
      <c r="Z13" s="23">
        <v>1.3809600565565201</v>
      </c>
      <c r="AB13" s="21">
        <v>163.16215763186</v>
      </c>
      <c r="AC13" s="21">
        <v>173.398363638277</v>
      </c>
      <c r="AE13" s="22">
        <v>-4.5280249166881802E-2</v>
      </c>
      <c r="AF13" s="22">
        <v>1.5566839829653E-2</v>
      </c>
    </row>
    <row r="14" spans="1:104" x14ac:dyDescent="0.25">
      <c r="A14" s="1">
        <v>46043</v>
      </c>
      <c r="B14" s="21">
        <v>128.18</v>
      </c>
      <c r="C14" s="21">
        <v>175.16</v>
      </c>
      <c r="D14" s="22">
        <v>2.2804475818619399E-2</v>
      </c>
      <c r="E14" s="22">
        <v>2.56750543797543E-2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128.18</v>
      </c>
      <c r="M14" s="21">
        <v>175.16</v>
      </c>
      <c r="N14" s="23">
        <v>1.36651583710407</v>
      </c>
      <c r="O14" s="23">
        <v>1.3022492118915701</v>
      </c>
      <c r="P14" s="23">
        <v>1.3773544529460999</v>
      </c>
      <c r="R14" s="21">
        <v>166.922303980262</v>
      </c>
      <c r="S14" s="21">
        <v>177.01146004941501</v>
      </c>
      <c r="U14" s="22">
        <v>-4.81713834039426E-2</v>
      </c>
      <c r="V14" s="22">
        <v>1.05146345865944E-2</v>
      </c>
      <c r="X14" s="23">
        <v>1.36651583710407</v>
      </c>
      <c r="Y14" s="23">
        <v>1.3022759807794699</v>
      </c>
      <c r="Z14" s="23">
        <v>1.3773544529460999</v>
      </c>
      <c r="AB14" s="21">
        <v>166.925735216313</v>
      </c>
      <c r="AC14" s="21">
        <v>177.01146004941501</v>
      </c>
      <c r="AE14" s="22">
        <v>-4.8150827728016599E-2</v>
      </c>
      <c r="AF14" s="22">
        <v>1.05146345865944E-2</v>
      </c>
      <c r="CL14" s="6">
        <f>BV11</f>
        <v>-3.367059790562503E-2</v>
      </c>
      <c r="CM14" s="7">
        <v>0</v>
      </c>
      <c r="CN14" s="13">
        <f>CM14+0.005</f>
        <v>5.0000000000000001E-3</v>
      </c>
      <c r="CO14" s="13">
        <f t="shared" ref="CO14:CT14" si="2">CN14+0.005</f>
        <v>0.01</v>
      </c>
      <c r="CP14" s="13">
        <f t="shared" si="2"/>
        <v>1.4999999999999999E-2</v>
      </c>
      <c r="CQ14" s="13">
        <f t="shared" si="2"/>
        <v>0.02</v>
      </c>
      <c r="CR14" s="13">
        <f t="shared" si="2"/>
        <v>2.5000000000000001E-2</v>
      </c>
      <c r="CS14" s="13">
        <f t="shared" si="2"/>
        <v>3.0000000000000002E-2</v>
      </c>
      <c r="CT14" s="13">
        <f t="shared" si="2"/>
        <v>3.5000000000000003E-2</v>
      </c>
      <c r="CU14" t="s">
        <v>33</v>
      </c>
    </row>
    <row r="15" spans="1:104" x14ac:dyDescent="0.25">
      <c r="A15" s="1">
        <v>46044</v>
      </c>
      <c r="B15" s="21">
        <v>131.57</v>
      </c>
      <c r="C15" s="21">
        <v>177.64</v>
      </c>
      <c r="D15" s="22">
        <v>2.6103503301665901E-2</v>
      </c>
      <c r="E15" s="22">
        <v>1.4059188490703801E-2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131.57</v>
      </c>
      <c r="M15" s="21">
        <v>177.64</v>
      </c>
      <c r="N15" s="23">
        <v>1.3501558105951199</v>
      </c>
      <c r="O15" s="23">
        <v>1.3022492118915701</v>
      </c>
      <c r="P15" s="23">
        <v>1.37257726330246</v>
      </c>
      <c r="R15" s="21">
        <v>171.33692880857399</v>
      </c>
      <c r="S15" s="21">
        <v>181.218525374119</v>
      </c>
      <c r="U15" s="22">
        <v>-3.61270685929806E-2</v>
      </c>
      <c r="V15" s="22">
        <v>1.9944595123128701E-2</v>
      </c>
      <c r="X15" s="23">
        <v>1.3501558105951199</v>
      </c>
      <c r="Y15" s="23">
        <v>1.3022759807794699</v>
      </c>
      <c r="Z15" s="23">
        <v>1.37257726330246</v>
      </c>
      <c r="AB15" s="21">
        <v>171.34045079115501</v>
      </c>
      <c r="AC15" s="21">
        <v>181.218525374119</v>
      </c>
      <c r="AE15" s="22">
        <v>-3.6106512917054502E-2</v>
      </c>
      <c r="AF15" s="22">
        <v>1.9944595123128701E-2</v>
      </c>
      <c r="CL15" s="7">
        <v>0</v>
      </c>
      <c r="CM15" s="8">
        <f t="dataTable" ref="CM15:CT22" dt2D="1" dtr="1" r1="BM20" r2="BM21"/>
        <v>0.13979390046417989</v>
      </c>
      <c r="CN15" s="9">
        <v>6.4815165907164046E-2</v>
      </c>
      <c r="CO15" s="9">
        <v>0.22013536399105535</v>
      </c>
      <c r="CP15" s="9">
        <v>-0.32180207893671287</v>
      </c>
      <c r="CQ15" s="9">
        <v>-0.51261167240533245</v>
      </c>
      <c r="CR15" s="9">
        <v>-0.22283140312905403</v>
      </c>
      <c r="CS15" s="9">
        <v>0.66286829204496467</v>
      </c>
      <c r="CT15" s="9">
        <v>0.97686290527847253</v>
      </c>
      <c r="CV15" t="s">
        <v>34</v>
      </c>
      <c r="CW15" t="s">
        <v>39</v>
      </c>
    </row>
    <row r="16" spans="1:104" x14ac:dyDescent="0.25">
      <c r="A16" s="1">
        <v>46045</v>
      </c>
      <c r="B16" s="21">
        <v>128.04</v>
      </c>
      <c r="C16" s="21">
        <v>175.33</v>
      </c>
      <c r="D16" s="22">
        <v>-2.7196314276084502E-2</v>
      </c>
      <c r="E16" s="22">
        <v>-1.3089117941864299E-2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128.04</v>
      </c>
      <c r="M16" s="21">
        <v>175.33</v>
      </c>
      <c r="N16" s="23">
        <v>1.36933770696657</v>
      </c>
      <c r="O16" s="23">
        <v>1.3022492118915701</v>
      </c>
      <c r="P16" s="23">
        <v>1.37026602551152</v>
      </c>
      <c r="R16" s="21">
        <v>166.73998909059699</v>
      </c>
      <c r="S16" s="21">
        <v>175.744792793247</v>
      </c>
      <c r="U16" s="22">
        <v>-5.0234264927200602E-2</v>
      </c>
      <c r="V16" s="22">
        <v>2.3629892818810899E-3</v>
      </c>
      <c r="X16" s="23">
        <v>1.36933770696657</v>
      </c>
      <c r="Y16" s="23">
        <v>1.3022759807794699</v>
      </c>
      <c r="Z16" s="23">
        <v>1.37026602551152</v>
      </c>
      <c r="AB16" s="21">
        <v>166.743416579003</v>
      </c>
      <c r="AC16" s="21">
        <v>175.744792793247</v>
      </c>
      <c r="AE16" s="22">
        <v>-5.0213709251274698E-2</v>
      </c>
      <c r="AF16" s="22">
        <v>2.3629892818810899E-3</v>
      </c>
      <c r="CL16" s="7">
        <f>CL15+0.005</f>
        <v>5.0000000000000001E-3</v>
      </c>
      <c r="CM16" s="8">
        <v>0.13979390046417989</v>
      </c>
      <c r="CN16" s="9">
        <v>-0.28570649630894235</v>
      </c>
      <c r="CO16" s="9">
        <v>-0.19951601856977413</v>
      </c>
      <c r="CP16" s="9">
        <v>-0.28381121050802138</v>
      </c>
      <c r="CQ16" s="9">
        <v>-1.3955582540854714</v>
      </c>
      <c r="CR16" s="9">
        <v>-1.0869700043282886</v>
      </c>
      <c r="CS16" s="9">
        <v>-4.2917615515379572E-2</v>
      </c>
      <c r="CT16" s="9">
        <v>0.34747982385739967</v>
      </c>
      <c r="CV16" t="s">
        <v>36</v>
      </c>
      <c r="CW16" t="s">
        <v>40</v>
      </c>
    </row>
    <row r="17" spans="1:98" x14ac:dyDescent="0.25">
      <c r="A17" s="1">
        <v>46048</v>
      </c>
      <c r="B17" s="21">
        <v>127.86</v>
      </c>
      <c r="C17" s="21">
        <v>175.85</v>
      </c>
      <c r="D17" s="22">
        <v>-1.40679976308146E-3</v>
      </c>
      <c r="E17" s="22">
        <v>2.9614464379543702E-3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127.86</v>
      </c>
      <c r="M17" s="21">
        <v>175.85</v>
      </c>
      <c r="N17" s="23">
        <v>1.3753323948068199</v>
      </c>
      <c r="O17" s="23">
        <v>1.3022492118915701</v>
      </c>
      <c r="P17" s="23">
        <v>1.36933340153839</v>
      </c>
      <c r="R17" s="21">
        <v>166.50558423245599</v>
      </c>
      <c r="S17" s="21">
        <v>175.20221402190401</v>
      </c>
      <c r="U17" s="22">
        <v>-5.46025111282364E-2</v>
      </c>
      <c r="V17" s="22">
        <v>-3.6905433862237302E-3</v>
      </c>
      <c r="X17" s="23">
        <v>1.3753323948068199</v>
      </c>
      <c r="Y17" s="23">
        <v>1.3022759807794699</v>
      </c>
      <c r="Z17" s="23">
        <v>1.36933340153839</v>
      </c>
      <c r="AB17" s="21">
        <v>166.509006902463</v>
      </c>
      <c r="AC17" s="21">
        <v>175.20221402190401</v>
      </c>
      <c r="AE17" s="22">
        <v>-5.4581955452310503E-2</v>
      </c>
      <c r="AF17" s="22">
        <v>-3.6905433862237302E-3</v>
      </c>
      <c r="CL17" s="7">
        <f t="shared" ref="CL17:CL22" si="3">CL16+0.005</f>
        <v>0.01</v>
      </c>
      <c r="CM17" s="8">
        <v>0.13979390046417989</v>
      </c>
      <c r="CN17" s="9">
        <v>-0.28570649630894235</v>
      </c>
      <c r="CO17" s="9">
        <v>-7.1772728305703679E-2</v>
      </c>
      <c r="CP17" s="9">
        <v>-5.6705511811316514E-2</v>
      </c>
      <c r="CQ17" s="9">
        <v>-1.457181110183061</v>
      </c>
      <c r="CR17" s="9">
        <v>-1.1062865492939453</v>
      </c>
      <c r="CS17" s="9">
        <v>0.20033157069873894</v>
      </c>
      <c r="CT17" s="9">
        <v>0.741580030769043</v>
      </c>
    </row>
    <row r="18" spans="1:98" x14ac:dyDescent="0.25">
      <c r="A18" s="1">
        <v>46049</v>
      </c>
      <c r="B18" s="21">
        <v>128.53</v>
      </c>
      <c r="C18" s="21">
        <v>176.9</v>
      </c>
      <c r="D18" s="22">
        <v>5.22642478345961E-3</v>
      </c>
      <c r="E18" s="22">
        <v>5.9532422457481797E-3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128.53</v>
      </c>
      <c r="M18" s="21">
        <v>176.9</v>
      </c>
      <c r="N18" s="23">
        <v>1.3763323737648701</v>
      </c>
      <c r="O18" s="23">
        <v>1.3022492118915701</v>
      </c>
      <c r="P18" s="23">
        <v>1.3686627576916099</v>
      </c>
      <c r="R18" s="21">
        <v>167.37809120442401</v>
      </c>
      <c r="S18" s="21">
        <v>176.00042209972901</v>
      </c>
      <c r="U18" s="22">
        <v>-5.5329328590525001E-2</v>
      </c>
      <c r="V18" s="22">
        <v>-5.0982078365435501E-3</v>
      </c>
      <c r="X18" s="23">
        <v>1.3763323737648701</v>
      </c>
      <c r="Y18" s="23">
        <v>1.3022759807794699</v>
      </c>
      <c r="Z18" s="23">
        <v>1.3686627576916099</v>
      </c>
      <c r="AB18" s="21">
        <v>167.381531809585</v>
      </c>
      <c r="AC18" s="21">
        <v>176.00042209972901</v>
      </c>
      <c r="AE18" s="22">
        <v>-5.5308772914599E-2</v>
      </c>
      <c r="AF18" s="22">
        <v>-5.0982078365435501E-3</v>
      </c>
      <c r="CL18" s="7">
        <f t="shared" si="3"/>
        <v>1.4999999999999999E-2</v>
      </c>
      <c r="CM18" s="8">
        <v>0.13979390046417989</v>
      </c>
      <c r="CN18" s="9">
        <v>-0.28570649630894235</v>
      </c>
      <c r="CO18" s="9">
        <v>-7.1772728305703679E-2</v>
      </c>
      <c r="CP18" s="9">
        <v>2.1614139635887368E-2</v>
      </c>
      <c r="CQ18" s="9">
        <v>-1.4101219484241085</v>
      </c>
      <c r="CR18" s="9">
        <v>-1.2405125263036942</v>
      </c>
      <c r="CS18" s="9">
        <v>4.8310375811150247E-2</v>
      </c>
      <c r="CT18" s="9">
        <v>0.58162215206775669</v>
      </c>
    </row>
    <row r="19" spans="1:98" x14ac:dyDescent="0.25">
      <c r="A19" s="1">
        <v>46050</v>
      </c>
      <c r="B19" s="21">
        <v>125.94</v>
      </c>
      <c r="C19" s="21">
        <v>174.03</v>
      </c>
      <c r="D19" s="22">
        <v>-2.0356737061443801E-2</v>
      </c>
      <c r="E19" s="22">
        <v>-1.63569030196569E-2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125.94</v>
      </c>
      <c r="M19" s="21">
        <v>174.03</v>
      </c>
      <c r="N19" s="23">
        <v>1.3818484992853699</v>
      </c>
      <c r="O19" s="23">
        <v>1.3022492118915701</v>
      </c>
      <c r="P19" s="23">
        <v>1.3685189842854699</v>
      </c>
      <c r="R19" s="21">
        <v>164.005265745624</v>
      </c>
      <c r="S19" s="21">
        <v>172.36938770368101</v>
      </c>
      <c r="U19" s="22">
        <v>-5.9329162632311999E-2</v>
      </c>
      <c r="V19" s="22">
        <v>-9.5879212070025793E-3</v>
      </c>
      <c r="X19" s="23">
        <v>1.3818484992853699</v>
      </c>
      <c r="Y19" s="23">
        <v>1.3022759807794699</v>
      </c>
      <c r="Z19" s="23">
        <v>1.3685189842854699</v>
      </c>
      <c r="AB19" s="21">
        <v>164.00863701936601</v>
      </c>
      <c r="AC19" s="21">
        <v>172.36938770368101</v>
      </c>
      <c r="AE19" s="22">
        <v>-5.9308606956385998E-2</v>
      </c>
      <c r="AF19" s="22">
        <v>-9.5879212070025793E-3</v>
      </c>
      <c r="BX19" s="2" t="s">
        <v>41</v>
      </c>
      <c r="BY19" s="2" t="s">
        <v>41</v>
      </c>
      <c r="CL19" s="7">
        <f t="shared" si="3"/>
        <v>0.02</v>
      </c>
      <c r="CM19" s="8">
        <v>0.13979390046417989</v>
      </c>
      <c r="CN19" s="9">
        <v>-0.28570649630894235</v>
      </c>
      <c r="CO19" s="9">
        <v>-7.1772728305703679E-2</v>
      </c>
      <c r="CP19" s="9">
        <v>2.1614139635887368E-2</v>
      </c>
      <c r="CQ19" s="9">
        <v>-1.5516925589040778</v>
      </c>
      <c r="CR19" s="9">
        <v>-1.1869283444501371</v>
      </c>
      <c r="CS19" s="9">
        <v>-0.57515316831944963</v>
      </c>
      <c r="CT19" s="9">
        <v>-3.367059790562503E-2</v>
      </c>
    </row>
    <row r="20" spans="1:98" x14ac:dyDescent="0.25">
      <c r="A20" s="1">
        <v>46051</v>
      </c>
      <c r="B20" s="21">
        <v>126.74</v>
      </c>
      <c r="C20" s="21">
        <v>174.25</v>
      </c>
      <c r="D20" s="22">
        <v>6.3321408347743599E-3</v>
      </c>
      <c r="E20" s="22">
        <v>1.26335149455057E-3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126.74</v>
      </c>
      <c r="M20" s="21">
        <v>174.25</v>
      </c>
      <c r="N20" s="23">
        <v>1.3748619220451299</v>
      </c>
      <c r="O20" s="23">
        <v>1.3022492118915701</v>
      </c>
      <c r="P20" s="23">
        <v>1.36972540989165</v>
      </c>
      <c r="R20" s="21">
        <v>165.047065115138</v>
      </c>
      <c r="S20" s="21">
        <v>173.44609606834001</v>
      </c>
      <c r="U20" s="22">
        <v>-5.4260373292088299E-2</v>
      </c>
      <c r="V20" s="22">
        <v>-4.6241840115225996E-3</v>
      </c>
      <c r="X20" s="23">
        <v>1.3748619220451299</v>
      </c>
      <c r="Y20" s="23">
        <v>1.3022759807794699</v>
      </c>
      <c r="Z20" s="23">
        <v>1.36972540989165</v>
      </c>
      <c r="AB20" s="21">
        <v>165.05045780399001</v>
      </c>
      <c r="AC20" s="21">
        <v>173.44609606834001</v>
      </c>
      <c r="AE20" s="22">
        <v>-5.4239817616162297E-2</v>
      </c>
      <c r="AF20" s="22">
        <v>-4.6241840115225996E-3</v>
      </c>
      <c r="AZ20" s="14" t="s">
        <v>42</v>
      </c>
      <c r="BA20" s="15">
        <v>-1.4999999999999999E-2</v>
      </c>
      <c r="BB20" s="2" t="s">
        <v>43</v>
      </c>
      <c r="BC20" s="2" t="s">
        <v>44</v>
      </c>
      <c r="BD20" s="2" t="s">
        <v>45</v>
      </c>
      <c r="BE20" s="2" t="s">
        <v>46</v>
      </c>
      <c r="BF20" s="2" t="s">
        <v>47</v>
      </c>
      <c r="BG20" s="2" t="str">
        <f>D1</f>
        <v>XBI log rtn</v>
      </c>
      <c r="BH20" s="2" t="str">
        <f>E1</f>
        <v>IBB log rtn</v>
      </c>
      <c r="BI20" s="2" t="s">
        <v>48</v>
      </c>
      <c r="BJ20" s="2" t="s">
        <v>49</v>
      </c>
      <c r="BL20" s="14" t="s">
        <v>42</v>
      </c>
      <c r="BM20" s="15">
        <v>3.5000000000000003E-2</v>
      </c>
      <c r="BN20" s="2" t="s">
        <v>44</v>
      </c>
      <c r="BO20" s="2" t="s">
        <v>43</v>
      </c>
      <c r="BP20" s="2" t="s">
        <v>45</v>
      </c>
      <c r="BQ20" s="2" t="s">
        <v>46</v>
      </c>
      <c r="BR20" s="2" t="s">
        <v>47</v>
      </c>
      <c r="BS20" s="4" t="str">
        <f>D1</f>
        <v>XBI log rtn</v>
      </c>
      <c r="BT20" s="4" t="str">
        <f>E1</f>
        <v>IBB log rtn</v>
      </c>
      <c r="BU20" s="2" t="s">
        <v>48</v>
      </c>
      <c r="BV20" s="2" t="s">
        <v>49</v>
      </c>
      <c r="BX20" s="2" t="s">
        <v>48</v>
      </c>
      <c r="BY20" s="2" t="s">
        <v>49</v>
      </c>
      <c r="CL20" s="7">
        <f t="shared" si="3"/>
        <v>2.5000000000000001E-2</v>
      </c>
      <c r="CM20" s="8">
        <v>0.13979390046417989</v>
      </c>
      <c r="CN20" s="9">
        <v>-0.28570649630894235</v>
      </c>
      <c r="CO20" s="9">
        <v>-7.1772728305703679E-2</v>
      </c>
      <c r="CP20" s="9">
        <v>2.1614139635887368E-2</v>
      </c>
      <c r="CQ20" s="9">
        <v>-1.5516925589040778</v>
      </c>
      <c r="CR20" s="9">
        <v>-1.2105830306244938</v>
      </c>
      <c r="CS20" s="9">
        <v>-0.20335096839933117</v>
      </c>
      <c r="CT20" s="9">
        <v>0.52546030480494033</v>
      </c>
    </row>
    <row r="21" spans="1:98" x14ac:dyDescent="0.25">
      <c r="A21" s="1">
        <v>46052</v>
      </c>
      <c r="B21" s="21">
        <v>124.75</v>
      </c>
      <c r="C21" s="21">
        <v>172.43</v>
      </c>
      <c r="D21" s="22">
        <v>-1.58260092637428E-2</v>
      </c>
      <c r="E21" s="22">
        <v>-1.04996926285929E-2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124.75</v>
      </c>
      <c r="M21" s="21">
        <v>172.43</v>
      </c>
      <c r="N21" s="23">
        <v>1.38220440881763</v>
      </c>
      <c r="O21" s="23">
        <v>1.3022492118915701</v>
      </c>
      <c r="P21" s="23">
        <v>1.3707846123335301</v>
      </c>
      <c r="Q21" s="23">
        <v>1.37848330737452</v>
      </c>
      <c r="R21" s="21">
        <v>162.45558918347299</v>
      </c>
      <c r="S21" s="21">
        <v>170.87324488398301</v>
      </c>
      <c r="U21" s="22">
        <v>-5.9586689927238E-2</v>
      </c>
      <c r="V21" s="22">
        <v>-9.0693333653211593E-3</v>
      </c>
      <c r="X21" s="23">
        <v>1.38220440881763</v>
      </c>
      <c r="Y21" s="23">
        <v>1.3022759807794699</v>
      </c>
      <c r="Z21" s="23">
        <v>1.3707846123335301</v>
      </c>
      <c r="AA21" s="23">
        <v>1.37848330737452</v>
      </c>
      <c r="AB21" s="21">
        <v>162.45892860223901</v>
      </c>
      <c r="AC21" s="21">
        <v>170.87324488398301</v>
      </c>
      <c r="AE21" s="22">
        <v>-5.9566134251312103E-2</v>
      </c>
      <c r="AF21" s="22">
        <v>-9.0693333653211593E-3</v>
      </c>
      <c r="BA21" s="15">
        <v>-0.01</v>
      </c>
      <c r="BE21">
        <f>IF(F22+H22&gt;0,0,1)</f>
        <v>1</v>
      </c>
      <c r="BF21" s="16">
        <v>0</v>
      </c>
      <c r="BM21" s="15">
        <v>0.02</v>
      </c>
      <c r="BQ21">
        <f>IF(F22+H22&gt;0,0,1)</f>
        <v>1</v>
      </c>
      <c r="BR21" s="16">
        <v>0</v>
      </c>
      <c r="CL21" s="7">
        <f t="shared" si="3"/>
        <v>3.0000000000000002E-2</v>
      </c>
      <c r="CM21" s="8">
        <v>0.13979390046417989</v>
      </c>
      <c r="CN21" s="9">
        <v>-0.28570649630894235</v>
      </c>
      <c r="CO21" s="9">
        <v>-7.1772728305703679E-2</v>
      </c>
      <c r="CP21" s="9">
        <v>2.1614139635887368E-2</v>
      </c>
      <c r="CQ21" s="9">
        <v>-1.5516925589040778</v>
      </c>
      <c r="CR21" s="9">
        <v>-1.2105830306244938</v>
      </c>
      <c r="CS21" s="9">
        <v>-0.20335096839933117</v>
      </c>
      <c r="CT21" s="9">
        <v>0.52546030480494033</v>
      </c>
    </row>
    <row r="22" spans="1:98" x14ac:dyDescent="0.25">
      <c r="A22" s="1">
        <v>46055</v>
      </c>
      <c r="B22" s="21">
        <v>127.35</v>
      </c>
      <c r="C22" s="21">
        <v>174.14</v>
      </c>
      <c r="D22" s="22">
        <v>2.0627466793837999E-2</v>
      </c>
      <c r="E22" s="22">
        <v>9.8682163884291508E-3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127.35</v>
      </c>
      <c r="M22" s="21">
        <v>174.14</v>
      </c>
      <c r="N22" s="23">
        <v>1.3674126423243</v>
      </c>
      <c r="O22" s="23">
        <v>1.3022492118915701</v>
      </c>
      <c r="P22" s="23">
        <v>1.3706600366561501</v>
      </c>
      <c r="Q22" s="23">
        <v>1.3773180606230599</v>
      </c>
      <c r="R22" s="21">
        <v>165.84143713439099</v>
      </c>
      <c r="S22" s="21">
        <v>174.56942038067501</v>
      </c>
      <c r="T22" s="21">
        <v>175.549849194145</v>
      </c>
      <c r="U22" s="22">
        <v>-4.8827439521829399E-2</v>
      </c>
      <c r="V22" s="22">
        <v>2.4629136619045799E-3</v>
      </c>
      <c r="W22" s="22">
        <v>8.0634701657267202E-3</v>
      </c>
      <c r="X22" s="23">
        <v>1.3674126423243</v>
      </c>
      <c r="Y22" s="23">
        <v>1.3022759807794699</v>
      </c>
      <c r="Z22" s="23">
        <v>1.3706600366561501</v>
      </c>
      <c r="AA22" s="23">
        <v>1.3773180606230599</v>
      </c>
      <c r="AB22" s="21">
        <v>165.844846152266</v>
      </c>
      <c r="AC22" s="21">
        <v>174.56942038067501</v>
      </c>
      <c r="AD22" s="21">
        <v>175.549849194145</v>
      </c>
      <c r="AE22" s="22">
        <v>-4.8806883845903398E-2</v>
      </c>
      <c r="AF22" s="22">
        <v>2.4629136619045799E-3</v>
      </c>
      <c r="AG22" s="22">
        <v>8.0634701657267202E-3</v>
      </c>
      <c r="AZ22" s="17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4">IF(F23+H23&gt;0,0,1)</f>
        <v>1</v>
      </c>
      <c r="BF22">
        <f>IF(BB21,1,IF(BC21,0,BD21))*BE21</f>
        <v>0</v>
      </c>
      <c r="BG22" s="17">
        <f>BF22*D22</f>
        <v>0</v>
      </c>
      <c r="BH22" s="17">
        <f>-BF22*$E22</f>
        <v>0</v>
      </c>
      <c r="BI22" s="17">
        <f>BG22+BH22</f>
        <v>0</v>
      </c>
      <c r="BJ22" s="11">
        <f>BJ21+BI22</f>
        <v>0</v>
      </c>
      <c r="BL22" s="17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5">IF(F23+H23&gt;0,0,1)</f>
        <v>1</v>
      </c>
      <c r="BR22">
        <f>IF(BN21,1,IF(BO21,0,BP21))*BQ21</f>
        <v>0</v>
      </c>
      <c r="BS22" s="17">
        <f>-BR22*D22</f>
        <v>0</v>
      </c>
      <c r="BT22" s="17">
        <f>BR22*$E22</f>
        <v>0</v>
      </c>
      <c r="BU22" s="17">
        <f>BS22+BT22</f>
        <v>0</v>
      </c>
      <c r="BV22" s="11">
        <f>BV21+BU22</f>
        <v>0</v>
      </c>
      <c r="BX22" s="11">
        <f>BI22+BU22</f>
        <v>0</v>
      </c>
      <c r="BY22" s="11">
        <f>BY21+BX22</f>
        <v>0</v>
      </c>
      <c r="CL22" s="7">
        <f t="shared" si="3"/>
        <v>3.5000000000000003E-2</v>
      </c>
      <c r="CM22" s="8">
        <v>0.13979390046417989</v>
      </c>
      <c r="CN22" s="8">
        <v>-0.28570649630894235</v>
      </c>
      <c r="CO22" s="8">
        <v>-7.1772728305703679E-2</v>
      </c>
      <c r="CP22" s="8">
        <v>2.1614139635887368E-2</v>
      </c>
      <c r="CQ22" s="8">
        <v>-1.5516925589040778</v>
      </c>
      <c r="CR22" s="8">
        <v>-1.2105830306244938</v>
      </c>
      <c r="CS22" s="8">
        <v>-0.20335096839933117</v>
      </c>
      <c r="CT22" s="8">
        <v>0.19962012531389228</v>
      </c>
    </row>
    <row r="23" spans="1:98" x14ac:dyDescent="0.25">
      <c r="A23" s="1">
        <v>46056</v>
      </c>
      <c r="B23" s="21">
        <v>127.65</v>
      </c>
      <c r="C23" s="21">
        <v>173.8</v>
      </c>
      <c r="D23" s="22">
        <v>2.3529422620268301E-3</v>
      </c>
      <c r="E23" s="22">
        <v>-1.9543605691777701E-3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127.65</v>
      </c>
      <c r="M23" s="21">
        <v>173.8</v>
      </c>
      <c r="N23" s="23">
        <v>1.3615354484919699</v>
      </c>
      <c r="O23" s="23">
        <v>1.3022492118915701</v>
      </c>
      <c r="P23" s="23">
        <v>1.3705537044201801</v>
      </c>
      <c r="Q23" s="23">
        <v>1.37575688048835</v>
      </c>
      <c r="R23" s="21">
        <v>166.23211189795899</v>
      </c>
      <c r="S23" s="21">
        <v>174.96475367915801</v>
      </c>
      <c r="T23" s="21">
        <v>175.81465043853299</v>
      </c>
      <c r="U23" s="22">
        <v>-4.4520136690624698E-2</v>
      </c>
      <c r="V23" s="22">
        <v>6.6793332593297998E-3</v>
      </c>
      <c r="W23" s="22">
        <v>1.15251047753844E-2</v>
      </c>
      <c r="X23" s="23">
        <v>1.3615354484919699</v>
      </c>
      <c r="Y23" s="23">
        <v>1.3022759807794699</v>
      </c>
      <c r="Z23" s="23">
        <v>1.3705537044201801</v>
      </c>
      <c r="AA23" s="23">
        <v>1.37575688048835</v>
      </c>
      <c r="AB23" s="21">
        <v>166.23552894649899</v>
      </c>
      <c r="AC23" s="21">
        <v>174.96475367915801</v>
      </c>
      <c r="AD23" s="21">
        <v>175.81465043853299</v>
      </c>
      <c r="AE23" s="22">
        <v>-4.4499581014698801E-2</v>
      </c>
      <c r="AF23" s="22">
        <v>6.6793332593297998E-3</v>
      </c>
      <c r="AG23" s="22">
        <v>1.15251047753844E-2</v>
      </c>
      <c r="AZ23" s="17"/>
      <c r="BB23">
        <f t="shared" ref="BB23:BB86" si="6">IF($AG23&lt;BA$20,1,0)</f>
        <v>0</v>
      </c>
      <c r="BC23">
        <f t="shared" ref="BC23:BC86" si="7">IF($AG23&gt;BA$21,1,0)</f>
        <v>1</v>
      </c>
      <c r="BD23">
        <f t="shared" ref="BD23:BD86" si="8">BF23</f>
        <v>0</v>
      </c>
      <c r="BE23">
        <f t="shared" si="4"/>
        <v>1</v>
      </c>
      <c r="BF23">
        <f t="shared" ref="BF23:BF86" si="9">IF(BB22,1,IF(BC22,0,BD22))*BE22</f>
        <v>0</v>
      </c>
      <c r="BG23" s="17">
        <f t="shared" ref="BG23:BG86" si="10">BF23*D23</f>
        <v>0</v>
      </c>
      <c r="BH23" s="17">
        <f t="shared" ref="BH23:BH86" si="11">-BF23*$E23</f>
        <v>0</v>
      </c>
      <c r="BI23" s="17">
        <f t="shared" ref="BI23:BI86" si="12">BG23+BH23</f>
        <v>0</v>
      </c>
      <c r="BJ23" s="11">
        <f t="shared" ref="BJ23:BJ86" si="13">BJ22+BI23</f>
        <v>0</v>
      </c>
      <c r="BL23" s="17"/>
      <c r="BN23">
        <f t="shared" ref="BN23:BN86" si="14">IF($AG23&gt;BM$20,1,0)</f>
        <v>0</v>
      </c>
      <c r="BO23">
        <f t="shared" ref="BO23:BO86" si="15">IF($AG23&lt;BM$21,1,0)</f>
        <v>1</v>
      </c>
      <c r="BP23">
        <f t="shared" ref="BP23:BP86" si="16">BR23</f>
        <v>0</v>
      </c>
      <c r="BQ23">
        <f t="shared" si="5"/>
        <v>1</v>
      </c>
      <c r="BR23">
        <f t="shared" ref="BR23:BR86" si="17">IF(BN22,1,IF(BO22,0,BP22))*BQ22</f>
        <v>0</v>
      </c>
      <c r="BS23" s="17">
        <f t="shared" ref="BS23:BS86" si="18">-BR23*D23</f>
        <v>0</v>
      </c>
      <c r="BT23" s="17">
        <f t="shared" ref="BT23:BT86" si="19">BR23*$E23</f>
        <v>0</v>
      </c>
      <c r="BU23" s="17">
        <f t="shared" ref="BU23:BU86" si="20">BS23+BT23</f>
        <v>0</v>
      </c>
      <c r="BV23" s="11">
        <f t="shared" ref="BV23:BV86" si="21">BV22+BU23</f>
        <v>0</v>
      </c>
      <c r="BX23" s="11">
        <f t="shared" ref="BX23:BX86" si="22">BI23+BU23</f>
        <v>0</v>
      </c>
      <c r="BY23" s="11">
        <f t="shared" ref="BY23:BY86" si="23">BY22+BX23</f>
        <v>0</v>
      </c>
      <c r="CL23" t="s">
        <v>38</v>
      </c>
    </row>
    <row r="24" spans="1:98" x14ac:dyDescent="0.25">
      <c r="A24" s="1">
        <v>46057</v>
      </c>
      <c r="B24" s="21">
        <v>125.29</v>
      </c>
      <c r="C24" s="21">
        <v>174.05</v>
      </c>
      <c r="D24" s="22">
        <v>-1.86610934300314E-2</v>
      </c>
      <c r="E24" s="22">
        <v>1.4374014261562299E-3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125.29</v>
      </c>
      <c r="M24" s="21">
        <v>174.05</v>
      </c>
      <c r="N24" s="23">
        <v>1.3891771091068701</v>
      </c>
      <c r="O24" s="23">
        <v>1.3022492118915701</v>
      </c>
      <c r="P24" s="23">
        <v>1.3728198316204601</v>
      </c>
      <c r="Q24" s="23">
        <v>1.37508714228328</v>
      </c>
      <c r="R24" s="21">
        <v>163.15880375789499</v>
      </c>
      <c r="S24" s="21">
        <v>171.716673626805</v>
      </c>
      <c r="T24" s="21">
        <v>172.36857955638601</v>
      </c>
      <c r="U24" s="22">
        <v>-6.4618631546812494E-2</v>
      </c>
      <c r="V24" s="22">
        <v>-1.3496742001789901E-2</v>
      </c>
      <c r="W24" s="22">
        <v>-9.7075257911902399E-3</v>
      </c>
      <c r="X24" s="23">
        <v>1.3891771091068701</v>
      </c>
      <c r="Y24" s="23">
        <v>1.3022759807794699</v>
      </c>
      <c r="Z24" s="23">
        <v>1.3728198316204601</v>
      </c>
      <c r="AA24" s="23">
        <v>1.37508714228328</v>
      </c>
      <c r="AB24" s="21">
        <v>163.16215763186</v>
      </c>
      <c r="AC24" s="21">
        <v>171.716673626805</v>
      </c>
      <c r="AD24" s="21">
        <v>172.36857955638601</v>
      </c>
      <c r="AE24" s="22">
        <v>-6.4598075870886507E-2</v>
      </c>
      <c r="AF24" s="22">
        <v>-1.3496742001789901E-2</v>
      </c>
      <c r="AG24" s="22">
        <v>-9.7075257911902399E-3</v>
      </c>
      <c r="AZ24" s="17"/>
      <c r="BB24">
        <f t="shared" si="6"/>
        <v>0</v>
      </c>
      <c r="BC24">
        <f t="shared" si="7"/>
        <v>1</v>
      </c>
      <c r="BD24">
        <f t="shared" si="8"/>
        <v>0</v>
      </c>
      <c r="BE24">
        <f t="shared" si="4"/>
        <v>1</v>
      </c>
      <c r="BF24">
        <f t="shared" si="9"/>
        <v>0</v>
      </c>
      <c r="BG24" s="17">
        <f t="shared" si="10"/>
        <v>0</v>
      </c>
      <c r="BH24" s="17">
        <f t="shared" si="11"/>
        <v>0</v>
      </c>
      <c r="BI24" s="17">
        <f t="shared" si="12"/>
        <v>0</v>
      </c>
      <c r="BJ24" s="11">
        <f t="shared" si="13"/>
        <v>0</v>
      </c>
      <c r="BL24" s="17"/>
      <c r="BN24">
        <f t="shared" si="14"/>
        <v>0</v>
      </c>
      <c r="BO24">
        <f t="shared" si="15"/>
        <v>1</v>
      </c>
      <c r="BP24">
        <f t="shared" si="16"/>
        <v>0</v>
      </c>
      <c r="BQ24">
        <f t="shared" si="5"/>
        <v>1</v>
      </c>
      <c r="BR24">
        <f t="shared" si="17"/>
        <v>0</v>
      </c>
      <c r="BS24" s="17">
        <f t="shared" si="18"/>
        <v>0</v>
      </c>
      <c r="BT24" s="17">
        <f t="shared" si="19"/>
        <v>0</v>
      </c>
      <c r="BU24" s="17">
        <f t="shared" si="20"/>
        <v>0</v>
      </c>
      <c r="BV24" s="11">
        <f t="shared" si="21"/>
        <v>0</v>
      </c>
      <c r="BX24" s="11">
        <f t="shared" si="22"/>
        <v>0</v>
      </c>
      <c r="BY24" s="11">
        <f t="shared" si="23"/>
        <v>0</v>
      </c>
    </row>
    <row r="25" spans="1:98" x14ac:dyDescent="0.25">
      <c r="A25" s="1">
        <v>46058</v>
      </c>
      <c r="B25" s="21">
        <v>120.72</v>
      </c>
      <c r="C25" s="21">
        <v>170.04</v>
      </c>
      <c r="D25" s="22">
        <v>-3.7157235797867803E-2</v>
      </c>
      <c r="E25" s="22">
        <v>-2.33089107668586E-2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120.72</v>
      </c>
      <c r="M25" s="21">
        <v>170.04</v>
      </c>
      <c r="N25" s="23">
        <v>1.40854870775347</v>
      </c>
      <c r="O25" s="23">
        <v>1.3022492118915701</v>
      </c>
      <c r="P25" s="23">
        <v>1.3786591213363</v>
      </c>
      <c r="Q25" s="23">
        <v>1.37561819231938</v>
      </c>
      <c r="R25" s="21">
        <v>157.20752485955001</v>
      </c>
      <c r="S25" s="21">
        <v>165.726810073222</v>
      </c>
      <c r="T25" s="21">
        <v>166.00051981643799</v>
      </c>
      <c r="U25" s="22">
        <v>-7.8466956577821698E-2</v>
      </c>
      <c r="V25" s="22">
        <v>-2.5692993273298499E-2</v>
      </c>
      <c r="W25" s="22">
        <v>-2.4042783714620802E-2</v>
      </c>
      <c r="X25" s="23">
        <v>1.40854870775347</v>
      </c>
      <c r="Y25" s="23">
        <v>1.3022759807794699</v>
      </c>
      <c r="Z25" s="23">
        <v>1.3786591213363</v>
      </c>
      <c r="AA25" s="23">
        <v>1.37561819231938</v>
      </c>
      <c r="AB25" s="21">
        <v>157.210756399698</v>
      </c>
      <c r="AC25" s="21">
        <v>165.726810073222</v>
      </c>
      <c r="AD25" s="21">
        <v>166.00051981643799</v>
      </c>
      <c r="AE25" s="22">
        <v>-7.8446400901895794E-2</v>
      </c>
      <c r="AF25" s="22">
        <v>-2.5692993273298499E-2</v>
      </c>
      <c r="AG25" s="22">
        <v>-2.4042783714620802E-2</v>
      </c>
      <c r="AZ25" s="17"/>
      <c r="BB25">
        <f t="shared" si="6"/>
        <v>1</v>
      </c>
      <c r="BC25">
        <f t="shared" si="7"/>
        <v>0</v>
      </c>
      <c r="BD25">
        <f t="shared" si="8"/>
        <v>0</v>
      </c>
      <c r="BE25">
        <f t="shared" si="4"/>
        <v>1</v>
      </c>
      <c r="BF25">
        <f t="shared" si="9"/>
        <v>0</v>
      </c>
      <c r="BG25" s="17">
        <f t="shared" si="10"/>
        <v>0</v>
      </c>
      <c r="BH25" s="17">
        <f t="shared" si="11"/>
        <v>0</v>
      </c>
      <c r="BI25" s="17">
        <f t="shared" si="12"/>
        <v>0</v>
      </c>
      <c r="BJ25" s="11">
        <f t="shared" si="13"/>
        <v>0</v>
      </c>
      <c r="BL25" s="17"/>
      <c r="BN25">
        <f t="shared" si="14"/>
        <v>0</v>
      </c>
      <c r="BO25">
        <f t="shared" si="15"/>
        <v>1</v>
      </c>
      <c r="BP25">
        <f t="shared" si="16"/>
        <v>0</v>
      </c>
      <c r="BQ25">
        <f t="shared" si="5"/>
        <v>1</v>
      </c>
      <c r="BR25">
        <f t="shared" si="17"/>
        <v>0</v>
      </c>
      <c r="BS25" s="17">
        <f t="shared" si="18"/>
        <v>0</v>
      </c>
      <c r="BT25" s="17">
        <f t="shared" si="19"/>
        <v>0</v>
      </c>
      <c r="BU25" s="17">
        <f t="shared" si="20"/>
        <v>0</v>
      </c>
      <c r="BV25" s="11">
        <f t="shared" si="21"/>
        <v>0</v>
      </c>
      <c r="BX25" s="11">
        <f t="shared" si="22"/>
        <v>0</v>
      </c>
      <c r="BY25" s="11">
        <f t="shared" si="23"/>
        <v>0</v>
      </c>
      <c r="CL25" s="7"/>
      <c r="CM25" s="7"/>
      <c r="CN25" s="7"/>
      <c r="CO25" s="7"/>
      <c r="CP25" s="7"/>
      <c r="CQ25" s="7"/>
      <c r="CR25" s="7"/>
      <c r="CS25" s="7"/>
      <c r="CT25" s="7"/>
    </row>
    <row r="26" spans="1:98" x14ac:dyDescent="0.25">
      <c r="A26" s="1">
        <v>46059</v>
      </c>
      <c r="B26" s="21">
        <v>125.51</v>
      </c>
      <c r="C26" s="21">
        <v>174.98</v>
      </c>
      <c r="D26" s="22">
        <v>3.8911622212761503E-2</v>
      </c>
      <c r="E26" s="22">
        <v>2.8637978187529101E-2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125.51</v>
      </c>
      <c r="M26" s="21">
        <v>174.98</v>
      </c>
      <c r="N26" s="23">
        <v>1.39415186040952</v>
      </c>
      <c r="O26" s="23">
        <v>1.3022492118915701</v>
      </c>
      <c r="P26" s="23">
        <v>1.38114053668059</v>
      </c>
      <c r="Q26" s="23">
        <v>1.3757032810960601</v>
      </c>
      <c r="R26" s="21">
        <v>163.44529858451099</v>
      </c>
      <c r="S26" s="21">
        <v>173.035506318919</v>
      </c>
      <c r="T26" s="21">
        <v>172.653839318005</v>
      </c>
      <c r="U26" s="22">
        <v>-6.8193312552589397E-2</v>
      </c>
      <c r="V26" s="22">
        <v>-1.1174869401263301E-2</v>
      </c>
      <c r="W26" s="22">
        <v>-1.33830205104177E-2</v>
      </c>
      <c r="X26" s="23">
        <v>1.39415186040952</v>
      </c>
      <c r="Y26" s="23">
        <v>1.3022759807794699</v>
      </c>
      <c r="Z26" s="23">
        <v>1.38114053668059</v>
      </c>
      <c r="AA26" s="23">
        <v>1.3757032810960601</v>
      </c>
      <c r="AB26" s="21">
        <v>163.44865834763101</v>
      </c>
      <c r="AC26" s="21">
        <v>173.035506318919</v>
      </c>
      <c r="AD26" s="21">
        <v>172.653839318005</v>
      </c>
      <c r="AE26" s="22">
        <v>-6.8172756876663507E-2</v>
      </c>
      <c r="AF26" s="22">
        <v>-1.1174869401263301E-2</v>
      </c>
      <c r="AG26" s="22">
        <v>-1.33830205104177E-2</v>
      </c>
      <c r="AZ26" s="17"/>
      <c r="BB26">
        <f t="shared" si="6"/>
        <v>0</v>
      </c>
      <c r="BC26">
        <f t="shared" si="7"/>
        <v>0</v>
      </c>
      <c r="BD26">
        <f t="shared" si="8"/>
        <v>1</v>
      </c>
      <c r="BE26">
        <f t="shared" si="4"/>
        <v>1</v>
      </c>
      <c r="BF26">
        <f t="shared" si="9"/>
        <v>1</v>
      </c>
      <c r="BG26" s="17">
        <f t="shared" si="10"/>
        <v>3.8911622212761503E-2</v>
      </c>
      <c r="BH26" s="17">
        <f t="shared" si="11"/>
        <v>-2.8637978187529101E-2</v>
      </c>
      <c r="BI26" s="17">
        <f t="shared" si="12"/>
        <v>1.0273644025232401E-2</v>
      </c>
      <c r="BJ26" s="11">
        <f t="shared" si="13"/>
        <v>1.0273644025232401E-2</v>
      </c>
      <c r="BL26" s="17"/>
      <c r="BN26">
        <f t="shared" si="14"/>
        <v>0</v>
      </c>
      <c r="BO26">
        <f t="shared" si="15"/>
        <v>1</v>
      </c>
      <c r="BP26">
        <f t="shared" si="16"/>
        <v>0</v>
      </c>
      <c r="BQ26">
        <f t="shared" si="5"/>
        <v>1</v>
      </c>
      <c r="BR26">
        <f t="shared" si="17"/>
        <v>0</v>
      </c>
      <c r="BS26" s="17">
        <f t="shared" si="18"/>
        <v>0</v>
      </c>
      <c r="BT26" s="17">
        <f t="shared" si="19"/>
        <v>0</v>
      </c>
      <c r="BU26" s="17">
        <f t="shared" si="20"/>
        <v>0</v>
      </c>
      <c r="BV26" s="11">
        <f t="shared" si="21"/>
        <v>0</v>
      </c>
      <c r="BX26" s="11">
        <f t="shared" si="22"/>
        <v>1.0273644025232401E-2</v>
      </c>
      <c r="BY26" s="11">
        <f t="shared" si="23"/>
        <v>1.0273644025232401E-2</v>
      </c>
      <c r="CL26" s="7"/>
      <c r="CM26" s="8"/>
      <c r="CN26" s="8"/>
      <c r="CO26" s="8"/>
      <c r="CP26" s="8"/>
      <c r="CQ26" s="8"/>
      <c r="CR26" s="8"/>
      <c r="CS26" s="8"/>
      <c r="CT26" s="8"/>
    </row>
    <row r="27" spans="1:98" x14ac:dyDescent="0.25">
      <c r="A27" s="1">
        <v>46062</v>
      </c>
      <c r="B27" s="21">
        <v>126.11</v>
      </c>
      <c r="C27" s="21">
        <v>174.37</v>
      </c>
      <c r="D27" s="22">
        <v>4.7691052954282097E-3</v>
      </c>
      <c r="E27" s="22">
        <v>-3.4922033487159998E-3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126.11</v>
      </c>
      <c r="M27" s="21">
        <v>174.37</v>
      </c>
      <c r="N27" s="23">
        <v>1.3826817857425999</v>
      </c>
      <c r="O27" s="23">
        <v>1.3022492118915701</v>
      </c>
      <c r="P27" s="23">
        <v>1.38187547577417</v>
      </c>
      <c r="Q27" s="23">
        <v>1.37560443865628</v>
      </c>
      <c r="R27" s="21">
        <v>164.226648111646</v>
      </c>
      <c r="S27" s="21">
        <v>174.17563308078999</v>
      </c>
      <c r="T27" s="21">
        <v>173.48994077902401</v>
      </c>
      <c r="U27" s="22">
        <v>-5.9932003908445101E-2</v>
      </c>
      <c r="V27" s="22">
        <v>-1.1153026801074199E-3</v>
      </c>
      <c r="W27" s="22">
        <v>-5.0598588421687596E-3</v>
      </c>
      <c r="X27" s="23">
        <v>1.3826817857425999</v>
      </c>
      <c r="Y27" s="23">
        <v>1.3022759807794699</v>
      </c>
      <c r="Z27" s="23">
        <v>1.38187547577417</v>
      </c>
      <c r="AA27" s="23">
        <v>1.37560443865628</v>
      </c>
      <c r="AB27" s="21">
        <v>164.230023936099</v>
      </c>
      <c r="AC27" s="21">
        <v>174.17563308078999</v>
      </c>
      <c r="AD27" s="21">
        <v>173.48994077902401</v>
      </c>
      <c r="AE27" s="22">
        <v>-5.9911448232519197E-2</v>
      </c>
      <c r="AF27" s="22">
        <v>-1.1153026801074199E-3</v>
      </c>
      <c r="AG27" s="22">
        <v>-5.0598588421687596E-3</v>
      </c>
      <c r="AZ27" s="17"/>
      <c r="BB27">
        <f t="shared" si="6"/>
        <v>0</v>
      </c>
      <c r="BC27">
        <f t="shared" si="7"/>
        <v>1</v>
      </c>
      <c r="BD27">
        <f t="shared" si="8"/>
        <v>1</v>
      </c>
      <c r="BE27">
        <f t="shared" si="4"/>
        <v>1</v>
      </c>
      <c r="BF27">
        <f t="shared" si="9"/>
        <v>1</v>
      </c>
      <c r="BG27" s="17">
        <f t="shared" si="10"/>
        <v>4.7691052954282097E-3</v>
      </c>
      <c r="BH27" s="17">
        <f t="shared" si="11"/>
        <v>3.4922033487159998E-3</v>
      </c>
      <c r="BI27" s="17">
        <f t="shared" si="12"/>
        <v>8.2613086441442087E-3</v>
      </c>
      <c r="BJ27" s="11">
        <f t="shared" si="13"/>
        <v>1.853495266937661E-2</v>
      </c>
      <c r="BL27" s="17"/>
      <c r="BN27">
        <f t="shared" si="14"/>
        <v>0</v>
      </c>
      <c r="BO27">
        <f t="shared" si="15"/>
        <v>1</v>
      </c>
      <c r="BP27">
        <f t="shared" si="16"/>
        <v>0</v>
      </c>
      <c r="BQ27">
        <f t="shared" si="5"/>
        <v>1</v>
      </c>
      <c r="BR27">
        <f t="shared" si="17"/>
        <v>0</v>
      </c>
      <c r="BS27" s="17">
        <f t="shared" si="18"/>
        <v>0</v>
      </c>
      <c r="BT27" s="17">
        <f t="shared" si="19"/>
        <v>0</v>
      </c>
      <c r="BU27" s="17">
        <f t="shared" si="20"/>
        <v>0</v>
      </c>
      <c r="BV27" s="11">
        <f t="shared" si="21"/>
        <v>0</v>
      </c>
      <c r="BX27" s="11">
        <f t="shared" si="22"/>
        <v>8.2613086441442087E-3</v>
      </c>
      <c r="BY27" s="11">
        <f t="shared" si="23"/>
        <v>1.853495266937661E-2</v>
      </c>
      <c r="CL27" s="7"/>
      <c r="CM27" s="8"/>
      <c r="CN27" s="8"/>
      <c r="CO27" s="8"/>
      <c r="CP27" s="8"/>
      <c r="CQ27" s="8"/>
      <c r="CR27" s="8"/>
      <c r="CS27" s="8"/>
      <c r="CT27" s="8"/>
    </row>
    <row r="28" spans="1:98" ht="15.75" thickBot="1" x14ac:dyDescent="0.3">
      <c r="A28" s="1">
        <v>46063</v>
      </c>
      <c r="B28" s="21">
        <v>125.34</v>
      </c>
      <c r="C28" s="21">
        <v>172.06</v>
      </c>
      <c r="D28" s="22">
        <v>-6.1244971712537E-3</v>
      </c>
      <c r="E28" s="22">
        <v>-1.3336225136200299E-2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125.34</v>
      </c>
      <c r="M28" s="21">
        <v>172.06</v>
      </c>
      <c r="N28" s="23">
        <v>1.37274613052497</v>
      </c>
      <c r="O28" s="23">
        <v>1.3022492118915701</v>
      </c>
      <c r="P28" s="23">
        <v>1.3815168514501801</v>
      </c>
      <c r="Q28" s="23">
        <v>1.3750898045708899</v>
      </c>
      <c r="R28" s="21">
        <v>163.22391621848899</v>
      </c>
      <c r="S28" s="21">
        <v>173.204272133535</v>
      </c>
      <c r="T28" s="21">
        <v>172.41826034117801</v>
      </c>
      <c r="U28" s="22">
        <v>-5.2720275943498401E-2</v>
      </c>
      <c r="V28" s="22">
        <v>6.6284085289451296E-3</v>
      </c>
      <c r="W28" s="22">
        <v>2.0800178797415799E-3</v>
      </c>
      <c r="X28" s="23">
        <v>1.37274613052497</v>
      </c>
      <c r="Y28" s="23">
        <v>1.3022759807794699</v>
      </c>
      <c r="Z28" s="23">
        <v>1.3815168514501801</v>
      </c>
      <c r="AA28" s="23">
        <v>1.3750898045708899</v>
      </c>
      <c r="AB28" s="21">
        <v>163.22727143089901</v>
      </c>
      <c r="AC28" s="21">
        <v>173.204272133535</v>
      </c>
      <c r="AD28" s="21">
        <v>172.41826034117801</v>
      </c>
      <c r="AE28" s="22">
        <v>-5.2699720267572601E-2</v>
      </c>
      <c r="AF28" s="22">
        <v>6.6284085289451296E-3</v>
      </c>
      <c r="AG28" s="22">
        <v>2.0800178797415799E-3</v>
      </c>
      <c r="AZ28" s="17"/>
      <c r="BB28">
        <f t="shared" si="6"/>
        <v>0</v>
      </c>
      <c r="BC28">
        <f t="shared" si="7"/>
        <v>1</v>
      </c>
      <c r="BD28">
        <f t="shared" si="8"/>
        <v>0</v>
      </c>
      <c r="BE28">
        <f t="shared" si="4"/>
        <v>1</v>
      </c>
      <c r="BF28">
        <f t="shared" si="9"/>
        <v>0</v>
      </c>
      <c r="BG28" s="17">
        <f t="shared" si="10"/>
        <v>0</v>
      </c>
      <c r="BH28" s="17">
        <f t="shared" si="11"/>
        <v>0</v>
      </c>
      <c r="BI28" s="17">
        <f t="shared" si="12"/>
        <v>0</v>
      </c>
      <c r="BJ28" s="11">
        <f t="shared" si="13"/>
        <v>1.853495266937661E-2</v>
      </c>
      <c r="BL28" s="17"/>
      <c r="BN28">
        <f t="shared" si="14"/>
        <v>0</v>
      </c>
      <c r="BO28">
        <f t="shared" si="15"/>
        <v>1</v>
      </c>
      <c r="BP28">
        <f t="shared" si="16"/>
        <v>0</v>
      </c>
      <c r="BQ28">
        <f t="shared" si="5"/>
        <v>1</v>
      </c>
      <c r="BR28">
        <f t="shared" si="17"/>
        <v>0</v>
      </c>
      <c r="BS28" s="17">
        <f t="shared" si="18"/>
        <v>0</v>
      </c>
      <c r="BT28" s="17">
        <f t="shared" si="19"/>
        <v>0</v>
      </c>
      <c r="BU28" s="17">
        <f t="shared" si="20"/>
        <v>0</v>
      </c>
      <c r="BV28" s="11">
        <f t="shared" si="21"/>
        <v>0</v>
      </c>
      <c r="BX28" s="11">
        <f t="shared" si="22"/>
        <v>0</v>
      </c>
      <c r="BY28" s="11">
        <f t="shared" si="23"/>
        <v>1.853495266937661E-2</v>
      </c>
      <c r="CL28" s="7"/>
      <c r="CM28" s="8"/>
      <c r="CN28" s="8"/>
      <c r="CO28" s="8"/>
      <c r="CP28" s="9"/>
      <c r="CQ28" s="8"/>
      <c r="CR28" s="8"/>
      <c r="CS28" s="8"/>
      <c r="CT28" s="8"/>
    </row>
    <row r="29" spans="1:98" ht="15.75" thickBot="1" x14ac:dyDescent="0.3">
      <c r="A29" s="1">
        <v>46064</v>
      </c>
      <c r="B29" s="21">
        <v>124.65</v>
      </c>
      <c r="C29" s="21">
        <v>172.7</v>
      </c>
      <c r="D29" s="22">
        <v>-5.5202348269625199E-3</v>
      </c>
      <c r="E29" s="22">
        <v>3.7127319594306798E-3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124.65</v>
      </c>
      <c r="M29" s="21">
        <v>172.7</v>
      </c>
      <c r="N29" s="23">
        <v>1.38547934215804</v>
      </c>
      <c r="O29" s="23">
        <v>1.3022492118915701</v>
      </c>
      <c r="P29" s="23">
        <v>1.38187993573745</v>
      </c>
      <c r="Q29" s="23">
        <v>1.3751994600114601</v>
      </c>
      <c r="R29" s="21">
        <v>162.32536426228401</v>
      </c>
      <c r="S29" s="21">
        <v>172.20607553326499</v>
      </c>
      <c r="T29" s="21">
        <v>171.40494413976199</v>
      </c>
      <c r="U29" s="22">
        <v>-6.1953242729891798E-2</v>
      </c>
      <c r="V29" s="22">
        <v>-2.86411193896528E-3</v>
      </c>
      <c r="W29" s="22">
        <v>-7.5271337820944596E-3</v>
      </c>
      <c r="X29" s="23">
        <v>1.38547934215804</v>
      </c>
      <c r="Y29" s="23">
        <v>1.3022759807794699</v>
      </c>
      <c r="Z29" s="23">
        <v>1.38187993573745</v>
      </c>
      <c r="AA29" s="23">
        <v>1.3751994600114601</v>
      </c>
      <c r="AB29" s="21">
        <v>162.32870100416099</v>
      </c>
      <c r="AC29" s="21">
        <v>172.20607553326499</v>
      </c>
      <c r="AD29" s="21">
        <v>171.40494413976199</v>
      </c>
      <c r="AE29" s="22">
        <v>-6.19326870539657E-2</v>
      </c>
      <c r="AF29" s="22">
        <v>-2.86411193896528E-3</v>
      </c>
      <c r="AG29" s="22">
        <v>-7.5271337820944596E-3</v>
      </c>
      <c r="AZ29" s="17"/>
      <c r="BB29">
        <f t="shared" si="6"/>
        <v>0</v>
      </c>
      <c r="BC29">
        <f t="shared" si="7"/>
        <v>1</v>
      </c>
      <c r="BD29">
        <f t="shared" si="8"/>
        <v>0</v>
      </c>
      <c r="BE29">
        <f t="shared" si="4"/>
        <v>1</v>
      </c>
      <c r="BF29">
        <f t="shared" si="9"/>
        <v>0</v>
      </c>
      <c r="BG29" s="17">
        <f t="shared" si="10"/>
        <v>0</v>
      </c>
      <c r="BH29" s="17">
        <f t="shared" si="11"/>
        <v>0</v>
      </c>
      <c r="BI29" s="17">
        <f t="shared" si="12"/>
        <v>0</v>
      </c>
      <c r="BJ29" s="11">
        <f t="shared" si="13"/>
        <v>1.853495266937661E-2</v>
      </c>
      <c r="BL29" s="17"/>
      <c r="BN29">
        <f t="shared" si="14"/>
        <v>0</v>
      </c>
      <c r="BO29">
        <f t="shared" si="15"/>
        <v>1</v>
      </c>
      <c r="BP29">
        <f t="shared" si="16"/>
        <v>0</v>
      </c>
      <c r="BQ29">
        <f t="shared" si="5"/>
        <v>1</v>
      </c>
      <c r="BR29">
        <f t="shared" si="17"/>
        <v>0</v>
      </c>
      <c r="BS29" s="17">
        <f t="shared" si="18"/>
        <v>0</v>
      </c>
      <c r="BT29" s="17">
        <f t="shared" si="19"/>
        <v>0</v>
      </c>
      <c r="BU29" s="17">
        <f t="shared" si="20"/>
        <v>0</v>
      </c>
      <c r="BV29" s="11">
        <f t="shared" si="21"/>
        <v>0</v>
      </c>
      <c r="BX29" s="11">
        <f t="shared" si="22"/>
        <v>0</v>
      </c>
      <c r="BY29" s="11">
        <f t="shared" si="23"/>
        <v>1.853495266937661E-2</v>
      </c>
      <c r="CL29" s="7"/>
      <c r="CM29" s="8"/>
      <c r="CN29" s="8"/>
      <c r="CO29" s="8"/>
      <c r="CP29" s="8"/>
      <c r="CQ29" s="10"/>
      <c r="CR29" s="8"/>
      <c r="CS29" s="8"/>
      <c r="CT29" s="8"/>
    </row>
    <row r="30" spans="1:98" x14ac:dyDescent="0.25">
      <c r="A30" s="1">
        <v>46065</v>
      </c>
      <c r="B30" s="21">
        <v>123.18</v>
      </c>
      <c r="C30" s="21">
        <v>170.64</v>
      </c>
      <c r="D30" s="22">
        <v>-1.18631097106696E-2</v>
      </c>
      <c r="E30" s="22">
        <v>-1.19999109895378E-2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123.18</v>
      </c>
      <c r="M30" s="21">
        <v>170.64</v>
      </c>
      <c r="N30" s="23">
        <v>1.38528981977593</v>
      </c>
      <c r="O30" s="23">
        <v>1.3022492118915701</v>
      </c>
      <c r="P30" s="23">
        <v>1.3829227255105301</v>
      </c>
      <c r="Q30" s="23">
        <v>1.3763240677010899</v>
      </c>
      <c r="R30" s="21">
        <v>160.41105792080401</v>
      </c>
      <c r="S30" s="21">
        <v>170.219970484139</v>
      </c>
      <c r="T30" s="21">
        <v>169.39706948421099</v>
      </c>
      <c r="U30" s="22">
        <v>-6.1816441451023697E-2</v>
      </c>
      <c r="V30" s="22">
        <v>-2.46452951260558E-3</v>
      </c>
      <c r="W30" s="22">
        <v>-7.3105914795945203E-3</v>
      </c>
      <c r="X30" s="23">
        <v>1.38528981977593</v>
      </c>
      <c r="Y30" s="23">
        <v>1.3022759807794699</v>
      </c>
      <c r="Z30" s="23">
        <v>1.3829227255105301</v>
      </c>
      <c r="AA30" s="23">
        <v>1.3763240677010899</v>
      </c>
      <c r="AB30" s="21">
        <v>160.41435531241501</v>
      </c>
      <c r="AC30" s="21">
        <v>170.219970484139</v>
      </c>
      <c r="AD30" s="21">
        <v>169.39706948421099</v>
      </c>
      <c r="AE30" s="22">
        <v>-6.1795885775097599E-2</v>
      </c>
      <c r="AF30" s="22">
        <v>-2.46452951260558E-3</v>
      </c>
      <c r="AG30" s="22">
        <v>-7.3105914795945203E-3</v>
      </c>
      <c r="AZ30" s="17"/>
      <c r="BB30">
        <f t="shared" si="6"/>
        <v>0</v>
      </c>
      <c r="BC30">
        <f t="shared" si="7"/>
        <v>1</v>
      </c>
      <c r="BD30">
        <f t="shared" si="8"/>
        <v>0</v>
      </c>
      <c r="BE30">
        <f t="shared" si="4"/>
        <v>1</v>
      </c>
      <c r="BF30">
        <f t="shared" si="9"/>
        <v>0</v>
      </c>
      <c r="BG30" s="17">
        <f t="shared" si="10"/>
        <v>0</v>
      </c>
      <c r="BH30" s="17">
        <f t="shared" si="11"/>
        <v>0</v>
      </c>
      <c r="BI30" s="17">
        <f t="shared" si="12"/>
        <v>0</v>
      </c>
      <c r="BJ30" s="11">
        <f t="shared" si="13"/>
        <v>1.853495266937661E-2</v>
      </c>
      <c r="BL30" s="17"/>
      <c r="BN30">
        <f t="shared" si="14"/>
        <v>0</v>
      </c>
      <c r="BO30">
        <f t="shared" si="15"/>
        <v>1</v>
      </c>
      <c r="BP30">
        <f t="shared" si="16"/>
        <v>0</v>
      </c>
      <c r="BQ30">
        <f t="shared" si="5"/>
        <v>1</v>
      </c>
      <c r="BR30">
        <f t="shared" si="17"/>
        <v>0</v>
      </c>
      <c r="BS30" s="17">
        <f t="shared" si="18"/>
        <v>0</v>
      </c>
      <c r="BT30" s="17">
        <f t="shared" si="19"/>
        <v>0</v>
      </c>
      <c r="BU30" s="17">
        <f t="shared" si="20"/>
        <v>0</v>
      </c>
      <c r="BV30" s="11">
        <f t="shared" si="21"/>
        <v>0</v>
      </c>
      <c r="BX30" s="11">
        <f t="shared" si="22"/>
        <v>0</v>
      </c>
      <c r="BY30" s="11">
        <f t="shared" si="23"/>
        <v>1.853495266937661E-2</v>
      </c>
      <c r="CL30" s="7"/>
      <c r="CM30" s="8"/>
      <c r="CN30" s="8"/>
      <c r="CO30" s="8"/>
      <c r="CP30" s="8"/>
      <c r="CQ30" s="8"/>
      <c r="CR30" s="8"/>
      <c r="CS30" s="8"/>
      <c r="CT30" s="8"/>
    </row>
    <row r="31" spans="1:98" x14ac:dyDescent="0.25">
      <c r="A31" s="1">
        <v>46066</v>
      </c>
      <c r="B31" s="21">
        <v>122.86</v>
      </c>
      <c r="C31" s="21">
        <v>172.5</v>
      </c>
      <c r="D31" s="22">
        <v>-2.6012045231159301E-3</v>
      </c>
      <c r="E31" s="22">
        <v>1.0841162308319399E-2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122.86</v>
      </c>
      <c r="M31" s="21">
        <v>172.5</v>
      </c>
      <c r="N31" s="23">
        <v>1.4040371154159199</v>
      </c>
      <c r="O31" s="23">
        <v>1.3022492118915701</v>
      </c>
      <c r="P31" s="23">
        <v>1.38510599617036</v>
      </c>
      <c r="Q31" s="23">
        <v>1.3779453042519401</v>
      </c>
      <c r="R31" s="21">
        <v>159.994338172998</v>
      </c>
      <c r="S31" s="21">
        <v>169.90588605622401</v>
      </c>
      <c r="T31" s="21">
        <v>169.095174957756</v>
      </c>
      <c r="U31" s="22">
        <v>-7.52588082824589E-2</v>
      </c>
      <c r="V31" s="22">
        <v>-1.51525641545189E-2</v>
      </c>
      <c r="W31" s="22">
        <v>-1.9935514635967998E-2</v>
      </c>
      <c r="X31" s="23">
        <v>1.4040371154159199</v>
      </c>
      <c r="Y31" s="23">
        <v>1.3022759807794699</v>
      </c>
      <c r="Z31" s="23">
        <v>1.38510599617036</v>
      </c>
      <c r="AA31" s="23">
        <v>1.3779453042519401</v>
      </c>
      <c r="AB31" s="21">
        <v>159.99762699856601</v>
      </c>
      <c r="AC31" s="21">
        <v>169.90588605622401</v>
      </c>
      <c r="AD31" s="21">
        <v>169.095174957756</v>
      </c>
      <c r="AE31" s="22">
        <v>-7.5238252606532899E-2</v>
      </c>
      <c r="AF31" s="22">
        <v>-1.51525641545189E-2</v>
      </c>
      <c r="AG31" s="22">
        <v>-1.9935514635967998E-2</v>
      </c>
      <c r="AZ31" s="17"/>
      <c r="BB31">
        <f t="shared" si="6"/>
        <v>1</v>
      </c>
      <c r="BC31">
        <f t="shared" si="7"/>
        <v>0</v>
      </c>
      <c r="BD31">
        <f t="shared" si="8"/>
        <v>0</v>
      </c>
      <c r="BE31">
        <f t="shared" si="4"/>
        <v>1</v>
      </c>
      <c r="BF31">
        <f t="shared" si="9"/>
        <v>0</v>
      </c>
      <c r="BG31" s="17">
        <f t="shared" si="10"/>
        <v>0</v>
      </c>
      <c r="BH31" s="17">
        <f t="shared" si="11"/>
        <v>0</v>
      </c>
      <c r="BI31" s="17">
        <f t="shared" si="12"/>
        <v>0</v>
      </c>
      <c r="BJ31" s="11">
        <f t="shared" si="13"/>
        <v>1.853495266937661E-2</v>
      </c>
      <c r="BL31" s="17"/>
      <c r="BN31">
        <f t="shared" si="14"/>
        <v>0</v>
      </c>
      <c r="BO31">
        <f t="shared" si="15"/>
        <v>1</v>
      </c>
      <c r="BP31">
        <f t="shared" si="16"/>
        <v>0</v>
      </c>
      <c r="BQ31">
        <f t="shared" si="5"/>
        <v>1</v>
      </c>
      <c r="BR31">
        <f t="shared" si="17"/>
        <v>0</v>
      </c>
      <c r="BS31" s="17">
        <f t="shared" si="18"/>
        <v>0</v>
      </c>
      <c r="BT31" s="17">
        <f t="shared" si="19"/>
        <v>0</v>
      </c>
      <c r="BU31" s="17">
        <f t="shared" si="20"/>
        <v>0</v>
      </c>
      <c r="BV31" s="11">
        <f t="shared" si="21"/>
        <v>0</v>
      </c>
      <c r="BX31" s="11">
        <f t="shared" si="22"/>
        <v>0</v>
      </c>
      <c r="BY31" s="11">
        <f t="shared" si="23"/>
        <v>1.853495266937661E-2</v>
      </c>
      <c r="CL31" s="7"/>
      <c r="CM31" s="8"/>
      <c r="CN31" s="8"/>
      <c r="CO31" s="8"/>
      <c r="CP31" s="8"/>
      <c r="CQ31" s="8"/>
      <c r="CR31" s="8"/>
      <c r="CS31" s="8"/>
      <c r="CT31" s="8"/>
    </row>
    <row r="32" spans="1:98" x14ac:dyDescent="0.25">
      <c r="A32" s="1">
        <v>46070</v>
      </c>
      <c r="B32" s="21">
        <v>124.63</v>
      </c>
      <c r="C32" s="21">
        <v>174.02</v>
      </c>
      <c r="D32" s="22">
        <v>1.4303852102504001E-2</v>
      </c>
      <c r="E32" s="22">
        <v>8.7729986664639194E-3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124.63</v>
      </c>
      <c r="M32" s="21">
        <v>174.02</v>
      </c>
      <c r="N32" s="23">
        <v>1.3962930273609799</v>
      </c>
      <c r="O32" s="23">
        <v>1.3022492118915701</v>
      </c>
      <c r="P32" s="23">
        <v>1.38799403467403</v>
      </c>
      <c r="Q32" s="23">
        <v>1.37932703566509</v>
      </c>
      <c r="R32" s="21">
        <v>162.299319278046</v>
      </c>
      <c r="S32" s="21">
        <v>172.625760302712</v>
      </c>
      <c r="T32" s="21">
        <v>171.73332326892</v>
      </c>
      <c r="U32" s="22">
        <v>-6.9727954846418805E-2</v>
      </c>
      <c r="V32" s="22">
        <v>-8.0442190577313197E-3</v>
      </c>
      <c r="W32" s="22">
        <v>-1.3227407620736001E-2</v>
      </c>
      <c r="X32" s="23">
        <v>1.3962930273609799</v>
      </c>
      <c r="Y32" s="23">
        <v>1.3022759807794699</v>
      </c>
      <c r="Z32" s="23">
        <v>1.38799403467403</v>
      </c>
      <c r="AA32" s="23">
        <v>1.37932703566509</v>
      </c>
      <c r="AB32" s="21">
        <v>162.302655484545</v>
      </c>
      <c r="AC32" s="21">
        <v>172.625760302712</v>
      </c>
      <c r="AD32" s="21">
        <v>171.73332326892</v>
      </c>
      <c r="AE32" s="22">
        <v>-6.9707399170492901E-2</v>
      </c>
      <c r="AF32" s="22">
        <v>-8.0442190577313197E-3</v>
      </c>
      <c r="AG32" s="22">
        <v>-1.3227407620736001E-2</v>
      </c>
      <c r="AZ32" s="17"/>
      <c r="BB32">
        <f t="shared" si="6"/>
        <v>0</v>
      </c>
      <c r="BC32">
        <f t="shared" si="7"/>
        <v>0</v>
      </c>
      <c r="BD32">
        <f t="shared" si="8"/>
        <v>1</v>
      </c>
      <c r="BE32">
        <f t="shared" si="4"/>
        <v>1</v>
      </c>
      <c r="BF32">
        <f t="shared" si="9"/>
        <v>1</v>
      </c>
      <c r="BG32" s="17">
        <f t="shared" si="10"/>
        <v>1.4303852102504001E-2</v>
      </c>
      <c r="BH32" s="17">
        <f t="shared" si="11"/>
        <v>-8.7729986664639194E-3</v>
      </c>
      <c r="BI32" s="17">
        <f t="shared" si="12"/>
        <v>5.5308534360400813E-3</v>
      </c>
      <c r="BJ32" s="11">
        <f t="shared" si="13"/>
        <v>2.4065806105416691E-2</v>
      </c>
      <c r="BL32" s="17"/>
      <c r="BN32">
        <f t="shared" si="14"/>
        <v>0</v>
      </c>
      <c r="BO32">
        <f t="shared" si="15"/>
        <v>1</v>
      </c>
      <c r="BP32">
        <f t="shared" si="16"/>
        <v>0</v>
      </c>
      <c r="BQ32">
        <f t="shared" si="5"/>
        <v>1</v>
      </c>
      <c r="BR32">
        <f t="shared" si="17"/>
        <v>0</v>
      </c>
      <c r="BS32" s="17">
        <f t="shared" si="18"/>
        <v>0</v>
      </c>
      <c r="BT32" s="17">
        <f t="shared" si="19"/>
        <v>0</v>
      </c>
      <c r="BU32" s="17">
        <f t="shared" si="20"/>
        <v>0</v>
      </c>
      <c r="BV32" s="11">
        <f t="shared" si="21"/>
        <v>0</v>
      </c>
      <c r="BX32" s="11">
        <f t="shared" si="22"/>
        <v>5.5308534360400813E-3</v>
      </c>
      <c r="BY32" s="11">
        <f t="shared" si="23"/>
        <v>2.4065806105416691E-2</v>
      </c>
      <c r="CL32" s="7"/>
      <c r="CM32" s="8"/>
      <c r="CN32" s="8"/>
      <c r="CO32" s="8"/>
      <c r="CP32" s="8"/>
      <c r="CQ32" s="8"/>
      <c r="CR32" s="8"/>
      <c r="CS32" s="8"/>
      <c r="CT32" s="8"/>
    </row>
    <row r="33" spans="1:98" x14ac:dyDescent="0.25">
      <c r="A33" s="1">
        <v>46071</v>
      </c>
      <c r="B33" s="21">
        <v>125.6</v>
      </c>
      <c r="C33" s="21">
        <v>174.76</v>
      </c>
      <c r="D33" s="22">
        <v>7.7529061958128403E-3</v>
      </c>
      <c r="E33" s="22">
        <v>4.2433689453567399E-3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125.6</v>
      </c>
      <c r="M33" s="21">
        <v>174.76</v>
      </c>
      <c r="N33" s="23">
        <v>1.3914012738853501</v>
      </c>
      <c r="O33" s="23">
        <v>1.3022492118915701</v>
      </c>
      <c r="P33" s="23">
        <v>1.3909806172133601</v>
      </c>
      <c r="Q33" s="23">
        <v>1.38076716081677</v>
      </c>
      <c r="R33" s="21">
        <v>163.562501013581</v>
      </c>
      <c r="S33" s="21">
        <v>174.33205075505799</v>
      </c>
      <c r="T33" s="21">
        <v>173.24347567953501</v>
      </c>
      <c r="U33" s="22">
        <v>-6.6218417595962795E-2</v>
      </c>
      <c r="V33" s="22">
        <v>-2.4517857590393502E-3</v>
      </c>
      <c r="W33" s="22">
        <v>-8.7156251376970806E-3</v>
      </c>
      <c r="X33" s="23">
        <v>1.3914012738853501</v>
      </c>
      <c r="Y33" s="23">
        <v>1.3022759807794699</v>
      </c>
      <c r="Z33" s="23">
        <v>1.3909806172133601</v>
      </c>
      <c r="AA33" s="23">
        <v>1.38076716081677</v>
      </c>
      <c r="AB33" s="21">
        <v>163.56586318590101</v>
      </c>
      <c r="AC33" s="21">
        <v>174.33205075505799</v>
      </c>
      <c r="AD33" s="21">
        <v>173.24347567953501</v>
      </c>
      <c r="AE33" s="22">
        <v>-6.6197861920036599E-2</v>
      </c>
      <c r="AF33" s="22">
        <v>-2.4517857590393502E-3</v>
      </c>
      <c r="AG33" s="22">
        <v>-8.7156251376970806E-3</v>
      </c>
      <c r="AZ33" s="17"/>
      <c r="BB33">
        <f t="shared" si="6"/>
        <v>0</v>
      </c>
      <c r="BC33">
        <f t="shared" si="7"/>
        <v>1</v>
      </c>
      <c r="BD33">
        <f t="shared" si="8"/>
        <v>1</v>
      </c>
      <c r="BE33">
        <f t="shared" si="4"/>
        <v>1</v>
      </c>
      <c r="BF33">
        <f t="shared" si="9"/>
        <v>1</v>
      </c>
      <c r="BG33" s="17">
        <f t="shared" si="10"/>
        <v>7.7529061958128403E-3</v>
      </c>
      <c r="BH33" s="17">
        <f t="shared" si="11"/>
        <v>-4.2433689453567399E-3</v>
      </c>
      <c r="BI33" s="17">
        <f t="shared" si="12"/>
        <v>3.5095372504561004E-3</v>
      </c>
      <c r="BJ33" s="11">
        <f t="shared" si="13"/>
        <v>2.7575343355872792E-2</v>
      </c>
      <c r="BL33" s="17"/>
      <c r="BN33">
        <f t="shared" si="14"/>
        <v>0</v>
      </c>
      <c r="BO33">
        <f t="shared" si="15"/>
        <v>1</v>
      </c>
      <c r="BP33">
        <f t="shared" si="16"/>
        <v>0</v>
      </c>
      <c r="BQ33">
        <f t="shared" si="5"/>
        <v>1</v>
      </c>
      <c r="BR33">
        <f t="shared" si="17"/>
        <v>0</v>
      </c>
      <c r="BS33" s="17">
        <f t="shared" si="18"/>
        <v>0</v>
      </c>
      <c r="BT33" s="17">
        <f t="shared" si="19"/>
        <v>0</v>
      </c>
      <c r="BU33" s="17">
        <f t="shared" si="20"/>
        <v>0</v>
      </c>
      <c r="BV33" s="11">
        <f t="shared" si="21"/>
        <v>0</v>
      </c>
      <c r="BX33" s="11">
        <f t="shared" si="22"/>
        <v>3.5095372504561004E-3</v>
      </c>
      <c r="BY33" s="11">
        <f t="shared" si="23"/>
        <v>2.7575343355872792E-2</v>
      </c>
      <c r="CL33" s="7"/>
      <c r="CM33" s="8"/>
      <c r="CN33" s="8"/>
      <c r="CO33" s="8"/>
      <c r="CP33" s="8"/>
      <c r="CQ33" s="8"/>
      <c r="CR33" s="8"/>
      <c r="CS33" s="8"/>
      <c r="CT33" s="8"/>
    </row>
    <row r="34" spans="1:98" x14ac:dyDescent="0.25">
      <c r="A34" s="1">
        <v>46072</v>
      </c>
      <c r="B34" s="21">
        <v>126.74</v>
      </c>
      <c r="C34" s="21">
        <v>175.03</v>
      </c>
      <c r="D34" s="22">
        <v>9.0354898612726303E-3</v>
      </c>
      <c r="E34" s="22">
        <v>1.54378371950902E-3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126.74</v>
      </c>
      <c r="M34" s="21">
        <v>175.03</v>
      </c>
      <c r="N34" s="23">
        <v>1.3810162537478301</v>
      </c>
      <c r="O34" s="23">
        <v>1.3022492118915701</v>
      </c>
      <c r="P34" s="23">
        <v>1.39016453167746</v>
      </c>
      <c r="Q34" s="23">
        <v>1.38149218164896</v>
      </c>
      <c r="R34" s="21">
        <v>165.047065115138</v>
      </c>
      <c r="S34" s="21">
        <v>176.29288342562199</v>
      </c>
      <c r="T34" s="21">
        <v>174.99842996191799</v>
      </c>
      <c r="U34" s="22">
        <v>-5.8726711454199297E-2</v>
      </c>
      <c r="V34" s="22">
        <v>7.18933451080115E-3</v>
      </c>
      <c r="W34" s="22">
        <v>-1.8038556565552199E-4</v>
      </c>
      <c r="X34" s="23">
        <v>1.3810162537478301</v>
      </c>
      <c r="Y34" s="23">
        <v>1.3022759807794699</v>
      </c>
      <c r="Z34" s="23">
        <v>1.39016453167746</v>
      </c>
      <c r="AA34" s="23">
        <v>1.38149218164896</v>
      </c>
      <c r="AB34" s="21">
        <v>165.05045780399001</v>
      </c>
      <c r="AC34" s="21">
        <v>176.29288342562199</v>
      </c>
      <c r="AD34" s="21">
        <v>174.99842996191799</v>
      </c>
      <c r="AE34" s="22">
        <v>-5.8706155778273102E-2</v>
      </c>
      <c r="AF34" s="22">
        <v>7.18933451080115E-3</v>
      </c>
      <c r="AG34" s="22">
        <v>-1.8038556565552199E-4</v>
      </c>
      <c r="AZ34" s="17"/>
      <c r="BB34">
        <f t="shared" si="6"/>
        <v>0</v>
      </c>
      <c r="BC34">
        <f t="shared" si="7"/>
        <v>1</v>
      </c>
      <c r="BD34">
        <f t="shared" si="8"/>
        <v>0</v>
      </c>
      <c r="BE34">
        <f t="shared" si="4"/>
        <v>1</v>
      </c>
      <c r="BF34">
        <f t="shared" si="9"/>
        <v>0</v>
      </c>
      <c r="BG34" s="17">
        <f t="shared" si="10"/>
        <v>0</v>
      </c>
      <c r="BH34" s="17">
        <f t="shared" si="11"/>
        <v>0</v>
      </c>
      <c r="BI34" s="17">
        <f t="shared" si="12"/>
        <v>0</v>
      </c>
      <c r="BJ34" s="11">
        <f t="shared" si="13"/>
        <v>2.7575343355872792E-2</v>
      </c>
      <c r="BL34" s="17"/>
      <c r="BN34">
        <f t="shared" si="14"/>
        <v>0</v>
      </c>
      <c r="BO34">
        <f t="shared" si="15"/>
        <v>1</v>
      </c>
      <c r="BP34">
        <f t="shared" si="16"/>
        <v>0</v>
      </c>
      <c r="BQ34">
        <f t="shared" si="5"/>
        <v>1</v>
      </c>
      <c r="BR34">
        <f t="shared" si="17"/>
        <v>0</v>
      </c>
      <c r="BS34" s="17">
        <f t="shared" si="18"/>
        <v>0</v>
      </c>
      <c r="BT34" s="17">
        <f t="shared" si="19"/>
        <v>0</v>
      </c>
      <c r="BU34" s="17">
        <f t="shared" si="20"/>
        <v>0</v>
      </c>
      <c r="BV34" s="11">
        <f t="shared" si="21"/>
        <v>0</v>
      </c>
      <c r="BX34" s="11">
        <f t="shared" si="22"/>
        <v>0</v>
      </c>
      <c r="BY34" s="11">
        <f t="shared" si="23"/>
        <v>2.7575343355872792E-2</v>
      </c>
    </row>
    <row r="35" spans="1:98" x14ac:dyDescent="0.25">
      <c r="A35" s="1">
        <v>46073</v>
      </c>
      <c r="B35" s="21">
        <v>124.78</v>
      </c>
      <c r="C35" s="21">
        <v>174.39</v>
      </c>
      <c r="D35" s="22">
        <v>-1.55855572127305E-2</v>
      </c>
      <c r="E35" s="22">
        <v>-3.6632174213753E-3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124.78</v>
      </c>
      <c r="M35" s="21">
        <v>174.39</v>
      </c>
      <c r="N35" s="23">
        <v>1.3975797403429999</v>
      </c>
      <c r="O35" s="23">
        <v>1.3022492118915701</v>
      </c>
      <c r="P35" s="23">
        <v>1.3890676349364099</v>
      </c>
      <c r="Q35" s="23">
        <v>1.3838633781363601</v>
      </c>
      <c r="R35" s="21">
        <v>162.49465665983001</v>
      </c>
      <c r="S35" s="21">
        <v>173.464730262714</v>
      </c>
      <c r="T35" s="21">
        <v>172.38259442615799</v>
      </c>
      <c r="U35" s="22">
        <v>-7.0649051245554401E-2</v>
      </c>
      <c r="V35" s="22">
        <v>-5.31987544779594E-3</v>
      </c>
      <c r="W35" s="22">
        <v>-1.1577777653736399E-2</v>
      </c>
      <c r="X35" s="23">
        <v>1.3975797403429999</v>
      </c>
      <c r="Y35" s="23">
        <v>1.3022759807794699</v>
      </c>
      <c r="Z35" s="23">
        <v>1.3890676349364099</v>
      </c>
      <c r="AA35" s="23">
        <v>1.3838633781363601</v>
      </c>
      <c r="AB35" s="21">
        <v>162.497996881662</v>
      </c>
      <c r="AC35" s="21">
        <v>173.464730262714</v>
      </c>
      <c r="AD35" s="21">
        <v>172.38259442615799</v>
      </c>
      <c r="AE35" s="22">
        <v>-7.0628495569628302E-2</v>
      </c>
      <c r="AF35" s="22">
        <v>-5.31987544779594E-3</v>
      </c>
      <c r="AG35" s="22">
        <v>-1.1577777653736399E-2</v>
      </c>
      <c r="AZ35" s="17"/>
      <c r="BB35">
        <f t="shared" si="6"/>
        <v>0</v>
      </c>
      <c r="BC35">
        <f t="shared" si="7"/>
        <v>0</v>
      </c>
      <c r="BD35">
        <f t="shared" si="8"/>
        <v>0</v>
      </c>
      <c r="BE35">
        <f t="shared" si="4"/>
        <v>1</v>
      </c>
      <c r="BF35">
        <f t="shared" si="9"/>
        <v>0</v>
      </c>
      <c r="BG35" s="17">
        <f t="shared" si="10"/>
        <v>0</v>
      </c>
      <c r="BH35" s="17">
        <f t="shared" si="11"/>
        <v>0</v>
      </c>
      <c r="BI35" s="17">
        <f t="shared" si="12"/>
        <v>0</v>
      </c>
      <c r="BJ35" s="11">
        <f t="shared" si="13"/>
        <v>2.7575343355872792E-2</v>
      </c>
      <c r="BL35" s="17"/>
      <c r="BN35">
        <f t="shared" si="14"/>
        <v>0</v>
      </c>
      <c r="BO35">
        <f t="shared" si="15"/>
        <v>1</v>
      </c>
      <c r="BP35">
        <f t="shared" si="16"/>
        <v>0</v>
      </c>
      <c r="BQ35">
        <f t="shared" si="5"/>
        <v>1</v>
      </c>
      <c r="BR35">
        <f t="shared" si="17"/>
        <v>0</v>
      </c>
      <c r="BS35" s="17">
        <f t="shared" si="18"/>
        <v>0</v>
      </c>
      <c r="BT35" s="17">
        <f t="shared" si="19"/>
        <v>0</v>
      </c>
      <c r="BU35" s="17">
        <f t="shared" si="20"/>
        <v>0</v>
      </c>
      <c r="BV35" s="11">
        <f t="shared" si="21"/>
        <v>0</v>
      </c>
      <c r="BX35" s="11">
        <f t="shared" si="22"/>
        <v>0</v>
      </c>
      <c r="BY35" s="11">
        <f t="shared" si="23"/>
        <v>2.7575343355872792E-2</v>
      </c>
    </row>
    <row r="36" spans="1:98" x14ac:dyDescent="0.25">
      <c r="A36" s="1">
        <v>46076</v>
      </c>
      <c r="B36" s="21">
        <v>126.97</v>
      </c>
      <c r="C36" s="21">
        <v>175.1</v>
      </c>
      <c r="D36" s="22">
        <v>1.73986513990597E-2</v>
      </c>
      <c r="E36" s="22">
        <v>4.0630689104372199E-3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126.97</v>
      </c>
      <c r="M36" s="21">
        <v>175.1</v>
      </c>
      <c r="N36" s="23">
        <v>1.3790659210837199</v>
      </c>
      <c r="O36" s="23">
        <v>1.3022492118915701</v>
      </c>
      <c r="P36" s="23">
        <v>1.3875590410038301</v>
      </c>
      <c r="Q36" s="23">
        <v>1.38434978884221</v>
      </c>
      <c r="R36" s="21">
        <v>165.34658243387301</v>
      </c>
      <c r="S36" s="21">
        <v>176.369917607877</v>
      </c>
      <c r="T36" s="21">
        <v>175.709133121973</v>
      </c>
      <c r="U36" s="22">
        <v>-5.7313468756932003E-2</v>
      </c>
      <c r="V36" s="22">
        <v>7.2263546353827602E-3</v>
      </c>
      <c r="W36" s="22">
        <v>3.4727358933112399E-3</v>
      </c>
      <c r="X36" s="23">
        <v>1.3790659210837199</v>
      </c>
      <c r="Y36" s="23">
        <v>1.3022759807794699</v>
      </c>
      <c r="Z36" s="23">
        <v>1.3875590410038301</v>
      </c>
      <c r="AA36" s="23">
        <v>1.38434978884221</v>
      </c>
      <c r="AB36" s="21">
        <v>165.34998127956899</v>
      </c>
      <c r="AC36" s="21">
        <v>176.369917607877</v>
      </c>
      <c r="AD36" s="21">
        <v>175.709133121973</v>
      </c>
      <c r="AE36" s="22">
        <v>-5.7292913081006099E-2</v>
      </c>
      <c r="AF36" s="22">
        <v>7.2263546353827602E-3</v>
      </c>
      <c r="AG36" s="22">
        <v>3.4727358933112399E-3</v>
      </c>
      <c r="AZ36" s="17"/>
      <c r="BB36">
        <f t="shared" si="6"/>
        <v>0</v>
      </c>
      <c r="BC36">
        <f t="shared" si="7"/>
        <v>1</v>
      </c>
      <c r="BD36">
        <f t="shared" si="8"/>
        <v>0</v>
      </c>
      <c r="BE36">
        <f t="shared" si="4"/>
        <v>1</v>
      </c>
      <c r="BF36">
        <f t="shared" si="9"/>
        <v>0</v>
      </c>
      <c r="BG36" s="17">
        <f t="shared" si="10"/>
        <v>0</v>
      </c>
      <c r="BH36" s="17">
        <f t="shared" si="11"/>
        <v>0</v>
      </c>
      <c r="BI36" s="17">
        <f t="shared" si="12"/>
        <v>0</v>
      </c>
      <c r="BJ36" s="11">
        <f t="shared" si="13"/>
        <v>2.7575343355872792E-2</v>
      </c>
      <c r="BL36" s="17"/>
      <c r="BN36">
        <f t="shared" si="14"/>
        <v>0</v>
      </c>
      <c r="BO36">
        <f t="shared" si="15"/>
        <v>1</v>
      </c>
      <c r="BP36">
        <f t="shared" si="16"/>
        <v>0</v>
      </c>
      <c r="BQ36">
        <f t="shared" si="5"/>
        <v>1</v>
      </c>
      <c r="BR36">
        <f t="shared" si="17"/>
        <v>0</v>
      </c>
      <c r="BS36" s="17">
        <f t="shared" si="18"/>
        <v>0</v>
      </c>
      <c r="BT36" s="17">
        <f t="shared" si="19"/>
        <v>0</v>
      </c>
      <c r="BU36" s="17">
        <f t="shared" si="20"/>
        <v>0</v>
      </c>
      <c r="BV36" s="11">
        <f t="shared" si="21"/>
        <v>0</v>
      </c>
      <c r="BX36" s="11">
        <f t="shared" si="22"/>
        <v>0</v>
      </c>
      <c r="BY36" s="11">
        <f t="shared" si="23"/>
        <v>2.7575343355872792E-2</v>
      </c>
    </row>
    <row r="37" spans="1:98" x14ac:dyDescent="0.25">
      <c r="A37" s="1">
        <v>46077</v>
      </c>
      <c r="B37" s="21">
        <v>129.16</v>
      </c>
      <c r="C37" s="21">
        <v>176.36</v>
      </c>
      <c r="D37" s="22">
        <v>1.7101107808374399E-2</v>
      </c>
      <c r="E37" s="22">
        <v>7.1701211979308E-3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129.16</v>
      </c>
      <c r="M37" s="21">
        <v>176.36</v>
      </c>
      <c r="N37" s="23">
        <v>1.3654382161659899</v>
      </c>
      <c r="O37" s="23">
        <v>1.3022492118915701</v>
      </c>
      <c r="P37" s="23">
        <v>1.3858346840461699</v>
      </c>
      <c r="Q37" s="23">
        <v>1.3838550799101701</v>
      </c>
      <c r="R37" s="21">
        <v>168.19850820791501</v>
      </c>
      <c r="S37" s="21">
        <v>179.21712573605501</v>
      </c>
      <c r="T37" s="21">
        <v>178.80261872686</v>
      </c>
      <c r="U37" s="22">
        <v>-4.7382482146488401E-2</v>
      </c>
      <c r="V37" s="22">
        <v>1.6070703208313799E-2</v>
      </c>
      <c r="W37" s="22">
        <v>1.37551482658065E-2</v>
      </c>
      <c r="X37" s="23">
        <v>1.3654382161659899</v>
      </c>
      <c r="Y37" s="23">
        <v>1.3022759807794699</v>
      </c>
      <c r="Z37" s="23">
        <v>1.3858346840461699</v>
      </c>
      <c r="AA37" s="23">
        <v>1.3838550799101701</v>
      </c>
      <c r="AB37" s="21">
        <v>168.20196567747601</v>
      </c>
      <c r="AC37" s="21">
        <v>179.21712573605501</v>
      </c>
      <c r="AD37" s="21">
        <v>178.80261872686</v>
      </c>
      <c r="AE37" s="22">
        <v>-4.7361926470562497E-2</v>
      </c>
      <c r="AF37" s="22">
        <v>1.6070703208313799E-2</v>
      </c>
      <c r="AG37" s="22">
        <v>1.37551482658065E-2</v>
      </c>
      <c r="AZ37" s="17"/>
      <c r="BB37">
        <f t="shared" si="6"/>
        <v>0</v>
      </c>
      <c r="BC37">
        <f t="shared" si="7"/>
        <v>1</v>
      </c>
      <c r="BD37">
        <f t="shared" si="8"/>
        <v>0</v>
      </c>
      <c r="BE37">
        <f t="shared" si="4"/>
        <v>1</v>
      </c>
      <c r="BF37">
        <f t="shared" si="9"/>
        <v>0</v>
      </c>
      <c r="BG37" s="17">
        <f t="shared" si="10"/>
        <v>0</v>
      </c>
      <c r="BH37" s="17">
        <f t="shared" si="11"/>
        <v>0</v>
      </c>
      <c r="BI37" s="17">
        <f t="shared" si="12"/>
        <v>0</v>
      </c>
      <c r="BJ37" s="11">
        <f t="shared" si="13"/>
        <v>2.7575343355872792E-2</v>
      </c>
      <c r="BL37" s="17"/>
      <c r="BN37">
        <f t="shared" si="14"/>
        <v>0</v>
      </c>
      <c r="BO37">
        <f t="shared" si="15"/>
        <v>1</v>
      </c>
      <c r="BP37">
        <f t="shared" si="16"/>
        <v>0</v>
      </c>
      <c r="BQ37">
        <f t="shared" si="5"/>
        <v>1</v>
      </c>
      <c r="BR37">
        <f t="shared" si="17"/>
        <v>0</v>
      </c>
      <c r="BS37" s="17">
        <f t="shared" si="18"/>
        <v>0</v>
      </c>
      <c r="BT37" s="17">
        <f t="shared" si="19"/>
        <v>0</v>
      </c>
      <c r="BU37" s="17">
        <f t="shared" si="20"/>
        <v>0</v>
      </c>
      <c r="BV37" s="11">
        <f t="shared" si="21"/>
        <v>0</v>
      </c>
      <c r="BX37" s="11">
        <f t="shared" si="22"/>
        <v>0</v>
      </c>
      <c r="BY37" s="11">
        <f t="shared" si="23"/>
        <v>2.7575343355872792E-2</v>
      </c>
    </row>
    <row r="38" spans="1:98" x14ac:dyDescent="0.25">
      <c r="A38" s="1">
        <v>46078</v>
      </c>
      <c r="B38" s="21">
        <v>128.28</v>
      </c>
      <c r="C38" s="21">
        <v>175.3</v>
      </c>
      <c r="D38" s="22">
        <v>-6.83657106512023E-3</v>
      </c>
      <c r="E38" s="22">
        <v>-6.0285685625480296E-3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128.28</v>
      </c>
      <c r="M38" s="21">
        <v>175.3</v>
      </c>
      <c r="N38" s="23">
        <v>1.3665419395073199</v>
      </c>
      <c r="O38" s="23">
        <v>1.3022492118915701</v>
      </c>
      <c r="P38" s="23">
        <v>1.3852142649444099</v>
      </c>
      <c r="Q38" s="23">
        <v>1.3833655581972899</v>
      </c>
      <c r="R38" s="21">
        <v>167.05252890145101</v>
      </c>
      <c r="S38" s="21">
        <v>177.77487326944299</v>
      </c>
      <c r="T38" s="21">
        <v>177.52092965087701</v>
      </c>
      <c r="U38" s="22">
        <v>-4.8190484649060603E-2</v>
      </c>
      <c r="V38" s="22">
        <v>1.40192009716197E-2</v>
      </c>
      <c r="W38" s="22">
        <v>1.25897235630986E-2</v>
      </c>
      <c r="X38" s="23">
        <v>1.3665419395073199</v>
      </c>
      <c r="Y38" s="23">
        <v>1.3022759807794699</v>
      </c>
      <c r="Z38" s="23">
        <v>1.3852142649444099</v>
      </c>
      <c r="AA38" s="23">
        <v>1.3833655581972899</v>
      </c>
      <c r="AB38" s="21">
        <v>167.05596281439</v>
      </c>
      <c r="AC38" s="21">
        <v>177.77487326944299</v>
      </c>
      <c r="AD38" s="21">
        <v>177.52092965087701</v>
      </c>
      <c r="AE38" s="22">
        <v>-4.8169928973134699E-2</v>
      </c>
      <c r="AF38" s="22">
        <v>1.40192009716197E-2</v>
      </c>
      <c r="AG38" s="22">
        <v>1.25897235630986E-2</v>
      </c>
      <c r="AZ38" s="17"/>
      <c r="BB38">
        <f t="shared" si="6"/>
        <v>0</v>
      </c>
      <c r="BC38">
        <f t="shared" si="7"/>
        <v>1</v>
      </c>
      <c r="BD38">
        <f t="shared" si="8"/>
        <v>0</v>
      </c>
      <c r="BE38">
        <f t="shared" si="4"/>
        <v>1</v>
      </c>
      <c r="BF38">
        <f t="shared" si="9"/>
        <v>0</v>
      </c>
      <c r="BG38" s="17">
        <f t="shared" si="10"/>
        <v>0</v>
      </c>
      <c r="BH38" s="17">
        <f t="shared" si="11"/>
        <v>0</v>
      </c>
      <c r="BI38" s="17">
        <f t="shared" si="12"/>
        <v>0</v>
      </c>
      <c r="BJ38" s="11">
        <f t="shared" si="13"/>
        <v>2.7575343355872792E-2</v>
      </c>
      <c r="BL38" s="17"/>
      <c r="BN38">
        <f t="shared" si="14"/>
        <v>0</v>
      </c>
      <c r="BO38">
        <f t="shared" si="15"/>
        <v>1</v>
      </c>
      <c r="BP38">
        <f t="shared" si="16"/>
        <v>0</v>
      </c>
      <c r="BQ38">
        <f t="shared" si="5"/>
        <v>1</v>
      </c>
      <c r="BR38">
        <f t="shared" si="17"/>
        <v>0</v>
      </c>
      <c r="BS38" s="17">
        <f t="shared" si="18"/>
        <v>0</v>
      </c>
      <c r="BT38" s="17">
        <f t="shared" si="19"/>
        <v>0</v>
      </c>
      <c r="BU38" s="17">
        <f t="shared" si="20"/>
        <v>0</v>
      </c>
      <c r="BV38" s="11">
        <f t="shared" si="21"/>
        <v>0</v>
      </c>
      <c r="BX38" s="11">
        <f t="shared" si="22"/>
        <v>0</v>
      </c>
      <c r="BY38" s="11">
        <f t="shared" si="23"/>
        <v>2.7575343355872792E-2</v>
      </c>
    </row>
    <row r="39" spans="1:98" x14ac:dyDescent="0.25">
      <c r="A39" s="1">
        <v>46079</v>
      </c>
      <c r="B39" s="21">
        <v>127.67</v>
      </c>
      <c r="C39" s="21">
        <v>173.88</v>
      </c>
      <c r="D39" s="22">
        <v>-4.7665649926947398E-3</v>
      </c>
      <c r="E39" s="22">
        <v>-8.13338580659753E-3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127.67</v>
      </c>
      <c r="M39" s="21">
        <v>173.88</v>
      </c>
      <c r="N39" s="23">
        <v>1.36194877418344</v>
      </c>
      <c r="O39" s="23">
        <v>1.3022492118915701</v>
      </c>
      <c r="P39" s="23">
        <v>1.38286120814695</v>
      </c>
      <c r="Q39" s="23">
        <v>1.3823705719421999</v>
      </c>
      <c r="R39" s="21">
        <v>166.258156882197</v>
      </c>
      <c r="S39" s="21">
        <v>176.850305205453</v>
      </c>
      <c r="T39" s="21">
        <v>176.614280815049</v>
      </c>
      <c r="U39" s="22">
        <v>-4.4823663835157797E-2</v>
      </c>
      <c r="V39" s="22">
        <v>1.69382353165341E-2</v>
      </c>
      <c r="W39" s="22">
        <v>1.56027440972243E-2</v>
      </c>
      <c r="X39" s="23">
        <v>1.36194877418344</v>
      </c>
      <c r="Y39" s="23">
        <v>1.3022759807794699</v>
      </c>
      <c r="Z39" s="23">
        <v>1.38286120814695</v>
      </c>
      <c r="AA39" s="23">
        <v>1.3823705719421999</v>
      </c>
      <c r="AB39" s="21">
        <v>166.26157446611501</v>
      </c>
      <c r="AC39" s="21">
        <v>176.850305205453</v>
      </c>
      <c r="AD39" s="21">
        <v>176.614280815049</v>
      </c>
      <c r="AE39" s="22">
        <v>-4.4803108159231698E-2</v>
      </c>
      <c r="AF39" s="22">
        <v>1.69382353165341E-2</v>
      </c>
      <c r="AG39" s="22">
        <v>1.56027440972243E-2</v>
      </c>
      <c r="AZ39" s="17"/>
      <c r="BB39">
        <f t="shared" si="6"/>
        <v>0</v>
      </c>
      <c r="BC39">
        <f t="shared" si="7"/>
        <v>1</v>
      </c>
      <c r="BD39">
        <f t="shared" si="8"/>
        <v>0</v>
      </c>
      <c r="BE39">
        <f t="shared" si="4"/>
        <v>1</v>
      </c>
      <c r="BF39">
        <f t="shared" si="9"/>
        <v>0</v>
      </c>
      <c r="BG39" s="17">
        <f t="shared" si="10"/>
        <v>0</v>
      </c>
      <c r="BH39" s="17">
        <f t="shared" si="11"/>
        <v>0</v>
      </c>
      <c r="BI39" s="17">
        <f t="shared" si="12"/>
        <v>0</v>
      </c>
      <c r="BJ39" s="11">
        <f t="shared" si="13"/>
        <v>2.7575343355872792E-2</v>
      </c>
      <c r="BL39" s="17"/>
      <c r="BN39">
        <f t="shared" si="14"/>
        <v>0</v>
      </c>
      <c r="BO39">
        <f t="shared" si="15"/>
        <v>1</v>
      </c>
      <c r="BP39">
        <f t="shared" si="16"/>
        <v>0</v>
      </c>
      <c r="BQ39">
        <f t="shared" si="5"/>
        <v>1</v>
      </c>
      <c r="BR39">
        <f t="shared" si="17"/>
        <v>0</v>
      </c>
      <c r="BS39" s="17">
        <f t="shared" si="18"/>
        <v>0</v>
      </c>
      <c r="BT39" s="17">
        <f t="shared" si="19"/>
        <v>0</v>
      </c>
      <c r="BU39" s="17">
        <f t="shared" si="20"/>
        <v>0</v>
      </c>
      <c r="BV39" s="11">
        <f t="shared" si="21"/>
        <v>0</v>
      </c>
      <c r="BX39" s="11">
        <f t="shared" si="22"/>
        <v>0</v>
      </c>
      <c r="BY39" s="11">
        <f t="shared" si="23"/>
        <v>2.7575343355872792E-2</v>
      </c>
    </row>
    <row r="40" spans="1:98" x14ac:dyDescent="0.25">
      <c r="A40" s="1">
        <v>46080</v>
      </c>
      <c r="B40" s="21">
        <v>127.37</v>
      </c>
      <c r="C40" s="21">
        <v>175.37</v>
      </c>
      <c r="D40" s="22">
        <v>-2.3525732305912902E-3</v>
      </c>
      <c r="E40" s="22">
        <v>8.5326215606100295E-3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127.37</v>
      </c>
      <c r="M40" s="21">
        <v>175.37</v>
      </c>
      <c r="N40" s="23">
        <v>1.37685483237811</v>
      </c>
      <c r="O40" s="23">
        <v>1.3022492118915701</v>
      </c>
      <c r="P40" s="23">
        <v>1.38201770940716</v>
      </c>
      <c r="Q40" s="23">
        <v>1.3824702174588499</v>
      </c>
      <c r="R40" s="21">
        <v>165.867482118629</v>
      </c>
      <c r="S40" s="21">
        <v>176.135032081677</v>
      </c>
      <c r="T40" s="21">
        <v>176.07253974827799</v>
      </c>
      <c r="U40" s="22">
        <v>-5.5708858626358999E-2</v>
      </c>
      <c r="V40" s="22">
        <v>4.3529009250062797E-3</v>
      </c>
      <c r="W40" s="22">
        <v>3.9980401039855602E-3</v>
      </c>
      <c r="X40" s="23">
        <v>1.37685483237811</v>
      </c>
      <c r="Y40" s="23">
        <v>1.3022759807794699</v>
      </c>
      <c r="Z40" s="23">
        <v>1.38201770940716</v>
      </c>
      <c r="AA40" s="23">
        <v>1.3824702174588499</v>
      </c>
      <c r="AB40" s="21">
        <v>165.870891671881</v>
      </c>
      <c r="AC40" s="21">
        <v>176.135032081677</v>
      </c>
      <c r="AD40" s="21">
        <v>176.07253974827799</v>
      </c>
      <c r="AE40" s="22">
        <v>-5.5688302950432998E-2</v>
      </c>
      <c r="AF40" s="22">
        <v>4.3529009250062797E-3</v>
      </c>
      <c r="AG40" s="22">
        <v>3.9980401039855602E-3</v>
      </c>
      <c r="AZ40" s="17"/>
      <c r="BB40">
        <f t="shared" si="6"/>
        <v>0</v>
      </c>
      <c r="BC40">
        <f t="shared" si="7"/>
        <v>1</v>
      </c>
      <c r="BD40">
        <f t="shared" si="8"/>
        <v>0</v>
      </c>
      <c r="BE40">
        <f t="shared" si="4"/>
        <v>1</v>
      </c>
      <c r="BF40">
        <f t="shared" si="9"/>
        <v>0</v>
      </c>
      <c r="BG40" s="17">
        <f t="shared" si="10"/>
        <v>0</v>
      </c>
      <c r="BH40" s="17">
        <f t="shared" si="11"/>
        <v>0</v>
      </c>
      <c r="BI40" s="17">
        <f t="shared" si="12"/>
        <v>0</v>
      </c>
      <c r="BJ40" s="11">
        <f t="shared" si="13"/>
        <v>2.7575343355872792E-2</v>
      </c>
      <c r="BL40" s="17"/>
      <c r="BN40">
        <f t="shared" si="14"/>
        <v>0</v>
      </c>
      <c r="BO40">
        <f t="shared" si="15"/>
        <v>1</v>
      </c>
      <c r="BP40">
        <f t="shared" si="16"/>
        <v>0</v>
      </c>
      <c r="BQ40">
        <f t="shared" si="5"/>
        <v>1</v>
      </c>
      <c r="BR40">
        <f t="shared" si="17"/>
        <v>0</v>
      </c>
      <c r="BS40" s="17">
        <f t="shared" si="18"/>
        <v>0</v>
      </c>
      <c r="BT40" s="17">
        <f t="shared" si="19"/>
        <v>0</v>
      </c>
      <c r="BU40" s="17">
        <f t="shared" si="20"/>
        <v>0</v>
      </c>
      <c r="BV40" s="11">
        <f t="shared" si="21"/>
        <v>0</v>
      </c>
      <c r="BX40" s="11">
        <f t="shared" si="22"/>
        <v>0</v>
      </c>
      <c r="BY40" s="11">
        <f t="shared" si="23"/>
        <v>2.7575343355872792E-2</v>
      </c>
    </row>
    <row r="41" spans="1:98" x14ac:dyDescent="0.25">
      <c r="A41" s="1">
        <v>46083</v>
      </c>
      <c r="B41" s="21">
        <v>126.55</v>
      </c>
      <c r="C41" s="21">
        <v>173.92</v>
      </c>
      <c r="D41" s="22">
        <v>-6.4587496105350797E-3</v>
      </c>
      <c r="E41" s="22">
        <v>-8.3026043083019793E-3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126.55</v>
      </c>
      <c r="M41" s="21">
        <v>173.92</v>
      </c>
      <c r="N41" s="23">
        <v>1.3743184512050499</v>
      </c>
      <c r="O41" s="23">
        <v>1.3022492118915701</v>
      </c>
      <c r="P41" s="23">
        <v>1.3790458429860799</v>
      </c>
      <c r="Q41" s="23">
        <v>1.38207591957822</v>
      </c>
      <c r="R41" s="21">
        <v>164.79963776487801</v>
      </c>
      <c r="S41" s="21">
        <v>174.89434112547701</v>
      </c>
      <c r="T41" s="21">
        <v>174.951606019417</v>
      </c>
      <c r="U41" s="22">
        <v>-5.3865003928591997E-2</v>
      </c>
      <c r="V41" s="22">
        <v>5.5866032138586798E-3</v>
      </c>
      <c r="W41" s="22">
        <v>5.9139752753004302E-3</v>
      </c>
      <c r="X41" s="23">
        <v>1.3743184512050499</v>
      </c>
      <c r="Y41" s="23">
        <v>1.3022759807794699</v>
      </c>
      <c r="Z41" s="23">
        <v>1.3790458429860799</v>
      </c>
      <c r="AA41" s="23">
        <v>1.38207591957822</v>
      </c>
      <c r="AB41" s="21">
        <v>164.80302536764199</v>
      </c>
      <c r="AC41" s="21">
        <v>174.89434112547701</v>
      </c>
      <c r="AD41" s="21">
        <v>174.951606019417</v>
      </c>
      <c r="AE41" s="22">
        <v>-5.3844448252666099E-2</v>
      </c>
      <c r="AF41" s="22">
        <v>5.5866032138586798E-3</v>
      </c>
      <c r="AG41" s="22">
        <v>5.9139752753004302E-3</v>
      </c>
      <c r="AZ41" s="17"/>
      <c r="BB41">
        <f t="shared" si="6"/>
        <v>0</v>
      </c>
      <c r="BC41">
        <f t="shared" si="7"/>
        <v>1</v>
      </c>
      <c r="BD41">
        <f t="shared" si="8"/>
        <v>0</v>
      </c>
      <c r="BE41">
        <f t="shared" si="4"/>
        <v>1</v>
      </c>
      <c r="BF41">
        <f t="shared" si="9"/>
        <v>0</v>
      </c>
      <c r="BG41" s="17">
        <f t="shared" si="10"/>
        <v>0</v>
      </c>
      <c r="BH41" s="17">
        <f t="shared" si="11"/>
        <v>0</v>
      </c>
      <c r="BI41" s="17">
        <f t="shared" si="12"/>
        <v>0</v>
      </c>
      <c r="BJ41" s="11">
        <f t="shared" si="13"/>
        <v>2.7575343355872792E-2</v>
      </c>
      <c r="BL41" s="17"/>
      <c r="BN41">
        <f t="shared" si="14"/>
        <v>0</v>
      </c>
      <c r="BO41">
        <f t="shared" si="15"/>
        <v>1</v>
      </c>
      <c r="BP41">
        <f t="shared" si="16"/>
        <v>0</v>
      </c>
      <c r="BQ41">
        <f t="shared" si="5"/>
        <v>1</v>
      </c>
      <c r="BR41">
        <f t="shared" si="17"/>
        <v>0</v>
      </c>
      <c r="BS41" s="17">
        <f t="shared" si="18"/>
        <v>0</v>
      </c>
      <c r="BT41" s="17">
        <f t="shared" si="19"/>
        <v>0</v>
      </c>
      <c r="BU41" s="17">
        <f t="shared" si="20"/>
        <v>0</v>
      </c>
      <c r="BV41" s="11">
        <f t="shared" si="21"/>
        <v>0</v>
      </c>
      <c r="BX41" s="11">
        <f t="shared" si="22"/>
        <v>0</v>
      </c>
      <c r="BY41" s="11">
        <f t="shared" si="23"/>
        <v>2.7575343355872792E-2</v>
      </c>
    </row>
    <row r="42" spans="1:98" x14ac:dyDescent="0.25">
      <c r="A42" s="1">
        <v>46084</v>
      </c>
      <c r="B42" s="21">
        <v>123.5</v>
      </c>
      <c r="C42" s="21">
        <v>170.1</v>
      </c>
      <c r="D42" s="22">
        <v>-2.43963309231012E-2</v>
      </c>
      <c r="E42" s="22">
        <v>-2.2208923971083198E-2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123.5</v>
      </c>
      <c r="M42" s="21">
        <v>170.1</v>
      </c>
      <c r="N42" s="23">
        <v>1.3773279352226699</v>
      </c>
      <c r="O42" s="23">
        <v>1.3022492118915701</v>
      </c>
      <c r="P42" s="23">
        <v>1.37714933377225</v>
      </c>
      <c r="Q42" s="23">
        <v>1.3825716842231399</v>
      </c>
      <c r="R42" s="21">
        <v>160.827777668609</v>
      </c>
      <c r="S42" s="21">
        <v>170.312161608781</v>
      </c>
      <c r="T42" s="21">
        <v>170.68637606791</v>
      </c>
      <c r="U42" s="22">
        <v>-5.6052410880609999E-2</v>
      </c>
      <c r="V42" s="22">
        <v>1.2464985695529499E-3</v>
      </c>
      <c r="W42" s="22">
        <v>3.4413150746421799E-3</v>
      </c>
      <c r="X42" s="23">
        <v>1.3773279352226699</v>
      </c>
      <c r="Y42" s="23">
        <v>1.3022759807794699</v>
      </c>
      <c r="Z42" s="23">
        <v>1.37714933377225</v>
      </c>
      <c r="AA42" s="23">
        <v>1.3825716842231399</v>
      </c>
      <c r="AB42" s="21">
        <v>160.83108362626501</v>
      </c>
      <c r="AC42" s="21">
        <v>170.312161608781</v>
      </c>
      <c r="AD42" s="21">
        <v>170.68637606791</v>
      </c>
      <c r="AE42" s="22">
        <v>-5.6031855204683997E-2</v>
      </c>
      <c r="AF42" s="22">
        <v>1.2464985695529499E-3</v>
      </c>
      <c r="AG42" s="22">
        <v>3.4413150746421799E-3</v>
      </c>
      <c r="AZ42" s="17"/>
      <c r="BB42">
        <f t="shared" si="6"/>
        <v>0</v>
      </c>
      <c r="BC42">
        <f t="shared" si="7"/>
        <v>1</v>
      </c>
      <c r="BD42">
        <f t="shared" si="8"/>
        <v>0</v>
      </c>
      <c r="BE42">
        <f t="shared" si="4"/>
        <v>1</v>
      </c>
      <c r="BF42">
        <f t="shared" si="9"/>
        <v>0</v>
      </c>
      <c r="BG42" s="17">
        <f t="shared" si="10"/>
        <v>0</v>
      </c>
      <c r="BH42" s="17">
        <f t="shared" si="11"/>
        <v>0</v>
      </c>
      <c r="BI42" s="17">
        <f t="shared" si="12"/>
        <v>0</v>
      </c>
      <c r="BJ42" s="11">
        <f t="shared" si="13"/>
        <v>2.7575343355872792E-2</v>
      </c>
      <c r="BL42" s="17"/>
      <c r="BN42">
        <f t="shared" si="14"/>
        <v>0</v>
      </c>
      <c r="BO42">
        <f t="shared" si="15"/>
        <v>1</v>
      </c>
      <c r="BP42">
        <f t="shared" si="16"/>
        <v>0</v>
      </c>
      <c r="BQ42">
        <f t="shared" si="5"/>
        <v>1</v>
      </c>
      <c r="BR42">
        <f t="shared" si="17"/>
        <v>0</v>
      </c>
      <c r="BS42" s="17">
        <f t="shared" si="18"/>
        <v>0</v>
      </c>
      <c r="BT42" s="17">
        <f t="shared" si="19"/>
        <v>0</v>
      </c>
      <c r="BU42" s="17">
        <f t="shared" si="20"/>
        <v>0</v>
      </c>
      <c r="BV42" s="11">
        <f t="shared" si="21"/>
        <v>0</v>
      </c>
      <c r="BX42" s="11">
        <f t="shared" si="22"/>
        <v>0</v>
      </c>
      <c r="BY42" s="11">
        <f t="shared" si="23"/>
        <v>2.7575343355872792E-2</v>
      </c>
    </row>
    <row r="43" spans="1:98" x14ac:dyDescent="0.25">
      <c r="A43" s="1">
        <v>46085</v>
      </c>
      <c r="B43" s="21">
        <v>126.42</v>
      </c>
      <c r="C43" s="21">
        <v>172.97</v>
      </c>
      <c r="D43" s="22">
        <v>2.3368540976120799E-2</v>
      </c>
      <c r="E43" s="22">
        <v>1.6731669654015801E-2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126.42</v>
      </c>
      <c r="M43" s="21">
        <v>172.97</v>
      </c>
      <c r="N43" s="23">
        <v>1.3682170542635601</v>
      </c>
      <c r="O43" s="23">
        <v>1.3022492118915701</v>
      </c>
      <c r="P43" s="23">
        <v>1.3748309118100699</v>
      </c>
      <c r="Q43" s="23">
        <v>1.38290576451172</v>
      </c>
      <c r="R43" s="21">
        <v>164.63034536733201</v>
      </c>
      <c r="S43" s="21">
        <v>174.099218775488</v>
      </c>
      <c r="T43" s="21">
        <v>174.78471231948899</v>
      </c>
      <c r="U43" s="22">
        <v>-4.9415539558505098E-2</v>
      </c>
      <c r="V43" s="22">
        <v>6.5071904910581502E-3</v>
      </c>
      <c r="W43" s="22">
        <v>1.0436832214428E-2</v>
      </c>
      <c r="X43" s="23">
        <v>1.3682170542635601</v>
      </c>
      <c r="Y43" s="23">
        <v>1.3022759807794699</v>
      </c>
      <c r="Z43" s="23">
        <v>1.3748309118100699</v>
      </c>
      <c r="AA43" s="23">
        <v>1.38290576451172</v>
      </c>
      <c r="AB43" s="21">
        <v>164.63372949014101</v>
      </c>
      <c r="AC43" s="21">
        <v>174.099218775488</v>
      </c>
      <c r="AD43" s="21">
        <v>174.78471231948899</v>
      </c>
      <c r="AE43" s="22">
        <v>-4.9394983882579298E-2</v>
      </c>
      <c r="AF43" s="22">
        <v>6.5071904910581502E-3</v>
      </c>
      <c r="AG43" s="22">
        <v>1.0436832214428E-2</v>
      </c>
      <c r="AZ43" s="17"/>
      <c r="BB43">
        <f t="shared" si="6"/>
        <v>0</v>
      </c>
      <c r="BC43">
        <f t="shared" si="7"/>
        <v>1</v>
      </c>
      <c r="BD43">
        <f t="shared" si="8"/>
        <v>0</v>
      </c>
      <c r="BE43">
        <f t="shared" si="4"/>
        <v>1</v>
      </c>
      <c r="BF43">
        <f t="shared" si="9"/>
        <v>0</v>
      </c>
      <c r="BG43" s="17">
        <f t="shared" si="10"/>
        <v>0</v>
      </c>
      <c r="BH43" s="17">
        <f t="shared" si="11"/>
        <v>0</v>
      </c>
      <c r="BI43" s="17">
        <f t="shared" si="12"/>
        <v>0</v>
      </c>
      <c r="BJ43" s="11">
        <f t="shared" si="13"/>
        <v>2.7575343355872792E-2</v>
      </c>
      <c r="BL43" s="17"/>
      <c r="BN43">
        <f t="shared" si="14"/>
        <v>0</v>
      </c>
      <c r="BO43">
        <f t="shared" si="15"/>
        <v>1</v>
      </c>
      <c r="BP43">
        <f t="shared" si="16"/>
        <v>0</v>
      </c>
      <c r="BQ43">
        <f t="shared" si="5"/>
        <v>1</v>
      </c>
      <c r="BR43">
        <f t="shared" si="17"/>
        <v>0</v>
      </c>
      <c r="BS43" s="17">
        <f t="shared" si="18"/>
        <v>0</v>
      </c>
      <c r="BT43" s="17">
        <f t="shared" si="19"/>
        <v>0</v>
      </c>
      <c r="BU43" s="17">
        <f t="shared" si="20"/>
        <v>0</v>
      </c>
      <c r="BV43" s="11">
        <f t="shared" si="21"/>
        <v>0</v>
      </c>
      <c r="BX43" s="11">
        <f t="shared" si="22"/>
        <v>0</v>
      </c>
      <c r="BY43" s="11">
        <f t="shared" si="23"/>
        <v>2.7575343355872792E-2</v>
      </c>
    </row>
    <row r="44" spans="1:98" x14ac:dyDescent="0.25">
      <c r="A44" s="1">
        <v>46086</v>
      </c>
      <c r="B44" s="21">
        <v>123.9</v>
      </c>
      <c r="C44" s="21">
        <v>168.67</v>
      </c>
      <c r="D44" s="22">
        <v>-2.01349084090559E-2</v>
      </c>
      <c r="E44" s="22">
        <v>-2.5174025785908799E-2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123.9</v>
      </c>
      <c r="M44" s="21">
        <v>168.67</v>
      </c>
      <c r="N44" s="23">
        <v>1.3613397901533399</v>
      </c>
      <c r="O44" s="23">
        <v>1.3022492118915701</v>
      </c>
      <c r="P44" s="23">
        <v>1.3728632654506201</v>
      </c>
      <c r="Q44" s="23">
        <v>1.3815138985640401</v>
      </c>
      <c r="R44" s="21">
        <v>161.34867735336601</v>
      </c>
      <c r="S44" s="21">
        <v>170.341549973268</v>
      </c>
      <c r="T44" s="21">
        <v>171.342024223002</v>
      </c>
      <c r="U44" s="22">
        <v>-4.4376422181652102E-2</v>
      </c>
      <c r="V44" s="22">
        <v>9.8613956928426602E-3</v>
      </c>
      <c r="W44" s="22">
        <v>1.5717557267639199E-2</v>
      </c>
      <c r="X44" s="23">
        <v>1.3613397901533399</v>
      </c>
      <c r="Y44" s="23">
        <v>1.3022759807794699</v>
      </c>
      <c r="Z44" s="23">
        <v>1.3728632654506201</v>
      </c>
      <c r="AA44" s="23">
        <v>1.3815138985640401</v>
      </c>
      <c r="AB44" s="21">
        <v>161.35199401857599</v>
      </c>
      <c r="AC44" s="21">
        <v>170.341549973268</v>
      </c>
      <c r="AD44" s="21">
        <v>171.342024223002</v>
      </c>
      <c r="AE44" s="22">
        <v>-4.4355866505726198E-2</v>
      </c>
      <c r="AF44" s="22">
        <v>9.8613956928426602E-3</v>
      </c>
      <c r="AG44" s="22">
        <v>1.5717557267639199E-2</v>
      </c>
      <c r="AZ44" s="17"/>
      <c r="BB44">
        <f t="shared" si="6"/>
        <v>0</v>
      </c>
      <c r="BC44">
        <f t="shared" si="7"/>
        <v>1</v>
      </c>
      <c r="BD44">
        <f t="shared" si="8"/>
        <v>0</v>
      </c>
      <c r="BE44">
        <f t="shared" si="4"/>
        <v>1</v>
      </c>
      <c r="BF44">
        <f t="shared" si="9"/>
        <v>0</v>
      </c>
      <c r="BG44" s="17">
        <f t="shared" si="10"/>
        <v>0</v>
      </c>
      <c r="BH44" s="17">
        <f t="shared" si="11"/>
        <v>0</v>
      </c>
      <c r="BI44" s="17">
        <f t="shared" si="12"/>
        <v>0</v>
      </c>
      <c r="BJ44" s="11">
        <f t="shared" si="13"/>
        <v>2.7575343355872792E-2</v>
      </c>
      <c r="BL44" s="17"/>
      <c r="BN44">
        <f t="shared" si="14"/>
        <v>0</v>
      </c>
      <c r="BO44">
        <f t="shared" si="15"/>
        <v>1</v>
      </c>
      <c r="BP44">
        <f t="shared" si="16"/>
        <v>0</v>
      </c>
      <c r="BQ44">
        <f t="shared" si="5"/>
        <v>1</v>
      </c>
      <c r="BR44">
        <f t="shared" si="17"/>
        <v>0</v>
      </c>
      <c r="BS44" s="17">
        <f t="shared" si="18"/>
        <v>0</v>
      </c>
      <c r="BT44" s="17">
        <f t="shared" si="19"/>
        <v>0</v>
      </c>
      <c r="BU44" s="17">
        <f t="shared" si="20"/>
        <v>0</v>
      </c>
      <c r="BV44" s="11">
        <f t="shared" si="21"/>
        <v>0</v>
      </c>
      <c r="BX44" s="11">
        <f t="shared" si="22"/>
        <v>0</v>
      </c>
      <c r="BY44" s="11">
        <f t="shared" si="23"/>
        <v>2.7575343355872792E-2</v>
      </c>
    </row>
    <row r="45" spans="1:98" x14ac:dyDescent="0.25">
      <c r="A45" s="1">
        <v>46087</v>
      </c>
      <c r="B45" s="21">
        <v>124</v>
      </c>
      <c r="C45" s="21">
        <v>167.56</v>
      </c>
      <c r="D45" s="22">
        <v>8.0677696994011004E-4</v>
      </c>
      <c r="E45" s="22">
        <v>-6.6026471910890202E-3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124</v>
      </c>
      <c r="M45" s="21">
        <v>167.56</v>
      </c>
      <c r="N45" s="23">
        <v>1.3512903225806401</v>
      </c>
      <c r="O45" s="23">
        <v>1.3022492118915701</v>
      </c>
      <c r="P45" s="23">
        <v>1.3682343236743799</v>
      </c>
      <c r="Q45" s="23">
        <v>1.3786509793054</v>
      </c>
      <c r="R45" s="21">
        <v>161.478902274555</v>
      </c>
      <c r="S45" s="21">
        <v>170.23504491587701</v>
      </c>
      <c r="T45" s="21">
        <v>171.30772342194101</v>
      </c>
      <c r="U45" s="22">
        <v>-3.6966998020623199E-2</v>
      </c>
      <c r="V45" s="22">
        <v>1.5838603188657999E-2</v>
      </c>
      <c r="W45" s="22">
        <v>2.2119995344838599E-2</v>
      </c>
      <c r="X45" s="23">
        <v>1.3512903225806401</v>
      </c>
      <c r="Y45" s="23">
        <v>1.3022759807794699</v>
      </c>
      <c r="Z45" s="23">
        <v>1.3682343236743799</v>
      </c>
      <c r="AA45" s="23">
        <v>1.3786509793054</v>
      </c>
      <c r="AB45" s="21">
        <v>161.48222161665399</v>
      </c>
      <c r="AC45" s="21">
        <v>170.23504491587701</v>
      </c>
      <c r="AD45" s="21">
        <v>171.30772342194101</v>
      </c>
      <c r="AE45" s="22">
        <v>-3.6946442344697197E-2</v>
      </c>
      <c r="AF45" s="22">
        <v>1.5838603188657999E-2</v>
      </c>
      <c r="AG45" s="22">
        <v>2.2119995344838599E-2</v>
      </c>
      <c r="AZ45" s="17"/>
      <c r="BB45">
        <f t="shared" si="6"/>
        <v>0</v>
      </c>
      <c r="BC45">
        <f t="shared" si="7"/>
        <v>1</v>
      </c>
      <c r="BD45">
        <f t="shared" si="8"/>
        <v>0</v>
      </c>
      <c r="BE45">
        <f t="shared" si="4"/>
        <v>1</v>
      </c>
      <c r="BF45">
        <f t="shared" si="9"/>
        <v>0</v>
      </c>
      <c r="BG45" s="17">
        <f t="shared" si="10"/>
        <v>0</v>
      </c>
      <c r="BH45" s="17">
        <f t="shared" si="11"/>
        <v>0</v>
      </c>
      <c r="BI45" s="17">
        <f t="shared" si="12"/>
        <v>0</v>
      </c>
      <c r="BJ45" s="11">
        <f t="shared" si="13"/>
        <v>2.7575343355872792E-2</v>
      </c>
      <c r="BL45" s="17"/>
      <c r="BN45">
        <f t="shared" si="14"/>
        <v>0</v>
      </c>
      <c r="BO45">
        <f t="shared" si="15"/>
        <v>0</v>
      </c>
      <c r="BP45">
        <f t="shared" si="16"/>
        <v>0</v>
      </c>
      <c r="BQ45">
        <f t="shared" si="5"/>
        <v>1</v>
      </c>
      <c r="BR45">
        <f t="shared" si="17"/>
        <v>0</v>
      </c>
      <c r="BS45" s="17">
        <f t="shared" si="18"/>
        <v>0</v>
      </c>
      <c r="BT45" s="17">
        <f t="shared" si="19"/>
        <v>0</v>
      </c>
      <c r="BU45" s="17">
        <f t="shared" si="20"/>
        <v>0</v>
      </c>
      <c r="BV45" s="11">
        <f t="shared" si="21"/>
        <v>0</v>
      </c>
      <c r="BX45" s="11">
        <f t="shared" si="22"/>
        <v>0</v>
      </c>
      <c r="BY45" s="11">
        <f t="shared" si="23"/>
        <v>2.7575343355872792E-2</v>
      </c>
    </row>
    <row r="46" spans="1:98" x14ac:dyDescent="0.25">
      <c r="A46" s="1">
        <v>46090</v>
      </c>
      <c r="B46" s="21">
        <v>127.12</v>
      </c>
      <c r="C46" s="21">
        <v>171.29</v>
      </c>
      <c r="D46" s="22">
        <v>2.48499566234236E-2</v>
      </c>
      <c r="E46" s="22">
        <v>2.2016530431059299E-2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127.12</v>
      </c>
      <c r="M46" s="21">
        <v>171.29</v>
      </c>
      <c r="N46" s="23">
        <v>1.3474669603524201</v>
      </c>
      <c r="O46" s="23">
        <v>1.3022492118915701</v>
      </c>
      <c r="P46" s="23">
        <v>1.3650744276012501</v>
      </c>
      <c r="Q46" s="23">
        <v>1.37631673430254</v>
      </c>
      <c r="R46" s="21">
        <v>165.541919815656</v>
      </c>
      <c r="S46" s="21">
        <v>173.92994722548801</v>
      </c>
      <c r="T46" s="21">
        <v>175.254112489302</v>
      </c>
      <c r="U46" s="22">
        <v>-3.4133571828258803E-2</v>
      </c>
      <c r="V46" s="22">
        <v>1.52945894862639E-2</v>
      </c>
      <c r="W46" s="22">
        <v>2.28789655448969E-2</v>
      </c>
      <c r="X46" s="23">
        <v>1.3474669603524201</v>
      </c>
      <c r="Y46" s="23">
        <v>1.3022759807794699</v>
      </c>
      <c r="Z46" s="23">
        <v>1.3650744276012501</v>
      </c>
      <c r="AA46" s="23">
        <v>1.37631673430254</v>
      </c>
      <c r="AB46" s="21">
        <v>165.545322676686</v>
      </c>
      <c r="AC46" s="21">
        <v>173.92994722548801</v>
      </c>
      <c r="AD46" s="21">
        <v>175.254112489302</v>
      </c>
      <c r="AE46" s="22">
        <v>-3.4113016152332899E-2</v>
      </c>
      <c r="AF46" s="22">
        <v>1.52945894862639E-2</v>
      </c>
      <c r="AG46" s="22">
        <v>2.28789655448969E-2</v>
      </c>
      <c r="AZ46" s="17"/>
      <c r="BB46">
        <f t="shared" si="6"/>
        <v>0</v>
      </c>
      <c r="BC46">
        <f t="shared" si="7"/>
        <v>1</v>
      </c>
      <c r="BD46">
        <f t="shared" si="8"/>
        <v>0</v>
      </c>
      <c r="BE46">
        <f t="shared" si="4"/>
        <v>1</v>
      </c>
      <c r="BF46">
        <f t="shared" si="9"/>
        <v>0</v>
      </c>
      <c r="BG46" s="17">
        <f t="shared" si="10"/>
        <v>0</v>
      </c>
      <c r="BH46" s="17">
        <f t="shared" si="11"/>
        <v>0</v>
      </c>
      <c r="BI46" s="17">
        <f t="shared" si="12"/>
        <v>0</v>
      </c>
      <c r="BJ46" s="11">
        <f t="shared" si="13"/>
        <v>2.7575343355872792E-2</v>
      </c>
      <c r="BL46" s="17"/>
      <c r="BN46">
        <f t="shared" si="14"/>
        <v>0</v>
      </c>
      <c r="BO46">
        <f t="shared" si="15"/>
        <v>0</v>
      </c>
      <c r="BP46">
        <f t="shared" si="16"/>
        <v>0</v>
      </c>
      <c r="BQ46">
        <f t="shared" si="5"/>
        <v>1</v>
      </c>
      <c r="BR46">
        <f t="shared" si="17"/>
        <v>0</v>
      </c>
      <c r="BS46" s="17">
        <f t="shared" si="18"/>
        <v>0</v>
      </c>
      <c r="BT46" s="17">
        <f t="shared" si="19"/>
        <v>0</v>
      </c>
      <c r="BU46" s="17">
        <f t="shared" si="20"/>
        <v>0</v>
      </c>
      <c r="BV46" s="11">
        <f t="shared" si="21"/>
        <v>0</v>
      </c>
      <c r="BX46" s="11">
        <f t="shared" si="22"/>
        <v>0</v>
      </c>
      <c r="BY46" s="11">
        <f t="shared" si="23"/>
        <v>2.7575343355872792E-2</v>
      </c>
    </row>
    <row r="47" spans="1:98" x14ac:dyDescent="0.25">
      <c r="A47" s="1">
        <v>46091</v>
      </c>
      <c r="B47" s="21">
        <v>127.43</v>
      </c>
      <c r="C47" s="21">
        <v>172.27</v>
      </c>
      <c r="D47" s="22">
        <v>2.4356719957271699E-3</v>
      </c>
      <c r="E47" s="22">
        <v>5.7049869483843099E-3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127.43</v>
      </c>
      <c r="M47" s="21">
        <v>172.27</v>
      </c>
      <c r="N47" s="23">
        <v>1.35187946323471</v>
      </c>
      <c r="O47" s="23">
        <v>1.3022492118915701</v>
      </c>
      <c r="P47" s="23">
        <v>1.3637185523081301</v>
      </c>
      <c r="Q47" s="23">
        <v>1.3747766181771499</v>
      </c>
      <c r="R47" s="21">
        <v>165.94561707134301</v>
      </c>
      <c r="S47" s="21">
        <v>173.95143430922801</v>
      </c>
      <c r="T47" s="21">
        <v>175.38404145217299</v>
      </c>
      <c r="U47" s="22">
        <v>-3.7402886780915801E-2</v>
      </c>
      <c r="V47" s="22">
        <v>9.7131336315680796E-3</v>
      </c>
      <c r="W47" s="22">
        <v>1.7915078601500899E-2</v>
      </c>
      <c r="X47" s="23">
        <v>1.35187946323471</v>
      </c>
      <c r="Y47" s="23">
        <v>1.3022759807794699</v>
      </c>
      <c r="Z47" s="23">
        <v>1.3637185523081301</v>
      </c>
      <c r="AA47" s="23">
        <v>1.3747766181771499</v>
      </c>
      <c r="AB47" s="21">
        <v>165.949028230728</v>
      </c>
      <c r="AC47" s="21">
        <v>173.95143430922801</v>
      </c>
      <c r="AD47" s="21">
        <v>175.38404145217299</v>
      </c>
      <c r="AE47" s="22">
        <v>-3.7382331104989897E-2</v>
      </c>
      <c r="AF47" s="22">
        <v>9.7131336315680796E-3</v>
      </c>
      <c r="AG47" s="22">
        <v>1.7915078601500899E-2</v>
      </c>
      <c r="AZ47" s="17"/>
      <c r="BB47">
        <f t="shared" si="6"/>
        <v>0</v>
      </c>
      <c r="BC47">
        <f t="shared" si="7"/>
        <v>1</v>
      </c>
      <c r="BD47">
        <f t="shared" si="8"/>
        <v>0</v>
      </c>
      <c r="BE47">
        <f t="shared" si="4"/>
        <v>1</v>
      </c>
      <c r="BF47">
        <f t="shared" si="9"/>
        <v>0</v>
      </c>
      <c r="BG47" s="17">
        <f t="shared" si="10"/>
        <v>0</v>
      </c>
      <c r="BH47" s="17">
        <f t="shared" si="11"/>
        <v>0</v>
      </c>
      <c r="BI47" s="17">
        <f t="shared" si="12"/>
        <v>0</v>
      </c>
      <c r="BJ47" s="11">
        <f t="shared" si="13"/>
        <v>2.7575343355872792E-2</v>
      </c>
      <c r="BL47" s="17"/>
      <c r="BN47">
        <f t="shared" si="14"/>
        <v>0</v>
      </c>
      <c r="BO47">
        <f t="shared" si="15"/>
        <v>1</v>
      </c>
      <c r="BP47">
        <f t="shared" si="16"/>
        <v>0</v>
      </c>
      <c r="BQ47">
        <f t="shared" si="5"/>
        <v>1</v>
      </c>
      <c r="BR47">
        <f t="shared" si="17"/>
        <v>0</v>
      </c>
      <c r="BS47" s="17">
        <f t="shared" si="18"/>
        <v>0</v>
      </c>
      <c r="BT47" s="17">
        <f t="shared" si="19"/>
        <v>0</v>
      </c>
      <c r="BU47" s="17">
        <f t="shared" si="20"/>
        <v>0</v>
      </c>
      <c r="BV47" s="11">
        <f t="shared" si="21"/>
        <v>0</v>
      </c>
      <c r="BX47" s="11">
        <f t="shared" si="22"/>
        <v>0</v>
      </c>
      <c r="BY47" s="11">
        <f t="shared" si="23"/>
        <v>2.7575343355872792E-2</v>
      </c>
    </row>
    <row r="48" spans="1:98" x14ac:dyDescent="0.25">
      <c r="A48" s="1">
        <v>46092</v>
      </c>
      <c r="B48" s="21">
        <v>126.38</v>
      </c>
      <c r="C48" s="21">
        <v>170.87</v>
      </c>
      <c r="D48" s="22">
        <v>-8.2739528788786793E-3</v>
      </c>
      <c r="E48" s="22">
        <v>-8.1599799980958208E-3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126.38</v>
      </c>
      <c r="M48" s="21">
        <v>170.87</v>
      </c>
      <c r="N48" s="23">
        <v>1.35203354961228</v>
      </c>
      <c r="O48" s="23">
        <v>1.3022492118915701</v>
      </c>
      <c r="P48" s="23">
        <v>1.3622677133186201</v>
      </c>
      <c r="Q48" s="23">
        <v>1.37374098913151</v>
      </c>
      <c r="R48" s="21">
        <v>164.57825539885701</v>
      </c>
      <c r="S48" s="21">
        <v>172.346750640701</v>
      </c>
      <c r="T48" s="21">
        <v>173.74426900522801</v>
      </c>
      <c r="U48" s="22">
        <v>-3.7516859661698702E-2</v>
      </c>
      <c r="V48" s="22">
        <v>8.60540606533069E-3</v>
      </c>
      <c r="W48" s="22">
        <v>1.66814662981618E-2</v>
      </c>
      <c r="X48" s="23">
        <v>1.35203354961228</v>
      </c>
      <c r="Y48" s="23">
        <v>1.3022759807794699</v>
      </c>
      <c r="Z48" s="23">
        <v>1.3622677133186201</v>
      </c>
      <c r="AA48" s="23">
        <v>1.37374098913151</v>
      </c>
      <c r="AB48" s="21">
        <v>164.581638450909</v>
      </c>
      <c r="AC48" s="21">
        <v>172.346750640701</v>
      </c>
      <c r="AD48" s="21">
        <v>173.74426900522801</v>
      </c>
      <c r="AE48" s="22">
        <v>-3.7496303985772701E-2</v>
      </c>
      <c r="AF48" s="22">
        <v>8.60540606533069E-3</v>
      </c>
      <c r="AG48" s="22">
        <v>1.66814662981618E-2</v>
      </c>
      <c r="AZ48" s="17"/>
      <c r="BB48">
        <f t="shared" si="6"/>
        <v>0</v>
      </c>
      <c r="BC48">
        <f t="shared" si="7"/>
        <v>1</v>
      </c>
      <c r="BD48">
        <f t="shared" si="8"/>
        <v>0</v>
      </c>
      <c r="BE48">
        <f t="shared" si="4"/>
        <v>1</v>
      </c>
      <c r="BF48">
        <f t="shared" si="9"/>
        <v>0</v>
      </c>
      <c r="BG48" s="17">
        <f t="shared" si="10"/>
        <v>0</v>
      </c>
      <c r="BH48" s="17">
        <f t="shared" si="11"/>
        <v>0</v>
      </c>
      <c r="BI48" s="17">
        <f t="shared" si="12"/>
        <v>0</v>
      </c>
      <c r="BJ48" s="11">
        <f t="shared" si="13"/>
        <v>2.7575343355872792E-2</v>
      </c>
      <c r="BL48" s="17"/>
      <c r="BN48">
        <f t="shared" si="14"/>
        <v>0</v>
      </c>
      <c r="BO48">
        <f t="shared" si="15"/>
        <v>1</v>
      </c>
      <c r="BP48">
        <f t="shared" si="16"/>
        <v>0</v>
      </c>
      <c r="BQ48">
        <f t="shared" si="5"/>
        <v>1</v>
      </c>
      <c r="BR48">
        <f t="shared" si="17"/>
        <v>0</v>
      </c>
      <c r="BS48" s="17">
        <f t="shared" si="18"/>
        <v>0</v>
      </c>
      <c r="BT48" s="17">
        <f t="shared" si="19"/>
        <v>0</v>
      </c>
      <c r="BU48" s="17">
        <f t="shared" si="20"/>
        <v>0</v>
      </c>
      <c r="BV48" s="11">
        <f t="shared" si="21"/>
        <v>0</v>
      </c>
      <c r="BX48" s="11">
        <f t="shared" si="22"/>
        <v>0</v>
      </c>
      <c r="BY48" s="11">
        <f t="shared" si="23"/>
        <v>2.7575343355872792E-2</v>
      </c>
    </row>
    <row r="49" spans="1:77" x14ac:dyDescent="0.25">
      <c r="A49" s="1">
        <v>46093</v>
      </c>
      <c r="B49" s="21">
        <v>122.62</v>
      </c>
      <c r="C49" s="21">
        <v>166.23</v>
      </c>
      <c r="D49" s="22">
        <v>-3.02030990107672E-2</v>
      </c>
      <c r="E49" s="22">
        <v>-2.75306619128141E-2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122.62</v>
      </c>
      <c r="M49" s="21">
        <v>166.23</v>
      </c>
      <c r="N49" s="23">
        <v>1.3556516065894599</v>
      </c>
      <c r="O49" s="23">
        <v>1.3022492118915701</v>
      </c>
      <c r="P49" s="23">
        <v>1.36163799655922</v>
      </c>
      <c r="Q49" s="23">
        <v>1.3722496023530899</v>
      </c>
      <c r="R49" s="21">
        <v>159.68179836214401</v>
      </c>
      <c r="S49" s="21">
        <v>167.04126700712899</v>
      </c>
      <c r="T49" s="21">
        <v>168.44812008730599</v>
      </c>
      <c r="U49" s="22">
        <v>-4.0189296759651903E-2</v>
      </c>
      <c r="V49" s="22">
        <v>4.8685181704022397E-3</v>
      </c>
      <c r="W49" s="22">
        <v>1.32554381794405E-2</v>
      </c>
      <c r="X49" s="23">
        <v>1.3556516065894599</v>
      </c>
      <c r="Y49" s="23">
        <v>1.3022759807794699</v>
      </c>
      <c r="Z49" s="23">
        <v>1.36163799655922</v>
      </c>
      <c r="AA49" s="23">
        <v>1.3722496023530899</v>
      </c>
      <c r="AB49" s="21">
        <v>159.685080763179</v>
      </c>
      <c r="AC49" s="21">
        <v>167.04126700712899</v>
      </c>
      <c r="AD49" s="21">
        <v>168.44812008730599</v>
      </c>
      <c r="AE49" s="22">
        <v>-4.0168741083725902E-2</v>
      </c>
      <c r="AF49" s="22">
        <v>4.8685181704022397E-3</v>
      </c>
      <c r="AG49" s="22">
        <v>1.32554381794405E-2</v>
      </c>
      <c r="AZ49" s="17"/>
      <c r="BB49">
        <f t="shared" si="6"/>
        <v>0</v>
      </c>
      <c r="BC49">
        <f t="shared" si="7"/>
        <v>1</v>
      </c>
      <c r="BD49">
        <f t="shared" si="8"/>
        <v>0</v>
      </c>
      <c r="BE49">
        <f t="shared" si="4"/>
        <v>1</v>
      </c>
      <c r="BF49">
        <f t="shared" si="9"/>
        <v>0</v>
      </c>
      <c r="BG49" s="17">
        <f t="shared" si="10"/>
        <v>0</v>
      </c>
      <c r="BH49" s="17">
        <f t="shared" si="11"/>
        <v>0</v>
      </c>
      <c r="BI49" s="17">
        <f t="shared" si="12"/>
        <v>0</v>
      </c>
      <c r="BJ49" s="11">
        <f t="shared" si="13"/>
        <v>2.7575343355872792E-2</v>
      </c>
      <c r="BL49" s="17"/>
      <c r="BN49">
        <f t="shared" si="14"/>
        <v>0</v>
      </c>
      <c r="BO49">
        <f t="shared" si="15"/>
        <v>1</v>
      </c>
      <c r="BP49">
        <f t="shared" si="16"/>
        <v>0</v>
      </c>
      <c r="BQ49">
        <f t="shared" si="5"/>
        <v>1</v>
      </c>
      <c r="BR49">
        <f t="shared" si="17"/>
        <v>0</v>
      </c>
      <c r="BS49" s="17">
        <f t="shared" si="18"/>
        <v>0</v>
      </c>
      <c r="BT49" s="17">
        <f t="shared" si="19"/>
        <v>0</v>
      </c>
      <c r="BU49" s="17">
        <f t="shared" si="20"/>
        <v>0</v>
      </c>
      <c r="BV49" s="11">
        <f t="shared" si="21"/>
        <v>0</v>
      </c>
      <c r="BX49" s="11">
        <f t="shared" si="22"/>
        <v>0</v>
      </c>
      <c r="BY49" s="11">
        <f t="shared" si="23"/>
        <v>2.7575343355872792E-2</v>
      </c>
    </row>
    <row r="50" spans="1:77" x14ac:dyDescent="0.25">
      <c r="A50" s="1">
        <v>46094</v>
      </c>
      <c r="B50" s="21">
        <v>121.83</v>
      </c>
      <c r="C50" s="21">
        <v>165.51</v>
      </c>
      <c r="D50" s="22">
        <v>-6.4635119682257903E-3</v>
      </c>
      <c r="E50" s="22">
        <v>-4.3407555949188598E-3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121.83</v>
      </c>
      <c r="M50" s="21">
        <v>165.51</v>
      </c>
      <c r="N50" s="23">
        <v>1.3585323811868899</v>
      </c>
      <c r="O50" s="23">
        <v>1.3022492118915701</v>
      </c>
      <c r="P50" s="23">
        <v>1.3598057514401001</v>
      </c>
      <c r="Q50" s="23">
        <v>1.37091173042363</v>
      </c>
      <c r="R50" s="21">
        <v>158.65302148475001</v>
      </c>
      <c r="S50" s="21">
        <v>165.88835712081001</v>
      </c>
      <c r="T50" s="21">
        <v>167.18116905467599</v>
      </c>
      <c r="U50" s="22">
        <v>-4.2312053132958799E-2</v>
      </c>
      <c r="V50" s="22">
        <v>2.2833986775993402E-3</v>
      </c>
      <c r="W50" s="22">
        <v>1.0046453084379001E-2</v>
      </c>
      <c r="X50" s="23">
        <v>1.3585323811868899</v>
      </c>
      <c r="Y50" s="23">
        <v>1.3022759807794699</v>
      </c>
      <c r="Z50" s="23">
        <v>1.3598057514401001</v>
      </c>
      <c r="AA50" s="23">
        <v>1.37091173042363</v>
      </c>
      <c r="AB50" s="21">
        <v>158.65628273836299</v>
      </c>
      <c r="AC50" s="21">
        <v>165.88835712081001</v>
      </c>
      <c r="AD50" s="21">
        <v>167.18116905467599</v>
      </c>
      <c r="AE50" s="22">
        <v>-4.2291497457032902E-2</v>
      </c>
      <c r="AF50" s="22">
        <v>2.2833986775993402E-3</v>
      </c>
      <c r="AG50" s="22">
        <v>1.0046453084379001E-2</v>
      </c>
      <c r="AZ50" s="17"/>
      <c r="BB50">
        <f t="shared" si="6"/>
        <v>0</v>
      </c>
      <c r="BC50">
        <f t="shared" si="7"/>
        <v>1</v>
      </c>
      <c r="BD50">
        <f t="shared" si="8"/>
        <v>0</v>
      </c>
      <c r="BE50">
        <f t="shared" si="4"/>
        <v>1</v>
      </c>
      <c r="BF50">
        <f t="shared" si="9"/>
        <v>0</v>
      </c>
      <c r="BG50" s="17">
        <f t="shared" si="10"/>
        <v>0</v>
      </c>
      <c r="BH50" s="17">
        <f t="shared" si="11"/>
        <v>0</v>
      </c>
      <c r="BI50" s="17">
        <f t="shared" si="12"/>
        <v>0</v>
      </c>
      <c r="BJ50" s="11">
        <f t="shared" si="13"/>
        <v>2.7575343355872792E-2</v>
      </c>
      <c r="BL50" s="17"/>
      <c r="BN50">
        <f t="shared" si="14"/>
        <v>0</v>
      </c>
      <c r="BO50">
        <f t="shared" si="15"/>
        <v>1</v>
      </c>
      <c r="BP50">
        <f t="shared" si="16"/>
        <v>0</v>
      </c>
      <c r="BQ50">
        <f t="shared" si="5"/>
        <v>1</v>
      </c>
      <c r="BR50">
        <f t="shared" si="17"/>
        <v>0</v>
      </c>
      <c r="BS50" s="17">
        <f t="shared" si="18"/>
        <v>0</v>
      </c>
      <c r="BT50" s="17">
        <f t="shared" si="19"/>
        <v>0</v>
      </c>
      <c r="BU50" s="17">
        <f t="shared" si="20"/>
        <v>0</v>
      </c>
      <c r="BV50" s="11">
        <f t="shared" si="21"/>
        <v>0</v>
      </c>
      <c r="BX50" s="11">
        <f t="shared" si="22"/>
        <v>0</v>
      </c>
      <c r="BY50" s="11">
        <f t="shared" si="23"/>
        <v>2.7575343355872792E-2</v>
      </c>
    </row>
    <row r="51" spans="1:77" x14ac:dyDescent="0.25">
      <c r="A51" s="1">
        <v>46097</v>
      </c>
      <c r="B51" s="21">
        <v>123.91</v>
      </c>
      <c r="C51" s="21">
        <v>167.14</v>
      </c>
      <c r="D51" s="22">
        <v>1.69288652620854E-2</v>
      </c>
      <c r="E51" s="22">
        <v>9.8001686208409496E-3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123.91</v>
      </c>
      <c r="M51" s="21">
        <v>167.14</v>
      </c>
      <c r="N51" s="23">
        <v>1.34888225324832</v>
      </c>
      <c r="O51" s="23">
        <v>1.3022492118915701</v>
      </c>
      <c r="P51" s="23">
        <v>1.35726213164443</v>
      </c>
      <c r="Q51" s="23">
        <v>1.36815398731525</v>
      </c>
      <c r="R51" s="21">
        <v>161.361699845484</v>
      </c>
      <c r="S51" s="21">
        <v>168.49353066094301</v>
      </c>
      <c r="T51" s="21">
        <v>169.86967251679201</v>
      </c>
      <c r="U51" s="22">
        <v>-3.5183356491714397E-2</v>
      </c>
      <c r="V51" s="22">
        <v>8.0655707784709103E-3</v>
      </c>
      <c r="W51" s="22">
        <v>1.6199726210030099E-2</v>
      </c>
      <c r="X51" s="23">
        <v>1.34888225324832</v>
      </c>
      <c r="Y51" s="23">
        <v>1.3022759807794699</v>
      </c>
      <c r="Z51" s="23">
        <v>1.35726213164443</v>
      </c>
      <c r="AA51" s="23">
        <v>1.36815398731525</v>
      </c>
      <c r="AB51" s="21">
        <v>161.36501677838399</v>
      </c>
      <c r="AC51" s="21">
        <v>168.49353066094301</v>
      </c>
      <c r="AD51" s="21">
        <v>169.86967251679201</v>
      </c>
      <c r="AE51" s="22">
        <v>-3.5162800815788403E-2</v>
      </c>
      <c r="AF51" s="22">
        <v>8.0655707784709103E-3</v>
      </c>
      <c r="AG51" s="22">
        <v>1.6199726210030099E-2</v>
      </c>
      <c r="AZ51" s="17"/>
      <c r="BB51">
        <f t="shared" si="6"/>
        <v>0</v>
      </c>
      <c r="BC51">
        <f t="shared" si="7"/>
        <v>1</v>
      </c>
      <c r="BD51">
        <f t="shared" si="8"/>
        <v>0</v>
      </c>
      <c r="BE51">
        <f t="shared" si="4"/>
        <v>0</v>
      </c>
      <c r="BF51">
        <f t="shared" si="9"/>
        <v>0</v>
      </c>
      <c r="BG51" s="17">
        <f t="shared" si="10"/>
        <v>0</v>
      </c>
      <c r="BH51" s="17">
        <f t="shared" si="11"/>
        <v>0</v>
      </c>
      <c r="BI51" s="17">
        <f t="shared" si="12"/>
        <v>0</v>
      </c>
      <c r="BJ51" s="11">
        <f t="shared" si="13"/>
        <v>2.7575343355872792E-2</v>
      </c>
      <c r="BL51" s="17"/>
      <c r="BN51">
        <f t="shared" si="14"/>
        <v>0</v>
      </c>
      <c r="BO51">
        <f t="shared" si="15"/>
        <v>1</v>
      </c>
      <c r="BP51">
        <f t="shared" si="16"/>
        <v>0</v>
      </c>
      <c r="BQ51">
        <f t="shared" si="5"/>
        <v>0</v>
      </c>
      <c r="BR51">
        <f t="shared" si="17"/>
        <v>0</v>
      </c>
      <c r="BS51" s="17">
        <f t="shared" si="18"/>
        <v>0</v>
      </c>
      <c r="BT51" s="17">
        <f t="shared" si="19"/>
        <v>0</v>
      </c>
      <c r="BU51" s="17">
        <f t="shared" si="20"/>
        <v>0</v>
      </c>
      <c r="BV51" s="11">
        <f t="shared" si="21"/>
        <v>0</v>
      </c>
      <c r="BX51" s="11">
        <f t="shared" si="22"/>
        <v>0</v>
      </c>
      <c r="BY51" s="11">
        <f t="shared" si="23"/>
        <v>2.7575343355872792E-2</v>
      </c>
    </row>
    <row r="52" spans="1:77" x14ac:dyDescent="0.25">
      <c r="A52" s="1">
        <v>46098</v>
      </c>
      <c r="B52" s="21">
        <v>124.19</v>
      </c>
      <c r="C52" s="21">
        <v>167.17</v>
      </c>
      <c r="D52" s="22">
        <v>2.25715533153956E-3</v>
      </c>
      <c r="E52" s="22">
        <v>1.79474141249352E-4</v>
      </c>
      <c r="F52" s="21">
        <v>0</v>
      </c>
      <c r="G52" s="21">
        <v>0</v>
      </c>
      <c r="H52" s="21">
        <v>0.121818</v>
      </c>
      <c r="I52" s="21">
        <v>0.121818</v>
      </c>
      <c r="J52" s="21">
        <v>0</v>
      </c>
      <c r="K52" s="21">
        <v>0.121818</v>
      </c>
      <c r="L52" s="21">
        <v>124.19</v>
      </c>
      <c r="M52" s="21">
        <v>167.29181799999901</v>
      </c>
      <c r="N52" s="23">
        <v>1.3460826153474501</v>
      </c>
      <c r="O52" s="23">
        <v>1.3022492118915701</v>
      </c>
      <c r="P52" s="23">
        <v>1.3541375996569101</v>
      </c>
      <c r="Q52" s="23">
        <v>1.36564346671458</v>
      </c>
      <c r="R52" s="21">
        <v>161.72632962481401</v>
      </c>
      <c r="S52" s="21">
        <v>168.558384128922</v>
      </c>
      <c r="T52" s="21">
        <v>169.911043684681</v>
      </c>
      <c r="U52" s="22">
        <v>-3.3105675301423998E-2</v>
      </c>
      <c r="V52" s="22">
        <v>8.2709244096397395E-3</v>
      </c>
      <c r="W52" s="22">
        <v>1.6263768937871698E-2</v>
      </c>
      <c r="X52" s="23">
        <v>1.34706351558096</v>
      </c>
      <c r="Y52" s="23">
        <v>1.3022759807794699</v>
      </c>
      <c r="Z52" s="23">
        <v>1.3542356896802601</v>
      </c>
      <c r="AA52" s="23">
        <v>1.3656925117262499</v>
      </c>
      <c r="AB52" s="21">
        <v>161.72965405300201</v>
      </c>
      <c r="AC52" s="21">
        <v>168.558384128922</v>
      </c>
      <c r="AD52" s="21">
        <v>169.911043684681</v>
      </c>
      <c r="AE52" s="22">
        <v>-3.3813561551186901E-2</v>
      </c>
      <c r="AF52" s="22">
        <v>7.5424824839509397E-3</v>
      </c>
      <c r="AG52" s="22">
        <v>1.55353270121829E-2</v>
      </c>
      <c r="AZ52" s="17"/>
      <c r="BB52">
        <f t="shared" si="6"/>
        <v>0</v>
      </c>
      <c r="BC52">
        <f t="shared" si="7"/>
        <v>1</v>
      </c>
      <c r="BD52">
        <f t="shared" si="8"/>
        <v>0</v>
      </c>
      <c r="BE52">
        <f t="shared" si="4"/>
        <v>1</v>
      </c>
      <c r="BF52">
        <f t="shared" si="9"/>
        <v>0</v>
      </c>
      <c r="BG52" s="17">
        <f t="shared" si="10"/>
        <v>0</v>
      </c>
      <c r="BH52" s="17">
        <f t="shared" si="11"/>
        <v>0</v>
      </c>
      <c r="BI52" s="17">
        <f t="shared" si="12"/>
        <v>0</v>
      </c>
      <c r="BJ52" s="11">
        <f t="shared" si="13"/>
        <v>2.7575343355872792E-2</v>
      </c>
      <c r="BL52" s="17"/>
      <c r="BN52">
        <f t="shared" si="14"/>
        <v>0</v>
      </c>
      <c r="BO52">
        <f t="shared" si="15"/>
        <v>1</v>
      </c>
      <c r="BP52">
        <f t="shared" si="16"/>
        <v>0</v>
      </c>
      <c r="BQ52">
        <f t="shared" si="5"/>
        <v>1</v>
      </c>
      <c r="BR52">
        <f t="shared" si="17"/>
        <v>0</v>
      </c>
      <c r="BS52" s="17">
        <f t="shared" si="18"/>
        <v>0</v>
      </c>
      <c r="BT52" s="17">
        <f t="shared" si="19"/>
        <v>0</v>
      </c>
      <c r="BU52" s="17">
        <f t="shared" si="20"/>
        <v>0</v>
      </c>
      <c r="BV52" s="11">
        <f t="shared" si="21"/>
        <v>0</v>
      </c>
      <c r="BX52" s="11">
        <f t="shared" si="22"/>
        <v>0</v>
      </c>
      <c r="BY52" s="11">
        <f t="shared" si="23"/>
        <v>2.7575343355872792E-2</v>
      </c>
    </row>
    <row r="53" spans="1:77" x14ac:dyDescent="0.25">
      <c r="A53" s="1">
        <v>46099</v>
      </c>
      <c r="B53" s="21">
        <v>121.11</v>
      </c>
      <c r="C53" s="21">
        <v>163.78</v>
      </c>
      <c r="D53" s="22">
        <v>-2.5113427426981999E-2</v>
      </c>
      <c r="E53" s="22">
        <v>-2.0487194872496998E-2</v>
      </c>
      <c r="F53" s="21">
        <v>0</v>
      </c>
      <c r="G53" s="21">
        <v>0</v>
      </c>
      <c r="H53" s="21">
        <v>0</v>
      </c>
      <c r="I53" s="21">
        <v>0.121818</v>
      </c>
      <c r="J53" s="21">
        <v>0</v>
      </c>
      <c r="K53" s="21">
        <v>0.121818</v>
      </c>
      <c r="L53" s="21">
        <v>121.11</v>
      </c>
      <c r="M53" s="21">
        <v>163.90181799999999</v>
      </c>
      <c r="N53" s="23">
        <v>1.35232433325076</v>
      </c>
      <c r="O53" s="23">
        <v>1.3022492118915701</v>
      </c>
      <c r="P53" s="23">
        <v>1.35254832755563</v>
      </c>
      <c r="Q53" s="23">
        <v>1.3636896196828501</v>
      </c>
      <c r="R53" s="21">
        <v>157.71540205218801</v>
      </c>
      <c r="S53" s="21">
        <v>163.99960469444801</v>
      </c>
      <c r="T53" s="21">
        <v>165.393080253802</v>
      </c>
      <c r="U53" s="22">
        <v>-3.7731907855908998E-2</v>
      </c>
      <c r="V53" s="22">
        <v>1.3399535795475201E-3</v>
      </c>
      <c r="W53" s="22">
        <v>9.8008814382994896E-3</v>
      </c>
      <c r="X53" s="23">
        <v>1.35333017917595</v>
      </c>
      <c r="Y53" s="23">
        <v>1.3022759807794699</v>
      </c>
      <c r="Z53" s="23">
        <v>1.3527470021715</v>
      </c>
      <c r="AA53" s="23">
        <v>1.36378895699078</v>
      </c>
      <c r="AB53" s="21">
        <v>157.71864403220201</v>
      </c>
      <c r="AC53" s="21">
        <v>164.011484377176</v>
      </c>
      <c r="AD53" s="21">
        <v>165.399020095167</v>
      </c>
      <c r="AE53" s="22">
        <v>-3.8454866155554601E-2</v>
      </c>
      <c r="AF53" s="22">
        <v>6.6887424493216696E-4</v>
      </c>
      <c r="AG53" s="22">
        <v>9.0932802995726796E-3</v>
      </c>
      <c r="AZ53" s="17"/>
      <c r="BB53">
        <f t="shared" si="6"/>
        <v>0</v>
      </c>
      <c r="BC53">
        <f t="shared" si="7"/>
        <v>1</v>
      </c>
      <c r="BD53">
        <f t="shared" si="8"/>
        <v>0</v>
      </c>
      <c r="BE53">
        <f t="shared" si="4"/>
        <v>1</v>
      </c>
      <c r="BF53">
        <f t="shared" si="9"/>
        <v>0</v>
      </c>
      <c r="BG53" s="17">
        <f t="shared" si="10"/>
        <v>0</v>
      </c>
      <c r="BH53" s="17">
        <f t="shared" si="11"/>
        <v>0</v>
      </c>
      <c r="BI53" s="17">
        <f t="shared" si="12"/>
        <v>0</v>
      </c>
      <c r="BJ53" s="11">
        <f t="shared" si="13"/>
        <v>2.7575343355872792E-2</v>
      </c>
      <c r="BL53" s="17"/>
      <c r="BN53">
        <f t="shared" si="14"/>
        <v>0</v>
      </c>
      <c r="BO53">
        <f t="shared" si="15"/>
        <v>1</v>
      </c>
      <c r="BP53">
        <f t="shared" si="16"/>
        <v>0</v>
      </c>
      <c r="BQ53">
        <f t="shared" si="5"/>
        <v>1</v>
      </c>
      <c r="BR53">
        <f t="shared" si="17"/>
        <v>0</v>
      </c>
      <c r="BS53" s="17">
        <f t="shared" si="18"/>
        <v>0</v>
      </c>
      <c r="BT53" s="17">
        <f t="shared" si="19"/>
        <v>0</v>
      </c>
      <c r="BU53" s="17">
        <f t="shared" si="20"/>
        <v>0</v>
      </c>
      <c r="BV53" s="11">
        <f t="shared" si="21"/>
        <v>0</v>
      </c>
      <c r="BX53" s="11">
        <f t="shared" si="22"/>
        <v>0</v>
      </c>
      <c r="BY53" s="11">
        <f t="shared" si="23"/>
        <v>2.7575343355872792E-2</v>
      </c>
    </row>
    <row r="54" spans="1:77" x14ac:dyDescent="0.25">
      <c r="A54" s="1">
        <v>46100</v>
      </c>
      <c r="B54" s="21">
        <v>122.33</v>
      </c>
      <c r="C54" s="21">
        <v>164.46</v>
      </c>
      <c r="D54" s="22">
        <v>1.0023087525865801E-2</v>
      </c>
      <c r="E54" s="22">
        <v>4.14331570070738E-3</v>
      </c>
      <c r="F54" s="21">
        <v>0</v>
      </c>
      <c r="G54" s="21">
        <v>0</v>
      </c>
      <c r="H54" s="21">
        <v>0</v>
      </c>
      <c r="I54" s="21">
        <v>0.121818</v>
      </c>
      <c r="J54" s="21">
        <v>0</v>
      </c>
      <c r="K54" s="21">
        <v>0.121818</v>
      </c>
      <c r="L54" s="21">
        <v>122.33</v>
      </c>
      <c r="M54" s="21">
        <v>164.581818</v>
      </c>
      <c r="N54" s="23">
        <v>1.34439630507643</v>
      </c>
      <c r="O54" s="23">
        <v>1.3022492118915701</v>
      </c>
      <c r="P54" s="23">
        <v>1.3508539790479399</v>
      </c>
      <c r="Q54" s="23">
        <v>1.3618586222492799</v>
      </c>
      <c r="R54" s="21">
        <v>159.30414609069601</v>
      </c>
      <c r="S54" s="21">
        <v>165.45723690988001</v>
      </c>
      <c r="T54" s="21">
        <v>166.82015117580301</v>
      </c>
      <c r="U54" s="22">
        <v>-3.1852136030750301E-2</v>
      </c>
      <c r="V54" s="22">
        <v>6.04539463515316E-3</v>
      </c>
      <c r="W54" s="22">
        <v>1.42489134914019E-2</v>
      </c>
      <c r="X54" s="23">
        <v>1.3453921196762799</v>
      </c>
      <c r="Y54" s="23">
        <v>1.3022759807794699</v>
      </c>
      <c r="Z54" s="23">
        <v>1.3511522351237899</v>
      </c>
      <c r="AA54" s="23">
        <v>1.3620077502872101</v>
      </c>
      <c r="AB54" s="21">
        <v>159.30742072875299</v>
      </c>
      <c r="AC54" s="21">
        <v>165.48154077563899</v>
      </c>
      <c r="AD54" s="21">
        <v>166.83230310868299</v>
      </c>
      <c r="AE54" s="22">
        <v>-3.2572021228303702E-2</v>
      </c>
      <c r="AF54" s="22">
        <v>5.4518320814230404E-3</v>
      </c>
      <c r="AG54" s="22">
        <v>1.3581314479141E-2</v>
      </c>
      <c r="AZ54" s="17"/>
      <c r="BB54">
        <f t="shared" si="6"/>
        <v>0</v>
      </c>
      <c r="BC54">
        <f t="shared" si="7"/>
        <v>1</v>
      </c>
      <c r="BD54">
        <f t="shared" si="8"/>
        <v>0</v>
      </c>
      <c r="BE54">
        <f t="shared" si="4"/>
        <v>1</v>
      </c>
      <c r="BF54">
        <f t="shared" si="9"/>
        <v>0</v>
      </c>
      <c r="BG54" s="17">
        <f t="shared" si="10"/>
        <v>0</v>
      </c>
      <c r="BH54" s="17">
        <f t="shared" si="11"/>
        <v>0</v>
      </c>
      <c r="BI54" s="17">
        <f t="shared" si="12"/>
        <v>0</v>
      </c>
      <c r="BJ54" s="11">
        <f t="shared" si="13"/>
        <v>2.7575343355872792E-2</v>
      </c>
      <c r="BL54" s="17"/>
      <c r="BN54">
        <f t="shared" si="14"/>
        <v>0</v>
      </c>
      <c r="BO54">
        <f t="shared" si="15"/>
        <v>1</v>
      </c>
      <c r="BP54">
        <f t="shared" si="16"/>
        <v>0</v>
      </c>
      <c r="BQ54">
        <f t="shared" si="5"/>
        <v>1</v>
      </c>
      <c r="BR54">
        <f t="shared" si="17"/>
        <v>0</v>
      </c>
      <c r="BS54" s="17">
        <f t="shared" si="18"/>
        <v>0</v>
      </c>
      <c r="BT54" s="17">
        <f t="shared" si="19"/>
        <v>0</v>
      </c>
      <c r="BU54" s="17">
        <f t="shared" si="20"/>
        <v>0</v>
      </c>
      <c r="BV54" s="11">
        <f t="shared" si="21"/>
        <v>0</v>
      </c>
      <c r="BX54" s="11">
        <f t="shared" si="22"/>
        <v>0</v>
      </c>
      <c r="BY54" s="11">
        <f t="shared" si="23"/>
        <v>2.7575343355872792E-2</v>
      </c>
    </row>
    <row r="55" spans="1:77" x14ac:dyDescent="0.25">
      <c r="A55" s="1">
        <v>46101</v>
      </c>
      <c r="B55" s="21">
        <v>120.31</v>
      </c>
      <c r="C55" s="21">
        <v>161.65</v>
      </c>
      <c r="D55" s="22">
        <v>-1.66505660133918E-2</v>
      </c>
      <c r="E55" s="22">
        <v>-1.72338753713073E-2</v>
      </c>
      <c r="F55" s="21">
        <v>0</v>
      </c>
      <c r="G55" s="21">
        <v>0</v>
      </c>
      <c r="H55" s="21">
        <v>0</v>
      </c>
      <c r="I55" s="21">
        <v>0.121818</v>
      </c>
      <c r="J55" s="21">
        <v>0</v>
      </c>
      <c r="K55" s="21">
        <v>0.121818</v>
      </c>
      <c r="L55" s="21">
        <v>120.31</v>
      </c>
      <c r="M55" s="21">
        <v>161.771818</v>
      </c>
      <c r="N55" s="23">
        <v>1.3436123348017599</v>
      </c>
      <c r="O55" s="23">
        <v>1.3022492118915701</v>
      </c>
      <c r="P55" s="23">
        <v>1.3500861802700499</v>
      </c>
      <c r="Q55" s="23">
        <v>1.3591602519722199</v>
      </c>
      <c r="R55" s="21">
        <v>156.67360268267501</v>
      </c>
      <c r="S55" s="21">
        <v>162.521242219257</v>
      </c>
      <c r="T55" s="21">
        <v>163.84521084281101</v>
      </c>
      <c r="U55" s="22">
        <v>-3.1268826672834898E-2</v>
      </c>
      <c r="V55" s="22">
        <v>5.37521040433707E-3</v>
      </c>
      <c r="W55" s="22">
        <v>1.3488641634467001E-2</v>
      </c>
      <c r="X55" s="23">
        <v>1.3446248690881799</v>
      </c>
      <c r="Y55" s="23">
        <v>1.3022759807794699</v>
      </c>
      <c r="Z55" s="23">
        <v>1.3504856897745501</v>
      </c>
      <c r="AA55" s="23">
        <v>1.35936000672446</v>
      </c>
      <c r="AB55" s="21">
        <v>156.676823247578</v>
      </c>
      <c r="AC55" s="21">
        <v>162.557125407743</v>
      </c>
      <c r="AD55" s="21">
        <v>163.863152437054</v>
      </c>
      <c r="AE55" s="22">
        <v>-3.2001578281581199E-2</v>
      </c>
      <c r="AF55" s="22">
        <v>4.8426695083597197E-3</v>
      </c>
      <c r="AG55" s="22">
        <v>1.28448316728504E-2</v>
      </c>
      <c r="AZ55" s="17"/>
      <c r="BB55">
        <f t="shared" si="6"/>
        <v>0</v>
      </c>
      <c r="BC55">
        <f t="shared" si="7"/>
        <v>1</v>
      </c>
      <c r="BD55">
        <f t="shared" si="8"/>
        <v>0</v>
      </c>
      <c r="BE55">
        <f t="shared" si="4"/>
        <v>1</v>
      </c>
      <c r="BF55">
        <f t="shared" si="9"/>
        <v>0</v>
      </c>
      <c r="BG55" s="17">
        <f t="shared" si="10"/>
        <v>0</v>
      </c>
      <c r="BH55" s="17">
        <f t="shared" si="11"/>
        <v>0</v>
      </c>
      <c r="BI55" s="17">
        <f t="shared" si="12"/>
        <v>0</v>
      </c>
      <c r="BJ55" s="11">
        <f t="shared" si="13"/>
        <v>2.7575343355872792E-2</v>
      </c>
      <c r="BL55" s="17"/>
      <c r="BN55">
        <f t="shared" si="14"/>
        <v>0</v>
      </c>
      <c r="BO55">
        <f t="shared" si="15"/>
        <v>1</v>
      </c>
      <c r="BP55">
        <f t="shared" si="16"/>
        <v>0</v>
      </c>
      <c r="BQ55">
        <f t="shared" si="5"/>
        <v>1</v>
      </c>
      <c r="BR55">
        <f t="shared" si="17"/>
        <v>0</v>
      </c>
      <c r="BS55" s="17">
        <f t="shared" si="18"/>
        <v>0</v>
      </c>
      <c r="BT55" s="17">
        <f t="shared" si="19"/>
        <v>0</v>
      </c>
      <c r="BU55" s="17">
        <f t="shared" si="20"/>
        <v>0</v>
      </c>
      <c r="BV55" s="11">
        <f t="shared" si="21"/>
        <v>0</v>
      </c>
      <c r="BX55" s="11">
        <f t="shared" si="22"/>
        <v>0</v>
      </c>
      <c r="BY55" s="11">
        <f t="shared" si="23"/>
        <v>2.7575343355872792E-2</v>
      </c>
    </row>
    <row r="56" spans="1:77" x14ac:dyDescent="0.25">
      <c r="A56" s="1">
        <v>46104</v>
      </c>
      <c r="B56" s="21">
        <v>121.7</v>
      </c>
      <c r="C56" s="21">
        <v>162.69</v>
      </c>
      <c r="D56" s="22">
        <v>1.1487254948048401E-2</v>
      </c>
      <c r="E56" s="22">
        <v>6.4130453496367397E-3</v>
      </c>
      <c r="F56" s="21">
        <v>0</v>
      </c>
      <c r="G56" s="21">
        <v>0</v>
      </c>
      <c r="H56" s="21">
        <v>0</v>
      </c>
      <c r="I56" s="21">
        <v>0.121818</v>
      </c>
      <c r="J56" s="21">
        <v>0</v>
      </c>
      <c r="K56" s="21">
        <v>0</v>
      </c>
      <c r="L56" s="21">
        <v>121.7</v>
      </c>
      <c r="M56" s="21">
        <v>162.69</v>
      </c>
      <c r="N56" s="23">
        <v>1.33681183237469</v>
      </c>
      <c r="O56" s="23">
        <v>1.3022492118915701</v>
      </c>
      <c r="P56" s="23">
        <v>1.34902066747227</v>
      </c>
      <c r="Q56" s="23">
        <v>1.35704754753676</v>
      </c>
      <c r="R56" s="21">
        <v>158.48372908720401</v>
      </c>
      <c r="S56" s="21">
        <v>164.305488138865</v>
      </c>
      <c r="T56" s="21">
        <v>165.40980266501899</v>
      </c>
      <c r="U56" s="22">
        <v>-2.6194617074423401E-2</v>
      </c>
      <c r="V56" s="22">
        <v>9.8808781223064697E-3</v>
      </c>
      <c r="W56" s="22">
        <v>1.65794977271955E-2</v>
      </c>
      <c r="X56" s="23">
        <v>1.33681183237469</v>
      </c>
      <c r="Y56" s="23">
        <v>1.3022759807794699</v>
      </c>
      <c r="Z56" s="23">
        <v>1.34942017697677</v>
      </c>
      <c r="AA56" s="23">
        <v>1.3572473022890099</v>
      </c>
      <c r="AB56" s="21">
        <v>158.486986860862</v>
      </c>
      <c r="AC56" s="21">
        <v>164.35410844556199</v>
      </c>
      <c r="AD56" s="21">
        <v>165.434112818367</v>
      </c>
      <c r="AE56" s="22">
        <v>-2.61740613984974E-2</v>
      </c>
      <c r="AF56" s="22">
        <v>1.01767484243298E-2</v>
      </c>
      <c r="AG56" s="22">
        <v>1.6726456170466E-2</v>
      </c>
      <c r="AZ56" s="17"/>
      <c r="BB56">
        <f t="shared" si="6"/>
        <v>0</v>
      </c>
      <c r="BC56">
        <f t="shared" si="7"/>
        <v>1</v>
      </c>
      <c r="BD56">
        <f t="shared" si="8"/>
        <v>0</v>
      </c>
      <c r="BE56">
        <f t="shared" si="4"/>
        <v>1</v>
      </c>
      <c r="BF56">
        <f t="shared" si="9"/>
        <v>0</v>
      </c>
      <c r="BG56" s="17">
        <f t="shared" si="10"/>
        <v>0</v>
      </c>
      <c r="BH56" s="17">
        <f t="shared" si="11"/>
        <v>0</v>
      </c>
      <c r="BI56" s="17">
        <f t="shared" si="12"/>
        <v>0</v>
      </c>
      <c r="BJ56" s="11">
        <f t="shared" si="13"/>
        <v>2.7575343355872792E-2</v>
      </c>
      <c r="BL56" s="17"/>
      <c r="BN56">
        <f t="shared" si="14"/>
        <v>0</v>
      </c>
      <c r="BO56">
        <f t="shared" si="15"/>
        <v>1</v>
      </c>
      <c r="BP56">
        <f t="shared" si="16"/>
        <v>0</v>
      </c>
      <c r="BQ56">
        <f t="shared" si="5"/>
        <v>1</v>
      </c>
      <c r="BR56">
        <f t="shared" si="17"/>
        <v>0</v>
      </c>
      <c r="BS56" s="17">
        <f t="shared" si="18"/>
        <v>0</v>
      </c>
      <c r="BT56" s="17">
        <f t="shared" si="19"/>
        <v>0</v>
      </c>
      <c r="BU56" s="17">
        <f t="shared" si="20"/>
        <v>0</v>
      </c>
      <c r="BV56" s="11">
        <f t="shared" si="21"/>
        <v>0</v>
      </c>
      <c r="BX56" s="11">
        <f t="shared" si="22"/>
        <v>0</v>
      </c>
      <c r="BY56" s="11">
        <f t="shared" si="23"/>
        <v>2.7575343355872792E-2</v>
      </c>
    </row>
    <row r="57" spans="1:77" x14ac:dyDescent="0.25">
      <c r="A57" s="1">
        <v>46105</v>
      </c>
      <c r="B57" s="21">
        <v>119.54</v>
      </c>
      <c r="C57" s="21">
        <v>161.63999999999999</v>
      </c>
      <c r="D57" s="22">
        <v>-1.7907956597373299E-2</v>
      </c>
      <c r="E57" s="22">
        <v>-6.4749093108061196E-3</v>
      </c>
      <c r="F57" s="21">
        <v>0</v>
      </c>
      <c r="G57" s="21">
        <v>0</v>
      </c>
      <c r="H57" s="21">
        <v>0</v>
      </c>
      <c r="I57" s="21">
        <v>0.121818</v>
      </c>
      <c r="J57" s="21">
        <v>0</v>
      </c>
      <c r="K57" s="21">
        <v>0</v>
      </c>
      <c r="L57" s="21">
        <v>119.54</v>
      </c>
      <c r="M57" s="21">
        <v>161.63999999999999</v>
      </c>
      <c r="N57" s="23">
        <v>1.3521833695834</v>
      </c>
      <c r="O57" s="23">
        <v>1.3022492118915701</v>
      </c>
      <c r="P57" s="23">
        <v>1.34905105810714</v>
      </c>
      <c r="Q57" s="23">
        <v>1.3563848052076299</v>
      </c>
      <c r="R57" s="21">
        <v>155.67087078951801</v>
      </c>
      <c r="S57" s="21">
        <v>161.26193058963599</v>
      </c>
      <c r="T57" s="21">
        <v>162.221463832545</v>
      </c>
      <c r="U57" s="22">
        <v>-3.76276643609905E-2</v>
      </c>
      <c r="V57" s="22">
        <v>-2.3416991185967501E-3</v>
      </c>
      <c r="W57" s="22">
        <v>3.5908221401046098E-3</v>
      </c>
      <c r="X57" s="23">
        <v>1.3521833695834</v>
      </c>
      <c r="Y57" s="23">
        <v>1.3022759807794699</v>
      </c>
      <c r="Z57" s="23">
        <v>1.34945056761164</v>
      </c>
      <c r="AA57" s="23">
        <v>1.35658455995988</v>
      </c>
      <c r="AB57" s="21">
        <v>155.67407074237801</v>
      </c>
      <c r="AC57" s="21">
        <v>161.30968795580301</v>
      </c>
      <c r="AD57" s="21">
        <v>162.24534251562901</v>
      </c>
      <c r="AE57" s="22">
        <v>-3.7607108685064602E-2</v>
      </c>
      <c r="AF57" s="22">
        <v>-2.0455951604615602E-3</v>
      </c>
      <c r="AG57" s="22">
        <v>3.7380093571622E-3</v>
      </c>
      <c r="AZ57" s="17"/>
      <c r="BB57">
        <f t="shared" si="6"/>
        <v>0</v>
      </c>
      <c r="BC57">
        <f t="shared" si="7"/>
        <v>1</v>
      </c>
      <c r="BD57">
        <f t="shared" si="8"/>
        <v>0</v>
      </c>
      <c r="BE57">
        <f t="shared" si="4"/>
        <v>1</v>
      </c>
      <c r="BF57">
        <f t="shared" si="9"/>
        <v>0</v>
      </c>
      <c r="BG57" s="17">
        <f t="shared" si="10"/>
        <v>0</v>
      </c>
      <c r="BH57" s="17">
        <f t="shared" si="11"/>
        <v>0</v>
      </c>
      <c r="BI57" s="17">
        <f t="shared" si="12"/>
        <v>0</v>
      </c>
      <c r="BJ57" s="11">
        <f t="shared" si="13"/>
        <v>2.7575343355872792E-2</v>
      </c>
      <c r="BL57" s="17"/>
      <c r="BN57">
        <f t="shared" si="14"/>
        <v>0</v>
      </c>
      <c r="BO57">
        <f t="shared" si="15"/>
        <v>1</v>
      </c>
      <c r="BP57">
        <f t="shared" si="16"/>
        <v>0</v>
      </c>
      <c r="BQ57">
        <f t="shared" si="5"/>
        <v>1</v>
      </c>
      <c r="BR57">
        <f t="shared" si="17"/>
        <v>0</v>
      </c>
      <c r="BS57" s="17">
        <f t="shared" si="18"/>
        <v>0</v>
      </c>
      <c r="BT57" s="17">
        <f t="shared" si="19"/>
        <v>0</v>
      </c>
      <c r="BU57" s="17">
        <f t="shared" si="20"/>
        <v>0</v>
      </c>
      <c r="BV57" s="11">
        <f t="shared" si="21"/>
        <v>0</v>
      </c>
      <c r="BX57" s="11">
        <f t="shared" si="22"/>
        <v>0</v>
      </c>
      <c r="BY57" s="11">
        <f t="shared" si="23"/>
        <v>2.7575343355872792E-2</v>
      </c>
    </row>
    <row r="58" spans="1:77" x14ac:dyDescent="0.25">
      <c r="A58" s="1">
        <v>46106</v>
      </c>
      <c r="B58" s="21">
        <v>123.92</v>
      </c>
      <c r="C58" s="21">
        <v>165.75</v>
      </c>
      <c r="D58" s="22">
        <v>3.5985152712504902E-2</v>
      </c>
      <c r="E58" s="22">
        <v>2.5108988855699E-2</v>
      </c>
      <c r="F58" s="21">
        <v>0</v>
      </c>
      <c r="G58" s="21">
        <v>0</v>
      </c>
      <c r="H58" s="21">
        <v>0</v>
      </c>
      <c r="I58" s="21">
        <v>0.121818</v>
      </c>
      <c r="J58" s="21">
        <v>0</v>
      </c>
      <c r="K58" s="21">
        <v>0</v>
      </c>
      <c r="L58" s="21">
        <v>123.92</v>
      </c>
      <c r="M58" s="21">
        <v>165.75</v>
      </c>
      <c r="N58" s="23">
        <v>1.33755648805681</v>
      </c>
      <c r="O58" s="23">
        <v>1.3022492118915701</v>
      </c>
      <c r="P58" s="23">
        <v>1.3476033519516</v>
      </c>
      <c r="Q58" s="23">
        <v>1.35493553263511</v>
      </c>
      <c r="R58" s="21">
        <v>161.374722337603</v>
      </c>
      <c r="S58" s="21">
        <v>167.174407120637</v>
      </c>
      <c r="T58" s="21">
        <v>168.08320506133001</v>
      </c>
      <c r="U58" s="22">
        <v>-2.6751500504184501E-2</v>
      </c>
      <c r="V58" s="22">
        <v>8.5569924083093406E-3</v>
      </c>
      <c r="W58" s="22">
        <v>1.39784959546669E-2</v>
      </c>
      <c r="X58" s="23">
        <v>1.33755648805681</v>
      </c>
      <c r="Y58" s="23">
        <v>1.3022759807794699</v>
      </c>
      <c r="Z58" s="23">
        <v>1.3480028614560899</v>
      </c>
      <c r="AA58" s="23">
        <v>1.3551352873873601</v>
      </c>
      <c r="AB58" s="21">
        <v>161.37803953819201</v>
      </c>
      <c r="AC58" s="21">
        <v>167.22391433843501</v>
      </c>
      <c r="AD58" s="21">
        <v>168.10795867022901</v>
      </c>
      <c r="AE58" s="22">
        <v>-2.67309448282586E-2</v>
      </c>
      <c r="AF58" s="22">
        <v>8.8530896969747294E-3</v>
      </c>
      <c r="AG58" s="22">
        <v>1.41257550834836E-2</v>
      </c>
      <c r="AZ58" s="17"/>
      <c r="BB58">
        <f t="shared" si="6"/>
        <v>0</v>
      </c>
      <c r="BC58">
        <f t="shared" si="7"/>
        <v>1</v>
      </c>
      <c r="BD58">
        <f t="shared" si="8"/>
        <v>0</v>
      </c>
      <c r="BE58">
        <f t="shared" si="4"/>
        <v>1</v>
      </c>
      <c r="BF58">
        <f t="shared" si="9"/>
        <v>0</v>
      </c>
      <c r="BG58" s="17">
        <f t="shared" si="10"/>
        <v>0</v>
      </c>
      <c r="BH58" s="17">
        <f t="shared" si="11"/>
        <v>0</v>
      </c>
      <c r="BI58" s="17">
        <f t="shared" si="12"/>
        <v>0</v>
      </c>
      <c r="BJ58" s="11">
        <f t="shared" si="13"/>
        <v>2.7575343355872792E-2</v>
      </c>
      <c r="BL58" s="17"/>
      <c r="BN58">
        <f t="shared" si="14"/>
        <v>0</v>
      </c>
      <c r="BO58">
        <f t="shared" si="15"/>
        <v>1</v>
      </c>
      <c r="BP58">
        <f t="shared" si="16"/>
        <v>0</v>
      </c>
      <c r="BQ58">
        <f t="shared" si="5"/>
        <v>1</v>
      </c>
      <c r="BR58">
        <f t="shared" si="17"/>
        <v>0</v>
      </c>
      <c r="BS58" s="17">
        <f t="shared" si="18"/>
        <v>0</v>
      </c>
      <c r="BT58" s="17">
        <f t="shared" si="19"/>
        <v>0</v>
      </c>
      <c r="BU58" s="17">
        <f t="shared" si="20"/>
        <v>0</v>
      </c>
      <c r="BV58" s="11">
        <f t="shared" si="21"/>
        <v>0</v>
      </c>
      <c r="BX58" s="11">
        <f t="shared" si="22"/>
        <v>0</v>
      </c>
      <c r="BY58" s="11">
        <f t="shared" si="23"/>
        <v>2.7575343355872792E-2</v>
      </c>
    </row>
    <row r="59" spans="1:77" x14ac:dyDescent="0.25">
      <c r="A59" s="1">
        <v>46107</v>
      </c>
      <c r="B59" s="21">
        <v>123.9</v>
      </c>
      <c r="C59" s="21">
        <v>165.26</v>
      </c>
      <c r="D59" s="22">
        <v>-1.6140747351642301E-4</v>
      </c>
      <c r="E59" s="22">
        <v>-2.96063779293366E-3</v>
      </c>
      <c r="F59" s="21">
        <v>0</v>
      </c>
      <c r="G59" s="21">
        <v>0</v>
      </c>
      <c r="H59" s="21">
        <v>0</v>
      </c>
      <c r="I59" s="21">
        <v>0.121818</v>
      </c>
      <c r="J59" s="21">
        <v>0</v>
      </c>
      <c r="K59" s="21">
        <v>0</v>
      </c>
      <c r="L59" s="21">
        <v>123.9</v>
      </c>
      <c r="M59" s="21">
        <v>165.26</v>
      </c>
      <c r="N59" s="23">
        <v>1.3338175948345401</v>
      </c>
      <c r="O59" s="23">
        <v>1.3022492118915701</v>
      </c>
      <c r="P59" s="23">
        <v>1.3454199507761</v>
      </c>
      <c r="Q59" s="23">
        <v>1.3535289736676599</v>
      </c>
      <c r="R59" s="21">
        <v>161.34867735336601</v>
      </c>
      <c r="S59" s="21">
        <v>166.968055306803</v>
      </c>
      <c r="T59" s="21">
        <v>167.87651249349</v>
      </c>
      <c r="U59" s="22">
        <v>-2.3952270184767199E-2</v>
      </c>
      <c r="V59" s="22">
        <v>1.02825172582911E-2</v>
      </c>
      <c r="W59" s="22">
        <v>1.5708673170822599E-2</v>
      </c>
      <c r="X59" s="23">
        <v>1.3338175948345401</v>
      </c>
      <c r="Y59" s="23">
        <v>1.3022759807794699</v>
      </c>
      <c r="Z59" s="23">
        <v>1.3458194602806</v>
      </c>
      <c r="AA59" s="23">
        <v>1.35372872841991</v>
      </c>
      <c r="AB59" s="21">
        <v>161.35199401857599</v>
      </c>
      <c r="AC59" s="21">
        <v>167.01755453441001</v>
      </c>
      <c r="AD59" s="21">
        <v>167.901262107294</v>
      </c>
      <c r="AE59" s="22">
        <v>-2.3931714508841399E-2</v>
      </c>
      <c r="AF59" s="22">
        <v>1.0578932591833999E-2</v>
      </c>
      <c r="AG59" s="22">
        <v>1.5856089800037599E-2</v>
      </c>
      <c r="AZ59" s="17"/>
      <c r="BB59">
        <f t="shared" si="6"/>
        <v>0</v>
      </c>
      <c r="BC59">
        <f t="shared" si="7"/>
        <v>1</v>
      </c>
      <c r="BD59">
        <f t="shared" si="8"/>
        <v>0</v>
      </c>
      <c r="BE59">
        <f t="shared" si="4"/>
        <v>1</v>
      </c>
      <c r="BF59">
        <f t="shared" si="9"/>
        <v>0</v>
      </c>
      <c r="BG59" s="17">
        <f t="shared" si="10"/>
        <v>0</v>
      </c>
      <c r="BH59" s="17">
        <f t="shared" si="11"/>
        <v>0</v>
      </c>
      <c r="BI59" s="17">
        <f t="shared" si="12"/>
        <v>0</v>
      </c>
      <c r="BJ59" s="11">
        <f t="shared" si="13"/>
        <v>2.7575343355872792E-2</v>
      </c>
      <c r="BL59" s="17"/>
      <c r="BN59">
        <f t="shared" si="14"/>
        <v>0</v>
      </c>
      <c r="BO59">
        <f t="shared" si="15"/>
        <v>1</v>
      </c>
      <c r="BP59">
        <f t="shared" si="16"/>
        <v>0</v>
      </c>
      <c r="BQ59">
        <f t="shared" si="5"/>
        <v>1</v>
      </c>
      <c r="BR59">
        <f t="shared" si="17"/>
        <v>0</v>
      </c>
      <c r="BS59" s="17">
        <f t="shared" si="18"/>
        <v>0</v>
      </c>
      <c r="BT59" s="17">
        <f t="shared" si="19"/>
        <v>0</v>
      </c>
      <c r="BU59" s="17">
        <f t="shared" si="20"/>
        <v>0</v>
      </c>
      <c r="BV59" s="11">
        <f t="shared" si="21"/>
        <v>0</v>
      </c>
      <c r="BX59" s="11">
        <f t="shared" si="22"/>
        <v>0</v>
      </c>
      <c r="BY59" s="11">
        <f t="shared" si="23"/>
        <v>2.7575343355872792E-2</v>
      </c>
    </row>
    <row r="60" spans="1:77" x14ac:dyDescent="0.25">
      <c r="A60" s="1">
        <v>46108</v>
      </c>
      <c r="B60" s="21">
        <v>119.59</v>
      </c>
      <c r="C60" s="21">
        <v>160.41</v>
      </c>
      <c r="D60" s="22">
        <v>-3.54055626543806E-2</v>
      </c>
      <c r="E60" s="22">
        <v>-2.9786953644288301E-2</v>
      </c>
      <c r="F60" s="21">
        <v>0</v>
      </c>
      <c r="G60" s="21">
        <v>0</v>
      </c>
      <c r="H60" s="21">
        <v>0</v>
      </c>
      <c r="I60" s="21">
        <v>0.121818</v>
      </c>
      <c r="J60" s="21">
        <v>0</v>
      </c>
      <c r="K60" s="21">
        <v>0</v>
      </c>
      <c r="L60" s="21">
        <v>119.59</v>
      </c>
      <c r="M60" s="21">
        <v>160.41</v>
      </c>
      <c r="N60" s="23">
        <v>1.34133288736516</v>
      </c>
      <c r="O60" s="23">
        <v>1.3022492118915701</v>
      </c>
      <c r="P60" s="23">
        <v>1.34370000139393</v>
      </c>
      <c r="Q60" s="23">
        <v>1.3517528764170199</v>
      </c>
      <c r="R60" s="21">
        <v>155.73598325011301</v>
      </c>
      <c r="S60" s="21">
        <v>160.89877191331399</v>
      </c>
      <c r="T60" s="21">
        <v>161.86852996091599</v>
      </c>
      <c r="U60" s="22">
        <v>-2.9570879194859599E-2</v>
      </c>
      <c r="V60" s="22">
        <v>3.0423837320987701E-3</v>
      </c>
      <c r="W60" s="22">
        <v>9.0514246728446105E-3</v>
      </c>
      <c r="X60" s="23">
        <v>1.34133288736516</v>
      </c>
      <c r="Y60" s="23">
        <v>1.3022759807794699</v>
      </c>
      <c r="Z60" s="23">
        <v>1.3440995108984299</v>
      </c>
      <c r="AA60" s="23">
        <v>1.35195263116927</v>
      </c>
      <c r="AB60" s="21">
        <v>155.73918454141699</v>
      </c>
      <c r="AC60" s="21">
        <v>160.94654925495701</v>
      </c>
      <c r="AD60" s="21">
        <v>161.892418631737</v>
      </c>
      <c r="AE60" s="22">
        <v>-2.9550323518933601E-2</v>
      </c>
      <c r="AF60" s="22">
        <v>3.3392800288693401E-3</v>
      </c>
      <c r="AG60" s="22">
        <v>9.1989944830314103E-3</v>
      </c>
      <c r="AZ60" s="17"/>
      <c r="BB60">
        <f t="shared" si="6"/>
        <v>0</v>
      </c>
      <c r="BC60">
        <f t="shared" si="7"/>
        <v>1</v>
      </c>
      <c r="BD60">
        <f t="shared" si="8"/>
        <v>0</v>
      </c>
      <c r="BE60">
        <f t="shared" si="4"/>
        <v>1</v>
      </c>
      <c r="BF60">
        <f t="shared" si="9"/>
        <v>0</v>
      </c>
      <c r="BG60" s="17">
        <f t="shared" si="10"/>
        <v>0</v>
      </c>
      <c r="BH60" s="17">
        <f t="shared" si="11"/>
        <v>0</v>
      </c>
      <c r="BI60" s="17">
        <f t="shared" si="12"/>
        <v>0</v>
      </c>
      <c r="BJ60" s="11">
        <f t="shared" si="13"/>
        <v>2.7575343355872792E-2</v>
      </c>
      <c r="BL60" s="17"/>
      <c r="BN60">
        <f t="shared" si="14"/>
        <v>0</v>
      </c>
      <c r="BO60">
        <f t="shared" si="15"/>
        <v>1</v>
      </c>
      <c r="BP60">
        <f t="shared" si="16"/>
        <v>0</v>
      </c>
      <c r="BQ60">
        <f t="shared" si="5"/>
        <v>1</v>
      </c>
      <c r="BR60">
        <f t="shared" si="17"/>
        <v>0</v>
      </c>
      <c r="BS60" s="17">
        <f t="shared" si="18"/>
        <v>0</v>
      </c>
      <c r="BT60" s="17">
        <f t="shared" si="19"/>
        <v>0</v>
      </c>
      <c r="BU60" s="17">
        <f t="shared" si="20"/>
        <v>0</v>
      </c>
      <c r="BV60" s="11">
        <f t="shared" si="21"/>
        <v>0</v>
      </c>
      <c r="BX60" s="11">
        <f t="shared" si="22"/>
        <v>0</v>
      </c>
      <c r="BY60" s="11">
        <f t="shared" si="23"/>
        <v>2.7575343355872792E-2</v>
      </c>
    </row>
    <row r="61" spans="1:77" x14ac:dyDescent="0.25">
      <c r="A61" s="1">
        <v>46111</v>
      </c>
      <c r="B61" s="21">
        <v>118.78</v>
      </c>
      <c r="C61" s="21">
        <v>161.86000000000001</v>
      </c>
      <c r="D61" s="22">
        <v>-6.7961833930019902E-3</v>
      </c>
      <c r="E61" s="22">
        <v>8.9987264388059606E-3</v>
      </c>
      <c r="F61" s="21">
        <v>0</v>
      </c>
      <c r="G61" s="21">
        <v>0</v>
      </c>
      <c r="H61" s="21">
        <v>0</v>
      </c>
      <c r="I61" s="21">
        <v>0.121818</v>
      </c>
      <c r="J61" s="21">
        <v>0</v>
      </c>
      <c r="K61" s="21">
        <v>0</v>
      </c>
      <c r="L61" s="21">
        <v>118.78</v>
      </c>
      <c r="M61" s="21">
        <v>161.86000000000001</v>
      </c>
      <c r="N61" s="23">
        <v>1.3626873210978201</v>
      </c>
      <c r="O61" s="23">
        <v>1.3022492118915701</v>
      </c>
      <c r="P61" s="23">
        <v>1.3450805081788799</v>
      </c>
      <c r="Q61" s="23">
        <v>1.35117131991165</v>
      </c>
      <c r="R61" s="21">
        <v>154.681161388481</v>
      </c>
      <c r="S61" s="21">
        <v>159.604686165571</v>
      </c>
      <c r="T61" s="21">
        <v>160.56120666081301</v>
      </c>
      <c r="U61" s="22">
        <v>-4.5365789026667602E-2</v>
      </c>
      <c r="V61" s="22">
        <v>-1.40317175432291E-2</v>
      </c>
      <c r="W61" s="22">
        <v>-8.0565442812695499E-3</v>
      </c>
      <c r="X61" s="23">
        <v>1.3626873210978201</v>
      </c>
      <c r="Y61" s="23">
        <v>1.3022759807794699</v>
      </c>
      <c r="Z61" s="23">
        <v>1.3454800176833801</v>
      </c>
      <c r="AA61" s="23">
        <v>1.3513710746639001</v>
      </c>
      <c r="AB61" s="21">
        <v>154.68434099698499</v>
      </c>
      <c r="AC61" s="21">
        <v>159.652139904515</v>
      </c>
      <c r="AD61" s="21">
        <v>160.58493353028501</v>
      </c>
      <c r="AE61" s="22">
        <v>-4.5345233350741497E-2</v>
      </c>
      <c r="AF61" s="22">
        <v>-1.3734441272723601E-2</v>
      </c>
      <c r="AG61" s="22">
        <v>-7.9087805902521308E-3</v>
      </c>
      <c r="AZ61" s="17"/>
      <c r="BB61">
        <f t="shared" si="6"/>
        <v>0</v>
      </c>
      <c r="BC61">
        <f t="shared" si="7"/>
        <v>1</v>
      </c>
      <c r="BD61">
        <f t="shared" si="8"/>
        <v>0</v>
      </c>
      <c r="BE61">
        <f t="shared" si="4"/>
        <v>1</v>
      </c>
      <c r="BF61">
        <f t="shared" si="9"/>
        <v>0</v>
      </c>
      <c r="BG61" s="17">
        <f t="shared" si="10"/>
        <v>0</v>
      </c>
      <c r="BH61" s="17">
        <f t="shared" si="11"/>
        <v>0</v>
      </c>
      <c r="BI61" s="17">
        <f t="shared" si="12"/>
        <v>0</v>
      </c>
      <c r="BJ61" s="11">
        <f t="shared" si="13"/>
        <v>2.7575343355872792E-2</v>
      </c>
      <c r="BL61" s="17"/>
      <c r="BN61">
        <f t="shared" si="14"/>
        <v>0</v>
      </c>
      <c r="BO61">
        <f t="shared" si="15"/>
        <v>1</v>
      </c>
      <c r="BP61">
        <f t="shared" si="16"/>
        <v>0</v>
      </c>
      <c r="BQ61">
        <f t="shared" si="5"/>
        <v>1</v>
      </c>
      <c r="BR61">
        <f t="shared" si="17"/>
        <v>0</v>
      </c>
      <c r="BS61" s="17">
        <f t="shared" si="18"/>
        <v>0</v>
      </c>
      <c r="BT61" s="17">
        <f t="shared" si="19"/>
        <v>0</v>
      </c>
      <c r="BU61" s="17">
        <f t="shared" si="20"/>
        <v>0</v>
      </c>
      <c r="BV61" s="11">
        <f t="shared" si="21"/>
        <v>0</v>
      </c>
      <c r="BX61" s="11">
        <f t="shared" si="22"/>
        <v>0</v>
      </c>
      <c r="BY61" s="11">
        <f t="shared" si="23"/>
        <v>2.7575343355872792E-2</v>
      </c>
    </row>
    <row r="62" spans="1:77" x14ac:dyDescent="0.25">
      <c r="A62" s="1">
        <v>46112</v>
      </c>
      <c r="B62" s="21">
        <v>127.73</v>
      </c>
      <c r="C62" s="21">
        <v>168.85</v>
      </c>
      <c r="D62" s="22">
        <v>7.2645618466971304E-2</v>
      </c>
      <c r="E62" s="22">
        <v>4.2278982764020701E-2</v>
      </c>
      <c r="F62" s="21">
        <v>0</v>
      </c>
      <c r="G62" s="21">
        <v>0</v>
      </c>
      <c r="H62" s="21">
        <v>0</v>
      </c>
      <c r="I62" s="21">
        <v>0.121818</v>
      </c>
      <c r="J62" s="21">
        <v>0</v>
      </c>
      <c r="K62" s="21">
        <v>0</v>
      </c>
      <c r="L62" s="21">
        <v>127.73</v>
      </c>
      <c r="M62" s="21">
        <v>168.85</v>
      </c>
      <c r="N62" s="23">
        <v>1.3219290691301899</v>
      </c>
      <c r="O62" s="23">
        <v>1.3022492118915701</v>
      </c>
      <c r="P62" s="23">
        <v>1.3426651535571501</v>
      </c>
      <c r="Q62" s="23">
        <v>1.34840137660703</v>
      </c>
      <c r="R62" s="21">
        <v>166.33629183491001</v>
      </c>
      <c r="S62" s="21">
        <v>171.80713330968899</v>
      </c>
      <c r="T62" s="21">
        <v>172.58511269231599</v>
      </c>
      <c r="U62" s="22">
        <v>-1.4999153323717001E-2</v>
      </c>
      <c r="V62" s="22">
        <v>1.73617828676004E-2</v>
      </c>
      <c r="W62" s="22">
        <v>2.1879774866651099E-2</v>
      </c>
      <c r="X62" s="23">
        <v>1.3219290691301899</v>
      </c>
      <c r="Y62" s="23">
        <v>1.3022759807794699</v>
      </c>
      <c r="Z62" s="23">
        <v>1.3429665730383</v>
      </c>
      <c r="AA62" s="23">
        <v>1.3486011313592801</v>
      </c>
      <c r="AB62" s="21">
        <v>166.33971102496201</v>
      </c>
      <c r="AC62" s="21">
        <v>171.85816265869801</v>
      </c>
      <c r="AD62" s="21">
        <v>172.61062736682101</v>
      </c>
      <c r="AE62" s="22">
        <v>-1.4978597647790999E-2</v>
      </c>
      <c r="AF62" s="22">
        <v>1.76587540775727E-2</v>
      </c>
      <c r="AG62" s="22">
        <v>2.2027602151813298E-2</v>
      </c>
      <c r="AZ62" s="17"/>
      <c r="BB62">
        <f t="shared" si="6"/>
        <v>0</v>
      </c>
      <c r="BC62">
        <f t="shared" si="7"/>
        <v>1</v>
      </c>
      <c r="BD62">
        <f t="shared" si="8"/>
        <v>0</v>
      </c>
      <c r="BE62">
        <f t="shared" si="4"/>
        <v>1</v>
      </c>
      <c r="BF62">
        <f t="shared" si="9"/>
        <v>0</v>
      </c>
      <c r="BG62" s="17">
        <f t="shared" si="10"/>
        <v>0</v>
      </c>
      <c r="BH62" s="17">
        <f t="shared" si="11"/>
        <v>0</v>
      </c>
      <c r="BI62" s="17">
        <f t="shared" si="12"/>
        <v>0</v>
      </c>
      <c r="BJ62" s="11">
        <f t="shared" si="13"/>
        <v>2.7575343355872792E-2</v>
      </c>
      <c r="BL62" s="17"/>
      <c r="BN62">
        <f t="shared" si="14"/>
        <v>0</v>
      </c>
      <c r="BO62">
        <f t="shared" si="15"/>
        <v>0</v>
      </c>
      <c r="BP62">
        <f t="shared" si="16"/>
        <v>0</v>
      </c>
      <c r="BQ62">
        <f t="shared" si="5"/>
        <v>1</v>
      </c>
      <c r="BR62">
        <f t="shared" si="17"/>
        <v>0</v>
      </c>
      <c r="BS62" s="17">
        <f t="shared" si="18"/>
        <v>0</v>
      </c>
      <c r="BT62" s="17">
        <f t="shared" si="19"/>
        <v>0</v>
      </c>
      <c r="BU62" s="17">
        <f t="shared" si="20"/>
        <v>0</v>
      </c>
      <c r="BV62" s="11">
        <f t="shared" si="21"/>
        <v>0</v>
      </c>
      <c r="BX62" s="11">
        <f t="shared" si="22"/>
        <v>0</v>
      </c>
      <c r="BY62" s="11">
        <f t="shared" si="23"/>
        <v>2.7575343355872792E-2</v>
      </c>
    </row>
    <row r="63" spans="1:77" x14ac:dyDescent="0.25">
      <c r="A63" s="1">
        <v>46113</v>
      </c>
      <c r="B63" s="21">
        <v>128.55000000000001</v>
      </c>
      <c r="C63" s="21">
        <v>170.13</v>
      </c>
      <c r="D63" s="22">
        <v>6.3992726572130601E-3</v>
      </c>
      <c r="E63" s="22">
        <v>7.5521038624696201E-3</v>
      </c>
      <c r="F63" s="21">
        <v>0</v>
      </c>
      <c r="G63" s="21">
        <v>0</v>
      </c>
      <c r="H63" s="21">
        <v>0</v>
      </c>
      <c r="I63" s="21">
        <v>0.121818</v>
      </c>
      <c r="J63" s="21">
        <v>0</v>
      </c>
      <c r="K63" s="21">
        <v>0</v>
      </c>
      <c r="L63" s="21">
        <v>128.55000000000001</v>
      </c>
      <c r="M63" s="21">
        <v>170.13</v>
      </c>
      <c r="N63" s="23">
        <v>1.3234539089848301</v>
      </c>
      <c r="O63" s="23">
        <v>1.3022492118915701</v>
      </c>
      <c r="P63" s="23">
        <v>1.33977811113056</v>
      </c>
      <c r="Q63" s="23">
        <v>1.3461632193430899</v>
      </c>
      <c r="R63" s="21">
        <v>167.404136188661</v>
      </c>
      <c r="S63" s="21">
        <v>172.59960548977199</v>
      </c>
      <c r="T63" s="21">
        <v>173.33699696283401</v>
      </c>
      <c r="U63" s="22">
        <v>-1.6151984528973599E-2</v>
      </c>
      <c r="V63" s="22">
        <v>1.4411642261897799E-2</v>
      </c>
      <c r="W63" s="22">
        <v>1.86748083139931E-2</v>
      </c>
      <c r="X63" s="23">
        <v>1.3234539089848301</v>
      </c>
      <c r="Y63" s="23">
        <v>1.3022759807794699</v>
      </c>
      <c r="Z63" s="23">
        <v>1.33997894601919</v>
      </c>
      <c r="AA63" s="23">
        <v>1.34636297409534</v>
      </c>
      <c r="AB63" s="21">
        <v>167.40757732920099</v>
      </c>
      <c r="AC63" s="21">
        <v>172.63835296407399</v>
      </c>
      <c r="AD63" s="21">
        <v>173.362675436236</v>
      </c>
      <c r="AE63" s="22">
        <v>-1.6131428853047601E-2</v>
      </c>
      <c r="AF63" s="22">
        <v>1.4636110478762799E-2</v>
      </c>
      <c r="AG63" s="22">
        <v>1.88229392497446E-2</v>
      </c>
      <c r="AZ63" s="17"/>
      <c r="BB63">
        <f t="shared" si="6"/>
        <v>0</v>
      </c>
      <c r="BC63">
        <f t="shared" si="7"/>
        <v>1</v>
      </c>
      <c r="BD63">
        <f t="shared" si="8"/>
        <v>0</v>
      </c>
      <c r="BE63">
        <f t="shared" si="4"/>
        <v>1</v>
      </c>
      <c r="BF63">
        <f t="shared" si="9"/>
        <v>0</v>
      </c>
      <c r="BG63" s="17">
        <f t="shared" si="10"/>
        <v>0</v>
      </c>
      <c r="BH63" s="17">
        <f t="shared" si="11"/>
        <v>0</v>
      </c>
      <c r="BI63" s="17">
        <f t="shared" si="12"/>
        <v>0</v>
      </c>
      <c r="BJ63" s="11">
        <f t="shared" si="13"/>
        <v>2.7575343355872792E-2</v>
      </c>
      <c r="BL63" s="17"/>
      <c r="BN63">
        <f t="shared" si="14"/>
        <v>0</v>
      </c>
      <c r="BO63">
        <f t="shared" si="15"/>
        <v>1</v>
      </c>
      <c r="BP63">
        <f t="shared" si="16"/>
        <v>0</v>
      </c>
      <c r="BQ63">
        <f t="shared" si="5"/>
        <v>1</v>
      </c>
      <c r="BR63">
        <f t="shared" si="17"/>
        <v>0</v>
      </c>
      <c r="BS63" s="17">
        <f t="shared" si="18"/>
        <v>0</v>
      </c>
      <c r="BT63" s="17">
        <f t="shared" si="19"/>
        <v>0</v>
      </c>
      <c r="BU63" s="17">
        <f t="shared" si="20"/>
        <v>0</v>
      </c>
      <c r="BV63" s="11">
        <f t="shared" si="21"/>
        <v>0</v>
      </c>
      <c r="BX63" s="11">
        <f t="shared" si="22"/>
        <v>0</v>
      </c>
      <c r="BY63" s="11">
        <f t="shared" si="23"/>
        <v>2.7575343355872792E-2</v>
      </c>
    </row>
    <row r="64" spans="1:77" x14ac:dyDescent="0.25">
      <c r="A64" s="1">
        <v>46114</v>
      </c>
      <c r="B64" s="21">
        <v>128.96</v>
      </c>
      <c r="C64" s="21">
        <v>169.43</v>
      </c>
      <c r="D64" s="22">
        <v>3.1843450464195898E-3</v>
      </c>
      <c r="E64" s="22">
        <v>-4.1229885240314E-3</v>
      </c>
      <c r="F64" s="21">
        <v>0</v>
      </c>
      <c r="G64" s="21">
        <v>0</v>
      </c>
      <c r="H64" s="21">
        <v>0</v>
      </c>
      <c r="I64" s="21">
        <v>0.121818</v>
      </c>
      <c r="J64" s="21">
        <v>0</v>
      </c>
      <c r="K64" s="21">
        <v>0</v>
      </c>
      <c r="L64" s="21">
        <v>128.96</v>
      </c>
      <c r="M64" s="21">
        <v>169.43</v>
      </c>
      <c r="N64" s="23">
        <v>1.3138182382133901</v>
      </c>
      <c r="O64" s="23">
        <v>1.3022492118915701</v>
      </c>
      <c r="P64" s="23">
        <v>1.3367203044442599</v>
      </c>
      <c r="Q64" s="23">
        <v>1.3437871417461</v>
      </c>
      <c r="R64" s="21">
        <v>167.93805836553699</v>
      </c>
      <c r="S64" s="21">
        <v>172.777785211397</v>
      </c>
      <c r="T64" s="21">
        <v>173.601208766486</v>
      </c>
      <c r="U64" s="22">
        <v>-8.8446509585227307E-3</v>
      </c>
      <c r="V64" s="22">
        <v>1.95664281312669E-2</v>
      </c>
      <c r="W64" s="22">
        <v>2.43209029725816E-2</v>
      </c>
      <c r="X64" s="23">
        <v>1.3138182382133901</v>
      </c>
      <c r="Y64" s="23">
        <v>1.3022759807794699</v>
      </c>
      <c r="Z64" s="23">
        <v>1.3368215578728999</v>
      </c>
      <c r="AA64" s="23">
        <v>1.3439868964983499</v>
      </c>
      <c r="AB64" s="21">
        <v>167.94151048132099</v>
      </c>
      <c r="AC64" s="21">
        <v>172.80368487863501</v>
      </c>
      <c r="AD64" s="21">
        <v>173.62696913933601</v>
      </c>
      <c r="AE64" s="22">
        <v>-8.8240952825966792E-3</v>
      </c>
      <c r="AF64" s="22">
        <v>1.9716318501715301E-2</v>
      </c>
      <c r="AG64" s="22">
        <v>2.4469280175449699E-2</v>
      </c>
      <c r="AZ64" s="17"/>
      <c r="BB64">
        <f t="shared" si="6"/>
        <v>0</v>
      </c>
      <c r="BC64">
        <f t="shared" si="7"/>
        <v>1</v>
      </c>
      <c r="BD64">
        <f t="shared" si="8"/>
        <v>0</v>
      </c>
      <c r="BE64">
        <f t="shared" si="4"/>
        <v>1</v>
      </c>
      <c r="BF64">
        <f t="shared" si="9"/>
        <v>0</v>
      </c>
      <c r="BG64" s="17">
        <f t="shared" si="10"/>
        <v>0</v>
      </c>
      <c r="BH64" s="17">
        <f t="shared" si="11"/>
        <v>0</v>
      </c>
      <c r="BI64" s="17">
        <f t="shared" si="12"/>
        <v>0</v>
      </c>
      <c r="BJ64" s="11">
        <f t="shared" si="13"/>
        <v>2.7575343355872792E-2</v>
      </c>
      <c r="BL64" s="17"/>
      <c r="BN64">
        <f t="shared" si="14"/>
        <v>0</v>
      </c>
      <c r="BO64">
        <f t="shared" si="15"/>
        <v>0</v>
      </c>
      <c r="BP64">
        <f t="shared" si="16"/>
        <v>0</v>
      </c>
      <c r="BQ64">
        <f t="shared" si="5"/>
        <v>1</v>
      </c>
      <c r="BR64">
        <f t="shared" si="17"/>
        <v>0</v>
      </c>
      <c r="BS64" s="17">
        <f t="shared" si="18"/>
        <v>0</v>
      </c>
      <c r="BT64" s="17">
        <f t="shared" si="19"/>
        <v>0</v>
      </c>
      <c r="BU64" s="17">
        <f t="shared" si="20"/>
        <v>0</v>
      </c>
      <c r="BV64" s="11">
        <f t="shared" si="21"/>
        <v>0</v>
      </c>
      <c r="BX64" s="11">
        <f t="shared" si="22"/>
        <v>0</v>
      </c>
      <c r="BY64" s="11">
        <f t="shared" si="23"/>
        <v>2.7575343355872792E-2</v>
      </c>
    </row>
    <row r="65" spans="1:77" x14ac:dyDescent="0.25">
      <c r="A65" s="1">
        <v>46118</v>
      </c>
      <c r="B65" s="21">
        <v>128.80000000000001</v>
      </c>
      <c r="C65" s="21">
        <v>168.83</v>
      </c>
      <c r="D65" s="22">
        <v>-1.24146508806487E-3</v>
      </c>
      <c r="E65" s="22">
        <v>-3.5475706809125602E-3</v>
      </c>
      <c r="F65" s="21">
        <v>0</v>
      </c>
      <c r="G65" s="21">
        <v>0</v>
      </c>
      <c r="H65" s="21">
        <v>0</v>
      </c>
      <c r="I65" s="21">
        <v>0.121818</v>
      </c>
      <c r="J65" s="21">
        <v>0</v>
      </c>
      <c r="K65" s="21">
        <v>0</v>
      </c>
      <c r="L65" s="21">
        <v>128.80000000000001</v>
      </c>
      <c r="M65" s="21">
        <v>168.83</v>
      </c>
      <c r="N65" s="23">
        <v>1.31079192546583</v>
      </c>
      <c r="O65" s="23">
        <v>1.3022492118915701</v>
      </c>
      <c r="P65" s="23">
        <v>1.3334382635106701</v>
      </c>
      <c r="Q65" s="23">
        <v>1.34176222189036</v>
      </c>
      <c r="R65" s="21">
        <v>167.729698491634</v>
      </c>
      <c r="S65" s="21">
        <v>172.16957521242099</v>
      </c>
      <c r="T65" s="21">
        <v>173.079783856897</v>
      </c>
      <c r="U65" s="22">
        <v>-6.53854536567484E-3</v>
      </c>
      <c r="V65" s="22">
        <v>1.9587602039576199E-2</v>
      </c>
      <c r="W65" s="22">
        <v>2.4860375062190802E-2</v>
      </c>
      <c r="X65" s="23">
        <v>1.31079192546583</v>
      </c>
      <c r="Y65" s="23">
        <v>1.3022759807794699</v>
      </c>
      <c r="Z65" s="23">
        <v>1.3334382635106701</v>
      </c>
      <c r="AA65" s="23">
        <v>1.3419619766426101</v>
      </c>
      <c r="AB65" s="21">
        <v>167.73314632439599</v>
      </c>
      <c r="AC65" s="21">
        <v>172.18261665403</v>
      </c>
      <c r="AD65" s="21">
        <v>173.10551226898701</v>
      </c>
      <c r="AE65" s="22">
        <v>-6.5179896897489603E-3</v>
      </c>
      <c r="AF65" s="22">
        <v>1.96633468260097E-2</v>
      </c>
      <c r="AG65" s="22">
        <v>2.5009014605377598E-2</v>
      </c>
      <c r="AZ65" s="17"/>
      <c r="BB65">
        <f t="shared" si="6"/>
        <v>0</v>
      </c>
      <c r="BC65">
        <f t="shared" si="7"/>
        <v>1</v>
      </c>
      <c r="BD65">
        <f t="shared" si="8"/>
        <v>0</v>
      </c>
      <c r="BE65">
        <f t="shared" si="4"/>
        <v>1</v>
      </c>
      <c r="BF65">
        <f t="shared" si="9"/>
        <v>0</v>
      </c>
      <c r="BG65" s="17">
        <f t="shared" si="10"/>
        <v>0</v>
      </c>
      <c r="BH65" s="17">
        <f t="shared" si="11"/>
        <v>0</v>
      </c>
      <c r="BI65" s="17">
        <f t="shared" si="12"/>
        <v>0</v>
      </c>
      <c r="BJ65" s="11">
        <f t="shared" si="13"/>
        <v>2.7575343355872792E-2</v>
      </c>
      <c r="BL65" s="17"/>
      <c r="BN65">
        <f t="shared" si="14"/>
        <v>0</v>
      </c>
      <c r="BO65">
        <f t="shared" si="15"/>
        <v>0</v>
      </c>
      <c r="BP65">
        <f t="shared" si="16"/>
        <v>0</v>
      </c>
      <c r="BQ65">
        <f t="shared" si="5"/>
        <v>1</v>
      </c>
      <c r="BR65">
        <f t="shared" si="17"/>
        <v>0</v>
      </c>
      <c r="BS65" s="17">
        <f t="shared" si="18"/>
        <v>0</v>
      </c>
      <c r="BT65" s="17">
        <f t="shared" si="19"/>
        <v>0</v>
      </c>
      <c r="BU65" s="17">
        <f t="shared" si="20"/>
        <v>0</v>
      </c>
      <c r="BV65" s="11">
        <f t="shared" si="21"/>
        <v>0</v>
      </c>
      <c r="BX65" s="11">
        <f t="shared" si="22"/>
        <v>0</v>
      </c>
      <c r="BY65" s="11">
        <f t="shared" si="23"/>
        <v>2.7575343355872792E-2</v>
      </c>
    </row>
    <row r="66" spans="1:77" x14ac:dyDescent="0.25">
      <c r="A66" s="1">
        <v>46119</v>
      </c>
      <c r="B66" s="21">
        <v>128.85</v>
      </c>
      <c r="C66" s="21">
        <v>168.5</v>
      </c>
      <c r="D66" s="22">
        <v>3.8812342812071101E-4</v>
      </c>
      <c r="E66" s="22">
        <v>-1.9565416966858601E-3</v>
      </c>
      <c r="F66" s="21">
        <v>0</v>
      </c>
      <c r="G66" s="21">
        <v>0</v>
      </c>
      <c r="H66" s="21">
        <v>0</v>
      </c>
      <c r="I66" s="21">
        <v>0.121818</v>
      </c>
      <c r="J66" s="21">
        <v>0</v>
      </c>
      <c r="K66" s="21">
        <v>0</v>
      </c>
      <c r="L66" s="21">
        <v>128.85</v>
      </c>
      <c r="M66" s="21">
        <v>168.5</v>
      </c>
      <c r="N66" s="23">
        <v>1.30772215754753</v>
      </c>
      <c r="O66" s="23">
        <v>1.3022492118915701</v>
      </c>
      <c r="P66" s="23">
        <v>1.33052929602795</v>
      </c>
      <c r="Q66" s="23">
        <v>1.3397749817501099</v>
      </c>
      <c r="R66" s="21">
        <v>167.794810952229</v>
      </c>
      <c r="S66" s="21">
        <v>171.813520253349</v>
      </c>
      <c r="T66" s="21">
        <v>172.88606229057299</v>
      </c>
      <c r="U66" s="22">
        <v>-4.1938802408682703E-3</v>
      </c>
      <c r="V66" s="22">
        <v>1.9473954294245199E-2</v>
      </c>
      <c r="W66" s="22">
        <v>2.5697028257000602E-2</v>
      </c>
      <c r="X66" s="23">
        <v>1.30772215754753</v>
      </c>
      <c r="Y66" s="23">
        <v>1.3022759807794699</v>
      </c>
      <c r="Z66" s="23">
        <v>1.33052929602795</v>
      </c>
      <c r="AA66" s="23">
        <v>1.33997473650236</v>
      </c>
      <c r="AB66" s="21">
        <v>167.798260123435</v>
      </c>
      <c r="AC66" s="21">
        <v>171.813520253349</v>
      </c>
      <c r="AD66" s="21">
        <v>172.91180069040001</v>
      </c>
      <c r="AE66" s="22">
        <v>-4.1733245649423203E-3</v>
      </c>
      <c r="AF66" s="22">
        <v>1.9473954294245199E-2</v>
      </c>
      <c r="AG66" s="22">
        <v>2.5845892102791399E-2</v>
      </c>
      <c r="AZ66" s="17"/>
      <c r="BB66">
        <f t="shared" si="6"/>
        <v>0</v>
      </c>
      <c r="BC66">
        <f t="shared" si="7"/>
        <v>1</v>
      </c>
      <c r="BD66">
        <f t="shared" si="8"/>
        <v>0</v>
      </c>
      <c r="BE66">
        <f t="shared" si="4"/>
        <v>1</v>
      </c>
      <c r="BF66">
        <f t="shared" si="9"/>
        <v>0</v>
      </c>
      <c r="BG66" s="17">
        <f t="shared" si="10"/>
        <v>0</v>
      </c>
      <c r="BH66" s="17">
        <f t="shared" si="11"/>
        <v>0</v>
      </c>
      <c r="BI66" s="17">
        <f t="shared" si="12"/>
        <v>0</v>
      </c>
      <c r="BJ66" s="11">
        <f t="shared" si="13"/>
        <v>2.7575343355872792E-2</v>
      </c>
      <c r="BL66" s="17"/>
      <c r="BN66">
        <f t="shared" si="14"/>
        <v>0</v>
      </c>
      <c r="BO66">
        <f t="shared" si="15"/>
        <v>0</v>
      </c>
      <c r="BP66">
        <f t="shared" si="16"/>
        <v>0</v>
      </c>
      <c r="BQ66">
        <f t="shared" si="5"/>
        <v>1</v>
      </c>
      <c r="BR66">
        <f t="shared" si="17"/>
        <v>0</v>
      </c>
      <c r="BS66" s="17">
        <f t="shared" si="18"/>
        <v>0</v>
      </c>
      <c r="BT66" s="17">
        <f t="shared" si="19"/>
        <v>0</v>
      </c>
      <c r="BU66" s="17">
        <f t="shared" si="20"/>
        <v>0</v>
      </c>
      <c r="BV66" s="11">
        <f t="shared" si="21"/>
        <v>0</v>
      </c>
      <c r="BX66" s="11">
        <f t="shared" si="22"/>
        <v>0</v>
      </c>
      <c r="BY66" s="11">
        <f t="shared" si="23"/>
        <v>2.7575343355872792E-2</v>
      </c>
    </row>
    <row r="67" spans="1:77" x14ac:dyDescent="0.25">
      <c r="A67" s="1">
        <v>46120</v>
      </c>
      <c r="B67" s="21">
        <v>130.65</v>
      </c>
      <c r="C67" s="21">
        <v>171.86</v>
      </c>
      <c r="D67" s="22">
        <v>1.38730548682474E-2</v>
      </c>
      <c r="E67" s="22">
        <v>1.9744442092660599E-2</v>
      </c>
      <c r="F67" s="21">
        <v>0</v>
      </c>
      <c r="G67" s="21">
        <v>0</v>
      </c>
      <c r="H67" s="21">
        <v>0</v>
      </c>
      <c r="I67" s="21">
        <v>0.121818</v>
      </c>
      <c r="J67" s="21">
        <v>0</v>
      </c>
      <c r="K67" s="21">
        <v>0</v>
      </c>
      <c r="L67" s="21">
        <v>130.65</v>
      </c>
      <c r="M67" s="21">
        <v>171.86</v>
      </c>
      <c r="N67" s="23">
        <v>1.3154228855721299</v>
      </c>
      <c r="O67" s="23">
        <v>1.3022492118915701</v>
      </c>
      <c r="P67" s="23">
        <v>1.32685324762682</v>
      </c>
      <c r="Q67" s="23">
        <v>1.33795215286698</v>
      </c>
      <c r="R67" s="21">
        <v>170.13885953363399</v>
      </c>
      <c r="S67" s="21">
        <v>173.83365252605199</v>
      </c>
      <c r="T67" s="21">
        <v>175.04160136565201</v>
      </c>
      <c r="U67" s="22">
        <v>-1.0065267465281301E-2</v>
      </c>
      <c r="V67" s="22">
        <v>1.14186300856803E-2</v>
      </c>
      <c r="W67" s="22">
        <v>1.8343475876462699E-2</v>
      </c>
      <c r="X67" s="23">
        <v>1.3154228855721299</v>
      </c>
      <c r="Y67" s="23">
        <v>1.3022759807794699</v>
      </c>
      <c r="Z67" s="23">
        <v>1.32685324762682</v>
      </c>
      <c r="AA67" s="23">
        <v>1.3381519076192301</v>
      </c>
      <c r="AB67" s="21">
        <v>170.14235688883801</v>
      </c>
      <c r="AC67" s="21">
        <v>173.83365252605199</v>
      </c>
      <c r="AD67" s="21">
        <v>175.06769932403401</v>
      </c>
      <c r="AE67" s="22">
        <v>-1.0044711789355501E-2</v>
      </c>
      <c r="AF67" s="22">
        <v>1.14186300856803E-2</v>
      </c>
      <c r="AG67" s="22">
        <v>1.8492560510194701E-2</v>
      </c>
      <c r="AZ67" s="17"/>
      <c r="BB67">
        <f t="shared" si="6"/>
        <v>0</v>
      </c>
      <c r="BC67">
        <f t="shared" si="7"/>
        <v>1</v>
      </c>
      <c r="BD67">
        <f t="shared" si="8"/>
        <v>0</v>
      </c>
      <c r="BE67">
        <f t="shared" si="4"/>
        <v>1</v>
      </c>
      <c r="BF67">
        <f t="shared" si="9"/>
        <v>0</v>
      </c>
      <c r="BG67" s="17">
        <f t="shared" si="10"/>
        <v>0</v>
      </c>
      <c r="BH67" s="17">
        <f t="shared" si="11"/>
        <v>0</v>
      </c>
      <c r="BI67" s="17">
        <f t="shared" si="12"/>
        <v>0</v>
      </c>
      <c r="BJ67" s="11">
        <f t="shared" si="13"/>
        <v>2.7575343355872792E-2</v>
      </c>
      <c r="BL67" s="17"/>
      <c r="BN67">
        <f t="shared" si="14"/>
        <v>0</v>
      </c>
      <c r="BO67">
        <f t="shared" si="15"/>
        <v>1</v>
      </c>
      <c r="BP67">
        <f t="shared" si="16"/>
        <v>0</v>
      </c>
      <c r="BQ67">
        <f t="shared" si="5"/>
        <v>1</v>
      </c>
      <c r="BR67">
        <f t="shared" si="17"/>
        <v>0</v>
      </c>
      <c r="BS67" s="17">
        <f t="shared" si="18"/>
        <v>0</v>
      </c>
      <c r="BT67" s="17">
        <f t="shared" si="19"/>
        <v>0</v>
      </c>
      <c r="BU67" s="17">
        <f t="shared" si="20"/>
        <v>0</v>
      </c>
      <c r="BV67" s="11">
        <f t="shared" si="21"/>
        <v>0</v>
      </c>
      <c r="BX67" s="11">
        <f t="shared" si="22"/>
        <v>0</v>
      </c>
      <c r="BY67" s="11">
        <f t="shared" si="23"/>
        <v>2.7575343355872792E-2</v>
      </c>
    </row>
    <row r="68" spans="1:77" x14ac:dyDescent="0.25">
      <c r="A68" s="1">
        <v>46121</v>
      </c>
      <c r="B68" s="21">
        <v>131.82</v>
      </c>
      <c r="C68" s="21">
        <v>172.16</v>
      </c>
      <c r="D68" s="22">
        <v>8.9153636579523202E-3</v>
      </c>
      <c r="E68" s="22">
        <v>1.7440850883425601E-3</v>
      </c>
      <c r="F68" s="21">
        <v>0</v>
      </c>
      <c r="G68" s="21">
        <v>0</v>
      </c>
      <c r="H68" s="21">
        <v>0</v>
      </c>
      <c r="I68" s="21">
        <v>0.121818</v>
      </c>
      <c r="J68" s="21">
        <v>0</v>
      </c>
      <c r="K68" s="21">
        <v>0</v>
      </c>
      <c r="L68" s="21">
        <v>131.82</v>
      </c>
      <c r="M68" s="21">
        <v>172.16</v>
      </c>
      <c r="N68" s="23">
        <v>1.30602336519496</v>
      </c>
      <c r="O68" s="23">
        <v>1.3022492118915701</v>
      </c>
      <c r="P68" s="23">
        <v>1.32369993534064</v>
      </c>
      <c r="Q68" s="23">
        <v>1.3356516436461201</v>
      </c>
      <c r="R68" s="21">
        <v>171.66249111154701</v>
      </c>
      <c r="S68" s="21">
        <v>174.90579510216801</v>
      </c>
      <c r="T68" s="21">
        <v>176.36885279092601</v>
      </c>
      <c r="U68" s="22">
        <v>-2.8939888956716099E-3</v>
      </c>
      <c r="V68" s="22">
        <v>1.5823238305360799E-2</v>
      </c>
      <c r="W68" s="22">
        <v>2.4153279528682899E-2</v>
      </c>
      <c r="X68" s="23">
        <v>1.30602336519496</v>
      </c>
      <c r="Y68" s="23">
        <v>1.3022759807794699</v>
      </c>
      <c r="Z68" s="23">
        <v>1.32369993534064</v>
      </c>
      <c r="AA68" s="23">
        <v>1.33585139839837</v>
      </c>
      <c r="AB68" s="21">
        <v>171.66601978635001</v>
      </c>
      <c r="AC68" s="21">
        <v>174.90579510216801</v>
      </c>
      <c r="AD68" s="21">
        <v>176.39518446236701</v>
      </c>
      <c r="AE68" s="22">
        <v>-2.8734332197457501E-3</v>
      </c>
      <c r="AF68" s="22">
        <v>1.5823238305360799E-2</v>
      </c>
      <c r="AG68" s="22">
        <v>2.4302567260479E-2</v>
      </c>
      <c r="AZ68" s="17"/>
      <c r="BB68">
        <f t="shared" si="6"/>
        <v>0</v>
      </c>
      <c r="BC68">
        <f t="shared" si="7"/>
        <v>1</v>
      </c>
      <c r="BD68">
        <f t="shared" si="8"/>
        <v>0</v>
      </c>
      <c r="BE68">
        <f t="shared" si="4"/>
        <v>1</v>
      </c>
      <c r="BF68">
        <f t="shared" si="9"/>
        <v>0</v>
      </c>
      <c r="BG68" s="17">
        <f t="shared" si="10"/>
        <v>0</v>
      </c>
      <c r="BH68" s="17">
        <f t="shared" si="11"/>
        <v>0</v>
      </c>
      <c r="BI68" s="17">
        <f t="shared" si="12"/>
        <v>0</v>
      </c>
      <c r="BJ68" s="11">
        <f t="shared" si="13"/>
        <v>2.7575343355872792E-2</v>
      </c>
      <c r="BL68" s="17"/>
      <c r="BN68">
        <f t="shared" si="14"/>
        <v>0</v>
      </c>
      <c r="BO68">
        <f t="shared" si="15"/>
        <v>0</v>
      </c>
      <c r="BP68">
        <f t="shared" si="16"/>
        <v>0</v>
      </c>
      <c r="BQ68">
        <f t="shared" si="5"/>
        <v>1</v>
      </c>
      <c r="BR68">
        <f t="shared" si="17"/>
        <v>0</v>
      </c>
      <c r="BS68" s="17">
        <f t="shared" si="18"/>
        <v>0</v>
      </c>
      <c r="BT68" s="17">
        <f t="shared" si="19"/>
        <v>0</v>
      </c>
      <c r="BU68" s="17">
        <f t="shared" si="20"/>
        <v>0</v>
      </c>
      <c r="BV68" s="11">
        <f t="shared" si="21"/>
        <v>0</v>
      </c>
      <c r="BX68" s="11">
        <f t="shared" si="22"/>
        <v>0</v>
      </c>
      <c r="BY68" s="11">
        <f t="shared" si="23"/>
        <v>2.7575343355872792E-2</v>
      </c>
    </row>
    <row r="69" spans="1:77" x14ac:dyDescent="0.25">
      <c r="A69" s="1">
        <v>46122</v>
      </c>
      <c r="B69" s="21">
        <v>129.44</v>
      </c>
      <c r="C69" s="21">
        <v>169.37</v>
      </c>
      <c r="D69" s="22">
        <v>-1.8219902314392199E-2</v>
      </c>
      <c r="E69" s="22">
        <v>-1.6338606070389599E-2</v>
      </c>
      <c r="F69" s="21">
        <v>0</v>
      </c>
      <c r="G69" s="21">
        <v>0</v>
      </c>
      <c r="H69" s="21">
        <v>0</v>
      </c>
      <c r="I69" s="21">
        <v>0.121818</v>
      </c>
      <c r="J69" s="21">
        <v>0</v>
      </c>
      <c r="K69" s="21">
        <v>0</v>
      </c>
      <c r="L69" s="21">
        <v>129.44</v>
      </c>
      <c r="M69" s="21">
        <v>169.37</v>
      </c>
      <c r="N69" s="23">
        <v>1.3084826946847901</v>
      </c>
      <c r="O69" s="23">
        <v>1.3022492118915701</v>
      </c>
      <c r="P69" s="23">
        <v>1.32116644532566</v>
      </c>
      <c r="Q69" s="23">
        <v>1.33329319805088</v>
      </c>
      <c r="R69" s="21">
        <v>168.563137987245</v>
      </c>
      <c r="S69" s="21">
        <v>171.339719630492</v>
      </c>
      <c r="T69" s="21">
        <v>172.886748753554</v>
      </c>
      <c r="U69" s="22">
        <v>-4.7752851396743604E-3</v>
      </c>
      <c r="V69" s="22">
        <v>1.15625792972988E-2</v>
      </c>
      <c r="W69" s="22">
        <v>2.0551077747655001E-2</v>
      </c>
      <c r="X69" s="23">
        <v>1.3084826946847901</v>
      </c>
      <c r="Y69" s="23">
        <v>1.3022759807794699</v>
      </c>
      <c r="Z69" s="23">
        <v>1.32116644532566</v>
      </c>
      <c r="AA69" s="23">
        <v>1.3334929528031301</v>
      </c>
      <c r="AB69" s="21">
        <v>168.566602952095</v>
      </c>
      <c r="AC69" s="21">
        <v>171.339719630492</v>
      </c>
      <c r="AD69" s="21">
        <v>172.91260500868501</v>
      </c>
      <c r="AE69" s="22">
        <v>-4.7547294637482404E-3</v>
      </c>
      <c r="AF69" s="22">
        <v>1.15625792972988E-2</v>
      </c>
      <c r="AG69" s="22">
        <v>2.0700622591496E-2</v>
      </c>
      <c r="AZ69" s="17"/>
      <c r="BB69">
        <f t="shared" si="6"/>
        <v>0</v>
      </c>
      <c r="BC69">
        <f t="shared" si="7"/>
        <v>1</v>
      </c>
      <c r="BD69">
        <f t="shared" si="8"/>
        <v>0</v>
      </c>
      <c r="BE69">
        <f t="shared" si="4"/>
        <v>1</v>
      </c>
      <c r="BF69">
        <f t="shared" si="9"/>
        <v>0</v>
      </c>
      <c r="BG69" s="17">
        <f t="shared" si="10"/>
        <v>0</v>
      </c>
      <c r="BH69" s="17">
        <f t="shared" si="11"/>
        <v>0</v>
      </c>
      <c r="BI69" s="17">
        <f t="shared" si="12"/>
        <v>0</v>
      </c>
      <c r="BJ69" s="11">
        <f t="shared" si="13"/>
        <v>2.7575343355872792E-2</v>
      </c>
      <c r="BL69" s="17"/>
      <c r="BN69">
        <f t="shared" si="14"/>
        <v>0</v>
      </c>
      <c r="BO69">
        <f t="shared" si="15"/>
        <v>0</v>
      </c>
      <c r="BP69">
        <f t="shared" si="16"/>
        <v>0</v>
      </c>
      <c r="BQ69">
        <f t="shared" si="5"/>
        <v>1</v>
      </c>
      <c r="BR69">
        <f t="shared" si="17"/>
        <v>0</v>
      </c>
      <c r="BS69" s="17">
        <f t="shared" si="18"/>
        <v>0</v>
      </c>
      <c r="BT69" s="17">
        <f t="shared" si="19"/>
        <v>0</v>
      </c>
      <c r="BU69" s="17">
        <f t="shared" si="20"/>
        <v>0</v>
      </c>
      <c r="BV69" s="11">
        <f t="shared" si="21"/>
        <v>0</v>
      </c>
      <c r="BX69" s="11">
        <f t="shared" si="22"/>
        <v>0</v>
      </c>
      <c r="BY69" s="11">
        <f t="shared" si="23"/>
        <v>2.7575343355872792E-2</v>
      </c>
    </row>
    <row r="70" spans="1:77" x14ac:dyDescent="0.25">
      <c r="A70" s="1">
        <v>46125</v>
      </c>
      <c r="B70" s="21">
        <v>132.05000000000001</v>
      </c>
      <c r="C70" s="21">
        <v>172.19</v>
      </c>
      <c r="D70" s="22">
        <v>1.9963185432959701E-2</v>
      </c>
      <c r="E70" s="22">
        <v>1.65128473950646E-2</v>
      </c>
      <c r="F70" s="21">
        <v>0</v>
      </c>
      <c r="G70" s="21">
        <v>0</v>
      </c>
      <c r="H70" s="21">
        <v>0</v>
      </c>
      <c r="I70" s="21">
        <v>0.121818</v>
      </c>
      <c r="J70" s="21">
        <v>0</v>
      </c>
      <c r="K70" s="21">
        <v>0</v>
      </c>
      <c r="L70" s="21">
        <v>132.05000000000001</v>
      </c>
      <c r="M70" s="21">
        <v>172.19</v>
      </c>
      <c r="N70" s="23">
        <v>1.30397576675501</v>
      </c>
      <c r="O70" s="23">
        <v>1.3022492118915701</v>
      </c>
      <c r="P70" s="23">
        <v>1.31743073326465</v>
      </c>
      <c r="Q70" s="23">
        <v>1.3305653673292901</v>
      </c>
      <c r="R70" s="21">
        <v>171.962008430282</v>
      </c>
      <c r="S70" s="21">
        <v>174.46002910525399</v>
      </c>
      <c r="T70" s="21">
        <v>176.06136680261901</v>
      </c>
      <c r="U70" s="22">
        <v>-1.32494710177912E-3</v>
      </c>
      <c r="V70" s="22">
        <v>1.3097137537496001E-2</v>
      </c>
      <c r="W70" s="22">
        <v>2.2234090981936301E-2</v>
      </c>
      <c r="X70" s="23">
        <v>1.30397576675501</v>
      </c>
      <c r="Y70" s="23">
        <v>1.3022759807794699</v>
      </c>
      <c r="Z70" s="23">
        <v>1.31743073326465</v>
      </c>
      <c r="AA70" s="23">
        <v>1.33076512208154</v>
      </c>
      <c r="AB70" s="21">
        <v>171.96554326192901</v>
      </c>
      <c r="AC70" s="21">
        <v>174.46002910525399</v>
      </c>
      <c r="AD70" s="21">
        <v>176.08774441765399</v>
      </c>
      <c r="AE70" s="22">
        <v>-1.30439142585302E-3</v>
      </c>
      <c r="AF70" s="22">
        <v>1.3097137537496001E-2</v>
      </c>
      <c r="AG70" s="22">
        <v>2.238390033396E-2</v>
      </c>
      <c r="AZ70" s="17"/>
      <c r="BB70">
        <f t="shared" si="6"/>
        <v>0</v>
      </c>
      <c r="BC70">
        <f t="shared" si="7"/>
        <v>1</v>
      </c>
      <c r="BD70">
        <f t="shared" si="8"/>
        <v>0</v>
      </c>
      <c r="BE70">
        <f t="shared" si="4"/>
        <v>1</v>
      </c>
      <c r="BF70">
        <f t="shared" si="9"/>
        <v>0</v>
      </c>
      <c r="BG70" s="17">
        <f t="shared" si="10"/>
        <v>0</v>
      </c>
      <c r="BH70" s="17">
        <f t="shared" si="11"/>
        <v>0</v>
      </c>
      <c r="BI70" s="17">
        <f t="shared" si="12"/>
        <v>0</v>
      </c>
      <c r="BJ70" s="11">
        <f t="shared" si="13"/>
        <v>2.7575343355872792E-2</v>
      </c>
      <c r="BL70" s="17"/>
      <c r="BN70">
        <f t="shared" si="14"/>
        <v>0</v>
      </c>
      <c r="BO70">
        <f t="shared" si="15"/>
        <v>0</v>
      </c>
      <c r="BP70">
        <f t="shared" si="16"/>
        <v>0</v>
      </c>
      <c r="BQ70">
        <f t="shared" si="5"/>
        <v>1</v>
      </c>
      <c r="BR70">
        <f t="shared" si="17"/>
        <v>0</v>
      </c>
      <c r="BS70" s="17">
        <f t="shared" si="18"/>
        <v>0</v>
      </c>
      <c r="BT70" s="17">
        <f t="shared" si="19"/>
        <v>0</v>
      </c>
      <c r="BU70" s="17">
        <f t="shared" si="20"/>
        <v>0</v>
      </c>
      <c r="BV70" s="11">
        <f t="shared" si="21"/>
        <v>0</v>
      </c>
      <c r="BX70" s="11">
        <f t="shared" si="22"/>
        <v>0</v>
      </c>
      <c r="BY70" s="11">
        <f t="shared" si="23"/>
        <v>2.7575343355872792E-2</v>
      </c>
    </row>
    <row r="71" spans="1:77" x14ac:dyDescent="0.25">
      <c r="A71" s="1">
        <v>46126</v>
      </c>
      <c r="B71" s="21">
        <v>135.72</v>
      </c>
      <c r="C71" s="21">
        <v>175.85</v>
      </c>
      <c r="D71" s="22">
        <v>2.7413301172888101E-2</v>
      </c>
      <c r="E71" s="22">
        <v>2.1032840621897E-2</v>
      </c>
      <c r="F71" s="21">
        <v>0</v>
      </c>
      <c r="G71" s="21">
        <v>0</v>
      </c>
      <c r="H71" s="21">
        <v>0</v>
      </c>
      <c r="I71" s="21">
        <v>0.121818</v>
      </c>
      <c r="J71" s="21">
        <v>0</v>
      </c>
      <c r="K71" s="21">
        <v>0</v>
      </c>
      <c r="L71" s="21">
        <v>135.72</v>
      </c>
      <c r="M71" s="21">
        <v>175.85</v>
      </c>
      <c r="N71" s="23">
        <v>1.2956822870615901</v>
      </c>
      <c r="O71" s="23">
        <v>1.3022492118915701</v>
      </c>
      <c r="P71" s="23">
        <v>1.3107302298610299</v>
      </c>
      <c r="Q71" s="23">
        <v>1.32790536901995</v>
      </c>
      <c r="R71" s="21">
        <v>176.741263037924</v>
      </c>
      <c r="S71" s="21">
        <v>178.80169911867799</v>
      </c>
      <c r="T71" s="21">
        <v>180.584331653931</v>
      </c>
      <c r="U71" s="22">
        <v>5.0555134492120497E-3</v>
      </c>
      <c r="V71" s="22">
        <v>1.6646006675158798E-2</v>
      </c>
      <c r="W71" s="22">
        <v>2.6566521122815E-2</v>
      </c>
      <c r="X71" s="23">
        <v>1.2956822870615901</v>
      </c>
      <c r="Y71" s="23">
        <v>1.3022759807794699</v>
      </c>
      <c r="Z71" s="23">
        <v>1.3107302298610299</v>
      </c>
      <c r="AA71" s="23">
        <v>1.3281051237721999</v>
      </c>
      <c r="AB71" s="21">
        <v>176.74489611139001</v>
      </c>
      <c r="AC71" s="21">
        <v>178.80169911867799</v>
      </c>
      <c r="AD71" s="21">
        <v>180.61144236890701</v>
      </c>
      <c r="AE71" s="22">
        <v>5.0760691251381298E-3</v>
      </c>
      <c r="AF71" s="22">
        <v>1.6646006675158798E-2</v>
      </c>
      <c r="AG71" s="22">
        <v>2.67166375802932E-2</v>
      </c>
      <c r="AZ71" s="17"/>
      <c r="BB71">
        <f t="shared" si="6"/>
        <v>0</v>
      </c>
      <c r="BC71">
        <f t="shared" si="7"/>
        <v>1</v>
      </c>
      <c r="BD71">
        <f t="shared" si="8"/>
        <v>0</v>
      </c>
      <c r="BE71">
        <f t="shared" si="4"/>
        <v>1</v>
      </c>
      <c r="BF71">
        <f t="shared" si="9"/>
        <v>0</v>
      </c>
      <c r="BG71" s="17">
        <f t="shared" si="10"/>
        <v>0</v>
      </c>
      <c r="BH71" s="17">
        <f t="shared" si="11"/>
        <v>0</v>
      </c>
      <c r="BI71" s="17">
        <f t="shared" si="12"/>
        <v>0</v>
      </c>
      <c r="BJ71" s="11">
        <f t="shared" si="13"/>
        <v>2.7575343355872792E-2</v>
      </c>
      <c r="BL71" s="17"/>
      <c r="BN71">
        <f t="shared" si="14"/>
        <v>0</v>
      </c>
      <c r="BO71">
        <f t="shared" si="15"/>
        <v>0</v>
      </c>
      <c r="BP71">
        <f t="shared" si="16"/>
        <v>0</v>
      </c>
      <c r="BQ71">
        <f t="shared" si="5"/>
        <v>1</v>
      </c>
      <c r="BR71">
        <f t="shared" si="17"/>
        <v>0</v>
      </c>
      <c r="BS71" s="17">
        <f t="shared" si="18"/>
        <v>0</v>
      </c>
      <c r="BT71" s="17">
        <f t="shared" si="19"/>
        <v>0</v>
      </c>
      <c r="BU71" s="17">
        <f t="shared" si="20"/>
        <v>0</v>
      </c>
      <c r="BV71" s="11">
        <f t="shared" si="21"/>
        <v>0</v>
      </c>
      <c r="BX71" s="11">
        <f t="shared" si="22"/>
        <v>0</v>
      </c>
      <c r="BY71" s="11">
        <f t="shared" si="23"/>
        <v>2.7575343355872792E-2</v>
      </c>
    </row>
    <row r="72" spans="1:77" x14ac:dyDescent="0.25">
      <c r="A72" s="1">
        <v>46127</v>
      </c>
      <c r="B72" s="21">
        <v>136.44999999999999</v>
      </c>
      <c r="C72" s="21">
        <v>175.99</v>
      </c>
      <c r="D72" s="22">
        <v>5.3643072383179396E-3</v>
      </c>
      <c r="E72" s="22">
        <v>7.9581632212823996E-4</v>
      </c>
      <c r="F72" s="21">
        <v>0</v>
      </c>
      <c r="G72" s="21">
        <v>0</v>
      </c>
      <c r="H72" s="21">
        <v>0</v>
      </c>
      <c r="I72" s="21">
        <v>0.121818</v>
      </c>
      <c r="J72" s="21">
        <v>0</v>
      </c>
      <c r="K72" s="21">
        <v>0</v>
      </c>
      <c r="L72" s="21">
        <v>136.44999999999999</v>
      </c>
      <c r="M72" s="21">
        <v>175.99</v>
      </c>
      <c r="N72" s="23">
        <v>1.28977647489923</v>
      </c>
      <c r="O72" s="23">
        <v>1.3022492118915701</v>
      </c>
      <c r="P72" s="23">
        <v>1.3075149704379301</v>
      </c>
      <c r="Q72" s="23">
        <v>1.3250900619975401</v>
      </c>
      <c r="R72" s="21">
        <v>177.69190496260501</v>
      </c>
      <c r="S72" s="21">
        <v>178.84913986453699</v>
      </c>
      <c r="T72" s="21">
        <v>181.19268760277299</v>
      </c>
      <c r="U72" s="22">
        <v>9.6240043654018705E-3</v>
      </c>
      <c r="V72" s="22">
        <v>1.6115481195193401E-2</v>
      </c>
      <c r="W72" s="22">
        <v>2.9133862159375402E-2</v>
      </c>
      <c r="X72" s="23">
        <v>1.28977647489923</v>
      </c>
      <c r="Y72" s="23">
        <v>1.3022759807794699</v>
      </c>
      <c r="Z72" s="23">
        <v>1.3075149704379301</v>
      </c>
      <c r="AA72" s="23">
        <v>1.32524077173812</v>
      </c>
      <c r="AB72" s="21">
        <v>177.69555757735901</v>
      </c>
      <c r="AC72" s="21">
        <v>178.84913986453699</v>
      </c>
      <c r="AD72" s="21">
        <v>181.21994413871701</v>
      </c>
      <c r="AE72" s="22">
        <v>9.6445600413279202E-3</v>
      </c>
      <c r="AF72" s="22">
        <v>1.6115481195193401E-2</v>
      </c>
      <c r="AG72" s="22">
        <v>2.9284279300548499E-2</v>
      </c>
      <c r="AZ72" s="17"/>
      <c r="BB72">
        <f t="shared" si="6"/>
        <v>0</v>
      </c>
      <c r="BC72">
        <f t="shared" si="7"/>
        <v>1</v>
      </c>
      <c r="BD72">
        <f t="shared" si="8"/>
        <v>0</v>
      </c>
      <c r="BE72">
        <f t="shared" si="4"/>
        <v>1</v>
      </c>
      <c r="BF72">
        <f t="shared" si="9"/>
        <v>0</v>
      </c>
      <c r="BG72" s="17">
        <f t="shared" si="10"/>
        <v>0</v>
      </c>
      <c r="BH72" s="17">
        <f t="shared" si="11"/>
        <v>0</v>
      </c>
      <c r="BI72" s="17">
        <f t="shared" si="12"/>
        <v>0</v>
      </c>
      <c r="BJ72" s="11">
        <f t="shared" si="13"/>
        <v>2.7575343355872792E-2</v>
      </c>
      <c r="BL72" s="17"/>
      <c r="BN72">
        <f t="shared" si="14"/>
        <v>0</v>
      </c>
      <c r="BO72">
        <f t="shared" si="15"/>
        <v>0</v>
      </c>
      <c r="BP72">
        <f t="shared" si="16"/>
        <v>0</v>
      </c>
      <c r="BQ72">
        <f t="shared" si="5"/>
        <v>1</v>
      </c>
      <c r="BR72">
        <f t="shared" si="17"/>
        <v>0</v>
      </c>
      <c r="BS72" s="17">
        <f t="shared" si="18"/>
        <v>0</v>
      </c>
      <c r="BT72" s="17">
        <f t="shared" si="19"/>
        <v>0</v>
      </c>
      <c r="BU72" s="17">
        <f t="shared" si="20"/>
        <v>0</v>
      </c>
      <c r="BV72" s="11">
        <f t="shared" si="21"/>
        <v>0</v>
      </c>
      <c r="BX72" s="11">
        <f t="shared" si="22"/>
        <v>0</v>
      </c>
      <c r="BY72" s="11">
        <f t="shared" si="23"/>
        <v>2.7575343355872792E-2</v>
      </c>
    </row>
    <row r="73" spans="1:77" x14ac:dyDescent="0.25">
      <c r="A73" s="1">
        <v>46128</v>
      </c>
      <c r="B73" s="21">
        <v>135.46</v>
      </c>
      <c r="C73" s="21">
        <v>174.12</v>
      </c>
      <c r="D73" s="22">
        <v>-7.28185336758971E-3</v>
      </c>
      <c r="E73" s="22">
        <v>-1.06824585580228E-2</v>
      </c>
      <c r="F73" s="21">
        <v>0</v>
      </c>
      <c r="G73" s="21">
        <v>0</v>
      </c>
      <c r="H73" s="21">
        <v>0</v>
      </c>
      <c r="I73" s="21">
        <v>0.121818</v>
      </c>
      <c r="J73" s="21">
        <v>0</v>
      </c>
      <c r="K73" s="21">
        <v>0</v>
      </c>
      <c r="L73" s="21">
        <v>135.46</v>
      </c>
      <c r="M73" s="21">
        <v>174.12</v>
      </c>
      <c r="N73" s="23">
        <v>1.2853979034401299</v>
      </c>
      <c r="O73" s="23">
        <v>1.3022492118915701</v>
      </c>
      <c r="P73" s="23">
        <v>1.3037093698834601</v>
      </c>
      <c r="Q73" s="23">
        <v>1.32174374050701</v>
      </c>
      <c r="R73" s="21">
        <v>176.402678242832</v>
      </c>
      <c r="S73" s="21">
        <v>177.11597789552201</v>
      </c>
      <c r="T73" s="21">
        <v>179.496699798187</v>
      </c>
      <c r="U73" s="22">
        <v>1.30246095558348E-2</v>
      </c>
      <c r="V73" s="22">
        <v>1.7060043659779402E-2</v>
      </c>
      <c r="W73" s="22">
        <v>3.04121055498047E-2</v>
      </c>
      <c r="X73" s="23">
        <v>1.2853979034401299</v>
      </c>
      <c r="Y73" s="23">
        <v>1.3022759807794699</v>
      </c>
      <c r="Z73" s="23">
        <v>1.3037093698834601</v>
      </c>
      <c r="AA73" s="23">
        <v>1.32184415795132</v>
      </c>
      <c r="AB73" s="21">
        <v>176.40630435638701</v>
      </c>
      <c r="AC73" s="21">
        <v>177.11597789552201</v>
      </c>
      <c r="AD73" s="21">
        <v>179.51711493964501</v>
      </c>
      <c r="AE73" s="22">
        <v>1.30451652317609E-2</v>
      </c>
      <c r="AF73" s="22">
        <v>1.7060043659779402E-2</v>
      </c>
      <c r="AG73" s="22">
        <v>3.0525834552099399E-2</v>
      </c>
      <c r="AZ73" s="17"/>
      <c r="BB73">
        <f t="shared" si="6"/>
        <v>0</v>
      </c>
      <c r="BC73">
        <f t="shared" si="7"/>
        <v>1</v>
      </c>
      <c r="BD73">
        <f t="shared" si="8"/>
        <v>0</v>
      </c>
      <c r="BE73">
        <f t="shared" si="4"/>
        <v>1</v>
      </c>
      <c r="BF73">
        <f t="shared" si="9"/>
        <v>0</v>
      </c>
      <c r="BG73" s="17">
        <f t="shared" si="10"/>
        <v>0</v>
      </c>
      <c r="BH73" s="17">
        <f t="shared" si="11"/>
        <v>0</v>
      </c>
      <c r="BI73" s="17">
        <f t="shared" si="12"/>
        <v>0</v>
      </c>
      <c r="BJ73" s="11">
        <f t="shared" si="13"/>
        <v>2.7575343355872792E-2</v>
      </c>
      <c r="BL73" s="17"/>
      <c r="BN73">
        <f t="shared" si="14"/>
        <v>0</v>
      </c>
      <c r="BO73">
        <f t="shared" si="15"/>
        <v>0</v>
      </c>
      <c r="BP73">
        <f t="shared" si="16"/>
        <v>0</v>
      </c>
      <c r="BQ73">
        <f t="shared" si="5"/>
        <v>1</v>
      </c>
      <c r="BR73">
        <f t="shared" si="17"/>
        <v>0</v>
      </c>
      <c r="BS73" s="17">
        <f t="shared" si="18"/>
        <v>0</v>
      </c>
      <c r="BT73" s="17">
        <f t="shared" si="19"/>
        <v>0</v>
      </c>
      <c r="BU73" s="17">
        <f t="shared" si="20"/>
        <v>0</v>
      </c>
      <c r="BV73" s="11">
        <f t="shared" si="21"/>
        <v>0</v>
      </c>
      <c r="BX73" s="11">
        <f t="shared" si="22"/>
        <v>0</v>
      </c>
      <c r="BY73" s="11">
        <f t="shared" si="23"/>
        <v>2.7575343355872792E-2</v>
      </c>
    </row>
    <row r="74" spans="1:77" x14ac:dyDescent="0.25">
      <c r="A74" s="1">
        <v>46129</v>
      </c>
      <c r="B74" s="21">
        <v>138.66999999999999</v>
      </c>
      <c r="C74" s="21">
        <v>176.66</v>
      </c>
      <c r="D74" s="22">
        <v>2.3420615979015E-2</v>
      </c>
      <c r="E74" s="22">
        <v>1.44822646328893E-2</v>
      </c>
      <c r="F74" s="21">
        <v>0</v>
      </c>
      <c r="G74" s="21">
        <v>0</v>
      </c>
      <c r="H74" s="21">
        <v>0</v>
      </c>
      <c r="I74" s="21">
        <v>0.121818</v>
      </c>
      <c r="J74" s="21">
        <v>0</v>
      </c>
      <c r="K74" s="21">
        <v>0</v>
      </c>
      <c r="L74" s="21">
        <v>138.66999999999999</v>
      </c>
      <c r="M74" s="21">
        <v>176.66</v>
      </c>
      <c r="N74" s="23">
        <v>1.27395976058267</v>
      </c>
      <c r="O74" s="23">
        <v>1.3022492118915701</v>
      </c>
      <c r="P74" s="23">
        <v>1.29972352212039</v>
      </c>
      <c r="Q74" s="23">
        <v>1.3182219132823201</v>
      </c>
      <c r="R74" s="21">
        <v>180.582898213004</v>
      </c>
      <c r="S74" s="21">
        <v>180.78537832174001</v>
      </c>
      <c r="T74" s="21">
        <v>183.28620449610699</v>
      </c>
      <c r="U74" s="22">
        <v>2.19629609019606E-2</v>
      </c>
      <c r="V74" s="22">
        <v>2.30835912564945E-2</v>
      </c>
      <c r="W74" s="22">
        <v>3.6821908809327501E-2</v>
      </c>
      <c r="X74" s="23">
        <v>1.27395976058267</v>
      </c>
      <c r="Y74" s="23">
        <v>1.3022759807794699</v>
      </c>
      <c r="Z74" s="23">
        <v>1.29972352212039</v>
      </c>
      <c r="AA74" s="23">
        <v>1.31827253999664</v>
      </c>
      <c r="AB74" s="21">
        <v>180.58661025468899</v>
      </c>
      <c r="AC74" s="21">
        <v>180.78537832174001</v>
      </c>
      <c r="AD74" s="21">
        <v>183.30012938311</v>
      </c>
      <c r="AE74" s="22">
        <v>2.1983516577886698E-2</v>
      </c>
      <c r="AF74" s="22">
        <v>2.3083591256494299E-2</v>
      </c>
      <c r="AG74" s="22">
        <v>3.6897879382820298E-2</v>
      </c>
      <c r="AZ74" s="17"/>
      <c r="BB74">
        <f t="shared" si="6"/>
        <v>0</v>
      </c>
      <c r="BC74">
        <f t="shared" si="7"/>
        <v>1</v>
      </c>
      <c r="BD74">
        <f t="shared" si="8"/>
        <v>0</v>
      </c>
      <c r="BE74">
        <f t="shared" si="4"/>
        <v>1</v>
      </c>
      <c r="BF74">
        <f t="shared" si="9"/>
        <v>0</v>
      </c>
      <c r="BG74" s="17">
        <f t="shared" si="10"/>
        <v>0</v>
      </c>
      <c r="BH74" s="17">
        <f t="shared" si="11"/>
        <v>0</v>
      </c>
      <c r="BI74" s="17">
        <f t="shared" si="12"/>
        <v>0</v>
      </c>
      <c r="BJ74" s="11">
        <f t="shared" si="13"/>
        <v>2.7575343355872792E-2</v>
      </c>
      <c r="BL74" s="17"/>
      <c r="BN74">
        <f t="shared" si="14"/>
        <v>1</v>
      </c>
      <c r="BO74">
        <f t="shared" si="15"/>
        <v>0</v>
      </c>
      <c r="BP74">
        <f t="shared" si="16"/>
        <v>0</v>
      </c>
      <c r="BQ74">
        <f t="shared" si="5"/>
        <v>1</v>
      </c>
      <c r="BR74">
        <f t="shared" si="17"/>
        <v>0</v>
      </c>
      <c r="BS74" s="17">
        <f t="shared" si="18"/>
        <v>0</v>
      </c>
      <c r="BT74" s="17">
        <f t="shared" si="19"/>
        <v>0</v>
      </c>
      <c r="BU74" s="17">
        <f t="shared" si="20"/>
        <v>0</v>
      </c>
      <c r="BV74" s="11">
        <f t="shared" si="21"/>
        <v>0</v>
      </c>
      <c r="BX74" s="11">
        <f t="shared" si="22"/>
        <v>0</v>
      </c>
      <c r="BY74" s="11">
        <f t="shared" si="23"/>
        <v>2.7575343355872792E-2</v>
      </c>
    </row>
    <row r="75" spans="1:77" x14ac:dyDescent="0.25">
      <c r="A75" s="1">
        <v>46132</v>
      </c>
      <c r="B75" s="21">
        <v>137.79</v>
      </c>
      <c r="C75" s="21">
        <v>175.76</v>
      </c>
      <c r="D75" s="22">
        <v>-6.3662227599610103E-3</v>
      </c>
      <c r="E75" s="22">
        <v>-5.1075532406313698E-3</v>
      </c>
      <c r="F75" s="21">
        <v>0</v>
      </c>
      <c r="G75" s="21">
        <v>0</v>
      </c>
      <c r="H75" s="21">
        <v>0</v>
      </c>
      <c r="I75" s="21">
        <v>0.121818</v>
      </c>
      <c r="J75" s="21">
        <v>0</v>
      </c>
      <c r="K75" s="21">
        <v>0</v>
      </c>
      <c r="L75" s="21">
        <v>137.79</v>
      </c>
      <c r="M75" s="21">
        <v>175.76</v>
      </c>
      <c r="N75" s="23">
        <v>1.2755642644604099</v>
      </c>
      <c r="O75" s="23">
        <v>1.3022492118915701</v>
      </c>
      <c r="P75" s="23">
        <v>1.2962007560198401</v>
      </c>
      <c r="Q75" s="23">
        <v>1.31481950976526</v>
      </c>
      <c r="R75" s="21">
        <v>179.43691890654</v>
      </c>
      <c r="S75" s="21">
        <v>179.08890411296801</v>
      </c>
      <c r="T75" s="21">
        <v>181.63779743117101</v>
      </c>
      <c r="U75" s="22">
        <v>2.0704291382630899E-2</v>
      </c>
      <c r="V75" s="22">
        <v>1.8762925486345401E-2</v>
      </c>
      <c r="W75" s="22">
        <v>3.2895152067828802E-2</v>
      </c>
      <c r="X75" s="23">
        <v>1.2755642644604099</v>
      </c>
      <c r="Y75" s="23">
        <v>1.3022759807794699</v>
      </c>
      <c r="Z75" s="23">
        <v>1.2962007560198401</v>
      </c>
      <c r="AA75" s="23">
        <v>1.31481950976526</v>
      </c>
      <c r="AB75" s="21">
        <v>179.44060739160301</v>
      </c>
      <c r="AC75" s="21">
        <v>179.08890411296801</v>
      </c>
      <c r="AD75" s="21">
        <v>181.64477328613799</v>
      </c>
      <c r="AE75" s="22">
        <v>2.07248470585569E-2</v>
      </c>
      <c r="AF75" s="22">
        <v>1.8762925486345401E-2</v>
      </c>
      <c r="AG75" s="22">
        <v>3.29335566351244E-2</v>
      </c>
      <c r="AZ75" s="17"/>
      <c r="BB75">
        <f t="shared" si="6"/>
        <v>0</v>
      </c>
      <c r="BC75">
        <f t="shared" si="7"/>
        <v>1</v>
      </c>
      <c r="BD75">
        <f t="shared" si="8"/>
        <v>0</v>
      </c>
      <c r="BE75">
        <f t="shared" si="4"/>
        <v>1</v>
      </c>
      <c r="BF75">
        <f t="shared" si="9"/>
        <v>0</v>
      </c>
      <c r="BG75" s="17">
        <f t="shared" si="10"/>
        <v>0</v>
      </c>
      <c r="BH75" s="17">
        <f t="shared" si="11"/>
        <v>0</v>
      </c>
      <c r="BI75" s="17">
        <f t="shared" si="12"/>
        <v>0</v>
      </c>
      <c r="BJ75" s="11">
        <f t="shared" si="13"/>
        <v>2.7575343355872792E-2</v>
      </c>
      <c r="BL75" s="17"/>
      <c r="BN75">
        <f t="shared" si="14"/>
        <v>0</v>
      </c>
      <c r="BO75">
        <f t="shared" si="15"/>
        <v>0</v>
      </c>
      <c r="BP75">
        <f t="shared" si="16"/>
        <v>1</v>
      </c>
      <c r="BQ75">
        <f t="shared" si="5"/>
        <v>1</v>
      </c>
      <c r="BR75">
        <f t="shared" si="17"/>
        <v>1</v>
      </c>
      <c r="BS75" s="17">
        <f t="shared" si="18"/>
        <v>6.3662227599610103E-3</v>
      </c>
      <c r="BT75" s="17">
        <f t="shared" si="19"/>
        <v>-5.1075532406313698E-3</v>
      </c>
      <c r="BU75" s="17">
        <f t="shared" si="20"/>
        <v>1.2586695193296405E-3</v>
      </c>
      <c r="BV75" s="11">
        <f t="shared" si="21"/>
        <v>1.2586695193296405E-3</v>
      </c>
      <c r="BX75" s="11">
        <f t="shared" si="22"/>
        <v>1.2586695193296405E-3</v>
      </c>
      <c r="BY75" s="11">
        <f t="shared" si="23"/>
        <v>2.8834012875202431E-2</v>
      </c>
    </row>
    <row r="76" spans="1:77" x14ac:dyDescent="0.25">
      <c r="A76" s="1">
        <v>46133</v>
      </c>
      <c r="B76" s="21">
        <v>136.38999999999999</v>
      </c>
      <c r="C76" s="21">
        <v>173.99</v>
      </c>
      <c r="D76" s="22">
        <v>-1.0212358067028001E-2</v>
      </c>
      <c r="E76" s="22">
        <v>-1.01216017777298E-2</v>
      </c>
      <c r="F76" s="21">
        <v>0</v>
      </c>
      <c r="G76" s="21">
        <v>0</v>
      </c>
      <c r="H76" s="21">
        <v>0</v>
      </c>
      <c r="I76" s="21">
        <v>0.121818</v>
      </c>
      <c r="J76" s="21">
        <v>0</v>
      </c>
      <c r="K76" s="21">
        <v>0</v>
      </c>
      <c r="L76" s="21">
        <v>136.38999999999999</v>
      </c>
      <c r="M76" s="21">
        <v>173.99</v>
      </c>
      <c r="N76" s="23">
        <v>1.2756800351931901</v>
      </c>
      <c r="O76" s="23">
        <v>1.3022492118915701</v>
      </c>
      <c r="P76" s="23">
        <v>1.29299654378441</v>
      </c>
      <c r="Q76" s="23">
        <v>1.31176291990618</v>
      </c>
      <c r="R76" s="21">
        <v>177.613770009891</v>
      </c>
      <c r="S76" s="21">
        <v>176.78882111354699</v>
      </c>
      <c r="T76" s="21">
        <v>179.32823293688301</v>
      </c>
      <c r="U76" s="22">
        <v>2.0613535093332799E-2</v>
      </c>
      <c r="V76" s="22">
        <v>1.5958092910107802E-2</v>
      </c>
      <c r="W76" s="22">
        <v>3.0220003918205601E-2</v>
      </c>
      <c r="X76" s="23">
        <v>1.2756800351931901</v>
      </c>
      <c r="Y76" s="23">
        <v>1.3022759807794699</v>
      </c>
      <c r="Z76" s="23">
        <v>1.29299654378441</v>
      </c>
      <c r="AA76" s="23">
        <v>1.31176291990618</v>
      </c>
      <c r="AB76" s="21">
        <v>177.617421018512</v>
      </c>
      <c r="AC76" s="21">
        <v>176.78882111354699</v>
      </c>
      <c r="AD76" s="21">
        <v>179.32823293688301</v>
      </c>
      <c r="AE76" s="22">
        <v>2.06340907692588E-2</v>
      </c>
      <c r="AF76" s="22">
        <v>1.59580929101075E-2</v>
      </c>
      <c r="AG76" s="22">
        <v>3.0220003918205601E-2</v>
      </c>
      <c r="AZ76" s="17"/>
      <c r="BB76">
        <f t="shared" si="6"/>
        <v>0</v>
      </c>
      <c r="BC76">
        <f t="shared" si="7"/>
        <v>1</v>
      </c>
      <c r="BD76">
        <f t="shared" si="8"/>
        <v>0</v>
      </c>
      <c r="BE76">
        <f t="shared" si="4"/>
        <v>1</v>
      </c>
      <c r="BF76">
        <f t="shared" si="9"/>
        <v>0</v>
      </c>
      <c r="BG76" s="17">
        <f t="shared" si="10"/>
        <v>0</v>
      </c>
      <c r="BH76" s="17">
        <f t="shared" si="11"/>
        <v>0</v>
      </c>
      <c r="BI76" s="17">
        <f t="shared" si="12"/>
        <v>0</v>
      </c>
      <c r="BJ76" s="11">
        <f t="shared" si="13"/>
        <v>2.7575343355872792E-2</v>
      </c>
      <c r="BL76" s="17"/>
      <c r="BN76">
        <f t="shared" si="14"/>
        <v>0</v>
      </c>
      <c r="BO76">
        <f t="shared" si="15"/>
        <v>0</v>
      </c>
      <c r="BP76">
        <f t="shared" si="16"/>
        <v>1</v>
      </c>
      <c r="BQ76">
        <f t="shared" si="5"/>
        <v>1</v>
      </c>
      <c r="BR76">
        <f t="shared" si="17"/>
        <v>1</v>
      </c>
      <c r="BS76" s="17">
        <f t="shared" si="18"/>
        <v>1.0212358067028001E-2</v>
      </c>
      <c r="BT76" s="17">
        <f t="shared" si="19"/>
        <v>-1.01216017777298E-2</v>
      </c>
      <c r="BU76" s="17">
        <f t="shared" si="20"/>
        <v>9.0756289298200843E-5</v>
      </c>
      <c r="BV76" s="11">
        <f t="shared" si="21"/>
        <v>1.3494258086278414E-3</v>
      </c>
      <c r="BX76" s="11">
        <f t="shared" si="22"/>
        <v>9.0756289298200843E-5</v>
      </c>
      <c r="BY76" s="11">
        <f t="shared" si="23"/>
        <v>2.8924769164500631E-2</v>
      </c>
    </row>
    <row r="77" spans="1:77" x14ac:dyDescent="0.25">
      <c r="A77" s="1">
        <v>46134</v>
      </c>
      <c r="B77" s="21">
        <v>137.31</v>
      </c>
      <c r="C77" s="21">
        <v>174.36</v>
      </c>
      <c r="D77" s="22">
        <v>6.7227143948767297E-3</v>
      </c>
      <c r="E77" s="22">
        <v>2.1243010715670599E-3</v>
      </c>
      <c r="F77" s="21">
        <v>0</v>
      </c>
      <c r="G77" s="21">
        <v>0</v>
      </c>
      <c r="H77" s="21">
        <v>0</v>
      </c>
      <c r="I77" s="21">
        <v>0.121818</v>
      </c>
      <c r="J77" s="21">
        <v>0</v>
      </c>
      <c r="K77" s="21">
        <v>0</v>
      </c>
      <c r="L77" s="21">
        <v>137.31</v>
      </c>
      <c r="M77" s="21">
        <v>174.36</v>
      </c>
      <c r="N77" s="23">
        <v>1.2698273978588499</v>
      </c>
      <c r="O77" s="23">
        <v>1.3022492118915701</v>
      </c>
      <c r="P77" s="23">
        <v>1.2884369950130801</v>
      </c>
      <c r="Q77" s="23">
        <v>1.30764512131995</v>
      </c>
      <c r="R77" s="21">
        <v>178.81183928483199</v>
      </c>
      <c r="S77" s="21">
        <v>177.54135542703801</v>
      </c>
      <c r="T77" s="21">
        <v>180.11816653231801</v>
      </c>
      <c r="U77" s="22">
        <v>2.52119484166425E-2</v>
      </c>
      <c r="V77" s="22">
        <v>1.8081442729056301E-2</v>
      </c>
      <c r="W77" s="22">
        <v>3.2490988865903098E-2</v>
      </c>
      <c r="X77" s="23">
        <v>1.2698273978588499</v>
      </c>
      <c r="Y77" s="23">
        <v>1.3022759807794699</v>
      </c>
      <c r="Z77" s="23">
        <v>1.2884369950130801</v>
      </c>
      <c r="AA77" s="23">
        <v>1.30764512131995</v>
      </c>
      <c r="AB77" s="21">
        <v>178.815514920829</v>
      </c>
      <c r="AC77" s="21">
        <v>177.54135542703801</v>
      </c>
      <c r="AD77" s="21">
        <v>180.11816653231801</v>
      </c>
      <c r="AE77" s="22">
        <v>2.5232504092568601E-2</v>
      </c>
      <c r="AF77" s="22">
        <v>1.8081442729056301E-2</v>
      </c>
      <c r="AG77" s="22">
        <v>3.2490988865903098E-2</v>
      </c>
      <c r="AZ77" s="17"/>
      <c r="BB77">
        <f t="shared" si="6"/>
        <v>0</v>
      </c>
      <c r="BC77">
        <f t="shared" si="7"/>
        <v>1</v>
      </c>
      <c r="BD77">
        <f t="shared" si="8"/>
        <v>0</v>
      </c>
      <c r="BE77">
        <f t="shared" si="4"/>
        <v>1</v>
      </c>
      <c r="BF77">
        <f t="shared" si="9"/>
        <v>0</v>
      </c>
      <c r="BG77" s="17">
        <f t="shared" si="10"/>
        <v>0</v>
      </c>
      <c r="BH77" s="17">
        <f t="shared" si="11"/>
        <v>0</v>
      </c>
      <c r="BI77" s="17">
        <f t="shared" si="12"/>
        <v>0</v>
      </c>
      <c r="BJ77" s="11">
        <f t="shared" si="13"/>
        <v>2.7575343355872792E-2</v>
      </c>
      <c r="BL77" s="17"/>
      <c r="BN77">
        <f t="shared" si="14"/>
        <v>0</v>
      </c>
      <c r="BO77">
        <f t="shared" si="15"/>
        <v>0</v>
      </c>
      <c r="BP77">
        <f t="shared" si="16"/>
        <v>1</v>
      </c>
      <c r="BQ77">
        <f t="shared" si="5"/>
        <v>1</v>
      </c>
      <c r="BR77">
        <f t="shared" si="17"/>
        <v>1</v>
      </c>
      <c r="BS77" s="17">
        <f t="shared" si="18"/>
        <v>-6.7227143948767297E-3</v>
      </c>
      <c r="BT77" s="17">
        <f t="shared" si="19"/>
        <v>2.1243010715670599E-3</v>
      </c>
      <c r="BU77" s="17">
        <f t="shared" si="20"/>
        <v>-4.5984133233096698E-3</v>
      </c>
      <c r="BV77" s="11">
        <f t="shared" si="21"/>
        <v>-3.2489875146818285E-3</v>
      </c>
      <c r="BX77" s="11">
        <f t="shared" si="22"/>
        <v>-4.5984133233096698E-3</v>
      </c>
      <c r="BY77" s="11">
        <f t="shared" si="23"/>
        <v>2.4326355841190962E-2</v>
      </c>
    </row>
    <row r="78" spans="1:77" x14ac:dyDescent="0.25">
      <c r="A78" s="1">
        <v>46135</v>
      </c>
      <c r="B78" s="21">
        <v>134.49</v>
      </c>
      <c r="C78" s="21">
        <v>171.53</v>
      </c>
      <c r="D78" s="22">
        <v>-2.0751296498202499E-2</v>
      </c>
      <c r="E78" s="22">
        <v>-1.6363948948458201E-2</v>
      </c>
      <c r="F78" s="21">
        <v>0</v>
      </c>
      <c r="G78" s="21">
        <v>0</v>
      </c>
      <c r="H78" s="21">
        <v>0</v>
      </c>
      <c r="I78" s="21">
        <v>0.121818</v>
      </c>
      <c r="J78" s="21">
        <v>0</v>
      </c>
      <c r="K78" s="21">
        <v>0</v>
      </c>
      <c r="L78" s="21">
        <v>134.49</v>
      </c>
      <c r="M78" s="21">
        <v>171.53</v>
      </c>
      <c r="N78" s="23">
        <v>1.27541081121272</v>
      </c>
      <c r="O78" s="23">
        <v>1.3022492118915701</v>
      </c>
      <c r="P78" s="23">
        <v>1.28537573961486</v>
      </c>
      <c r="Q78" s="23">
        <v>1.3045378374777501</v>
      </c>
      <c r="R78" s="21">
        <v>175.139496507297</v>
      </c>
      <c r="S78" s="21">
        <v>173.28189145931</v>
      </c>
      <c r="T78" s="21">
        <v>175.865192366321</v>
      </c>
      <c r="U78" s="22">
        <v>2.0824600866898298E-2</v>
      </c>
      <c r="V78" s="22">
        <v>1.0161520395276499E-2</v>
      </c>
      <c r="W78" s="22">
        <v>2.49595706608687E-2</v>
      </c>
      <c r="X78" s="23">
        <v>1.27541081121272</v>
      </c>
      <c r="Y78" s="23">
        <v>1.3022759807794699</v>
      </c>
      <c r="Z78" s="23">
        <v>1.28537573961486</v>
      </c>
      <c r="AA78" s="23">
        <v>1.3045378374777501</v>
      </c>
      <c r="AB78" s="21">
        <v>175.143096655031</v>
      </c>
      <c r="AC78" s="21">
        <v>173.28189145931</v>
      </c>
      <c r="AD78" s="21">
        <v>175.865192366321</v>
      </c>
      <c r="AE78" s="22">
        <v>2.0845156542824199E-2</v>
      </c>
      <c r="AF78" s="22">
        <v>1.0161520395276701E-2</v>
      </c>
      <c r="AG78" s="22">
        <v>2.49595706608687E-2</v>
      </c>
      <c r="AZ78" s="17"/>
      <c r="BB78">
        <f t="shared" si="6"/>
        <v>0</v>
      </c>
      <c r="BC78">
        <f t="shared" si="7"/>
        <v>1</v>
      </c>
      <c r="BD78">
        <f t="shared" si="8"/>
        <v>0</v>
      </c>
      <c r="BE78">
        <f t="shared" si="4"/>
        <v>1</v>
      </c>
      <c r="BF78">
        <f t="shared" si="9"/>
        <v>0</v>
      </c>
      <c r="BG78" s="17">
        <f t="shared" si="10"/>
        <v>0</v>
      </c>
      <c r="BH78" s="17">
        <f t="shared" si="11"/>
        <v>0</v>
      </c>
      <c r="BI78" s="17">
        <f t="shared" si="12"/>
        <v>0</v>
      </c>
      <c r="BJ78" s="11">
        <f t="shared" si="13"/>
        <v>2.7575343355872792E-2</v>
      </c>
      <c r="BL78" s="17"/>
      <c r="BN78">
        <f t="shared" si="14"/>
        <v>0</v>
      </c>
      <c r="BO78">
        <f t="shared" si="15"/>
        <v>0</v>
      </c>
      <c r="BP78">
        <f t="shared" si="16"/>
        <v>1</v>
      </c>
      <c r="BQ78">
        <f t="shared" si="5"/>
        <v>1</v>
      </c>
      <c r="BR78">
        <f t="shared" si="17"/>
        <v>1</v>
      </c>
      <c r="BS78" s="17">
        <f t="shared" si="18"/>
        <v>2.0751296498202499E-2</v>
      </c>
      <c r="BT78" s="17">
        <f t="shared" si="19"/>
        <v>-1.6363948948458201E-2</v>
      </c>
      <c r="BU78" s="17">
        <f t="shared" si="20"/>
        <v>4.3873475497442985E-3</v>
      </c>
      <c r="BV78" s="11">
        <f t="shared" si="21"/>
        <v>1.13836003506247E-3</v>
      </c>
      <c r="BX78" s="11">
        <f t="shared" si="22"/>
        <v>4.3873475497442985E-3</v>
      </c>
      <c r="BY78" s="11">
        <f t="shared" si="23"/>
        <v>2.871370339093526E-2</v>
      </c>
    </row>
    <row r="79" spans="1:77" x14ac:dyDescent="0.25">
      <c r="A79" s="1">
        <v>46136</v>
      </c>
      <c r="B79" s="21">
        <v>133.28</v>
      </c>
      <c r="C79" s="21">
        <v>169.78</v>
      </c>
      <c r="D79" s="22">
        <v>-9.0376684169253506E-3</v>
      </c>
      <c r="E79" s="22">
        <v>-1.02546971119119E-2</v>
      </c>
      <c r="F79" s="21">
        <v>0</v>
      </c>
      <c r="G79" s="21">
        <v>0</v>
      </c>
      <c r="H79" s="21">
        <v>0</v>
      </c>
      <c r="I79" s="21">
        <v>0.121818</v>
      </c>
      <c r="J79" s="21">
        <v>0</v>
      </c>
      <c r="K79" s="21">
        <v>0</v>
      </c>
      <c r="L79" s="21">
        <v>133.28</v>
      </c>
      <c r="M79" s="21">
        <v>169.78</v>
      </c>
      <c r="N79" s="23">
        <v>1.27385954381752</v>
      </c>
      <c r="O79" s="23">
        <v>1.3022492118915701</v>
      </c>
      <c r="P79" s="23">
        <v>1.2819134245281301</v>
      </c>
      <c r="Q79" s="23">
        <v>1.3015399349268999</v>
      </c>
      <c r="R79" s="21">
        <v>173.563774960909</v>
      </c>
      <c r="S79" s="21">
        <v>171.31487857586899</v>
      </c>
      <c r="T79" s="21">
        <v>173.868802979035</v>
      </c>
      <c r="U79" s="22">
        <v>2.20416295618849E-2</v>
      </c>
      <c r="V79" s="22">
        <v>8.9997770836124508E-3</v>
      </c>
      <c r="W79" s="22">
        <v>2.37975276316971E-2</v>
      </c>
      <c r="X79" s="23">
        <v>1.27385954381752</v>
      </c>
      <c r="Y79" s="23">
        <v>1.3022759807794699</v>
      </c>
      <c r="Z79" s="23">
        <v>1.2819134245281301</v>
      </c>
      <c r="AA79" s="23">
        <v>1.3015399349268999</v>
      </c>
      <c r="AB79" s="21">
        <v>173.56734271828799</v>
      </c>
      <c r="AC79" s="21">
        <v>171.31487857586899</v>
      </c>
      <c r="AD79" s="21">
        <v>173.868802979035</v>
      </c>
      <c r="AE79" s="22">
        <v>2.2062185237810901E-2</v>
      </c>
      <c r="AF79" s="22">
        <v>8.9997770836124508E-3</v>
      </c>
      <c r="AG79" s="22">
        <v>2.3797527631697499E-2</v>
      </c>
      <c r="AZ79" s="17"/>
      <c r="BB79">
        <f t="shared" si="6"/>
        <v>0</v>
      </c>
      <c r="BC79">
        <f t="shared" si="7"/>
        <v>1</v>
      </c>
      <c r="BD79">
        <f t="shared" si="8"/>
        <v>0</v>
      </c>
      <c r="BE79">
        <f t="shared" si="4"/>
        <v>1</v>
      </c>
      <c r="BF79">
        <f t="shared" si="9"/>
        <v>0</v>
      </c>
      <c r="BG79" s="17">
        <f t="shared" si="10"/>
        <v>0</v>
      </c>
      <c r="BH79" s="17">
        <f t="shared" si="11"/>
        <v>0</v>
      </c>
      <c r="BI79" s="17">
        <f t="shared" si="12"/>
        <v>0</v>
      </c>
      <c r="BJ79" s="11">
        <f t="shared" si="13"/>
        <v>2.7575343355872792E-2</v>
      </c>
      <c r="BL79" s="17"/>
      <c r="BN79">
        <f t="shared" si="14"/>
        <v>0</v>
      </c>
      <c r="BO79">
        <f t="shared" si="15"/>
        <v>0</v>
      </c>
      <c r="BP79">
        <f t="shared" si="16"/>
        <v>1</v>
      </c>
      <c r="BQ79">
        <f t="shared" si="5"/>
        <v>1</v>
      </c>
      <c r="BR79">
        <f t="shared" si="17"/>
        <v>1</v>
      </c>
      <c r="BS79" s="17">
        <f t="shared" si="18"/>
        <v>9.0376684169253506E-3</v>
      </c>
      <c r="BT79" s="17">
        <f t="shared" si="19"/>
        <v>-1.02546971119119E-2</v>
      </c>
      <c r="BU79" s="17">
        <f t="shared" si="20"/>
        <v>-1.2170286949865494E-3</v>
      </c>
      <c r="BV79" s="11">
        <f t="shared" si="21"/>
        <v>-7.8668659924079412E-5</v>
      </c>
      <c r="BX79" s="11">
        <f t="shared" si="22"/>
        <v>-1.2170286949865494E-3</v>
      </c>
      <c r="BY79" s="11">
        <f t="shared" si="23"/>
        <v>2.7496674695948711E-2</v>
      </c>
    </row>
    <row r="80" spans="1:77" x14ac:dyDescent="0.25">
      <c r="A80" s="1">
        <v>46139</v>
      </c>
      <c r="B80" s="21">
        <v>133.04</v>
      </c>
      <c r="C80" s="21">
        <v>169.02</v>
      </c>
      <c r="D80" s="22">
        <v>-1.8023435338603601E-3</v>
      </c>
      <c r="E80" s="22">
        <v>-4.4864301934854503E-3</v>
      </c>
      <c r="F80" s="21">
        <v>0</v>
      </c>
      <c r="G80" s="21">
        <v>0</v>
      </c>
      <c r="H80" s="21">
        <v>0</v>
      </c>
      <c r="I80" s="21">
        <v>0.121818</v>
      </c>
      <c r="J80" s="21">
        <v>0</v>
      </c>
      <c r="K80" s="21">
        <v>0</v>
      </c>
      <c r="L80" s="21">
        <v>133.04</v>
      </c>
      <c r="M80" s="21">
        <v>169.02</v>
      </c>
      <c r="N80" s="23">
        <v>1.27044497895369</v>
      </c>
      <c r="O80" s="23">
        <v>1.3022492118915701</v>
      </c>
      <c r="P80" s="23">
        <v>1.2785603457479999</v>
      </c>
      <c r="Q80" s="23">
        <v>1.2979955395063301</v>
      </c>
      <c r="R80" s="21">
        <v>173.25123515005501</v>
      </c>
      <c r="S80" s="21">
        <v>170.545761999223</v>
      </c>
      <c r="T80" s="21">
        <v>173.15687294267499</v>
      </c>
      <c r="U80" s="22">
        <v>2.4725716221509899E-2</v>
      </c>
      <c r="V80" s="22">
        <v>8.9866084171397395E-3</v>
      </c>
      <c r="W80" s="22">
        <v>2.4180912520272501E-2</v>
      </c>
      <c r="X80" s="23">
        <v>1.27044497895369</v>
      </c>
      <c r="Y80" s="23">
        <v>1.3022759807794699</v>
      </c>
      <c r="Z80" s="23">
        <v>1.2785603457479999</v>
      </c>
      <c r="AA80" s="23">
        <v>1.2979955395063301</v>
      </c>
      <c r="AB80" s="21">
        <v>173.25479648290101</v>
      </c>
      <c r="AC80" s="21">
        <v>170.545761999223</v>
      </c>
      <c r="AD80" s="21">
        <v>173.15687294267499</v>
      </c>
      <c r="AE80" s="22">
        <v>2.4746271897436001E-2</v>
      </c>
      <c r="AF80" s="22">
        <v>8.9866084171397395E-3</v>
      </c>
      <c r="AG80" s="22">
        <v>2.4180912520272501E-2</v>
      </c>
      <c r="AZ80" s="17"/>
      <c r="BB80">
        <f t="shared" si="6"/>
        <v>0</v>
      </c>
      <c r="BC80">
        <f t="shared" si="7"/>
        <v>1</v>
      </c>
      <c r="BD80">
        <f t="shared" si="8"/>
        <v>0</v>
      </c>
      <c r="BE80">
        <f t="shared" si="4"/>
        <v>1</v>
      </c>
      <c r="BF80">
        <f t="shared" si="9"/>
        <v>0</v>
      </c>
      <c r="BG80" s="17">
        <f t="shared" si="10"/>
        <v>0</v>
      </c>
      <c r="BH80" s="17">
        <f t="shared" si="11"/>
        <v>0</v>
      </c>
      <c r="BI80" s="17">
        <f t="shared" si="12"/>
        <v>0</v>
      </c>
      <c r="BJ80" s="11">
        <f t="shared" si="13"/>
        <v>2.7575343355872792E-2</v>
      </c>
      <c r="BL80" s="17"/>
      <c r="BN80">
        <f t="shared" si="14"/>
        <v>0</v>
      </c>
      <c r="BO80">
        <f t="shared" si="15"/>
        <v>0</v>
      </c>
      <c r="BP80">
        <f t="shared" si="16"/>
        <v>1</v>
      </c>
      <c r="BQ80">
        <f t="shared" si="5"/>
        <v>1</v>
      </c>
      <c r="BR80">
        <f t="shared" si="17"/>
        <v>1</v>
      </c>
      <c r="BS80" s="17">
        <f t="shared" si="18"/>
        <v>1.8023435338603601E-3</v>
      </c>
      <c r="BT80" s="17">
        <f t="shared" si="19"/>
        <v>-4.4864301934854503E-3</v>
      </c>
      <c r="BU80" s="17">
        <f t="shared" si="20"/>
        <v>-2.6840866596250903E-3</v>
      </c>
      <c r="BV80" s="11">
        <f t="shared" si="21"/>
        <v>-2.7627553195491697E-3</v>
      </c>
      <c r="BX80" s="11">
        <f t="shared" si="22"/>
        <v>-2.6840866596250903E-3</v>
      </c>
      <c r="BY80" s="11">
        <f t="shared" si="23"/>
        <v>2.4812588036323621E-2</v>
      </c>
    </row>
    <row r="81" spans="1:77" x14ac:dyDescent="0.25">
      <c r="A81" s="1">
        <v>46140</v>
      </c>
      <c r="B81" s="21">
        <v>131.16</v>
      </c>
      <c r="C81" s="21">
        <v>167.81</v>
      </c>
      <c r="D81" s="22">
        <v>-1.4231882908224599E-2</v>
      </c>
      <c r="E81" s="22">
        <v>-7.1846641032658901E-3</v>
      </c>
      <c r="F81" s="21">
        <v>0</v>
      </c>
      <c r="G81" s="21">
        <v>0</v>
      </c>
      <c r="H81" s="21">
        <v>0</v>
      </c>
      <c r="I81" s="21">
        <v>0.121818</v>
      </c>
      <c r="J81" s="21">
        <v>0</v>
      </c>
      <c r="K81" s="21">
        <v>0</v>
      </c>
      <c r="L81" s="21">
        <v>131.16</v>
      </c>
      <c r="M81" s="21">
        <v>167.81</v>
      </c>
      <c r="N81" s="23">
        <v>1.2794297041781</v>
      </c>
      <c r="O81" s="23">
        <v>1.3022492118915701</v>
      </c>
      <c r="P81" s="23">
        <v>1.2769350874596499</v>
      </c>
      <c r="Q81" s="23">
        <v>1.2938326586603399</v>
      </c>
      <c r="R81" s="21">
        <v>170.803006631698</v>
      </c>
      <c r="S81" s="21">
        <v>167.69597494830799</v>
      </c>
      <c r="T81" s="21">
        <v>170.24509496165001</v>
      </c>
      <c r="U81" s="22">
        <v>1.7678497416551E-2</v>
      </c>
      <c r="V81" s="22">
        <v>-6.7971997279194602E-4</v>
      </c>
      <c r="W81" s="22">
        <v>1.44067468035694E-2</v>
      </c>
      <c r="X81" s="23">
        <v>1.2794297041781</v>
      </c>
      <c r="Y81" s="23">
        <v>1.3022759807794699</v>
      </c>
      <c r="Z81" s="23">
        <v>1.2769350874596499</v>
      </c>
      <c r="AA81" s="23">
        <v>1.2938326586603399</v>
      </c>
      <c r="AB81" s="21">
        <v>170.80651763903501</v>
      </c>
      <c r="AC81" s="21">
        <v>167.69597494830799</v>
      </c>
      <c r="AD81" s="21">
        <v>170.24509496165001</v>
      </c>
      <c r="AE81" s="22">
        <v>1.7699053092477102E-2</v>
      </c>
      <c r="AF81" s="22">
        <v>-6.7971997279216905E-4</v>
      </c>
      <c r="AG81" s="22">
        <v>1.44067468035694E-2</v>
      </c>
      <c r="AZ81" s="17"/>
      <c r="BB81">
        <f t="shared" si="6"/>
        <v>0</v>
      </c>
      <c r="BC81">
        <f t="shared" si="7"/>
        <v>1</v>
      </c>
      <c r="BD81">
        <f t="shared" si="8"/>
        <v>0</v>
      </c>
      <c r="BE81">
        <f t="shared" si="4"/>
        <v>1</v>
      </c>
      <c r="BF81">
        <f t="shared" si="9"/>
        <v>0</v>
      </c>
      <c r="BG81" s="17">
        <f t="shared" si="10"/>
        <v>0</v>
      </c>
      <c r="BH81" s="17">
        <f t="shared" si="11"/>
        <v>0</v>
      </c>
      <c r="BI81" s="17">
        <f t="shared" si="12"/>
        <v>0</v>
      </c>
      <c r="BJ81" s="11">
        <f t="shared" si="13"/>
        <v>2.7575343355872792E-2</v>
      </c>
      <c r="BL81" s="17"/>
      <c r="BN81">
        <f t="shared" si="14"/>
        <v>0</v>
      </c>
      <c r="BO81">
        <f t="shared" si="15"/>
        <v>1</v>
      </c>
      <c r="BP81">
        <f t="shared" si="16"/>
        <v>1</v>
      </c>
      <c r="BQ81">
        <f t="shared" si="5"/>
        <v>1</v>
      </c>
      <c r="BR81">
        <f t="shared" si="17"/>
        <v>1</v>
      </c>
      <c r="BS81" s="17">
        <f t="shared" si="18"/>
        <v>1.4231882908224599E-2</v>
      </c>
      <c r="BT81" s="17">
        <f t="shared" si="19"/>
        <v>-7.1846641032658901E-3</v>
      </c>
      <c r="BU81" s="17">
        <f t="shared" si="20"/>
        <v>7.0472188049587091E-3</v>
      </c>
      <c r="BV81" s="11">
        <f t="shared" si="21"/>
        <v>4.2844634854095395E-3</v>
      </c>
      <c r="BX81" s="11">
        <f t="shared" si="22"/>
        <v>7.0472188049587091E-3</v>
      </c>
      <c r="BY81" s="11">
        <f t="shared" si="23"/>
        <v>3.1859806841282333E-2</v>
      </c>
    </row>
    <row r="82" spans="1:77" x14ac:dyDescent="0.25">
      <c r="A82" s="1">
        <v>46141</v>
      </c>
      <c r="B82" s="21">
        <v>128.9</v>
      </c>
      <c r="C82" s="21">
        <v>165.38</v>
      </c>
      <c r="D82" s="22">
        <v>-1.73810420313057E-2</v>
      </c>
      <c r="E82" s="22">
        <v>-1.45865307190497E-2</v>
      </c>
      <c r="F82" s="21">
        <v>0</v>
      </c>
      <c r="G82" s="21">
        <v>0</v>
      </c>
      <c r="H82" s="21">
        <v>0</v>
      </c>
      <c r="I82" s="21">
        <v>0.121818</v>
      </c>
      <c r="J82" s="21">
        <v>0</v>
      </c>
      <c r="K82" s="21">
        <v>0</v>
      </c>
      <c r="L82" s="21">
        <v>128.9</v>
      </c>
      <c r="M82" s="21">
        <v>165.38</v>
      </c>
      <c r="N82" s="23">
        <v>1.28301008533747</v>
      </c>
      <c r="O82" s="23">
        <v>1.3022492118915701</v>
      </c>
      <c r="P82" s="23">
        <v>1.27625844850348</v>
      </c>
      <c r="Q82" s="23">
        <v>1.2918867094707001</v>
      </c>
      <c r="R82" s="21">
        <v>167.85992341282301</v>
      </c>
      <c r="S82" s="21">
        <v>164.59693277354901</v>
      </c>
      <c r="T82" s="21">
        <v>166.775029701318</v>
      </c>
      <c r="U82" s="22">
        <v>1.4883986104295E-2</v>
      </c>
      <c r="V82" s="22">
        <v>-4.7462026502530699E-3</v>
      </c>
      <c r="W82" s="22">
        <v>8.3999203936927398E-3</v>
      </c>
      <c r="X82" s="23">
        <v>1.28301008533747</v>
      </c>
      <c r="Y82" s="23">
        <v>1.3022759807794699</v>
      </c>
      <c r="Z82" s="23">
        <v>1.27625844850348</v>
      </c>
      <c r="AA82" s="23">
        <v>1.2918867094707001</v>
      </c>
      <c r="AB82" s="21">
        <v>167.86337392247401</v>
      </c>
      <c r="AC82" s="21">
        <v>164.59693277354901</v>
      </c>
      <c r="AD82" s="21">
        <v>166.775029701318</v>
      </c>
      <c r="AE82" s="22">
        <v>1.49045417802212E-2</v>
      </c>
      <c r="AF82" s="22">
        <v>-4.7462026502530699E-3</v>
      </c>
      <c r="AG82" s="22">
        <v>8.3999203936927398E-3</v>
      </c>
      <c r="AZ82" s="17"/>
      <c r="BB82">
        <f t="shared" si="6"/>
        <v>0</v>
      </c>
      <c r="BC82">
        <f t="shared" si="7"/>
        <v>1</v>
      </c>
      <c r="BD82">
        <f t="shared" si="8"/>
        <v>0</v>
      </c>
      <c r="BE82">
        <f t="shared" si="4"/>
        <v>1</v>
      </c>
      <c r="BF82">
        <f t="shared" si="9"/>
        <v>0</v>
      </c>
      <c r="BG82" s="17">
        <f t="shared" si="10"/>
        <v>0</v>
      </c>
      <c r="BH82" s="17">
        <f t="shared" si="11"/>
        <v>0</v>
      </c>
      <c r="BI82" s="17">
        <f t="shared" si="12"/>
        <v>0</v>
      </c>
      <c r="BJ82" s="11">
        <f t="shared" si="13"/>
        <v>2.7575343355872792E-2</v>
      </c>
      <c r="BL82" s="17"/>
      <c r="BN82">
        <f t="shared" si="14"/>
        <v>0</v>
      </c>
      <c r="BO82">
        <f t="shared" si="15"/>
        <v>1</v>
      </c>
      <c r="BP82">
        <f t="shared" si="16"/>
        <v>0</v>
      </c>
      <c r="BQ82">
        <f t="shared" si="5"/>
        <v>1</v>
      </c>
      <c r="BR82">
        <f t="shared" si="17"/>
        <v>0</v>
      </c>
      <c r="BS82" s="17">
        <f t="shared" si="18"/>
        <v>0</v>
      </c>
      <c r="BT82" s="17">
        <f t="shared" si="19"/>
        <v>0</v>
      </c>
      <c r="BU82" s="17">
        <f t="shared" si="20"/>
        <v>0</v>
      </c>
      <c r="BV82" s="11">
        <f t="shared" si="21"/>
        <v>4.2844634854095395E-3</v>
      </c>
      <c r="BX82" s="11">
        <f t="shared" si="22"/>
        <v>0</v>
      </c>
      <c r="BY82" s="11">
        <f t="shared" si="23"/>
        <v>3.1859806841282333E-2</v>
      </c>
    </row>
    <row r="83" spans="1:77" x14ac:dyDescent="0.25">
      <c r="A83" s="1">
        <v>46142</v>
      </c>
      <c r="B83" s="21">
        <v>131.33000000000001</v>
      </c>
      <c r="C83" s="21">
        <v>168.69</v>
      </c>
      <c r="D83" s="22">
        <v>1.8676329651926799E-2</v>
      </c>
      <c r="E83" s="22">
        <v>1.9816854678199498E-2</v>
      </c>
      <c r="F83" s="21">
        <v>0</v>
      </c>
      <c r="G83" s="21">
        <v>0</v>
      </c>
      <c r="H83" s="21">
        <v>0</v>
      </c>
      <c r="I83" s="21">
        <v>0.121818</v>
      </c>
      <c r="J83" s="21">
        <v>0</v>
      </c>
      <c r="K83" s="21">
        <v>0</v>
      </c>
      <c r="L83" s="21">
        <v>131.33000000000001</v>
      </c>
      <c r="M83" s="21">
        <v>168.69</v>
      </c>
      <c r="N83" s="23">
        <v>1.2844742252341399</v>
      </c>
      <c r="O83" s="23">
        <v>1.3022492118915701</v>
      </c>
      <c r="P83" s="23">
        <v>1.2761660806828801</v>
      </c>
      <c r="Q83" s="23">
        <v>1.2899377252831701</v>
      </c>
      <c r="R83" s="21">
        <v>171.02438899772</v>
      </c>
      <c r="S83" s="21">
        <v>167.611022041962</v>
      </c>
      <c r="T83" s="21">
        <v>169.66348155478801</v>
      </c>
      <c r="U83" s="22">
        <v>1.37434610780227E-2</v>
      </c>
      <c r="V83" s="22">
        <v>-6.41676111307169E-3</v>
      </c>
      <c r="W83" s="22">
        <v>5.7542439724187896E-3</v>
      </c>
      <c r="X83" s="23">
        <v>1.2844742252341399</v>
      </c>
      <c r="Y83" s="23">
        <v>1.3022759807794699</v>
      </c>
      <c r="Z83" s="23">
        <v>1.2761660806828801</v>
      </c>
      <c r="AA83" s="23">
        <v>1.2899377252831701</v>
      </c>
      <c r="AB83" s="21">
        <v>171.027904555768</v>
      </c>
      <c r="AC83" s="21">
        <v>167.611022041962</v>
      </c>
      <c r="AD83" s="21">
        <v>169.66348155478801</v>
      </c>
      <c r="AE83" s="22">
        <v>1.3764016753948701E-2</v>
      </c>
      <c r="AF83" s="22">
        <v>-6.41676111307169E-3</v>
      </c>
      <c r="AG83" s="22">
        <v>5.7542439724187896E-3</v>
      </c>
      <c r="AZ83" s="17"/>
      <c r="BB83">
        <f t="shared" si="6"/>
        <v>0</v>
      </c>
      <c r="BC83">
        <f t="shared" si="7"/>
        <v>1</v>
      </c>
      <c r="BD83">
        <f t="shared" si="8"/>
        <v>0</v>
      </c>
      <c r="BE83">
        <f t="shared" si="4"/>
        <v>1</v>
      </c>
      <c r="BF83">
        <f t="shared" si="9"/>
        <v>0</v>
      </c>
      <c r="BG83" s="17">
        <f t="shared" si="10"/>
        <v>0</v>
      </c>
      <c r="BH83" s="17">
        <f t="shared" si="11"/>
        <v>0</v>
      </c>
      <c r="BI83" s="17">
        <f t="shared" si="12"/>
        <v>0</v>
      </c>
      <c r="BJ83" s="11">
        <f t="shared" si="13"/>
        <v>2.7575343355872792E-2</v>
      </c>
      <c r="BL83" s="17"/>
      <c r="BN83">
        <f t="shared" si="14"/>
        <v>0</v>
      </c>
      <c r="BO83">
        <f t="shared" si="15"/>
        <v>1</v>
      </c>
      <c r="BP83">
        <f t="shared" si="16"/>
        <v>0</v>
      </c>
      <c r="BQ83">
        <f t="shared" si="5"/>
        <v>1</v>
      </c>
      <c r="BR83">
        <f t="shared" si="17"/>
        <v>0</v>
      </c>
      <c r="BS83" s="17">
        <f t="shared" si="18"/>
        <v>0</v>
      </c>
      <c r="BT83" s="17">
        <f t="shared" si="19"/>
        <v>0</v>
      </c>
      <c r="BU83" s="17">
        <f t="shared" si="20"/>
        <v>0</v>
      </c>
      <c r="BV83" s="11">
        <f t="shared" si="21"/>
        <v>4.2844634854095395E-3</v>
      </c>
      <c r="BX83" s="11">
        <f t="shared" si="22"/>
        <v>0</v>
      </c>
      <c r="BY83" s="11">
        <f t="shared" si="23"/>
        <v>3.1859806841282333E-2</v>
      </c>
    </row>
    <row r="84" spans="1:77" x14ac:dyDescent="0.25">
      <c r="A84" s="1">
        <v>46143</v>
      </c>
      <c r="B84" s="21">
        <v>130.41999999999999</v>
      </c>
      <c r="C84" s="21">
        <v>167.27</v>
      </c>
      <c r="D84" s="22">
        <v>-6.9532276320124903E-3</v>
      </c>
      <c r="E84" s="22">
        <v>-8.4534376483025604E-3</v>
      </c>
      <c r="F84" s="21">
        <v>0</v>
      </c>
      <c r="G84" s="21">
        <v>0</v>
      </c>
      <c r="H84" s="21">
        <v>0</v>
      </c>
      <c r="I84" s="21">
        <v>0.121818</v>
      </c>
      <c r="J84" s="21">
        <v>0</v>
      </c>
      <c r="K84" s="21">
        <v>0</v>
      </c>
      <c r="L84" s="21">
        <v>130.41999999999999</v>
      </c>
      <c r="M84" s="21">
        <v>167.27</v>
      </c>
      <c r="N84" s="23">
        <v>1.2825486888513999</v>
      </c>
      <c r="O84" s="23">
        <v>1.3022492118915701</v>
      </c>
      <c r="P84" s="23">
        <v>1.2770249735097501</v>
      </c>
      <c r="Q84" s="23">
        <v>1.2883742478150699</v>
      </c>
      <c r="R84" s="21">
        <v>169.83934221489901</v>
      </c>
      <c r="S84" s="21">
        <v>166.437580242661</v>
      </c>
      <c r="T84" s="21">
        <v>168.23367813143099</v>
      </c>
      <c r="U84" s="22">
        <v>1.52436710943127E-2</v>
      </c>
      <c r="V84" s="22">
        <v>-4.9889276310008199E-3</v>
      </c>
      <c r="W84" s="22">
        <v>5.7446808751608703E-3</v>
      </c>
      <c r="X84" s="23">
        <v>1.2825486888513999</v>
      </c>
      <c r="Y84" s="23">
        <v>1.3022759807794699</v>
      </c>
      <c r="Z84" s="23">
        <v>1.2770249735097501</v>
      </c>
      <c r="AA84" s="23">
        <v>1.2883742478150699</v>
      </c>
      <c r="AB84" s="21">
        <v>169.842833413259</v>
      </c>
      <c r="AC84" s="21">
        <v>166.437580242661</v>
      </c>
      <c r="AD84" s="21">
        <v>168.23367813143099</v>
      </c>
      <c r="AE84" s="22">
        <v>1.52642267702387E-2</v>
      </c>
      <c r="AF84" s="22">
        <v>-4.9889276310005996E-3</v>
      </c>
      <c r="AG84" s="22">
        <v>5.7446808751608703E-3</v>
      </c>
      <c r="AZ84" s="17"/>
      <c r="BB84">
        <f t="shared" si="6"/>
        <v>0</v>
      </c>
      <c r="BC84">
        <f t="shared" si="7"/>
        <v>1</v>
      </c>
      <c r="BD84">
        <f t="shared" si="8"/>
        <v>0</v>
      </c>
      <c r="BE84">
        <f t="shared" si="4"/>
        <v>1</v>
      </c>
      <c r="BF84">
        <f t="shared" si="9"/>
        <v>0</v>
      </c>
      <c r="BG84" s="17">
        <f t="shared" si="10"/>
        <v>0</v>
      </c>
      <c r="BH84" s="17">
        <f t="shared" si="11"/>
        <v>0</v>
      </c>
      <c r="BI84" s="17">
        <f t="shared" si="12"/>
        <v>0</v>
      </c>
      <c r="BJ84" s="11">
        <f t="shared" si="13"/>
        <v>2.7575343355872792E-2</v>
      </c>
      <c r="BL84" s="17"/>
      <c r="BN84">
        <f t="shared" si="14"/>
        <v>0</v>
      </c>
      <c r="BO84">
        <f t="shared" si="15"/>
        <v>1</v>
      </c>
      <c r="BP84">
        <f t="shared" si="16"/>
        <v>0</v>
      </c>
      <c r="BQ84">
        <f t="shared" si="5"/>
        <v>1</v>
      </c>
      <c r="BR84">
        <f t="shared" si="17"/>
        <v>0</v>
      </c>
      <c r="BS84" s="17">
        <f t="shared" si="18"/>
        <v>0</v>
      </c>
      <c r="BT84" s="17">
        <f t="shared" si="19"/>
        <v>0</v>
      </c>
      <c r="BU84" s="17">
        <f t="shared" si="20"/>
        <v>0</v>
      </c>
      <c r="BV84" s="11">
        <f t="shared" si="21"/>
        <v>4.2844634854095395E-3</v>
      </c>
      <c r="BX84" s="11">
        <f t="shared" si="22"/>
        <v>0</v>
      </c>
      <c r="BY84" s="11">
        <f t="shared" si="23"/>
        <v>3.1859806841282333E-2</v>
      </c>
    </row>
    <row r="85" spans="1:77" x14ac:dyDescent="0.25">
      <c r="A85" s="1">
        <v>46146</v>
      </c>
      <c r="B85" s="21">
        <v>133.5</v>
      </c>
      <c r="C85" s="21">
        <v>170.16</v>
      </c>
      <c r="D85" s="22">
        <v>2.3341465875248098E-2</v>
      </c>
      <c r="E85" s="22">
        <v>1.7129897568064201E-2</v>
      </c>
      <c r="F85" s="21">
        <v>0</v>
      </c>
      <c r="G85" s="21">
        <v>0</v>
      </c>
      <c r="H85" s="21">
        <v>0</v>
      </c>
      <c r="I85" s="21">
        <v>0.121818</v>
      </c>
      <c r="J85" s="21">
        <v>0</v>
      </c>
      <c r="K85" s="21">
        <v>0</v>
      </c>
      <c r="L85" s="21">
        <v>133.5</v>
      </c>
      <c r="M85" s="21">
        <v>170.16</v>
      </c>
      <c r="N85" s="23">
        <v>1.27460674157303</v>
      </c>
      <c r="O85" s="23">
        <v>1.3022492118915701</v>
      </c>
      <c r="P85" s="23">
        <v>1.2769292212210099</v>
      </c>
      <c r="Q85" s="23">
        <v>1.28656498862043</v>
      </c>
      <c r="R85" s="21">
        <v>173.85026978752501</v>
      </c>
      <c r="S85" s="21">
        <v>170.482833963552</v>
      </c>
      <c r="T85" s="21">
        <v>171.99796208331199</v>
      </c>
      <c r="U85" s="22">
        <v>2.1455239401496601E-2</v>
      </c>
      <c r="V85" s="22">
        <v>1.89544019728491E-3</v>
      </c>
      <c r="W85" s="22">
        <v>1.07434574984433E-2</v>
      </c>
      <c r="X85" s="23">
        <v>1.27460674157303</v>
      </c>
      <c r="Y85" s="23">
        <v>1.3022759807794699</v>
      </c>
      <c r="Z85" s="23">
        <v>1.2769292212210099</v>
      </c>
      <c r="AA85" s="23">
        <v>1.28656498862043</v>
      </c>
      <c r="AB85" s="21">
        <v>173.853843434059</v>
      </c>
      <c r="AC85" s="21">
        <v>170.482833963552</v>
      </c>
      <c r="AD85" s="21">
        <v>171.99796208331199</v>
      </c>
      <c r="AE85" s="22">
        <v>2.1475795077422501E-2</v>
      </c>
      <c r="AF85" s="22">
        <v>1.89544019728491E-3</v>
      </c>
      <c r="AG85" s="22">
        <v>1.07434574984433E-2</v>
      </c>
      <c r="AZ85" s="17"/>
      <c r="BB85">
        <f t="shared" si="6"/>
        <v>0</v>
      </c>
      <c r="BC85">
        <f t="shared" si="7"/>
        <v>1</v>
      </c>
      <c r="BD85">
        <f t="shared" si="8"/>
        <v>0</v>
      </c>
      <c r="BE85">
        <f t="shared" si="4"/>
        <v>1</v>
      </c>
      <c r="BF85">
        <f t="shared" si="9"/>
        <v>0</v>
      </c>
      <c r="BG85" s="17">
        <f t="shared" si="10"/>
        <v>0</v>
      </c>
      <c r="BH85" s="17">
        <f t="shared" si="11"/>
        <v>0</v>
      </c>
      <c r="BI85" s="17">
        <f t="shared" si="12"/>
        <v>0</v>
      </c>
      <c r="BJ85" s="11">
        <f t="shared" si="13"/>
        <v>2.7575343355872792E-2</v>
      </c>
      <c r="BL85" s="17"/>
      <c r="BN85">
        <f t="shared" si="14"/>
        <v>0</v>
      </c>
      <c r="BO85">
        <f t="shared" si="15"/>
        <v>1</v>
      </c>
      <c r="BP85">
        <f t="shared" si="16"/>
        <v>0</v>
      </c>
      <c r="BQ85">
        <f t="shared" si="5"/>
        <v>1</v>
      </c>
      <c r="BR85">
        <f t="shared" si="17"/>
        <v>0</v>
      </c>
      <c r="BS85" s="17">
        <f t="shared" si="18"/>
        <v>0</v>
      </c>
      <c r="BT85" s="17">
        <f t="shared" si="19"/>
        <v>0</v>
      </c>
      <c r="BU85" s="17">
        <f t="shared" si="20"/>
        <v>0</v>
      </c>
      <c r="BV85" s="11">
        <f t="shared" si="21"/>
        <v>4.2844634854095395E-3</v>
      </c>
      <c r="BX85" s="11">
        <f t="shared" si="22"/>
        <v>0</v>
      </c>
      <c r="BY85" s="11">
        <f t="shared" si="23"/>
        <v>3.1859806841282333E-2</v>
      </c>
    </row>
    <row r="86" spans="1:77" x14ac:dyDescent="0.25">
      <c r="A86" s="1">
        <v>46147</v>
      </c>
      <c r="B86" s="21">
        <v>133.79</v>
      </c>
      <c r="C86" s="21">
        <v>170.34</v>
      </c>
      <c r="D86" s="22">
        <v>2.1699286452236798E-3</v>
      </c>
      <c r="E86" s="22">
        <v>1.05726882095312E-3</v>
      </c>
      <c r="F86" s="21">
        <v>0</v>
      </c>
      <c r="G86" s="21">
        <v>0</v>
      </c>
      <c r="H86" s="21">
        <v>0</v>
      </c>
      <c r="I86" s="21">
        <v>0.121818</v>
      </c>
      <c r="J86" s="21">
        <v>0</v>
      </c>
      <c r="K86" s="21">
        <v>0</v>
      </c>
      <c r="L86" s="21">
        <v>133.79</v>
      </c>
      <c r="M86" s="21">
        <v>170.34</v>
      </c>
      <c r="N86" s="23">
        <v>1.2731893265565399</v>
      </c>
      <c r="O86" s="23">
        <v>1.3022492118915701</v>
      </c>
      <c r="P86" s="23">
        <v>1.2766801503573499</v>
      </c>
      <c r="Q86" s="23">
        <v>1.28483834707088</v>
      </c>
      <c r="R86" s="21">
        <v>174.22792205897301</v>
      </c>
      <c r="S86" s="21">
        <v>170.84036050715901</v>
      </c>
      <c r="T86" s="21">
        <v>172.12952982752699</v>
      </c>
      <c r="U86" s="22">
        <v>2.2567899225767098E-2</v>
      </c>
      <c r="V86" s="22">
        <v>2.9331164615682601E-3</v>
      </c>
      <c r="W86" s="22">
        <v>1.0450834070367E-2</v>
      </c>
      <c r="X86" s="23">
        <v>1.2731893265565399</v>
      </c>
      <c r="Y86" s="23">
        <v>1.3022759807794699</v>
      </c>
      <c r="Z86" s="23">
        <v>1.2766801503573499</v>
      </c>
      <c r="AA86" s="23">
        <v>1.28483834707088</v>
      </c>
      <c r="AB86" s="21">
        <v>174.23150346848499</v>
      </c>
      <c r="AC86" s="21">
        <v>170.84036050715901</v>
      </c>
      <c r="AD86" s="21">
        <v>172.12952982752699</v>
      </c>
      <c r="AE86" s="22">
        <v>2.25884549016932E-2</v>
      </c>
      <c r="AF86" s="22">
        <v>2.93311646156848E-3</v>
      </c>
      <c r="AG86" s="22">
        <v>1.0450834070367E-2</v>
      </c>
      <c r="AZ86" s="17"/>
      <c r="BB86">
        <f t="shared" si="6"/>
        <v>0</v>
      </c>
      <c r="BC86">
        <f t="shared" si="7"/>
        <v>1</v>
      </c>
      <c r="BD86">
        <f t="shared" si="8"/>
        <v>0</v>
      </c>
      <c r="BE86">
        <f t="shared" ref="BE86:BE149" si="24">IF(F87+H87&gt;0,0,1)</f>
        <v>1</v>
      </c>
      <c r="BF86">
        <f t="shared" si="9"/>
        <v>0</v>
      </c>
      <c r="BG86" s="17">
        <f t="shared" si="10"/>
        <v>0</v>
      </c>
      <c r="BH86" s="17">
        <f t="shared" si="11"/>
        <v>0</v>
      </c>
      <c r="BI86" s="17">
        <f t="shared" si="12"/>
        <v>0</v>
      </c>
      <c r="BJ86" s="11">
        <f t="shared" si="13"/>
        <v>2.7575343355872792E-2</v>
      </c>
      <c r="BL86" s="17"/>
      <c r="BN86">
        <f t="shared" si="14"/>
        <v>0</v>
      </c>
      <c r="BO86">
        <f t="shared" si="15"/>
        <v>1</v>
      </c>
      <c r="BP86">
        <f t="shared" si="16"/>
        <v>0</v>
      </c>
      <c r="BQ86">
        <f t="shared" ref="BQ86:BQ149" si="25">IF(F87+H87&gt;0,0,1)</f>
        <v>1</v>
      </c>
      <c r="BR86">
        <f t="shared" si="17"/>
        <v>0</v>
      </c>
      <c r="BS86" s="17">
        <f t="shared" si="18"/>
        <v>0</v>
      </c>
      <c r="BT86" s="17">
        <f t="shared" si="19"/>
        <v>0</v>
      </c>
      <c r="BU86" s="17">
        <f t="shared" si="20"/>
        <v>0</v>
      </c>
      <c r="BV86" s="11">
        <f t="shared" si="21"/>
        <v>4.2844634854095395E-3</v>
      </c>
      <c r="BX86" s="11">
        <f t="shared" si="22"/>
        <v>0</v>
      </c>
      <c r="BY86" s="11">
        <f t="shared" si="23"/>
        <v>3.1859806841282333E-2</v>
      </c>
    </row>
    <row r="87" spans="1:77" x14ac:dyDescent="0.25">
      <c r="A87" s="1">
        <v>46148</v>
      </c>
      <c r="B87" s="21">
        <v>137.68</v>
      </c>
      <c r="C87" s="21">
        <v>173.87</v>
      </c>
      <c r="D87" s="22">
        <v>2.8660745417756199E-2</v>
      </c>
      <c r="E87" s="22">
        <v>2.0511453826763601E-2</v>
      </c>
      <c r="F87" s="21">
        <v>0</v>
      </c>
      <c r="G87" s="21">
        <v>0</v>
      </c>
      <c r="H87" s="21">
        <v>0</v>
      </c>
      <c r="I87" s="21">
        <v>0.121818</v>
      </c>
      <c r="J87" s="21">
        <v>0</v>
      </c>
      <c r="K87" s="21">
        <v>0</v>
      </c>
      <c r="L87" s="21">
        <v>137.68</v>
      </c>
      <c r="M87" s="21">
        <v>173.87</v>
      </c>
      <c r="N87" s="23">
        <v>1.26285589773387</v>
      </c>
      <c r="O87" s="23">
        <v>1.3022492118915701</v>
      </c>
      <c r="P87" s="23">
        <v>1.27598300034485</v>
      </c>
      <c r="Q87" s="23">
        <v>1.28220999767897</v>
      </c>
      <c r="R87" s="21">
        <v>179.29367149323099</v>
      </c>
      <c r="S87" s="21">
        <v>175.77332310119999</v>
      </c>
      <c r="T87" s="21">
        <v>176.89654362471899</v>
      </c>
      <c r="U87" s="22">
        <v>3.07171908167597E-2</v>
      </c>
      <c r="V87" s="22">
        <v>1.08873344698687E-2</v>
      </c>
      <c r="W87" s="22">
        <v>1.7257168852454E-2</v>
      </c>
      <c r="X87" s="23">
        <v>1.26285589773387</v>
      </c>
      <c r="Y87" s="23">
        <v>1.3022759807794699</v>
      </c>
      <c r="Z87" s="23">
        <v>1.27598300034485</v>
      </c>
      <c r="AA87" s="23">
        <v>1.28220999767897</v>
      </c>
      <c r="AB87" s="21">
        <v>179.29735703371799</v>
      </c>
      <c r="AC87" s="21">
        <v>175.77332310119999</v>
      </c>
      <c r="AD87" s="21">
        <v>176.89654362471899</v>
      </c>
      <c r="AE87" s="22">
        <v>3.07377464926856E-2</v>
      </c>
      <c r="AF87" s="22">
        <v>1.08873344698687E-2</v>
      </c>
      <c r="AG87" s="22">
        <v>1.7257168852454E-2</v>
      </c>
      <c r="AZ87" s="17"/>
      <c r="BB87">
        <f t="shared" ref="BB87:BB150" si="26">IF($AG87&lt;BA$20,1,0)</f>
        <v>0</v>
      </c>
      <c r="BC87">
        <f t="shared" ref="BC87:BC150" si="27">IF($AG87&gt;BA$21,1,0)</f>
        <v>1</v>
      </c>
      <c r="BD87">
        <f t="shared" ref="BD87:BD150" si="28">BF87</f>
        <v>0</v>
      </c>
      <c r="BE87">
        <f t="shared" si="24"/>
        <v>1</v>
      </c>
      <c r="BF87">
        <f t="shared" ref="BF87:BF150" si="29">IF(BB86,1,IF(BC86,0,BD86))*BE86</f>
        <v>0</v>
      </c>
      <c r="BG87" s="17">
        <f t="shared" ref="BG87:BG150" si="30">BF87*D87</f>
        <v>0</v>
      </c>
      <c r="BH87" s="17">
        <f t="shared" ref="BH87:BH150" si="31">-BF87*$E87</f>
        <v>0</v>
      </c>
      <c r="BI87" s="17">
        <f t="shared" ref="BI87:BI150" si="32">BG87+BH87</f>
        <v>0</v>
      </c>
      <c r="BJ87" s="11">
        <f t="shared" ref="BJ87:BJ150" si="33">BJ86+BI87</f>
        <v>2.7575343355872792E-2</v>
      </c>
      <c r="BL87" s="17"/>
      <c r="BN87">
        <f t="shared" ref="BN87:BN150" si="34">IF($AG87&gt;BM$20,1,0)</f>
        <v>0</v>
      </c>
      <c r="BO87">
        <f t="shared" ref="BO87:BO150" si="35">IF($AG87&lt;BM$21,1,0)</f>
        <v>1</v>
      </c>
      <c r="BP87">
        <f t="shared" ref="BP87:BP150" si="36">BR87</f>
        <v>0</v>
      </c>
      <c r="BQ87">
        <f t="shared" si="25"/>
        <v>1</v>
      </c>
      <c r="BR87">
        <f t="shared" ref="BR87:BR150" si="37">IF(BN86,1,IF(BO86,0,BP86))*BQ86</f>
        <v>0</v>
      </c>
      <c r="BS87" s="17">
        <f t="shared" ref="BS87:BS150" si="38">-BR87*D87</f>
        <v>0</v>
      </c>
      <c r="BT87" s="17">
        <f t="shared" ref="BT87:BT150" si="39">BR87*$E87</f>
        <v>0</v>
      </c>
      <c r="BU87" s="17">
        <f t="shared" ref="BU87:BU150" si="40">BS87+BT87</f>
        <v>0</v>
      </c>
      <c r="BV87" s="11">
        <f t="shared" ref="BV87:BV150" si="41">BV86+BU87</f>
        <v>4.2844634854095395E-3</v>
      </c>
      <c r="BX87" s="11">
        <f t="shared" ref="BX87:BX150" si="42">BI87+BU87</f>
        <v>0</v>
      </c>
      <c r="BY87" s="11">
        <f t="shared" ref="BY87:BY150" si="43">BY86+BX87</f>
        <v>3.1859806841282333E-2</v>
      </c>
    </row>
    <row r="88" spans="1:77" x14ac:dyDescent="0.25">
      <c r="A88" s="1">
        <v>46149</v>
      </c>
      <c r="B88" s="21">
        <v>133.66</v>
      </c>
      <c r="C88" s="21">
        <v>170.1</v>
      </c>
      <c r="D88" s="22">
        <v>-2.9632889820360001E-2</v>
      </c>
      <c r="E88" s="22">
        <v>-2.19213941378823E-2</v>
      </c>
      <c r="F88" s="21">
        <v>0</v>
      </c>
      <c r="G88" s="21">
        <v>0</v>
      </c>
      <c r="H88" s="21">
        <v>0</v>
      </c>
      <c r="I88" s="21">
        <v>0.121818</v>
      </c>
      <c r="J88" s="21">
        <v>0</v>
      </c>
      <c r="K88" s="21">
        <v>0</v>
      </c>
      <c r="L88" s="21">
        <v>133.66</v>
      </c>
      <c r="M88" s="21">
        <v>170.1</v>
      </c>
      <c r="N88" s="23">
        <v>1.27263205147388</v>
      </c>
      <c r="O88" s="23">
        <v>1.3022492118915701</v>
      </c>
      <c r="P88" s="23">
        <v>1.2757051243709601</v>
      </c>
      <c r="Q88" s="23">
        <v>1.2805404319929099</v>
      </c>
      <c r="R88" s="21">
        <v>174.05862966142701</v>
      </c>
      <c r="S88" s="21">
        <v>170.54788782609299</v>
      </c>
      <c r="T88" s="21">
        <v>171.38018828977101</v>
      </c>
      <c r="U88" s="22">
        <v>2.3005695134281901E-2</v>
      </c>
      <c r="V88" s="22">
        <v>2.6296249012074898E-3</v>
      </c>
      <c r="W88" s="22">
        <v>7.49791250684097E-3</v>
      </c>
      <c r="X88" s="23">
        <v>1.27263205147388</v>
      </c>
      <c r="Y88" s="23">
        <v>1.3022759807794699</v>
      </c>
      <c r="Z88" s="23">
        <v>1.2757051243709601</v>
      </c>
      <c r="AA88" s="23">
        <v>1.2805404319929099</v>
      </c>
      <c r="AB88" s="21">
        <v>174.062207590984</v>
      </c>
      <c r="AC88" s="21">
        <v>170.54788782609299</v>
      </c>
      <c r="AD88" s="21">
        <v>171.38018828977101</v>
      </c>
      <c r="AE88" s="22">
        <v>2.3026250810207999E-2</v>
      </c>
      <c r="AF88" s="22">
        <v>2.6296249012074898E-3</v>
      </c>
      <c r="AG88" s="22">
        <v>7.49791250684097E-3</v>
      </c>
      <c r="AZ88" s="17"/>
      <c r="BB88">
        <f t="shared" si="26"/>
        <v>0</v>
      </c>
      <c r="BC88">
        <f t="shared" si="27"/>
        <v>1</v>
      </c>
      <c r="BD88">
        <f t="shared" si="28"/>
        <v>0</v>
      </c>
      <c r="BE88">
        <f t="shared" si="24"/>
        <v>1</v>
      </c>
      <c r="BF88">
        <f t="shared" si="29"/>
        <v>0</v>
      </c>
      <c r="BG88" s="17">
        <f t="shared" si="30"/>
        <v>0</v>
      </c>
      <c r="BH88" s="17">
        <f t="shared" si="31"/>
        <v>0</v>
      </c>
      <c r="BI88" s="17">
        <f t="shared" si="32"/>
        <v>0</v>
      </c>
      <c r="BJ88" s="11">
        <f t="shared" si="33"/>
        <v>2.7575343355872792E-2</v>
      </c>
      <c r="BL88" s="17"/>
      <c r="BN88">
        <f t="shared" si="34"/>
        <v>0</v>
      </c>
      <c r="BO88">
        <f t="shared" si="35"/>
        <v>1</v>
      </c>
      <c r="BP88">
        <f t="shared" si="36"/>
        <v>0</v>
      </c>
      <c r="BQ88">
        <f t="shared" si="25"/>
        <v>1</v>
      </c>
      <c r="BR88">
        <f t="shared" si="37"/>
        <v>0</v>
      </c>
      <c r="BS88" s="17">
        <f t="shared" si="38"/>
        <v>0</v>
      </c>
      <c r="BT88" s="17">
        <f t="shared" si="39"/>
        <v>0</v>
      </c>
      <c r="BU88" s="17">
        <f t="shared" si="40"/>
        <v>0</v>
      </c>
      <c r="BV88" s="11">
        <f t="shared" si="41"/>
        <v>4.2844634854095395E-3</v>
      </c>
      <c r="BX88" s="11">
        <f t="shared" si="42"/>
        <v>0</v>
      </c>
      <c r="BY88" s="11">
        <f t="shared" si="43"/>
        <v>3.1859806841282333E-2</v>
      </c>
    </row>
    <row r="89" spans="1:77" x14ac:dyDescent="0.25">
      <c r="A89" s="1">
        <v>46150</v>
      </c>
      <c r="B89" s="21">
        <v>134.71</v>
      </c>
      <c r="C89" s="21">
        <v>169.94</v>
      </c>
      <c r="D89" s="22">
        <v>7.8250576275525896E-3</v>
      </c>
      <c r="E89" s="22">
        <v>-9.4106582642079599E-4</v>
      </c>
      <c r="F89" s="21">
        <v>0</v>
      </c>
      <c r="G89" s="21">
        <v>0</v>
      </c>
      <c r="H89" s="21">
        <v>0</v>
      </c>
      <c r="I89" s="21">
        <v>0.121818</v>
      </c>
      <c r="J89" s="21">
        <v>0</v>
      </c>
      <c r="K89" s="21">
        <v>0</v>
      </c>
      <c r="L89" s="21">
        <v>134.71</v>
      </c>
      <c r="M89" s="21">
        <v>169.94</v>
      </c>
      <c r="N89" s="23">
        <v>1.26152475688516</v>
      </c>
      <c r="O89" s="23">
        <v>1.3022492118915701</v>
      </c>
      <c r="P89" s="23">
        <v>1.2744716456777301</v>
      </c>
      <c r="Q89" s="23">
        <v>1.27819253510293</v>
      </c>
      <c r="R89" s="21">
        <v>175.425991333913</v>
      </c>
      <c r="S89" s="21">
        <v>171.85023730401301</v>
      </c>
      <c r="T89" s="21">
        <v>172.501601593765</v>
      </c>
      <c r="U89" s="22">
        <v>3.1771818588255403E-2</v>
      </c>
      <c r="V89" s="22">
        <v>1.11779505982442E-2</v>
      </c>
      <c r="W89" s="22">
        <v>1.4961087454458301E-2</v>
      </c>
      <c r="X89" s="23">
        <v>1.26152475688516</v>
      </c>
      <c r="Y89" s="23">
        <v>1.3022759807794699</v>
      </c>
      <c r="Z89" s="23">
        <v>1.2744716456777301</v>
      </c>
      <c r="AA89" s="23">
        <v>1.27819253510293</v>
      </c>
      <c r="AB89" s="21">
        <v>175.42959737080201</v>
      </c>
      <c r="AC89" s="21">
        <v>171.85023730401301</v>
      </c>
      <c r="AD89" s="21">
        <v>172.501601593765</v>
      </c>
      <c r="AE89" s="22">
        <v>3.1792374264181501E-2</v>
      </c>
      <c r="AF89" s="22">
        <v>1.1177950598244E-2</v>
      </c>
      <c r="AG89" s="22">
        <v>1.49610874544585E-2</v>
      </c>
      <c r="AZ89" s="17"/>
      <c r="BB89">
        <f t="shared" si="26"/>
        <v>0</v>
      </c>
      <c r="BC89">
        <f t="shared" si="27"/>
        <v>1</v>
      </c>
      <c r="BD89">
        <f t="shared" si="28"/>
        <v>0</v>
      </c>
      <c r="BE89">
        <f t="shared" si="24"/>
        <v>1</v>
      </c>
      <c r="BF89">
        <f t="shared" si="29"/>
        <v>0</v>
      </c>
      <c r="BG89" s="17">
        <f t="shared" si="30"/>
        <v>0</v>
      </c>
      <c r="BH89" s="17">
        <f t="shared" si="31"/>
        <v>0</v>
      </c>
      <c r="BI89" s="17">
        <f t="shared" si="32"/>
        <v>0</v>
      </c>
      <c r="BJ89" s="11">
        <f t="shared" si="33"/>
        <v>2.7575343355872792E-2</v>
      </c>
      <c r="BL89" s="17"/>
      <c r="BN89">
        <f t="shared" si="34"/>
        <v>0</v>
      </c>
      <c r="BO89">
        <f t="shared" si="35"/>
        <v>1</v>
      </c>
      <c r="BP89">
        <f t="shared" si="36"/>
        <v>0</v>
      </c>
      <c r="BQ89">
        <f t="shared" si="25"/>
        <v>1</v>
      </c>
      <c r="BR89">
        <f t="shared" si="37"/>
        <v>0</v>
      </c>
      <c r="BS89" s="17">
        <f t="shared" si="38"/>
        <v>0</v>
      </c>
      <c r="BT89" s="17">
        <f t="shared" si="39"/>
        <v>0</v>
      </c>
      <c r="BU89" s="17">
        <f t="shared" si="40"/>
        <v>0</v>
      </c>
      <c r="BV89" s="11">
        <f t="shared" si="41"/>
        <v>4.2844634854095395E-3</v>
      </c>
      <c r="BX89" s="11">
        <f t="shared" si="42"/>
        <v>0</v>
      </c>
      <c r="BY89" s="11">
        <f t="shared" si="43"/>
        <v>3.1859806841282333E-2</v>
      </c>
    </row>
    <row r="90" spans="1:77" x14ac:dyDescent="0.25">
      <c r="A90" s="1">
        <v>46153</v>
      </c>
      <c r="B90" s="21">
        <v>134.75</v>
      </c>
      <c r="C90" s="21">
        <v>170</v>
      </c>
      <c r="D90" s="22">
        <v>2.96890078629885E-4</v>
      </c>
      <c r="E90" s="22">
        <v>3.5300347486649498E-4</v>
      </c>
      <c r="F90" s="21">
        <v>0</v>
      </c>
      <c r="G90" s="21">
        <v>0</v>
      </c>
      <c r="H90" s="21">
        <v>0</v>
      </c>
      <c r="I90" s="21">
        <v>0.121818</v>
      </c>
      <c r="J90" s="21">
        <v>0</v>
      </c>
      <c r="K90" s="21">
        <v>0</v>
      </c>
      <c r="L90" s="21">
        <v>134.75</v>
      </c>
      <c r="M90" s="21">
        <v>170</v>
      </c>
      <c r="N90" s="23">
        <v>1.2615955473098299</v>
      </c>
      <c r="O90" s="23">
        <v>1.3022492118915701</v>
      </c>
      <c r="P90" s="23">
        <v>1.2735867025133401</v>
      </c>
      <c r="Q90" s="23">
        <v>1.27607352413067</v>
      </c>
      <c r="R90" s="21">
        <v>175.478081302389</v>
      </c>
      <c r="S90" s="21">
        <v>171.735054255074</v>
      </c>
      <c r="T90" s="21">
        <v>172.23644410512</v>
      </c>
      <c r="U90" s="22">
        <v>3.1715705192018898E-2</v>
      </c>
      <c r="V90" s="22">
        <v>1.0154469916794801E-2</v>
      </c>
      <c r="W90" s="22">
        <v>1.3069770792273099E-2</v>
      </c>
      <c r="X90" s="23">
        <v>1.2615955473098299</v>
      </c>
      <c r="Y90" s="23">
        <v>1.3022759807794699</v>
      </c>
      <c r="Z90" s="23">
        <v>1.2735867025133401</v>
      </c>
      <c r="AA90" s="23">
        <v>1.27607352413067</v>
      </c>
      <c r="AB90" s="21">
        <v>175.481688410034</v>
      </c>
      <c r="AC90" s="21">
        <v>171.735054255074</v>
      </c>
      <c r="AD90" s="21">
        <v>172.23644410512</v>
      </c>
      <c r="AE90" s="22">
        <v>3.1736260867944698E-2</v>
      </c>
      <c r="AF90" s="22">
        <v>1.0154469916795099E-2</v>
      </c>
      <c r="AG90" s="22">
        <v>1.3069770792273099E-2</v>
      </c>
      <c r="AZ90" s="17"/>
      <c r="BB90">
        <f t="shared" si="26"/>
        <v>0</v>
      </c>
      <c r="BC90">
        <f t="shared" si="27"/>
        <v>1</v>
      </c>
      <c r="BD90">
        <f t="shared" si="28"/>
        <v>0</v>
      </c>
      <c r="BE90">
        <f t="shared" si="24"/>
        <v>1</v>
      </c>
      <c r="BF90">
        <f t="shared" si="29"/>
        <v>0</v>
      </c>
      <c r="BG90" s="17">
        <f t="shared" si="30"/>
        <v>0</v>
      </c>
      <c r="BH90" s="17">
        <f t="shared" si="31"/>
        <v>0</v>
      </c>
      <c r="BI90" s="17">
        <f t="shared" si="32"/>
        <v>0</v>
      </c>
      <c r="BJ90" s="11">
        <f t="shared" si="33"/>
        <v>2.7575343355872792E-2</v>
      </c>
      <c r="BL90" s="17"/>
      <c r="BN90">
        <f t="shared" si="34"/>
        <v>0</v>
      </c>
      <c r="BO90">
        <f t="shared" si="35"/>
        <v>1</v>
      </c>
      <c r="BP90">
        <f t="shared" si="36"/>
        <v>0</v>
      </c>
      <c r="BQ90">
        <f t="shared" si="25"/>
        <v>1</v>
      </c>
      <c r="BR90">
        <f t="shared" si="37"/>
        <v>0</v>
      </c>
      <c r="BS90" s="17">
        <f t="shared" si="38"/>
        <v>0</v>
      </c>
      <c r="BT90" s="17">
        <f t="shared" si="39"/>
        <v>0</v>
      </c>
      <c r="BU90" s="17">
        <f t="shared" si="40"/>
        <v>0</v>
      </c>
      <c r="BV90" s="11">
        <f t="shared" si="41"/>
        <v>4.2844634854095395E-3</v>
      </c>
      <c r="BX90" s="11">
        <f t="shared" si="42"/>
        <v>0</v>
      </c>
      <c r="BY90" s="11">
        <f t="shared" si="43"/>
        <v>3.1859806841282333E-2</v>
      </c>
    </row>
    <row r="91" spans="1:77" x14ac:dyDescent="0.25">
      <c r="A91" s="1">
        <v>46154</v>
      </c>
      <c r="B91" s="21">
        <v>134.91</v>
      </c>
      <c r="C91" s="21">
        <v>172.28</v>
      </c>
      <c r="D91" s="22">
        <v>1.18667966161917E-3</v>
      </c>
      <c r="E91" s="22">
        <v>1.3322623135648101E-2</v>
      </c>
      <c r="F91" s="21">
        <v>0</v>
      </c>
      <c r="G91" s="21">
        <v>0</v>
      </c>
      <c r="H91" s="21">
        <v>0</v>
      </c>
      <c r="I91" s="21">
        <v>0.121818</v>
      </c>
      <c r="J91" s="21">
        <v>0</v>
      </c>
      <c r="K91" s="21">
        <v>0</v>
      </c>
      <c r="L91" s="21">
        <v>134.91</v>
      </c>
      <c r="M91" s="21">
        <v>172.28</v>
      </c>
      <c r="N91" s="23">
        <v>1.27699948113557</v>
      </c>
      <c r="O91" s="23">
        <v>1.3022492118915701</v>
      </c>
      <c r="P91" s="23">
        <v>1.2733436802090901</v>
      </c>
      <c r="Q91" s="23">
        <v>1.2751393838343701</v>
      </c>
      <c r="R91" s="21">
        <v>175.68644117629199</v>
      </c>
      <c r="S91" s="21">
        <v>171.81958203607499</v>
      </c>
      <c r="T91" s="21">
        <v>172.15507914046901</v>
      </c>
      <c r="U91" s="22">
        <v>1.9579761717989901E-2</v>
      </c>
      <c r="V91" s="22">
        <v>-2.6760755474865001E-3</v>
      </c>
      <c r="W91" s="22">
        <v>-7.2536668053435898E-4</v>
      </c>
      <c r="X91" s="23">
        <v>1.27699948113557</v>
      </c>
      <c r="Y91" s="23">
        <v>1.3022759807794699</v>
      </c>
      <c r="Z91" s="23">
        <v>1.2733436802090901</v>
      </c>
      <c r="AA91" s="23">
        <v>1.2751393838343701</v>
      </c>
      <c r="AB91" s="21">
        <v>175.690052566958</v>
      </c>
      <c r="AC91" s="21">
        <v>171.81958203607499</v>
      </c>
      <c r="AD91" s="21">
        <v>172.15507914046901</v>
      </c>
      <c r="AE91" s="22">
        <v>1.9600317393915798E-2</v>
      </c>
      <c r="AF91" s="22">
        <v>-2.6760755474865001E-3</v>
      </c>
      <c r="AG91" s="22">
        <v>-7.2536668053458102E-4</v>
      </c>
      <c r="AZ91" s="17"/>
      <c r="BB91">
        <f t="shared" si="26"/>
        <v>0</v>
      </c>
      <c r="BC91">
        <f t="shared" si="27"/>
        <v>1</v>
      </c>
      <c r="BD91">
        <f t="shared" si="28"/>
        <v>0</v>
      </c>
      <c r="BE91">
        <f t="shared" si="24"/>
        <v>1</v>
      </c>
      <c r="BF91">
        <f t="shared" si="29"/>
        <v>0</v>
      </c>
      <c r="BG91" s="17">
        <f t="shared" si="30"/>
        <v>0</v>
      </c>
      <c r="BH91" s="17">
        <f t="shared" si="31"/>
        <v>0</v>
      </c>
      <c r="BI91" s="17">
        <f t="shared" si="32"/>
        <v>0</v>
      </c>
      <c r="BJ91" s="11">
        <f t="shared" si="33"/>
        <v>2.7575343355872792E-2</v>
      </c>
      <c r="BL91" s="17"/>
      <c r="BN91">
        <f t="shared" si="34"/>
        <v>0</v>
      </c>
      <c r="BO91">
        <f t="shared" si="35"/>
        <v>1</v>
      </c>
      <c r="BP91">
        <f t="shared" si="36"/>
        <v>0</v>
      </c>
      <c r="BQ91">
        <f t="shared" si="25"/>
        <v>1</v>
      </c>
      <c r="BR91">
        <f t="shared" si="37"/>
        <v>0</v>
      </c>
      <c r="BS91" s="17">
        <f t="shared" si="38"/>
        <v>0</v>
      </c>
      <c r="BT91" s="17">
        <f t="shared" si="39"/>
        <v>0</v>
      </c>
      <c r="BU91" s="17">
        <f t="shared" si="40"/>
        <v>0</v>
      </c>
      <c r="BV91" s="11">
        <f t="shared" si="41"/>
        <v>4.2844634854095395E-3</v>
      </c>
      <c r="BX91" s="11">
        <f t="shared" si="42"/>
        <v>0</v>
      </c>
      <c r="BY91" s="11">
        <f t="shared" si="43"/>
        <v>3.1859806841282333E-2</v>
      </c>
    </row>
    <row r="92" spans="1:77" x14ac:dyDescent="0.25">
      <c r="A92" s="1">
        <v>46155</v>
      </c>
      <c r="B92" s="21">
        <v>135.85</v>
      </c>
      <c r="C92" s="21">
        <v>172.65</v>
      </c>
      <c r="D92" s="22">
        <v>6.9434464216310398E-3</v>
      </c>
      <c r="E92" s="22">
        <v>2.1453636500914598E-3</v>
      </c>
      <c r="F92" s="21">
        <v>0</v>
      </c>
      <c r="G92" s="21">
        <v>0</v>
      </c>
      <c r="H92" s="21">
        <v>0</v>
      </c>
      <c r="I92" s="21">
        <v>0.121818</v>
      </c>
      <c r="J92" s="21">
        <v>0</v>
      </c>
      <c r="K92" s="21">
        <v>0</v>
      </c>
      <c r="L92" s="21">
        <v>135.85</v>
      </c>
      <c r="M92" s="21">
        <v>172.65</v>
      </c>
      <c r="N92" s="23">
        <v>1.2708870077291099</v>
      </c>
      <c r="O92" s="23">
        <v>1.3022492118915701</v>
      </c>
      <c r="P92" s="23">
        <v>1.2721313724482499</v>
      </c>
      <c r="Q92" s="23">
        <v>1.2741949104758601</v>
      </c>
      <c r="R92" s="21">
        <v>176.91055543547</v>
      </c>
      <c r="S92" s="21">
        <v>172.98373895640501</v>
      </c>
      <c r="T92" s="21">
        <v>173.22768529389899</v>
      </c>
      <c r="U92" s="22">
        <v>2.4377844489529499E-2</v>
      </c>
      <c r="V92" s="22">
        <v>1.9311717723740701E-3</v>
      </c>
      <c r="W92" s="22">
        <v>3.3404053260888398E-3</v>
      </c>
      <c r="X92" s="23">
        <v>1.2708870077291099</v>
      </c>
      <c r="Y92" s="23">
        <v>1.3022759807794699</v>
      </c>
      <c r="Z92" s="23">
        <v>1.2721313724482499</v>
      </c>
      <c r="AA92" s="23">
        <v>1.2741949104758601</v>
      </c>
      <c r="AB92" s="21">
        <v>176.91419198889099</v>
      </c>
      <c r="AC92" s="21">
        <v>172.98373895640501</v>
      </c>
      <c r="AD92" s="21">
        <v>173.22768529389899</v>
      </c>
      <c r="AE92" s="22">
        <v>2.4398400165455299E-2</v>
      </c>
      <c r="AF92" s="22">
        <v>1.9311717723740701E-3</v>
      </c>
      <c r="AG92" s="22">
        <v>3.3404053260888398E-3</v>
      </c>
      <c r="AZ92" s="17"/>
      <c r="BB92">
        <f t="shared" si="26"/>
        <v>0</v>
      </c>
      <c r="BC92">
        <f t="shared" si="27"/>
        <v>1</v>
      </c>
      <c r="BD92">
        <f t="shared" si="28"/>
        <v>0</v>
      </c>
      <c r="BE92">
        <f t="shared" si="24"/>
        <v>1</v>
      </c>
      <c r="BF92">
        <f t="shared" si="29"/>
        <v>0</v>
      </c>
      <c r="BG92" s="17">
        <f t="shared" si="30"/>
        <v>0</v>
      </c>
      <c r="BH92" s="17">
        <f t="shared" si="31"/>
        <v>0</v>
      </c>
      <c r="BI92" s="17">
        <f t="shared" si="32"/>
        <v>0</v>
      </c>
      <c r="BJ92" s="11">
        <f t="shared" si="33"/>
        <v>2.7575343355872792E-2</v>
      </c>
      <c r="BL92" s="17"/>
      <c r="BN92">
        <f t="shared" si="34"/>
        <v>0</v>
      </c>
      <c r="BO92">
        <f t="shared" si="35"/>
        <v>1</v>
      </c>
      <c r="BP92">
        <f t="shared" si="36"/>
        <v>0</v>
      </c>
      <c r="BQ92">
        <f t="shared" si="25"/>
        <v>1</v>
      </c>
      <c r="BR92">
        <f t="shared" si="37"/>
        <v>0</v>
      </c>
      <c r="BS92" s="17">
        <f t="shared" si="38"/>
        <v>0</v>
      </c>
      <c r="BT92" s="17">
        <f t="shared" si="39"/>
        <v>0</v>
      </c>
      <c r="BU92" s="17">
        <f t="shared" si="40"/>
        <v>0</v>
      </c>
      <c r="BV92" s="11">
        <f t="shared" si="41"/>
        <v>4.2844634854095395E-3</v>
      </c>
      <c r="BX92" s="11">
        <f t="shared" si="42"/>
        <v>0</v>
      </c>
      <c r="BY92" s="11">
        <f t="shared" si="43"/>
        <v>3.1859806841282333E-2</v>
      </c>
    </row>
    <row r="93" spans="1:77" x14ac:dyDescent="0.25">
      <c r="A93" s="1">
        <v>46156</v>
      </c>
      <c r="B93" s="21">
        <v>134.85</v>
      </c>
      <c r="C93" s="21">
        <v>171.33</v>
      </c>
      <c r="D93" s="22">
        <v>-7.3882862866177504E-3</v>
      </c>
      <c r="E93" s="22">
        <v>-7.6749024911199996E-3</v>
      </c>
      <c r="F93" s="21">
        <v>0</v>
      </c>
      <c r="G93" s="21">
        <v>0</v>
      </c>
      <c r="H93" s="21">
        <v>0</v>
      </c>
      <c r="I93" s="21">
        <v>0.121818</v>
      </c>
      <c r="J93" s="21">
        <v>0</v>
      </c>
      <c r="K93" s="21">
        <v>0</v>
      </c>
      <c r="L93" s="21">
        <v>134.85</v>
      </c>
      <c r="M93" s="21">
        <v>171.33</v>
      </c>
      <c r="N93" s="23">
        <v>1.2705228031145701</v>
      </c>
      <c r="O93" s="23">
        <v>1.3022492118915701</v>
      </c>
      <c r="P93" s="23">
        <v>1.2707362302362899</v>
      </c>
      <c r="Q93" s="23">
        <v>1.27345115545959</v>
      </c>
      <c r="R93" s="21">
        <v>175.60830622357801</v>
      </c>
      <c r="S93" s="21">
        <v>171.54691557464699</v>
      </c>
      <c r="T93" s="21">
        <v>171.82518367767</v>
      </c>
      <c r="U93" s="22">
        <v>2.4664460694031502E-2</v>
      </c>
      <c r="V93" s="22">
        <v>1.26526805236939E-3</v>
      </c>
      <c r="W93" s="22">
        <v>2.88606464327738E-3</v>
      </c>
      <c r="X93" s="23">
        <v>1.2705228031145701</v>
      </c>
      <c r="Y93" s="23">
        <v>1.3022759807794699</v>
      </c>
      <c r="Z93" s="23">
        <v>1.2707362302362899</v>
      </c>
      <c r="AA93" s="23">
        <v>1.27345115545959</v>
      </c>
      <c r="AB93" s="21">
        <v>175.61191600811199</v>
      </c>
      <c r="AC93" s="21">
        <v>171.54691557464699</v>
      </c>
      <c r="AD93" s="21">
        <v>171.82518367767</v>
      </c>
      <c r="AE93" s="22">
        <v>2.46850163699576E-2</v>
      </c>
      <c r="AF93" s="22">
        <v>1.26526805236939E-3</v>
      </c>
      <c r="AG93" s="22">
        <v>2.88606464327738E-3</v>
      </c>
      <c r="AZ93" s="17"/>
      <c r="BB93">
        <f t="shared" si="26"/>
        <v>0</v>
      </c>
      <c r="BC93">
        <f t="shared" si="27"/>
        <v>1</v>
      </c>
      <c r="BD93">
        <f t="shared" si="28"/>
        <v>0</v>
      </c>
      <c r="BE93">
        <f t="shared" si="24"/>
        <v>1</v>
      </c>
      <c r="BF93">
        <f t="shared" si="29"/>
        <v>0</v>
      </c>
      <c r="BG93" s="17">
        <f t="shared" si="30"/>
        <v>0</v>
      </c>
      <c r="BH93" s="17">
        <f t="shared" si="31"/>
        <v>0</v>
      </c>
      <c r="BI93" s="17">
        <f t="shared" si="32"/>
        <v>0</v>
      </c>
      <c r="BJ93" s="11">
        <f t="shared" si="33"/>
        <v>2.7575343355872792E-2</v>
      </c>
      <c r="BL93" s="17"/>
      <c r="BN93">
        <f t="shared" si="34"/>
        <v>0</v>
      </c>
      <c r="BO93">
        <f t="shared" si="35"/>
        <v>1</v>
      </c>
      <c r="BP93">
        <f t="shared" si="36"/>
        <v>0</v>
      </c>
      <c r="BQ93">
        <f t="shared" si="25"/>
        <v>1</v>
      </c>
      <c r="BR93">
        <f t="shared" si="37"/>
        <v>0</v>
      </c>
      <c r="BS93" s="17">
        <f t="shared" si="38"/>
        <v>0</v>
      </c>
      <c r="BT93" s="17">
        <f t="shared" si="39"/>
        <v>0</v>
      </c>
      <c r="BU93" s="17">
        <f t="shared" si="40"/>
        <v>0</v>
      </c>
      <c r="BV93" s="11">
        <f t="shared" si="41"/>
        <v>4.2844634854095395E-3</v>
      </c>
      <c r="BX93" s="11">
        <f t="shared" si="42"/>
        <v>0</v>
      </c>
      <c r="BY93" s="11">
        <f t="shared" si="43"/>
        <v>3.1859806841282333E-2</v>
      </c>
    </row>
    <row r="94" spans="1:77" x14ac:dyDescent="0.25">
      <c r="A94" s="1">
        <v>46157</v>
      </c>
      <c r="B94" s="21">
        <v>130.69</v>
      </c>
      <c r="C94" s="21">
        <v>166.83</v>
      </c>
      <c r="D94" s="22">
        <v>-3.1334942976794303E-2</v>
      </c>
      <c r="E94" s="22">
        <v>-2.6616191477298899E-2</v>
      </c>
      <c r="F94" s="21">
        <v>0</v>
      </c>
      <c r="G94" s="21">
        <v>0</v>
      </c>
      <c r="H94" s="21">
        <v>0</v>
      </c>
      <c r="I94" s="21">
        <v>0.121818</v>
      </c>
      <c r="J94" s="21">
        <v>0</v>
      </c>
      <c r="K94" s="21">
        <v>0</v>
      </c>
      <c r="L94" s="21">
        <v>130.69</v>
      </c>
      <c r="M94" s="21">
        <v>166.83</v>
      </c>
      <c r="N94" s="23">
        <v>1.27653225189379</v>
      </c>
      <c r="O94" s="23">
        <v>1.3022492118915701</v>
      </c>
      <c r="P94" s="23">
        <v>1.27013458654053</v>
      </c>
      <c r="Q94" s="23">
        <v>1.2735797800251401</v>
      </c>
      <c r="R94" s="21">
        <v>170.19094950210899</v>
      </c>
      <c r="S94" s="21">
        <v>166.07251792958101</v>
      </c>
      <c r="T94" s="21">
        <v>166.42733150701301</v>
      </c>
      <c r="U94" s="22">
        <v>1.9945709194536299E-2</v>
      </c>
      <c r="V94" s="22">
        <v>-4.5507819069207896E-3</v>
      </c>
      <c r="W94" s="22">
        <v>-2.4165631232960999E-3</v>
      </c>
      <c r="X94" s="23">
        <v>1.27653225189379</v>
      </c>
      <c r="Y94" s="23">
        <v>1.3022759807794699</v>
      </c>
      <c r="Z94" s="23">
        <v>1.27013458654053</v>
      </c>
      <c r="AA94" s="23">
        <v>1.2735797800251401</v>
      </c>
      <c r="AB94" s="21">
        <v>170.194447928069</v>
      </c>
      <c r="AC94" s="21">
        <v>166.07251792958101</v>
      </c>
      <c r="AD94" s="21">
        <v>166.42733150701301</v>
      </c>
      <c r="AE94" s="22">
        <v>1.99662648704623E-2</v>
      </c>
      <c r="AF94" s="22">
        <v>-4.5507819069207896E-3</v>
      </c>
      <c r="AG94" s="22">
        <v>-2.4165631232960999E-3</v>
      </c>
      <c r="AZ94" s="17"/>
      <c r="BB94">
        <f t="shared" si="26"/>
        <v>0</v>
      </c>
      <c r="BC94">
        <f t="shared" si="27"/>
        <v>1</v>
      </c>
      <c r="BD94">
        <f t="shared" si="28"/>
        <v>0</v>
      </c>
      <c r="BE94">
        <f t="shared" si="24"/>
        <v>1</v>
      </c>
      <c r="BF94">
        <f t="shared" si="29"/>
        <v>0</v>
      </c>
      <c r="BG94" s="17">
        <f t="shared" si="30"/>
        <v>0</v>
      </c>
      <c r="BH94" s="17">
        <f t="shared" si="31"/>
        <v>0</v>
      </c>
      <c r="BI94" s="17">
        <f t="shared" si="32"/>
        <v>0</v>
      </c>
      <c r="BJ94" s="11">
        <f t="shared" si="33"/>
        <v>2.7575343355872792E-2</v>
      </c>
      <c r="BL94" s="17"/>
      <c r="BN94">
        <f t="shared" si="34"/>
        <v>0</v>
      </c>
      <c r="BO94">
        <f t="shared" si="35"/>
        <v>1</v>
      </c>
      <c r="BP94">
        <f t="shared" si="36"/>
        <v>0</v>
      </c>
      <c r="BQ94">
        <f t="shared" si="25"/>
        <v>1</v>
      </c>
      <c r="BR94">
        <f t="shared" si="37"/>
        <v>0</v>
      </c>
      <c r="BS94" s="17">
        <f t="shared" si="38"/>
        <v>0</v>
      </c>
      <c r="BT94" s="17">
        <f t="shared" si="39"/>
        <v>0</v>
      </c>
      <c r="BU94" s="17">
        <f t="shared" si="40"/>
        <v>0</v>
      </c>
      <c r="BV94" s="11">
        <f t="shared" si="41"/>
        <v>4.2844634854095395E-3</v>
      </c>
      <c r="BX94" s="11">
        <f t="shared" si="42"/>
        <v>0</v>
      </c>
      <c r="BY94" s="11">
        <f t="shared" si="43"/>
        <v>3.1859806841282333E-2</v>
      </c>
    </row>
    <row r="95" spans="1:77" x14ac:dyDescent="0.25">
      <c r="A95" s="1">
        <v>46160</v>
      </c>
      <c r="B95" s="21">
        <v>127.67</v>
      </c>
      <c r="C95" s="21">
        <v>164.03</v>
      </c>
      <c r="D95" s="22">
        <v>-2.3379296776684998E-2</v>
      </c>
      <c r="E95" s="22">
        <v>-1.6925991943188001E-2</v>
      </c>
      <c r="F95" s="21">
        <v>0</v>
      </c>
      <c r="G95" s="21">
        <v>0</v>
      </c>
      <c r="H95" s="21">
        <v>0</v>
      </c>
      <c r="I95" s="21">
        <v>0.121818</v>
      </c>
      <c r="J95" s="21">
        <v>0</v>
      </c>
      <c r="K95" s="21">
        <v>0</v>
      </c>
      <c r="L95" s="21">
        <v>127.67</v>
      </c>
      <c r="M95" s="21">
        <v>164.03</v>
      </c>
      <c r="N95" s="23">
        <v>1.2847967415994299</v>
      </c>
      <c r="O95" s="23">
        <v>1.3022492118915701</v>
      </c>
      <c r="P95" s="23">
        <v>1.27115358654317</v>
      </c>
      <c r="Q95" s="23">
        <v>1.27404140388209</v>
      </c>
      <c r="R95" s="21">
        <v>166.258156882197</v>
      </c>
      <c r="S95" s="21">
        <v>162.15808266363001</v>
      </c>
      <c r="T95" s="21">
        <v>162.59793051580999</v>
      </c>
      <c r="U95" s="22">
        <v>1.3492404361039E-2</v>
      </c>
      <c r="V95" s="22">
        <v>-1.1477659582478299E-2</v>
      </c>
      <c r="W95" s="22">
        <v>-8.7688683467194092E-3</v>
      </c>
      <c r="X95" s="23">
        <v>1.2847967415994299</v>
      </c>
      <c r="Y95" s="23">
        <v>1.3022759807794699</v>
      </c>
      <c r="Z95" s="23">
        <v>1.27115358654317</v>
      </c>
      <c r="AA95" s="23">
        <v>1.27404140388209</v>
      </c>
      <c r="AB95" s="21">
        <v>166.26157446611501</v>
      </c>
      <c r="AC95" s="21">
        <v>162.15808266363001</v>
      </c>
      <c r="AD95" s="21">
        <v>162.59793051580999</v>
      </c>
      <c r="AE95" s="22">
        <v>1.3512960036965E-2</v>
      </c>
      <c r="AF95" s="22">
        <v>-1.1477659582478501E-2</v>
      </c>
      <c r="AG95" s="22">
        <v>-8.7688683467194092E-3</v>
      </c>
      <c r="AZ95" s="17"/>
      <c r="BB95">
        <f t="shared" si="26"/>
        <v>0</v>
      </c>
      <c r="BC95">
        <f t="shared" si="27"/>
        <v>1</v>
      </c>
      <c r="BD95">
        <f t="shared" si="28"/>
        <v>0</v>
      </c>
      <c r="BE95">
        <f t="shared" si="24"/>
        <v>1</v>
      </c>
      <c r="BF95">
        <f t="shared" si="29"/>
        <v>0</v>
      </c>
      <c r="BG95" s="17">
        <f t="shared" si="30"/>
        <v>0</v>
      </c>
      <c r="BH95" s="17">
        <f t="shared" si="31"/>
        <v>0</v>
      </c>
      <c r="BI95" s="17">
        <f t="shared" si="32"/>
        <v>0</v>
      </c>
      <c r="BJ95" s="11">
        <f t="shared" si="33"/>
        <v>2.7575343355872792E-2</v>
      </c>
      <c r="BL95" s="17"/>
      <c r="BN95">
        <f t="shared" si="34"/>
        <v>0</v>
      </c>
      <c r="BO95">
        <f t="shared" si="35"/>
        <v>1</v>
      </c>
      <c r="BP95">
        <f t="shared" si="36"/>
        <v>0</v>
      </c>
      <c r="BQ95">
        <f t="shared" si="25"/>
        <v>1</v>
      </c>
      <c r="BR95">
        <f t="shared" si="37"/>
        <v>0</v>
      </c>
      <c r="BS95" s="17">
        <f t="shared" si="38"/>
        <v>0</v>
      </c>
      <c r="BT95" s="17">
        <f t="shared" si="39"/>
        <v>0</v>
      </c>
      <c r="BU95" s="17">
        <f t="shared" si="40"/>
        <v>0</v>
      </c>
      <c r="BV95" s="11">
        <f t="shared" si="41"/>
        <v>4.2844634854095395E-3</v>
      </c>
      <c r="BX95" s="11">
        <f t="shared" si="42"/>
        <v>0</v>
      </c>
      <c r="BY95" s="11">
        <f t="shared" si="43"/>
        <v>3.1859806841282333E-2</v>
      </c>
    </row>
    <row r="96" spans="1:77" x14ac:dyDescent="0.25">
      <c r="A96" s="1">
        <v>46161</v>
      </c>
      <c r="B96" s="21">
        <v>126.79</v>
      </c>
      <c r="C96" s="21">
        <v>164.19</v>
      </c>
      <c r="D96" s="22">
        <v>-6.9166352924027999E-3</v>
      </c>
      <c r="E96" s="22">
        <v>9.7495589954210704E-4</v>
      </c>
      <c r="F96" s="21">
        <v>0</v>
      </c>
      <c r="G96" s="21">
        <v>0</v>
      </c>
      <c r="H96" s="21">
        <v>0</v>
      </c>
      <c r="I96" s="21">
        <v>0.121818</v>
      </c>
      <c r="J96" s="21">
        <v>0</v>
      </c>
      <c r="K96" s="21">
        <v>0</v>
      </c>
      <c r="L96" s="21">
        <v>126.79</v>
      </c>
      <c r="M96" s="21">
        <v>164.19</v>
      </c>
      <c r="N96" s="23">
        <v>1.2949759444751101</v>
      </c>
      <c r="O96" s="23">
        <v>1.3022492118915701</v>
      </c>
      <c r="P96" s="23">
        <v>1.27333224833503</v>
      </c>
      <c r="Q96" s="23">
        <v>1.2750061993461901</v>
      </c>
      <c r="R96" s="21">
        <v>165.11217757573201</v>
      </c>
      <c r="S96" s="21">
        <v>161.169563237809</v>
      </c>
      <c r="T96" s="21">
        <v>161.53570959821101</v>
      </c>
      <c r="U96" s="22">
        <v>5.6008131690943701E-3</v>
      </c>
      <c r="V96" s="22">
        <v>-1.8567295240182399E-2</v>
      </c>
      <c r="W96" s="22">
        <v>-1.62980635396676E-2</v>
      </c>
      <c r="X96" s="23">
        <v>1.2949759444751101</v>
      </c>
      <c r="Y96" s="23">
        <v>1.3022759807794699</v>
      </c>
      <c r="Z96" s="23">
        <v>1.27333224833503</v>
      </c>
      <c r="AA96" s="23">
        <v>1.2750061993461901</v>
      </c>
      <c r="AB96" s="21">
        <v>165.115571603029</v>
      </c>
      <c r="AC96" s="21">
        <v>161.169563237809</v>
      </c>
      <c r="AD96" s="21">
        <v>161.53570959821101</v>
      </c>
      <c r="AE96" s="22">
        <v>5.6213688450202099E-3</v>
      </c>
      <c r="AF96" s="22">
        <v>-1.8567295240182399E-2</v>
      </c>
      <c r="AG96" s="22">
        <v>-1.62980635396676E-2</v>
      </c>
      <c r="AZ96" s="17"/>
      <c r="BB96">
        <f t="shared" si="26"/>
        <v>1</v>
      </c>
      <c r="BC96">
        <f t="shared" si="27"/>
        <v>0</v>
      </c>
      <c r="BD96">
        <f t="shared" si="28"/>
        <v>0</v>
      </c>
      <c r="BE96">
        <f t="shared" si="24"/>
        <v>1</v>
      </c>
      <c r="BF96">
        <f t="shared" si="29"/>
        <v>0</v>
      </c>
      <c r="BG96" s="17">
        <f t="shared" si="30"/>
        <v>0</v>
      </c>
      <c r="BH96" s="17">
        <f t="shared" si="31"/>
        <v>0</v>
      </c>
      <c r="BI96" s="17">
        <f t="shared" si="32"/>
        <v>0</v>
      </c>
      <c r="BJ96" s="11">
        <f t="shared" si="33"/>
        <v>2.7575343355872792E-2</v>
      </c>
      <c r="BL96" s="17"/>
      <c r="BN96">
        <f t="shared" si="34"/>
        <v>0</v>
      </c>
      <c r="BO96">
        <f t="shared" si="35"/>
        <v>1</v>
      </c>
      <c r="BP96">
        <f t="shared" si="36"/>
        <v>0</v>
      </c>
      <c r="BQ96">
        <f t="shared" si="25"/>
        <v>1</v>
      </c>
      <c r="BR96">
        <f t="shared" si="37"/>
        <v>0</v>
      </c>
      <c r="BS96" s="17">
        <f t="shared" si="38"/>
        <v>0</v>
      </c>
      <c r="BT96" s="17">
        <f t="shared" si="39"/>
        <v>0</v>
      </c>
      <c r="BU96" s="17">
        <f t="shared" si="40"/>
        <v>0</v>
      </c>
      <c r="BV96" s="11">
        <f t="shared" si="41"/>
        <v>4.2844634854095395E-3</v>
      </c>
      <c r="BX96" s="11">
        <f t="shared" si="42"/>
        <v>0</v>
      </c>
      <c r="BY96" s="11">
        <f t="shared" si="43"/>
        <v>3.1859806841282333E-2</v>
      </c>
    </row>
    <row r="97" spans="1:77" x14ac:dyDescent="0.25">
      <c r="A97" s="1">
        <v>46162</v>
      </c>
      <c r="B97" s="21">
        <v>131.71</v>
      </c>
      <c r="C97" s="21">
        <v>167.91</v>
      </c>
      <c r="D97" s="22">
        <v>3.80703614710984E-2</v>
      </c>
      <c r="E97" s="22">
        <v>2.2403827747441301E-2</v>
      </c>
      <c r="F97" s="21">
        <v>0</v>
      </c>
      <c r="G97" s="21">
        <v>0</v>
      </c>
      <c r="H97" s="21">
        <v>0</v>
      </c>
      <c r="I97" s="21">
        <v>0.121818</v>
      </c>
      <c r="J97" s="21">
        <v>0</v>
      </c>
      <c r="K97" s="21">
        <v>0</v>
      </c>
      <c r="L97" s="21">
        <v>131.71</v>
      </c>
      <c r="M97" s="21">
        <v>167.91</v>
      </c>
      <c r="N97" s="23">
        <v>1.27484625313188</v>
      </c>
      <c r="O97" s="23">
        <v>1.3022492118915701</v>
      </c>
      <c r="P97" s="23">
        <v>1.2745312838748299</v>
      </c>
      <c r="Q97" s="23">
        <v>1.27525714210984</v>
      </c>
      <c r="R97" s="21">
        <v>171.51924369823899</v>
      </c>
      <c r="S97" s="21">
        <v>167.71059042820701</v>
      </c>
      <c r="T97" s="21">
        <v>167.93106651588701</v>
      </c>
      <c r="U97" s="22">
        <v>2.12673468927514E-2</v>
      </c>
      <c r="V97" s="22">
        <v>-1.18830370331498E-3</v>
      </c>
      <c r="W97" s="22">
        <v>1.2545527045494499E-4</v>
      </c>
      <c r="X97" s="23">
        <v>1.27484625313188</v>
      </c>
      <c r="Y97" s="23">
        <v>1.3022759807794699</v>
      </c>
      <c r="Z97" s="23">
        <v>1.2745312838748299</v>
      </c>
      <c r="AA97" s="23">
        <v>1.27525714210984</v>
      </c>
      <c r="AB97" s="21">
        <v>171.52276942846399</v>
      </c>
      <c r="AC97" s="21">
        <v>167.71059042820701</v>
      </c>
      <c r="AD97" s="21">
        <v>167.93106651588701</v>
      </c>
      <c r="AE97" s="22">
        <v>2.1287902568677401E-2</v>
      </c>
      <c r="AF97" s="22">
        <v>-1.18830370331498E-3</v>
      </c>
      <c r="AG97" s="22">
        <v>1.2545527045494499E-4</v>
      </c>
      <c r="AZ97" s="17"/>
      <c r="BB97">
        <f t="shared" si="26"/>
        <v>0</v>
      </c>
      <c r="BC97">
        <f t="shared" si="27"/>
        <v>1</v>
      </c>
      <c r="BD97">
        <f t="shared" si="28"/>
        <v>1</v>
      </c>
      <c r="BE97">
        <f t="shared" si="24"/>
        <v>1</v>
      </c>
      <c r="BF97">
        <f t="shared" si="29"/>
        <v>1</v>
      </c>
      <c r="BG97" s="17">
        <f t="shared" si="30"/>
        <v>3.80703614710984E-2</v>
      </c>
      <c r="BH97" s="17">
        <f t="shared" si="31"/>
        <v>-2.2403827747441301E-2</v>
      </c>
      <c r="BI97" s="17">
        <f t="shared" si="32"/>
        <v>1.5666533723657099E-2</v>
      </c>
      <c r="BJ97" s="11">
        <f t="shared" si="33"/>
        <v>4.3241877079529895E-2</v>
      </c>
      <c r="BL97" s="17"/>
      <c r="BN97">
        <f t="shared" si="34"/>
        <v>0</v>
      </c>
      <c r="BO97">
        <f t="shared" si="35"/>
        <v>1</v>
      </c>
      <c r="BP97">
        <f t="shared" si="36"/>
        <v>0</v>
      </c>
      <c r="BQ97">
        <f t="shared" si="25"/>
        <v>1</v>
      </c>
      <c r="BR97">
        <f t="shared" si="37"/>
        <v>0</v>
      </c>
      <c r="BS97" s="17">
        <f t="shared" si="38"/>
        <v>0</v>
      </c>
      <c r="BT97" s="17">
        <f t="shared" si="39"/>
        <v>0</v>
      </c>
      <c r="BU97" s="17">
        <f t="shared" si="40"/>
        <v>0</v>
      </c>
      <c r="BV97" s="11">
        <f t="shared" si="41"/>
        <v>4.2844634854095395E-3</v>
      </c>
      <c r="BX97" s="11">
        <f t="shared" si="42"/>
        <v>1.5666533723657099E-2</v>
      </c>
      <c r="BY97" s="11">
        <f t="shared" si="43"/>
        <v>4.7526340564939429E-2</v>
      </c>
    </row>
    <row r="98" spans="1:77" x14ac:dyDescent="0.25">
      <c r="A98" s="1">
        <v>46163</v>
      </c>
      <c r="B98" s="21">
        <v>132.78</v>
      </c>
      <c r="C98" s="21">
        <v>169.06</v>
      </c>
      <c r="D98" s="22">
        <v>8.0910872800581003E-3</v>
      </c>
      <c r="E98" s="22">
        <v>6.8255599294038197E-3</v>
      </c>
      <c r="F98" s="21">
        <v>0</v>
      </c>
      <c r="G98" s="21">
        <v>0</v>
      </c>
      <c r="H98" s="21">
        <v>0</v>
      </c>
      <c r="I98" s="21">
        <v>0.121818</v>
      </c>
      <c r="J98" s="21">
        <v>0</v>
      </c>
      <c r="K98" s="21">
        <v>0</v>
      </c>
      <c r="L98" s="21">
        <v>132.78</v>
      </c>
      <c r="M98" s="21">
        <v>169.06</v>
      </c>
      <c r="N98" s="23">
        <v>1.2732339207712</v>
      </c>
      <c r="O98" s="23">
        <v>1.3022492118915701</v>
      </c>
      <c r="P98" s="23">
        <v>1.27459147080456</v>
      </c>
      <c r="Q98" s="23">
        <v>1.2751482975877599</v>
      </c>
      <c r="R98" s="21">
        <v>172.91265035496301</v>
      </c>
      <c r="S98" s="21">
        <v>169.23226387290001</v>
      </c>
      <c r="T98" s="21">
        <v>169.328643329345</v>
      </c>
      <c r="U98" s="22">
        <v>2.2532874243405599E-2</v>
      </c>
      <c r="V98" s="22">
        <v>1.01843232131922E-3</v>
      </c>
      <c r="W98" s="22">
        <v>1.5877801520794699E-3</v>
      </c>
      <c r="X98" s="23">
        <v>1.2732339207712</v>
      </c>
      <c r="Y98" s="23">
        <v>1.3022759807794699</v>
      </c>
      <c r="Z98" s="23">
        <v>1.27459147080456</v>
      </c>
      <c r="AA98" s="23">
        <v>1.2751482975877599</v>
      </c>
      <c r="AB98" s="21">
        <v>172.91620472789799</v>
      </c>
      <c r="AC98" s="21">
        <v>169.23226387290001</v>
      </c>
      <c r="AD98" s="21">
        <v>169.328643329345</v>
      </c>
      <c r="AE98" s="22">
        <v>2.2553429919331701E-2</v>
      </c>
      <c r="AF98" s="22">
        <v>1.01843232131922E-3</v>
      </c>
      <c r="AG98" s="22">
        <v>1.5877801520792401E-3</v>
      </c>
      <c r="AZ98" s="17"/>
      <c r="BB98">
        <f t="shared" si="26"/>
        <v>0</v>
      </c>
      <c r="BC98">
        <f t="shared" si="27"/>
        <v>1</v>
      </c>
      <c r="BD98">
        <f t="shared" si="28"/>
        <v>0</v>
      </c>
      <c r="BE98">
        <f t="shared" si="24"/>
        <v>1</v>
      </c>
      <c r="BF98">
        <f t="shared" si="29"/>
        <v>0</v>
      </c>
      <c r="BG98" s="17">
        <f t="shared" si="30"/>
        <v>0</v>
      </c>
      <c r="BH98" s="17">
        <f t="shared" si="31"/>
        <v>0</v>
      </c>
      <c r="BI98" s="17">
        <f t="shared" si="32"/>
        <v>0</v>
      </c>
      <c r="BJ98" s="11">
        <f t="shared" si="33"/>
        <v>4.3241877079529895E-2</v>
      </c>
      <c r="BL98" s="17"/>
      <c r="BN98">
        <f t="shared" si="34"/>
        <v>0</v>
      </c>
      <c r="BO98">
        <f t="shared" si="35"/>
        <v>1</v>
      </c>
      <c r="BP98">
        <f t="shared" si="36"/>
        <v>0</v>
      </c>
      <c r="BQ98">
        <f t="shared" si="25"/>
        <v>1</v>
      </c>
      <c r="BR98">
        <f t="shared" si="37"/>
        <v>0</v>
      </c>
      <c r="BS98" s="17">
        <f t="shared" si="38"/>
        <v>0</v>
      </c>
      <c r="BT98" s="17">
        <f t="shared" si="39"/>
        <v>0</v>
      </c>
      <c r="BU98" s="17">
        <f t="shared" si="40"/>
        <v>0</v>
      </c>
      <c r="BV98" s="11">
        <f t="shared" si="41"/>
        <v>4.2844634854095395E-3</v>
      </c>
      <c r="BX98" s="11">
        <f t="shared" si="42"/>
        <v>0</v>
      </c>
      <c r="BY98" s="11">
        <f t="shared" si="43"/>
        <v>4.7526340564939429E-2</v>
      </c>
    </row>
    <row r="99" spans="1:77" x14ac:dyDescent="0.25">
      <c r="A99" s="1">
        <v>46164</v>
      </c>
      <c r="B99" s="21">
        <v>131.66</v>
      </c>
      <c r="C99" s="21">
        <v>168.79</v>
      </c>
      <c r="D99" s="22">
        <v>-8.4707812512826997E-3</v>
      </c>
      <c r="E99" s="22">
        <v>-1.5983427999453001E-3</v>
      </c>
      <c r="F99" s="21">
        <v>0</v>
      </c>
      <c r="G99" s="21">
        <v>0</v>
      </c>
      <c r="H99" s="21">
        <v>0</v>
      </c>
      <c r="I99" s="21">
        <v>0.121818</v>
      </c>
      <c r="J99" s="21">
        <v>0</v>
      </c>
      <c r="K99" s="21">
        <v>0</v>
      </c>
      <c r="L99" s="21">
        <v>131.66</v>
      </c>
      <c r="M99" s="21">
        <v>168.79</v>
      </c>
      <c r="N99" s="23">
        <v>1.2820142792040099</v>
      </c>
      <c r="O99" s="23">
        <v>1.3022492118915701</v>
      </c>
      <c r="P99" s="23">
        <v>1.2766404230364501</v>
      </c>
      <c r="Q99" s="23">
        <v>1.27555603435709</v>
      </c>
      <c r="R99" s="21">
        <v>171.45413123764399</v>
      </c>
      <c r="S99" s="21">
        <v>167.81271304612901</v>
      </c>
      <c r="T99" s="21">
        <v>167.886024860405</v>
      </c>
      <c r="U99" s="22">
        <v>1.56604357920683E-2</v>
      </c>
      <c r="V99" s="22">
        <v>-5.8067844498287799E-3</v>
      </c>
      <c r="W99" s="22">
        <v>-5.3700129808695396E-3</v>
      </c>
      <c r="X99" s="23">
        <v>1.2820142792040099</v>
      </c>
      <c r="Y99" s="23">
        <v>1.3022759807794699</v>
      </c>
      <c r="Z99" s="23">
        <v>1.2766404230364501</v>
      </c>
      <c r="AA99" s="23">
        <v>1.27555603435709</v>
      </c>
      <c r="AB99" s="21">
        <v>171.45765562942501</v>
      </c>
      <c r="AC99" s="21">
        <v>167.81271304612901</v>
      </c>
      <c r="AD99" s="21">
        <v>167.886024860405</v>
      </c>
      <c r="AE99" s="22">
        <v>1.5680991467994398E-2</v>
      </c>
      <c r="AF99" s="22">
        <v>-5.8067844498287799E-3</v>
      </c>
      <c r="AG99" s="22">
        <v>-5.3700129808695396E-3</v>
      </c>
      <c r="AZ99" s="17"/>
      <c r="BB99">
        <f t="shared" si="26"/>
        <v>0</v>
      </c>
      <c r="BC99">
        <f t="shared" si="27"/>
        <v>1</v>
      </c>
      <c r="BD99">
        <f t="shared" si="28"/>
        <v>0</v>
      </c>
      <c r="BE99">
        <f t="shared" si="24"/>
        <v>1</v>
      </c>
      <c r="BF99">
        <f t="shared" si="29"/>
        <v>0</v>
      </c>
      <c r="BG99" s="17">
        <f t="shared" si="30"/>
        <v>0</v>
      </c>
      <c r="BH99" s="17">
        <f t="shared" si="31"/>
        <v>0</v>
      </c>
      <c r="BI99" s="17">
        <f t="shared" si="32"/>
        <v>0</v>
      </c>
      <c r="BJ99" s="11">
        <f t="shared" si="33"/>
        <v>4.3241877079529895E-2</v>
      </c>
      <c r="BL99" s="17"/>
      <c r="BN99">
        <f t="shared" si="34"/>
        <v>0</v>
      </c>
      <c r="BO99">
        <f t="shared" si="35"/>
        <v>1</v>
      </c>
      <c r="BP99">
        <f t="shared" si="36"/>
        <v>0</v>
      </c>
      <c r="BQ99">
        <f t="shared" si="25"/>
        <v>1</v>
      </c>
      <c r="BR99">
        <f t="shared" si="37"/>
        <v>0</v>
      </c>
      <c r="BS99" s="17">
        <f t="shared" si="38"/>
        <v>0</v>
      </c>
      <c r="BT99" s="17">
        <f t="shared" si="39"/>
        <v>0</v>
      </c>
      <c r="BU99" s="17">
        <f t="shared" si="40"/>
        <v>0</v>
      </c>
      <c r="BV99" s="11">
        <f t="shared" si="41"/>
        <v>4.2844634854095395E-3</v>
      </c>
      <c r="BX99" s="11">
        <f t="shared" si="42"/>
        <v>0</v>
      </c>
      <c r="BY99" s="11">
        <f t="shared" si="43"/>
        <v>4.7526340564939429E-2</v>
      </c>
    </row>
    <row r="100" spans="1:77" x14ac:dyDescent="0.25">
      <c r="A100" s="1">
        <v>46168</v>
      </c>
      <c r="B100" s="21">
        <v>133.35</v>
      </c>
      <c r="C100" s="21">
        <v>169.42</v>
      </c>
      <c r="D100" s="22">
        <v>1.27544085882925E-2</v>
      </c>
      <c r="E100" s="22">
        <v>3.7255003025684599E-3</v>
      </c>
      <c r="F100" s="21">
        <v>0</v>
      </c>
      <c r="G100" s="21">
        <v>0</v>
      </c>
      <c r="H100" s="21">
        <v>0</v>
      </c>
      <c r="I100" s="21">
        <v>0.121818</v>
      </c>
      <c r="J100" s="21">
        <v>0</v>
      </c>
      <c r="K100" s="21">
        <v>0</v>
      </c>
      <c r="L100" s="21">
        <v>133.35</v>
      </c>
      <c r="M100" s="21">
        <v>169.42</v>
      </c>
      <c r="N100" s="23">
        <v>1.2704911886014201</v>
      </c>
      <c r="O100" s="23">
        <v>1.3022492118915701</v>
      </c>
      <c r="P100" s="23">
        <v>1.2775299871656101</v>
      </c>
      <c r="Q100" s="23">
        <v>1.2755583448394701</v>
      </c>
      <c r="R100" s="21">
        <v>173.65493240574099</v>
      </c>
      <c r="S100" s="21">
        <v>170.24000041190999</v>
      </c>
      <c r="T100" s="21">
        <v>170.095397181518</v>
      </c>
      <c r="U100" s="22">
        <v>2.4689344077792299E-2</v>
      </c>
      <c r="V100" s="22">
        <v>4.82836956946459E-3</v>
      </c>
      <c r="W100" s="22">
        <v>3.9786005468077099E-3</v>
      </c>
      <c r="X100" s="23">
        <v>1.2704911886014201</v>
      </c>
      <c r="Y100" s="23">
        <v>1.3022759807794699</v>
      </c>
      <c r="Z100" s="23">
        <v>1.2775299871656101</v>
      </c>
      <c r="AA100" s="23">
        <v>1.2755583448394701</v>
      </c>
      <c r="AB100" s="21">
        <v>173.658502036942</v>
      </c>
      <c r="AC100" s="21">
        <v>170.24000041190999</v>
      </c>
      <c r="AD100" s="21">
        <v>170.095397181518</v>
      </c>
      <c r="AE100" s="22">
        <v>2.4709899753718598E-2</v>
      </c>
      <c r="AF100" s="22">
        <v>4.82836956946459E-3</v>
      </c>
      <c r="AG100" s="22">
        <v>3.9786005468077099E-3</v>
      </c>
      <c r="AZ100" s="17"/>
      <c r="BB100">
        <f t="shared" si="26"/>
        <v>0</v>
      </c>
      <c r="BC100">
        <f t="shared" si="27"/>
        <v>1</v>
      </c>
      <c r="BD100">
        <f t="shared" si="28"/>
        <v>0</v>
      </c>
      <c r="BE100">
        <f t="shared" si="24"/>
        <v>1</v>
      </c>
      <c r="BF100">
        <f t="shared" si="29"/>
        <v>0</v>
      </c>
      <c r="BG100" s="17">
        <f t="shared" si="30"/>
        <v>0</v>
      </c>
      <c r="BH100" s="17">
        <f t="shared" si="31"/>
        <v>0</v>
      </c>
      <c r="BI100" s="17">
        <f t="shared" si="32"/>
        <v>0</v>
      </c>
      <c r="BJ100" s="11">
        <f t="shared" si="33"/>
        <v>4.3241877079529895E-2</v>
      </c>
      <c r="BL100" s="17"/>
      <c r="BN100">
        <f t="shared" si="34"/>
        <v>0</v>
      </c>
      <c r="BO100">
        <f t="shared" si="35"/>
        <v>1</v>
      </c>
      <c r="BP100">
        <f t="shared" si="36"/>
        <v>0</v>
      </c>
      <c r="BQ100">
        <f t="shared" si="25"/>
        <v>1</v>
      </c>
      <c r="BR100">
        <f t="shared" si="37"/>
        <v>0</v>
      </c>
      <c r="BS100" s="17">
        <f t="shared" si="38"/>
        <v>0</v>
      </c>
      <c r="BT100" s="17">
        <f t="shared" si="39"/>
        <v>0</v>
      </c>
      <c r="BU100" s="17">
        <f t="shared" si="40"/>
        <v>0</v>
      </c>
      <c r="BV100" s="11">
        <f t="shared" si="41"/>
        <v>4.2844634854095395E-3</v>
      </c>
      <c r="BX100" s="11">
        <f t="shared" si="42"/>
        <v>0</v>
      </c>
      <c r="BY100" s="11">
        <f t="shared" si="43"/>
        <v>4.7526340564939429E-2</v>
      </c>
    </row>
    <row r="101" spans="1:77" x14ac:dyDescent="0.25">
      <c r="A101" s="1">
        <v>46169</v>
      </c>
      <c r="B101" s="21">
        <v>134.44999999999999</v>
      </c>
      <c r="C101" s="21">
        <v>169.88</v>
      </c>
      <c r="D101" s="22">
        <v>8.2151320868502995E-3</v>
      </c>
      <c r="E101" s="22">
        <v>2.7114664416654998E-3</v>
      </c>
      <c r="F101" s="21">
        <v>0</v>
      </c>
      <c r="G101" s="21">
        <v>0</v>
      </c>
      <c r="H101" s="21">
        <v>0</v>
      </c>
      <c r="I101" s="21">
        <v>0.121818</v>
      </c>
      <c r="J101" s="21">
        <v>0</v>
      </c>
      <c r="K101" s="21">
        <v>0</v>
      </c>
      <c r="L101" s="21">
        <v>134.44999999999999</v>
      </c>
      <c r="M101" s="21">
        <v>169.88</v>
      </c>
      <c r="N101" s="23">
        <v>1.26351803644477</v>
      </c>
      <c r="O101" s="23">
        <v>1.3022492118915701</v>
      </c>
      <c r="P101" s="23">
        <v>1.2761818426965299</v>
      </c>
      <c r="Q101" s="23">
        <v>1.2747627614528101</v>
      </c>
      <c r="R101" s="21">
        <v>175.08740653882199</v>
      </c>
      <c r="S101" s="21">
        <v>171.763906774416</v>
      </c>
      <c r="T101" s="21">
        <v>171.49881946366699</v>
      </c>
      <c r="U101" s="22">
        <v>3.0193009722977199E-2</v>
      </c>
      <c r="V101" s="22">
        <v>1.1028593409493199E-2</v>
      </c>
      <c r="W101" s="22">
        <v>9.4840775434590196E-3</v>
      </c>
      <c r="X101" s="23">
        <v>1.26351803644477</v>
      </c>
      <c r="Y101" s="23">
        <v>1.3022759807794699</v>
      </c>
      <c r="Z101" s="23">
        <v>1.2761818426965299</v>
      </c>
      <c r="AA101" s="23">
        <v>1.2747627614528101</v>
      </c>
      <c r="AB101" s="21">
        <v>175.09100561579999</v>
      </c>
      <c r="AC101" s="21">
        <v>171.763906774416</v>
      </c>
      <c r="AD101" s="21">
        <v>171.49881946366699</v>
      </c>
      <c r="AE101" s="22">
        <v>3.02135653989032E-2</v>
      </c>
      <c r="AF101" s="22">
        <v>1.1028593409493199E-2</v>
      </c>
      <c r="AG101" s="22">
        <v>9.4840775434590196E-3</v>
      </c>
      <c r="AZ101" s="17"/>
      <c r="BB101">
        <f t="shared" si="26"/>
        <v>0</v>
      </c>
      <c r="BC101">
        <f t="shared" si="27"/>
        <v>1</v>
      </c>
      <c r="BD101">
        <f t="shared" si="28"/>
        <v>0</v>
      </c>
      <c r="BE101">
        <f t="shared" si="24"/>
        <v>1</v>
      </c>
      <c r="BF101">
        <f t="shared" si="29"/>
        <v>0</v>
      </c>
      <c r="BG101" s="17">
        <f t="shared" si="30"/>
        <v>0</v>
      </c>
      <c r="BH101" s="17">
        <f t="shared" si="31"/>
        <v>0</v>
      </c>
      <c r="BI101" s="17">
        <f t="shared" si="32"/>
        <v>0</v>
      </c>
      <c r="BJ101" s="11">
        <f t="shared" si="33"/>
        <v>4.3241877079529895E-2</v>
      </c>
      <c r="BL101" s="17"/>
      <c r="BN101">
        <f t="shared" si="34"/>
        <v>0</v>
      </c>
      <c r="BO101">
        <f t="shared" si="35"/>
        <v>1</v>
      </c>
      <c r="BP101">
        <f t="shared" si="36"/>
        <v>0</v>
      </c>
      <c r="BQ101">
        <f t="shared" si="25"/>
        <v>1</v>
      </c>
      <c r="BR101">
        <f t="shared" si="37"/>
        <v>0</v>
      </c>
      <c r="BS101" s="17">
        <f t="shared" si="38"/>
        <v>0</v>
      </c>
      <c r="BT101" s="17">
        <f t="shared" si="39"/>
        <v>0</v>
      </c>
      <c r="BU101" s="17">
        <f t="shared" si="40"/>
        <v>0</v>
      </c>
      <c r="BV101" s="11">
        <f t="shared" si="41"/>
        <v>4.2844634854095395E-3</v>
      </c>
      <c r="BX101" s="11">
        <f t="shared" si="42"/>
        <v>0</v>
      </c>
      <c r="BY101" s="11">
        <f t="shared" si="43"/>
        <v>4.7526340564939429E-2</v>
      </c>
    </row>
    <row r="102" spans="1:77" x14ac:dyDescent="0.25">
      <c r="A102" s="1">
        <v>46170</v>
      </c>
      <c r="B102" s="21">
        <v>135.99</v>
      </c>
      <c r="C102" s="21">
        <v>172.24</v>
      </c>
      <c r="D102" s="22">
        <v>1.1388970905994E-2</v>
      </c>
      <c r="E102" s="22">
        <v>1.37965476110373E-2</v>
      </c>
      <c r="F102" s="21">
        <v>0</v>
      </c>
      <c r="G102" s="21">
        <v>0</v>
      </c>
      <c r="H102" s="21">
        <v>0</v>
      </c>
      <c r="I102" s="21">
        <v>0.121818</v>
      </c>
      <c r="J102" s="21">
        <v>0</v>
      </c>
      <c r="K102" s="21">
        <v>0</v>
      </c>
      <c r="L102" s="21">
        <v>135.99</v>
      </c>
      <c r="M102" s="21">
        <v>172.24</v>
      </c>
      <c r="N102" s="23">
        <v>1.2665637179204301</v>
      </c>
      <c r="O102" s="23">
        <v>1.3022492118915701</v>
      </c>
      <c r="P102" s="23">
        <v>1.27574951371566</v>
      </c>
      <c r="Q102" s="23">
        <v>1.2739404430819601</v>
      </c>
      <c r="R102" s="21">
        <v>177.09287032513501</v>
      </c>
      <c r="S102" s="21">
        <v>173.54796878830101</v>
      </c>
      <c r="T102" s="21">
        <v>173.354987929967</v>
      </c>
      <c r="U102" s="22">
        <v>2.77854330179341E-2</v>
      </c>
      <c r="V102" s="22">
        <v>7.56518528404025E-3</v>
      </c>
      <c r="W102" s="22">
        <v>6.4525924133073198E-3</v>
      </c>
      <c r="X102" s="23">
        <v>1.2665637179204301</v>
      </c>
      <c r="Y102" s="23">
        <v>1.3022759807794699</v>
      </c>
      <c r="Z102" s="23">
        <v>1.27574951371566</v>
      </c>
      <c r="AA102" s="23">
        <v>1.2739404430819601</v>
      </c>
      <c r="AB102" s="21">
        <v>177.0965106262</v>
      </c>
      <c r="AC102" s="21">
        <v>173.54796878830101</v>
      </c>
      <c r="AD102" s="21">
        <v>173.354987929967</v>
      </c>
      <c r="AE102" s="22">
        <v>2.7805988693860001E-2</v>
      </c>
      <c r="AF102" s="22">
        <v>7.5651852840400297E-3</v>
      </c>
      <c r="AG102" s="22">
        <v>6.4525924133073198E-3</v>
      </c>
      <c r="AZ102" s="17"/>
      <c r="BB102">
        <f t="shared" si="26"/>
        <v>0</v>
      </c>
      <c r="BC102">
        <f t="shared" si="27"/>
        <v>1</v>
      </c>
      <c r="BD102">
        <f t="shared" si="28"/>
        <v>0</v>
      </c>
      <c r="BE102">
        <f t="shared" si="24"/>
        <v>1</v>
      </c>
      <c r="BF102">
        <f t="shared" si="29"/>
        <v>0</v>
      </c>
      <c r="BG102" s="17">
        <f t="shared" si="30"/>
        <v>0</v>
      </c>
      <c r="BH102" s="17">
        <f t="shared" si="31"/>
        <v>0</v>
      </c>
      <c r="BI102" s="17">
        <f t="shared" si="32"/>
        <v>0</v>
      </c>
      <c r="BJ102" s="11">
        <f t="shared" si="33"/>
        <v>4.3241877079529895E-2</v>
      </c>
      <c r="BL102" s="17"/>
      <c r="BN102">
        <f t="shared" si="34"/>
        <v>0</v>
      </c>
      <c r="BO102">
        <f t="shared" si="35"/>
        <v>1</v>
      </c>
      <c r="BP102">
        <f t="shared" si="36"/>
        <v>0</v>
      </c>
      <c r="BQ102">
        <f t="shared" si="25"/>
        <v>1</v>
      </c>
      <c r="BR102">
        <f t="shared" si="37"/>
        <v>0</v>
      </c>
      <c r="BS102" s="17">
        <f t="shared" si="38"/>
        <v>0</v>
      </c>
      <c r="BT102" s="17">
        <f t="shared" si="39"/>
        <v>0</v>
      </c>
      <c r="BU102" s="17">
        <f t="shared" si="40"/>
        <v>0</v>
      </c>
      <c r="BV102" s="11">
        <f t="shared" si="41"/>
        <v>4.2844634854095395E-3</v>
      </c>
      <c r="BX102" s="11">
        <f t="shared" si="42"/>
        <v>0</v>
      </c>
      <c r="BY102" s="11">
        <f t="shared" si="43"/>
        <v>4.7526340564939429E-2</v>
      </c>
    </row>
    <row r="103" spans="1:77" x14ac:dyDescent="0.25">
      <c r="A103" s="1">
        <v>46171</v>
      </c>
      <c r="B103" s="21">
        <v>136.69</v>
      </c>
      <c r="C103" s="21">
        <v>172.18</v>
      </c>
      <c r="D103" s="22">
        <v>5.1342345436939801E-3</v>
      </c>
      <c r="E103" s="22">
        <v>-3.4841182629903502E-4</v>
      </c>
      <c r="F103" s="21">
        <v>0</v>
      </c>
      <c r="G103" s="21">
        <v>0</v>
      </c>
      <c r="H103" s="21">
        <v>0</v>
      </c>
      <c r="I103" s="21">
        <v>0.121818</v>
      </c>
      <c r="J103" s="21">
        <v>0</v>
      </c>
      <c r="K103" s="21">
        <v>0</v>
      </c>
      <c r="L103" s="21">
        <v>136.69</v>
      </c>
      <c r="M103" s="21">
        <v>172.18</v>
      </c>
      <c r="N103" s="23">
        <v>1.25963859828809</v>
      </c>
      <c r="O103" s="23">
        <v>1.3022492118915701</v>
      </c>
      <c r="P103" s="23">
        <v>1.27466109323301</v>
      </c>
      <c r="Q103" s="23">
        <v>1.2726986617346501</v>
      </c>
      <c r="R103" s="21">
        <v>178.004444773459</v>
      </c>
      <c r="S103" s="21">
        <v>174.382201029794</v>
      </c>
      <c r="T103" s="21">
        <v>174.134919164873</v>
      </c>
      <c r="U103" s="22">
        <v>3.3268079387927002E-2</v>
      </c>
      <c r="V103" s="22">
        <v>1.2709006721366E-2</v>
      </c>
      <c r="W103" s="22">
        <v>1.1289955018660499E-2</v>
      </c>
      <c r="X103" s="23">
        <v>1.25963859828809</v>
      </c>
      <c r="Y103" s="23">
        <v>1.3022759807794699</v>
      </c>
      <c r="Z103" s="23">
        <v>1.27466109323301</v>
      </c>
      <c r="AA103" s="23">
        <v>1.2726986617346501</v>
      </c>
      <c r="AB103" s="21">
        <v>178.00810381274599</v>
      </c>
      <c r="AC103" s="21">
        <v>174.382201029794</v>
      </c>
      <c r="AD103" s="21">
        <v>174.134919164873</v>
      </c>
      <c r="AE103" s="22">
        <v>3.32886350638531E-2</v>
      </c>
      <c r="AF103" s="22">
        <v>1.2709006721366E-2</v>
      </c>
      <c r="AG103" s="22">
        <v>1.1289955018660499E-2</v>
      </c>
      <c r="AZ103" s="17"/>
      <c r="BB103">
        <f t="shared" si="26"/>
        <v>0</v>
      </c>
      <c r="BC103">
        <f t="shared" si="27"/>
        <v>1</v>
      </c>
      <c r="BD103">
        <f t="shared" si="28"/>
        <v>0</v>
      </c>
      <c r="BE103">
        <f t="shared" si="24"/>
        <v>1</v>
      </c>
      <c r="BF103">
        <f t="shared" si="29"/>
        <v>0</v>
      </c>
      <c r="BG103" s="17">
        <f t="shared" si="30"/>
        <v>0</v>
      </c>
      <c r="BH103" s="17">
        <f t="shared" si="31"/>
        <v>0</v>
      </c>
      <c r="BI103" s="17">
        <f t="shared" si="32"/>
        <v>0</v>
      </c>
      <c r="BJ103" s="11">
        <f t="shared" si="33"/>
        <v>4.3241877079529895E-2</v>
      </c>
      <c r="BL103" s="17"/>
      <c r="BN103">
        <f t="shared" si="34"/>
        <v>0</v>
      </c>
      <c r="BO103">
        <f t="shared" si="35"/>
        <v>1</v>
      </c>
      <c r="BP103">
        <f t="shared" si="36"/>
        <v>0</v>
      </c>
      <c r="BQ103">
        <f t="shared" si="25"/>
        <v>1</v>
      </c>
      <c r="BR103">
        <f t="shared" si="37"/>
        <v>0</v>
      </c>
      <c r="BS103" s="17">
        <f t="shared" si="38"/>
        <v>0</v>
      </c>
      <c r="BT103" s="17">
        <f t="shared" si="39"/>
        <v>0</v>
      </c>
      <c r="BU103" s="17">
        <f t="shared" si="40"/>
        <v>0</v>
      </c>
      <c r="BV103" s="11">
        <f t="shared" si="41"/>
        <v>4.2844634854095395E-3</v>
      </c>
      <c r="BX103" s="11">
        <f t="shared" si="42"/>
        <v>0</v>
      </c>
      <c r="BY103" s="11">
        <f t="shared" si="43"/>
        <v>4.7526340564939429E-2</v>
      </c>
    </row>
    <row r="104" spans="1:77" x14ac:dyDescent="0.25">
      <c r="A104" s="1">
        <v>46174</v>
      </c>
      <c r="B104" s="21">
        <v>133.62</v>
      </c>
      <c r="C104" s="21">
        <v>169.37</v>
      </c>
      <c r="D104" s="22">
        <v>-2.2715637667230299E-2</v>
      </c>
      <c r="E104" s="22">
        <v>-1.6454770326778601E-2</v>
      </c>
      <c r="F104" s="21">
        <v>0</v>
      </c>
      <c r="G104" s="21">
        <v>0</v>
      </c>
      <c r="H104" s="21">
        <v>0</v>
      </c>
      <c r="I104" s="21">
        <v>0.121818</v>
      </c>
      <c r="J104" s="21">
        <v>0</v>
      </c>
      <c r="K104" s="21">
        <v>0</v>
      </c>
      <c r="L104" s="21">
        <v>133.62</v>
      </c>
      <c r="M104" s="21">
        <v>169.37</v>
      </c>
      <c r="N104" s="23">
        <v>1.2675497679987999</v>
      </c>
      <c r="O104" s="23">
        <v>1.3022492118915701</v>
      </c>
      <c r="P104" s="23">
        <v>1.2737628448435101</v>
      </c>
      <c r="Q104" s="23">
        <v>1.2719487156920199</v>
      </c>
      <c r="R104" s="21">
        <v>174.006539692952</v>
      </c>
      <c r="S104" s="21">
        <v>170.320215277795</v>
      </c>
      <c r="T104" s="21">
        <v>170.05799518098499</v>
      </c>
      <c r="U104" s="22">
        <v>2.7007212047475498E-2</v>
      </c>
      <c r="V104" s="22">
        <v>5.5946136421498698E-3</v>
      </c>
      <c r="W104" s="22">
        <v>4.0538560928833501E-3</v>
      </c>
      <c r="X104" s="23">
        <v>1.2675497679987999</v>
      </c>
      <c r="Y104" s="23">
        <v>1.3022759807794699</v>
      </c>
      <c r="Z104" s="23">
        <v>1.2737628448435101</v>
      </c>
      <c r="AA104" s="23">
        <v>1.2719487156920199</v>
      </c>
      <c r="AB104" s="21">
        <v>174.01011655175299</v>
      </c>
      <c r="AC104" s="21">
        <v>170.320215277795</v>
      </c>
      <c r="AD104" s="21">
        <v>170.05799518098499</v>
      </c>
      <c r="AE104" s="22">
        <v>2.70277677234015E-2</v>
      </c>
      <c r="AF104" s="22">
        <v>5.5946136421500901E-3</v>
      </c>
      <c r="AG104" s="22">
        <v>4.0538560928833501E-3</v>
      </c>
      <c r="AZ104" s="17"/>
      <c r="BB104">
        <f t="shared" si="26"/>
        <v>0</v>
      </c>
      <c r="BC104">
        <f t="shared" si="27"/>
        <v>1</v>
      </c>
      <c r="BD104">
        <f t="shared" si="28"/>
        <v>0</v>
      </c>
      <c r="BE104">
        <f t="shared" si="24"/>
        <v>1</v>
      </c>
      <c r="BF104">
        <f t="shared" si="29"/>
        <v>0</v>
      </c>
      <c r="BG104" s="17">
        <f t="shared" si="30"/>
        <v>0</v>
      </c>
      <c r="BH104" s="17">
        <f t="shared" si="31"/>
        <v>0</v>
      </c>
      <c r="BI104" s="17">
        <f t="shared" si="32"/>
        <v>0</v>
      </c>
      <c r="BJ104" s="11">
        <f t="shared" si="33"/>
        <v>4.3241877079529895E-2</v>
      </c>
      <c r="BL104" s="17"/>
      <c r="BN104">
        <f t="shared" si="34"/>
        <v>0</v>
      </c>
      <c r="BO104">
        <f t="shared" si="35"/>
        <v>1</v>
      </c>
      <c r="BP104">
        <f t="shared" si="36"/>
        <v>0</v>
      </c>
      <c r="BQ104">
        <f t="shared" si="25"/>
        <v>1</v>
      </c>
      <c r="BR104">
        <f t="shared" si="37"/>
        <v>0</v>
      </c>
      <c r="BS104" s="17">
        <f t="shared" si="38"/>
        <v>0</v>
      </c>
      <c r="BT104" s="17">
        <f t="shared" si="39"/>
        <v>0</v>
      </c>
      <c r="BU104" s="17">
        <f t="shared" si="40"/>
        <v>0</v>
      </c>
      <c r="BV104" s="11">
        <f t="shared" si="41"/>
        <v>4.2844634854095395E-3</v>
      </c>
      <c r="BX104" s="11">
        <f t="shared" si="42"/>
        <v>0</v>
      </c>
      <c r="BY104" s="11">
        <f t="shared" si="43"/>
        <v>4.7526340564939429E-2</v>
      </c>
    </row>
    <row r="105" spans="1:77" x14ac:dyDescent="0.25">
      <c r="A105" s="1">
        <v>46175</v>
      </c>
      <c r="B105" s="21">
        <v>127.76</v>
      </c>
      <c r="C105" s="21">
        <v>164.27</v>
      </c>
      <c r="D105" s="22">
        <v>-4.4846446590574199E-2</v>
      </c>
      <c r="E105" s="22">
        <v>-3.0574255349921298E-2</v>
      </c>
      <c r="F105" s="21">
        <v>0</v>
      </c>
      <c r="G105" s="21">
        <v>0</v>
      </c>
      <c r="H105" s="21">
        <v>0</v>
      </c>
      <c r="I105" s="21">
        <v>0.121818</v>
      </c>
      <c r="J105" s="21">
        <v>0</v>
      </c>
      <c r="K105" s="21">
        <v>0</v>
      </c>
      <c r="L105" s="21">
        <v>127.76</v>
      </c>
      <c r="M105" s="21">
        <v>164.27</v>
      </c>
      <c r="N105" s="23">
        <v>1.2857701941139601</v>
      </c>
      <c r="O105" s="23">
        <v>1.3022492118915701</v>
      </c>
      <c r="P105" s="23">
        <v>1.27386019009497</v>
      </c>
      <c r="Q105" s="23">
        <v>1.27250688831907</v>
      </c>
      <c r="R105" s="21">
        <v>166.375359311267</v>
      </c>
      <c r="S105" s="21">
        <v>162.73594105720699</v>
      </c>
      <c r="T105" s="21">
        <v>162.504167916813</v>
      </c>
      <c r="U105" s="22">
        <v>1.2735020806822501E-2</v>
      </c>
      <c r="V105" s="22">
        <v>-9.3825218687843496E-3</v>
      </c>
      <c r="W105" s="22">
        <v>-1.0807765393386499E-2</v>
      </c>
      <c r="X105" s="23">
        <v>1.2857701941139601</v>
      </c>
      <c r="Y105" s="23">
        <v>1.3022759807794699</v>
      </c>
      <c r="Z105" s="23">
        <v>1.27386019009497</v>
      </c>
      <c r="AA105" s="23">
        <v>1.27250688831907</v>
      </c>
      <c r="AB105" s="21">
        <v>166.37877930438501</v>
      </c>
      <c r="AC105" s="21">
        <v>162.73594105720699</v>
      </c>
      <c r="AD105" s="21">
        <v>162.504167916813</v>
      </c>
      <c r="AE105" s="22">
        <v>1.2755576482748599E-2</v>
      </c>
      <c r="AF105" s="22">
        <v>-9.3825218687843496E-3</v>
      </c>
      <c r="AG105" s="22">
        <v>-1.08077653933867E-2</v>
      </c>
      <c r="AZ105" s="17"/>
      <c r="BB105">
        <f t="shared" si="26"/>
        <v>0</v>
      </c>
      <c r="BC105">
        <f t="shared" si="27"/>
        <v>0</v>
      </c>
      <c r="BD105">
        <f t="shared" si="28"/>
        <v>0</v>
      </c>
      <c r="BE105">
        <f t="shared" si="24"/>
        <v>1</v>
      </c>
      <c r="BF105">
        <f t="shared" si="29"/>
        <v>0</v>
      </c>
      <c r="BG105" s="17">
        <f t="shared" si="30"/>
        <v>0</v>
      </c>
      <c r="BH105" s="17">
        <f t="shared" si="31"/>
        <v>0</v>
      </c>
      <c r="BI105" s="17">
        <f t="shared" si="32"/>
        <v>0</v>
      </c>
      <c r="BJ105" s="11">
        <f t="shared" si="33"/>
        <v>4.3241877079529895E-2</v>
      </c>
      <c r="BL105" s="17"/>
      <c r="BN105">
        <f t="shared" si="34"/>
        <v>0</v>
      </c>
      <c r="BO105">
        <f t="shared" si="35"/>
        <v>1</v>
      </c>
      <c r="BP105">
        <f t="shared" si="36"/>
        <v>0</v>
      </c>
      <c r="BQ105">
        <f t="shared" si="25"/>
        <v>1</v>
      </c>
      <c r="BR105">
        <f t="shared" si="37"/>
        <v>0</v>
      </c>
      <c r="BS105" s="17">
        <f t="shared" si="38"/>
        <v>0</v>
      </c>
      <c r="BT105" s="17">
        <f t="shared" si="39"/>
        <v>0</v>
      </c>
      <c r="BU105" s="17">
        <f t="shared" si="40"/>
        <v>0</v>
      </c>
      <c r="BV105" s="11">
        <f t="shared" si="41"/>
        <v>4.2844634854095395E-3</v>
      </c>
      <c r="BX105" s="11">
        <f t="shared" si="42"/>
        <v>0</v>
      </c>
      <c r="BY105" s="11">
        <f t="shared" si="43"/>
        <v>4.7526340564939429E-2</v>
      </c>
    </row>
    <row r="106" spans="1:77" x14ac:dyDescent="0.25">
      <c r="A106" s="1">
        <v>46176</v>
      </c>
      <c r="B106" s="21">
        <v>129.83000000000001</v>
      </c>
      <c r="C106" s="21">
        <v>167.5</v>
      </c>
      <c r="D106" s="22">
        <v>1.6072398465405102E-2</v>
      </c>
      <c r="E106" s="22">
        <v>1.9471935712012601E-2</v>
      </c>
      <c r="F106" s="21">
        <v>0</v>
      </c>
      <c r="G106" s="21">
        <v>0</v>
      </c>
      <c r="H106" s="21">
        <v>0</v>
      </c>
      <c r="I106" s="21">
        <v>0.121818</v>
      </c>
      <c r="J106" s="21">
        <v>0</v>
      </c>
      <c r="K106" s="21">
        <v>0</v>
      </c>
      <c r="L106" s="21">
        <v>129.83000000000001</v>
      </c>
      <c r="M106" s="21">
        <v>167.5</v>
      </c>
      <c r="N106" s="23">
        <v>1.29014865593468</v>
      </c>
      <c r="O106" s="23">
        <v>1.3022492118915701</v>
      </c>
      <c r="P106" s="23">
        <v>1.2733774612409201</v>
      </c>
      <c r="Q106" s="23">
        <v>1.2733548547879801</v>
      </c>
      <c r="R106" s="21">
        <v>169.07101517988301</v>
      </c>
      <c r="S106" s="21">
        <v>165.38526848002999</v>
      </c>
      <c r="T106" s="21">
        <v>165.20956931046501</v>
      </c>
      <c r="U106" s="22">
        <v>9.3354835602149893E-3</v>
      </c>
      <c r="V106" s="22">
        <v>-1.27056386637277E-2</v>
      </c>
      <c r="W106" s="22">
        <v>-1.3768566247722099E-2</v>
      </c>
      <c r="X106" s="23">
        <v>1.29014865593468</v>
      </c>
      <c r="Y106" s="23">
        <v>1.3022759807794699</v>
      </c>
      <c r="Z106" s="23">
        <v>1.2733774612409201</v>
      </c>
      <c r="AA106" s="23">
        <v>1.2733548547879801</v>
      </c>
      <c r="AB106" s="21">
        <v>169.074490584599</v>
      </c>
      <c r="AC106" s="21">
        <v>165.38526848002999</v>
      </c>
      <c r="AD106" s="21">
        <v>165.20956931046501</v>
      </c>
      <c r="AE106" s="22">
        <v>9.3560392361410998E-3</v>
      </c>
      <c r="AF106" s="22">
        <v>-1.27056386637275E-2</v>
      </c>
      <c r="AG106" s="22">
        <v>-1.3768566247722099E-2</v>
      </c>
      <c r="AZ106" s="17"/>
      <c r="BB106">
        <f t="shared" si="26"/>
        <v>0</v>
      </c>
      <c r="BC106">
        <f t="shared" si="27"/>
        <v>0</v>
      </c>
      <c r="BD106">
        <f t="shared" si="28"/>
        <v>0</v>
      </c>
      <c r="BE106">
        <f t="shared" si="24"/>
        <v>1</v>
      </c>
      <c r="BF106">
        <f t="shared" si="29"/>
        <v>0</v>
      </c>
      <c r="BG106" s="17">
        <f t="shared" si="30"/>
        <v>0</v>
      </c>
      <c r="BH106" s="17">
        <f t="shared" si="31"/>
        <v>0</v>
      </c>
      <c r="BI106" s="17">
        <f t="shared" si="32"/>
        <v>0</v>
      </c>
      <c r="BJ106" s="11">
        <f t="shared" si="33"/>
        <v>4.3241877079529895E-2</v>
      </c>
      <c r="BL106" s="17"/>
      <c r="BN106">
        <f t="shared" si="34"/>
        <v>0</v>
      </c>
      <c r="BO106">
        <f t="shared" si="35"/>
        <v>1</v>
      </c>
      <c r="BP106">
        <f t="shared" si="36"/>
        <v>0</v>
      </c>
      <c r="BQ106">
        <f t="shared" si="25"/>
        <v>1</v>
      </c>
      <c r="BR106">
        <f t="shared" si="37"/>
        <v>0</v>
      </c>
      <c r="BS106" s="17">
        <f t="shared" si="38"/>
        <v>0</v>
      </c>
      <c r="BT106" s="17">
        <f t="shared" si="39"/>
        <v>0</v>
      </c>
      <c r="BU106" s="17">
        <f t="shared" si="40"/>
        <v>0</v>
      </c>
      <c r="BV106" s="11">
        <f t="shared" si="41"/>
        <v>4.2844634854095395E-3</v>
      </c>
      <c r="BX106" s="11">
        <f t="shared" si="42"/>
        <v>0</v>
      </c>
      <c r="BY106" s="11">
        <f t="shared" si="43"/>
        <v>4.7526340564939429E-2</v>
      </c>
    </row>
    <row r="107" spans="1:77" x14ac:dyDescent="0.25">
      <c r="A107" s="1">
        <v>46177</v>
      </c>
      <c r="B107" s="21">
        <v>133.41999999999999</v>
      </c>
      <c r="C107" s="21">
        <v>171.43</v>
      </c>
      <c r="D107" s="22">
        <v>2.7276144909207101E-2</v>
      </c>
      <c r="E107" s="22">
        <v>2.3191668754268601E-2</v>
      </c>
      <c r="F107" s="21">
        <v>0</v>
      </c>
      <c r="G107" s="21">
        <v>0</v>
      </c>
      <c r="H107" s="21">
        <v>0</v>
      </c>
      <c r="I107" s="21">
        <v>0.121818</v>
      </c>
      <c r="J107" s="21">
        <v>0</v>
      </c>
      <c r="K107" s="21">
        <v>0</v>
      </c>
      <c r="L107" s="21">
        <v>133.41999999999999</v>
      </c>
      <c r="M107" s="21">
        <v>171.43</v>
      </c>
      <c r="N107" s="23">
        <v>1.2848898216159499</v>
      </c>
      <c r="O107" s="23">
        <v>1.3022492118915701</v>
      </c>
      <c r="P107" s="23">
        <v>1.27438181808933</v>
      </c>
      <c r="Q107" s="23">
        <v>1.27445655098208</v>
      </c>
      <c r="R107" s="21">
        <v>173.74608985057299</v>
      </c>
      <c r="S107" s="21">
        <v>169.894020878764</v>
      </c>
      <c r="T107" s="21">
        <v>169.891004725812</v>
      </c>
      <c r="U107" s="22">
        <v>1.34199597151534E-2</v>
      </c>
      <c r="V107" s="22">
        <v>-9.0001839633194903E-3</v>
      </c>
      <c r="W107" s="22">
        <v>-9.0179372645237694E-3</v>
      </c>
      <c r="X107" s="23">
        <v>1.2848898216159499</v>
      </c>
      <c r="Y107" s="23">
        <v>1.3022759807794699</v>
      </c>
      <c r="Z107" s="23">
        <v>1.27438181808933</v>
      </c>
      <c r="AA107" s="23">
        <v>1.27445655098208</v>
      </c>
      <c r="AB107" s="21">
        <v>173.749661355597</v>
      </c>
      <c r="AC107" s="21">
        <v>169.894020878764</v>
      </c>
      <c r="AD107" s="21">
        <v>169.891004725812</v>
      </c>
      <c r="AE107" s="22">
        <v>1.34405153910795E-2</v>
      </c>
      <c r="AF107" s="22">
        <v>-9.0001839633194903E-3</v>
      </c>
      <c r="AG107" s="22">
        <v>-9.0179372645237694E-3</v>
      </c>
      <c r="AZ107" s="17"/>
      <c r="BB107">
        <f t="shared" si="26"/>
        <v>0</v>
      </c>
      <c r="BC107">
        <f t="shared" si="27"/>
        <v>1</v>
      </c>
      <c r="BD107">
        <f t="shared" si="28"/>
        <v>0</v>
      </c>
      <c r="BE107">
        <f t="shared" si="24"/>
        <v>1</v>
      </c>
      <c r="BF107">
        <f t="shared" si="29"/>
        <v>0</v>
      </c>
      <c r="BG107" s="17">
        <f t="shared" si="30"/>
        <v>0</v>
      </c>
      <c r="BH107" s="17">
        <f t="shared" si="31"/>
        <v>0</v>
      </c>
      <c r="BI107" s="17">
        <f t="shared" si="32"/>
        <v>0</v>
      </c>
      <c r="BJ107" s="11">
        <f t="shared" si="33"/>
        <v>4.3241877079529895E-2</v>
      </c>
      <c r="BL107" s="17"/>
      <c r="BN107">
        <f t="shared" si="34"/>
        <v>0</v>
      </c>
      <c r="BO107">
        <f t="shared" si="35"/>
        <v>1</v>
      </c>
      <c r="BP107">
        <f t="shared" si="36"/>
        <v>0</v>
      </c>
      <c r="BQ107">
        <f t="shared" si="25"/>
        <v>1</v>
      </c>
      <c r="BR107">
        <f t="shared" si="37"/>
        <v>0</v>
      </c>
      <c r="BS107" s="17">
        <f t="shared" si="38"/>
        <v>0</v>
      </c>
      <c r="BT107" s="17">
        <f t="shared" si="39"/>
        <v>0</v>
      </c>
      <c r="BU107" s="17">
        <f t="shared" si="40"/>
        <v>0</v>
      </c>
      <c r="BV107" s="11">
        <f t="shared" si="41"/>
        <v>4.2844634854095395E-3</v>
      </c>
      <c r="BX107" s="11">
        <f t="shared" si="42"/>
        <v>0</v>
      </c>
      <c r="BY107" s="11">
        <f t="shared" si="43"/>
        <v>4.7526340564939429E-2</v>
      </c>
    </row>
    <row r="108" spans="1:77" x14ac:dyDescent="0.25">
      <c r="A108" s="1">
        <v>46178</v>
      </c>
      <c r="B108" s="21">
        <v>128.66999999999999</v>
      </c>
      <c r="C108" s="21">
        <v>168.44</v>
      </c>
      <c r="D108" s="22">
        <v>-3.6251060084470502E-2</v>
      </c>
      <c r="E108" s="22">
        <v>-1.7595416725662599E-2</v>
      </c>
      <c r="F108" s="21">
        <v>0</v>
      </c>
      <c r="G108" s="21">
        <v>0</v>
      </c>
      <c r="H108" s="21">
        <v>0</v>
      </c>
      <c r="I108" s="21">
        <v>0.121818</v>
      </c>
      <c r="J108" s="21">
        <v>0</v>
      </c>
      <c r="K108" s="21">
        <v>0</v>
      </c>
      <c r="L108" s="21">
        <v>128.66999999999999</v>
      </c>
      <c r="M108" s="21">
        <v>168.44</v>
      </c>
      <c r="N108" s="23">
        <v>1.30908525685863</v>
      </c>
      <c r="O108" s="23">
        <v>1.3022492118915701</v>
      </c>
      <c r="P108" s="23">
        <v>1.2779669516980701</v>
      </c>
      <c r="Q108" s="23">
        <v>1.2762792112513199</v>
      </c>
      <c r="R108" s="21">
        <v>167.56040609408799</v>
      </c>
      <c r="S108" s="21">
        <v>163.97470853355401</v>
      </c>
      <c r="T108" s="21">
        <v>163.98432441486401</v>
      </c>
      <c r="U108" s="22">
        <v>-5.2356836436542103E-3</v>
      </c>
      <c r="V108" s="22">
        <v>-2.6867403620891499E-2</v>
      </c>
      <c r="W108" s="22">
        <v>-2.6808762874048299E-2</v>
      </c>
      <c r="X108" s="23">
        <v>1.30908525685863</v>
      </c>
      <c r="Y108" s="23">
        <v>1.3022759807794699</v>
      </c>
      <c r="Z108" s="23">
        <v>1.2779669516980701</v>
      </c>
      <c r="AA108" s="23">
        <v>1.2762792112513199</v>
      </c>
      <c r="AB108" s="21">
        <v>167.56385044689401</v>
      </c>
      <c r="AC108" s="21">
        <v>163.97470853355401</v>
      </c>
      <c r="AD108" s="21">
        <v>163.98432441486401</v>
      </c>
      <c r="AE108" s="22">
        <v>-5.2151279677282404E-3</v>
      </c>
      <c r="AF108" s="22">
        <v>-2.6867403620891701E-2</v>
      </c>
      <c r="AG108" s="22">
        <v>-2.6808762874048299E-2</v>
      </c>
      <c r="AZ108" s="17"/>
      <c r="BB108">
        <f t="shared" si="26"/>
        <v>1</v>
      </c>
      <c r="BC108">
        <f t="shared" si="27"/>
        <v>0</v>
      </c>
      <c r="BD108">
        <f t="shared" si="28"/>
        <v>0</v>
      </c>
      <c r="BE108">
        <f t="shared" si="24"/>
        <v>1</v>
      </c>
      <c r="BF108">
        <f t="shared" si="29"/>
        <v>0</v>
      </c>
      <c r="BG108" s="17">
        <f t="shared" si="30"/>
        <v>0</v>
      </c>
      <c r="BH108" s="17">
        <f t="shared" si="31"/>
        <v>0</v>
      </c>
      <c r="BI108" s="17">
        <f t="shared" si="32"/>
        <v>0</v>
      </c>
      <c r="BJ108" s="11">
        <f t="shared" si="33"/>
        <v>4.3241877079529895E-2</v>
      </c>
      <c r="BL108" s="17"/>
      <c r="BN108">
        <f t="shared" si="34"/>
        <v>0</v>
      </c>
      <c r="BO108">
        <f t="shared" si="35"/>
        <v>1</v>
      </c>
      <c r="BP108">
        <f t="shared" si="36"/>
        <v>0</v>
      </c>
      <c r="BQ108">
        <f t="shared" si="25"/>
        <v>1</v>
      </c>
      <c r="BR108">
        <f t="shared" si="37"/>
        <v>0</v>
      </c>
      <c r="BS108" s="17">
        <f t="shared" si="38"/>
        <v>0</v>
      </c>
      <c r="BT108" s="17">
        <f t="shared" si="39"/>
        <v>0</v>
      </c>
      <c r="BU108" s="17">
        <f t="shared" si="40"/>
        <v>0</v>
      </c>
      <c r="BV108" s="11">
        <f t="shared" si="41"/>
        <v>4.2844634854095395E-3</v>
      </c>
      <c r="BX108" s="11">
        <f t="shared" si="42"/>
        <v>0</v>
      </c>
      <c r="BY108" s="11">
        <f t="shared" si="43"/>
        <v>4.7526340564939429E-2</v>
      </c>
    </row>
    <row r="109" spans="1:77" x14ac:dyDescent="0.25">
      <c r="A109" s="1">
        <v>46181</v>
      </c>
      <c r="B109" s="21">
        <v>128.43</v>
      </c>
      <c r="C109" s="21">
        <v>166.92</v>
      </c>
      <c r="D109" s="22">
        <v>-1.86697837193422E-3</v>
      </c>
      <c r="E109" s="22">
        <v>-9.0649475703752092E-3</v>
      </c>
      <c r="F109" s="21">
        <v>0</v>
      </c>
      <c r="G109" s="21">
        <v>0</v>
      </c>
      <c r="H109" s="21">
        <v>0</v>
      </c>
      <c r="I109" s="21">
        <v>0.121818</v>
      </c>
      <c r="J109" s="21">
        <v>0</v>
      </c>
      <c r="K109" s="21">
        <v>0</v>
      </c>
      <c r="L109" s="21">
        <v>128.43</v>
      </c>
      <c r="M109" s="21">
        <v>166.92</v>
      </c>
      <c r="N109" s="23">
        <v>1.2996963326325599</v>
      </c>
      <c r="O109" s="23">
        <v>1.3022492118915701</v>
      </c>
      <c r="P109" s="23">
        <v>1.2797351570409301</v>
      </c>
      <c r="Q109" s="23">
        <v>1.27818779003869</v>
      </c>
      <c r="R109" s="21">
        <v>167.247866283234</v>
      </c>
      <c r="S109" s="21">
        <v>164.12929560658401</v>
      </c>
      <c r="T109" s="21">
        <v>163.91253910100701</v>
      </c>
      <c r="U109" s="22">
        <v>1.9622855547866201E-3</v>
      </c>
      <c r="V109" s="22">
        <v>-1.6860150668579699E-2</v>
      </c>
      <c r="W109" s="22">
        <v>-1.8181668317786798E-2</v>
      </c>
      <c r="X109" s="23">
        <v>1.2996963326325599</v>
      </c>
      <c r="Y109" s="23">
        <v>1.3022759807794699</v>
      </c>
      <c r="Z109" s="23">
        <v>1.2797351570409301</v>
      </c>
      <c r="AA109" s="23">
        <v>1.27818779003869</v>
      </c>
      <c r="AB109" s="21">
        <v>167.251304211507</v>
      </c>
      <c r="AC109" s="21">
        <v>164.12929560658401</v>
      </c>
      <c r="AD109" s="21">
        <v>163.91253910100701</v>
      </c>
      <c r="AE109" s="22">
        <v>1.98284123071294E-3</v>
      </c>
      <c r="AF109" s="22">
        <v>-1.6860150668579699E-2</v>
      </c>
      <c r="AG109" s="22">
        <v>-1.8181668317786798E-2</v>
      </c>
      <c r="AZ109" s="17"/>
      <c r="BB109">
        <f t="shared" si="26"/>
        <v>1</v>
      </c>
      <c r="BC109">
        <f t="shared" si="27"/>
        <v>0</v>
      </c>
      <c r="BD109">
        <f t="shared" si="28"/>
        <v>1</v>
      </c>
      <c r="BE109">
        <f t="shared" si="24"/>
        <v>1</v>
      </c>
      <c r="BF109">
        <f t="shared" si="29"/>
        <v>1</v>
      </c>
      <c r="BG109" s="17">
        <f t="shared" si="30"/>
        <v>-1.86697837193422E-3</v>
      </c>
      <c r="BH109" s="17">
        <f t="shared" si="31"/>
        <v>9.0649475703752092E-3</v>
      </c>
      <c r="BI109" s="17">
        <f t="shared" si="32"/>
        <v>7.1979691984409896E-3</v>
      </c>
      <c r="BJ109" s="11">
        <f t="shared" si="33"/>
        <v>5.0439846277970886E-2</v>
      </c>
      <c r="BL109" s="17"/>
      <c r="BN109">
        <f t="shared" si="34"/>
        <v>0</v>
      </c>
      <c r="BO109">
        <f t="shared" si="35"/>
        <v>1</v>
      </c>
      <c r="BP109">
        <f t="shared" si="36"/>
        <v>0</v>
      </c>
      <c r="BQ109">
        <f t="shared" si="25"/>
        <v>1</v>
      </c>
      <c r="BR109">
        <f t="shared" si="37"/>
        <v>0</v>
      </c>
      <c r="BS109" s="17">
        <f t="shared" si="38"/>
        <v>0</v>
      </c>
      <c r="BT109" s="17">
        <f t="shared" si="39"/>
        <v>0</v>
      </c>
      <c r="BU109" s="17">
        <f t="shared" si="40"/>
        <v>0</v>
      </c>
      <c r="BV109" s="11">
        <f t="shared" si="41"/>
        <v>4.2844634854095395E-3</v>
      </c>
      <c r="BX109" s="11">
        <f t="shared" si="42"/>
        <v>7.1979691984409896E-3</v>
      </c>
      <c r="BY109" s="11">
        <f t="shared" si="43"/>
        <v>5.472430976338042E-2</v>
      </c>
    </row>
    <row r="110" spans="1:77" x14ac:dyDescent="0.25">
      <c r="A110" s="1">
        <v>46182</v>
      </c>
      <c r="B110" s="21">
        <v>131.38</v>
      </c>
      <c r="C110" s="21">
        <v>169.36</v>
      </c>
      <c r="D110" s="22">
        <v>2.2709878639362399E-2</v>
      </c>
      <c r="E110" s="22">
        <v>1.4511971103258E-2</v>
      </c>
      <c r="F110" s="21">
        <v>0</v>
      </c>
      <c r="G110" s="21">
        <v>0</v>
      </c>
      <c r="H110" s="21">
        <v>0</v>
      </c>
      <c r="I110" s="21">
        <v>0.121818</v>
      </c>
      <c r="J110" s="21">
        <v>0</v>
      </c>
      <c r="K110" s="21">
        <v>0</v>
      </c>
      <c r="L110" s="21">
        <v>131.38</v>
      </c>
      <c r="M110" s="21">
        <v>169.36</v>
      </c>
      <c r="N110" s="23">
        <v>1.28908509666615</v>
      </c>
      <c r="O110" s="23">
        <v>1.3022492118915701</v>
      </c>
      <c r="P110" s="23">
        <v>1.2815945478474</v>
      </c>
      <c r="Q110" s="23">
        <v>1.2795622675064999</v>
      </c>
      <c r="R110" s="21">
        <v>171.089501458315</v>
      </c>
      <c r="S110" s="21">
        <v>168.13160493203699</v>
      </c>
      <c r="T110" s="21">
        <v>167.928311855283</v>
      </c>
      <c r="U110" s="22">
        <v>1.01601930908912E-2</v>
      </c>
      <c r="V110" s="22">
        <v>-7.2795914010582198E-3</v>
      </c>
      <c r="W110" s="22">
        <v>-8.4894536392896205E-3</v>
      </c>
      <c r="X110" s="23">
        <v>1.28908509666615</v>
      </c>
      <c r="Y110" s="23">
        <v>1.3022759807794699</v>
      </c>
      <c r="Z110" s="23">
        <v>1.2815945478474</v>
      </c>
      <c r="AA110" s="23">
        <v>1.2795622675064999</v>
      </c>
      <c r="AB110" s="21">
        <v>171.09301835480699</v>
      </c>
      <c r="AC110" s="21">
        <v>168.13160493203699</v>
      </c>
      <c r="AD110" s="21">
        <v>167.928311855283</v>
      </c>
      <c r="AE110" s="22">
        <v>1.0180748766817E-2</v>
      </c>
      <c r="AF110" s="22">
        <v>-7.2795914010582198E-3</v>
      </c>
      <c r="AG110" s="22">
        <v>-8.4894536392896205E-3</v>
      </c>
      <c r="AZ110" s="17"/>
      <c r="BB110">
        <f t="shared" si="26"/>
        <v>0</v>
      </c>
      <c r="BC110">
        <f t="shared" si="27"/>
        <v>1</v>
      </c>
      <c r="BD110">
        <f t="shared" si="28"/>
        <v>1</v>
      </c>
      <c r="BE110">
        <f t="shared" si="24"/>
        <v>1</v>
      </c>
      <c r="BF110">
        <f t="shared" si="29"/>
        <v>1</v>
      </c>
      <c r="BG110" s="17">
        <f t="shared" si="30"/>
        <v>2.2709878639362399E-2</v>
      </c>
      <c r="BH110" s="17">
        <f t="shared" si="31"/>
        <v>-1.4511971103258E-2</v>
      </c>
      <c r="BI110" s="17">
        <f t="shared" si="32"/>
        <v>8.1979075361043995E-3</v>
      </c>
      <c r="BJ110" s="11">
        <f t="shared" si="33"/>
        <v>5.8637753814075287E-2</v>
      </c>
      <c r="BL110" s="17"/>
      <c r="BN110">
        <f t="shared" si="34"/>
        <v>0</v>
      </c>
      <c r="BO110">
        <f t="shared" si="35"/>
        <v>1</v>
      </c>
      <c r="BP110">
        <f t="shared" si="36"/>
        <v>0</v>
      </c>
      <c r="BQ110">
        <f t="shared" si="25"/>
        <v>1</v>
      </c>
      <c r="BR110">
        <f t="shared" si="37"/>
        <v>0</v>
      </c>
      <c r="BS110" s="17">
        <f t="shared" si="38"/>
        <v>0</v>
      </c>
      <c r="BT110" s="17">
        <f t="shared" si="39"/>
        <v>0</v>
      </c>
      <c r="BU110" s="17">
        <f t="shared" si="40"/>
        <v>0</v>
      </c>
      <c r="BV110" s="11">
        <f t="shared" si="41"/>
        <v>4.2844634854095395E-3</v>
      </c>
      <c r="BX110" s="11">
        <f t="shared" si="42"/>
        <v>8.1979075361043995E-3</v>
      </c>
      <c r="BY110" s="11">
        <f t="shared" si="43"/>
        <v>6.2922217299484814E-2</v>
      </c>
    </row>
    <row r="111" spans="1:77" x14ac:dyDescent="0.25">
      <c r="A111" s="1">
        <v>46183</v>
      </c>
      <c r="B111" s="21">
        <v>128.85</v>
      </c>
      <c r="C111" s="21">
        <v>165.93</v>
      </c>
      <c r="D111" s="22">
        <v>-1.9444950365952798E-2</v>
      </c>
      <c r="E111" s="22">
        <v>-2.04606141519134E-2</v>
      </c>
      <c r="F111" s="21">
        <v>0</v>
      </c>
      <c r="G111" s="21">
        <v>0</v>
      </c>
      <c r="H111" s="21">
        <v>0</v>
      </c>
      <c r="I111" s="21">
        <v>0.121818</v>
      </c>
      <c r="J111" s="21">
        <v>0</v>
      </c>
      <c r="K111" s="21">
        <v>0</v>
      </c>
      <c r="L111" s="21">
        <v>128.85</v>
      </c>
      <c r="M111" s="21">
        <v>165.93</v>
      </c>
      <c r="N111" s="23">
        <v>1.28777648428405</v>
      </c>
      <c r="O111" s="23">
        <v>1.3022492118915701</v>
      </c>
      <c r="P111" s="23">
        <v>1.2840203926313301</v>
      </c>
      <c r="Q111" s="23">
        <v>1.2801011176639301</v>
      </c>
      <c r="R111" s="21">
        <v>167.794810952229</v>
      </c>
      <c r="S111" s="21">
        <v>165.133457490138</v>
      </c>
      <c r="T111" s="21">
        <v>164.87159816821301</v>
      </c>
      <c r="U111" s="22">
        <v>1.11758568768516E-2</v>
      </c>
      <c r="V111" s="22">
        <v>-4.8120324299071099E-3</v>
      </c>
      <c r="W111" s="22">
        <v>-6.3990346433218902E-3</v>
      </c>
      <c r="X111" s="23">
        <v>1.28777648428405</v>
      </c>
      <c r="Y111" s="23">
        <v>1.3022759807794699</v>
      </c>
      <c r="Z111" s="23">
        <v>1.2840203926313301</v>
      </c>
      <c r="AA111" s="23">
        <v>1.2801011176639301</v>
      </c>
      <c r="AB111" s="21">
        <v>167.798260123435</v>
      </c>
      <c r="AC111" s="21">
        <v>165.133457490138</v>
      </c>
      <c r="AD111" s="21">
        <v>164.87159816821301</v>
      </c>
      <c r="AE111" s="22">
        <v>1.1196412552777601E-2</v>
      </c>
      <c r="AF111" s="22">
        <v>-4.8120324299071099E-3</v>
      </c>
      <c r="AG111" s="22">
        <v>-6.3990346433218902E-3</v>
      </c>
      <c r="AZ111" s="17"/>
      <c r="BB111">
        <f t="shared" si="26"/>
        <v>0</v>
      </c>
      <c r="BC111">
        <f t="shared" si="27"/>
        <v>1</v>
      </c>
      <c r="BD111">
        <f t="shared" si="28"/>
        <v>0</v>
      </c>
      <c r="BE111">
        <f t="shared" si="24"/>
        <v>1</v>
      </c>
      <c r="BF111">
        <f t="shared" si="29"/>
        <v>0</v>
      </c>
      <c r="BG111" s="17">
        <f t="shared" si="30"/>
        <v>0</v>
      </c>
      <c r="BH111" s="17">
        <f t="shared" si="31"/>
        <v>0</v>
      </c>
      <c r="BI111" s="17">
        <f t="shared" si="32"/>
        <v>0</v>
      </c>
      <c r="BJ111" s="11">
        <f t="shared" si="33"/>
        <v>5.8637753814075287E-2</v>
      </c>
      <c r="BL111" s="17"/>
      <c r="BN111">
        <f t="shared" si="34"/>
        <v>0</v>
      </c>
      <c r="BO111">
        <f t="shared" si="35"/>
        <v>1</v>
      </c>
      <c r="BP111">
        <f t="shared" si="36"/>
        <v>0</v>
      </c>
      <c r="BQ111">
        <f t="shared" si="25"/>
        <v>1</v>
      </c>
      <c r="BR111">
        <f t="shared" si="37"/>
        <v>0</v>
      </c>
      <c r="BS111" s="17">
        <f t="shared" si="38"/>
        <v>0</v>
      </c>
      <c r="BT111" s="17">
        <f t="shared" si="39"/>
        <v>0</v>
      </c>
      <c r="BU111" s="17">
        <f t="shared" si="40"/>
        <v>0</v>
      </c>
      <c r="BV111" s="11">
        <f t="shared" si="41"/>
        <v>4.2844634854095395E-3</v>
      </c>
      <c r="BX111" s="11">
        <f t="shared" si="42"/>
        <v>0</v>
      </c>
      <c r="BY111" s="11">
        <f t="shared" si="43"/>
        <v>6.2922217299484814E-2</v>
      </c>
    </row>
    <row r="112" spans="1:77" x14ac:dyDescent="0.25">
      <c r="A112" s="1">
        <v>46184</v>
      </c>
      <c r="B112" s="21">
        <v>132.74</v>
      </c>
      <c r="C112" s="21">
        <v>170.49</v>
      </c>
      <c r="D112" s="22">
        <v>2.97433906194049E-2</v>
      </c>
      <c r="E112" s="22">
        <v>2.71106313024435E-2</v>
      </c>
      <c r="F112" s="21">
        <v>0</v>
      </c>
      <c r="G112" s="21">
        <v>0</v>
      </c>
      <c r="H112" s="21">
        <v>0</v>
      </c>
      <c r="I112" s="21">
        <v>0.121818</v>
      </c>
      <c r="J112" s="21">
        <v>0</v>
      </c>
      <c r="K112" s="21">
        <v>0</v>
      </c>
      <c r="L112" s="21">
        <v>132.74</v>
      </c>
      <c r="M112" s="21">
        <v>170.49</v>
      </c>
      <c r="N112" s="23">
        <v>1.28439053789362</v>
      </c>
      <c r="O112" s="23">
        <v>1.3022492118915701</v>
      </c>
      <c r="P112" s="23">
        <v>1.28580307462865</v>
      </c>
      <c r="Q112" s="23">
        <v>1.2807762941721501</v>
      </c>
      <c r="R112" s="21">
        <v>172.86056038648701</v>
      </c>
      <c r="S112" s="21">
        <v>170.440866917883</v>
      </c>
      <c r="T112" s="21">
        <v>169.92062235871001</v>
      </c>
      <c r="U112" s="22">
        <v>1.3808616193813201E-2</v>
      </c>
      <c r="V112" s="22">
        <v>-2.8822900608035999E-4</v>
      </c>
      <c r="W112" s="22">
        <v>-3.3452432730788901E-3</v>
      </c>
      <c r="X112" s="23">
        <v>1.28439053789362</v>
      </c>
      <c r="Y112" s="23">
        <v>1.3022759807794699</v>
      </c>
      <c r="Z112" s="23">
        <v>1.28580307462865</v>
      </c>
      <c r="AA112" s="23">
        <v>1.2807762941721501</v>
      </c>
      <c r="AB112" s="21">
        <v>172.864113688667</v>
      </c>
      <c r="AC112" s="21">
        <v>170.440866917883</v>
      </c>
      <c r="AD112" s="21">
        <v>169.92062235871001</v>
      </c>
      <c r="AE112" s="22">
        <v>1.3829171869739001E-2</v>
      </c>
      <c r="AF112" s="22">
        <v>-2.8822900608035999E-4</v>
      </c>
      <c r="AG112" s="22">
        <v>-3.3452432730788901E-3</v>
      </c>
      <c r="AZ112" s="17"/>
      <c r="BB112">
        <f t="shared" si="26"/>
        <v>0</v>
      </c>
      <c r="BC112">
        <f t="shared" si="27"/>
        <v>1</v>
      </c>
      <c r="BD112">
        <f t="shared" si="28"/>
        <v>0</v>
      </c>
      <c r="BE112">
        <f t="shared" si="24"/>
        <v>1</v>
      </c>
      <c r="BF112">
        <f t="shared" si="29"/>
        <v>0</v>
      </c>
      <c r="BG112" s="17">
        <f t="shared" si="30"/>
        <v>0</v>
      </c>
      <c r="BH112" s="17">
        <f t="shared" si="31"/>
        <v>0</v>
      </c>
      <c r="BI112" s="17">
        <f t="shared" si="32"/>
        <v>0</v>
      </c>
      <c r="BJ112" s="11">
        <f t="shared" si="33"/>
        <v>5.8637753814075287E-2</v>
      </c>
      <c r="BL112" s="17"/>
      <c r="BN112">
        <f t="shared" si="34"/>
        <v>0</v>
      </c>
      <c r="BO112">
        <f t="shared" si="35"/>
        <v>1</v>
      </c>
      <c r="BP112">
        <f t="shared" si="36"/>
        <v>0</v>
      </c>
      <c r="BQ112">
        <f t="shared" si="25"/>
        <v>1</v>
      </c>
      <c r="BR112">
        <f t="shared" si="37"/>
        <v>0</v>
      </c>
      <c r="BS112" s="17">
        <f t="shared" si="38"/>
        <v>0</v>
      </c>
      <c r="BT112" s="17">
        <f t="shared" si="39"/>
        <v>0</v>
      </c>
      <c r="BU112" s="17">
        <f t="shared" si="40"/>
        <v>0</v>
      </c>
      <c r="BV112" s="11">
        <f t="shared" si="41"/>
        <v>4.2844634854095395E-3</v>
      </c>
      <c r="BX112" s="11">
        <f t="shared" si="42"/>
        <v>0</v>
      </c>
      <c r="BY112" s="11">
        <f t="shared" si="43"/>
        <v>6.2922217299484814E-2</v>
      </c>
    </row>
    <row r="113" spans="1:77" x14ac:dyDescent="0.25">
      <c r="A113" s="1">
        <v>46185</v>
      </c>
      <c r="B113" s="21">
        <v>133.79</v>
      </c>
      <c r="C113" s="21">
        <v>170.66</v>
      </c>
      <c r="D113" s="22">
        <v>7.8790787677488292E-3</v>
      </c>
      <c r="E113" s="22">
        <v>9.9662913129895301E-4</v>
      </c>
      <c r="F113" s="21">
        <v>0</v>
      </c>
      <c r="G113" s="21">
        <v>0</v>
      </c>
      <c r="H113" s="21">
        <v>0</v>
      </c>
      <c r="I113" s="21">
        <v>0.121818</v>
      </c>
      <c r="J113" s="21">
        <v>0</v>
      </c>
      <c r="K113" s="21">
        <v>0</v>
      </c>
      <c r="L113" s="21">
        <v>133.79</v>
      </c>
      <c r="M113" s="21">
        <v>170.66</v>
      </c>
      <c r="N113" s="23">
        <v>1.2755811346139401</v>
      </c>
      <c r="O113" s="23">
        <v>1.3022492118915701</v>
      </c>
      <c r="P113" s="23">
        <v>1.2873973282612301</v>
      </c>
      <c r="Q113" s="23">
        <v>1.28102921074712</v>
      </c>
      <c r="R113" s="21">
        <v>174.22792205897301</v>
      </c>
      <c r="S113" s="21">
        <v>172.02759335456699</v>
      </c>
      <c r="T113" s="21">
        <v>171.35506039729299</v>
      </c>
      <c r="U113" s="22">
        <v>2.0691065830263099E-2</v>
      </c>
      <c r="V113" s="22">
        <v>7.9816173181057794E-3</v>
      </c>
      <c r="W113" s="22">
        <v>4.0645072960506599E-3</v>
      </c>
      <c r="X113" s="23">
        <v>1.2755811346139401</v>
      </c>
      <c r="Y113" s="23">
        <v>1.3022759807794699</v>
      </c>
      <c r="Z113" s="23">
        <v>1.2873973282612301</v>
      </c>
      <c r="AA113" s="23">
        <v>1.28102921074712</v>
      </c>
      <c r="AB113" s="21">
        <v>174.23150346848499</v>
      </c>
      <c r="AC113" s="21">
        <v>172.02759335456699</v>
      </c>
      <c r="AD113" s="21">
        <v>171.35506039729299</v>
      </c>
      <c r="AE113" s="22">
        <v>2.0711621506189201E-2</v>
      </c>
      <c r="AF113" s="22">
        <v>7.9816173181057794E-3</v>
      </c>
      <c r="AG113" s="22">
        <v>4.0645072960506599E-3</v>
      </c>
      <c r="AZ113" s="17"/>
      <c r="BB113">
        <f t="shared" si="26"/>
        <v>0</v>
      </c>
      <c r="BC113">
        <f t="shared" si="27"/>
        <v>1</v>
      </c>
      <c r="BD113">
        <f t="shared" si="28"/>
        <v>0</v>
      </c>
      <c r="BE113">
        <f t="shared" si="24"/>
        <v>0</v>
      </c>
      <c r="BF113">
        <f t="shared" si="29"/>
        <v>0</v>
      </c>
      <c r="BG113" s="17">
        <f t="shared" si="30"/>
        <v>0</v>
      </c>
      <c r="BH113" s="17">
        <f t="shared" si="31"/>
        <v>0</v>
      </c>
      <c r="BI113" s="17">
        <f t="shared" si="32"/>
        <v>0</v>
      </c>
      <c r="BJ113" s="11">
        <f t="shared" si="33"/>
        <v>5.8637753814075287E-2</v>
      </c>
      <c r="BL113" s="17"/>
      <c r="BN113">
        <f t="shared" si="34"/>
        <v>0</v>
      </c>
      <c r="BO113">
        <f t="shared" si="35"/>
        <v>1</v>
      </c>
      <c r="BP113">
        <f t="shared" si="36"/>
        <v>0</v>
      </c>
      <c r="BQ113">
        <f t="shared" si="25"/>
        <v>0</v>
      </c>
      <c r="BR113">
        <f t="shared" si="37"/>
        <v>0</v>
      </c>
      <c r="BS113" s="17">
        <f t="shared" si="38"/>
        <v>0</v>
      </c>
      <c r="BT113" s="17">
        <f t="shared" si="39"/>
        <v>0</v>
      </c>
      <c r="BU113" s="17">
        <f t="shared" si="40"/>
        <v>0</v>
      </c>
      <c r="BV113" s="11">
        <f t="shared" si="41"/>
        <v>4.2844634854095395E-3</v>
      </c>
      <c r="BX113" s="11">
        <f t="shared" si="42"/>
        <v>0</v>
      </c>
      <c r="BY113" s="11">
        <f t="shared" si="43"/>
        <v>6.2922217299484814E-2</v>
      </c>
    </row>
    <row r="114" spans="1:77" x14ac:dyDescent="0.25">
      <c r="A114" s="1">
        <v>46188</v>
      </c>
      <c r="B114" s="21">
        <v>136.4</v>
      </c>
      <c r="C114" s="21">
        <v>172.17</v>
      </c>
      <c r="D114" s="22">
        <v>1.9320338923833901E-2</v>
      </c>
      <c r="E114" s="22">
        <v>8.8090876799420403E-3</v>
      </c>
      <c r="F114" s="21">
        <v>0</v>
      </c>
      <c r="G114" s="21">
        <v>0</v>
      </c>
      <c r="H114" s="21">
        <v>2.3774E-2</v>
      </c>
      <c r="I114" s="21">
        <v>0.145592</v>
      </c>
      <c r="J114" s="21">
        <v>0</v>
      </c>
      <c r="K114" s="21">
        <v>2.3774E-2</v>
      </c>
      <c r="L114" s="21">
        <v>136.4</v>
      </c>
      <c r="M114" s="21">
        <v>172.19377399999999</v>
      </c>
      <c r="N114" s="23">
        <v>1.2622434017595301</v>
      </c>
      <c r="O114" s="23">
        <v>1.3022492118915701</v>
      </c>
      <c r="P114" s="23">
        <v>1.2868666916373099</v>
      </c>
      <c r="Q114" s="23">
        <v>1.2803147682404099</v>
      </c>
      <c r="R114" s="21">
        <v>177.62679250201001</v>
      </c>
      <c r="S114" s="21">
        <v>175.60099557483201</v>
      </c>
      <c r="T114" s="21">
        <v>174.732384345908</v>
      </c>
      <c r="U114" s="22">
        <v>3.1202317074155099E-2</v>
      </c>
      <c r="V114" s="22">
        <v>1.97319899571149E-2</v>
      </c>
      <c r="W114" s="22">
        <v>1.4773210356877901E-2</v>
      </c>
      <c r="X114" s="23">
        <v>1.2624176979472099</v>
      </c>
      <c r="Y114" s="23">
        <v>1.3022759807794699</v>
      </c>
      <c r="Z114" s="23">
        <v>1.28688412125607</v>
      </c>
      <c r="AA114" s="23">
        <v>1.28032348304979</v>
      </c>
      <c r="AB114" s="21">
        <v>177.63044377832</v>
      </c>
      <c r="AC114" s="21">
        <v>175.60099557483201</v>
      </c>
      <c r="AD114" s="21">
        <v>174.732384345908</v>
      </c>
      <c r="AE114" s="22">
        <v>3.1084797831446999E-2</v>
      </c>
      <c r="AF114" s="22">
        <v>1.9593915038480899E-2</v>
      </c>
      <c r="AG114" s="22">
        <v>1.4635135438244001E-2</v>
      </c>
      <c r="AZ114" s="17"/>
      <c r="BB114">
        <f t="shared" si="26"/>
        <v>0</v>
      </c>
      <c r="BC114">
        <f t="shared" si="27"/>
        <v>1</v>
      </c>
      <c r="BD114">
        <f t="shared" si="28"/>
        <v>0</v>
      </c>
      <c r="BE114">
        <f t="shared" si="24"/>
        <v>1</v>
      </c>
      <c r="BF114">
        <f t="shared" si="29"/>
        <v>0</v>
      </c>
      <c r="BG114" s="17">
        <f t="shared" si="30"/>
        <v>0</v>
      </c>
      <c r="BH114" s="17">
        <f t="shared" si="31"/>
        <v>0</v>
      </c>
      <c r="BI114" s="17">
        <f t="shared" si="32"/>
        <v>0</v>
      </c>
      <c r="BJ114" s="11">
        <f t="shared" si="33"/>
        <v>5.8637753814075287E-2</v>
      </c>
      <c r="BL114" s="17"/>
      <c r="BN114">
        <f t="shared" si="34"/>
        <v>0</v>
      </c>
      <c r="BO114">
        <f t="shared" si="35"/>
        <v>1</v>
      </c>
      <c r="BP114">
        <f t="shared" si="36"/>
        <v>0</v>
      </c>
      <c r="BQ114">
        <f t="shared" si="25"/>
        <v>1</v>
      </c>
      <c r="BR114">
        <f t="shared" si="37"/>
        <v>0</v>
      </c>
      <c r="BS114" s="17">
        <f t="shared" si="38"/>
        <v>0</v>
      </c>
      <c r="BT114" s="17">
        <f t="shared" si="39"/>
        <v>0</v>
      </c>
      <c r="BU114" s="17">
        <f t="shared" si="40"/>
        <v>0</v>
      </c>
      <c r="BV114" s="11">
        <f t="shared" si="41"/>
        <v>4.2844634854095395E-3</v>
      </c>
      <c r="BX114" s="11">
        <f t="shared" si="42"/>
        <v>0</v>
      </c>
      <c r="BY114" s="11">
        <f t="shared" si="43"/>
        <v>6.2922217299484814E-2</v>
      </c>
    </row>
    <row r="115" spans="1:77" x14ac:dyDescent="0.25">
      <c r="A115" s="1">
        <v>46189</v>
      </c>
      <c r="B115" s="21">
        <v>135.34</v>
      </c>
      <c r="C115" s="21">
        <v>171.44</v>
      </c>
      <c r="D115" s="22">
        <v>-7.8016146052823096E-3</v>
      </c>
      <c r="E115" s="22">
        <v>-4.2490096230592298E-3</v>
      </c>
      <c r="F115" s="21">
        <v>0</v>
      </c>
      <c r="G115" s="21">
        <v>0</v>
      </c>
      <c r="H115" s="21">
        <v>0</v>
      </c>
      <c r="I115" s="21">
        <v>0.145592</v>
      </c>
      <c r="J115" s="21">
        <v>0</v>
      </c>
      <c r="K115" s="21">
        <v>2.3774E-2</v>
      </c>
      <c r="L115" s="21">
        <v>135.34</v>
      </c>
      <c r="M115" s="21">
        <v>171.463774</v>
      </c>
      <c r="N115" s="23">
        <v>1.2667356287867499</v>
      </c>
      <c r="O115" s="23">
        <v>1.3022492118915701</v>
      </c>
      <c r="P115" s="23">
        <v>1.2849632351045901</v>
      </c>
      <c r="Q115" s="23">
        <v>1.2794117125997799</v>
      </c>
      <c r="R115" s="21">
        <v>176.246408337405</v>
      </c>
      <c r="S115" s="21">
        <v>174.164538046193</v>
      </c>
      <c r="T115" s="21">
        <v>173.27780073365699</v>
      </c>
      <c r="U115" s="22">
        <v>2.7649712091931799E-2</v>
      </c>
      <c r="V115" s="22">
        <v>1.5767122186505601E-2</v>
      </c>
      <c r="W115" s="22">
        <v>1.06627400265384E-2</v>
      </c>
      <c r="X115" s="23">
        <v>1.2669112900842301</v>
      </c>
      <c r="Y115" s="23">
        <v>1.3022759807794699</v>
      </c>
      <c r="Z115" s="23">
        <v>1.2849982308531001</v>
      </c>
      <c r="AA115" s="23">
        <v>1.2794292104740299</v>
      </c>
      <c r="AB115" s="21">
        <v>176.25003123869399</v>
      </c>
      <c r="AC115" s="21">
        <v>174.16689697079701</v>
      </c>
      <c r="AD115" s="21">
        <v>173.27898019595901</v>
      </c>
      <c r="AE115" s="22">
        <v>2.7531604960150901E-2</v>
      </c>
      <c r="AF115" s="22">
        <v>1.56420035173232E-2</v>
      </c>
      <c r="AG115" s="22">
        <v>1.05308839666255E-2</v>
      </c>
      <c r="AZ115" s="17"/>
      <c r="BB115">
        <f t="shared" si="26"/>
        <v>0</v>
      </c>
      <c r="BC115">
        <f t="shared" si="27"/>
        <v>1</v>
      </c>
      <c r="BD115">
        <f t="shared" si="28"/>
        <v>0</v>
      </c>
      <c r="BE115">
        <f t="shared" si="24"/>
        <v>1</v>
      </c>
      <c r="BF115">
        <f t="shared" si="29"/>
        <v>0</v>
      </c>
      <c r="BG115" s="17">
        <f t="shared" si="30"/>
        <v>0</v>
      </c>
      <c r="BH115" s="17">
        <f t="shared" si="31"/>
        <v>0</v>
      </c>
      <c r="BI115" s="17">
        <f t="shared" si="32"/>
        <v>0</v>
      </c>
      <c r="BJ115" s="11">
        <f t="shared" si="33"/>
        <v>5.8637753814075287E-2</v>
      </c>
      <c r="BL115" s="17"/>
      <c r="BN115">
        <f t="shared" si="34"/>
        <v>0</v>
      </c>
      <c r="BO115">
        <f t="shared" si="35"/>
        <v>1</v>
      </c>
      <c r="BP115">
        <f t="shared" si="36"/>
        <v>0</v>
      </c>
      <c r="BQ115">
        <f t="shared" si="25"/>
        <v>1</v>
      </c>
      <c r="BR115">
        <f t="shared" si="37"/>
        <v>0</v>
      </c>
      <c r="BS115" s="17">
        <f t="shared" si="38"/>
        <v>0</v>
      </c>
      <c r="BT115" s="17">
        <f t="shared" si="39"/>
        <v>0</v>
      </c>
      <c r="BU115" s="17">
        <f t="shared" si="40"/>
        <v>0</v>
      </c>
      <c r="BV115" s="11">
        <f t="shared" si="41"/>
        <v>4.2844634854095395E-3</v>
      </c>
      <c r="BX115" s="11">
        <f t="shared" si="42"/>
        <v>0</v>
      </c>
      <c r="BY115" s="11">
        <f t="shared" si="43"/>
        <v>6.2922217299484814E-2</v>
      </c>
    </row>
    <row r="116" spans="1:77" x14ac:dyDescent="0.25">
      <c r="A116" s="1">
        <v>46190</v>
      </c>
      <c r="B116" s="21">
        <v>139.38999999999999</v>
      </c>
      <c r="C116" s="21">
        <v>173.44</v>
      </c>
      <c r="D116" s="22">
        <v>2.9485628937715402E-2</v>
      </c>
      <c r="E116" s="22">
        <v>1.15983670859598E-2</v>
      </c>
      <c r="F116" s="21">
        <v>0</v>
      </c>
      <c r="G116" s="21">
        <v>0</v>
      </c>
      <c r="H116" s="21">
        <v>0</v>
      </c>
      <c r="I116" s="21">
        <v>0.145592</v>
      </c>
      <c r="J116" s="21">
        <v>0</v>
      </c>
      <c r="K116" s="21">
        <v>2.3774E-2</v>
      </c>
      <c r="L116" s="21">
        <v>139.38999999999999</v>
      </c>
      <c r="M116" s="21">
        <v>173.463774</v>
      </c>
      <c r="N116" s="23">
        <v>1.24427864265729</v>
      </c>
      <c r="O116" s="23">
        <v>1.3022492118915701</v>
      </c>
      <c r="P116" s="23">
        <v>1.2803762337768501</v>
      </c>
      <c r="Q116" s="23">
        <v>1.2768768475088801</v>
      </c>
      <c r="R116" s="21">
        <v>181.520517645566</v>
      </c>
      <c r="S116" s="21">
        <v>179.11102534122799</v>
      </c>
      <c r="T116" s="21">
        <v>178.33719861928299</v>
      </c>
      <c r="U116" s="22">
        <v>4.5536973943687602E-2</v>
      </c>
      <c r="V116" s="22">
        <v>3.2174148614850899E-2</v>
      </c>
      <c r="W116" s="22">
        <v>2.78444142423812E-2</v>
      </c>
      <c r="X116" s="23">
        <v>1.2444492000860801</v>
      </c>
      <c r="Y116" s="23">
        <v>1.3022759807794699</v>
      </c>
      <c r="Z116" s="23">
        <v>1.28042828526824</v>
      </c>
      <c r="AA116" s="23">
        <v>1.27690287325458</v>
      </c>
      <c r="AB116" s="21">
        <v>181.52424896085</v>
      </c>
      <c r="AC116" s="21">
        <v>179.11590339861399</v>
      </c>
      <c r="AD116" s="21">
        <v>178.33963764797599</v>
      </c>
      <c r="AE116" s="22">
        <v>4.5420465673821998E-2</v>
      </c>
      <c r="AF116" s="22">
        <v>3.2064319122946099E-2</v>
      </c>
      <c r="AG116" s="22">
        <v>2.7721026703044001E-2</v>
      </c>
      <c r="AZ116" s="17"/>
      <c r="BB116">
        <f t="shared" si="26"/>
        <v>0</v>
      </c>
      <c r="BC116">
        <f t="shared" si="27"/>
        <v>1</v>
      </c>
      <c r="BD116">
        <f t="shared" si="28"/>
        <v>0</v>
      </c>
      <c r="BE116">
        <f t="shared" si="24"/>
        <v>1</v>
      </c>
      <c r="BF116">
        <f t="shared" si="29"/>
        <v>0</v>
      </c>
      <c r="BG116" s="17">
        <f t="shared" si="30"/>
        <v>0</v>
      </c>
      <c r="BH116" s="17">
        <f t="shared" si="31"/>
        <v>0</v>
      </c>
      <c r="BI116" s="17">
        <f t="shared" si="32"/>
        <v>0</v>
      </c>
      <c r="BJ116" s="11">
        <f t="shared" si="33"/>
        <v>5.8637753814075287E-2</v>
      </c>
      <c r="BL116" s="17"/>
      <c r="BN116">
        <f t="shared" si="34"/>
        <v>0</v>
      </c>
      <c r="BO116">
        <f t="shared" si="35"/>
        <v>0</v>
      </c>
      <c r="BP116">
        <f t="shared" si="36"/>
        <v>0</v>
      </c>
      <c r="BQ116">
        <f t="shared" si="25"/>
        <v>1</v>
      </c>
      <c r="BR116">
        <f t="shared" si="37"/>
        <v>0</v>
      </c>
      <c r="BS116" s="17">
        <f t="shared" si="38"/>
        <v>0</v>
      </c>
      <c r="BT116" s="17">
        <f t="shared" si="39"/>
        <v>0</v>
      </c>
      <c r="BU116" s="17">
        <f t="shared" si="40"/>
        <v>0</v>
      </c>
      <c r="BV116" s="11">
        <f t="shared" si="41"/>
        <v>4.2844634854095395E-3</v>
      </c>
      <c r="BX116" s="11">
        <f t="shared" si="42"/>
        <v>0</v>
      </c>
      <c r="BY116" s="11">
        <f t="shared" si="43"/>
        <v>6.2922217299484814E-2</v>
      </c>
    </row>
    <row r="117" spans="1:77" x14ac:dyDescent="0.25">
      <c r="A117" s="1">
        <v>46191</v>
      </c>
      <c r="B117" s="21">
        <v>140.72</v>
      </c>
      <c r="C117" s="21">
        <v>173.64</v>
      </c>
      <c r="D117" s="22">
        <v>9.4963406875078604E-3</v>
      </c>
      <c r="E117" s="22">
        <v>1.1524721801113799E-3</v>
      </c>
      <c r="F117" s="21">
        <v>0</v>
      </c>
      <c r="G117" s="21">
        <v>0</v>
      </c>
      <c r="H117" s="21">
        <v>0</v>
      </c>
      <c r="I117" s="21">
        <v>0.145592</v>
      </c>
      <c r="J117" s="21">
        <v>0</v>
      </c>
      <c r="K117" s="21">
        <v>2.3774E-2</v>
      </c>
      <c r="L117" s="21">
        <v>140.72</v>
      </c>
      <c r="M117" s="21">
        <v>173.66377399999999</v>
      </c>
      <c r="N117" s="23">
        <v>1.2339397384877699</v>
      </c>
      <c r="O117" s="23">
        <v>1.3022492118915701</v>
      </c>
      <c r="P117" s="23">
        <v>1.27528122546403</v>
      </c>
      <c r="Q117" s="23">
        <v>1.2748315217766799</v>
      </c>
      <c r="R117" s="21">
        <v>183.25250909738199</v>
      </c>
      <c r="S117" s="21">
        <v>180.174543617078</v>
      </c>
      <c r="T117" s="21">
        <v>179.68210998145</v>
      </c>
      <c r="U117" s="22">
        <v>5.3880842451084099E-2</v>
      </c>
      <c r="V117" s="22">
        <v>3.6941877377865598E-2</v>
      </c>
      <c r="W117" s="22">
        <v>3.4205043485400002E-2</v>
      </c>
      <c r="X117" s="23">
        <v>1.23410868391131</v>
      </c>
      <c r="Y117" s="23">
        <v>1.3022759807794699</v>
      </c>
      <c r="Z117" s="23">
        <v>1.27535017149778</v>
      </c>
      <c r="AA117" s="23">
        <v>1.2748659947935499</v>
      </c>
      <c r="AB117" s="21">
        <v>183.256276015287</v>
      </c>
      <c r="AC117" s="21">
        <v>180.18186830294701</v>
      </c>
      <c r="AD117" s="21">
        <v>179.685772324385</v>
      </c>
      <c r="AE117" s="22">
        <v>5.3764492041807797E-2</v>
      </c>
      <c r="AF117" s="22">
        <v>3.6845623744668703E-2</v>
      </c>
      <c r="AG117" s="22">
        <v>3.4088519538474901E-2</v>
      </c>
      <c r="AZ117" s="17"/>
      <c r="BB117">
        <f t="shared" si="26"/>
        <v>0</v>
      </c>
      <c r="BC117">
        <f t="shared" si="27"/>
        <v>1</v>
      </c>
      <c r="BD117">
        <f t="shared" si="28"/>
        <v>0</v>
      </c>
      <c r="BE117">
        <f t="shared" si="24"/>
        <v>0</v>
      </c>
      <c r="BF117">
        <f t="shared" si="29"/>
        <v>0</v>
      </c>
      <c r="BG117" s="17">
        <f t="shared" si="30"/>
        <v>0</v>
      </c>
      <c r="BH117" s="17">
        <f t="shared" si="31"/>
        <v>0</v>
      </c>
      <c r="BI117" s="17">
        <f t="shared" si="32"/>
        <v>0</v>
      </c>
      <c r="BJ117" s="11">
        <f t="shared" si="33"/>
        <v>5.8637753814075287E-2</v>
      </c>
      <c r="BL117" s="17"/>
      <c r="BN117">
        <f t="shared" si="34"/>
        <v>0</v>
      </c>
      <c r="BO117">
        <f t="shared" si="35"/>
        <v>0</v>
      </c>
      <c r="BP117">
        <f t="shared" si="36"/>
        <v>0</v>
      </c>
      <c r="BQ117">
        <f t="shared" si="25"/>
        <v>0</v>
      </c>
      <c r="BR117">
        <f t="shared" si="37"/>
        <v>0</v>
      </c>
      <c r="BS117" s="17">
        <f t="shared" si="38"/>
        <v>0</v>
      </c>
      <c r="BT117" s="17">
        <f t="shared" si="39"/>
        <v>0</v>
      </c>
      <c r="BU117" s="17">
        <f t="shared" si="40"/>
        <v>0</v>
      </c>
      <c r="BV117" s="11">
        <f t="shared" si="41"/>
        <v>4.2844634854095395E-3</v>
      </c>
      <c r="BX117" s="11">
        <f t="shared" si="42"/>
        <v>0</v>
      </c>
      <c r="BY117" s="11">
        <f t="shared" si="43"/>
        <v>6.2922217299484814E-2</v>
      </c>
    </row>
    <row r="118" spans="1:77" x14ac:dyDescent="0.25">
      <c r="A118" s="1">
        <v>46195</v>
      </c>
      <c r="B118" s="21">
        <v>145.86000000000001</v>
      </c>
      <c r="C118" s="21">
        <v>177</v>
      </c>
      <c r="D118" s="22">
        <v>3.58751571267844E-2</v>
      </c>
      <c r="E118" s="22">
        <v>1.91655421424364E-2</v>
      </c>
      <c r="F118" s="21">
        <v>0.13809399999999999</v>
      </c>
      <c r="G118" s="21">
        <v>0.13809399999999999</v>
      </c>
      <c r="H118" s="21">
        <v>0</v>
      </c>
      <c r="I118" s="21">
        <v>0.145592</v>
      </c>
      <c r="J118" s="21">
        <v>0</v>
      </c>
      <c r="K118" s="21">
        <v>0</v>
      </c>
      <c r="L118" s="21">
        <v>145.86000000000001</v>
      </c>
      <c r="M118" s="21">
        <v>177</v>
      </c>
      <c r="N118" s="23">
        <v>1.2134923899629699</v>
      </c>
      <c r="O118" s="23">
        <v>1.3022492118915701</v>
      </c>
      <c r="P118" s="23">
        <v>1.26572193877446</v>
      </c>
      <c r="Q118" s="23">
        <v>1.27184444523627</v>
      </c>
      <c r="R118" s="21">
        <v>189.94607004650501</v>
      </c>
      <c r="S118" s="21">
        <v>186.012519546183</v>
      </c>
      <c r="T118" s="21">
        <v>185.94692576634699</v>
      </c>
      <c r="U118" s="22">
        <v>7.0590457435432005E-2</v>
      </c>
      <c r="V118" s="22">
        <v>4.96642482622826E-2</v>
      </c>
      <c r="W118" s="22">
        <v>4.9311555078424198E-2</v>
      </c>
      <c r="X118" s="23">
        <v>1.2134923899629699</v>
      </c>
      <c r="Y118" s="23">
        <v>1.3022759807794699</v>
      </c>
      <c r="Z118" s="23">
        <v>1.26579088480821</v>
      </c>
      <c r="AA118" s="23">
        <v>1.27187891825314</v>
      </c>
      <c r="AB118" s="21">
        <v>189.949974556494</v>
      </c>
      <c r="AC118" s="21">
        <v>186.02257601466599</v>
      </c>
      <c r="AD118" s="21">
        <v>185.95195400058799</v>
      </c>
      <c r="AE118" s="22">
        <v>7.0611013111357895E-2</v>
      </c>
      <c r="AF118" s="22">
        <v>4.9718310196788601E-2</v>
      </c>
      <c r="AG118" s="22">
        <v>4.9338595946333101E-2</v>
      </c>
      <c r="AZ118" s="17"/>
      <c r="BB118">
        <f t="shared" si="26"/>
        <v>0</v>
      </c>
      <c r="BC118">
        <f t="shared" si="27"/>
        <v>1</v>
      </c>
      <c r="BD118">
        <f t="shared" si="28"/>
        <v>0</v>
      </c>
      <c r="BE118">
        <f t="shared" si="24"/>
        <v>1</v>
      </c>
      <c r="BF118">
        <f t="shared" si="29"/>
        <v>0</v>
      </c>
      <c r="BG118" s="17">
        <f t="shared" si="30"/>
        <v>0</v>
      </c>
      <c r="BH118" s="17">
        <f t="shared" si="31"/>
        <v>0</v>
      </c>
      <c r="BI118" s="17">
        <f t="shared" si="32"/>
        <v>0</v>
      </c>
      <c r="BJ118" s="11">
        <f t="shared" si="33"/>
        <v>5.8637753814075287E-2</v>
      </c>
      <c r="BL118" s="17"/>
      <c r="BN118">
        <f t="shared" si="34"/>
        <v>1</v>
      </c>
      <c r="BO118">
        <f t="shared" si="35"/>
        <v>0</v>
      </c>
      <c r="BP118">
        <f t="shared" si="36"/>
        <v>0</v>
      </c>
      <c r="BQ118">
        <f t="shared" si="25"/>
        <v>1</v>
      </c>
      <c r="BR118">
        <f t="shared" si="37"/>
        <v>0</v>
      </c>
      <c r="BS118" s="17">
        <f t="shared" si="38"/>
        <v>0</v>
      </c>
      <c r="BT118" s="17">
        <f t="shared" si="39"/>
        <v>0</v>
      </c>
      <c r="BU118" s="17">
        <f t="shared" si="40"/>
        <v>0</v>
      </c>
      <c r="BV118" s="11">
        <f t="shared" si="41"/>
        <v>4.2844634854095395E-3</v>
      </c>
      <c r="BX118" s="11">
        <f t="shared" si="42"/>
        <v>0</v>
      </c>
      <c r="BY118" s="11">
        <f t="shared" si="43"/>
        <v>6.2922217299484814E-2</v>
      </c>
    </row>
    <row r="119" spans="1:77" x14ac:dyDescent="0.25">
      <c r="A119" s="1">
        <v>46196</v>
      </c>
      <c r="B119" s="21">
        <v>147.03</v>
      </c>
      <c r="C119" s="21">
        <v>178.09</v>
      </c>
      <c r="D119" s="22">
        <v>7.9893900334786407E-3</v>
      </c>
      <c r="E119" s="22">
        <v>6.1393079140851601E-3</v>
      </c>
      <c r="F119" s="21">
        <v>0</v>
      </c>
      <c r="G119" s="21">
        <v>0.13809399999999999</v>
      </c>
      <c r="H119" s="21">
        <v>0</v>
      </c>
      <c r="I119" s="21">
        <v>0.145592</v>
      </c>
      <c r="J119" s="21">
        <v>0</v>
      </c>
      <c r="K119" s="21">
        <v>0</v>
      </c>
      <c r="L119" s="21">
        <v>147.03</v>
      </c>
      <c r="M119" s="21">
        <v>178.09</v>
      </c>
      <c r="N119" s="23">
        <v>1.21124940488335</v>
      </c>
      <c r="O119" s="23">
        <v>1.3022492118915701</v>
      </c>
      <c r="P119" s="23">
        <v>1.2568772459995401</v>
      </c>
      <c r="Q119" s="23">
        <v>1.26830620152024</v>
      </c>
      <c r="R119" s="21">
        <v>191.46970162441801</v>
      </c>
      <c r="S119" s="21">
        <v>186.09909665801001</v>
      </c>
      <c r="T119" s="21">
        <v>186.99928878308901</v>
      </c>
      <c r="U119" s="22">
        <v>7.24405395548256E-2</v>
      </c>
      <c r="V119" s="22">
        <v>4.3990269080858499E-2</v>
      </c>
      <c r="W119" s="22">
        <v>4.8815773060451602E-2</v>
      </c>
      <c r="X119" s="23">
        <v>1.21124940488335</v>
      </c>
      <c r="Y119" s="23">
        <v>1.3022759807794699</v>
      </c>
      <c r="Z119" s="23">
        <v>1.2569461920332901</v>
      </c>
      <c r="AA119" s="23">
        <v>1.26834067453711</v>
      </c>
      <c r="AB119" s="21">
        <v>191.473637454006</v>
      </c>
      <c r="AC119" s="21">
        <v>186.10923379335199</v>
      </c>
      <c r="AD119" s="21">
        <v>187.00435735075999</v>
      </c>
      <c r="AE119" s="22">
        <v>7.2461095230751504E-2</v>
      </c>
      <c r="AF119" s="22">
        <v>4.4044739303662497E-2</v>
      </c>
      <c r="AG119" s="22">
        <v>4.8842877436164098E-2</v>
      </c>
      <c r="AZ119" s="17"/>
      <c r="BB119">
        <f t="shared" si="26"/>
        <v>0</v>
      </c>
      <c r="BC119">
        <f t="shared" si="27"/>
        <v>1</v>
      </c>
      <c r="BD119">
        <f t="shared" si="28"/>
        <v>0</v>
      </c>
      <c r="BE119">
        <f t="shared" si="24"/>
        <v>1</v>
      </c>
      <c r="BF119">
        <f t="shared" si="29"/>
        <v>0</v>
      </c>
      <c r="BG119" s="17">
        <f t="shared" si="30"/>
        <v>0</v>
      </c>
      <c r="BH119" s="17">
        <f t="shared" si="31"/>
        <v>0</v>
      </c>
      <c r="BI119" s="17">
        <f t="shared" si="32"/>
        <v>0</v>
      </c>
      <c r="BJ119" s="11">
        <f t="shared" si="33"/>
        <v>5.8637753814075287E-2</v>
      </c>
      <c r="BL119" s="17"/>
      <c r="BN119">
        <f t="shared" si="34"/>
        <v>1</v>
      </c>
      <c r="BO119">
        <f t="shared" si="35"/>
        <v>0</v>
      </c>
      <c r="BP119">
        <f t="shared" si="36"/>
        <v>1</v>
      </c>
      <c r="BQ119">
        <f t="shared" si="25"/>
        <v>1</v>
      </c>
      <c r="BR119">
        <f t="shared" si="37"/>
        <v>1</v>
      </c>
      <c r="BS119" s="17">
        <f t="shared" si="38"/>
        <v>-7.9893900334786407E-3</v>
      </c>
      <c r="BT119" s="17">
        <f t="shared" si="39"/>
        <v>6.1393079140851601E-3</v>
      </c>
      <c r="BU119" s="17">
        <f t="shared" si="40"/>
        <v>-1.8500821193934806E-3</v>
      </c>
      <c r="BV119" s="11">
        <f t="shared" si="41"/>
        <v>2.4343813660160588E-3</v>
      </c>
      <c r="BX119" s="11">
        <f t="shared" si="42"/>
        <v>-1.8500821193934806E-3</v>
      </c>
      <c r="BY119" s="11">
        <f t="shared" si="43"/>
        <v>6.107213518009133E-2</v>
      </c>
    </row>
    <row r="120" spans="1:77" x14ac:dyDescent="0.25">
      <c r="A120" s="1">
        <v>46197</v>
      </c>
      <c r="B120" s="21">
        <v>149.71</v>
      </c>
      <c r="C120" s="21">
        <v>181.53</v>
      </c>
      <c r="D120" s="22">
        <v>1.8063441872179401E-2</v>
      </c>
      <c r="E120" s="22">
        <v>1.9131888814425499E-2</v>
      </c>
      <c r="F120" s="21">
        <v>0</v>
      </c>
      <c r="G120" s="21">
        <v>0.13809399999999999</v>
      </c>
      <c r="H120" s="21">
        <v>0</v>
      </c>
      <c r="I120" s="21">
        <v>0.145592</v>
      </c>
      <c r="J120" s="21">
        <v>0</v>
      </c>
      <c r="K120" s="21">
        <v>0</v>
      </c>
      <c r="L120" s="21">
        <v>149.71</v>
      </c>
      <c r="M120" s="21">
        <v>181.53</v>
      </c>
      <c r="N120" s="23">
        <v>1.21254425222096</v>
      </c>
      <c r="O120" s="23">
        <v>1.3022492118915701</v>
      </c>
      <c r="P120" s="23">
        <v>1.24922316155502</v>
      </c>
      <c r="Q120" s="23">
        <v>1.2654088547012099</v>
      </c>
      <c r="R120" s="21">
        <v>194.959729512287</v>
      </c>
      <c r="S120" s="21">
        <v>188.16709249859201</v>
      </c>
      <c r="T120" s="21">
        <v>189.87812142959501</v>
      </c>
      <c r="U120" s="22">
        <v>7.1372092612579596E-2</v>
      </c>
      <c r="V120" s="22">
        <v>3.5909428673884497E-2</v>
      </c>
      <c r="W120" s="22">
        <v>4.4961470870677998E-2</v>
      </c>
      <c r="X120" s="23">
        <v>1.21254425222096</v>
      </c>
      <c r="Y120" s="23">
        <v>1.3022759807794699</v>
      </c>
      <c r="Z120" s="23">
        <v>1.24929210758877</v>
      </c>
      <c r="AA120" s="23">
        <v>1.2654433277180901</v>
      </c>
      <c r="AB120" s="21">
        <v>194.96373708249499</v>
      </c>
      <c r="AC120" s="21">
        <v>188.17741440930399</v>
      </c>
      <c r="AD120" s="21">
        <v>189.883282384951</v>
      </c>
      <c r="AE120" s="22">
        <v>7.13926482885055E-2</v>
      </c>
      <c r="AF120" s="22">
        <v>3.5964282195196297E-2</v>
      </c>
      <c r="AG120" s="22">
        <v>4.4988650859506402E-2</v>
      </c>
      <c r="AZ120" s="17"/>
      <c r="BB120">
        <f t="shared" si="26"/>
        <v>0</v>
      </c>
      <c r="BC120">
        <f t="shared" si="27"/>
        <v>1</v>
      </c>
      <c r="BD120">
        <f t="shared" si="28"/>
        <v>0</v>
      </c>
      <c r="BE120">
        <f t="shared" si="24"/>
        <v>1</v>
      </c>
      <c r="BF120">
        <f t="shared" si="29"/>
        <v>0</v>
      </c>
      <c r="BG120" s="17">
        <f t="shared" si="30"/>
        <v>0</v>
      </c>
      <c r="BH120" s="17">
        <f t="shared" si="31"/>
        <v>0</v>
      </c>
      <c r="BI120" s="17">
        <f t="shared" si="32"/>
        <v>0</v>
      </c>
      <c r="BJ120" s="11">
        <f t="shared" si="33"/>
        <v>5.8637753814075287E-2</v>
      </c>
      <c r="BL120" s="17"/>
      <c r="BN120">
        <f t="shared" si="34"/>
        <v>1</v>
      </c>
      <c r="BO120">
        <f t="shared" si="35"/>
        <v>0</v>
      </c>
      <c r="BP120">
        <f t="shared" si="36"/>
        <v>1</v>
      </c>
      <c r="BQ120">
        <f t="shared" si="25"/>
        <v>1</v>
      </c>
      <c r="BR120">
        <f t="shared" si="37"/>
        <v>1</v>
      </c>
      <c r="BS120" s="17">
        <f t="shared" si="38"/>
        <v>-1.8063441872179401E-2</v>
      </c>
      <c r="BT120" s="17">
        <f t="shared" si="39"/>
        <v>1.9131888814425499E-2</v>
      </c>
      <c r="BU120" s="17">
        <f t="shared" si="40"/>
        <v>1.0684469422460978E-3</v>
      </c>
      <c r="BV120" s="11">
        <f t="shared" si="41"/>
        <v>3.5028283082621566E-3</v>
      </c>
      <c r="BX120" s="11">
        <f t="shared" si="42"/>
        <v>1.0684469422460978E-3</v>
      </c>
      <c r="BY120" s="11">
        <f t="shared" si="43"/>
        <v>6.2140582122337432E-2</v>
      </c>
    </row>
    <row r="121" spans="1:77" x14ac:dyDescent="0.25">
      <c r="A121" s="1">
        <v>46198</v>
      </c>
      <c r="B121" s="21">
        <v>151.59</v>
      </c>
      <c r="C121" s="21">
        <v>183.67</v>
      </c>
      <c r="D121" s="22">
        <v>1.2479418510181599E-2</v>
      </c>
      <c r="E121" s="22">
        <v>1.17197398381038E-2</v>
      </c>
      <c r="F121" s="21">
        <v>0</v>
      </c>
      <c r="G121" s="21">
        <v>0.13809399999999999</v>
      </c>
      <c r="H121" s="21">
        <v>0</v>
      </c>
      <c r="I121" s="21">
        <v>0.145592</v>
      </c>
      <c r="J121" s="21">
        <v>0</v>
      </c>
      <c r="K121" s="21">
        <v>0</v>
      </c>
      <c r="L121" s="21">
        <v>151.59</v>
      </c>
      <c r="M121" s="21">
        <v>183.67</v>
      </c>
      <c r="N121" s="23">
        <v>1.21162345801174</v>
      </c>
      <c r="O121" s="23">
        <v>1.3022492118915701</v>
      </c>
      <c r="P121" s="23">
        <v>1.2416078589277899</v>
      </c>
      <c r="Q121" s="23">
        <v>1.26281412577956</v>
      </c>
      <c r="R121" s="21">
        <v>197.40795803064299</v>
      </c>
      <c r="S121" s="21">
        <v>189.36973906012599</v>
      </c>
      <c r="T121" s="21">
        <v>191.82332828415699</v>
      </c>
      <c r="U121" s="22">
        <v>7.2131771284657503E-2</v>
      </c>
      <c r="V121" s="22">
        <v>3.05607261967186E-2</v>
      </c>
      <c r="W121" s="22">
        <v>4.3434114088790901E-2</v>
      </c>
      <c r="X121" s="23">
        <v>1.21162345801174</v>
      </c>
      <c r="Y121" s="23">
        <v>1.3022759807794699</v>
      </c>
      <c r="Z121" s="23">
        <v>1.2416768049615401</v>
      </c>
      <c r="AA121" s="23">
        <v>1.26284859879643</v>
      </c>
      <c r="AB121" s="21">
        <v>197.41201592636</v>
      </c>
      <c r="AC121" s="21">
        <v>189.38019058938201</v>
      </c>
      <c r="AD121" s="21">
        <v>191.82855404878501</v>
      </c>
      <c r="AE121" s="22">
        <v>7.2152326960583393E-2</v>
      </c>
      <c r="AF121" s="22">
        <v>3.0615915800414801E-2</v>
      </c>
      <c r="AG121" s="22">
        <v>4.3461356309507197E-2</v>
      </c>
      <c r="AZ121" s="17"/>
      <c r="BB121">
        <f t="shared" si="26"/>
        <v>0</v>
      </c>
      <c r="BC121">
        <f t="shared" si="27"/>
        <v>1</v>
      </c>
      <c r="BD121">
        <f t="shared" si="28"/>
        <v>0</v>
      </c>
      <c r="BE121">
        <f t="shared" si="24"/>
        <v>1</v>
      </c>
      <c r="BF121">
        <f t="shared" si="29"/>
        <v>0</v>
      </c>
      <c r="BG121" s="17">
        <f t="shared" si="30"/>
        <v>0</v>
      </c>
      <c r="BH121" s="17">
        <f t="shared" si="31"/>
        <v>0</v>
      </c>
      <c r="BI121" s="17">
        <f t="shared" si="32"/>
        <v>0</v>
      </c>
      <c r="BJ121" s="11">
        <f t="shared" si="33"/>
        <v>5.8637753814075287E-2</v>
      </c>
      <c r="BL121" s="17"/>
      <c r="BN121">
        <f t="shared" si="34"/>
        <v>1</v>
      </c>
      <c r="BO121">
        <f t="shared" si="35"/>
        <v>0</v>
      </c>
      <c r="BP121">
        <f t="shared" si="36"/>
        <v>1</v>
      </c>
      <c r="BQ121">
        <f t="shared" si="25"/>
        <v>1</v>
      </c>
      <c r="BR121">
        <f t="shared" si="37"/>
        <v>1</v>
      </c>
      <c r="BS121" s="17">
        <f t="shared" si="38"/>
        <v>-1.2479418510181599E-2</v>
      </c>
      <c r="BT121" s="17">
        <f t="shared" si="39"/>
        <v>1.17197398381038E-2</v>
      </c>
      <c r="BU121" s="17">
        <f t="shared" si="40"/>
        <v>-7.5967867207779941E-4</v>
      </c>
      <c r="BV121" s="11">
        <f t="shared" si="41"/>
        <v>2.7431496361843572E-3</v>
      </c>
      <c r="BX121" s="11">
        <f t="shared" si="42"/>
        <v>-7.5967867207779941E-4</v>
      </c>
      <c r="BY121" s="11">
        <f t="shared" si="43"/>
        <v>6.1380903450259636E-2</v>
      </c>
    </row>
    <row r="122" spans="1:77" x14ac:dyDescent="0.25">
      <c r="A122" s="1">
        <v>46199</v>
      </c>
      <c r="B122" s="21">
        <v>155.38</v>
      </c>
      <c r="C122" s="21">
        <v>187.36</v>
      </c>
      <c r="D122" s="22">
        <v>2.4694221550347801E-2</v>
      </c>
      <c r="E122" s="22">
        <v>1.98912307089638E-2</v>
      </c>
      <c r="F122" s="21">
        <v>0</v>
      </c>
      <c r="G122" s="21">
        <v>0.13809399999999999</v>
      </c>
      <c r="H122" s="21">
        <v>0</v>
      </c>
      <c r="I122" s="21">
        <v>0.145592</v>
      </c>
      <c r="J122" s="21">
        <v>0</v>
      </c>
      <c r="K122" s="21">
        <v>0</v>
      </c>
      <c r="L122" s="21">
        <v>155.38</v>
      </c>
      <c r="M122" s="21">
        <v>187.36</v>
      </c>
      <c r="N122" s="23">
        <v>1.2058179945938901</v>
      </c>
      <c r="O122" s="23">
        <v>1.3022492118915701</v>
      </c>
      <c r="P122" s="23">
        <v>1.2337506045978199</v>
      </c>
      <c r="Q122" s="23">
        <v>1.2597768396132301</v>
      </c>
      <c r="R122" s="21">
        <v>202.34348254371201</v>
      </c>
      <c r="S122" s="21">
        <v>192.92102912020101</v>
      </c>
      <c r="T122" s="21">
        <v>196.21605886362801</v>
      </c>
      <c r="U122" s="22">
        <v>7.69347621260415E-2</v>
      </c>
      <c r="V122" s="22">
        <v>2.9249029777323798E-2</v>
      </c>
      <c r="W122" s="22">
        <v>4.6184493390214701E-2</v>
      </c>
      <c r="X122" s="23">
        <v>1.2058179945938901</v>
      </c>
      <c r="Y122" s="23">
        <v>1.3022759807794699</v>
      </c>
      <c r="Z122" s="23">
        <v>1.2338195506315699</v>
      </c>
      <c r="AA122" s="23">
        <v>1.25981131263011</v>
      </c>
      <c r="AB122" s="21">
        <v>202.34764189351401</v>
      </c>
      <c r="AC122" s="21">
        <v>192.931741954925</v>
      </c>
      <c r="AD122" s="21">
        <v>196.22141528098999</v>
      </c>
      <c r="AE122" s="22">
        <v>7.6955317801967404E-2</v>
      </c>
      <c r="AF122" s="22">
        <v>2.9304557872648102E-2</v>
      </c>
      <c r="AG122" s="22">
        <v>4.62117915852912E-2</v>
      </c>
      <c r="AZ122" s="17"/>
      <c r="BB122">
        <f t="shared" si="26"/>
        <v>0</v>
      </c>
      <c r="BC122">
        <f t="shared" si="27"/>
        <v>1</v>
      </c>
      <c r="BD122">
        <f t="shared" si="28"/>
        <v>0</v>
      </c>
      <c r="BE122">
        <f t="shared" si="24"/>
        <v>1</v>
      </c>
      <c r="BF122">
        <f t="shared" si="29"/>
        <v>0</v>
      </c>
      <c r="BG122" s="17">
        <f t="shared" si="30"/>
        <v>0</v>
      </c>
      <c r="BH122" s="17">
        <f t="shared" si="31"/>
        <v>0</v>
      </c>
      <c r="BI122" s="17">
        <f t="shared" si="32"/>
        <v>0</v>
      </c>
      <c r="BJ122" s="11">
        <f t="shared" si="33"/>
        <v>5.8637753814075287E-2</v>
      </c>
      <c r="BL122" s="17"/>
      <c r="BN122">
        <f t="shared" si="34"/>
        <v>1</v>
      </c>
      <c r="BO122">
        <f t="shared" si="35"/>
        <v>0</v>
      </c>
      <c r="BP122">
        <f t="shared" si="36"/>
        <v>1</v>
      </c>
      <c r="BQ122">
        <f t="shared" si="25"/>
        <v>1</v>
      </c>
      <c r="BR122">
        <f t="shared" si="37"/>
        <v>1</v>
      </c>
      <c r="BS122" s="17">
        <f t="shared" si="38"/>
        <v>-2.4694221550347801E-2</v>
      </c>
      <c r="BT122" s="17">
        <f t="shared" si="39"/>
        <v>1.98912307089638E-2</v>
      </c>
      <c r="BU122" s="17">
        <f t="shared" si="40"/>
        <v>-4.8029908413840007E-3</v>
      </c>
      <c r="BV122" s="11">
        <f t="shared" si="41"/>
        <v>-2.0598412051996435E-3</v>
      </c>
      <c r="BX122" s="11">
        <f t="shared" si="42"/>
        <v>-4.8029908413840007E-3</v>
      </c>
      <c r="BY122" s="11">
        <f t="shared" si="43"/>
        <v>5.6577912608875638E-2</v>
      </c>
    </row>
    <row r="123" spans="1:77" x14ac:dyDescent="0.25">
      <c r="A123" s="1">
        <v>46202</v>
      </c>
      <c r="B123" s="21">
        <v>158.31</v>
      </c>
      <c r="C123" s="21">
        <v>189.79</v>
      </c>
      <c r="D123" s="22">
        <v>1.86814065634116E-2</v>
      </c>
      <c r="E123" s="22">
        <v>1.2886297899420999E-2</v>
      </c>
      <c r="F123" s="21">
        <v>0</v>
      </c>
      <c r="G123" s="21">
        <v>0.13809399999999999</v>
      </c>
      <c r="H123" s="21">
        <v>0</v>
      </c>
      <c r="I123" s="21">
        <v>0.145592</v>
      </c>
      <c r="J123" s="21">
        <v>0</v>
      </c>
      <c r="K123" s="21">
        <v>0</v>
      </c>
      <c r="L123" s="21">
        <v>158.31</v>
      </c>
      <c r="M123" s="21">
        <v>189.79</v>
      </c>
      <c r="N123" s="23">
        <v>1.1988503568947</v>
      </c>
      <c r="O123" s="23">
        <v>1.3022492118915701</v>
      </c>
      <c r="P123" s="23">
        <v>1.2260775268258901</v>
      </c>
      <c r="Q123" s="23">
        <v>1.2567374275435601</v>
      </c>
      <c r="R123" s="21">
        <v>206.159072734555</v>
      </c>
      <c r="S123" s="21">
        <v>195.315058213881</v>
      </c>
      <c r="T123" s="21">
        <v>199.43527147917101</v>
      </c>
      <c r="U123" s="22">
        <v>8.2729870790031995E-2</v>
      </c>
      <c r="V123" s="22">
        <v>2.8695740151187199E-2</v>
      </c>
      <c r="W123" s="22">
        <v>4.9571532196100603E-2</v>
      </c>
      <c r="X123" s="23">
        <v>1.1988503568947</v>
      </c>
      <c r="Y123" s="23">
        <v>1.3022759807794699</v>
      </c>
      <c r="Z123" s="23">
        <v>1.2261464728596401</v>
      </c>
      <c r="AA123" s="23">
        <v>1.2567719005604401</v>
      </c>
      <c r="AB123" s="21">
        <v>206.163310517198</v>
      </c>
      <c r="AC123" s="21">
        <v>195.32597306048399</v>
      </c>
      <c r="AD123" s="21">
        <v>199.44072890247301</v>
      </c>
      <c r="AE123" s="22">
        <v>8.2750426465958093E-2</v>
      </c>
      <c r="AF123" s="22">
        <v>2.8751621872418798E-2</v>
      </c>
      <c r="AG123" s="22">
        <v>4.9598896205449397E-2</v>
      </c>
      <c r="AZ123" s="17"/>
      <c r="BB123">
        <f t="shared" si="26"/>
        <v>0</v>
      </c>
      <c r="BC123">
        <f t="shared" si="27"/>
        <v>1</v>
      </c>
      <c r="BD123">
        <f t="shared" si="28"/>
        <v>0</v>
      </c>
      <c r="BE123">
        <f t="shared" si="24"/>
        <v>1</v>
      </c>
      <c r="BF123">
        <f t="shared" si="29"/>
        <v>0</v>
      </c>
      <c r="BG123" s="17">
        <f t="shared" si="30"/>
        <v>0</v>
      </c>
      <c r="BH123" s="17">
        <f t="shared" si="31"/>
        <v>0</v>
      </c>
      <c r="BI123" s="17">
        <f t="shared" si="32"/>
        <v>0</v>
      </c>
      <c r="BJ123" s="11">
        <f t="shared" si="33"/>
        <v>5.8637753814075287E-2</v>
      </c>
      <c r="BL123" s="17"/>
      <c r="BN123">
        <f t="shared" si="34"/>
        <v>1</v>
      </c>
      <c r="BO123">
        <f t="shared" si="35"/>
        <v>0</v>
      </c>
      <c r="BP123">
        <f t="shared" si="36"/>
        <v>1</v>
      </c>
      <c r="BQ123">
        <f t="shared" si="25"/>
        <v>1</v>
      </c>
      <c r="BR123">
        <f t="shared" si="37"/>
        <v>1</v>
      </c>
      <c r="BS123" s="17">
        <f t="shared" si="38"/>
        <v>-1.86814065634116E-2</v>
      </c>
      <c r="BT123" s="17">
        <f t="shared" si="39"/>
        <v>1.2886297899420999E-2</v>
      </c>
      <c r="BU123" s="17">
        <f t="shared" si="40"/>
        <v>-5.7951086639906006E-3</v>
      </c>
      <c r="BV123" s="11">
        <f t="shared" si="41"/>
        <v>-7.854949869190244E-3</v>
      </c>
      <c r="BX123" s="11">
        <f t="shared" si="42"/>
        <v>-5.7951086639906006E-3</v>
      </c>
      <c r="BY123" s="11">
        <f t="shared" si="43"/>
        <v>5.078280394488504E-2</v>
      </c>
    </row>
    <row r="124" spans="1:77" x14ac:dyDescent="0.25">
      <c r="A124" s="1">
        <v>46203</v>
      </c>
      <c r="B124" s="21">
        <v>158.25</v>
      </c>
      <c r="C124" s="21">
        <v>190.19</v>
      </c>
      <c r="D124" s="22">
        <v>-3.7907506140062898E-4</v>
      </c>
      <c r="E124" s="22">
        <v>2.1053747447413599E-3</v>
      </c>
      <c r="F124" s="21">
        <v>0</v>
      </c>
      <c r="G124" s="21">
        <v>0.13809399999999999</v>
      </c>
      <c r="H124" s="21">
        <v>0</v>
      </c>
      <c r="I124" s="21">
        <v>0.145592</v>
      </c>
      <c r="J124" s="21">
        <v>0</v>
      </c>
      <c r="K124" s="21">
        <v>0</v>
      </c>
      <c r="L124" s="21">
        <v>158.25</v>
      </c>
      <c r="M124" s="21">
        <v>190.19</v>
      </c>
      <c r="N124" s="23">
        <v>1.2018325434439101</v>
      </c>
      <c r="O124" s="23">
        <v>1.3022492118915701</v>
      </c>
      <c r="P124" s="23">
        <v>1.2200364409943301</v>
      </c>
      <c r="Q124" s="23">
        <v>1.2534515663158201</v>
      </c>
      <c r="R124" s="21">
        <v>206.08093778184099</v>
      </c>
      <c r="S124" s="21">
        <v>194.026768620198</v>
      </c>
      <c r="T124" s="21">
        <v>198.878697908769</v>
      </c>
      <c r="U124" s="22">
        <v>8.0245420983889995E-2</v>
      </c>
      <c r="V124" s="22">
        <v>1.9972559629381399E-2</v>
      </c>
      <c r="W124" s="22">
        <v>4.4671508127375401E-2</v>
      </c>
      <c r="X124" s="23">
        <v>1.2018325434439101</v>
      </c>
      <c r="Y124" s="23">
        <v>1.3022759807794699</v>
      </c>
      <c r="Z124" s="23">
        <v>1.22008795740931</v>
      </c>
      <c r="AA124" s="23">
        <v>1.2534860393326901</v>
      </c>
      <c r="AB124" s="21">
        <v>206.08517395835099</v>
      </c>
      <c r="AC124" s="21">
        <v>194.037679330039</v>
      </c>
      <c r="AD124" s="21">
        <v>198.88415326369</v>
      </c>
      <c r="AE124" s="22">
        <v>8.0265976659815996E-2</v>
      </c>
      <c r="AF124" s="22">
        <v>2.0028791061564102E-2</v>
      </c>
      <c r="AG124" s="22">
        <v>4.4698938315512103E-2</v>
      </c>
      <c r="AZ124" s="17"/>
      <c r="BB124">
        <f t="shared" si="26"/>
        <v>0</v>
      </c>
      <c r="BC124">
        <f t="shared" si="27"/>
        <v>1</v>
      </c>
      <c r="BD124">
        <f t="shared" si="28"/>
        <v>0</v>
      </c>
      <c r="BE124">
        <f t="shared" si="24"/>
        <v>1</v>
      </c>
      <c r="BF124">
        <f t="shared" si="29"/>
        <v>0</v>
      </c>
      <c r="BG124" s="17">
        <f t="shared" si="30"/>
        <v>0</v>
      </c>
      <c r="BH124" s="17">
        <f t="shared" si="31"/>
        <v>0</v>
      </c>
      <c r="BI124" s="17">
        <f t="shared" si="32"/>
        <v>0</v>
      </c>
      <c r="BJ124" s="11">
        <f t="shared" si="33"/>
        <v>5.8637753814075287E-2</v>
      </c>
      <c r="BL124" s="17"/>
      <c r="BN124">
        <f t="shared" si="34"/>
        <v>1</v>
      </c>
      <c r="BO124">
        <f t="shared" si="35"/>
        <v>0</v>
      </c>
      <c r="BP124">
        <f t="shared" si="36"/>
        <v>1</v>
      </c>
      <c r="BQ124">
        <f t="shared" si="25"/>
        <v>1</v>
      </c>
      <c r="BR124">
        <f t="shared" si="37"/>
        <v>1</v>
      </c>
      <c r="BS124" s="17">
        <f t="shared" si="38"/>
        <v>3.7907506140062898E-4</v>
      </c>
      <c r="BT124" s="17">
        <f t="shared" si="39"/>
        <v>2.1053747447413599E-3</v>
      </c>
      <c r="BU124" s="17">
        <f t="shared" si="40"/>
        <v>2.4844498061419888E-3</v>
      </c>
      <c r="BV124" s="11">
        <f t="shared" si="41"/>
        <v>-5.3705000630482553E-3</v>
      </c>
      <c r="BX124" s="11">
        <f t="shared" si="42"/>
        <v>2.4844498061419888E-3</v>
      </c>
      <c r="BY124" s="11">
        <f t="shared" si="43"/>
        <v>5.3267253751027026E-2</v>
      </c>
    </row>
    <row r="125" spans="1:77" x14ac:dyDescent="0.25">
      <c r="A125" s="1">
        <v>46204</v>
      </c>
      <c r="B125" s="21">
        <v>156.55000000000001</v>
      </c>
      <c r="C125" s="21">
        <v>190.12</v>
      </c>
      <c r="D125" s="22">
        <v>-1.0800613251870801E-2</v>
      </c>
      <c r="E125" s="22">
        <v>-3.6812074776098702E-4</v>
      </c>
      <c r="F125" s="21">
        <v>0</v>
      </c>
      <c r="G125" s="21">
        <v>0.13809399999999999</v>
      </c>
      <c r="H125" s="21">
        <v>0</v>
      </c>
      <c r="I125" s="21">
        <v>0.145592</v>
      </c>
      <c r="J125" s="21">
        <v>0</v>
      </c>
      <c r="K125" s="21">
        <v>0</v>
      </c>
      <c r="L125" s="21">
        <v>156.55000000000001</v>
      </c>
      <c r="M125" s="21">
        <v>190.12</v>
      </c>
      <c r="N125" s="23">
        <v>1.21443628233791</v>
      </c>
      <c r="O125" s="23">
        <v>1.3022492118915701</v>
      </c>
      <c r="P125" s="23">
        <v>1.21480650634945</v>
      </c>
      <c r="Q125" s="23">
        <v>1.24988487072702</v>
      </c>
      <c r="R125" s="21">
        <v>203.86711412162501</v>
      </c>
      <c r="S125" s="21">
        <v>190.996704837663</v>
      </c>
      <c r="T125" s="21">
        <v>196.227842706742</v>
      </c>
      <c r="U125" s="22">
        <v>6.9812928479780198E-2</v>
      </c>
      <c r="V125" s="22">
        <v>4.6007239931721696E-3</v>
      </c>
      <c r="W125" s="22">
        <v>3.1620995137505097E-2</v>
      </c>
      <c r="X125" s="23">
        <v>1.21443628233791</v>
      </c>
      <c r="Y125" s="23">
        <v>1.3022759807794699</v>
      </c>
      <c r="Z125" s="23">
        <v>1.21484045663468</v>
      </c>
      <c r="AA125" s="23">
        <v>1.24991934374389</v>
      </c>
      <c r="AB125" s="21">
        <v>203.87130479102601</v>
      </c>
      <c r="AC125" s="21">
        <v>191.004769732428</v>
      </c>
      <c r="AD125" s="21">
        <v>196.23323945753401</v>
      </c>
      <c r="AE125" s="22">
        <v>6.9833484155706102E-2</v>
      </c>
      <c r="AF125" s="22">
        <v>4.6429484101089998E-3</v>
      </c>
      <c r="AG125" s="22">
        <v>3.1648497231533498E-2</v>
      </c>
      <c r="AZ125" s="17"/>
      <c r="BB125">
        <f t="shared" si="26"/>
        <v>0</v>
      </c>
      <c r="BC125">
        <f t="shared" si="27"/>
        <v>1</v>
      </c>
      <c r="BD125">
        <f t="shared" si="28"/>
        <v>0</v>
      </c>
      <c r="BE125">
        <f t="shared" si="24"/>
        <v>1</v>
      </c>
      <c r="BF125">
        <f t="shared" si="29"/>
        <v>0</v>
      </c>
      <c r="BG125" s="17">
        <f t="shared" si="30"/>
        <v>0</v>
      </c>
      <c r="BH125" s="17">
        <f t="shared" si="31"/>
        <v>0</v>
      </c>
      <c r="BI125" s="17">
        <f t="shared" si="32"/>
        <v>0</v>
      </c>
      <c r="BJ125" s="11">
        <f t="shared" si="33"/>
        <v>5.8637753814075287E-2</v>
      </c>
      <c r="BL125" s="17"/>
      <c r="BN125">
        <f t="shared" si="34"/>
        <v>0</v>
      </c>
      <c r="BO125">
        <f t="shared" si="35"/>
        <v>0</v>
      </c>
      <c r="BP125">
        <f t="shared" si="36"/>
        <v>1</v>
      </c>
      <c r="BQ125">
        <f t="shared" si="25"/>
        <v>1</v>
      </c>
      <c r="BR125">
        <f t="shared" si="37"/>
        <v>1</v>
      </c>
      <c r="BS125" s="17">
        <f t="shared" si="38"/>
        <v>1.0800613251870801E-2</v>
      </c>
      <c r="BT125" s="17">
        <f t="shared" si="39"/>
        <v>-3.6812074776098702E-4</v>
      </c>
      <c r="BU125" s="17">
        <f t="shared" si="40"/>
        <v>1.0432492504109814E-2</v>
      </c>
      <c r="BV125" s="11">
        <f t="shared" si="41"/>
        <v>5.0619924410615592E-3</v>
      </c>
      <c r="BX125" s="11">
        <f t="shared" si="42"/>
        <v>1.0432492504109814E-2</v>
      </c>
      <c r="BY125" s="11">
        <f t="shared" si="43"/>
        <v>6.3699746255136844E-2</v>
      </c>
    </row>
    <row r="126" spans="1:77" x14ac:dyDescent="0.25">
      <c r="A126" s="1">
        <v>46205</v>
      </c>
      <c r="B126" s="21">
        <v>160.46</v>
      </c>
      <c r="C126" s="21">
        <v>195.7</v>
      </c>
      <c r="D126" s="22">
        <v>2.4669242553095098E-2</v>
      </c>
      <c r="E126" s="22">
        <v>2.89274226562217E-2</v>
      </c>
      <c r="F126" s="21">
        <v>0</v>
      </c>
      <c r="G126" s="21">
        <v>0.13809399999999999</v>
      </c>
      <c r="H126" s="21">
        <v>0</v>
      </c>
      <c r="I126" s="21">
        <v>0.145592</v>
      </c>
      <c r="J126" s="21">
        <v>0</v>
      </c>
      <c r="K126" s="21">
        <v>0</v>
      </c>
      <c r="L126" s="21">
        <v>160.46</v>
      </c>
      <c r="M126" s="21">
        <v>195.7</v>
      </c>
      <c r="N126" s="23">
        <v>1.21961859653496</v>
      </c>
      <c r="O126" s="23">
        <v>1.3022492118915701</v>
      </c>
      <c r="P126" s="23">
        <v>1.21234050173722</v>
      </c>
      <c r="Q126" s="23">
        <v>1.24635836775703</v>
      </c>
      <c r="R126" s="21">
        <v>208.958908540122</v>
      </c>
      <c r="S126" s="21">
        <v>194.92785200883301</v>
      </c>
      <c r="T126" s="21">
        <v>200.55652635685701</v>
      </c>
      <c r="U126" s="22">
        <v>6.5554748376653593E-2</v>
      </c>
      <c r="V126" s="22">
        <v>-3.9533739996502901E-3</v>
      </c>
      <c r="W126" s="22">
        <v>2.4513259577526401E-2</v>
      </c>
      <c r="X126" s="23">
        <v>1.21961859653496</v>
      </c>
      <c r="Y126" s="23">
        <v>1.3022759807794699</v>
      </c>
      <c r="Z126" s="23">
        <v>1.21235739627957</v>
      </c>
      <c r="AA126" s="23">
        <v>1.24639284077391</v>
      </c>
      <c r="AB126" s="21">
        <v>208.963203875874</v>
      </c>
      <c r="AC126" s="21">
        <v>194.93329967160099</v>
      </c>
      <c r="AD126" s="21">
        <v>200.562057897145</v>
      </c>
      <c r="AE126" s="22">
        <v>6.5575304052579497E-2</v>
      </c>
      <c r="AF126" s="22">
        <v>-3.9254273178872404E-3</v>
      </c>
      <c r="AG126" s="22">
        <v>2.4540840150978498E-2</v>
      </c>
      <c r="AZ126" s="17"/>
      <c r="BB126">
        <f t="shared" si="26"/>
        <v>0</v>
      </c>
      <c r="BC126">
        <f t="shared" si="27"/>
        <v>1</v>
      </c>
      <c r="BD126">
        <f t="shared" si="28"/>
        <v>0</v>
      </c>
      <c r="BE126">
        <f t="shared" si="24"/>
        <v>1</v>
      </c>
      <c r="BF126">
        <f t="shared" si="29"/>
        <v>0</v>
      </c>
      <c r="BG126" s="17">
        <f t="shared" si="30"/>
        <v>0</v>
      </c>
      <c r="BH126" s="17">
        <f t="shared" si="31"/>
        <v>0</v>
      </c>
      <c r="BI126" s="17">
        <f t="shared" si="32"/>
        <v>0</v>
      </c>
      <c r="BJ126" s="11">
        <f t="shared" si="33"/>
        <v>5.8637753814075287E-2</v>
      </c>
      <c r="BL126" s="17"/>
      <c r="BN126">
        <f t="shared" si="34"/>
        <v>0</v>
      </c>
      <c r="BO126">
        <f t="shared" si="35"/>
        <v>0</v>
      </c>
      <c r="BP126">
        <f t="shared" si="36"/>
        <v>1</v>
      </c>
      <c r="BQ126">
        <f t="shared" si="25"/>
        <v>1</v>
      </c>
      <c r="BR126">
        <f t="shared" si="37"/>
        <v>1</v>
      </c>
      <c r="BS126" s="17">
        <f t="shared" si="38"/>
        <v>-2.4669242553095098E-2</v>
      </c>
      <c r="BT126" s="17">
        <f t="shared" si="39"/>
        <v>2.89274226562217E-2</v>
      </c>
      <c r="BU126" s="17">
        <f t="shared" si="40"/>
        <v>4.2581801031266013E-3</v>
      </c>
      <c r="BV126" s="11">
        <f t="shared" si="41"/>
        <v>9.3201725441881614E-3</v>
      </c>
      <c r="BX126" s="11">
        <f t="shared" si="42"/>
        <v>4.2581801031266013E-3</v>
      </c>
      <c r="BY126" s="11">
        <f t="shared" si="43"/>
        <v>6.7957926358263449E-2</v>
      </c>
    </row>
    <row r="127" spans="1:77" x14ac:dyDescent="0.25">
      <c r="A127" s="1">
        <v>46209</v>
      </c>
      <c r="B127" s="21">
        <v>160.81</v>
      </c>
      <c r="C127" s="21">
        <v>195.31</v>
      </c>
      <c r="D127" s="22">
        <v>2.1788535404233399E-3</v>
      </c>
      <c r="E127" s="22">
        <v>-1.9948345532305898E-3</v>
      </c>
      <c r="F127" s="21">
        <v>0</v>
      </c>
      <c r="G127" s="21">
        <v>0.13809399999999999</v>
      </c>
      <c r="H127" s="21">
        <v>0</v>
      </c>
      <c r="I127" s="21">
        <v>0.145592</v>
      </c>
      <c r="J127" s="21">
        <v>0</v>
      </c>
      <c r="K127" s="21">
        <v>0</v>
      </c>
      <c r="L127" s="21">
        <v>160.81</v>
      </c>
      <c r="M127" s="21">
        <v>195.31</v>
      </c>
      <c r="N127" s="23">
        <v>1.2145388968347699</v>
      </c>
      <c r="O127" s="23">
        <v>1.3022492118915701</v>
      </c>
      <c r="P127" s="23">
        <v>1.2104004175719201</v>
      </c>
      <c r="Q127" s="23">
        <v>1.24284082151797</v>
      </c>
      <c r="R127" s="21">
        <v>209.41469576428401</v>
      </c>
      <c r="S127" s="21">
        <v>194.95647608436201</v>
      </c>
      <c r="T127" s="21">
        <v>200.426889119008</v>
      </c>
      <c r="U127" s="22">
        <v>6.9728436470307395E-2</v>
      </c>
      <c r="V127" s="22">
        <v>-1.8117057651558699E-3</v>
      </c>
      <c r="W127" s="22">
        <v>2.58614976015124E-2</v>
      </c>
      <c r="X127" s="23">
        <v>1.2145388968347699</v>
      </c>
      <c r="Y127" s="23">
        <v>1.3022759807794699</v>
      </c>
      <c r="Z127" s="23">
        <v>1.2104004175719201</v>
      </c>
      <c r="AA127" s="23">
        <v>1.24287529453485</v>
      </c>
      <c r="AB127" s="21">
        <v>209.41900046914699</v>
      </c>
      <c r="AC127" s="21">
        <v>194.95919289571799</v>
      </c>
      <c r="AD127" s="21">
        <v>200.43243272485199</v>
      </c>
      <c r="AE127" s="22">
        <v>6.9748992146233493E-2</v>
      </c>
      <c r="AF127" s="22">
        <v>-1.7977703859338499E-3</v>
      </c>
      <c r="AG127" s="22">
        <v>2.5889156211612401E-2</v>
      </c>
      <c r="AZ127" s="17"/>
      <c r="BB127">
        <f t="shared" si="26"/>
        <v>0</v>
      </c>
      <c r="BC127">
        <f t="shared" si="27"/>
        <v>1</v>
      </c>
      <c r="BD127">
        <f t="shared" si="28"/>
        <v>0</v>
      </c>
      <c r="BE127">
        <f t="shared" si="24"/>
        <v>1</v>
      </c>
      <c r="BF127">
        <f t="shared" si="29"/>
        <v>0</v>
      </c>
      <c r="BG127" s="17">
        <f t="shared" si="30"/>
        <v>0</v>
      </c>
      <c r="BH127" s="17">
        <f t="shared" si="31"/>
        <v>0</v>
      </c>
      <c r="BI127" s="17">
        <f t="shared" si="32"/>
        <v>0</v>
      </c>
      <c r="BJ127" s="11">
        <f t="shared" si="33"/>
        <v>5.8637753814075287E-2</v>
      </c>
      <c r="BL127" s="17"/>
      <c r="BN127">
        <f t="shared" si="34"/>
        <v>0</v>
      </c>
      <c r="BO127">
        <f t="shared" si="35"/>
        <v>0</v>
      </c>
      <c r="BP127">
        <f t="shared" si="36"/>
        <v>1</v>
      </c>
      <c r="BQ127">
        <f t="shared" si="25"/>
        <v>1</v>
      </c>
      <c r="BR127">
        <f t="shared" si="37"/>
        <v>1</v>
      </c>
      <c r="BS127" s="17">
        <f t="shared" si="38"/>
        <v>-2.1788535404233399E-3</v>
      </c>
      <c r="BT127" s="17">
        <f t="shared" si="39"/>
        <v>-1.9948345532305898E-3</v>
      </c>
      <c r="BU127" s="17">
        <f t="shared" si="40"/>
        <v>-4.1736880936539301E-3</v>
      </c>
      <c r="BV127" s="11">
        <f t="shared" si="41"/>
        <v>5.1464844505342312E-3</v>
      </c>
      <c r="BX127" s="11">
        <f t="shared" si="42"/>
        <v>-4.1736880936539301E-3</v>
      </c>
      <c r="BY127" s="11">
        <f t="shared" si="43"/>
        <v>6.3784238264609522E-2</v>
      </c>
    </row>
    <row r="128" spans="1:77" x14ac:dyDescent="0.25">
      <c r="A128" s="1">
        <v>46210</v>
      </c>
      <c r="B128" s="21">
        <v>163.87</v>
      </c>
      <c r="C128" s="21">
        <v>198.23</v>
      </c>
      <c r="D128" s="22">
        <v>1.8849886692199402E-2</v>
      </c>
      <c r="E128" s="22">
        <v>1.48399328533195E-2</v>
      </c>
      <c r="F128" s="21">
        <v>0</v>
      </c>
      <c r="G128" s="21">
        <v>0.13809399999999999</v>
      </c>
      <c r="H128" s="21">
        <v>0</v>
      </c>
      <c r="I128" s="21">
        <v>0.145592</v>
      </c>
      <c r="J128" s="21">
        <v>0</v>
      </c>
      <c r="K128" s="21">
        <v>0</v>
      </c>
      <c r="L128" s="21">
        <v>163.87</v>
      </c>
      <c r="M128" s="21">
        <v>198.23</v>
      </c>
      <c r="N128" s="23">
        <v>1.20967840361261</v>
      </c>
      <c r="O128" s="23">
        <v>1.3022492118915701</v>
      </c>
      <c r="P128" s="23">
        <v>1.21001901893688</v>
      </c>
      <c r="Q128" s="23">
        <v>1.23787047885567</v>
      </c>
      <c r="R128" s="21">
        <v>213.39957835267199</v>
      </c>
      <c r="S128" s="21">
        <v>198.34831642751001</v>
      </c>
      <c r="T128" s="21">
        <v>203.66432542215</v>
      </c>
      <c r="U128" s="22">
        <v>7.3738390309187302E-2</v>
      </c>
      <c r="V128" s="22">
        <v>5.9668633467816195E-4</v>
      </c>
      <c r="W128" s="22">
        <v>2.70452022630383E-2</v>
      </c>
      <c r="X128" s="23">
        <v>1.20967840361261</v>
      </c>
      <c r="Y128" s="23">
        <v>1.3022759807794699</v>
      </c>
      <c r="Z128" s="23">
        <v>1.21001901893688</v>
      </c>
      <c r="AA128" s="23">
        <v>1.23790495187255</v>
      </c>
      <c r="AB128" s="21">
        <v>213.403964970332</v>
      </c>
      <c r="AC128" s="21">
        <v>198.34831642751001</v>
      </c>
      <c r="AD128" s="21">
        <v>203.66997451542599</v>
      </c>
      <c r="AE128" s="22">
        <v>7.3758945985113206E-2</v>
      </c>
      <c r="AF128" s="22">
        <v>5.9668633467794001E-4</v>
      </c>
      <c r="AG128" s="22">
        <v>2.7072939152745199E-2</v>
      </c>
      <c r="AZ128" s="17"/>
      <c r="BB128">
        <f t="shared" si="26"/>
        <v>0</v>
      </c>
      <c r="BC128">
        <f t="shared" si="27"/>
        <v>1</v>
      </c>
      <c r="BD128">
        <f t="shared" si="28"/>
        <v>0</v>
      </c>
      <c r="BE128">
        <f t="shared" si="24"/>
        <v>1</v>
      </c>
      <c r="BF128">
        <f t="shared" si="29"/>
        <v>0</v>
      </c>
      <c r="BG128" s="17">
        <f t="shared" si="30"/>
        <v>0</v>
      </c>
      <c r="BH128" s="17">
        <f t="shared" si="31"/>
        <v>0</v>
      </c>
      <c r="BI128" s="17">
        <f t="shared" si="32"/>
        <v>0</v>
      </c>
      <c r="BJ128" s="11">
        <f t="shared" si="33"/>
        <v>5.8637753814075287E-2</v>
      </c>
      <c r="BL128" s="17"/>
      <c r="BN128">
        <f t="shared" si="34"/>
        <v>0</v>
      </c>
      <c r="BO128">
        <f t="shared" si="35"/>
        <v>0</v>
      </c>
      <c r="BP128">
        <f t="shared" si="36"/>
        <v>1</v>
      </c>
      <c r="BQ128">
        <f t="shared" si="25"/>
        <v>1</v>
      </c>
      <c r="BR128">
        <f t="shared" si="37"/>
        <v>1</v>
      </c>
      <c r="BS128" s="17">
        <f t="shared" si="38"/>
        <v>-1.8849886692199402E-2</v>
      </c>
      <c r="BT128" s="17">
        <f t="shared" si="39"/>
        <v>1.48399328533195E-2</v>
      </c>
      <c r="BU128" s="17">
        <f t="shared" si="40"/>
        <v>-4.0099538388799014E-3</v>
      </c>
      <c r="BV128" s="11">
        <f t="shared" si="41"/>
        <v>1.1365306116543298E-3</v>
      </c>
      <c r="BX128" s="11">
        <f t="shared" si="42"/>
        <v>-4.0099538388799014E-3</v>
      </c>
      <c r="BY128" s="11">
        <f t="shared" si="43"/>
        <v>5.9774284425729622E-2</v>
      </c>
    </row>
    <row r="129" spans="1:77" x14ac:dyDescent="0.25">
      <c r="A129" s="1">
        <v>46211</v>
      </c>
      <c r="B129" s="21">
        <v>162.97</v>
      </c>
      <c r="C129" s="21">
        <v>196.34</v>
      </c>
      <c r="D129" s="22">
        <v>-5.50729577023537E-3</v>
      </c>
      <c r="E129" s="22">
        <v>-9.5801224377441204E-3</v>
      </c>
      <c r="F129" s="21">
        <v>0</v>
      </c>
      <c r="G129" s="21">
        <v>0.13809399999999999</v>
      </c>
      <c r="H129" s="21">
        <v>0</v>
      </c>
      <c r="I129" s="21">
        <v>0.145592</v>
      </c>
      <c r="J129" s="21">
        <v>0</v>
      </c>
      <c r="K129" s="21">
        <v>0</v>
      </c>
      <c r="L129" s="21">
        <v>162.97</v>
      </c>
      <c r="M129" s="21">
        <v>196.34</v>
      </c>
      <c r="N129" s="23">
        <v>1.20476161256673</v>
      </c>
      <c r="O129" s="23">
        <v>1.3022492118915701</v>
      </c>
      <c r="P129" s="23">
        <v>1.20937023970522</v>
      </c>
      <c r="Q129" s="23">
        <v>1.23312374285238</v>
      </c>
      <c r="R129" s="21">
        <v>212.22755406196899</v>
      </c>
      <c r="S129" s="21">
        <v>197.19679951614401</v>
      </c>
      <c r="T129" s="21">
        <v>201.73575193910901</v>
      </c>
      <c r="U129" s="22">
        <v>7.7811216976696101E-2</v>
      </c>
      <c r="V129" s="22">
        <v>4.3543621382999796E-3</v>
      </c>
      <c r="W129" s="22">
        <v>2.71108320329943E-2</v>
      </c>
      <c r="X129" s="23">
        <v>1.20476161256673</v>
      </c>
      <c r="Y129" s="23">
        <v>1.3022759807794699</v>
      </c>
      <c r="Z129" s="23">
        <v>1.20937023970522</v>
      </c>
      <c r="AA129" s="23">
        <v>1.23315821586925</v>
      </c>
      <c r="AB129" s="21">
        <v>212.23191658763</v>
      </c>
      <c r="AC129" s="21">
        <v>197.19679951614401</v>
      </c>
      <c r="AD129" s="21">
        <v>201.741370006669</v>
      </c>
      <c r="AE129" s="22">
        <v>7.7831772652622103E-2</v>
      </c>
      <c r="AF129" s="22">
        <v>4.3543621382995399E-3</v>
      </c>
      <c r="AG129" s="22">
        <v>2.7138680291320601E-2</v>
      </c>
      <c r="AZ129" s="17"/>
      <c r="BB129">
        <f t="shared" si="26"/>
        <v>0</v>
      </c>
      <c r="BC129">
        <f t="shared" si="27"/>
        <v>1</v>
      </c>
      <c r="BD129">
        <f t="shared" si="28"/>
        <v>0</v>
      </c>
      <c r="BE129">
        <f t="shared" si="24"/>
        <v>1</v>
      </c>
      <c r="BF129">
        <f t="shared" si="29"/>
        <v>0</v>
      </c>
      <c r="BG129" s="17">
        <f t="shared" si="30"/>
        <v>0</v>
      </c>
      <c r="BH129" s="17">
        <f t="shared" si="31"/>
        <v>0</v>
      </c>
      <c r="BI129" s="17">
        <f t="shared" si="32"/>
        <v>0</v>
      </c>
      <c r="BJ129" s="11">
        <f t="shared" si="33"/>
        <v>5.8637753814075287E-2</v>
      </c>
      <c r="BL129" s="17"/>
      <c r="BN129">
        <f t="shared" si="34"/>
        <v>0</v>
      </c>
      <c r="BO129">
        <f t="shared" si="35"/>
        <v>0</v>
      </c>
      <c r="BP129">
        <f t="shared" si="36"/>
        <v>1</v>
      </c>
      <c r="BQ129">
        <f t="shared" si="25"/>
        <v>1</v>
      </c>
      <c r="BR129">
        <f t="shared" si="37"/>
        <v>1</v>
      </c>
      <c r="BS129" s="17">
        <f t="shared" si="38"/>
        <v>5.50729577023537E-3</v>
      </c>
      <c r="BT129" s="17">
        <f t="shared" si="39"/>
        <v>-9.5801224377441204E-3</v>
      </c>
      <c r="BU129" s="17">
        <f t="shared" si="40"/>
        <v>-4.0728266675087504E-3</v>
      </c>
      <c r="BV129" s="11">
        <f t="shared" si="41"/>
        <v>-2.9362960558544206E-3</v>
      </c>
      <c r="BX129" s="11">
        <f t="shared" si="42"/>
        <v>-4.0728266675087504E-3</v>
      </c>
      <c r="BY129" s="11">
        <f t="shared" si="43"/>
        <v>5.5701457758220871E-2</v>
      </c>
    </row>
    <row r="130" spans="1:77" x14ac:dyDescent="0.25">
      <c r="A130" s="1">
        <v>46212</v>
      </c>
      <c r="B130" s="21">
        <v>164.28</v>
      </c>
      <c r="C130" s="21">
        <v>197.34</v>
      </c>
      <c r="D130" s="22">
        <v>8.0061543004603594E-3</v>
      </c>
      <c r="E130" s="22">
        <v>5.0802791646453599E-3</v>
      </c>
      <c r="F130" s="21">
        <v>0</v>
      </c>
      <c r="G130" s="21">
        <v>0.13809399999999999</v>
      </c>
      <c r="H130" s="21">
        <v>0</v>
      </c>
      <c r="I130" s="21">
        <v>0.145592</v>
      </c>
      <c r="J130" s="21">
        <v>0</v>
      </c>
      <c r="K130" s="21">
        <v>0</v>
      </c>
      <c r="L130" s="21">
        <v>164.28</v>
      </c>
      <c r="M130" s="21">
        <v>197.34</v>
      </c>
      <c r="N130" s="23">
        <v>1.2012417823228601</v>
      </c>
      <c r="O130" s="23">
        <v>1.3022492118915701</v>
      </c>
      <c r="P130" s="23">
        <v>1.2082399927154099</v>
      </c>
      <c r="Q130" s="23">
        <v>1.2287315771352201</v>
      </c>
      <c r="R130" s="21">
        <v>213.93350052954699</v>
      </c>
      <c r="S130" s="21">
        <v>198.67534297877299</v>
      </c>
      <c r="T130" s="21">
        <v>202.57756847578901</v>
      </c>
      <c r="U130" s="22">
        <v>8.0737092112511205E-2</v>
      </c>
      <c r="V130" s="22">
        <v>6.7439207265428203E-3</v>
      </c>
      <c r="W130" s="22">
        <v>2.6194737972473198E-2</v>
      </c>
      <c r="X130" s="23">
        <v>1.2012417823228601</v>
      </c>
      <c r="Y130" s="23">
        <v>1.3022759807794699</v>
      </c>
      <c r="Z130" s="23">
        <v>1.2082399927154099</v>
      </c>
      <c r="AA130" s="23">
        <v>1.2287660501520901</v>
      </c>
      <c r="AB130" s="21">
        <v>213.937898122452</v>
      </c>
      <c r="AC130" s="21">
        <v>198.67534297877299</v>
      </c>
      <c r="AD130" s="21">
        <v>202.58323170300099</v>
      </c>
      <c r="AE130" s="22">
        <v>8.0757647788437401E-2</v>
      </c>
      <c r="AF130" s="22">
        <v>6.7439207265430397E-3</v>
      </c>
      <c r="AG130" s="22">
        <v>2.6222693427246001E-2</v>
      </c>
      <c r="AZ130" s="17"/>
      <c r="BB130">
        <f t="shared" si="26"/>
        <v>0</v>
      </c>
      <c r="BC130">
        <f t="shared" si="27"/>
        <v>1</v>
      </c>
      <c r="BD130">
        <f t="shared" si="28"/>
        <v>0</v>
      </c>
      <c r="BE130">
        <f t="shared" si="24"/>
        <v>1</v>
      </c>
      <c r="BF130">
        <f t="shared" si="29"/>
        <v>0</v>
      </c>
      <c r="BG130" s="17">
        <f t="shared" si="30"/>
        <v>0</v>
      </c>
      <c r="BH130" s="17">
        <f t="shared" si="31"/>
        <v>0</v>
      </c>
      <c r="BI130" s="17">
        <f t="shared" si="32"/>
        <v>0</v>
      </c>
      <c r="BJ130" s="11">
        <f t="shared" si="33"/>
        <v>5.8637753814075287E-2</v>
      </c>
      <c r="BL130" s="17"/>
      <c r="BN130">
        <f t="shared" si="34"/>
        <v>0</v>
      </c>
      <c r="BO130">
        <f t="shared" si="35"/>
        <v>0</v>
      </c>
      <c r="BP130">
        <f t="shared" si="36"/>
        <v>1</v>
      </c>
      <c r="BQ130">
        <f t="shared" si="25"/>
        <v>1</v>
      </c>
      <c r="BR130">
        <f t="shared" si="37"/>
        <v>1</v>
      </c>
      <c r="BS130" s="17">
        <f t="shared" si="38"/>
        <v>-8.0061543004603594E-3</v>
      </c>
      <c r="BT130" s="17">
        <f t="shared" si="39"/>
        <v>5.0802791646453599E-3</v>
      </c>
      <c r="BU130" s="17">
        <f t="shared" si="40"/>
        <v>-2.9258751358149995E-3</v>
      </c>
      <c r="BV130" s="11">
        <f t="shared" si="41"/>
        <v>-5.8621711916694201E-3</v>
      </c>
      <c r="BX130" s="11">
        <f t="shared" si="42"/>
        <v>-2.9258751358149995E-3</v>
      </c>
      <c r="BY130" s="11">
        <f t="shared" si="43"/>
        <v>5.2775582622405871E-2</v>
      </c>
    </row>
    <row r="131" spans="1:77" x14ac:dyDescent="0.25">
      <c r="A131" s="1">
        <v>46213</v>
      </c>
      <c r="B131" s="21">
        <v>159.03</v>
      </c>
      <c r="C131" s="21">
        <v>192.06</v>
      </c>
      <c r="D131" s="22">
        <v>-3.2479425420533399E-2</v>
      </c>
      <c r="E131" s="22">
        <v>-2.7120306219193799E-2</v>
      </c>
      <c r="F131" s="21">
        <v>0</v>
      </c>
      <c r="G131" s="21">
        <v>0.13809399999999999</v>
      </c>
      <c r="H131" s="21">
        <v>0</v>
      </c>
      <c r="I131" s="21">
        <v>0.145592</v>
      </c>
      <c r="J131" s="21">
        <v>0</v>
      </c>
      <c r="K131" s="21">
        <v>0</v>
      </c>
      <c r="L131" s="21">
        <v>159.03</v>
      </c>
      <c r="M131" s="21">
        <v>192.06</v>
      </c>
      <c r="N131" s="23">
        <v>1.2076966610073501</v>
      </c>
      <c r="O131" s="23">
        <v>1.3022492118915701</v>
      </c>
      <c r="P131" s="23">
        <v>1.2078473130149701</v>
      </c>
      <c r="Q131" s="23">
        <v>1.22472758597138</v>
      </c>
      <c r="R131" s="21">
        <v>207.096692167117</v>
      </c>
      <c r="S131" s="21">
        <v>192.14640604153101</v>
      </c>
      <c r="T131" s="21">
        <v>195.40518271181401</v>
      </c>
      <c r="U131" s="22">
        <v>7.5377972911171695E-2</v>
      </c>
      <c r="V131" s="22">
        <v>4.4978970485658399E-4</v>
      </c>
      <c r="W131" s="22">
        <v>1.72674396490256E-2</v>
      </c>
      <c r="X131" s="23">
        <v>1.2076966610073501</v>
      </c>
      <c r="Y131" s="23">
        <v>1.3022759807794699</v>
      </c>
      <c r="Z131" s="23">
        <v>1.2078473130149701</v>
      </c>
      <c r="AA131" s="23">
        <v>1.22476205898825</v>
      </c>
      <c r="AB131" s="21">
        <v>207.10094922335901</v>
      </c>
      <c r="AC131" s="21">
        <v>192.14640604153101</v>
      </c>
      <c r="AD131" s="21">
        <v>195.410664955687</v>
      </c>
      <c r="AE131" s="22">
        <v>7.5398528587097696E-2</v>
      </c>
      <c r="AF131" s="22">
        <v>4.49789704856362E-4</v>
      </c>
      <c r="AG131" s="22">
        <v>1.72954950306413E-2</v>
      </c>
      <c r="AZ131" s="17"/>
      <c r="BB131">
        <f t="shared" si="26"/>
        <v>0</v>
      </c>
      <c r="BC131">
        <f t="shared" si="27"/>
        <v>1</v>
      </c>
      <c r="BD131">
        <f t="shared" si="28"/>
        <v>0</v>
      </c>
      <c r="BE131">
        <f t="shared" si="24"/>
        <v>1</v>
      </c>
      <c r="BF131">
        <f t="shared" si="29"/>
        <v>0</v>
      </c>
      <c r="BG131" s="17">
        <f t="shared" si="30"/>
        <v>0</v>
      </c>
      <c r="BH131" s="17">
        <f t="shared" si="31"/>
        <v>0</v>
      </c>
      <c r="BI131" s="17">
        <f t="shared" si="32"/>
        <v>0</v>
      </c>
      <c r="BJ131" s="11">
        <f t="shared" si="33"/>
        <v>5.8637753814075287E-2</v>
      </c>
      <c r="BL131" s="17"/>
      <c r="BN131">
        <f t="shared" si="34"/>
        <v>0</v>
      </c>
      <c r="BO131">
        <f t="shared" si="35"/>
        <v>1</v>
      </c>
      <c r="BP131">
        <f t="shared" si="36"/>
        <v>1</v>
      </c>
      <c r="BQ131">
        <f t="shared" si="25"/>
        <v>1</v>
      </c>
      <c r="BR131">
        <f t="shared" si="37"/>
        <v>1</v>
      </c>
      <c r="BS131" s="17">
        <f t="shared" si="38"/>
        <v>3.2479425420533399E-2</v>
      </c>
      <c r="BT131" s="17">
        <f t="shared" si="39"/>
        <v>-2.7120306219193799E-2</v>
      </c>
      <c r="BU131" s="17">
        <f t="shared" si="40"/>
        <v>5.3591192013396002E-3</v>
      </c>
      <c r="BV131" s="11">
        <f t="shared" si="41"/>
        <v>-5.030519903298199E-4</v>
      </c>
      <c r="BX131" s="11">
        <f t="shared" si="42"/>
        <v>5.3591192013396002E-3</v>
      </c>
      <c r="BY131" s="11">
        <f t="shared" si="43"/>
        <v>5.8134701823745472E-2</v>
      </c>
    </row>
    <row r="132" spans="1:77" x14ac:dyDescent="0.25">
      <c r="A132" s="1">
        <v>46216</v>
      </c>
      <c r="B132" s="21">
        <v>155.34</v>
      </c>
      <c r="C132" s="21">
        <v>189.55</v>
      </c>
      <c r="D132" s="22">
        <v>-2.3476600676323098E-2</v>
      </c>
      <c r="E132" s="22">
        <v>-1.3154981247482799E-2</v>
      </c>
      <c r="F132" s="21">
        <v>0</v>
      </c>
      <c r="G132" s="21">
        <v>0.13809399999999999</v>
      </c>
      <c r="H132" s="21">
        <v>0</v>
      </c>
      <c r="I132" s="21">
        <v>0.145592</v>
      </c>
      <c r="J132" s="21">
        <v>0</v>
      </c>
      <c r="K132" s="21">
        <v>0</v>
      </c>
      <c r="L132" s="21">
        <v>155.34</v>
      </c>
      <c r="M132" s="21">
        <v>189.55</v>
      </c>
      <c r="N132" s="23">
        <v>1.2202265997167501</v>
      </c>
      <c r="O132" s="23">
        <v>1.3022492118915701</v>
      </c>
      <c r="P132" s="23">
        <v>1.20928817352725</v>
      </c>
      <c r="Q132" s="23">
        <v>1.22151938906254</v>
      </c>
      <c r="R132" s="21">
        <v>202.29139257523701</v>
      </c>
      <c r="S132" s="21">
        <v>187.62700160374601</v>
      </c>
      <c r="T132" s="21">
        <v>190.249183204795</v>
      </c>
      <c r="U132" s="22">
        <v>6.5056353482331297E-2</v>
      </c>
      <c r="V132" s="22">
        <v>-1.0196883957714901E-2</v>
      </c>
      <c r="W132" s="22">
        <v>3.6818614971470599E-3</v>
      </c>
      <c r="X132" s="23">
        <v>1.2202265997167501</v>
      </c>
      <c r="Y132" s="23">
        <v>1.3022759807794699</v>
      </c>
      <c r="Z132" s="23">
        <v>1.20928817352725</v>
      </c>
      <c r="AA132" s="23">
        <v>1.22155386207941</v>
      </c>
      <c r="AB132" s="21">
        <v>202.29555085428299</v>
      </c>
      <c r="AC132" s="21">
        <v>187.62700160374499</v>
      </c>
      <c r="AD132" s="21">
        <v>190.254538243236</v>
      </c>
      <c r="AE132" s="22">
        <v>6.5076909158257507E-2</v>
      </c>
      <c r="AF132" s="22">
        <v>-1.01968839577151E-2</v>
      </c>
      <c r="AG132" s="22">
        <v>3.7100085986853798E-3</v>
      </c>
      <c r="AZ132" s="17"/>
      <c r="BB132">
        <f t="shared" si="26"/>
        <v>0</v>
      </c>
      <c r="BC132">
        <f t="shared" si="27"/>
        <v>1</v>
      </c>
      <c r="BD132">
        <f t="shared" si="28"/>
        <v>0</v>
      </c>
      <c r="BE132">
        <f t="shared" si="24"/>
        <v>1</v>
      </c>
      <c r="BF132">
        <f t="shared" si="29"/>
        <v>0</v>
      </c>
      <c r="BG132" s="17">
        <f t="shared" si="30"/>
        <v>0</v>
      </c>
      <c r="BH132" s="17">
        <f t="shared" si="31"/>
        <v>0</v>
      </c>
      <c r="BI132" s="17">
        <f t="shared" si="32"/>
        <v>0</v>
      </c>
      <c r="BJ132" s="11">
        <f t="shared" si="33"/>
        <v>5.8637753814075287E-2</v>
      </c>
      <c r="BL132" s="17"/>
      <c r="BN132">
        <f t="shared" si="34"/>
        <v>0</v>
      </c>
      <c r="BO132">
        <f t="shared" si="35"/>
        <v>1</v>
      </c>
      <c r="BP132">
        <f t="shared" si="36"/>
        <v>0</v>
      </c>
      <c r="BQ132">
        <f t="shared" si="25"/>
        <v>1</v>
      </c>
      <c r="BR132">
        <f t="shared" si="37"/>
        <v>0</v>
      </c>
      <c r="BS132" s="17">
        <f t="shared" si="38"/>
        <v>0</v>
      </c>
      <c r="BT132" s="17">
        <f t="shared" si="39"/>
        <v>0</v>
      </c>
      <c r="BU132" s="17">
        <f t="shared" si="40"/>
        <v>0</v>
      </c>
      <c r="BV132" s="11">
        <f t="shared" si="41"/>
        <v>-5.030519903298199E-4</v>
      </c>
      <c r="BX132" s="11">
        <f t="shared" si="42"/>
        <v>0</v>
      </c>
      <c r="BY132" s="11">
        <f t="shared" si="43"/>
        <v>5.8134701823745472E-2</v>
      </c>
    </row>
    <row r="133" spans="1:77" x14ac:dyDescent="0.25">
      <c r="A133" s="1">
        <v>46217</v>
      </c>
      <c r="B133" s="21">
        <v>155.44999999999999</v>
      </c>
      <c r="C133" s="21">
        <v>188.67</v>
      </c>
      <c r="D133" s="22">
        <v>7.0787351326146895E-4</v>
      </c>
      <c r="E133" s="22">
        <v>-4.6533847388223202E-3</v>
      </c>
      <c r="F133" s="21">
        <v>0</v>
      </c>
      <c r="G133" s="21">
        <v>0.13809399999999999</v>
      </c>
      <c r="H133" s="21">
        <v>0</v>
      </c>
      <c r="I133" s="21">
        <v>0.145592</v>
      </c>
      <c r="J133" s="21">
        <v>0</v>
      </c>
      <c r="K133" s="21">
        <v>0</v>
      </c>
      <c r="L133" s="21">
        <v>155.44999999999999</v>
      </c>
      <c r="M133" s="21">
        <v>188.67</v>
      </c>
      <c r="N133" s="23">
        <v>1.2137021550337701</v>
      </c>
      <c r="O133" s="23">
        <v>1.3022492118915701</v>
      </c>
      <c r="P133" s="23">
        <v>1.21077335334116</v>
      </c>
      <c r="Q133" s="23">
        <v>1.2184254400835299</v>
      </c>
      <c r="R133" s="21">
        <v>202.434639988545</v>
      </c>
      <c r="S133" s="21">
        <v>187.98384657481199</v>
      </c>
      <c r="T133" s="21">
        <v>189.88518902977199</v>
      </c>
      <c r="U133" s="22">
        <v>7.04176117344152E-2</v>
      </c>
      <c r="V133" s="22">
        <v>-3.6434205595222801E-3</v>
      </c>
      <c r="W133" s="22">
        <v>6.4201640289583998E-3</v>
      </c>
      <c r="X133" s="23">
        <v>1.2137021550337701</v>
      </c>
      <c r="Y133" s="23">
        <v>1.3022759807794699</v>
      </c>
      <c r="Z133" s="23">
        <v>1.21077335334116</v>
      </c>
      <c r="AA133" s="23">
        <v>1.2184599131003999</v>
      </c>
      <c r="AB133" s="21">
        <v>202.43880121216901</v>
      </c>
      <c r="AC133" s="21">
        <v>187.98384657481199</v>
      </c>
      <c r="AD133" s="21">
        <v>189.89054786024499</v>
      </c>
      <c r="AE133" s="22">
        <v>7.0438167410341104E-2</v>
      </c>
      <c r="AF133" s="22">
        <v>-3.6434205595220598E-3</v>
      </c>
      <c r="AG133" s="22">
        <v>6.4483850549637099E-3</v>
      </c>
      <c r="AZ133" s="17"/>
      <c r="BB133">
        <f t="shared" si="26"/>
        <v>0</v>
      </c>
      <c r="BC133">
        <f t="shared" si="27"/>
        <v>1</v>
      </c>
      <c r="BD133">
        <f t="shared" si="28"/>
        <v>0</v>
      </c>
      <c r="BE133">
        <f t="shared" si="24"/>
        <v>1</v>
      </c>
      <c r="BF133">
        <f t="shared" si="29"/>
        <v>0</v>
      </c>
      <c r="BG133" s="17">
        <f t="shared" si="30"/>
        <v>0</v>
      </c>
      <c r="BH133" s="17">
        <f t="shared" si="31"/>
        <v>0</v>
      </c>
      <c r="BI133" s="17">
        <f t="shared" si="32"/>
        <v>0</v>
      </c>
      <c r="BJ133" s="11">
        <f t="shared" si="33"/>
        <v>5.8637753814075287E-2</v>
      </c>
      <c r="BL133" s="17"/>
      <c r="BN133">
        <f t="shared" si="34"/>
        <v>0</v>
      </c>
      <c r="BO133">
        <f t="shared" si="35"/>
        <v>1</v>
      </c>
      <c r="BP133">
        <f t="shared" si="36"/>
        <v>0</v>
      </c>
      <c r="BQ133">
        <f t="shared" si="25"/>
        <v>1</v>
      </c>
      <c r="BR133">
        <f t="shared" si="37"/>
        <v>0</v>
      </c>
      <c r="BS133" s="17">
        <f t="shared" si="38"/>
        <v>0</v>
      </c>
      <c r="BT133" s="17">
        <f t="shared" si="39"/>
        <v>0</v>
      </c>
      <c r="BU133" s="17">
        <f t="shared" si="40"/>
        <v>0</v>
      </c>
      <c r="BV133" s="11">
        <f t="shared" si="41"/>
        <v>-5.030519903298199E-4</v>
      </c>
      <c r="BX133" s="11">
        <f t="shared" si="42"/>
        <v>0</v>
      </c>
      <c r="BY133" s="11">
        <f t="shared" si="43"/>
        <v>5.8134701823745472E-2</v>
      </c>
    </row>
    <row r="134" spans="1:77" x14ac:dyDescent="0.25">
      <c r="A134" s="1">
        <v>46218</v>
      </c>
      <c r="B134" s="21">
        <v>156.22</v>
      </c>
      <c r="C134" s="21">
        <v>189.9</v>
      </c>
      <c r="D134" s="22">
        <v>4.9411336773884902E-3</v>
      </c>
      <c r="E134" s="22">
        <v>6.4981605947186903E-3</v>
      </c>
      <c r="F134" s="21">
        <v>0</v>
      </c>
      <c r="G134" s="21">
        <v>0.13809399999999999</v>
      </c>
      <c r="H134" s="21">
        <v>0</v>
      </c>
      <c r="I134" s="21">
        <v>0.145592</v>
      </c>
      <c r="J134" s="21">
        <v>0</v>
      </c>
      <c r="K134" s="21">
        <v>0</v>
      </c>
      <c r="L134" s="21">
        <v>156.22</v>
      </c>
      <c r="M134" s="21">
        <v>189.9</v>
      </c>
      <c r="N134" s="23">
        <v>1.2155933939316299</v>
      </c>
      <c r="O134" s="23">
        <v>1.3022492118915701</v>
      </c>
      <c r="P134" s="23">
        <v>1.2121494383899301</v>
      </c>
      <c r="Q134" s="23">
        <v>1.2160929396921301</v>
      </c>
      <c r="R134" s="21">
        <v>203.43737188170101</v>
      </c>
      <c r="S134" s="21">
        <v>189.14701325895601</v>
      </c>
      <c r="T134" s="21">
        <v>190.34242224984899</v>
      </c>
      <c r="U134" s="22">
        <v>6.8860584817084902E-2</v>
      </c>
      <c r="V134" s="22">
        <v>-3.9730571945237698E-3</v>
      </c>
      <c r="W134" s="22">
        <v>2.3270546557191802E-3</v>
      </c>
      <c r="X134" s="23">
        <v>1.2155933939316299</v>
      </c>
      <c r="Y134" s="23">
        <v>1.3022759807794699</v>
      </c>
      <c r="Z134" s="23">
        <v>1.2121494383899301</v>
      </c>
      <c r="AA134" s="23">
        <v>1.2161186978996199</v>
      </c>
      <c r="AB134" s="21">
        <v>203.441553717369</v>
      </c>
      <c r="AC134" s="21">
        <v>189.14701325895601</v>
      </c>
      <c r="AD134" s="21">
        <v>190.347807624545</v>
      </c>
      <c r="AE134" s="22">
        <v>6.8881140493011098E-2</v>
      </c>
      <c r="AF134" s="22">
        <v>-3.97305719452388E-3</v>
      </c>
      <c r="AG134" s="22">
        <v>2.35534734239149E-3</v>
      </c>
      <c r="AZ134" s="17"/>
      <c r="BB134">
        <f t="shared" si="26"/>
        <v>0</v>
      </c>
      <c r="BC134">
        <f t="shared" si="27"/>
        <v>1</v>
      </c>
      <c r="BD134">
        <f t="shared" si="28"/>
        <v>0</v>
      </c>
      <c r="BE134">
        <f t="shared" si="24"/>
        <v>1</v>
      </c>
      <c r="BF134">
        <f t="shared" si="29"/>
        <v>0</v>
      </c>
      <c r="BG134" s="17">
        <f t="shared" si="30"/>
        <v>0</v>
      </c>
      <c r="BH134" s="17">
        <f t="shared" si="31"/>
        <v>0</v>
      </c>
      <c r="BI134" s="17">
        <f t="shared" si="32"/>
        <v>0</v>
      </c>
      <c r="BJ134" s="11">
        <f t="shared" si="33"/>
        <v>5.8637753814075287E-2</v>
      </c>
      <c r="BL134" s="17"/>
      <c r="BN134">
        <f t="shared" si="34"/>
        <v>0</v>
      </c>
      <c r="BO134">
        <f t="shared" si="35"/>
        <v>1</v>
      </c>
      <c r="BP134">
        <f t="shared" si="36"/>
        <v>0</v>
      </c>
      <c r="BQ134">
        <f t="shared" si="25"/>
        <v>1</v>
      </c>
      <c r="BR134">
        <f t="shared" si="37"/>
        <v>0</v>
      </c>
      <c r="BS134" s="17">
        <f t="shared" si="38"/>
        <v>0</v>
      </c>
      <c r="BT134" s="17">
        <f t="shared" si="39"/>
        <v>0</v>
      </c>
      <c r="BU134" s="17">
        <f t="shared" si="40"/>
        <v>0</v>
      </c>
      <c r="BV134" s="11">
        <f t="shared" si="41"/>
        <v>-5.030519903298199E-4</v>
      </c>
      <c r="BX134" s="11">
        <f t="shared" si="42"/>
        <v>0</v>
      </c>
      <c r="BY134" s="11">
        <f t="shared" si="43"/>
        <v>5.8134701823745472E-2</v>
      </c>
    </row>
    <row r="135" spans="1:77" x14ac:dyDescent="0.25">
      <c r="A135" s="1">
        <v>46219</v>
      </c>
      <c r="B135" s="21">
        <v>152</v>
      </c>
      <c r="C135" s="21">
        <v>189.51</v>
      </c>
      <c r="D135" s="22">
        <v>-2.73847493358748E-2</v>
      </c>
      <c r="E135" s="22">
        <v>-2.05582423952159E-3</v>
      </c>
      <c r="F135" s="21">
        <v>0</v>
      </c>
      <c r="G135" s="21">
        <v>0.13809399999999999</v>
      </c>
      <c r="H135" s="21">
        <v>0</v>
      </c>
      <c r="I135" s="21">
        <v>0.145592</v>
      </c>
      <c r="J135" s="21">
        <v>0</v>
      </c>
      <c r="K135" s="21">
        <v>0</v>
      </c>
      <c r="L135" s="21">
        <v>152</v>
      </c>
      <c r="M135" s="21">
        <v>189.51</v>
      </c>
      <c r="N135" s="23">
        <v>1.24677631578947</v>
      </c>
      <c r="O135" s="23">
        <v>1.3022492118915701</v>
      </c>
      <c r="P135" s="23">
        <v>1.2153834417350899</v>
      </c>
      <c r="Q135" s="23">
        <v>1.2150949740422701</v>
      </c>
      <c r="R135" s="21">
        <v>197.94188020751901</v>
      </c>
      <c r="S135" s="21">
        <v>184.24671463527</v>
      </c>
      <c r="T135" s="21">
        <v>184.84612683320401</v>
      </c>
      <c r="U135" s="22">
        <v>4.3531659720731801E-2</v>
      </c>
      <c r="V135" s="22">
        <v>-2.8166093684418199E-2</v>
      </c>
      <c r="W135" s="22">
        <v>-2.4918061441265099E-2</v>
      </c>
      <c r="X135" s="23">
        <v>1.24677631578947</v>
      </c>
      <c r="Y135" s="23">
        <v>1.3022759807794699</v>
      </c>
      <c r="Z135" s="23">
        <v>1.2153834417350899</v>
      </c>
      <c r="AA135" s="23">
        <v>1.2151119491848901</v>
      </c>
      <c r="AB135" s="21">
        <v>197.94594907848</v>
      </c>
      <c r="AC135" s="21">
        <v>184.24671463527</v>
      </c>
      <c r="AD135" s="21">
        <v>184.85004208074301</v>
      </c>
      <c r="AE135" s="22">
        <v>4.3552215396657802E-2</v>
      </c>
      <c r="AF135" s="22">
        <v>-2.8166093684418098E-2</v>
      </c>
      <c r="AG135" s="22">
        <v>-2.48968805480459E-2</v>
      </c>
      <c r="AZ135" s="17"/>
      <c r="BB135">
        <f t="shared" si="26"/>
        <v>1</v>
      </c>
      <c r="BC135">
        <f t="shared" si="27"/>
        <v>0</v>
      </c>
      <c r="BD135">
        <f t="shared" si="28"/>
        <v>0</v>
      </c>
      <c r="BE135">
        <f t="shared" si="24"/>
        <v>1</v>
      </c>
      <c r="BF135">
        <f t="shared" si="29"/>
        <v>0</v>
      </c>
      <c r="BG135" s="17">
        <f t="shared" si="30"/>
        <v>0</v>
      </c>
      <c r="BH135" s="17">
        <f t="shared" si="31"/>
        <v>0</v>
      </c>
      <c r="BI135" s="17">
        <f t="shared" si="32"/>
        <v>0</v>
      </c>
      <c r="BJ135" s="11">
        <f t="shared" si="33"/>
        <v>5.8637753814075287E-2</v>
      </c>
      <c r="BL135" s="17"/>
      <c r="BN135">
        <f t="shared" si="34"/>
        <v>0</v>
      </c>
      <c r="BO135">
        <f t="shared" si="35"/>
        <v>1</v>
      </c>
      <c r="BP135">
        <f t="shared" si="36"/>
        <v>0</v>
      </c>
      <c r="BQ135">
        <f t="shared" si="25"/>
        <v>1</v>
      </c>
      <c r="BR135">
        <f t="shared" si="37"/>
        <v>0</v>
      </c>
      <c r="BS135" s="17">
        <f t="shared" si="38"/>
        <v>0</v>
      </c>
      <c r="BT135" s="17">
        <f t="shared" si="39"/>
        <v>0</v>
      </c>
      <c r="BU135" s="17">
        <f t="shared" si="40"/>
        <v>0</v>
      </c>
      <c r="BV135" s="11">
        <f t="shared" si="41"/>
        <v>-5.030519903298199E-4</v>
      </c>
      <c r="BX135" s="11">
        <f t="shared" si="42"/>
        <v>0</v>
      </c>
      <c r="BY135" s="11">
        <f t="shared" si="43"/>
        <v>5.8134701823745472E-2</v>
      </c>
    </row>
    <row r="136" spans="1:77" x14ac:dyDescent="0.25">
      <c r="A136" s="1">
        <v>46220</v>
      </c>
      <c r="B136" s="21">
        <v>154.26</v>
      </c>
      <c r="C136" s="21">
        <v>189.76</v>
      </c>
      <c r="D136" s="22">
        <v>1.47589696595766E-2</v>
      </c>
      <c r="E136" s="22">
        <v>1.3183222306420001E-3</v>
      </c>
      <c r="F136" s="21">
        <v>0</v>
      </c>
      <c r="G136" s="21">
        <v>0.13809399999999999</v>
      </c>
      <c r="H136" s="21">
        <v>0</v>
      </c>
      <c r="I136" s="21">
        <v>0.145592</v>
      </c>
      <c r="J136" s="21">
        <v>0</v>
      </c>
      <c r="K136" s="21">
        <v>0</v>
      </c>
      <c r="L136" s="21">
        <v>154.26</v>
      </c>
      <c r="M136" s="21">
        <v>189.76</v>
      </c>
      <c r="N136" s="23">
        <v>1.23013094775055</v>
      </c>
      <c r="O136" s="23">
        <v>1.3022492118915701</v>
      </c>
      <c r="P136" s="23">
        <v>1.2164346768566501</v>
      </c>
      <c r="Q136" s="23">
        <v>1.21438758929693</v>
      </c>
      <c r="R136" s="21">
        <v>200.88496342639399</v>
      </c>
      <c r="S136" s="21">
        <v>187.48504972205501</v>
      </c>
      <c r="T136" s="21">
        <v>187.440550695761</v>
      </c>
      <c r="U136" s="22">
        <v>5.6972307149666397E-2</v>
      </c>
      <c r="V136" s="22">
        <v>-1.2061008393588001E-2</v>
      </c>
      <c r="W136" s="22">
        <v>-1.2298383629922E-2</v>
      </c>
      <c r="X136" s="23">
        <v>1.23013094775055</v>
      </c>
      <c r="Y136" s="23">
        <v>1.3022759807794699</v>
      </c>
      <c r="Z136" s="23">
        <v>1.2164346768566501</v>
      </c>
      <c r="AA136" s="23">
        <v>1.2143960365681099</v>
      </c>
      <c r="AB136" s="21">
        <v>200.88909279504099</v>
      </c>
      <c r="AC136" s="21">
        <v>187.48504972205501</v>
      </c>
      <c r="AD136" s="21">
        <v>187.44316928126099</v>
      </c>
      <c r="AE136" s="22">
        <v>5.69928628255926E-2</v>
      </c>
      <c r="AF136" s="22">
        <v>-1.20610083935882E-2</v>
      </c>
      <c r="AG136" s="22">
        <v>-1.22844135087322E-2</v>
      </c>
      <c r="AZ136" s="17"/>
      <c r="BB136">
        <f t="shared" si="26"/>
        <v>0</v>
      </c>
      <c r="BC136">
        <f t="shared" si="27"/>
        <v>0</v>
      </c>
      <c r="BD136">
        <f t="shared" si="28"/>
        <v>1</v>
      </c>
      <c r="BE136">
        <f t="shared" si="24"/>
        <v>1</v>
      </c>
      <c r="BF136">
        <f t="shared" si="29"/>
        <v>1</v>
      </c>
      <c r="BG136" s="17">
        <f t="shared" si="30"/>
        <v>1.47589696595766E-2</v>
      </c>
      <c r="BH136" s="17">
        <f t="shared" si="31"/>
        <v>-1.3183222306420001E-3</v>
      </c>
      <c r="BI136" s="17">
        <f t="shared" si="32"/>
        <v>1.34406474289346E-2</v>
      </c>
      <c r="BJ136" s="11">
        <f t="shared" si="33"/>
        <v>7.207840124300989E-2</v>
      </c>
      <c r="BL136" s="17"/>
      <c r="BN136">
        <f t="shared" si="34"/>
        <v>0</v>
      </c>
      <c r="BO136">
        <f t="shared" si="35"/>
        <v>1</v>
      </c>
      <c r="BP136">
        <f t="shared" si="36"/>
        <v>0</v>
      </c>
      <c r="BQ136">
        <f t="shared" si="25"/>
        <v>1</v>
      </c>
      <c r="BR136">
        <f t="shared" si="37"/>
        <v>0</v>
      </c>
      <c r="BS136" s="17">
        <f t="shared" si="38"/>
        <v>0</v>
      </c>
      <c r="BT136" s="17">
        <f t="shared" si="39"/>
        <v>0</v>
      </c>
      <c r="BU136" s="17">
        <f t="shared" si="40"/>
        <v>0</v>
      </c>
      <c r="BV136" s="11">
        <f t="shared" si="41"/>
        <v>-5.030519903298199E-4</v>
      </c>
      <c r="BX136" s="11">
        <f t="shared" si="42"/>
        <v>1.34406474289346E-2</v>
      </c>
      <c r="BY136" s="11">
        <f t="shared" si="43"/>
        <v>7.1575349252680068E-2</v>
      </c>
    </row>
    <row r="137" spans="1:77" x14ac:dyDescent="0.25">
      <c r="A137" s="1">
        <v>46223</v>
      </c>
      <c r="B137" s="21">
        <v>150.94</v>
      </c>
      <c r="C137" s="21">
        <v>186.53</v>
      </c>
      <c r="D137" s="22">
        <v>-2.17570836491306E-2</v>
      </c>
      <c r="E137" s="22">
        <v>-1.7168031752889199E-2</v>
      </c>
      <c r="F137" s="21">
        <v>0</v>
      </c>
      <c r="G137" s="21">
        <v>0.13809399999999999</v>
      </c>
      <c r="H137" s="21">
        <v>0</v>
      </c>
      <c r="I137" s="21">
        <v>0.145592</v>
      </c>
      <c r="J137" s="21">
        <v>0</v>
      </c>
      <c r="K137" s="21">
        <v>0</v>
      </c>
      <c r="L137" s="21">
        <v>150.94</v>
      </c>
      <c r="M137" s="21">
        <v>186.53</v>
      </c>
      <c r="N137" s="23">
        <v>1.2357890552537401</v>
      </c>
      <c r="O137" s="23">
        <v>1.3022492118915701</v>
      </c>
      <c r="P137" s="23">
        <v>1.21855969269854</v>
      </c>
      <c r="Q137" s="23">
        <v>1.2144800551352299</v>
      </c>
      <c r="R137" s="21">
        <v>196.561496042914</v>
      </c>
      <c r="S137" s="21">
        <v>183.60865012474301</v>
      </c>
      <c r="T137" s="21">
        <v>183.29966272847901</v>
      </c>
      <c r="U137" s="22">
        <v>5.2383255253425097E-2</v>
      </c>
      <c r="V137" s="22">
        <v>-1.5785493010719999E-2</v>
      </c>
      <c r="W137" s="22">
        <v>-1.7469769209888301E-2</v>
      </c>
      <c r="X137" s="23">
        <v>1.2357890552537401</v>
      </c>
      <c r="Y137" s="23">
        <v>1.3022759807794699</v>
      </c>
      <c r="Z137" s="23">
        <v>1.21855969269854</v>
      </c>
      <c r="AA137" s="23">
        <v>1.2144800551352299</v>
      </c>
      <c r="AB137" s="21">
        <v>196.565536538853</v>
      </c>
      <c r="AC137" s="21">
        <v>183.60865012474301</v>
      </c>
      <c r="AD137" s="21">
        <v>183.30093775959099</v>
      </c>
      <c r="AE137" s="22">
        <v>5.2403810929351098E-2</v>
      </c>
      <c r="AF137" s="22">
        <v>-1.5785493010719999E-2</v>
      </c>
      <c r="AG137" s="22">
        <v>-1.7462813241405199E-2</v>
      </c>
      <c r="AZ137" s="17"/>
      <c r="BB137">
        <f t="shared" si="26"/>
        <v>1</v>
      </c>
      <c r="BC137">
        <f t="shared" si="27"/>
        <v>0</v>
      </c>
      <c r="BD137">
        <f t="shared" si="28"/>
        <v>1</v>
      </c>
      <c r="BE137">
        <f t="shared" si="24"/>
        <v>1</v>
      </c>
      <c r="BF137">
        <f t="shared" si="29"/>
        <v>1</v>
      </c>
      <c r="BG137" s="17">
        <f t="shared" si="30"/>
        <v>-2.17570836491306E-2</v>
      </c>
      <c r="BH137" s="17">
        <f t="shared" si="31"/>
        <v>1.7168031752889199E-2</v>
      </c>
      <c r="BI137" s="17">
        <f t="shared" si="32"/>
        <v>-4.5890518962414008E-3</v>
      </c>
      <c r="BJ137" s="11">
        <f t="shared" si="33"/>
        <v>6.7489349346768493E-2</v>
      </c>
      <c r="BL137" s="17"/>
      <c r="BN137">
        <f t="shared" si="34"/>
        <v>0</v>
      </c>
      <c r="BO137">
        <f t="shared" si="35"/>
        <v>1</v>
      </c>
      <c r="BP137">
        <f t="shared" si="36"/>
        <v>0</v>
      </c>
      <c r="BQ137">
        <f t="shared" si="25"/>
        <v>1</v>
      </c>
      <c r="BR137">
        <f t="shared" si="37"/>
        <v>0</v>
      </c>
      <c r="BS137" s="17">
        <f t="shared" si="38"/>
        <v>0</v>
      </c>
      <c r="BT137" s="17">
        <f t="shared" si="39"/>
        <v>0</v>
      </c>
      <c r="BU137" s="17">
        <f t="shared" si="40"/>
        <v>0</v>
      </c>
      <c r="BV137" s="11">
        <f t="shared" si="41"/>
        <v>-5.030519903298199E-4</v>
      </c>
      <c r="BX137" s="11">
        <f t="shared" si="42"/>
        <v>-4.5890518962414008E-3</v>
      </c>
      <c r="BY137" s="11">
        <f t="shared" si="43"/>
        <v>6.698629735643867E-2</v>
      </c>
    </row>
    <row r="138" spans="1:77" x14ac:dyDescent="0.25">
      <c r="A138" s="1">
        <v>46224</v>
      </c>
      <c r="B138" s="21">
        <v>154.5</v>
      </c>
      <c r="C138" s="21">
        <v>189.31</v>
      </c>
      <c r="D138" s="22">
        <v>2.3311689481077699E-2</v>
      </c>
      <c r="E138" s="22">
        <v>1.47937989653474E-2</v>
      </c>
      <c r="F138" s="21">
        <v>0</v>
      </c>
      <c r="G138" s="21">
        <v>0.13809399999999999</v>
      </c>
      <c r="H138" s="21">
        <v>0</v>
      </c>
      <c r="I138" s="21">
        <v>0.145592</v>
      </c>
      <c r="J138" s="21">
        <v>0</v>
      </c>
      <c r="K138" s="21">
        <v>0</v>
      </c>
      <c r="L138" s="21">
        <v>154.5</v>
      </c>
      <c r="M138" s="21">
        <v>189.31</v>
      </c>
      <c r="N138" s="23">
        <v>1.2253074433656901</v>
      </c>
      <c r="O138" s="23">
        <v>1.3022492118915701</v>
      </c>
      <c r="P138" s="23">
        <v>1.22012259667385</v>
      </c>
      <c r="Q138" s="23">
        <v>1.21507080780537</v>
      </c>
      <c r="R138" s="21">
        <v>201.19750323724799</v>
      </c>
      <c r="S138" s="21">
        <v>188.26747252192499</v>
      </c>
      <c r="T138" s="21">
        <v>187.637168518393</v>
      </c>
      <c r="U138" s="22">
        <v>6.0901145769155597E-2</v>
      </c>
      <c r="V138" s="22">
        <v>-5.5222051273909802E-3</v>
      </c>
      <c r="W138" s="22">
        <v>-8.8757396434730098E-3</v>
      </c>
      <c r="X138" s="23">
        <v>1.2253074433656901</v>
      </c>
      <c r="Y138" s="23">
        <v>1.3022759807794699</v>
      </c>
      <c r="Z138" s="23">
        <v>1.22012259667385</v>
      </c>
      <c r="AA138" s="23">
        <v>1.21507080780537</v>
      </c>
      <c r="AB138" s="21">
        <v>201.201639030428</v>
      </c>
      <c r="AC138" s="21">
        <v>188.26747252192499</v>
      </c>
      <c r="AD138" s="21">
        <v>187.637168518393</v>
      </c>
      <c r="AE138" s="22">
        <v>6.0921701445081598E-2</v>
      </c>
      <c r="AF138" s="22">
        <v>-5.5222051273909802E-3</v>
      </c>
      <c r="AG138" s="22">
        <v>-8.8757396434730098E-3</v>
      </c>
      <c r="AZ138" s="17"/>
      <c r="BB138">
        <f t="shared" si="26"/>
        <v>0</v>
      </c>
      <c r="BC138">
        <f t="shared" si="27"/>
        <v>1</v>
      </c>
      <c r="BD138">
        <f t="shared" si="28"/>
        <v>1</v>
      </c>
      <c r="BE138">
        <f t="shared" si="24"/>
        <v>1</v>
      </c>
      <c r="BF138">
        <f t="shared" si="29"/>
        <v>1</v>
      </c>
      <c r="BG138" s="17">
        <f t="shared" si="30"/>
        <v>2.3311689481077699E-2</v>
      </c>
      <c r="BH138" s="17">
        <f t="shared" si="31"/>
        <v>-1.47937989653474E-2</v>
      </c>
      <c r="BI138" s="17">
        <f t="shared" si="32"/>
        <v>8.5178905157302989E-3</v>
      </c>
      <c r="BJ138" s="11">
        <f t="shared" si="33"/>
        <v>7.6007239862498799E-2</v>
      </c>
      <c r="BL138" s="17"/>
      <c r="BN138">
        <f t="shared" si="34"/>
        <v>0</v>
      </c>
      <c r="BO138">
        <f t="shared" si="35"/>
        <v>1</v>
      </c>
      <c r="BP138">
        <f t="shared" si="36"/>
        <v>0</v>
      </c>
      <c r="BQ138">
        <f t="shared" si="25"/>
        <v>1</v>
      </c>
      <c r="BR138">
        <f t="shared" si="37"/>
        <v>0</v>
      </c>
      <c r="BS138" s="17">
        <f t="shared" si="38"/>
        <v>0</v>
      </c>
      <c r="BT138" s="17">
        <f t="shared" si="39"/>
        <v>0</v>
      </c>
      <c r="BU138" s="17">
        <f t="shared" si="40"/>
        <v>0</v>
      </c>
      <c r="BV138" s="11">
        <f t="shared" si="41"/>
        <v>-5.030519903298199E-4</v>
      </c>
      <c r="BX138" s="11">
        <f t="shared" si="42"/>
        <v>8.5178905157302989E-3</v>
      </c>
      <c r="BY138" s="11">
        <f t="shared" si="43"/>
        <v>7.5504187872168976E-2</v>
      </c>
    </row>
    <row r="139" spans="1:77" x14ac:dyDescent="0.25">
      <c r="A139" s="1">
        <v>46225</v>
      </c>
      <c r="B139" s="21">
        <v>152.11000000000001</v>
      </c>
      <c r="C139" s="21">
        <v>187</v>
      </c>
      <c r="D139" s="22">
        <v>-1.5590153014148501E-2</v>
      </c>
      <c r="E139" s="22">
        <v>-1.22772661672319E-2</v>
      </c>
      <c r="F139" s="21">
        <v>0</v>
      </c>
      <c r="G139" s="21">
        <v>0.13809399999999999</v>
      </c>
      <c r="H139" s="21">
        <v>0</v>
      </c>
      <c r="I139" s="21">
        <v>0.145592</v>
      </c>
      <c r="J139" s="21">
        <v>0</v>
      </c>
      <c r="K139" s="21">
        <v>0</v>
      </c>
      <c r="L139" s="21">
        <v>152.11000000000001</v>
      </c>
      <c r="M139" s="21">
        <v>187</v>
      </c>
      <c r="N139" s="23">
        <v>1.22937347971862</v>
      </c>
      <c r="O139" s="23">
        <v>1.3022492118915701</v>
      </c>
      <c r="P139" s="23">
        <v>1.2225837833890401</v>
      </c>
      <c r="Q139" s="23">
        <v>1.21597701154713</v>
      </c>
      <c r="R139" s="21">
        <v>198.085127620827</v>
      </c>
      <c r="S139" s="21">
        <v>185.59284818006</v>
      </c>
      <c r="T139" s="21">
        <v>184.82442057527399</v>
      </c>
      <c r="U139" s="22">
        <v>5.7588258922239101E-2</v>
      </c>
      <c r="V139" s="22">
        <v>-7.5533307575265801E-3</v>
      </c>
      <c r="W139" s="22">
        <v>-1.1702320407409801E-2</v>
      </c>
      <c r="X139" s="23">
        <v>1.22937347971862</v>
      </c>
      <c r="Y139" s="23">
        <v>1.3022759807794699</v>
      </c>
      <c r="Z139" s="23">
        <v>1.2225837833890401</v>
      </c>
      <c r="AA139" s="23">
        <v>1.21597701154713</v>
      </c>
      <c r="AB139" s="21">
        <v>198.08919943636499</v>
      </c>
      <c r="AC139" s="21">
        <v>185.59284818006</v>
      </c>
      <c r="AD139" s="21">
        <v>184.82442057527399</v>
      </c>
      <c r="AE139" s="22">
        <v>5.7608814598164998E-2</v>
      </c>
      <c r="AF139" s="22">
        <v>-7.5533307575265801E-3</v>
      </c>
      <c r="AG139" s="22">
        <v>-1.17023204074097E-2</v>
      </c>
      <c r="AZ139" s="17"/>
      <c r="BB139">
        <f t="shared" si="26"/>
        <v>0</v>
      </c>
      <c r="BC139">
        <f t="shared" si="27"/>
        <v>0</v>
      </c>
      <c r="BD139">
        <f t="shared" si="28"/>
        <v>0</v>
      </c>
      <c r="BE139">
        <f t="shared" si="24"/>
        <v>1</v>
      </c>
      <c r="BF139">
        <f t="shared" si="29"/>
        <v>0</v>
      </c>
      <c r="BG139" s="17">
        <f t="shared" si="30"/>
        <v>0</v>
      </c>
      <c r="BH139" s="17">
        <f t="shared" si="31"/>
        <v>0</v>
      </c>
      <c r="BI139" s="17">
        <f t="shared" si="32"/>
        <v>0</v>
      </c>
      <c r="BJ139" s="11">
        <f t="shared" si="33"/>
        <v>7.6007239862498799E-2</v>
      </c>
      <c r="BL139" s="17"/>
      <c r="BN139">
        <f t="shared" si="34"/>
        <v>0</v>
      </c>
      <c r="BO139">
        <f t="shared" si="35"/>
        <v>1</v>
      </c>
      <c r="BP139">
        <f t="shared" si="36"/>
        <v>0</v>
      </c>
      <c r="BQ139">
        <f t="shared" si="25"/>
        <v>1</v>
      </c>
      <c r="BR139">
        <f t="shared" si="37"/>
        <v>0</v>
      </c>
      <c r="BS139" s="17">
        <f t="shared" si="38"/>
        <v>0</v>
      </c>
      <c r="BT139" s="17">
        <f t="shared" si="39"/>
        <v>0</v>
      </c>
      <c r="BU139" s="17">
        <f t="shared" si="40"/>
        <v>0</v>
      </c>
      <c r="BV139" s="11">
        <f t="shared" si="41"/>
        <v>-5.030519903298199E-4</v>
      </c>
      <c r="BX139" s="11">
        <f t="shared" si="42"/>
        <v>0</v>
      </c>
      <c r="BY139" s="11">
        <f t="shared" si="43"/>
        <v>7.5504187872168976E-2</v>
      </c>
    </row>
    <row r="140" spans="1:77" x14ac:dyDescent="0.25">
      <c r="A140" s="1">
        <v>46226</v>
      </c>
      <c r="B140" s="21">
        <v>152.22999999999999</v>
      </c>
      <c r="C140" s="21">
        <v>188.98</v>
      </c>
      <c r="D140" s="22">
        <v>7.8859174751094805E-4</v>
      </c>
      <c r="E140" s="22">
        <v>1.05325724998931E-2</v>
      </c>
      <c r="F140" s="21">
        <v>0</v>
      </c>
      <c r="G140" s="21">
        <v>0.13809399999999999</v>
      </c>
      <c r="H140" s="21">
        <v>0</v>
      </c>
      <c r="I140" s="21">
        <v>0.145592</v>
      </c>
      <c r="J140" s="21">
        <v>0</v>
      </c>
      <c r="K140" s="21">
        <v>0</v>
      </c>
      <c r="L140" s="21">
        <v>152.22999999999999</v>
      </c>
      <c r="M140" s="21">
        <v>188.98</v>
      </c>
      <c r="N140" s="23">
        <v>1.2414110227944499</v>
      </c>
      <c r="O140" s="23">
        <v>1.3022492118915701</v>
      </c>
      <c r="P140" s="23">
        <v>1.2266007074362</v>
      </c>
      <c r="Q140" s="23">
        <v>1.2174203500758001</v>
      </c>
      <c r="R140" s="21">
        <v>198.24139752625399</v>
      </c>
      <c r="S140" s="21">
        <v>186.11392934531401</v>
      </c>
      <c r="T140" s="21">
        <v>185.10818046782001</v>
      </c>
      <c r="U140" s="22">
        <v>4.7844278169856799E-2</v>
      </c>
      <c r="V140" s="22">
        <v>-1.5282179795238699E-2</v>
      </c>
      <c r="W140" s="22">
        <v>-2.0700775895728898E-2</v>
      </c>
      <c r="X140" s="23">
        <v>1.2414110227944499</v>
      </c>
      <c r="Y140" s="23">
        <v>1.3022759807794699</v>
      </c>
      <c r="Z140" s="23">
        <v>1.2266007074362</v>
      </c>
      <c r="AA140" s="23">
        <v>1.2174203500758001</v>
      </c>
      <c r="AB140" s="21">
        <v>198.24547255405901</v>
      </c>
      <c r="AC140" s="21">
        <v>186.11392934531401</v>
      </c>
      <c r="AD140" s="21">
        <v>185.10818046782001</v>
      </c>
      <c r="AE140" s="22">
        <v>4.78648338457828E-2</v>
      </c>
      <c r="AF140" s="22">
        <v>-1.5282179795238699E-2</v>
      </c>
      <c r="AG140" s="22">
        <v>-2.0700775895728898E-2</v>
      </c>
      <c r="AZ140" s="17"/>
      <c r="BB140">
        <f t="shared" si="26"/>
        <v>1</v>
      </c>
      <c r="BC140">
        <f t="shared" si="27"/>
        <v>0</v>
      </c>
      <c r="BD140">
        <f t="shared" si="28"/>
        <v>0</v>
      </c>
      <c r="BE140">
        <f t="shared" si="24"/>
        <v>1</v>
      </c>
      <c r="BF140">
        <f t="shared" si="29"/>
        <v>0</v>
      </c>
      <c r="BG140" s="17">
        <f t="shared" si="30"/>
        <v>0</v>
      </c>
      <c r="BH140" s="17">
        <f t="shared" si="31"/>
        <v>0</v>
      </c>
      <c r="BI140" s="17">
        <f t="shared" si="32"/>
        <v>0</v>
      </c>
      <c r="BJ140" s="11">
        <f t="shared" si="33"/>
        <v>7.6007239862498799E-2</v>
      </c>
      <c r="BL140" s="17"/>
      <c r="BN140">
        <f t="shared" si="34"/>
        <v>0</v>
      </c>
      <c r="BO140">
        <f t="shared" si="35"/>
        <v>1</v>
      </c>
      <c r="BP140">
        <f t="shared" si="36"/>
        <v>0</v>
      </c>
      <c r="BQ140">
        <f t="shared" si="25"/>
        <v>1</v>
      </c>
      <c r="BR140">
        <f t="shared" si="37"/>
        <v>0</v>
      </c>
      <c r="BS140" s="17">
        <f t="shared" si="38"/>
        <v>0</v>
      </c>
      <c r="BT140" s="17">
        <f t="shared" si="39"/>
        <v>0</v>
      </c>
      <c r="BU140" s="17">
        <f t="shared" si="40"/>
        <v>0</v>
      </c>
      <c r="BV140" s="11">
        <f t="shared" si="41"/>
        <v>-5.030519903298199E-4</v>
      </c>
      <c r="BX140" s="11">
        <f t="shared" si="42"/>
        <v>0</v>
      </c>
      <c r="BY140" s="11">
        <f t="shared" si="43"/>
        <v>7.5504187872168976E-2</v>
      </c>
    </row>
    <row r="141" spans="1:77" x14ac:dyDescent="0.25">
      <c r="A141" s="1">
        <v>46227</v>
      </c>
      <c r="B141" s="21">
        <v>150.47999999999999</v>
      </c>
      <c r="C141" s="21">
        <v>188.14</v>
      </c>
      <c r="D141" s="22">
        <v>-1.15623500783877E-2</v>
      </c>
      <c r="E141" s="22">
        <v>-4.4548228106744796E-3</v>
      </c>
      <c r="F141" s="21">
        <v>0</v>
      </c>
      <c r="G141" s="21">
        <v>0.13809399999999999</v>
      </c>
      <c r="H141" s="21">
        <v>0</v>
      </c>
      <c r="I141" s="21">
        <v>0.145592</v>
      </c>
      <c r="J141" s="21">
        <v>0</v>
      </c>
      <c r="K141" s="21">
        <v>0</v>
      </c>
      <c r="L141" s="21">
        <v>150.47999999999999</v>
      </c>
      <c r="M141" s="21">
        <v>188.14</v>
      </c>
      <c r="N141" s="23">
        <v>1.25026581605528</v>
      </c>
      <c r="O141" s="23">
        <v>1.3022492118915701</v>
      </c>
      <c r="P141" s="23">
        <v>1.23085762294099</v>
      </c>
      <c r="Q141" s="23">
        <v>1.2193524679779799</v>
      </c>
      <c r="R141" s="21">
        <v>195.962461405444</v>
      </c>
      <c r="S141" s="21">
        <v>184.578874455</v>
      </c>
      <c r="T141" s="21">
        <v>183.19741427940701</v>
      </c>
      <c r="U141" s="22">
        <v>4.0736750902143501E-2</v>
      </c>
      <c r="V141" s="22">
        <v>-1.9109490595807199E-2</v>
      </c>
      <c r="W141" s="22">
        <v>-2.6622028598754299E-2</v>
      </c>
      <c r="X141" s="23">
        <v>1.25026581605528</v>
      </c>
      <c r="Y141" s="23">
        <v>1.3022759807794699</v>
      </c>
      <c r="Z141" s="23">
        <v>1.23085762294099</v>
      </c>
      <c r="AA141" s="23">
        <v>1.2193524679779799</v>
      </c>
      <c r="AB141" s="21">
        <v>195.96648958769501</v>
      </c>
      <c r="AC141" s="21">
        <v>184.578874455</v>
      </c>
      <c r="AD141" s="21">
        <v>183.19741427940701</v>
      </c>
      <c r="AE141" s="22">
        <v>4.0757306578069703E-2</v>
      </c>
      <c r="AF141" s="22">
        <v>-1.9109490595807299E-2</v>
      </c>
      <c r="AG141" s="22">
        <v>-2.6622028598754299E-2</v>
      </c>
      <c r="AZ141" s="17"/>
      <c r="BB141">
        <f t="shared" si="26"/>
        <v>1</v>
      </c>
      <c r="BC141">
        <f t="shared" si="27"/>
        <v>0</v>
      </c>
      <c r="BD141">
        <f t="shared" si="28"/>
        <v>1</v>
      </c>
      <c r="BE141">
        <f t="shared" si="24"/>
        <v>1</v>
      </c>
      <c r="BF141">
        <f t="shared" si="29"/>
        <v>1</v>
      </c>
      <c r="BG141" s="17">
        <f t="shared" si="30"/>
        <v>-1.15623500783877E-2</v>
      </c>
      <c r="BH141" s="17">
        <f t="shared" si="31"/>
        <v>4.4548228106744796E-3</v>
      </c>
      <c r="BI141" s="17">
        <f t="shared" si="32"/>
        <v>-7.1075272677132203E-3</v>
      </c>
      <c r="BJ141" s="11">
        <f t="shared" si="33"/>
        <v>6.8899712594785584E-2</v>
      </c>
      <c r="BL141" s="17"/>
      <c r="BN141">
        <f t="shared" si="34"/>
        <v>0</v>
      </c>
      <c r="BO141">
        <f t="shared" si="35"/>
        <v>1</v>
      </c>
      <c r="BP141">
        <f t="shared" si="36"/>
        <v>0</v>
      </c>
      <c r="BQ141">
        <f t="shared" si="25"/>
        <v>1</v>
      </c>
      <c r="BR141">
        <f t="shared" si="37"/>
        <v>0</v>
      </c>
      <c r="BS141" s="17">
        <f t="shared" si="38"/>
        <v>0</v>
      </c>
      <c r="BT141" s="17">
        <f t="shared" si="39"/>
        <v>0</v>
      </c>
      <c r="BU141" s="17">
        <f t="shared" si="40"/>
        <v>0</v>
      </c>
      <c r="BV141" s="11">
        <f t="shared" si="41"/>
        <v>-5.030519903298199E-4</v>
      </c>
      <c r="BX141" s="11">
        <f t="shared" si="42"/>
        <v>-7.1075272677132203E-3</v>
      </c>
      <c r="BY141" s="11">
        <f t="shared" si="43"/>
        <v>6.8396660604455761E-2</v>
      </c>
    </row>
    <row r="142" spans="1:77" x14ac:dyDescent="0.25">
      <c r="A142" s="1">
        <v>46230</v>
      </c>
      <c r="B142" s="21">
        <v>150.59</v>
      </c>
      <c r="C142" s="21">
        <v>188.33</v>
      </c>
      <c r="D142" s="22">
        <v>7.30727105953138E-4</v>
      </c>
      <c r="E142" s="22">
        <v>1.00937666285049E-3</v>
      </c>
      <c r="F142" s="21">
        <v>0</v>
      </c>
      <c r="G142" s="21">
        <v>0.13809399999999999</v>
      </c>
      <c r="H142" s="21">
        <v>0</v>
      </c>
      <c r="I142" s="21">
        <v>0.145592</v>
      </c>
      <c r="J142" s="21">
        <v>0</v>
      </c>
      <c r="K142" s="21">
        <v>0</v>
      </c>
      <c r="L142" s="21">
        <v>150.59</v>
      </c>
      <c r="M142" s="21">
        <v>188.33</v>
      </c>
      <c r="N142" s="23">
        <v>1.2506142506142499</v>
      </c>
      <c r="O142" s="23">
        <v>1.3022492118915701</v>
      </c>
      <c r="P142" s="23">
        <v>1.2338963880307401</v>
      </c>
      <c r="Q142" s="23">
        <v>1.2215922807790001</v>
      </c>
      <c r="R142" s="21">
        <v>196.10570881875199</v>
      </c>
      <c r="S142" s="21">
        <v>185.35484943868499</v>
      </c>
      <c r="T142" s="21">
        <v>183.622288152804</v>
      </c>
      <c r="U142" s="22">
        <v>4.0458101345246099E-2</v>
      </c>
      <c r="V142" s="22">
        <v>-1.5923650268956601E-2</v>
      </c>
      <c r="W142" s="22">
        <v>-2.5314877220279801E-2</v>
      </c>
      <c r="X142" s="23">
        <v>1.2506142506142499</v>
      </c>
      <c r="Y142" s="23">
        <v>1.3022759807794699</v>
      </c>
      <c r="Z142" s="23">
        <v>1.2338963880307401</v>
      </c>
      <c r="AA142" s="23">
        <v>1.2215922807790001</v>
      </c>
      <c r="AB142" s="21">
        <v>196.109739945581</v>
      </c>
      <c r="AC142" s="21">
        <v>185.35484943868499</v>
      </c>
      <c r="AD142" s="21">
        <v>183.622288152804</v>
      </c>
      <c r="AE142" s="22">
        <v>4.0478657021172197E-2</v>
      </c>
      <c r="AF142" s="22">
        <v>-1.5923650268956601E-2</v>
      </c>
      <c r="AG142" s="22">
        <v>-2.5314877220279801E-2</v>
      </c>
      <c r="AZ142" s="17"/>
      <c r="BB142">
        <f t="shared" si="26"/>
        <v>1</v>
      </c>
      <c r="BC142">
        <f t="shared" si="27"/>
        <v>0</v>
      </c>
      <c r="BD142">
        <f t="shared" si="28"/>
        <v>1</v>
      </c>
      <c r="BE142">
        <f t="shared" si="24"/>
        <v>1</v>
      </c>
      <c r="BF142">
        <f t="shared" si="29"/>
        <v>1</v>
      </c>
      <c r="BG142" s="17">
        <f t="shared" si="30"/>
        <v>7.30727105953138E-4</v>
      </c>
      <c r="BH142" s="17">
        <f t="shared" si="31"/>
        <v>-1.00937666285049E-3</v>
      </c>
      <c r="BI142" s="17">
        <f t="shared" si="32"/>
        <v>-2.7864955689735197E-4</v>
      </c>
      <c r="BJ142" s="11">
        <f t="shared" si="33"/>
        <v>6.862106303788823E-2</v>
      </c>
      <c r="BL142" s="17"/>
      <c r="BN142">
        <f t="shared" si="34"/>
        <v>0</v>
      </c>
      <c r="BO142">
        <f t="shared" si="35"/>
        <v>1</v>
      </c>
      <c r="BP142">
        <f t="shared" si="36"/>
        <v>0</v>
      </c>
      <c r="BQ142">
        <f t="shared" si="25"/>
        <v>1</v>
      </c>
      <c r="BR142">
        <f t="shared" si="37"/>
        <v>0</v>
      </c>
      <c r="BS142" s="17">
        <f t="shared" si="38"/>
        <v>0</v>
      </c>
      <c r="BT142" s="17">
        <f t="shared" si="39"/>
        <v>0</v>
      </c>
      <c r="BU142" s="17">
        <f t="shared" si="40"/>
        <v>0</v>
      </c>
      <c r="BV142" s="11">
        <f t="shared" si="41"/>
        <v>-5.030519903298199E-4</v>
      </c>
      <c r="BX142" s="11">
        <f t="shared" si="42"/>
        <v>-2.7864955689735197E-4</v>
      </c>
      <c r="BY142" s="11">
        <f t="shared" si="43"/>
        <v>6.8118011047558408E-2</v>
      </c>
    </row>
    <row r="143" spans="1:77" x14ac:dyDescent="0.25">
      <c r="A143" s="1">
        <v>46231</v>
      </c>
      <c r="B143" s="21">
        <v>149.78</v>
      </c>
      <c r="C143" s="21">
        <v>190.52</v>
      </c>
      <c r="D143" s="22">
        <v>-5.3933612775070097E-3</v>
      </c>
      <c r="E143" s="22">
        <v>1.1561432726003899E-2</v>
      </c>
      <c r="F143" s="21">
        <v>0</v>
      </c>
      <c r="G143" s="21">
        <v>0.13809399999999999</v>
      </c>
      <c r="H143" s="21">
        <v>0</v>
      </c>
      <c r="I143" s="21">
        <v>0.145592</v>
      </c>
      <c r="J143" s="21">
        <v>0</v>
      </c>
      <c r="K143" s="21">
        <v>0</v>
      </c>
      <c r="L143" s="21">
        <v>149.78</v>
      </c>
      <c r="M143" s="21">
        <v>190.52</v>
      </c>
      <c r="N143" s="23">
        <v>1.2719989317665901</v>
      </c>
      <c r="O143" s="23">
        <v>1.3022492118915701</v>
      </c>
      <c r="P143" s="23">
        <v>1.2397260657040301</v>
      </c>
      <c r="Q143" s="23">
        <v>1.22524970952259</v>
      </c>
      <c r="R143" s="21">
        <v>195.05088695711899</v>
      </c>
      <c r="S143" s="21">
        <v>184.81300099924499</v>
      </c>
      <c r="T143" s="21">
        <v>182.970091815079</v>
      </c>
      <c r="U143" s="22">
        <v>2.35033073417352E-2</v>
      </c>
      <c r="V143" s="22">
        <v>-3.0412667472123098E-2</v>
      </c>
      <c r="W143" s="22">
        <v>-4.0434469152303601E-2</v>
      </c>
      <c r="X143" s="23">
        <v>1.2719989317665901</v>
      </c>
      <c r="Y143" s="23">
        <v>1.3022759807794699</v>
      </c>
      <c r="Z143" s="23">
        <v>1.2397260657040301</v>
      </c>
      <c r="AA143" s="23">
        <v>1.22524970952259</v>
      </c>
      <c r="AB143" s="21">
        <v>195.05489640114899</v>
      </c>
      <c r="AC143" s="21">
        <v>184.81300099924499</v>
      </c>
      <c r="AD143" s="21">
        <v>182.970091815079</v>
      </c>
      <c r="AE143" s="22">
        <v>2.35238630176615E-2</v>
      </c>
      <c r="AF143" s="22">
        <v>-3.0412667472123098E-2</v>
      </c>
      <c r="AG143" s="22">
        <v>-4.0434469152303698E-2</v>
      </c>
      <c r="AZ143" s="17"/>
      <c r="BB143">
        <f t="shared" si="26"/>
        <v>1</v>
      </c>
      <c r="BC143">
        <f t="shared" si="27"/>
        <v>0</v>
      </c>
      <c r="BD143">
        <f t="shared" si="28"/>
        <v>1</v>
      </c>
      <c r="BE143">
        <f t="shared" si="24"/>
        <v>1</v>
      </c>
      <c r="BF143">
        <f t="shared" si="29"/>
        <v>1</v>
      </c>
      <c r="BG143" s="17">
        <f t="shared" si="30"/>
        <v>-5.3933612775070097E-3</v>
      </c>
      <c r="BH143" s="17">
        <f t="shared" si="31"/>
        <v>-1.1561432726003899E-2</v>
      </c>
      <c r="BI143" s="17">
        <f t="shared" si="32"/>
        <v>-1.6954794003510909E-2</v>
      </c>
      <c r="BJ143" s="11">
        <f t="shared" si="33"/>
        <v>5.1666269034377321E-2</v>
      </c>
      <c r="BL143" s="17"/>
      <c r="BN143">
        <f t="shared" si="34"/>
        <v>0</v>
      </c>
      <c r="BO143">
        <f t="shared" si="35"/>
        <v>1</v>
      </c>
      <c r="BP143">
        <f t="shared" si="36"/>
        <v>0</v>
      </c>
      <c r="BQ143">
        <f t="shared" si="25"/>
        <v>1</v>
      </c>
      <c r="BR143">
        <f t="shared" si="37"/>
        <v>0</v>
      </c>
      <c r="BS143" s="17">
        <f t="shared" si="38"/>
        <v>0</v>
      </c>
      <c r="BT143" s="17">
        <f t="shared" si="39"/>
        <v>0</v>
      </c>
      <c r="BU143" s="17">
        <f t="shared" si="40"/>
        <v>0</v>
      </c>
      <c r="BV143" s="11">
        <f t="shared" si="41"/>
        <v>-5.030519903298199E-4</v>
      </c>
      <c r="BX143" s="11">
        <f t="shared" si="42"/>
        <v>-1.6954794003510909E-2</v>
      </c>
      <c r="BY143" s="11">
        <f t="shared" si="43"/>
        <v>5.1163217044047499E-2</v>
      </c>
    </row>
    <row r="144" spans="1:77" x14ac:dyDescent="0.25">
      <c r="A144" s="1">
        <v>46232</v>
      </c>
      <c r="B144" s="21">
        <v>147.91</v>
      </c>
      <c r="C144" s="21">
        <v>188.53</v>
      </c>
      <c r="D144" s="22">
        <v>-1.25635701379424E-2</v>
      </c>
      <c r="E144" s="22">
        <v>-1.05000305141679E-2</v>
      </c>
      <c r="F144" s="21">
        <v>0</v>
      </c>
      <c r="G144" s="21">
        <v>0.13809399999999999</v>
      </c>
      <c r="H144" s="21">
        <v>0</v>
      </c>
      <c r="I144" s="21">
        <v>0.145592</v>
      </c>
      <c r="J144" s="21">
        <v>0</v>
      </c>
      <c r="K144" s="21">
        <v>0</v>
      </c>
      <c r="L144" s="21">
        <v>147.91</v>
      </c>
      <c r="M144" s="21">
        <v>188.53</v>
      </c>
      <c r="N144" s="23">
        <v>1.2746264620377199</v>
      </c>
      <c r="O144" s="23">
        <v>1.3022492118915701</v>
      </c>
      <c r="P144" s="23">
        <v>1.2456293725146399</v>
      </c>
      <c r="Q144" s="23">
        <v>1.2288894054522801</v>
      </c>
      <c r="R144" s="21">
        <v>192.61568093088201</v>
      </c>
      <c r="S144" s="21">
        <v>183.36788237828301</v>
      </c>
      <c r="T144" s="21">
        <v>181.22668453548701</v>
      </c>
      <c r="U144" s="22">
        <v>2.14397677179608E-2</v>
      </c>
      <c r="V144" s="22">
        <v>-2.7762724278340201E-2</v>
      </c>
      <c r="W144" s="22">
        <v>-3.95084970037482E-2</v>
      </c>
      <c r="X144" s="23">
        <v>1.2746264620377199</v>
      </c>
      <c r="Y144" s="23">
        <v>1.3022759807794699</v>
      </c>
      <c r="Z144" s="23">
        <v>1.2456293725146399</v>
      </c>
      <c r="AA144" s="23">
        <v>1.2288894054522801</v>
      </c>
      <c r="AB144" s="21">
        <v>192.61964031709201</v>
      </c>
      <c r="AC144" s="21">
        <v>183.36788237828301</v>
      </c>
      <c r="AD144" s="21">
        <v>181.22668453548701</v>
      </c>
      <c r="AE144" s="22">
        <v>2.1460323393886802E-2</v>
      </c>
      <c r="AF144" s="22">
        <v>-2.7762724278339999E-2</v>
      </c>
      <c r="AG144" s="22">
        <v>-3.9508497003747797E-2</v>
      </c>
      <c r="AZ144" s="17"/>
      <c r="BB144">
        <f t="shared" si="26"/>
        <v>1</v>
      </c>
      <c r="BC144">
        <f t="shared" si="27"/>
        <v>0</v>
      </c>
      <c r="BD144">
        <f t="shared" si="28"/>
        <v>1</v>
      </c>
      <c r="BE144">
        <f t="shared" si="24"/>
        <v>1</v>
      </c>
      <c r="BF144">
        <f t="shared" si="29"/>
        <v>1</v>
      </c>
      <c r="BG144" s="17">
        <f t="shared" si="30"/>
        <v>-1.25635701379424E-2</v>
      </c>
      <c r="BH144" s="17">
        <f t="shared" si="31"/>
        <v>1.05000305141679E-2</v>
      </c>
      <c r="BI144" s="17">
        <f t="shared" si="32"/>
        <v>-2.0635396237745005E-3</v>
      </c>
      <c r="BJ144" s="11">
        <f t="shared" si="33"/>
        <v>4.9602729410602821E-2</v>
      </c>
      <c r="BL144" s="17"/>
      <c r="BN144">
        <f t="shared" si="34"/>
        <v>0</v>
      </c>
      <c r="BO144">
        <f t="shared" si="35"/>
        <v>1</v>
      </c>
      <c r="BP144">
        <f t="shared" si="36"/>
        <v>0</v>
      </c>
      <c r="BQ144">
        <f t="shared" si="25"/>
        <v>1</v>
      </c>
      <c r="BR144">
        <f t="shared" si="37"/>
        <v>0</v>
      </c>
      <c r="BS144" s="17">
        <f t="shared" si="38"/>
        <v>0</v>
      </c>
      <c r="BT144" s="17">
        <f t="shared" si="39"/>
        <v>0</v>
      </c>
      <c r="BU144" s="17">
        <f t="shared" si="40"/>
        <v>0</v>
      </c>
      <c r="BV144" s="11">
        <f t="shared" si="41"/>
        <v>-5.030519903298199E-4</v>
      </c>
      <c r="BX144" s="11">
        <f t="shared" si="42"/>
        <v>-2.0635396237745005E-3</v>
      </c>
      <c r="BY144" s="11">
        <f t="shared" si="43"/>
        <v>4.9099677420272998E-2</v>
      </c>
    </row>
    <row r="145" spans="1:77" x14ac:dyDescent="0.25">
      <c r="A145" s="1">
        <v>46233</v>
      </c>
      <c r="B145" s="21">
        <v>151.46</v>
      </c>
      <c r="C145" s="21">
        <v>189.96</v>
      </c>
      <c r="D145" s="22">
        <v>2.3717583002397999E-2</v>
      </c>
      <c r="E145" s="22">
        <v>7.55637826242944E-3</v>
      </c>
      <c r="F145" s="21">
        <v>0</v>
      </c>
      <c r="G145" s="21">
        <v>0.13809399999999999</v>
      </c>
      <c r="H145" s="21">
        <v>0</v>
      </c>
      <c r="I145" s="21">
        <v>0.145592</v>
      </c>
      <c r="J145" s="21">
        <v>0</v>
      </c>
      <c r="K145" s="21">
        <v>0</v>
      </c>
      <c r="L145" s="21">
        <v>151.46</v>
      </c>
      <c r="M145" s="21">
        <v>189.96</v>
      </c>
      <c r="N145" s="23">
        <v>1.2541925260794899</v>
      </c>
      <c r="O145" s="23">
        <v>1.3022492118915701</v>
      </c>
      <c r="P145" s="23">
        <v>1.24637099354364</v>
      </c>
      <c r="Q145" s="23">
        <v>1.2308772176393601</v>
      </c>
      <c r="R145" s="21">
        <v>197.23866563309701</v>
      </c>
      <c r="S145" s="21">
        <v>188.66302476106699</v>
      </c>
      <c r="T145" s="21">
        <v>186.127589349803</v>
      </c>
      <c r="U145" s="22">
        <v>3.76009724579296E-2</v>
      </c>
      <c r="V145" s="22">
        <v>-6.8510377187292002E-3</v>
      </c>
      <c r="W145" s="22">
        <v>-2.0381120887399701E-2</v>
      </c>
      <c r="X145" s="23">
        <v>1.2541925260794899</v>
      </c>
      <c r="Y145" s="23">
        <v>1.3022759807794699</v>
      </c>
      <c r="Z145" s="23">
        <v>1.24637099354364</v>
      </c>
      <c r="AA145" s="23">
        <v>1.2308772176393601</v>
      </c>
      <c r="AB145" s="21">
        <v>197.24272004885901</v>
      </c>
      <c r="AC145" s="21">
        <v>188.66302476106699</v>
      </c>
      <c r="AD145" s="21">
        <v>186.127589349803</v>
      </c>
      <c r="AE145" s="22">
        <v>3.76215281338554E-2</v>
      </c>
      <c r="AF145" s="22">
        <v>-6.8510377187292002E-3</v>
      </c>
      <c r="AG145" s="22">
        <v>-2.0381120887399701E-2</v>
      </c>
      <c r="AZ145" s="17"/>
      <c r="BB145">
        <f t="shared" si="26"/>
        <v>1</v>
      </c>
      <c r="BC145">
        <f t="shared" si="27"/>
        <v>0</v>
      </c>
      <c r="BD145">
        <f t="shared" si="28"/>
        <v>1</v>
      </c>
      <c r="BE145">
        <f t="shared" si="24"/>
        <v>1</v>
      </c>
      <c r="BF145">
        <f t="shared" si="29"/>
        <v>1</v>
      </c>
      <c r="BG145" s="17">
        <f t="shared" si="30"/>
        <v>2.3717583002397999E-2</v>
      </c>
      <c r="BH145" s="17">
        <f t="shared" si="31"/>
        <v>-7.55637826242944E-3</v>
      </c>
      <c r="BI145" s="17">
        <f t="shared" si="32"/>
        <v>1.6161204739968557E-2</v>
      </c>
      <c r="BJ145" s="11">
        <f t="shared" si="33"/>
        <v>6.5763934150571385E-2</v>
      </c>
      <c r="BL145" s="17"/>
      <c r="BN145">
        <f t="shared" si="34"/>
        <v>0</v>
      </c>
      <c r="BO145">
        <f t="shared" si="35"/>
        <v>1</v>
      </c>
      <c r="BP145">
        <f t="shared" si="36"/>
        <v>0</v>
      </c>
      <c r="BQ145">
        <f t="shared" si="25"/>
        <v>1</v>
      </c>
      <c r="BR145">
        <f t="shared" si="37"/>
        <v>0</v>
      </c>
      <c r="BS145" s="17">
        <f t="shared" si="38"/>
        <v>0</v>
      </c>
      <c r="BT145" s="17">
        <f t="shared" si="39"/>
        <v>0</v>
      </c>
      <c r="BU145" s="17">
        <f t="shared" si="40"/>
        <v>0</v>
      </c>
      <c r="BV145" s="11">
        <f t="shared" si="41"/>
        <v>-5.030519903298199E-4</v>
      </c>
      <c r="BX145" s="11">
        <f t="shared" si="42"/>
        <v>1.6161204739968557E-2</v>
      </c>
      <c r="BY145" s="11">
        <f t="shared" si="43"/>
        <v>6.5260882160241562E-2</v>
      </c>
    </row>
    <row r="146" spans="1:77" x14ac:dyDescent="0.25">
      <c r="A146" s="1">
        <v>46234</v>
      </c>
      <c r="B146" s="21">
        <v>147.01</v>
      </c>
      <c r="C146" s="21">
        <v>186.41</v>
      </c>
      <c r="D146" s="22">
        <v>-2.98209520098019E-2</v>
      </c>
      <c r="E146" s="22">
        <v>-1.8864974799766999E-2</v>
      </c>
      <c r="F146" s="21">
        <v>0</v>
      </c>
      <c r="G146" s="21">
        <v>0.13809399999999999</v>
      </c>
      <c r="H146" s="21">
        <v>0</v>
      </c>
      <c r="I146" s="21">
        <v>0.145592</v>
      </c>
      <c r="J146" s="21">
        <v>0</v>
      </c>
      <c r="K146" s="21">
        <v>0</v>
      </c>
      <c r="L146" s="21">
        <v>147.01</v>
      </c>
      <c r="M146" s="21">
        <v>186.41</v>
      </c>
      <c r="N146" s="23">
        <v>1.2680089789810201</v>
      </c>
      <c r="O146" s="23">
        <v>1.3022492118915701</v>
      </c>
      <c r="P146" s="23">
        <v>1.2501587966666801</v>
      </c>
      <c r="Q146" s="23">
        <v>1.2332967367616701</v>
      </c>
      <c r="R146" s="21">
        <v>191.44365664018</v>
      </c>
      <c r="S146" s="21">
        <v>183.22899976085</v>
      </c>
      <c r="T146" s="21">
        <v>180.951259765163</v>
      </c>
      <c r="U146" s="22">
        <v>2.66449952478948E-2</v>
      </c>
      <c r="V146" s="22">
        <v>-1.72118135307248E-2</v>
      </c>
      <c r="W146" s="22">
        <v>-2.9720836943918499E-2</v>
      </c>
      <c r="X146" s="23">
        <v>1.2680089789810201</v>
      </c>
      <c r="Y146" s="23">
        <v>1.3022759807794699</v>
      </c>
      <c r="Z146" s="23">
        <v>1.2501587966666801</v>
      </c>
      <c r="AA146" s="23">
        <v>1.2332967367616701</v>
      </c>
      <c r="AB146" s="21">
        <v>191.44759193439</v>
      </c>
      <c r="AC146" s="21">
        <v>183.22899976085</v>
      </c>
      <c r="AD146" s="21">
        <v>180.951259765163</v>
      </c>
      <c r="AE146" s="22">
        <v>2.66655509238206E-2</v>
      </c>
      <c r="AF146" s="22">
        <v>-1.72118135307248E-2</v>
      </c>
      <c r="AG146" s="22">
        <v>-2.9720836943918499E-2</v>
      </c>
      <c r="AZ146" s="17"/>
      <c r="BB146">
        <f t="shared" si="26"/>
        <v>1</v>
      </c>
      <c r="BC146">
        <f t="shared" si="27"/>
        <v>0</v>
      </c>
      <c r="BD146">
        <f t="shared" si="28"/>
        <v>1</v>
      </c>
      <c r="BE146">
        <f t="shared" si="24"/>
        <v>1</v>
      </c>
      <c r="BF146">
        <f t="shared" si="29"/>
        <v>1</v>
      </c>
      <c r="BG146" s="17">
        <f t="shared" si="30"/>
        <v>-2.98209520098019E-2</v>
      </c>
      <c r="BH146" s="17">
        <f t="shared" si="31"/>
        <v>1.8864974799766999E-2</v>
      </c>
      <c r="BI146" s="17">
        <f t="shared" si="32"/>
        <v>-1.0955977210034901E-2</v>
      </c>
      <c r="BJ146" s="11">
        <f t="shared" si="33"/>
        <v>5.4807956940536487E-2</v>
      </c>
      <c r="BL146" s="17"/>
      <c r="BN146">
        <f t="shared" si="34"/>
        <v>0</v>
      </c>
      <c r="BO146">
        <f t="shared" si="35"/>
        <v>1</v>
      </c>
      <c r="BP146">
        <f t="shared" si="36"/>
        <v>0</v>
      </c>
      <c r="BQ146">
        <f t="shared" si="25"/>
        <v>1</v>
      </c>
      <c r="BR146">
        <f t="shared" si="37"/>
        <v>0</v>
      </c>
      <c r="BS146" s="17">
        <f t="shared" si="38"/>
        <v>0</v>
      </c>
      <c r="BT146" s="17">
        <f t="shared" si="39"/>
        <v>0</v>
      </c>
      <c r="BU146" s="17">
        <f t="shared" si="40"/>
        <v>0</v>
      </c>
      <c r="BV146" s="11">
        <f t="shared" si="41"/>
        <v>-5.030519903298199E-4</v>
      </c>
      <c r="BX146" s="11">
        <f t="shared" si="42"/>
        <v>-1.0955977210034901E-2</v>
      </c>
      <c r="BY146" s="11">
        <f t="shared" si="43"/>
        <v>5.4304904950206664E-2</v>
      </c>
    </row>
    <row r="147" spans="1:77" x14ac:dyDescent="0.25">
      <c r="A147" s="1">
        <v>46237</v>
      </c>
      <c r="B147" s="21">
        <v>147.31</v>
      </c>
      <c r="C147" s="21">
        <v>185.91</v>
      </c>
      <c r="D147" s="22">
        <v>2.03859815097221E-3</v>
      </c>
      <c r="E147" s="22">
        <v>-2.6858632390283702E-3</v>
      </c>
      <c r="F147" s="21">
        <v>0</v>
      </c>
      <c r="G147" s="21">
        <v>0.13809399999999999</v>
      </c>
      <c r="H147" s="21">
        <v>0</v>
      </c>
      <c r="I147" s="21">
        <v>0.145592</v>
      </c>
      <c r="J147" s="21">
        <v>0</v>
      </c>
      <c r="K147" s="21">
        <v>0</v>
      </c>
      <c r="L147" s="21">
        <v>147.31</v>
      </c>
      <c r="M147" s="21">
        <v>185.91</v>
      </c>
      <c r="N147" s="23">
        <v>1.26203244857782</v>
      </c>
      <c r="O147" s="23">
        <v>1.3022492118915701</v>
      </c>
      <c r="P147" s="23">
        <v>1.25278313599909</v>
      </c>
      <c r="Q147" s="23">
        <v>1.2356714143488201</v>
      </c>
      <c r="R147" s="21">
        <v>191.834331403747</v>
      </c>
      <c r="S147" s="21">
        <v>184.160892336969</v>
      </c>
      <c r="T147" s="21">
        <v>181.67694229236099</v>
      </c>
      <c r="U147" s="22">
        <v>3.1369456637895102E-2</v>
      </c>
      <c r="V147" s="22">
        <v>-9.4528952362766504E-3</v>
      </c>
      <c r="W147" s="22">
        <v>-2.3032618169401199E-2</v>
      </c>
      <c r="X147" s="23">
        <v>1.26203244857782</v>
      </c>
      <c r="Y147" s="23">
        <v>1.3022759807794699</v>
      </c>
      <c r="Z147" s="23">
        <v>1.25278313599909</v>
      </c>
      <c r="AA147" s="23">
        <v>1.2356714143488201</v>
      </c>
      <c r="AB147" s="21">
        <v>191.83827472862399</v>
      </c>
      <c r="AC147" s="21">
        <v>184.16089233696999</v>
      </c>
      <c r="AD147" s="21">
        <v>181.67694229236099</v>
      </c>
      <c r="AE147" s="22">
        <v>3.13900123138212E-2</v>
      </c>
      <c r="AF147" s="22">
        <v>-9.4528952362763104E-3</v>
      </c>
      <c r="AG147" s="22">
        <v>-2.3032618169401199E-2</v>
      </c>
      <c r="AZ147" s="17"/>
      <c r="BB147">
        <f t="shared" si="26"/>
        <v>1</v>
      </c>
      <c r="BC147">
        <f t="shared" si="27"/>
        <v>0</v>
      </c>
      <c r="BD147">
        <f t="shared" si="28"/>
        <v>1</v>
      </c>
      <c r="BE147">
        <f t="shared" si="24"/>
        <v>1</v>
      </c>
      <c r="BF147">
        <f t="shared" si="29"/>
        <v>1</v>
      </c>
      <c r="BG147" s="17">
        <f t="shared" si="30"/>
        <v>2.03859815097221E-3</v>
      </c>
      <c r="BH147" s="17">
        <f t="shared" si="31"/>
        <v>2.6858632390283702E-3</v>
      </c>
      <c r="BI147" s="17">
        <f t="shared" si="32"/>
        <v>4.7244613900005797E-3</v>
      </c>
      <c r="BJ147" s="11">
        <f t="shared" si="33"/>
        <v>5.9532418330537067E-2</v>
      </c>
      <c r="BL147" s="17"/>
      <c r="BN147">
        <f t="shared" si="34"/>
        <v>0</v>
      </c>
      <c r="BO147">
        <f t="shared" si="35"/>
        <v>1</v>
      </c>
      <c r="BP147">
        <f t="shared" si="36"/>
        <v>0</v>
      </c>
      <c r="BQ147">
        <f t="shared" si="25"/>
        <v>1</v>
      </c>
      <c r="BR147">
        <f t="shared" si="37"/>
        <v>0</v>
      </c>
      <c r="BS147" s="17">
        <f t="shared" si="38"/>
        <v>0</v>
      </c>
      <c r="BT147" s="17">
        <f t="shared" si="39"/>
        <v>0</v>
      </c>
      <c r="BU147" s="17">
        <f t="shared" si="40"/>
        <v>0</v>
      </c>
      <c r="BV147" s="11">
        <f t="shared" si="41"/>
        <v>-5.030519903298199E-4</v>
      </c>
      <c r="BX147" s="11">
        <f t="shared" si="42"/>
        <v>4.7244613900005797E-3</v>
      </c>
      <c r="BY147" s="11">
        <f t="shared" si="43"/>
        <v>5.9029366340207244E-2</v>
      </c>
    </row>
    <row r="148" spans="1:77" x14ac:dyDescent="0.25">
      <c r="A148" s="1">
        <v>46238</v>
      </c>
      <c r="B148" s="21">
        <v>151.88</v>
      </c>
      <c r="C148" s="21">
        <v>190.15</v>
      </c>
      <c r="D148" s="22">
        <v>3.0551525536754501E-2</v>
      </c>
      <c r="E148" s="22">
        <v>2.2550548732142899E-2</v>
      </c>
      <c r="F148" s="21">
        <v>0</v>
      </c>
      <c r="G148" s="21">
        <v>0.13809399999999999</v>
      </c>
      <c r="H148" s="21">
        <v>0</v>
      </c>
      <c r="I148" s="21">
        <v>0.145592</v>
      </c>
      <c r="J148" s="21">
        <v>0</v>
      </c>
      <c r="K148" s="21">
        <v>0</v>
      </c>
      <c r="L148" s="21">
        <v>151.88</v>
      </c>
      <c r="M148" s="21">
        <v>190.15</v>
      </c>
      <c r="N148" s="23">
        <v>1.25197524361337</v>
      </c>
      <c r="O148" s="23">
        <v>1.3022492118915701</v>
      </c>
      <c r="P148" s="23">
        <v>1.2554499160238599</v>
      </c>
      <c r="Q148" s="23">
        <v>1.23778625634886</v>
      </c>
      <c r="R148" s="21">
        <v>197.78561030209201</v>
      </c>
      <c r="S148" s="21">
        <v>190.27270269554199</v>
      </c>
      <c r="T148" s="21">
        <v>187.67377441129901</v>
      </c>
      <c r="U148" s="22">
        <v>3.9370433442507E-2</v>
      </c>
      <c r="V148" s="22">
        <v>6.4508610515932505E-4</v>
      </c>
      <c r="W148" s="22">
        <v>-1.3108021314576401E-2</v>
      </c>
      <c r="X148" s="23">
        <v>1.25197524361337</v>
      </c>
      <c r="Y148" s="23">
        <v>1.3022759807794699</v>
      </c>
      <c r="Z148" s="23">
        <v>1.2554499160238599</v>
      </c>
      <c r="AA148" s="23">
        <v>1.23778625634886</v>
      </c>
      <c r="AB148" s="21">
        <v>197.78967596078601</v>
      </c>
      <c r="AC148" s="21">
        <v>190.27270269554199</v>
      </c>
      <c r="AD148" s="21">
        <v>187.67377441129901</v>
      </c>
      <c r="AE148" s="22">
        <v>3.93909891184328E-2</v>
      </c>
      <c r="AF148" s="22">
        <v>6.4508610515932505E-4</v>
      </c>
      <c r="AG148" s="22">
        <v>-1.3108021314576401E-2</v>
      </c>
      <c r="AZ148" s="17"/>
      <c r="BB148">
        <f t="shared" si="26"/>
        <v>0</v>
      </c>
      <c r="BC148">
        <f t="shared" si="27"/>
        <v>0</v>
      </c>
      <c r="BD148">
        <f t="shared" si="28"/>
        <v>1</v>
      </c>
      <c r="BE148">
        <f t="shared" si="24"/>
        <v>1</v>
      </c>
      <c r="BF148">
        <f t="shared" si="29"/>
        <v>1</v>
      </c>
      <c r="BG148" s="17">
        <f t="shared" si="30"/>
        <v>3.0551525536754501E-2</v>
      </c>
      <c r="BH148" s="17">
        <f t="shared" si="31"/>
        <v>-2.2550548732142899E-2</v>
      </c>
      <c r="BI148" s="17">
        <f t="shared" si="32"/>
        <v>8.000976804611603E-3</v>
      </c>
      <c r="BJ148" s="11">
        <f t="shared" si="33"/>
        <v>6.7533395135148666E-2</v>
      </c>
      <c r="BL148" s="17"/>
      <c r="BN148">
        <f t="shared" si="34"/>
        <v>0</v>
      </c>
      <c r="BO148">
        <f t="shared" si="35"/>
        <v>1</v>
      </c>
      <c r="BP148">
        <f t="shared" si="36"/>
        <v>0</v>
      </c>
      <c r="BQ148">
        <f t="shared" si="25"/>
        <v>1</v>
      </c>
      <c r="BR148">
        <f t="shared" si="37"/>
        <v>0</v>
      </c>
      <c r="BS148" s="17">
        <f t="shared" si="38"/>
        <v>0</v>
      </c>
      <c r="BT148" s="17">
        <f t="shared" si="39"/>
        <v>0</v>
      </c>
      <c r="BU148" s="17">
        <f t="shared" si="40"/>
        <v>0</v>
      </c>
      <c r="BV148" s="11">
        <f t="shared" si="41"/>
        <v>-5.030519903298199E-4</v>
      </c>
      <c r="BX148" s="11">
        <f t="shared" si="42"/>
        <v>8.000976804611603E-3</v>
      </c>
      <c r="BY148" s="11">
        <f t="shared" si="43"/>
        <v>6.7030343144818844E-2</v>
      </c>
    </row>
    <row r="149" spans="1:77" x14ac:dyDescent="0.25">
      <c r="A149" s="1">
        <v>46239</v>
      </c>
      <c r="B149" s="21">
        <v>153.01</v>
      </c>
      <c r="C149" s="21">
        <v>191.8</v>
      </c>
      <c r="D149" s="22">
        <v>7.4125433701204496E-3</v>
      </c>
      <c r="E149" s="22">
        <v>8.6399280750692198E-3</v>
      </c>
      <c r="F149" s="21">
        <v>0</v>
      </c>
      <c r="G149" s="21">
        <v>0.13809399999999999</v>
      </c>
      <c r="H149" s="21">
        <v>0</v>
      </c>
      <c r="I149" s="21">
        <v>0.145592</v>
      </c>
      <c r="J149" s="21">
        <v>0</v>
      </c>
      <c r="K149" s="21">
        <v>0</v>
      </c>
      <c r="L149" s="21">
        <v>153.01</v>
      </c>
      <c r="M149" s="21">
        <v>191.8</v>
      </c>
      <c r="N149" s="23">
        <v>1.2535128422978801</v>
      </c>
      <c r="O149" s="23">
        <v>1.3022492118915701</v>
      </c>
      <c r="P149" s="23">
        <v>1.25786385228179</v>
      </c>
      <c r="Q149" s="23">
        <v>1.2402238178354099</v>
      </c>
      <c r="R149" s="21">
        <v>199.25715191152901</v>
      </c>
      <c r="S149" s="21">
        <v>192.096391650811</v>
      </c>
      <c r="T149" s="21">
        <v>189.393675083939</v>
      </c>
      <c r="U149" s="22">
        <v>3.8143048737558201E-2</v>
      </c>
      <c r="V149" s="22">
        <v>1.5441234465796399E-3</v>
      </c>
      <c r="W149" s="22">
        <v>-1.2625376743145299E-2</v>
      </c>
      <c r="X149" s="23">
        <v>1.2535128422978801</v>
      </c>
      <c r="Y149" s="23">
        <v>1.3022759807794699</v>
      </c>
      <c r="Z149" s="23">
        <v>1.25786385228179</v>
      </c>
      <c r="AA149" s="23">
        <v>1.2402238178354099</v>
      </c>
      <c r="AB149" s="21">
        <v>199.26124781906699</v>
      </c>
      <c r="AC149" s="21">
        <v>192.096391650811</v>
      </c>
      <c r="AD149" s="21">
        <v>189.393675083939</v>
      </c>
      <c r="AE149" s="22">
        <v>3.8163604413484299E-2</v>
      </c>
      <c r="AF149" s="22">
        <v>1.5441234465796399E-3</v>
      </c>
      <c r="AG149" s="22">
        <v>-1.2625376743145299E-2</v>
      </c>
      <c r="AZ149" s="17"/>
      <c r="BB149">
        <f t="shared" si="26"/>
        <v>0</v>
      </c>
      <c r="BC149">
        <f t="shared" si="27"/>
        <v>0</v>
      </c>
      <c r="BD149">
        <f t="shared" si="28"/>
        <v>1</v>
      </c>
      <c r="BE149">
        <f t="shared" si="24"/>
        <v>1</v>
      </c>
      <c r="BF149">
        <f t="shared" si="29"/>
        <v>1</v>
      </c>
      <c r="BG149" s="17">
        <f t="shared" si="30"/>
        <v>7.4125433701204496E-3</v>
      </c>
      <c r="BH149" s="17">
        <f t="shared" si="31"/>
        <v>-8.6399280750692198E-3</v>
      </c>
      <c r="BI149" s="17">
        <f t="shared" si="32"/>
        <v>-1.2273847049487701E-3</v>
      </c>
      <c r="BJ149" s="11">
        <f t="shared" si="33"/>
        <v>6.6306010430199902E-2</v>
      </c>
      <c r="BL149" s="17"/>
      <c r="BN149">
        <f t="shared" si="34"/>
        <v>0</v>
      </c>
      <c r="BO149">
        <f t="shared" si="35"/>
        <v>1</v>
      </c>
      <c r="BP149">
        <f t="shared" si="36"/>
        <v>0</v>
      </c>
      <c r="BQ149">
        <f t="shared" si="25"/>
        <v>1</v>
      </c>
      <c r="BR149">
        <f t="shared" si="37"/>
        <v>0</v>
      </c>
      <c r="BS149" s="17">
        <f t="shared" si="38"/>
        <v>0</v>
      </c>
      <c r="BT149" s="17">
        <f t="shared" si="39"/>
        <v>0</v>
      </c>
      <c r="BU149" s="17">
        <f t="shared" si="40"/>
        <v>0</v>
      </c>
      <c r="BV149" s="11">
        <f t="shared" si="41"/>
        <v>-5.030519903298199E-4</v>
      </c>
      <c r="BX149" s="11">
        <f t="shared" si="42"/>
        <v>-1.2273847049487701E-3</v>
      </c>
      <c r="BY149" s="11">
        <f t="shared" si="43"/>
        <v>6.580295843987008E-2</v>
      </c>
    </row>
    <row r="150" spans="1:77" x14ac:dyDescent="0.25">
      <c r="A150" s="1">
        <v>46240</v>
      </c>
      <c r="B150" s="21">
        <v>154.5</v>
      </c>
      <c r="C150" s="21">
        <v>192.97</v>
      </c>
      <c r="D150" s="22">
        <v>9.6908176040780992E-3</v>
      </c>
      <c r="E150" s="22">
        <v>6.0815739589265196E-3</v>
      </c>
      <c r="F150" s="21">
        <v>0</v>
      </c>
      <c r="G150" s="21">
        <v>0.13809399999999999</v>
      </c>
      <c r="H150" s="21">
        <v>0</v>
      </c>
      <c r="I150" s="21">
        <v>0.145592</v>
      </c>
      <c r="J150" s="21">
        <v>0</v>
      </c>
      <c r="K150" s="21">
        <v>0</v>
      </c>
      <c r="L150" s="21">
        <v>154.5</v>
      </c>
      <c r="M150" s="21">
        <v>192.97</v>
      </c>
      <c r="N150" s="23">
        <v>1.24899676375404</v>
      </c>
      <c r="O150" s="23">
        <v>1.3022492118915701</v>
      </c>
      <c r="P150" s="23">
        <v>1.2586224263777499</v>
      </c>
      <c r="Q150" s="23">
        <v>1.2426115669069699</v>
      </c>
      <c r="R150" s="21">
        <v>201.19750323724799</v>
      </c>
      <c r="S150" s="21">
        <v>194.33996517753599</v>
      </c>
      <c r="T150" s="21">
        <v>191.614579855572</v>
      </c>
      <c r="U150" s="22">
        <v>4.1752292382709597E-2</v>
      </c>
      <c r="V150" s="22">
        <v>7.0742868198124002E-3</v>
      </c>
      <c r="W150" s="22">
        <v>-7.0487784869981201E-3</v>
      </c>
      <c r="X150" s="23">
        <v>1.24899676375404</v>
      </c>
      <c r="Y150" s="23">
        <v>1.3022759807794699</v>
      </c>
      <c r="Z150" s="23">
        <v>1.2586224263777499</v>
      </c>
      <c r="AA150" s="23">
        <v>1.2426115669069699</v>
      </c>
      <c r="AB150" s="21">
        <v>201.201639030428</v>
      </c>
      <c r="AC150" s="21">
        <v>194.33996517753599</v>
      </c>
      <c r="AD150" s="21">
        <v>191.614579855572</v>
      </c>
      <c r="AE150" s="22">
        <v>4.1772848058635799E-2</v>
      </c>
      <c r="AF150" s="22">
        <v>7.0742868198126196E-3</v>
      </c>
      <c r="AG150" s="22">
        <v>-7.0487784869981201E-3</v>
      </c>
      <c r="AZ150" s="17"/>
      <c r="BB150">
        <f t="shared" si="26"/>
        <v>0</v>
      </c>
      <c r="BC150">
        <f t="shared" si="27"/>
        <v>1</v>
      </c>
      <c r="BD150">
        <f t="shared" si="28"/>
        <v>1</v>
      </c>
      <c r="BE150">
        <f t="shared" ref="BE150:BE167" si="44">IF(F151+H151&gt;0,0,1)</f>
        <v>1</v>
      </c>
      <c r="BF150">
        <f t="shared" si="29"/>
        <v>1</v>
      </c>
      <c r="BG150" s="17">
        <f t="shared" si="30"/>
        <v>9.6908176040780992E-3</v>
      </c>
      <c r="BH150" s="17">
        <f t="shared" si="31"/>
        <v>-6.0815739589265196E-3</v>
      </c>
      <c r="BI150" s="17">
        <f t="shared" si="32"/>
        <v>3.6092436451515796E-3</v>
      </c>
      <c r="BJ150" s="11">
        <f t="shared" si="33"/>
        <v>6.9915254075351485E-2</v>
      </c>
      <c r="BL150" s="17"/>
      <c r="BN150">
        <f t="shared" si="34"/>
        <v>0</v>
      </c>
      <c r="BO150">
        <f t="shared" si="35"/>
        <v>1</v>
      </c>
      <c r="BP150">
        <f t="shared" si="36"/>
        <v>0</v>
      </c>
      <c r="BQ150">
        <f t="shared" ref="BQ150:BQ167" si="45">IF(F151+H151&gt;0,0,1)</f>
        <v>1</v>
      </c>
      <c r="BR150">
        <f t="shared" si="37"/>
        <v>0</v>
      </c>
      <c r="BS150" s="17">
        <f t="shared" si="38"/>
        <v>0</v>
      </c>
      <c r="BT150" s="17">
        <f t="shared" si="39"/>
        <v>0</v>
      </c>
      <c r="BU150" s="17">
        <f t="shared" si="40"/>
        <v>0</v>
      </c>
      <c r="BV150" s="11">
        <f t="shared" si="41"/>
        <v>-5.030519903298199E-4</v>
      </c>
      <c r="BX150" s="11">
        <f t="shared" si="42"/>
        <v>3.6092436451515796E-3</v>
      </c>
      <c r="BY150" s="11">
        <f t="shared" si="43"/>
        <v>6.9412202085021663E-2</v>
      </c>
    </row>
    <row r="151" spans="1:77" x14ac:dyDescent="0.25">
      <c r="A151" s="1">
        <v>46241</v>
      </c>
      <c r="B151" s="21">
        <v>157.37</v>
      </c>
      <c r="C151" s="21">
        <v>197.71</v>
      </c>
      <c r="D151" s="22">
        <v>1.8405624274972901E-2</v>
      </c>
      <c r="E151" s="22">
        <v>2.4266574178524701E-2</v>
      </c>
      <c r="F151" s="21">
        <v>0</v>
      </c>
      <c r="G151" s="21">
        <v>0.13809399999999999</v>
      </c>
      <c r="H151" s="21">
        <v>0</v>
      </c>
      <c r="I151" s="21">
        <v>0.145592</v>
      </c>
      <c r="J151" s="21">
        <v>0</v>
      </c>
      <c r="K151" s="21">
        <v>0</v>
      </c>
      <c r="L151" s="21">
        <v>157.37</v>
      </c>
      <c r="M151" s="21">
        <v>197.71</v>
      </c>
      <c r="N151" s="23">
        <v>1.25633856516489</v>
      </c>
      <c r="O151" s="23">
        <v>1.3022492118915701</v>
      </c>
      <c r="P151" s="23">
        <v>1.2592297012887099</v>
      </c>
      <c r="Q151" s="23">
        <v>1.24504366211485</v>
      </c>
      <c r="R151" s="21">
        <v>204.93495847537699</v>
      </c>
      <c r="S151" s="21">
        <v>198.069411239066</v>
      </c>
      <c r="T151" s="21">
        <v>195.54978228415101</v>
      </c>
      <c r="U151" s="22">
        <v>3.5891342479157901E-2</v>
      </c>
      <c r="V151" s="22">
        <v>1.8162204887785E-3</v>
      </c>
      <c r="W151" s="22">
        <v>-1.09863227371963E-2</v>
      </c>
      <c r="X151" s="23">
        <v>1.25633856516489</v>
      </c>
      <c r="Y151" s="23">
        <v>1.3022759807794699</v>
      </c>
      <c r="Z151" s="23">
        <v>1.2592297012887099</v>
      </c>
      <c r="AA151" s="23">
        <v>1.24504366211485</v>
      </c>
      <c r="AB151" s="21">
        <v>204.93917109526501</v>
      </c>
      <c r="AC151" s="21">
        <v>198.069411239066</v>
      </c>
      <c r="AD151" s="21">
        <v>195.54978228415101</v>
      </c>
      <c r="AE151" s="22">
        <v>3.5911898155084103E-2</v>
      </c>
      <c r="AF151" s="22">
        <v>1.8162204887787201E-3</v>
      </c>
      <c r="AG151" s="22">
        <v>-1.09863227371962E-2</v>
      </c>
      <c r="AZ151" s="17"/>
      <c r="BB151">
        <f t="shared" ref="BB151:BB167" si="46">IF($AG151&lt;BA$20,1,0)</f>
        <v>0</v>
      </c>
      <c r="BC151">
        <f t="shared" ref="BC151:BC167" si="47">IF($AG151&gt;BA$21,1,0)</f>
        <v>0</v>
      </c>
      <c r="BD151">
        <f t="shared" ref="BD151:BD167" si="48">BF151</f>
        <v>0</v>
      </c>
      <c r="BE151">
        <f t="shared" si="44"/>
        <v>1</v>
      </c>
      <c r="BF151">
        <f t="shared" ref="BF151:BF167" si="49">IF(BB150,1,IF(BC150,0,BD150))*BE150</f>
        <v>0</v>
      </c>
      <c r="BG151" s="17">
        <f t="shared" ref="BG151:BG167" si="50">BF151*D151</f>
        <v>0</v>
      </c>
      <c r="BH151" s="17">
        <f t="shared" ref="BH151:BH167" si="51">-BF151*$E151</f>
        <v>0</v>
      </c>
      <c r="BI151" s="17">
        <f t="shared" ref="BI151:BI167" si="52">BG151+BH151</f>
        <v>0</v>
      </c>
      <c r="BJ151" s="11">
        <f t="shared" ref="BJ151:BJ167" si="53">BJ150+BI151</f>
        <v>6.9915254075351485E-2</v>
      </c>
      <c r="BL151" s="17"/>
      <c r="BN151">
        <f t="shared" ref="BN151:BN167" si="54">IF($AG151&gt;BM$20,1,0)</f>
        <v>0</v>
      </c>
      <c r="BO151">
        <f t="shared" ref="BO151:BO167" si="55">IF($AG151&lt;BM$21,1,0)</f>
        <v>1</v>
      </c>
      <c r="BP151">
        <f t="shared" ref="BP151:BP167" si="56">BR151</f>
        <v>0</v>
      </c>
      <c r="BQ151">
        <f t="shared" si="45"/>
        <v>1</v>
      </c>
      <c r="BR151">
        <f t="shared" ref="BR151:BR167" si="57">IF(BN150,1,IF(BO150,0,BP150))*BQ150</f>
        <v>0</v>
      </c>
      <c r="BS151" s="17">
        <f t="shared" ref="BS151:BS167" si="58">-BR151*D151</f>
        <v>0</v>
      </c>
      <c r="BT151" s="17">
        <f t="shared" ref="BT151:BT167" si="59">BR151*$E151</f>
        <v>0</v>
      </c>
      <c r="BU151" s="17">
        <f t="shared" ref="BU151:BU167" si="60">BS151+BT151</f>
        <v>0</v>
      </c>
      <c r="BV151" s="11">
        <f t="shared" ref="BV151:BV167" si="61">BV150+BU151</f>
        <v>-5.030519903298199E-4</v>
      </c>
      <c r="BX151" s="11">
        <f t="shared" ref="BX151:BX167" si="62">BI151+BU151</f>
        <v>0</v>
      </c>
      <c r="BY151" s="11">
        <f t="shared" ref="BY151:BY167" si="63">BY150+BX151</f>
        <v>6.9412202085021663E-2</v>
      </c>
    </row>
    <row r="152" spans="1:77" x14ac:dyDescent="0.25">
      <c r="A152" s="1">
        <v>46244</v>
      </c>
      <c r="B152" s="21">
        <v>158.03</v>
      </c>
      <c r="C152" s="21">
        <v>200.02</v>
      </c>
      <c r="D152" s="22">
        <v>4.1851678082393297E-3</v>
      </c>
      <c r="E152" s="22">
        <v>1.16160509615808E-2</v>
      </c>
      <c r="F152" s="21">
        <v>0</v>
      </c>
      <c r="G152" s="21">
        <v>0.13809399999999999</v>
      </c>
      <c r="H152" s="21">
        <v>0</v>
      </c>
      <c r="I152" s="21">
        <v>0.145592</v>
      </c>
      <c r="J152" s="21">
        <v>0</v>
      </c>
      <c r="K152" s="21">
        <v>0</v>
      </c>
      <c r="L152" s="21">
        <v>158.03</v>
      </c>
      <c r="M152" s="21">
        <v>200.02</v>
      </c>
      <c r="N152" s="23">
        <v>1.26570904258685</v>
      </c>
      <c r="O152" s="23">
        <v>1.3022492118915701</v>
      </c>
      <c r="P152" s="23">
        <v>1.26073918048597</v>
      </c>
      <c r="Q152" s="23">
        <v>1.24731778425836</v>
      </c>
      <c r="R152" s="21">
        <v>205.79444295522501</v>
      </c>
      <c r="S152" s="21">
        <v>198.99606969465501</v>
      </c>
      <c r="T152" s="21">
        <v>196.75424992401</v>
      </c>
      <c r="U152" s="22">
        <v>2.8460459325816499E-2</v>
      </c>
      <c r="V152" s="22">
        <v>-5.1322872970315297E-3</v>
      </c>
      <c r="W152" s="22">
        <v>-1.6461873853852099E-2</v>
      </c>
      <c r="X152" s="23">
        <v>1.26570904258685</v>
      </c>
      <c r="Y152" s="23">
        <v>1.3022759807794699</v>
      </c>
      <c r="Z152" s="23">
        <v>1.26073918048597</v>
      </c>
      <c r="AA152" s="23">
        <v>1.24731778425836</v>
      </c>
      <c r="AB152" s="21">
        <v>205.79867324258001</v>
      </c>
      <c r="AC152" s="21">
        <v>198.99606969465501</v>
      </c>
      <c r="AD152" s="21">
        <v>196.75424992401</v>
      </c>
      <c r="AE152" s="22">
        <v>2.84810150017424E-2</v>
      </c>
      <c r="AF152" s="22">
        <v>-5.1322872970315297E-3</v>
      </c>
      <c r="AG152" s="22">
        <v>-1.6461873853852099E-2</v>
      </c>
      <c r="AZ152" s="17"/>
      <c r="BB152">
        <f t="shared" si="46"/>
        <v>1</v>
      </c>
      <c r="BC152">
        <f t="shared" si="47"/>
        <v>0</v>
      </c>
      <c r="BD152">
        <f t="shared" si="48"/>
        <v>0</v>
      </c>
      <c r="BE152">
        <f t="shared" si="44"/>
        <v>1</v>
      </c>
      <c r="BF152">
        <f t="shared" si="49"/>
        <v>0</v>
      </c>
      <c r="BG152" s="17">
        <f t="shared" si="50"/>
        <v>0</v>
      </c>
      <c r="BH152" s="17">
        <f t="shared" si="51"/>
        <v>0</v>
      </c>
      <c r="BI152" s="17">
        <f t="shared" si="52"/>
        <v>0</v>
      </c>
      <c r="BJ152" s="11">
        <f t="shared" si="53"/>
        <v>6.9915254075351485E-2</v>
      </c>
      <c r="BL152" s="17"/>
      <c r="BN152">
        <f t="shared" si="54"/>
        <v>0</v>
      </c>
      <c r="BO152">
        <f t="shared" si="55"/>
        <v>1</v>
      </c>
      <c r="BP152">
        <f t="shared" si="56"/>
        <v>0</v>
      </c>
      <c r="BQ152">
        <f t="shared" si="45"/>
        <v>1</v>
      </c>
      <c r="BR152">
        <f t="shared" si="57"/>
        <v>0</v>
      </c>
      <c r="BS152" s="17">
        <f t="shared" si="58"/>
        <v>0</v>
      </c>
      <c r="BT152" s="17">
        <f t="shared" si="59"/>
        <v>0</v>
      </c>
      <c r="BU152" s="17">
        <f t="shared" si="60"/>
        <v>0</v>
      </c>
      <c r="BV152" s="11">
        <f t="shared" si="61"/>
        <v>-5.030519903298199E-4</v>
      </c>
      <c r="BX152" s="11">
        <f t="shared" si="62"/>
        <v>0</v>
      </c>
      <c r="BY152" s="11">
        <f t="shared" si="63"/>
        <v>6.9412202085021663E-2</v>
      </c>
    </row>
    <row r="153" spans="1:77" x14ac:dyDescent="0.25">
      <c r="A153" s="1">
        <v>46245</v>
      </c>
      <c r="B153" s="21">
        <v>158.07</v>
      </c>
      <c r="C153" s="21">
        <v>199.74</v>
      </c>
      <c r="D153" s="22">
        <v>2.5308446829157798E-4</v>
      </c>
      <c r="E153" s="22">
        <v>-1.40084073338142E-3</v>
      </c>
      <c r="F153" s="21">
        <v>0</v>
      </c>
      <c r="G153" s="21">
        <v>0.13809399999999999</v>
      </c>
      <c r="H153" s="21">
        <v>0</v>
      </c>
      <c r="I153" s="21">
        <v>0.145592</v>
      </c>
      <c r="J153" s="21">
        <v>0</v>
      </c>
      <c r="K153" s="21">
        <v>0</v>
      </c>
      <c r="L153" s="21">
        <v>158.07</v>
      </c>
      <c r="M153" s="21">
        <v>199.74</v>
      </c>
      <c r="N153" s="23">
        <v>1.2636173847029799</v>
      </c>
      <c r="O153" s="23">
        <v>1.3022492118915701</v>
      </c>
      <c r="P153" s="23">
        <v>1.2599010257796099</v>
      </c>
      <c r="Q153" s="23">
        <v>1.24981354574182</v>
      </c>
      <c r="R153" s="21">
        <v>205.84653292370101</v>
      </c>
      <c r="S153" s="21">
        <v>199.285042259417</v>
      </c>
      <c r="T153" s="21">
        <v>197.163522157719</v>
      </c>
      <c r="U153" s="22">
        <v>3.01143845274894E-2</v>
      </c>
      <c r="V153" s="22">
        <v>-2.2803477954869401E-3</v>
      </c>
      <c r="W153" s="22">
        <v>-1.2983074673395399E-2</v>
      </c>
      <c r="X153" s="23">
        <v>1.2636173847029799</v>
      </c>
      <c r="Y153" s="23">
        <v>1.3022759807794699</v>
      </c>
      <c r="Z153" s="23">
        <v>1.2599010257796099</v>
      </c>
      <c r="AA153" s="23">
        <v>1.24981354574182</v>
      </c>
      <c r="AB153" s="21">
        <v>205.850764281811</v>
      </c>
      <c r="AC153" s="21">
        <v>199.285042259417</v>
      </c>
      <c r="AD153" s="21">
        <v>197.163522157719</v>
      </c>
      <c r="AE153" s="22">
        <v>3.0134940203415499E-2</v>
      </c>
      <c r="AF153" s="22">
        <v>-2.2803477954870602E-3</v>
      </c>
      <c r="AG153" s="22">
        <v>-1.2983074673395399E-2</v>
      </c>
      <c r="AZ153" s="17"/>
      <c r="BB153">
        <f t="shared" si="46"/>
        <v>0</v>
      </c>
      <c r="BC153">
        <f t="shared" si="47"/>
        <v>0</v>
      </c>
      <c r="BD153">
        <f t="shared" si="48"/>
        <v>1</v>
      </c>
      <c r="BE153">
        <f t="shared" si="44"/>
        <v>1</v>
      </c>
      <c r="BF153">
        <f t="shared" si="49"/>
        <v>1</v>
      </c>
      <c r="BG153" s="17">
        <f t="shared" si="50"/>
        <v>2.5308446829157798E-4</v>
      </c>
      <c r="BH153" s="17">
        <f t="shared" si="51"/>
        <v>1.40084073338142E-3</v>
      </c>
      <c r="BI153" s="17">
        <f t="shared" si="52"/>
        <v>1.6539252016729981E-3</v>
      </c>
      <c r="BJ153" s="11">
        <f t="shared" si="53"/>
        <v>7.1569179277024483E-2</v>
      </c>
      <c r="BL153" s="17"/>
      <c r="BN153">
        <f t="shared" si="54"/>
        <v>0</v>
      </c>
      <c r="BO153">
        <f t="shared" si="55"/>
        <v>1</v>
      </c>
      <c r="BP153">
        <f t="shared" si="56"/>
        <v>0</v>
      </c>
      <c r="BQ153">
        <f t="shared" si="45"/>
        <v>1</v>
      </c>
      <c r="BR153">
        <f t="shared" si="57"/>
        <v>0</v>
      </c>
      <c r="BS153" s="17">
        <f t="shared" si="58"/>
        <v>0</v>
      </c>
      <c r="BT153" s="17">
        <f t="shared" si="59"/>
        <v>0</v>
      </c>
      <c r="BU153" s="17">
        <f t="shared" si="60"/>
        <v>0</v>
      </c>
      <c r="BV153" s="11">
        <f t="shared" si="61"/>
        <v>-5.030519903298199E-4</v>
      </c>
      <c r="BX153" s="11">
        <f t="shared" si="62"/>
        <v>1.6539252016729981E-3</v>
      </c>
      <c r="BY153" s="11">
        <f t="shared" si="63"/>
        <v>7.1066127286694661E-2</v>
      </c>
    </row>
    <row r="154" spans="1:77" x14ac:dyDescent="0.25">
      <c r="A154" s="1">
        <v>46246</v>
      </c>
      <c r="B154" s="21">
        <v>159.38999999999999</v>
      </c>
      <c r="C154" s="21">
        <v>200.72</v>
      </c>
      <c r="D154" s="22">
        <v>8.3160562416573804E-3</v>
      </c>
      <c r="E154" s="22">
        <v>4.8943812431782698E-3</v>
      </c>
      <c r="F154" s="21">
        <v>0</v>
      </c>
      <c r="G154" s="21">
        <v>0.13809399999999999</v>
      </c>
      <c r="H154" s="21">
        <v>0</v>
      </c>
      <c r="I154" s="21">
        <v>0.145592</v>
      </c>
      <c r="J154" s="21">
        <v>0</v>
      </c>
      <c r="K154" s="21">
        <v>0</v>
      </c>
      <c r="L154" s="21">
        <v>159.38999999999999</v>
      </c>
      <c r="M154" s="21">
        <v>200.72</v>
      </c>
      <c r="N154" s="23">
        <v>1.25930108538804</v>
      </c>
      <c r="O154" s="23">
        <v>1.3022492118915701</v>
      </c>
      <c r="P154" s="23">
        <v>1.25836848811464</v>
      </c>
      <c r="Q154" s="23">
        <v>1.2519989303146399</v>
      </c>
      <c r="R154" s="21">
        <v>207.56550188339801</v>
      </c>
      <c r="S154" s="21">
        <v>200.81562449901199</v>
      </c>
      <c r="T154" s="21">
        <v>199.20778105578799</v>
      </c>
      <c r="U154" s="22">
        <v>3.3536059525968803E-2</v>
      </c>
      <c r="V154" s="22">
        <v>4.7629398232970199E-4</v>
      </c>
      <c r="W154" s="22">
        <v>-7.5624961455061403E-3</v>
      </c>
      <c r="X154" s="23">
        <v>1.25930108538804</v>
      </c>
      <c r="Y154" s="23">
        <v>1.3022759807794699</v>
      </c>
      <c r="Z154" s="23">
        <v>1.25836848811464</v>
      </c>
      <c r="AA154" s="23">
        <v>1.2519989303146399</v>
      </c>
      <c r="AB154" s="21">
        <v>207.56976857644</v>
      </c>
      <c r="AC154" s="21">
        <v>200.81562449901199</v>
      </c>
      <c r="AD154" s="21">
        <v>199.20778105578799</v>
      </c>
      <c r="AE154" s="22">
        <v>3.35566152018947E-2</v>
      </c>
      <c r="AF154" s="22">
        <v>4.7629398232970199E-4</v>
      </c>
      <c r="AG154" s="22">
        <v>-7.5624961455062504E-3</v>
      </c>
      <c r="AZ154" s="17"/>
      <c r="BB154">
        <f t="shared" si="46"/>
        <v>0</v>
      </c>
      <c r="BC154">
        <f t="shared" si="47"/>
        <v>1</v>
      </c>
      <c r="BD154">
        <f t="shared" si="48"/>
        <v>1</v>
      </c>
      <c r="BE154">
        <f t="shared" si="44"/>
        <v>1</v>
      </c>
      <c r="BF154">
        <f t="shared" si="49"/>
        <v>1</v>
      </c>
      <c r="BG154" s="17">
        <f t="shared" si="50"/>
        <v>8.3160562416573804E-3</v>
      </c>
      <c r="BH154" s="17">
        <f t="shared" si="51"/>
        <v>-4.8943812431782698E-3</v>
      </c>
      <c r="BI154" s="17">
        <f t="shared" si="52"/>
        <v>3.4216749984791106E-3</v>
      </c>
      <c r="BJ154" s="11">
        <f t="shared" si="53"/>
        <v>7.4990854275503588E-2</v>
      </c>
      <c r="BL154" s="17"/>
      <c r="BN154">
        <f t="shared" si="54"/>
        <v>0</v>
      </c>
      <c r="BO154">
        <f t="shared" si="55"/>
        <v>1</v>
      </c>
      <c r="BP154">
        <f t="shared" si="56"/>
        <v>0</v>
      </c>
      <c r="BQ154">
        <f t="shared" si="45"/>
        <v>1</v>
      </c>
      <c r="BR154">
        <f t="shared" si="57"/>
        <v>0</v>
      </c>
      <c r="BS154" s="17">
        <f t="shared" si="58"/>
        <v>0</v>
      </c>
      <c r="BT154" s="17">
        <f t="shared" si="59"/>
        <v>0</v>
      </c>
      <c r="BU154" s="17">
        <f t="shared" si="60"/>
        <v>0</v>
      </c>
      <c r="BV154" s="11">
        <f t="shared" si="61"/>
        <v>-5.030519903298199E-4</v>
      </c>
      <c r="BX154" s="11">
        <f t="shared" si="62"/>
        <v>3.4216749984791106E-3</v>
      </c>
      <c r="BY154" s="11">
        <f t="shared" si="63"/>
        <v>7.4487802285173765E-2</v>
      </c>
    </row>
    <row r="155" spans="1:77" x14ac:dyDescent="0.25">
      <c r="A155" s="1">
        <v>46247</v>
      </c>
      <c r="B155" s="21">
        <v>156.86000000000001</v>
      </c>
      <c r="C155" s="21">
        <v>198.94</v>
      </c>
      <c r="D155" s="22">
        <v>-1.6000341346440902E-2</v>
      </c>
      <c r="E155" s="22">
        <v>-8.9076303338989707E-3</v>
      </c>
      <c r="F155" s="21">
        <v>0</v>
      </c>
      <c r="G155" s="21">
        <v>0.13809399999999999</v>
      </c>
      <c r="H155" s="21">
        <v>0</v>
      </c>
      <c r="I155" s="21">
        <v>0.145592</v>
      </c>
      <c r="J155" s="21">
        <v>0</v>
      </c>
      <c r="K155" s="21">
        <v>0</v>
      </c>
      <c r="L155" s="21">
        <v>156.86000000000001</v>
      </c>
      <c r="M155" s="21">
        <v>198.94</v>
      </c>
      <c r="N155" s="23">
        <v>1.2682646946321501</v>
      </c>
      <c r="O155" s="23">
        <v>1.3022492118915701</v>
      </c>
      <c r="P155" s="23">
        <v>1.2597757049699001</v>
      </c>
      <c r="Q155" s="23">
        <v>1.2530733492567701</v>
      </c>
      <c r="R155" s="21">
        <v>204.27081137731199</v>
      </c>
      <c r="S155" s="21">
        <v>197.38768104566199</v>
      </c>
      <c r="T155" s="21">
        <v>196.388552209154</v>
      </c>
      <c r="U155" s="22">
        <v>2.6443348513426699E-2</v>
      </c>
      <c r="V155" s="22">
        <v>-7.8335527225653397E-3</v>
      </c>
      <c r="W155" s="22">
        <v>-1.29081656434823E-2</v>
      </c>
      <c r="X155" s="23">
        <v>1.2682646946321501</v>
      </c>
      <c r="Y155" s="23">
        <v>1.3022759807794699</v>
      </c>
      <c r="Z155" s="23">
        <v>1.2597757049699001</v>
      </c>
      <c r="AA155" s="23">
        <v>1.2530733492567701</v>
      </c>
      <c r="AB155" s="21">
        <v>204.27501034506801</v>
      </c>
      <c r="AC155" s="21">
        <v>197.38768104566199</v>
      </c>
      <c r="AD155" s="21">
        <v>196.388552209154</v>
      </c>
      <c r="AE155" s="22">
        <v>2.6463904189352599E-2</v>
      </c>
      <c r="AF155" s="22">
        <v>-7.8335527225651194E-3</v>
      </c>
      <c r="AG155" s="22">
        <v>-1.29081656434824E-2</v>
      </c>
      <c r="AZ155" s="17"/>
      <c r="BB155">
        <f t="shared" si="46"/>
        <v>0</v>
      </c>
      <c r="BC155">
        <f t="shared" si="47"/>
        <v>0</v>
      </c>
      <c r="BD155">
        <f t="shared" si="48"/>
        <v>0</v>
      </c>
      <c r="BE155">
        <f t="shared" si="44"/>
        <v>1</v>
      </c>
      <c r="BF155">
        <f t="shared" si="49"/>
        <v>0</v>
      </c>
      <c r="BG155" s="17">
        <f t="shared" si="50"/>
        <v>0</v>
      </c>
      <c r="BH155" s="17">
        <f t="shared" si="51"/>
        <v>0</v>
      </c>
      <c r="BI155" s="17">
        <f t="shared" si="52"/>
        <v>0</v>
      </c>
      <c r="BJ155" s="11">
        <f t="shared" si="53"/>
        <v>7.4990854275503588E-2</v>
      </c>
      <c r="BL155" s="17"/>
      <c r="BN155">
        <f t="shared" si="54"/>
        <v>0</v>
      </c>
      <c r="BO155">
        <f t="shared" si="55"/>
        <v>1</v>
      </c>
      <c r="BP155">
        <f t="shared" si="56"/>
        <v>0</v>
      </c>
      <c r="BQ155">
        <f t="shared" si="45"/>
        <v>1</v>
      </c>
      <c r="BR155">
        <f t="shared" si="57"/>
        <v>0</v>
      </c>
      <c r="BS155" s="17">
        <f t="shared" si="58"/>
        <v>0</v>
      </c>
      <c r="BT155" s="17">
        <f t="shared" si="59"/>
        <v>0</v>
      </c>
      <c r="BU155" s="17">
        <f t="shared" si="60"/>
        <v>0</v>
      </c>
      <c r="BV155" s="11">
        <f t="shared" si="61"/>
        <v>-5.030519903298199E-4</v>
      </c>
      <c r="BX155" s="11">
        <f t="shared" si="62"/>
        <v>0</v>
      </c>
      <c r="BY155" s="11">
        <f t="shared" si="63"/>
        <v>7.4487802285173765E-2</v>
      </c>
    </row>
    <row r="156" spans="1:77" x14ac:dyDescent="0.25">
      <c r="A156" s="1">
        <v>46248</v>
      </c>
      <c r="B156" s="21">
        <v>157.41</v>
      </c>
      <c r="C156" s="21">
        <v>198.26</v>
      </c>
      <c r="D156" s="22">
        <v>3.50017858220962E-3</v>
      </c>
      <c r="E156" s="22">
        <v>-3.4239711195164502E-3</v>
      </c>
      <c r="F156" s="21">
        <v>0</v>
      </c>
      <c r="G156" s="21">
        <v>0.13809399999999999</v>
      </c>
      <c r="H156" s="21">
        <v>0</v>
      </c>
      <c r="I156" s="21">
        <v>0.145592</v>
      </c>
      <c r="J156" s="21">
        <v>0</v>
      </c>
      <c r="K156" s="21">
        <v>0</v>
      </c>
      <c r="L156" s="21">
        <v>157.41</v>
      </c>
      <c r="M156" s="21">
        <v>198.26</v>
      </c>
      <c r="N156" s="23">
        <v>1.25951337272091</v>
      </c>
      <c r="O156" s="23">
        <v>1.3022492118915701</v>
      </c>
      <c r="P156" s="23">
        <v>1.2589261443438899</v>
      </c>
      <c r="Q156" s="23">
        <v>1.2545424705052901</v>
      </c>
      <c r="R156" s="21">
        <v>204.98704844385199</v>
      </c>
      <c r="S156" s="21">
        <v>198.30129371931301</v>
      </c>
      <c r="T156" s="21">
        <v>197.246275906509</v>
      </c>
      <c r="U156" s="22">
        <v>3.3367498215152801E-2</v>
      </c>
      <c r="V156" s="22">
        <v>2.0825895071772401E-4</v>
      </c>
      <c r="W156" s="22">
        <v>-5.1262211253936298E-3</v>
      </c>
      <c r="X156" s="23">
        <v>1.25951337272091</v>
      </c>
      <c r="Y156" s="23">
        <v>1.3022759807794699</v>
      </c>
      <c r="Z156" s="23">
        <v>1.2589261443438899</v>
      </c>
      <c r="AA156" s="23">
        <v>1.2545424705052901</v>
      </c>
      <c r="AB156" s="21">
        <v>204.99126213449699</v>
      </c>
      <c r="AC156" s="21">
        <v>198.30129371931301</v>
      </c>
      <c r="AD156" s="21">
        <v>197.246275906509</v>
      </c>
      <c r="AE156" s="22">
        <v>3.3388053891078601E-2</v>
      </c>
      <c r="AF156" s="22">
        <v>2.0825895071772401E-4</v>
      </c>
      <c r="AG156" s="22">
        <v>-5.1262211253936298E-3</v>
      </c>
      <c r="AZ156" s="17"/>
      <c r="BB156">
        <f t="shared" si="46"/>
        <v>0</v>
      </c>
      <c r="BC156">
        <f t="shared" si="47"/>
        <v>1</v>
      </c>
      <c r="BD156">
        <f t="shared" si="48"/>
        <v>0</v>
      </c>
      <c r="BE156">
        <f t="shared" si="44"/>
        <v>1</v>
      </c>
      <c r="BF156">
        <f t="shared" si="49"/>
        <v>0</v>
      </c>
      <c r="BG156" s="17">
        <f t="shared" si="50"/>
        <v>0</v>
      </c>
      <c r="BH156" s="17">
        <f t="shared" si="51"/>
        <v>0</v>
      </c>
      <c r="BI156" s="17">
        <f t="shared" si="52"/>
        <v>0</v>
      </c>
      <c r="BJ156" s="11">
        <f t="shared" si="53"/>
        <v>7.4990854275503588E-2</v>
      </c>
      <c r="BL156" s="17"/>
      <c r="BN156">
        <f t="shared" si="54"/>
        <v>0</v>
      </c>
      <c r="BO156">
        <f t="shared" si="55"/>
        <v>1</v>
      </c>
      <c r="BP156">
        <f t="shared" si="56"/>
        <v>0</v>
      </c>
      <c r="BQ156">
        <f t="shared" si="45"/>
        <v>1</v>
      </c>
      <c r="BR156">
        <f t="shared" si="57"/>
        <v>0</v>
      </c>
      <c r="BS156" s="17">
        <f t="shared" si="58"/>
        <v>0</v>
      </c>
      <c r="BT156" s="17">
        <f t="shared" si="59"/>
        <v>0</v>
      </c>
      <c r="BU156" s="17">
        <f t="shared" si="60"/>
        <v>0</v>
      </c>
      <c r="BV156" s="11">
        <f t="shared" si="61"/>
        <v>-5.030519903298199E-4</v>
      </c>
      <c r="BX156" s="11">
        <f t="shared" si="62"/>
        <v>0</v>
      </c>
      <c r="BY156" s="11">
        <f t="shared" si="63"/>
        <v>7.4487802285173765E-2</v>
      </c>
    </row>
    <row r="157" spans="1:77" x14ac:dyDescent="0.25">
      <c r="A157" s="1">
        <v>46251</v>
      </c>
      <c r="B157" s="21">
        <v>159.53</v>
      </c>
      <c r="C157" s="21">
        <v>201.93</v>
      </c>
      <c r="D157" s="22">
        <v>1.3378125946176E-2</v>
      </c>
      <c r="E157" s="22">
        <v>1.8341802085980099E-2</v>
      </c>
      <c r="F157" s="21">
        <v>0</v>
      </c>
      <c r="G157" s="21">
        <v>0.13809399999999999</v>
      </c>
      <c r="H157" s="21">
        <v>0</v>
      </c>
      <c r="I157" s="21">
        <v>0.145592</v>
      </c>
      <c r="J157" s="21">
        <v>0</v>
      </c>
      <c r="K157" s="21">
        <v>0</v>
      </c>
      <c r="L157" s="21">
        <v>159.53</v>
      </c>
      <c r="M157" s="21">
        <v>201.93</v>
      </c>
      <c r="N157" s="23">
        <v>1.2657807308970099</v>
      </c>
      <c r="O157" s="23">
        <v>1.3022492118915701</v>
      </c>
      <c r="P157" s="23">
        <v>1.25930097257581</v>
      </c>
      <c r="Q157" s="23">
        <v>1.25604205428745</v>
      </c>
      <c r="R157" s="21">
        <v>207.747816773062</v>
      </c>
      <c r="S157" s="21">
        <v>200.83648780718201</v>
      </c>
      <c r="T157" s="21">
        <v>200.13716031970901</v>
      </c>
      <c r="U157" s="22">
        <v>2.8403822075348702E-2</v>
      </c>
      <c r="V157" s="22">
        <v>-5.4300191936548304E-3</v>
      </c>
      <c r="W157" s="22">
        <v>-8.9181695986021593E-3</v>
      </c>
      <c r="X157" s="23">
        <v>1.2657807308970099</v>
      </c>
      <c r="Y157" s="23">
        <v>1.3022759807794699</v>
      </c>
      <c r="Z157" s="23">
        <v>1.25930097257581</v>
      </c>
      <c r="AA157" s="23">
        <v>1.25604205428745</v>
      </c>
      <c r="AB157" s="21">
        <v>207.75208721374901</v>
      </c>
      <c r="AC157" s="21">
        <v>200.83648780718201</v>
      </c>
      <c r="AD157" s="21">
        <v>200.13716031970901</v>
      </c>
      <c r="AE157" s="22">
        <v>2.84243777512748E-2</v>
      </c>
      <c r="AF157" s="22">
        <v>-5.4300191936548304E-3</v>
      </c>
      <c r="AG157" s="22">
        <v>-8.9181695986024906E-3</v>
      </c>
      <c r="BB157">
        <f t="shared" si="46"/>
        <v>0</v>
      </c>
      <c r="BC157">
        <f t="shared" si="47"/>
        <v>1</v>
      </c>
      <c r="BD157">
        <f t="shared" si="48"/>
        <v>0</v>
      </c>
      <c r="BE157">
        <f t="shared" si="44"/>
        <v>1</v>
      </c>
      <c r="BF157">
        <f t="shared" si="49"/>
        <v>0</v>
      </c>
      <c r="BG157" s="17">
        <f t="shared" si="50"/>
        <v>0</v>
      </c>
      <c r="BH157" s="17">
        <f t="shared" si="51"/>
        <v>0</v>
      </c>
      <c r="BI157" s="17">
        <f t="shared" si="52"/>
        <v>0</v>
      </c>
      <c r="BJ157" s="11">
        <f t="shared" si="53"/>
        <v>7.4990854275503588E-2</v>
      </c>
      <c r="BL157" s="17"/>
      <c r="BN157">
        <f t="shared" si="54"/>
        <v>0</v>
      </c>
      <c r="BO157">
        <f t="shared" si="55"/>
        <v>1</v>
      </c>
      <c r="BP157">
        <f t="shared" si="56"/>
        <v>0</v>
      </c>
      <c r="BQ157">
        <f t="shared" si="45"/>
        <v>1</v>
      </c>
      <c r="BR157">
        <f t="shared" si="57"/>
        <v>0</v>
      </c>
      <c r="BS157" s="17">
        <f t="shared" si="58"/>
        <v>0</v>
      </c>
      <c r="BT157" s="17">
        <f t="shared" si="59"/>
        <v>0</v>
      </c>
      <c r="BU157" s="17">
        <f t="shared" si="60"/>
        <v>0</v>
      </c>
      <c r="BV157" s="11">
        <f t="shared" si="61"/>
        <v>-5.030519903298199E-4</v>
      </c>
      <c r="BX157" s="11">
        <f t="shared" si="62"/>
        <v>0</v>
      </c>
      <c r="BY157" s="11">
        <f t="shared" si="63"/>
        <v>7.4487802285173765E-2</v>
      </c>
    </row>
    <row r="158" spans="1:77" x14ac:dyDescent="0.25">
      <c r="A158" s="1">
        <v>46252</v>
      </c>
      <c r="B158" s="21">
        <v>160.11000000000001</v>
      </c>
      <c r="C158" s="21">
        <v>203.56</v>
      </c>
      <c r="D158" s="22">
        <v>3.6290867010570801E-3</v>
      </c>
      <c r="E158" s="22">
        <v>8.0396990299004996E-3</v>
      </c>
      <c r="F158" s="21">
        <v>0</v>
      </c>
      <c r="G158" s="21">
        <v>0.13809399999999999</v>
      </c>
      <c r="H158" s="21">
        <v>0</v>
      </c>
      <c r="I158" s="21">
        <v>0.145592</v>
      </c>
      <c r="J158" s="21">
        <v>0</v>
      </c>
      <c r="K158" s="21">
        <v>0</v>
      </c>
      <c r="L158" s="21">
        <v>160.11000000000001</v>
      </c>
      <c r="M158" s="21">
        <v>203.56</v>
      </c>
      <c r="N158" s="23">
        <v>1.2713759290487701</v>
      </c>
      <c r="O158" s="23">
        <v>1.3022492118915701</v>
      </c>
      <c r="P158" s="23">
        <v>1.26124104111935</v>
      </c>
      <c r="Q158" s="23">
        <v>1.2583454785716099</v>
      </c>
      <c r="R158" s="21">
        <v>208.50312131595999</v>
      </c>
      <c r="S158" s="21">
        <v>201.62667871911401</v>
      </c>
      <c r="T158" s="21">
        <v>201.10489331196399</v>
      </c>
      <c r="U158" s="22">
        <v>2.3993209746505401E-2</v>
      </c>
      <c r="V158" s="22">
        <v>-9.5429393626705397E-3</v>
      </c>
      <c r="W158" s="22">
        <v>-1.2134172508251301E-2</v>
      </c>
      <c r="X158" s="23">
        <v>1.2713759290487701</v>
      </c>
      <c r="Y158" s="23">
        <v>1.3022759807794699</v>
      </c>
      <c r="Z158" s="23">
        <v>1.26124104111935</v>
      </c>
      <c r="AA158" s="23">
        <v>1.2583454785716099</v>
      </c>
      <c r="AB158" s="21">
        <v>208.50740728260101</v>
      </c>
      <c r="AC158" s="21">
        <v>201.62667871911401</v>
      </c>
      <c r="AD158" s="21">
        <v>201.10489331196399</v>
      </c>
      <c r="AE158" s="22">
        <v>2.4013765422431398E-2</v>
      </c>
      <c r="AF158" s="22">
        <v>-9.54293936267042E-3</v>
      </c>
      <c r="AG158" s="22">
        <v>-1.21341725082515E-2</v>
      </c>
      <c r="BB158">
        <f t="shared" si="46"/>
        <v>0</v>
      </c>
      <c r="BC158">
        <f t="shared" si="47"/>
        <v>0</v>
      </c>
      <c r="BD158">
        <f t="shared" si="48"/>
        <v>0</v>
      </c>
      <c r="BE158">
        <f t="shared" si="44"/>
        <v>1</v>
      </c>
      <c r="BF158">
        <f t="shared" si="49"/>
        <v>0</v>
      </c>
      <c r="BG158" s="17">
        <f t="shared" si="50"/>
        <v>0</v>
      </c>
      <c r="BH158" s="17">
        <f t="shared" si="51"/>
        <v>0</v>
      </c>
      <c r="BI158" s="17">
        <f t="shared" si="52"/>
        <v>0</v>
      </c>
      <c r="BJ158" s="11">
        <f t="shared" si="53"/>
        <v>7.4990854275503588E-2</v>
      </c>
      <c r="BL158" s="17"/>
      <c r="BN158">
        <f t="shared" si="54"/>
        <v>0</v>
      </c>
      <c r="BO158">
        <f t="shared" si="55"/>
        <v>1</v>
      </c>
      <c r="BP158">
        <f t="shared" si="56"/>
        <v>0</v>
      </c>
      <c r="BQ158">
        <f t="shared" si="45"/>
        <v>1</v>
      </c>
      <c r="BR158">
        <f t="shared" si="57"/>
        <v>0</v>
      </c>
      <c r="BS158" s="17">
        <f t="shared" si="58"/>
        <v>0</v>
      </c>
      <c r="BT158" s="17">
        <f t="shared" si="59"/>
        <v>0</v>
      </c>
      <c r="BU158" s="17">
        <f t="shared" si="60"/>
        <v>0</v>
      </c>
      <c r="BV158" s="11">
        <f t="shared" si="61"/>
        <v>-5.030519903298199E-4</v>
      </c>
      <c r="BX158" s="11">
        <f t="shared" si="62"/>
        <v>0</v>
      </c>
      <c r="BY158" s="11">
        <f t="shared" si="63"/>
        <v>7.4487802285173765E-2</v>
      </c>
    </row>
    <row r="159" spans="1:77" x14ac:dyDescent="0.25">
      <c r="A159" s="1">
        <v>46253</v>
      </c>
      <c r="B159" s="21">
        <v>169.55</v>
      </c>
      <c r="C159" s="21">
        <v>216.96</v>
      </c>
      <c r="D159" s="22">
        <v>5.7286789557684403E-2</v>
      </c>
      <c r="E159" s="22">
        <v>6.3752203031398794E-2</v>
      </c>
      <c r="F159" s="21">
        <v>0</v>
      </c>
      <c r="G159" s="21">
        <v>0.13809399999999999</v>
      </c>
      <c r="H159" s="21">
        <v>0</v>
      </c>
      <c r="I159" s="21">
        <v>0.145592</v>
      </c>
      <c r="J159" s="21">
        <v>0</v>
      </c>
      <c r="K159" s="21">
        <v>0</v>
      </c>
      <c r="L159" s="21">
        <v>169.55</v>
      </c>
      <c r="M159" s="21">
        <v>216.96</v>
      </c>
      <c r="N159" s="23">
        <v>1.2796225302270701</v>
      </c>
      <c r="O159" s="23">
        <v>1.3022492118915701</v>
      </c>
      <c r="P159" s="23">
        <v>1.2638520099122701</v>
      </c>
      <c r="Q159" s="23">
        <v>1.26085793109703</v>
      </c>
      <c r="R159" s="21">
        <v>220.79635387621599</v>
      </c>
      <c r="S159" s="21">
        <v>213.84341852178699</v>
      </c>
      <c r="T159" s="21">
        <v>213.352475891816</v>
      </c>
      <c r="U159" s="22">
        <v>1.7527796272791E-2</v>
      </c>
      <c r="V159" s="22">
        <v>-1.4468946695859901E-2</v>
      </c>
      <c r="W159" s="22">
        <v>-1.6767390349094299E-2</v>
      </c>
      <c r="X159" s="23">
        <v>1.2796225302270701</v>
      </c>
      <c r="Y159" s="23">
        <v>1.3022759807794699</v>
      </c>
      <c r="Z159" s="23">
        <v>1.2638520099122701</v>
      </c>
      <c r="AA159" s="23">
        <v>1.26085793109703</v>
      </c>
      <c r="AB159" s="21">
        <v>220.80089254115899</v>
      </c>
      <c r="AC159" s="21">
        <v>213.84341852178699</v>
      </c>
      <c r="AD159" s="21">
        <v>213.352475891816</v>
      </c>
      <c r="AE159" s="22">
        <v>1.7548351948717001E-2</v>
      </c>
      <c r="AF159" s="22">
        <v>-1.4468946695859901E-2</v>
      </c>
      <c r="AG159" s="22">
        <v>-1.6767390349094299E-2</v>
      </c>
      <c r="BB159">
        <f t="shared" si="46"/>
        <v>1</v>
      </c>
      <c r="BC159">
        <f t="shared" si="47"/>
        <v>0</v>
      </c>
      <c r="BD159">
        <f t="shared" si="48"/>
        <v>0</v>
      </c>
      <c r="BE159">
        <f t="shared" si="44"/>
        <v>1</v>
      </c>
      <c r="BF159">
        <f t="shared" si="49"/>
        <v>0</v>
      </c>
      <c r="BG159" s="17">
        <f t="shared" si="50"/>
        <v>0</v>
      </c>
      <c r="BH159" s="17">
        <f t="shared" si="51"/>
        <v>0</v>
      </c>
      <c r="BI159" s="17">
        <f t="shared" si="52"/>
        <v>0</v>
      </c>
      <c r="BJ159" s="11">
        <f t="shared" si="53"/>
        <v>7.4990854275503588E-2</v>
      </c>
      <c r="BL159" s="17"/>
      <c r="BN159">
        <f t="shared" si="54"/>
        <v>0</v>
      </c>
      <c r="BO159">
        <f t="shared" si="55"/>
        <v>1</v>
      </c>
      <c r="BP159">
        <f t="shared" si="56"/>
        <v>0</v>
      </c>
      <c r="BQ159">
        <f t="shared" si="45"/>
        <v>1</v>
      </c>
      <c r="BR159">
        <f t="shared" si="57"/>
        <v>0</v>
      </c>
      <c r="BS159" s="17">
        <f t="shared" si="58"/>
        <v>0</v>
      </c>
      <c r="BT159" s="17">
        <f t="shared" si="59"/>
        <v>0</v>
      </c>
      <c r="BU159" s="17">
        <f t="shared" si="60"/>
        <v>0</v>
      </c>
      <c r="BV159" s="11">
        <f t="shared" si="61"/>
        <v>-5.030519903298199E-4</v>
      </c>
      <c r="BX159" s="11">
        <f t="shared" si="62"/>
        <v>0</v>
      </c>
      <c r="BY159" s="11">
        <f t="shared" si="63"/>
        <v>7.4487802285173765E-2</v>
      </c>
    </row>
    <row r="160" spans="1:77" x14ac:dyDescent="0.25">
      <c r="A160" s="1">
        <v>46254</v>
      </c>
      <c r="B160" s="21">
        <v>163.38</v>
      </c>
      <c r="C160" s="21">
        <v>210.83</v>
      </c>
      <c r="D160" s="22">
        <v>-3.70690926579244E-2</v>
      </c>
      <c r="E160" s="22">
        <v>-2.8660883220128702E-2</v>
      </c>
      <c r="F160" s="21">
        <v>0</v>
      </c>
      <c r="G160" s="21">
        <v>0.13809399999999999</v>
      </c>
      <c r="H160" s="21">
        <v>0</v>
      </c>
      <c r="I160" s="21">
        <v>0.145592</v>
      </c>
      <c r="J160" s="21">
        <v>0</v>
      </c>
      <c r="K160" s="21">
        <v>0</v>
      </c>
      <c r="L160" s="21">
        <v>163.38</v>
      </c>
      <c r="M160" s="21">
        <v>210.83</v>
      </c>
      <c r="N160" s="23">
        <v>1.2904272248745201</v>
      </c>
      <c r="O160" s="23">
        <v>1.3022492118915701</v>
      </c>
      <c r="P160" s="23">
        <v>1.2679950560243201</v>
      </c>
      <c r="Q160" s="23">
        <v>1.26330874120103</v>
      </c>
      <c r="R160" s="21">
        <v>212.76147623884501</v>
      </c>
      <c r="S160" s="21">
        <v>206.48814137946701</v>
      </c>
      <c r="T160" s="21">
        <v>205.998968782633</v>
      </c>
      <c r="U160" s="22">
        <v>9.1195868349953097E-3</v>
      </c>
      <c r="V160" s="22">
        <v>-2.08091375136061E-2</v>
      </c>
      <c r="W160" s="22">
        <v>-2.3180958664397299E-2</v>
      </c>
      <c r="X160" s="23">
        <v>1.2904272248745201</v>
      </c>
      <c r="Y160" s="23">
        <v>1.3022759807794699</v>
      </c>
      <c r="Z160" s="23">
        <v>1.2679950560243201</v>
      </c>
      <c r="AA160" s="23">
        <v>1.26330874120103</v>
      </c>
      <c r="AB160" s="21">
        <v>212.76584973975</v>
      </c>
      <c r="AC160" s="21">
        <v>206.48814137946701</v>
      </c>
      <c r="AD160" s="21">
        <v>205.998968782633</v>
      </c>
      <c r="AE160" s="22">
        <v>9.1401425109212502E-3</v>
      </c>
      <c r="AF160" s="22">
        <v>-2.0809137513606201E-2</v>
      </c>
      <c r="AG160" s="22">
        <v>-2.3180958664397299E-2</v>
      </c>
      <c r="BB160">
        <f t="shared" si="46"/>
        <v>1</v>
      </c>
      <c r="BC160">
        <f t="shared" si="47"/>
        <v>0</v>
      </c>
      <c r="BD160">
        <f t="shared" si="48"/>
        <v>1</v>
      </c>
      <c r="BE160">
        <f t="shared" si="44"/>
        <v>1</v>
      </c>
      <c r="BF160">
        <f t="shared" si="49"/>
        <v>1</v>
      </c>
      <c r="BG160" s="17">
        <f t="shared" si="50"/>
        <v>-3.70690926579244E-2</v>
      </c>
      <c r="BH160" s="17">
        <f t="shared" si="51"/>
        <v>2.8660883220128702E-2</v>
      </c>
      <c r="BI160" s="17">
        <f t="shared" si="52"/>
        <v>-8.4082094377956988E-3</v>
      </c>
      <c r="BJ160" s="11">
        <f t="shared" si="53"/>
        <v>6.6582644837707886E-2</v>
      </c>
      <c r="BL160" s="17"/>
      <c r="BN160">
        <f t="shared" si="54"/>
        <v>0</v>
      </c>
      <c r="BO160">
        <f t="shared" si="55"/>
        <v>1</v>
      </c>
      <c r="BP160">
        <f t="shared" si="56"/>
        <v>0</v>
      </c>
      <c r="BQ160">
        <f t="shared" si="45"/>
        <v>1</v>
      </c>
      <c r="BR160">
        <f t="shared" si="57"/>
        <v>0</v>
      </c>
      <c r="BS160" s="17">
        <f t="shared" si="58"/>
        <v>0</v>
      </c>
      <c r="BT160" s="17">
        <f t="shared" si="59"/>
        <v>0</v>
      </c>
      <c r="BU160" s="17">
        <f t="shared" si="60"/>
        <v>0</v>
      </c>
      <c r="BV160" s="11">
        <f t="shared" si="61"/>
        <v>-5.030519903298199E-4</v>
      </c>
      <c r="BX160" s="11">
        <f t="shared" si="62"/>
        <v>-8.4082094377956988E-3</v>
      </c>
      <c r="BY160" s="11">
        <f t="shared" si="63"/>
        <v>6.6079592847378063E-2</v>
      </c>
    </row>
    <row r="161" spans="1:77" x14ac:dyDescent="0.25">
      <c r="A161" s="1">
        <v>46255</v>
      </c>
      <c r="B161" s="21">
        <v>165.73</v>
      </c>
      <c r="C161" s="21">
        <v>213.56</v>
      </c>
      <c r="D161" s="22">
        <v>1.4281182221729199E-2</v>
      </c>
      <c r="E161" s="22">
        <v>1.2865702100083301E-2</v>
      </c>
      <c r="F161" s="21">
        <v>0</v>
      </c>
      <c r="G161" s="21">
        <v>0.13809399999999999</v>
      </c>
      <c r="H161" s="21">
        <v>0</v>
      </c>
      <c r="I161" s="21">
        <v>0.145592</v>
      </c>
      <c r="J161" s="21">
        <v>0</v>
      </c>
      <c r="K161" s="21">
        <v>0</v>
      </c>
      <c r="L161" s="21">
        <v>165.73</v>
      </c>
      <c r="M161" s="21">
        <v>213.56</v>
      </c>
      <c r="N161" s="23">
        <v>1.2886019429191999</v>
      </c>
      <c r="O161" s="23">
        <v>1.3022492118915701</v>
      </c>
      <c r="P161" s="23">
        <v>1.2712213937997501</v>
      </c>
      <c r="Q161" s="23">
        <v>1.26522554754423</v>
      </c>
      <c r="R161" s="21">
        <v>215.82176188679</v>
      </c>
      <c r="S161" s="21">
        <v>210.14482063491101</v>
      </c>
      <c r="T161" s="21">
        <v>209.36815767924699</v>
      </c>
      <c r="U161" s="22">
        <v>1.0535066956641101E-2</v>
      </c>
      <c r="V161" s="22">
        <v>-1.6120908523545301E-2</v>
      </c>
      <c r="W161" s="22">
        <v>-1.9823601327554501E-2</v>
      </c>
      <c r="X161" s="23">
        <v>1.2886019429191999</v>
      </c>
      <c r="Y161" s="23">
        <v>1.3022759807794699</v>
      </c>
      <c r="Z161" s="23">
        <v>1.2712213937997501</v>
      </c>
      <c r="AA161" s="23">
        <v>1.26522554754423</v>
      </c>
      <c r="AB161" s="21">
        <v>215.82619829458201</v>
      </c>
      <c r="AC161" s="21">
        <v>210.14482063491101</v>
      </c>
      <c r="AD161" s="21">
        <v>209.36815767924699</v>
      </c>
      <c r="AE161" s="22">
        <v>1.0555622632566999E-2</v>
      </c>
      <c r="AF161" s="22">
        <v>-1.6120908523545401E-2</v>
      </c>
      <c r="AG161" s="22">
        <v>-1.9823601327554501E-2</v>
      </c>
      <c r="BB161">
        <f t="shared" si="46"/>
        <v>1</v>
      </c>
      <c r="BC161">
        <f t="shared" si="47"/>
        <v>0</v>
      </c>
      <c r="BD161">
        <f t="shared" si="48"/>
        <v>1</v>
      </c>
      <c r="BE161">
        <f t="shared" si="44"/>
        <v>1</v>
      </c>
      <c r="BF161">
        <f t="shared" si="49"/>
        <v>1</v>
      </c>
      <c r="BG161" s="17">
        <f t="shared" si="50"/>
        <v>1.4281182221729199E-2</v>
      </c>
      <c r="BH161" s="17">
        <f t="shared" si="51"/>
        <v>-1.2865702100083301E-2</v>
      </c>
      <c r="BI161" s="17">
        <f t="shared" si="52"/>
        <v>1.4154801216458984E-3</v>
      </c>
      <c r="BJ161" s="11">
        <f t="shared" si="53"/>
        <v>6.7998124959353784E-2</v>
      </c>
      <c r="BL161" s="17"/>
      <c r="BN161">
        <f t="shared" si="54"/>
        <v>0</v>
      </c>
      <c r="BO161">
        <f t="shared" si="55"/>
        <v>1</v>
      </c>
      <c r="BP161">
        <f t="shared" si="56"/>
        <v>0</v>
      </c>
      <c r="BQ161">
        <f t="shared" si="45"/>
        <v>1</v>
      </c>
      <c r="BR161">
        <f t="shared" si="57"/>
        <v>0</v>
      </c>
      <c r="BS161" s="17">
        <f t="shared" si="58"/>
        <v>0</v>
      </c>
      <c r="BT161" s="17">
        <f t="shared" si="59"/>
        <v>0</v>
      </c>
      <c r="BU161" s="17">
        <f t="shared" si="60"/>
        <v>0</v>
      </c>
      <c r="BV161" s="11">
        <f t="shared" si="61"/>
        <v>-5.030519903298199E-4</v>
      </c>
      <c r="BX161" s="11">
        <f t="shared" si="62"/>
        <v>1.4154801216458984E-3</v>
      </c>
      <c r="BY161" s="11">
        <f t="shared" si="63"/>
        <v>6.7495072969023961E-2</v>
      </c>
    </row>
    <row r="162" spans="1:77" x14ac:dyDescent="0.25">
      <c r="A162" s="1">
        <v>46258</v>
      </c>
      <c r="B162" s="21">
        <v>164.17</v>
      </c>
      <c r="C162" s="21">
        <v>212.53</v>
      </c>
      <c r="D162" s="22">
        <v>-9.4574818290257198E-3</v>
      </c>
      <c r="E162" s="22">
        <v>-4.8346687613858297E-3</v>
      </c>
      <c r="F162" s="21">
        <v>0</v>
      </c>
      <c r="G162" s="21">
        <v>0.13809399999999999</v>
      </c>
      <c r="H162" s="21">
        <v>0</v>
      </c>
      <c r="I162" s="21">
        <v>0.145592</v>
      </c>
      <c r="J162" s="21">
        <v>0</v>
      </c>
      <c r="K162" s="21">
        <v>0</v>
      </c>
      <c r="L162" s="21">
        <v>164.17</v>
      </c>
      <c r="M162" s="21">
        <v>212.53</v>
      </c>
      <c r="N162" s="23">
        <v>1.2945726990314901</v>
      </c>
      <c r="O162" s="23">
        <v>1.3022492118915701</v>
      </c>
      <c r="P162" s="23">
        <v>1.2741077594442101</v>
      </c>
      <c r="Q162" s="23">
        <v>1.2674234699650899</v>
      </c>
      <c r="R162" s="21">
        <v>213.790253116239</v>
      </c>
      <c r="S162" s="21">
        <v>208.69641622010499</v>
      </c>
      <c r="T162" s="21">
        <v>207.71207814033599</v>
      </c>
      <c r="U162" s="22">
        <v>5.9122538890011098E-3</v>
      </c>
      <c r="V162" s="22">
        <v>-1.8202512855796198E-2</v>
      </c>
      <c r="W162" s="22">
        <v>-2.29302738240303E-2</v>
      </c>
      <c r="X162" s="23">
        <v>1.2945726990314901</v>
      </c>
      <c r="Y162" s="23">
        <v>1.3022759807794699</v>
      </c>
      <c r="Z162" s="23">
        <v>1.2741077594442101</v>
      </c>
      <c r="AA162" s="23">
        <v>1.2674234699650899</v>
      </c>
      <c r="AB162" s="21">
        <v>213.79464776456601</v>
      </c>
      <c r="AC162" s="21">
        <v>208.69641622010499</v>
      </c>
      <c r="AD162" s="21">
        <v>207.71207814033599</v>
      </c>
      <c r="AE162" s="22">
        <v>5.9328095649272203E-3</v>
      </c>
      <c r="AF162" s="22">
        <v>-1.82025128557959E-2</v>
      </c>
      <c r="AG162" s="22">
        <v>-2.29302738240303E-2</v>
      </c>
      <c r="BB162">
        <f t="shared" si="46"/>
        <v>1</v>
      </c>
      <c r="BC162">
        <f t="shared" si="47"/>
        <v>0</v>
      </c>
      <c r="BD162">
        <f t="shared" si="48"/>
        <v>1</v>
      </c>
      <c r="BE162">
        <f t="shared" si="44"/>
        <v>1</v>
      </c>
      <c r="BF162">
        <f t="shared" si="49"/>
        <v>1</v>
      </c>
      <c r="BG162" s="17">
        <f t="shared" si="50"/>
        <v>-9.4574818290257198E-3</v>
      </c>
      <c r="BH162" s="17">
        <f t="shared" si="51"/>
        <v>4.8346687613858297E-3</v>
      </c>
      <c r="BI162" s="17">
        <f t="shared" si="52"/>
        <v>-4.6228130676398901E-3</v>
      </c>
      <c r="BJ162" s="11">
        <f t="shared" si="53"/>
        <v>6.3375311891713887E-2</v>
      </c>
      <c r="BL162" s="17"/>
      <c r="BN162">
        <f t="shared" si="54"/>
        <v>0</v>
      </c>
      <c r="BO162">
        <f t="shared" si="55"/>
        <v>1</v>
      </c>
      <c r="BP162">
        <f t="shared" si="56"/>
        <v>0</v>
      </c>
      <c r="BQ162">
        <f t="shared" si="45"/>
        <v>1</v>
      </c>
      <c r="BR162">
        <f t="shared" si="57"/>
        <v>0</v>
      </c>
      <c r="BS162" s="17">
        <f t="shared" si="58"/>
        <v>0</v>
      </c>
      <c r="BT162" s="17">
        <f t="shared" si="59"/>
        <v>0</v>
      </c>
      <c r="BU162" s="17">
        <f t="shared" si="60"/>
        <v>0</v>
      </c>
      <c r="BV162" s="11">
        <f t="shared" si="61"/>
        <v>-5.030519903298199E-4</v>
      </c>
      <c r="BX162" s="11">
        <f t="shared" si="62"/>
        <v>-4.6228130676398901E-3</v>
      </c>
      <c r="BY162" s="11">
        <f t="shared" si="63"/>
        <v>6.2872259901384064E-2</v>
      </c>
    </row>
    <row r="163" spans="1:77" x14ac:dyDescent="0.25">
      <c r="A163" s="1">
        <v>46259</v>
      </c>
      <c r="B163" s="21">
        <v>169.1</v>
      </c>
      <c r="C163" s="21">
        <v>216.4</v>
      </c>
      <c r="D163" s="22">
        <v>2.95877795981077E-2</v>
      </c>
      <c r="E163" s="22">
        <v>1.8045392101726801E-2</v>
      </c>
      <c r="F163" s="21">
        <v>0</v>
      </c>
      <c r="G163" s="21">
        <v>0.13809399999999999</v>
      </c>
      <c r="H163" s="21">
        <v>0</v>
      </c>
      <c r="I163" s="21">
        <v>0.145592</v>
      </c>
      <c r="J163" s="21">
        <v>0</v>
      </c>
      <c r="K163" s="21">
        <v>0</v>
      </c>
      <c r="L163" s="21">
        <v>169.1</v>
      </c>
      <c r="M163" s="21">
        <v>216.4</v>
      </c>
      <c r="N163" s="23">
        <v>1.27971614429331</v>
      </c>
      <c r="O163" s="23">
        <v>1.3022492118915701</v>
      </c>
      <c r="P163" s="23">
        <v>1.27571763540325</v>
      </c>
      <c r="Q163" s="23">
        <v>1.26780933059143</v>
      </c>
      <c r="R163" s="21">
        <v>220.210341730865</v>
      </c>
      <c r="S163" s="21">
        <v>215.451622122017</v>
      </c>
      <c r="T163" s="21">
        <v>214.32130877109699</v>
      </c>
      <c r="U163" s="22">
        <v>1.7454641385382001E-2</v>
      </c>
      <c r="V163" s="22">
        <v>-4.3921539436156502E-3</v>
      </c>
      <c r="W163" s="22">
        <v>-9.65221513322264E-3</v>
      </c>
      <c r="X163" s="23">
        <v>1.27971614429331</v>
      </c>
      <c r="Y163" s="23">
        <v>1.3022759807794699</v>
      </c>
      <c r="Z163" s="23">
        <v>1.27571763540325</v>
      </c>
      <c r="AA163" s="23">
        <v>1.26780933059143</v>
      </c>
      <c r="AB163" s="21">
        <v>220.214868349809</v>
      </c>
      <c r="AC163" s="21">
        <v>215.451622122017</v>
      </c>
      <c r="AD163" s="21">
        <v>214.32130877109699</v>
      </c>
      <c r="AE163" s="22">
        <v>1.7475197061308099E-2</v>
      </c>
      <c r="AF163" s="22">
        <v>-4.3921539436156502E-3</v>
      </c>
      <c r="AG163" s="22">
        <v>-9.6522151332225307E-3</v>
      </c>
      <c r="BB163">
        <f t="shared" si="46"/>
        <v>0</v>
      </c>
      <c r="BC163">
        <f t="shared" si="47"/>
        <v>1</v>
      </c>
      <c r="BD163">
        <f t="shared" si="48"/>
        <v>1</v>
      </c>
      <c r="BE163">
        <f t="shared" si="44"/>
        <v>1</v>
      </c>
      <c r="BF163">
        <f t="shared" si="49"/>
        <v>1</v>
      </c>
      <c r="BG163" s="17">
        <f t="shared" si="50"/>
        <v>2.95877795981077E-2</v>
      </c>
      <c r="BH163" s="17">
        <f t="shared" si="51"/>
        <v>-1.8045392101726801E-2</v>
      </c>
      <c r="BI163" s="17">
        <f t="shared" si="52"/>
        <v>1.1542387496380899E-2</v>
      </c>
      <c r="BJ163" s="11">
        <f t="shared" si="53"/>
        <v>7.4917699388094783E-2</v>
      </c>
      <c r="BL163" s="17"/>
      <c r="BN163">
        <f t="shared" si="54"/>
        <v>0</v>
      </c>
      <c r="BO163">
        <f t="shared" si="55"/>
        <v>1</v>
      </c>
      <c r="BP163">
        <f t="shared" si="56"/>
        <v>0</v>
      </c>
      <c r="BQ163">
        <f t="shared" si="45"/>
        <v>1</v>
      </c>
      <c r="BR163">
        <f t="shared" si="57"/>
        <v>0</v>
      </c>
      <c r="BS163" s="17">
        <f t="shared" si="58"/>
        <v>0</v>
      </c>
      <c r="BT163" s="17">
        <f t="shared" si="59"/>
        <v>0</v>
      </c>
      <c r="BU163" s="17">
        <f t="shared" si="60"/>
        <v>0</v>
      </c>
      <c r="BV163" s="11">
        <f t="shared" si="61"/>
        <v>-5.030519903298199E-4</v>
      </c>
      <c r="BX163" s="11">
        <f t="shared" si="62"/>
        <v>1.1542387496380899E-2</v>
      </c>
      <c r="BY163" s="11">
        <f t="shared" si="63"/>
        <v>7.441464739776496E-2</v>
      </c>
    </row>
    <row r="164" spans="1:77" x14ac:dyDescent="0.25">
      <c r="A164" s="1">
        <v>46260</v>
      </c>
      <c r="B164" s="21">
        <v>168.39</v>
      </c>
      <c r="C164" s="21">
        <v>215.23</v>
      </c>
      <c r="D164" s="22">
        <v>-4.2075382823169999E-3</v>
      </c>
      <c r="E164" s="22">
        <v>-5.4213231962387497E-3</v>
      </c>
      <c r="F164" s="21">
        <v>0</v>
      </c>
      <c r="G164" s="21">
        <v>0.13809399999999999</v>
      </c>
      <c r="H164" s="21">
        <v>0</v>
      </c>
      <c r="I164" s="21">
        <v>0.145592</v>
      </c>
      <c r="J164" s="21">
        <v>0</v>
      </c>
      <c r="K164" s="21">
        <v>0</v>
      </c>
      <c r="L164" s="21">
        <v>168.39</v>
      </c>
      <c r="M164" s="21">
        <v>215.23</v>
      </c>
      <c r="N164" s="23">
        <v>1.2781637864481199</v>
      </c>
      <c r="O164" s="23">
        <v>1.3022492118915701</v>
      </c>
      <c r="P164" s="23">
        <v>1.2776039055092601</v>
      </c>
      <c r="Q164" s="23">
        <v>1.2679861968119499</v>
      </c>
      <c r="R164" s="21">
        <v>219.285744790422</v>
      </c>
      <c r="S164" s="21">
        <v>214.81809262555299</v>
      </c>
      <c r="T164" s="21">
        <v>213.486413178291</v>
      </c>
      <c r="U164" s="22">
        <v>1.8668426299303799E-2</v>
      </c>
      <c r="V164" s="22">
        <v>-1.91563458819121E-3</v>
      </c>
      <c r="W164" s="22">
        <v>-8.1340316415992198E-3</v>
      </c>
      <c r="X164" s="23">
        <v>1.2781637864481199</v>
      </c>
      <c r="Y164" s="23">
        <v>1.3022759807794699</v>
      </c>
      <c r="Z164" s="23">
        <v>1.2776039055092601</v>
      </c>
      <c r="AA164" s="23">
        <v>1.2679861968119499</v>
      </c>
      <c r="AB164" s="21">
        <v>219.29025240345501</v>
      </c>
      <c r="AC164" s="21">
        <v>214.81809262555299</v>
      </c>
      <c r="AD164" s="21">
        <v>213.486413178291</v>
      </c>
      <c r="AE164" s="22">
        <v>1.86889819752298E-2</v>
      </c>
      <c r="AF164" s="22">
        <v>-1.9156345881913199E-3</v>
      </c>
      <c r="AG164" s="22">
        <v>-8.1340316415992198E-3</v>
      </c>
      <c r="BB164">
        <f t="shared" si="46"/>
        <v>0</v>
      </c>
      <c r="BC164">
        <f t="shared" si="47"/>
        <v>1</v>
      </c>
      <c r="BD164">
        <f t="shared" si="48"/>
        <v>0</v>
      </c>
      <c r="BE164">
        <f t="shared" si="44"/>
        <v>1</v>
      </c>
      <c r="BF164">
        <f t="shared" si="49"/>
        <v>0</v>
      </c>
      <c r="BG164" s="17">
        <f t="shared" si="50"/>
        <v>0</v>
      </c>
      <c r="BH164" s="17">
        <f t="shared" si="51"/>
        <v>0</v>
      </c>
      <c r="BI164" s="17">
        <f t="shared" si="52"/>
        <v>0</v>
      </c>
      <c r="BJ164" s="11">
        <f t="shared" si="53"/>
        <v>7.4917699388094783E-2</v>
      </c>
      <c r="BL164" s="17"/>
      <c r="BN164">
        <f t="shared" si="54"/>
        <v>0</v>
      </c>
      <c r="BO164">
        <f t="shared" si="55"/>
        <v>1</v>
      </c>
      <c r="BP164">
        <f t="shared" si="56"/>
        <v>0</v>
      </c>
      <c r="BQ164">
        <f t="shared" si="45"/>
        <v>1</v>
      </c>
      <c r="BR164">
        <f t="shared" si="57"/>
        <v>0</v>
      </c>
      <c r="BS164" s="17">
        <f t="shared" si="58"/>
        <v>0</v>
      </c>
      <c r="BT164" s="17">
        <f t="shared" si="59"/>
        <v>0</v>
      </c>
      <c r="BU164" s="17">
        <f t="shared" si="60"/>
        <v>0</v>
      </c>
      <c r="BV164" s="11">
        <f t="shared" si="61"/>
        <v>-5.030519903298199E-4</v>
      </c>
      <c r="BX164" s="11">
        <f t="shared" si="62"/>
        <v>0</v>
      </c>
      <c r="BY164" s="11">
        <f t="shared" si="63"/>
        <v>7.441464739776496E-2</v>
      </c>
    </row>
    <row r="165" spans="1:77" x14ac:dyDescent="0.25">
      <c r="A165" s="1">
        <v>46261</v>
      </c>
      <c r="B165" s="21">
        <v>168.23</v>
      </c>
      <c r="C165" s="21">
        <v>214.8</v>
      </c>
      <c r="D165" s="22">
        <v>-9.5062689114854297E-4</v>
      </c>
      <c r="E165" s="22">
        <v>-1.9998611413780398E-3</v>
      </c>
      <c r="F165" s="21">
        <v>0</v>
      </c>
      <c r="G165" s="21">
        <v>0.13809399999999999</v>
      </c>
      <c r="H165" s="21">
        <v>0</v>
      </c>
      <c r="I165" s="21">
        <v>0.145592</v>
      </c>
      <c r="J165" s="21">
        <v>0</v>
      </c>
      <c r="K165" s="21">
        <v>0</v>
      </c>
      <c r="L165" s="21">
        <v>168.23</v>
      </c>
      <c r="M165" s="21">
        <v>214.8</v>
      </c>
      <c r="N165" s="23">
        <v>1.2768233965404501</v>
      </c>
      <c r="O165" s="23">
        <v>1.3022492118915701</v>
      </c>
      <c r="P165" s="23">
        <v>1.27845977570009</v>
      </c>
      <c r="Q165" s="23">
        <v>1.26911774033499</v>
      </c>
      <c r="R165" s="21">
        <v>219.07738491651901</v>
      </c>
      <c r="S165" s="21">
        <v>214.93130502382201</v>
      </c>
      <c r="T165" s="21">
        <v>213.31331788967401</v>
      </c>
      <c r="U165" s="22">
        <v>1.9717660549533299E-2</v>
      </c>
      <c r="V165" s="22">
        <v>6.11102921169922E-4</v>
      </c>
      <c r="W165" s="22">
        <v>-6.9453017428480496E-3</v>
      </c>
      <c r="X165" s="23">
        <v>1.2768233965404501</v>
      </c>
      <c r="Y165" s="23">
        <v>1.3022759807794699</v>
      </c>
      <c r="Z165" s="23">
        <v>1.27845977570009</v>
      </c>
      <c r="AA165" s="23">
        <v>1.26911774033499</v>
      </c>
      <c r="AB165" s="21">
        <v>219.08188824653001</v>
      </c>
      <c r="AC165" s="21">
        <v>214.93130502382201</v>
      </c>
      <c r="AD165" s="21">
        <v>213.31331788967401</v>
      </c>
      <c r="AE165" s="22">
        <v>1.97382162254593E-2</v>
      </c>
      <c r="AF165" s="22">
        <v>6.11102921169922E-4</v>
      </c>
      <c r="AG165" s="22">
        <v>-6.9453017428481598E-3</v>
      </c>
      <c r="BB165">
        <f t="shared" si="46"/>
        <v>0</v>
      </c>
      <c r="BC165">
        <f t="shared" si="47"/>
        <v>1</v>
      </c>
      <c r="BD165">
        <f t="shared" si="48"/>
        <v>0</v>
      </c>
      <c r="BE165">
        <f t="shared" si="44"/>
        <v>1</v>
      </c>
      <c r="BF165">
        <f t="shared" si="49"/>
        <v>0</v>
      </c>
      <c r="BG165" s="17">
        <f t="shared" si="50"/>
        <v>0</v>
      </c>
      <c r="BH165" s="17">
        <f t="shared" si="51"/>
        <v>0</v>
      </c>
      <c r="BI165" s="17">
        <f t="shared" si="52"/>
        <v>0</v>
      </c>
      <c r="BJ165" s="11">
        <f t="shared" si="53"/>
        <v>7.4917699388094783E-2</v>
      </c>
      <c r="BL165" s="17"/>
      <c r="BN165">
        <f t="shared" si="54"/>
        <v>0</v>
      </c>
      <c r="BO165">
        <f t="shared" si="55"/>
        <v>1</v>
      </c>
      <c r="BP165">
        <f t="shared" si="56"/>
        <v>0</v>
      </c>
      <c r="BQ165">
        <f t="shared" si="45"/>
        <v>1</v>
      </c>
      <c r="BR165">
        <f t="shared" si="57"/>
        <v>0</v>
      </c>
      <c r="BS165" s="17">
        <f t="shared" si="58"/>
        <v>0</v>
      </c>
      <c r="BT165" s="17">
        <f t="shared" si="59"/>
        <v>0</v>
      </c>
      <c r="BU165" s="17">
        <f t="shared" si="60"/>
        <v>0</v>
      </c>
      <c r="BV165" s="11">
        <f t="shared" si="61"/>
        <v>-5.030519903298199E-4</v>
      </c>
      <c r="BX165" s="11">
        <f t="shared" si="62"/>
        <v>0</v>
      </c>
      <c r="BY165" s="11">
        <f t="shared" si="63"/>
        <v>7.441464739776496E-2</v>
      </c>
    </row>
    <row r="166" spans="1:77" x14ac:dyDescent="0.25">
      <c r="A166" s="1">
        <v>46262</v>
      </c>
      <c r="B166" s="21">
        <v>162.38</v>
      </c>
      <c r="C166" s="21">
        <v>208.95</v>
      </c>
      <c r="D166" s="22">
        <v>-3.53928232967686E-2</v>
      </c>
      <c r="E166" s="22">
        <v>-2.76123737407853E-2</v>
      </c>
      <c r="F166" s="21">
        <v>0</v>
      </c>
      <c r="G166" s="21">
        <v>0.13809399999999999</v>
      </c>
      <c r="H166" s="21">
        <v>0</v>
      </c>
      <c r="I166" s="21">
        <v>0.145592</v>
      </c>
      <c r="J166" s="21">
        <v>0</v>
      </c>
      <c r="K166" s="21">
        <v>0</v>
      </c>
      <c r="L166" s="21">
        <v>162.38</v>
      </c>
      <c r="M166" s="21">
        <v>208.95</v>
      </c>
      <c r="N166" s="23">
        <v>1.28679640349796</v>
      </c>
      <c r="O166" s="23">
        <v>1.3022492118915701</v>
      </c>
      <c r="P166" s="23">
        <v>1.2811880787777901</v>
      </c>
      <c r="Q166" s="23">
        <v>1.2700571115608399</v>
      </c>
      <c r="R166" s="21">
        <v>211.45922702695299</v>
      </c>
      <c r="S166" s="21">
        <v>207.59629837817999</v>
      </c>
      <c r="T166" s="21">
        <v>206.079338675597</v>
      </c>
      <c r="U166" s="22">
        <v>1.19372109935501E-2</v>
      </c>
      <c r="V166" s="22">
        <v>-6.4996683094199299E-3</v>
      </c>
      <c r="W166" s="22">
        <v>-1.383375504948E-2</v>
      </c>
      <c r="X166" s="23">
        <v>1.28679640349796</v>
      </c>
      <c r="Y166" s="23">
        <v>1.3022759807794699</v>
      </c>
      <c r="Z166" s="23">
        <v>1.2811880787777901</v>
      </c>
      <c r="AA166" s="23">
        <v>1.2700571115608399</v>
      </c>
      <c r="AB166" s="21">
        <v>211.46357375897099</v>
      </c>
      <c r="AC166" s="21">
        <v>207.59629837817999</v>
      </c>
      <c r="AD166" s="21">
        <v>206.079338675597</v>
      </c>
      <c r="AE166" s="22">
        <v>1.1957766669476001E-2</v>
      </c>
      <c r="AF166" s="22">
        <v>-6.4996683094199299E-3</v>
      </c>
      <c r="AG166" s="22">
        <v>-1.3833755049480201E-2</v>
      </c>
      <c r="BB166">
        <f t="shared" si="46"/>
        <v>0</v>
      </c>
      <c r="BC166">
        <f t="shared" si="47"/>
        <v>0</v>
      </c>
      <c r="BD166">
        <f t="shared" si="48"/>
        <v>0</v>
      </c>
      <c r="BE166">
        <f t="shared" si="44"/>
        <v>1</v>
      </c>
      <c r="BF166">
        <f t="shared" si="49"/>
        <v>0</v>
      </c>
      <c r="BG166" s="17">
        <f t="shared" si="50"/>
        <v>0</v>
      </c>
      <c r="BH166" s="17">
        <f t="shared" si="51"/>
        <v>0</v>
      </c>
      <c r="BI166" s="17">
        <f t="shared" si="52"/>
        <v>0</v>
      </c>
      <c r="BJ166" s="11">
        <f t="shared" si="53"/>
        <v>7.4917699388094783E-2</v>
      </c>
      <c r="BL166" s="17"/>
      <c r="BN166">
        <f t="shared" si="54"/>
        <v>0</v>
      </c>
      <c r="BO166">
        <f t="shared" si="55"/>
        <v>1</v>
      </c>
      <c r="BP166">
        <f t="shared" si="56"/>
        <v>0</v>
      </c>
      <c r="BQ166">
        <f t="shared" si="45"/>
        <v>1</v>
      </c>
      <c r="BR166">
        <f t="shared" si="57"/>
        <v>0</v>
      </c>
      <c r="BS166" s="17">
        <f t="shared" si="58"/>
        <v>0</v>
      </c>
      <c r="BT166" s="17">
        <f t="shared" si="59"/>
        <v>0</v>
      </c>
      <c r="BU166" s="17">
        <f t="shared" si="60"/>
        <v>0</v>
      </c>
      <c r="BV166" s="11">
        <f t="shared" si="61"/>
        <v>-5.030519903298199E-4</v>
      </c>
      <c r="BX166" s="11">
        <f t="shared" si="62"/>
        <v>0</v>
      </c>
      <c r="BY166" s="11">
        <f t="shared" si="63"/>
        <v>7.441464739776496E-2</v>
      </c>
    </row>
    <row r="167" spans="1:77" x14ac:dyDescent="0.25">
      <c r="A167" s="1">
        <v>46265</v>
      </c>
      <c r="B167" s="21">
        <v>162.5</v>
      </c>
      <c r="C167" s="21">
        <v>209.05</v>
      </c>
      <c r="D167" s="22">
        <v>7.3873433549188504E-4</v>
      </c>
      <c r="E167" s="22">
        <v>4.7846890864979198E-4</v>
      </c>
      <c r="F167" s="21">
        <v>0</v>
      </c>
      <c r="G167" s="21">
        <v>0.13809399999999999</v>
      </c>
      <c r="H167" s="21">
        <v>0</v>
      </c>
      <c r="I167" s="21">
        <v>0.145592</v>
      </c>
      <c r="J167" s="21">
        <v>0</v>
      </c>
      <c r="K167" s="21">
        <v>0</v>
      </c>
      <c r="L167" s="21">
        <v>162.5</v>
      </c>
      <c r="M167" s="21">
        <v>209.05</v>
      </c>
      <c r="N167" s="23">
        <v>1.2864615384615301</v>
      </c>
      <c r="O167" s="23">
        <v>1.3022492118915701</v>
      </c>
      <c r="P167" s="23">
        <v>1.28325615953424</v>
      </c>
      <c r="Q167" s="23">
        <v>1.2712785660550301</v>
      </c>
      <c r="R167" s="21">
        <v>211.61549693238001</v>
      </c>
      <c r="S167" s="21">
        <v>208.19306280139099</v>
      </c>
      <c r="T167" s="21">
        <v>206.38428062863699</v>
      </c>
      <c r="U167" s="22">
        <v>1.2197476420391999E-2</v>
      </c>
      <c r="V167" s="22">
        <v>-4.1076220548670996E-3</v>
      </c>
      <c r="W167" s="22">
        <v>-1.28335868404398E-2</v>
      </c>
      <c r="X167" s="23">
        <v>1.2864615384615301</v>
      </c>
      <c r="Y167" s="23">
        <v>1.3022759807794699</v>
      </c>
      <c r="Z167" s="23">
        <v>1.28325615953424</v>
      </c>
      <c r="AA167" s="23">
        <v>1.2712785660550301</v>
      </c>
      <c r="AB167" s="21">
        <v>211.61984687666401</v>
      </c>
      <c r="AC167" s="21">
        <v>208.19306280139099</v>
      </c>
      <c r="AD167" s="21">
        <v>206.38428062863699</v>
      </c>
      <c r="AE167" s="22">
        <v>1.22180320963182E-2</v>
      </c>
      <c r="AF167" s="22">
        <v>-4.1076220548670996E-3</v>
      </c>
      <c r="AG167" s="22">
        <v>-1.28335868404398E-2</v>
      </c>
      <c r="BB167">
        <f t="shared" si="46"/>
        <v>0</v>
      </c>
      <c r="BC167">
        <f t="shared" si="47"/>
        <v>0</v>
      </c>
      <c r="BD167">
        <f t="shared" si="48"/>
        <v>0</v>
      </c>
      <c r="BE167">
        <f t="shared" si="44"/>
        <v>1</v>
      </c>
      <c r="BF167">
        <f t="shared" si="49"/>
        <v>0</v>
      </c>
      <c r="BG167" s="17">
        <f t="shared" si="50"/>
        <v>0</v>
      </c>
      <c r="BH167" s="17">
        <f t="shared" si="51"/>
        <v>0</v>
      </c>
      <c r="BI167" s="17">
        <f t="shared" si="52"/>
        <v>0</v>
      </c>
      <c r="BJ167" s="11">
        <f t="shared" si="53"/>
        <v>7.4917699388094783E-2</v>
      </c>
      <c r="BL167" s="17"/>
      <c r="BN167">
        <f t="shared" si="54"/>
        <v>0</v>
      </c>
      <c r="BO167">
        <f t="shared" si="55"/>
        <v>1</v>
      </c>
      <c r="BP167">
        <f t="shared" si="56"/>
        <v>0</v>
      </c>
      <c r="BQ167">
        <f t="shared" si="45"/>
        <v>1</v>
      </c>
      <c r="BR167">
        <f t="shared" si="57"/>
        <v>0</v>
      </c>
      <c r="BS167" s="17">
        <f t="shared" si="58"/>
        <v>0</v>
      </c>
      <c r="BT167" s="17">
        <f t="shared" si="59"/>
        <v>0</v>
      </c>
      <c r="BU167" s="17">
        <f t="shared" si="60"/>
        <v>0</v>
      </c>
      <c r="BV167" s="11">
        <f t="shared" si="61"/>
        <v>-5.030519903298199E-4</v>
      </c>
      <c r="BX167" s="11">
        <f t="shared" si="62"/>
        <v>0</v>
      </c>
      <c r="BY167" s="11">
        <f t="shared" si="63"/>
        <v>7.441464739776496E-2</v>
      </c>
    </row>
    <row r="168" spans="1:77" x14ac:dyDescent="0.25">
      <c r="A168" s="1">
        <v>46266</v>
      </c>
      <c r="B168" s="21">
        <v>163.4</v>
      </c>
      <c r="C168" s="21">
        <v>210.82</v>
      </c>
      <c r="D168" s="22">
        <v>5.5231806561102798E-3</v>
      </c>
      <c r="E168" s="22">
        <v>8.43123102446907E-3</v>
      </c>
      <c r="F168" s="21">
        <v>0</v>
      </c>
      <c r="G168" s="21">
        <v>0.13809399999999999</v>
      </c>
      <c r="H168" s="21">
        <v>0</v>
      </c>
      <c r="I168" s="21">
        <v>0.145592</v>
      </c>
      <c r="J168" s="21">
        <v>0</v>
      </c>
      <c r="K168" s="21">
        <v>0</v>
      </c>
      <c r="L168" s="21">
        <v>163.4</v>
      </c>
      <c r="M168" s="21">
        <v>210.82</v>
      </c>
      <c r="N168" s="23">
        <v>1.29020807833537</v>
      </c>
      <c r="O168" s="23">
        <v>1.3022492118915701</v>
      </c>
      <c r="P168" s="23">
        <v>1.2851393744629001</v>
      </c>
      <c r="Q168" s="23">
        <v>1.2731902077911299</v>
      </c>
      <c r="R168" s="21">
        <v>212.78752122308299</v>
      </c>
      <c r="S168" s="21">
        <v>209.684056467896</v>
      </c>
      <c r="T168" s="21">
        <v>207.72691769339201</v>
      </c>
      <c r="U168" s="22">
        <v>9.2894260520335805E-3</v>
      </c>
      <c r="V168" s="22">
        <v>-5.4027840056237904E-3</v>
      </c>
      <c r="W168" s="22">
        <v>-1.4780367433223199E-2</v>
      </c>
      <c r="X168" s="23">
        <v>1.29020807833537</v>
      </c>
      <c r="Y168" s="23">
        <v>1.3022759807794699</v>
      </c>
      <c r="Z168" s="23">
        <v>1.2851393744629001</v>
      </c>
      <c r="AA168" s="23">
        <v>1.2731902077911299</v>
      </c>
      <c r="AB168" s="21">
        <v>212.79189525936599</v>
      </c>
      <c r="AC168" s="21">
        <v>209.684056467896</v>
      </c>
      <c r="AD168" s="21">
        <v>207.72691769339201</v>
      </c>
      <c r="AE168" s="22">
        <v>9.3099817279594897E-3</v>
      </c>
      <c r="AF168" s="22">
        <v>-5.4027840056238997E-3</v>
      </c>
      <c r="AG168" s="22">
        <v>-1.4780367433223199E-2</v>
      </c>
    </row>
    <row r="169" spans="1:77" x14ac:dyDescent="0.25">
      <c r="A169" s="1">
        <v>46267</v>
      </c>
      <c r="B169" s="21">
        <v>165.37</v>
      </c>
      <c r="C169" s="21">
        <v>213.8</v>
      </c>
      <c r="D169" s="22">
        <v>1.1984205236202399E-2</v>
      </c>
      <c r="E169" s="22">
        <v>1.4036309763901701E-2</v>
      </c>
      <c r="F169" s="21">
        <v>0</v>
      </c>
      <c r="G169" s="21">
        <v>0.13809399999999999</v>
      </c>
      <c r="H169" s="21">
        <v>0</v>
      </c>
      <c r="I169" s="21">
        <v>0.145592</v>
      </c>
      <c r="J169" s="21">
        <v>0</v>
      </c>
      <c r="K169" s="21">
        <v>0</v>
      </c>
      <c r="L169" s="21">
        <v>165.37</v>
      </c>
      <c r="M169" s="21">
        <v>213.8</v>
      </c>
      <c r="N169" s="23">
        <v>1.29285843865271</v>
      </c>
      <c r="O169" s="23">
        <v>1.3022492118915701</v>
      </c>
      <c r="P169" s="23">
        <v>1.28646296530547</v>
      </c>
      <c r="Q169" s="23">
        <v>1.27515748760887</v>
      </c>
      <c r="R169" s="21">
        <v>215.35295217050901</v>
      </c>
      <c r="S169" s="21">
        <v>212.52349835493001</v>
      </c>
      <c r="T169" s="21">
        <v>210.547464662419</v>
      </c>
      <c r="U169" s="22">
        <v>7.2373215243342198E-3</v>
      </c>
      <c r="V169" s="22">
        <v>-5.9884358462528996E-3</v>
      </c>
      <c r="W169" s="22">
        <v>-1.53298855543464E-2</v>
      </c>
      <c r="X169" s="23">
        <v>1.29285843865271</v>
      </c>
      <c r="Y169" s="23">
        <v>1.3022759807794699</v>
      </c>
      <c r="Z169" s="23">
        <v>1.28646296530547</v>
      </c>
      <c r="AA169" s="23">
        <v>1.27515748760887</v>
      </c>
      <c r="AB169" s="21">
        <v>215.357378941501</v>
      </c>
      <c r="AC169" s="21">
        <v>212.52349835493001</v>
      </c>
      <c r="AD169" s="21">
        <v>210.547464662419</v>
      </c>
      <c r="AE169" s="22">
        <v>7.2578772002601898E-3</v>
      </c>
      <c r="AF169" s="22">
        <v>-5.9884358462528996E-3</v>
      </c>
      <c r="AG169" s="22">
        <v>-1.53298855543464E-2</v>
      </c>
    </row>
    <row r="170" spans="1:77" x14ac:dyDescent="0.25">
      <c r="A170" s="1">
        <v>46268</v>
      </c>
      <c r="B170" s="21">
        <v>164.38</v>
      </c>
      <c r="C170" s="21">
        <v>213.81</v>
      </c>
      <c r="D170" s="22">
        <v>-6.0045669417511599E-3</v>
      </c>
      <c r="E170" s="22">
        <v>4.6771590944259398E-5</v>
      </c>
      <c r="F170" s="21">
        <v>0</v>
      </c>
      <c r="G170" s="21">
        <v>0.13809399999999999</v>
      </c>
      <c r="H170" s="21">
        <v>0</v>
      </c>
      <c r="I170" s="21">
        <v>0.145592</v>
      </c>
      <c r="J170" s="21">
        <v>0</v>
      </c>
      <c r="K170" s="21">
        <v>0</v>
      </c>
      <c r="L170" s="21">
        <v>164.38</v>
      </c>
      <c r="M170" s="21">
        <v>213.81</v>
      </c>
      <c r="N170" s="23">
        <v>1.30070568195644</v>
      </c>
      <c r="O170" s="23">
        <v>1.3022492118915701</v>
      </c>
      <c r="P170" s="23">
        <v>1.28749081101366</v>
      </c>
      <c r="Q170" s="23">
        <v>1.27774293351899</v>
      </c>
      <c r="R170" s="21">
        <v>214.063725450736</v>
      </c>
      <c r="S170" s="21">
        <v>211.468782236913</v>
      </c>
      <c r="T170" s="21">
        <v>209.61038781314599</v>
      </c>
      <c r="U170" s="22">
        <v>1.18598299163883E-3</v>
      </c>
      <c r="V170" s="22">
        <v>-1.1010384306483E-2</v>
      </c>
      <c r="W170" s="22">
        <v>-1.9837258785840799E-2</v>
      </c>
      <c r="X170" s="23">
        <v>1.30070568195644</v>
      </c>
      <c r="Y170" s="23">
        <v>1.3022759807794699</v>
      </c>
      <c r="Z170" s="23">
        <v>1.28749081101366</v>
      </c>
      <c r="AA170" s="23">
        <v>1.27774293351899</v>
      </c>
      <c r="AB170" s="21">
        <v>214.068125720529</v>
      </c>
      <c r="AC170" s="21">
        <v>211.468782236913</v>
      </c>
      <c r="AD170" s="21">
        <v>209.61038781314599</v>
      </c>
      <c r="AE170" s="22">
        <v>1.20653866756505E-3</v>
      </c>
      <c r="AF170" s="22">
        <v>-1.1010384306483E-2</v>
      </c>
      <c r="AG170" s="22">
        <v>-1.9837258785840799E-2</v>
      </c>
    </row>
    <row r="171" spans="1:77" x14ac:dyDescent="0.25">
      <c r="A171" s="1">
        <v>46269</v>
      </c>
      <c r="B171" s="21">
        <v>163.81</v>
      </c>
      <c r="C171" s="21">
        <v>211.92</v>
      </c>
      <c r="D171" s="22">
        <v>-3.4736011038139E-3</v>
      </c>
      <c r="E171" s="22">
        <v>-8.8789252180747902E-3</v>
      </c>
      <c r="F171" s="21">
        <v>0</v>
      </c>
      <c r="G171" s="21">
        <v>0.13809399999999999</v>
      </c>
      <c r="H171" s="21">
        <v>0</v>
      </c>
      <c r="I171" s="21">
        <v>0.145592</v>
      </c>
      <c r="J171" s="21">
        <v>0</v>
      </c>
      <c r="K171" s="21">
        <v>0</v>
      </c>
      <c r="L171" s="21">
        <v>163.81</v>
      </c>
      <c r="M171" s="21">
        <v>211.92</v>
      </c>
      <c r="N171" s="23">
        <v>1.2936939136804799</v>
      </c>
      <c r="O171" s="23">
        <v>1.3022492118915701</v>
      </c>
      <c r="P171" s="23">
        <v>1.28800000808979</v>
      </c>
      <c r="Q171" s="23">
        <v>1.2796107009447699</v>
      </c>
      <c r="R171" s="21">
        <v>213.32144339995801</v>
      </c>
      <c r="S171" s="21">
        <v>210.90386975214801</v>
      </c>
      <c r="T171" s="21">
        <v>209.30706993974599</v>
      </c>
      <c r="U171" s="22">
        <v>6.5913071058997501E-3</v>
      </c>
      <c r="V171" s="22">
        <v>-4.8064088937553604E-3</v>
      </c>
      <c r="W171" s="22">
        <v>-1.24064371060249E-2</v>
      </c>
      <c r="X171" s="23">
        <v>1.2936939136804799</v>
      </c>
      <c r="Y171" s="23">
        <v>1.3022759807794699</v>
      </c>
      <c r="Z171" s="23">
        <v>1.28800000808979</v>
      </c>
      <c r="AA171" s="23">
        <v>1.2796107009447699</v>
      </c>
      <c r="AB171" s="21">
        <v>213.32582841148499</v>
      </c>
      <c r="AC171" s="21">
        <v>210.90386975214801</v>
      </c>
      <c r="AD171" s="21">
        <v>209.30706993974599</v>
      </c>
      <c r="AE171" s="22">
        <v>6.61186278182591E-3</v>
      </c>
      <c r="AF171" s="22">
        <v>-4.80640889375569E-3</v>
      </c>
      <c r="AG171" s="22">
        <v>-1.24064371060249E-2</v>
      </c>
    </row>
    <row r="172" spans="1:77" x14ac:dyDescent="0.25">
      <c r="A172" s="1">
        <v>46273</v>
      </c>
      <c r="B172" s="21">
        <v>161.93</v>
      </c>
      <c r="C172" s="21">
        <v>207.33</v>
      </c>
      <c r="D172" s="22">
        <v>-1.15430765311604E-2</v>
      </c>
      <c r="E172" s="22">
        <v>-2.1897118192401501E-2</v>
      </c>
      <c r="F172" s="21">
        <v>0</v>
      </c>
      <c r="G172" s="21">
        <v>0.13809399999999999</v>
      </c>
      <c r="H172" s="21">
        <v>0</v>
      </c>
      <c r="I172" s="21">
        <v>0.145592</v>
      </c>
      <c r="J172" s="21">
        <v>0</v>
      </c>
      <c r="K172" s="21">
        <v>0</v>
      </c>
      <c r="L172" s="21">
        <v>161.93</v>
      </c>
      <c r="M172" s="21">
        <v>207.33</v>
      </c>
      <c r="N172" s="23">
        <v>1.2803680602729499</v>
      </c>
      <c r="O172" s="23">
        <v>1.3022492118915701</v>
      </c>
      <c r="P172" s="23">
        <v>1.2865795442139301</v>
      </c>
      <c r="Q172" s="23">
        <v>1.2803436518290701</v>
      </c>
      <c r="R172" s="21">
        <v>210.873214881602</v>
      </c>
      <c r="S172" s="21">
        <v>208.56584130997899</v>
      </c>
      <c r="T172" s="21">
        <v>207.207360803987</v>
      </c>
      <c r="U172" s="22">
        <v>1.6945348767140801E-2</v>
      </c>
      <c r="V172" s="22">
        <v>5.9430502770222602E-3</v>
      </c>
      <c r="W172" s="22">
        <v>-5.9169190131918995E-4</v>
      </c>
      <c r="X172" s="23">
        <v>1.2803680602729499</v>
      </c>
      <c r="Y172" s="23">
        <v>1.3022759807794699</v>
      </c>
      <c r="Z172" s="23">
        <v>1.2865795442139301</v>
      </c>
      <c r="AA172" s="23">
        <v>1.2803436518290701</v>
      </c>
      <c r="AB172" s="21">
        <v>210.87754956762001</v>
      </c>
      <c r="AC172" s="21">
        <v>208.56584130997899</v>
      </c>
      <c r="AD172" s="21">
        <v>207.207360803987</v>
      </c>
      <c r="AE172" s="22">
        <v>1.6965904443066698E-2</v>
      </c>
      <c r="AF172" s="22">
        <v>5.9430502770220399E-3</v>
      </c>
      <c r="AG172" s="22">
        <v>-5.9169190131930097E-4</v>
      </c>
    </row>
    <row r="173" spans="1:77" x14ac:dyDescent="0.25">
      <c r="A173" s="1">
        <v>46274</v>
      </c>
      <c r="B173" s="21">
        <v>159.38</v>
      </c>
      <c r="C173" s="21">
        <v>205.49</v>
      </c>
      <c r="D173" s="22">
        <v>-1.58728551157774E-2</v>
      </c>
      <c r="E173" s="22">
        <v>-8.9143558196337694E-3</v>
      </c>
      <c r="F173" s="21">
        <v>0</v>
      </c>
      <c r="G173" s="21">
        <v>0.13809399999999999</v>
      </c>
      <c r="H173" s="21">
        <v>0</v>
      </c>
      <c r="I173" s="21">
        <v>0.145592</v>
      </c>
      <c r="J173" s="21">
        <v>0</v>
      </c>
      <c r="K173" s="21">
        <v>0</v>
      </c>
      <c r="L173" s="21">
        <v>159.38</v>
      </c>
      <c r="M173" s="21">
        <v>205.49</v>
      </c>
      <c r="N173" s="23">
        <v>1.2893085707115</v>
      </c>
      <c r="O173" s="23">
        <v>1.3022492118915701</v>
      </c>
      <c r="P173" s="23">
        <v>1.28753878685575</v>
      </c>
      <c r="Q173" s="23">
        <v>1.2816282111295001</v>
      </c>
      <c r="R173" s="21">
        <v>207.55247939127901</v>
      </c>
      <c r="S173" s="21">
        <v>205.055047756817</v>
      </c>
      <c r="T173" s="21">
        <v>204.06117122851799</v>
      </c>
      <c r="U173" s="22">
        <v>9.9868494709971101E-3</v>
      </c>
      <c r="V173" s="22">
        <v>-2.1189022169167699E-3</v>
      </c>
      <c r="W173" s="22">
        <v>-6.9775630929506203E-3</v>
      </c>
      <c r="X173" s="23">
        <v>1.2893085707115</v>
      </c>
      <c r="Y173" s="23">
        <v>1.3022759807794699</v>
      </c>
      <c r="Z173" s="23">
        <v>1.28753878685575</v>
      </c>
      <c r="AA173" s="23">
        <v>1.2816282111295001</v>
      </c>
      <c r="AB173" s="21">
        <v>207.556745816632</v>
      </c>
      <c r="AC173" s="21">
        <v>205.055047756817</v>
      </c>
      <c r="AD173" s="21">
        <v>204.06117122851799</v>
      </c>
      <c r="AE173" s="22">
        <v>1.0007405146923099E-2</v>
      </c>
      <c r="AF173" s="22">
        <v>-2.1189022169167699E-3</v>
      </c>
      <c r="AG173" s="22">
        <v>-6.9775630929506203E-3</v>
      </c>
    </row>
    <row r="174" spans="1:77" x14ac:dyDescent="0.25">
      <c r="A174" s="1">
        <v>46275</v>
      </c>
      <c r="B174" s="21">
        <v>156.82</v>
      </c>
      <c r="C174" s="21">
        <v>202.64</v>
      </c>
      <c r="D174" s="22">
        <v>-1.6192637166826201E-2</v>
      </c>
      <c r="E174" s="22">
        <v>-1.3966365258359099E-2</v>
      </c>
      <c r="F174" s="21">
        <v>0</v>
      </c>
      <c r="G174" s="21">
        <v>0.13809399999999999</v>
      </c>
      <c r="H174" s="21">
        <v>0</v>
      </c>
      <c r="I174" s="21">
        <v>0.145592</v>
      </c>
      <c r="J174" s="21">
        <v>0</v>
      </c>
      <c r="K174" s="21">
        <v>0</v>
      </c>
      <c r="L174" s="21">
        <v>156.82</v>
      </c>
      <c r="M174" s="21">
        <v>202.64</v>
      </c>
      <c r="N174" s="23">
        <v>1.29218211962759</v>
      </c>
      <c r="O174" s="23">
        <v>1.3022492118915701</v>
      </c>
      <c r="P174" s="23">
        <v>1.2889406201736999</v>
      </c>
      <c r="Q174" s="23">
        <v>1.2832722628414801</v>
      </c>
      <c r="R174" s="21">
        <v>204.21872140883599</v>
      </c>
      <c r="S174" s="21">
        <v>201.91183255471901</v>
      </c>
      <c r="T174" s="21">
        <v>200.984936069328</v>
      </c>
      <c r="U174" s="22">
        <v>7.76057756253027E-3</v>
      </c>
      <c r="V174" s="22">
        <v>-3.5998760754508701E-3</v>
      </c>
      <c r="W174" s="22">
        <v>-8.2010453715677892E-3</v>
      </c>
      <c r="X174" s="23">
        <v>1.29218211962759</v>
      </c>
      <c r="Y174" s="23">
        <v>1.3022759807794699</v>
      </c>
      <c r="Z174" s="23">
        <v>1.2889406201736999</v>
      </c>
      <c r="AA174" s="23">
        <v>1.2832722628414801</v>
      </c>
      <c r="AB174" s="21">
        <v>204.222919305837</v>
      </c>
      <c r="AC174" s="21">
        <v>201.91183255471901</v>
      </c>
      <c r="AD174" s="21">
        <v>200.984936069328</v>
      </c>
      <c r="AE174" s="22">
        <v>7.7811332384561897E-3</v>
      </c>
      <c r="AF174" s="22">
        <v>-3.5998760754508701E-3</v>
      </c>
      <c r="AG174" s="22">
        <v>-8.20104537156768E-3</v>
      </c>
    </row>
    <row r="175" spans="1:77" x14ac:dyDescent="0.25">
      <c r="A175" s="1">
        <v>46276</v>
      </c>
      <c r="B175" s="21">
        <v>156.19999999999999</v>
      </c>
      <c r="C175" s="21">
        <v>202.93</v>
      </c>
      <c r="D175" s="22">
        <v>-3.9614133971902802E-3</v>
      </c>
      <c r="E175" s="22">
        <v>1.4300862954578599E-3</v>
      </c>
      <c r="F175" s="21">
        <v>0</v>
      </c>
      <c r="G175" s="21">
        <v>0.13809399999999999</v>
      </c>
      <c r="H175" s="21">
        <v>0</v>
      </c>
      <c r="I175" s="21">
        <v>0.145592</v>
      </c>
      <c r="J175" s="21">
        <v>0</v>
      </c>
      <c r="K175" s="21">
        <v>0</v>
      </c>
      <c r="L175" s="21">
        <v>156.19999999999999</v>
      </c>
      <c r="M175" s="21">
        <v>202.93</v>
      </c>
      <c r="N175" s="23">
        <v>1.29916773367477</v>
      </c>
      <c r="O175" s="23">
        <v>1.3022492118915701</v>
      </c>
      <c r="P175" s="23">
        <v>1.2911750538871301</v>
      </c>
      <c r="Q175" s="23">
        <v>1.28481741479361</v>
      </c>
      <c r="R175" s="21">
        <v>203.411326897463</v>
      </c>
      <c r="S175" s="21">
        <v>201.33252487113199</v>
      </c>
      <c r="T175" s="21">
        <v>200.447127455839</v>
      </c>
      <c r="U175" s="22">
        <v>2.3690778698821401E-3</v>
      </c>
      <c r="V175" s="22">
        <v>-7.9031982709669799E-3</v>
      </c>
      <c r="W175" s="22">
        <v>-1.2310583480272801E-2</v>
      </c>
      <c r="X175" s="23">
        <v>1.29916773367477</v>
      </c>
      <c r="Y175" s="23">
        <v>1.3022759807794699</v>
      </c>
      <c r="Z175" s="23">
        <v>1.2911750538871301</v>
      </c>
      <c r="AA175" s="23">
        <v>1.28481741479361</v>
      </c>
      <c r="AB175" s="21">
        <v>203.41550819775301</v>
      </c>
      <c r="AC175" s="21">
        <v>201.33252487113199</v>
      </c>
      <c r="AD175" s="21">
        <v>200.447127455839</v>
      </c>
      <c r="AE175" s="22">
        <v>2.3896335458081699E-3</v>
      </c>
      <c r="AF175" s="22">
        <v>-7.9031982709670996E-3</v>
      </c>
      <c r="AG175" s="22">
        <v>-1.2310583480272501E-2</v>
      </c>
    </row>
    <row r="176" spans="1:77" x14ac:dyDescent="0.25">
      <c r="A176" s="1">
        <v>46279</v>
      </c>
      <c r="B176" s="21">
        <v>157.6</v>
      </c>
      <c r="C176" s="21">
        <v>204.6</v>
      </c>
      <c r="D176" s="22">
        <v>8.9229400181932393E-3</v>
      </c>
      <c r="E176" s="22">
        <v>8.1957615286486103E-3</v>
      </c>
      <c r="F176" s="21">
        <v>0</v>
      </c>
      <c r="G176" s="21">
        <v>0.13809399999999999</v>
      </c>
      <c r="H176" s="21">
        <v>0</v>
      </c>
      <c r="I176" s="21">
        <v>0.145592</v>
      </c>
      <c r="J176" s="21">
        <v>0</v>
      </c>
      <c r="K176" s="21">
        <v>0</v>
      </c>
      <c r="L176" s="21">
        <v>157.6</v>
      </c>
      <c r="M176" s="21">
        <v>204.6</v>
      </c>
      <c r="N176" s="23">
        <v>1.2982233502538001</v>
      </c>
      <c r="O176" s="23">
        <v>1.3022492118915701</v>
      </c>
      <c r="P176" s="23">
        <v>1.29231774856272</v>
      </c>
      <c r="Q176" s="23">
        <v>1.28675291367025</v>
      </c>
      <c r="R176" s="21">
        <v>205.234475794112</v>
      </c>
      <c r="S176" s="21">
        <v>203.48918849261199</v>
      </c>
      <c r="T176" s="21">
        <v>202.48722457147301</v>
      </c>
      <c r="U176" s="22">
        <v>3.0962563594267001E-3</v>
      </c>
      <c r="V176" s="22">
        <v>-5.4439778466370799E-3</v>
      </c>
      <c r="W176" s="22">
        <v>-1.03800574970314E-2</v>
      </c>
      <c r="X176" s="23">
        <v>1.2982233502538001</v>
      </c>
      <c r="Y176" s="23">
        <v>1.3022759807794699</v>
      </c>
      <c r="Z176" s="23">
        <v>1.29231774856272</v>
      </c>
      <c r="AA176" s="23">
        <v>1.28675291367025</v>
      </c>
      <c r="AB176" s="21">
        <v>205.23869457084501</v>
      </c>
      <c r="AC176" s="21">
        <v>203.48918849261199</v>
      </c>
      <c r="AD176" s="21">
        <v>202.48722457147301</v>
      </c>
      <c r="AE176" s="22">
        <v>3.11681203535268E-3</v>
      </c>
      <c r="AF176" s="22">
        <v>-5.4439778466370799E-3</v>
      </c>
      <c r="AG176" s="22">
        <v>-1.0380057497031501E-2</v>
      </c>
    </row>
  </sheetData>
  <conditionalFormatting sqref="CM4:CT11">
    <cfRule type="top10" dxfId="2" priority="3" rank="3"/>
  </conditionalFormatting>
  <conditionalFormatting sqref="CM15:CT22">
    <cfRule type="top10" dxfId="1" priority="2" rank="3"/>
  </conditionalFormatting>
  <conditionalFormatting sqref="CM26:CT33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XBI_IBB_1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2026-09-19T17:45:51Z</dcterms:created>
  <dcterms:modified xsi:type="dcterms:W3CDTF">2026-09-19T18:00:59Z</dcterms:modified>
</cp:coreProperties>
</file>