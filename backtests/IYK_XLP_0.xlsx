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FB3B04FB-5A7F-49FF-A201-EB3AF367175D}" xr6:coauthVersionLast="47" xr6:coauthVersionMax="47" xr10:uidLastSave="{00000000-0000-0000-0000-000000000000}"/>
  <bookViews>
    <workbookView xWindow="-108" yWindow="-108" windowWidth="23256" windowHeight="12456" xr2:uid="{76529ED6-32EA-4C9E-903B-883229F625F5}"/>
  </bookViews>
  <sheets>
    <sheet name="IYK_XLP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F166" i="1" s="1"/>
  <c r="BQ164" i="1"/>
  <c r="BO164" i="1"/>
  <c r="BN164" i="1"/>
  <c r="BE164" i="1"/>
  <c r="BC164" i="1"/>
  <c r="BB164" i="1"/>
  <c r="BF165" i="1" s="1"/>
  <c r="BR163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F161" i="1" s="1"/>
  <c r="BQ159" i="1"/>
  <c r="BP159" i="1"/>
  <c r="BO159" i="1"/>
  <c r="BN159" i="1"/>
  <c r="BE159" i="1"/>
  <c r="BC159" i="1"/>
  <c r="BB159" i="1"/>
  <c r="BQ158" i="1"/>
  <c r="BO158" i="1"/>
  <c r="BN158" i="1"/>
  <c r="BR159" i="1" s="1"/>
  <c r="BS159" i="1" s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F157" i="1" s="1"/>
  <c r="BD157" i="1" s="1"/>
  <c r="BQ155" i="1"/>
  <c r="BO155" i="1"/>
  <c r="BN155" i="1"/>
  <c r="BR156" i="1" s="1"/>
  <c r="BE155" i="1"/>
  <c r="BC155" i="1"/>
  <c r="BB155" i="1"/>
  <c r="BF156" i="1" s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F152" i="1" s="1"/>
  <c r="BD152" i="1" s="1"/>
  <c r="BQ150" i="1"/>
  <c r="BO150" i="1"/>
  <c r="BN150" i="1"/>
  <c r="BE150" i="1"/>
  <c r="BC150" i="1"/>
  <c r="BB150" i="1"/>
  <c r="BQ149" i="1"/>
  <c r="BO149" i="1"/>
  <c r="BN149" i="1"/>
  <c r="BR150" i="1" s="1"/>
  <c r="BE149" i="1"/>
  <c r="BC149" i="1"/>
  <c r="BB149" i="1"/>
  <c r="BQ148" i="1"/>
  <c r="BO148" i="1"/>
  <c r="BN148" i="1"/>
  <c r="BE148" i="1"/>
  <c r="BC148" i="1"/>
  <c r="BB148" i="1"/>
  <c r="BQ147" i="1"/>
  <c r="BR148" i="1" s="1"/>
  <c r="BO147" i="1"/>
  <c r="BN147" i="1"/>
  <c r="BE147" i="1"/>
  <c r="BC147" i="1"/>
  <c r="BB147" i="1"/>
  <c r="BQ146" i="1"/>
  <c r="BO146" i="1"/>
  <c r="BN146" i="1"/>
  <c r="BR147" i="1" s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F142" i="1" s="1"/>
  <c r="BQ140" i="1"/>
  <c r="BO140" i="1"/>
  <c r="BN140" i="1"/>
  <c r="BR141" i="1" s="1"/>
  <c r="BT141" i="1" s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F138" i="1" s="1"/>
  <c r="BR136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F136" i="1" s="1"/>
  <c r="BQ134" i="1"/>
  <c r="BO134" i="1"/>
  <c r="BN134" i="1"/>
  <c r="BR135" i="1" s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F133" i="1" s="1"/>
  <c r="BQ131" i="1"/>
  <c r="BO131" i="1"/>
  <c r="BN131" i="1"/>
  <c r="BE131" i="1"/>
  <c r="BC131" i="1"/>
  <c r="BB131" i="1"/>
  <c r="BF132" i="1" s="1"/>
  <c r="BD132" i="1" s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F129" i="1" s="1"/>
  <c r="BD129" i="1" s="1"/>
  <c r="BQ127" i="1"/>
  <c r="BO127" i="1"/>
  <c r="BN127" i="1"/>
  <c r="BE127" i="1"/>
  <c r="BC127" i="1"/>
  <c r="BB127" i="1"/>
  <c r="BQ126" i="1"/>
  <c r="BO126" i="1"/>
  <c r="BN126" i="1"/>
  <c r="BR127" i="1" s="1"/>
  <c r="BP127" i="1" s="1"/>
  <c r="BE126" i="1"/>
  <c r="BC126" i="1"/>
  <c r="BB126" i="1"/>
  <c r="BQ125" i="1"/>
  <c r="BO125" i="1"/>
  <c r="BN125" i="1"/>
  <c r="BR126" i="1" s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F124" i="1" s="1"/>
  <c r="BQ122" i="1"/>
  <c r="BO122" i="1"/>
  <c r="BN122" i="1"/>
  <c r="BE122" i="1"/>
  <c r="BC122" i="1"/>
  <c r="BB122" i="1"/>
  <c r="BF123" i="1" s="1"/>
  <c r="BD123" i="1" s="1"/>
  <c r="BQ121" i="1"/>
  <c r="BO121" i="1"/>
  <c r="BN121" i="1"/>
  <c r="BR122" i="1" s="1"/>
  <c r="BP122" i="1" s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R120" i="1" s="1"/>
  <c r="BS120" i="1" s="1"/>
  <c r="BE119" i="1"/>
  <c r="BC119" i="1"/>
  <c r="BB119" i="1"/>
  <c r="BQ118" i="1"/>
  <c r="BO118" i="1"/>
  <c r="BN118" i="1"/>
  <c r="BR119" i="1" s="1"/>
  <c r="BE118" i="1"/>
  <c r="BC118" i="1"/>
  <c r="BB118" i="1"/>
  <c r="BF119" i="1" s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F114" i="1" s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R111" i="1" s="1"/>
  <c r="BS111" i="1" s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F109" i="1" s="1"/>
  <c r="BQ107" i="1"/>
  <c r="BO107" i="1"/>
  <c r="BN107" i="1"/>
  <c r="BF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R106" i="1" s="1"/>
  <c r="BF105" i="1"/>
  <c r="BD105" i="1" s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R104" i="1" s="1"/>
  <c r="BE103" i="1"/>
  <c r="BC103" i="1"/>
  <c r="BB103" i="1"/>
  <c r="BF104" i="1" s="1"/>
  <c r="BG104" i="1" s="1"/>
  <c r="BQ102" i="1"/>
  <c r="BO102" i="1"/>
  <c r="BN102" i="1"/>
  <c r="BE102" i="1"/>
  <c r="BC102" i="1"/>
  <c r="BB102" i="1"/>
  <c r="BQ101" i="1"/>
  <c r="BO101" i="1"/>
  <c r="BN101" i="1"/>
  <c r="BR102" i="1" s="1"/>
  <c r="BT102" i="1" s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F100" i="1" s="1"/>
  <c r="BG100" i="1" s="1"/>
  <c r="BB99" i="1"/>
  <c r="BQ98" i="1"/>
  <c r="BO98" i="1"/>
  <c r="BN98" i="1"/>
  <c r="BR99" i="1" s="1"/>
  <c r="BP99" i="1" s="1"/>
  <c r="BE98" i="1"/>
  <c r="BC98" i="1"/>
  <c r="BB98" i="1"/>
  <c r="BF99" i="1" s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F95" i="1" s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F93" i="1" s="1"/>
  <c r="BD93" i="1" s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R90" i="1" s="1"/>
  <c r="BE89" i="1"/>
  <c r="BC89" i="1"/>
  <c r="BB89" i="1"/>
  <c r="BQ88" i="1"/>
  <c r="BO88" i="1"/>
  <c r="BN88" i="1"/>
  <c r="BE88" i="1"/>
  <c r="BC88" i="1"/>
  <c r="BB88" i="1"/>
  <c r="BF89" i="1" s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F79" i="1" s="1"/>
  <c r="BG79" i="1" s="1"/>
  <c r="BQ77" i="1"/>
  <c r="BO77" i="1"/>
  <c r="BN77" i="1"/>
  <c r="BR78" i="1" s="1"/>
  <c r="BE77" i="1"/>
  <c r="BC77" i="1"/>
  <c r="BB77" i="1"/>
  <c r="BQ76" i="1"/>
  <c r="BO76" i="1"/>
  <c r="BN76" i="1"/>
  <c r="BE76" i="1"/>
  <c r="BC76" i="1"/>
  <c r="BB76" i="1"/>
  <c r="BR75" i="1"/>
  <c r="BT75" i="1" s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R73" i="1"/>
  <c r="BT73" i="1" s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R71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F71" i="1" s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R60" i="1" s="1"/>
  <c r="BE59" i="1"/>
  <c r="BC59" i="1"/>
  <c r="BB59" i="1"/>
  <c r="BQ58" i="1"/>
  <c r="BO58" i="1"/>
  <c r="BN58" i="1"/>
  <c r="BR59" i="1" s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R57" i="1" s="1"/>
  <c r="BE56" i="1"/>
  <c r="BC56" i="1"/>
  <c r="BB56" i="1"/>
  <c r="BQ55" i="1"/>
  <c r="BO55" i="1"/>
  <c r="BN55" i="1"/>
  <c r="BR56" i="1" s="1"/>
  <c r="BT56" i="1" s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F54" i="1" s="1"/>
  <c r="BQ52" i="1"/>
  <c r="BO52" i="1"/>
  <c r="BN52" i="1"/>
  <c r="BE52" i="1"/>
  <c r="BC52" i="1"/>
  <c r="BB52" i="1"/>
  <c r="BF53" i="1" s="1"/>
  <c r="BQ51" i="1"/>
  <c r="BO51" i="1"/>
  <c r="BN51" i="1"/>
  <c r="BR52" i="1" s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R48" i="1" s="1"/>
  <c r="BP48" i="1" s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F45" i="1" s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R41" i="1"/>
  <c r="BS41" i="1" s="1"/>
  <c r="BQ41" i="1"/>
  <c r="BP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R40" i="1" s="1"/>
  <c r="BE39" i="1"/>
  <c r="BC39" i="1"/>
  <c r="BB39" i="1"/>
  <c r="BQ38" i="1"/>
  <c r="BO38" i="1"/>
  <c r="BN38" i="1"/>
  <c r="BE38" i="1"/>
  <c r="BC38" i="1"/>
  <c r="BB38" i="1"/>
  <c r="BF39" i="1" s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R36" i="1" s="1"/>
  <c r="BT36" i="1" s="1"/>
  <c r="BE35" i="1"/>
  <c r="BC35" i="1"/>
  <c r="BB35" i="1"/>
  <c r="BQ34" i="1"/>
  <c r="BO34" i="1"/>
  <c r="BN34" i="1"/>
  <c r="BR35" i="1" s="1"/>
  <c r="BE34" i="1"/>
  <c r="BC34" i="1"/>
  <c r="BB34" i="1"/>
  <c r="BF35" i="1" s="1"/>
  <c r="BH35" i="1" s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R32" i="1" s="1"/>
  <c r="BE31" i="1"/>
  <c r="BC31" i="1"/>
  <c r="BB31" i="1"/>
  <c r="BQ30" i="1"/>
  <c r="BO30" i="1"/>
  <c r="BN30" i="1"/>
  <c r="BE30" i="1"/>
  <c r="BC30" i="1"/>
  <c r="BB30" i="1"/>
  <c r="BQ29" i="1"/>
  <c r="BR30" i="1" s="1"/>
  <c r="BP30" i="1" s="1"/>
  <c r="BO29" i="1"/>
  <c r="BN29" i="1"/>
  <c r="BE29" i="1"/>
  <c r="BC29" i="1"/>
  <c r="BB29" i="1"/>
  <c r="BQ28" i="1"/>
  <c r="BO28" i="1"/>
  <c r="BN28" i="1"/>
  <c r="BE28" i="1"/>
  <c r="BC28" i="1"/>
  <c r="BB28" i="1"/>
  <c r="BF29" i="1" s="1"/>
  <c r="BQ27" i="1"/>
  <c r="BO27" i="1"/>
  <c r="BN27" i="1"/>
  <c r="BR28" i="1" s="1"/>
  <c r="BS28" i="1" s="1"/>
  <c r="BE27" i="1"/>
  <c r="BC27" i="1"/>
  <c r="BB27" i="1"/>
  <c r="BQ26" i="1"/>
  <c r="BO26" i="1"/>
  <c r="BN26" i="1"/>
  <c r="BR27" i="1" s="1"/>
  <c r="BP27" i="1" s="1"/>
  <c r="BF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R24" i="1" s="1"/>
  <c r="BP24" i="1" s="1"/>
  <c r="BE23" i="1"/>
  <c r="BC23" i="1"/>
  <c r="BB23" i="1"/>
  <c r="BQ22" i="1"/>
  <c r="BP22" i="1"/>
  <c r="BO22" i="1"/>
  <c r="BN22" i="1"/>
  <c r="BE22" i="1"/>
  <c r="BD22" i="1"/>
  <c r="BC22" i="1"/>
  <c r="BB22" i="1"/>
  <c r="BQ21" i="1"/>
  <c r="BR22" i="1" s="1"/>
  <c r="BE21" i="1"/>
  <c r="BF22" i="1" s="1"/>
  <c r="BT20" i="1"/>
  <c r="BS20" i="1"/>
  <c r="BH20" i="1"/>
  <c r="BG20" i="1"/>
  <c r="BF36" i="1" l="1"/>
  <c r="BG36" i="1" s="1"/>
  <c r="BR81" i="1"/>
  <c r="BF102" i="1"/>
  <c r="BR144" i="1"/>
  <c r="BR29" i="1"/>
  <c r="BR79" i="1"/>
  <c r="BT79" i="1" s="1"/>
  <c r="BF91" i="1"/>
  <c r="BH91" i="1" s="1"/>
  <c r="BR133" i="1"/>
  <c r="BR151" i="1"/>
  <c r="BT151" i="1" s="1"/>
  <c r="BR113" i="1"/>
  <c r="BP113" i="1" s="1"/>
  <c r="BT159" i="1"/>
  <c r="BU159" i="1" s="1"/>
  <c r="BR43" i="1"/>
  <c r="BR69" i="1"/>
  <c r="BP69" i="1" s="1"/>
  <c r="BR109" i="1"/>
  <c r="BP109" i="1" s="1"/>
  <c r="BR134" i="1"/>
  <c r="BR87" i="1"/>
  <c r="BP87" i="1" s="1"/>
  <c r="BR96" i="1"/>
  <c r="BP96" i="1" s="1"/>
  <c r="BF137" i="1"/>
  <c r="BR49" i="1"/>
  <c r="BS49" i="1" s="1"/>
  <c r="BU49" i="1" s="1"/>
  <c r="BF40" i="1"/>
  <c r="BD40" i="1" s="1"/>
  <c r="BR42" i="1"/>
  <c r="BF70" i="1"/>
  <c r="BH70" i="1" s="1"/>
  <c r="BR85" i="1"/>
  <c r="BP85" i="1" s="1"/>
  <c r="BR92" i="1"/>
  <c r="BP92" i="1" s="1"/>
  <c r="BR93" i="1" s="1"/>
  <c r="BS93" i="1" s="1"/>
  <c r="BF128" i="1"/>
  <c r="BD128" i="1" s="1"/>
  <c r="BF135" i="1"/>
  <c r="BD135" i="1" s="1"/>
  <c r="BF164" i="1"/>
  <c r="BH164" i="1" s="1"/>
  <c r="BR65" i="1"/>
  <c r="BS65" i="1" s="1"/>
  <c r="BP75" i="1"/>
  <c r="BR101" i="1"/>
  <c r="BR155" i="1"/>
  <c r="BR157" i="1"/>
  <c r="BP157" i="1" s="1"/>
  <c r="BS29" i="1"/>
  <c r="BP29" i="1"/>
  <c r="BP65" i="1"/>
  <c r="BR140" i="1"/>
  <c r="BP140" i="1" s="1"/>
  <c r="BS27" i="1"/>
  <c r="BD70" i="1"/>
  <c r="BG70" i="1"/>
  <c r="BF74" i="1"/>
  <c r="BH74" i="1" s="1"/>
  <c r="BF94" i="1"/>
  <c r="BG132" i="1"/>
  <c r="BF42" i="1"/>
  <c r="BG42" i="1" s="1"/>
  <c r="BF77" i="1"/>
  <c r="BD77" i="1" s="1"/>
  <c r="BF121" i="1"/>
  <c r="BH121" i="1" s="1"/>
  <c r="BH133" i="1"/>
  <c r="BD133" i="1"/>
  <c r="BG133" i="1"/>
  <c r="BP148" i="1"/>
  <c r="BS148" i="1"/>
  <c r="BT148" i="1"/>
  <c r="BU148" i="1" s="1"/>
  <c r="BF27" i="1"/>
  <c r="BH27" i="1" s="1"/>
  <c r="BT113" i="1"/>
  <c r="BS113" i="1"/>
  <c r="BU113" i="1" s="1"/>
  <c r="BR25" i="1"/>
  <c r="BS25" i="1" s="1"/>
  <c r="BH54" i="1"/>
  <c r="BD54" i="1"/>
  <c r="BR149" i="1"/>
  <c r="BT149" i="1" s="1"/>
  <c r="BF143" i="1"/>
  <c r="BH143" i="1" s="1"/>
  <c r="BR23" i="1"/>
  <c r="BT23" i="1" s="1"/>
  <c r="BD142" i="1"/>
  <c r="BG142" i="1"/>
  <c r="BH142" i="1"/>
  <c r="BS85" i="1"/>
  <c r="BD161" i="1"/>
  <c r="BH161" i="1"/>
  <c r="BD35" i="1"/>
  <c r="BG35" i="1"/>
  <c r="BI35" i="1" s="1"/>
  <c r="BH138" i="1"/>
  <c r="BD138" i="1"/>
  <c r="BP43" i="1"/>
  <c r="BR44" i="1" s="1"/>
  <c r="BP44" i="1" s="1"/>
  <c r="BR45" i="1" s="1"/>
  <c r="BT43" i="1"/>
  <c r="BS43" i="1"/>
  <c r="BS102" i="1"/>
  <c r="BU102" i="1" s="1"/>
  <c r="BP102" i="1"/>
  <c r="BR103" i="1" s="1"/>
  <c r="BR80" i="1"/>
  <c r="BP80" i="1" s="1"/>
  <c r="BF83" i="1"/>
  <c r="BH83" i="1" s="1"/>
  <c r="BR121" i="1"/>
  <c r="BS121" i="1" s="1"/>
  <c r="BP136" i="1"/>
  <c r="BT136" i="1"/>
  <c r="BP120" i="1"/>
  <c r="BT120" i="1"/>
  <c r="BU120" i="1" s="1"/>
  <c r="BS136" i="1"/>
  <c r="BU136" i="1" s="1"/>
  <c r="BG152" i="1"/>
  <c r="BH152" i="1"/>
  <c r="BI152" i="1" s="1"/>
  <c r="BD26" i="1"/>
  <c r="BH26" i="1"/>
  <c r="BF56" i="1"/>
  <c r="BD56" i="1" s="1"/>
  <c r="BF57" i="1" s="1"/>
  <c r="BS56" i="1"/>
  <c r="BU56" i="1" s="1"/>
  <c r="BR62" i="1"/>
  <c r="BT62" i="1" s="1"/>
  <c r="BR132" i="1"/>
  <c r="BF50" i="1"/>
  <c r="BH50" i="1" s="1"/>
  <c r="BF67" i="1"/>
  <c r="BG67" i="1" s="1"/>
  <c r="BR98" i="1"/>
  <c r="BR129" i="1"/>
  <c r="BF140" i="1"/>
  <c r="BG140" i="1" s="1"/>
  <c r="BR145" i="1"/>
  <c r="BT145" i="1" s="1"/>
  <c r="BF110" i="1"/>
  <c r="BG110" i="1" s="1"/>
  <c r="BF112" i="1"/>
  <c r="BH112" i="1" s="1"/>
  <c r="BR125" i="1"/>
  <c r="BT125" i="1" s="1"/>
  <c r="BF159" i="1"/>
  <c r="BG159" i="1" s="1"/>
  <c r="BT24" i="1"/>
  <c r="BT41" i="1"/>
  <c r="BU41" i="1" s="1"/>
  <c r="BF108" i="1"/>
  <c r="BG108" i="1" s="1"/>
  <c r="BF41" i="1"/>
  <c r="BR58" i="1"/>
  <c r="BP58" i="1" s="1"/>
  <c r="BR89" i="1"/>
  <c r="BT89" i="1" s="1"/>
  <c r="BF101" i="1"/>
  <c r="BG101" i="1" s="1"/>
  <c r="BF122" i="1"/>
  <c r="BH122" i="1" s="1"/>
  <c r="BF61" i="1"/>
  <c r="BG61" i="1" s="1"/>
  <c r="BR112" i="1"/>
  <c r="BF126" i="1"/>
  <c r="BF130" i="1"/>
  <c r="BG130" i="1" s="1"/>
  <c r="BF158" i="1"/>
  <c r="BG158" i="1" s="1"/>
  <c r="BI158" i="1" s="1"/>
  <c r="BF23" i="1"/>
  <c r="BF30" i="1"/>
  <c r="BD30" i="1" s="1"/>
  <c r="BF31" i="1" s="1"/>
  <c r="BF49" i="1"/>
  <c r="BD49" i="1" s="1"/>
  <c r="BF51" i="1"/>
  <c r="BH51" i="1" s="1"/>
  <c r="BF55" i="1"/>
  <c r="BF116" i="1"/>
  <c r="BD116" i="1" s="1"/>
  <c r="BR128" i="1"/>
  <c r="BR131" i="1"/>
  <c r="BF162" i="1"/>
  <c r="BH162" i="1" s="1"/>
  <c r="BR26" i="1"/>
  <c r="BS26" i="1" s="1"/>
  <c r="BR37" i="1"/>
  <c r="BR39" i="1"/>
  <c r="BP39" i="1" s="1"/>
  <c r="BF43" i="1"/>
  <c r="BG43" i="1" s="1"/>
  <c r="BF47" i="1"/>
  <c r="BH47" i="1" s="1"/>
  <c r="BR63" i="1"/>
  <c r="BP63" i="1" s="1"/>
  <c r="BF66" i="1"/>
  <c r="BD66" i="1" s="1"/>
  <c r="BF76" i="1"/>
  <c r="BD76" i="1" s="1"/>
  <c r="BR77" i="1"/>
  <c r="BT77" i="1" s="1"/>
  <c r="BR86" i="1"/>
  <c r="BS86" i="1" s="1"/>
  <c r="BF111" i="1"/>
  <c r="BH111" i="1" s="1"/>
  <c r="BF113" i="1"/>
  <c r="BG113" i="1" s="1"/>
  <c r="BF139" i="1"/>
  <c r="BF149" i="1"/>
  <c r="BH149" i="1" s="1"/>
  <c r="BF38" i="1"/>
  <c r="BG38" i="1" s="1"/>
  <c r="BF82" i="1"/>
  <c r="BH82" i="1" s="1"/>
  <c r="BR84" i="1"/>
  <c r="BS84" i="1" s="1"/>
  <c r="BR130" i="1"/>
  <c r="BF141" i="1"/>
  <c r="BG141" i="1" s="1"/>
  <c r="BR154" i="1"/>
  <c r="BR160" i="1"/>
  <c r="BT160" i="1" s="1"/>
  <c r="BF25" i="1"/>
  <c r="BD25" i="1" s="1"/>
  <c r="BR76" i="1"/>
  <c r="BP76" i="1" s="1"/>
  <c r="BR88" i="1"/>
  <c r="BP88" i="1" s="1"/>
  <c r="BF155" i="1"/>
  <c r="BR158" i="1"/>
  <c r="BS158" i="1" s="1"/>
  <c r="BH41" i="1"/>
  <c r="BG41" i="1"/>
  <c r="BD41" i="1"/>
  <c r="BS122" i="1"/>
  <c r="BT122" i="1"/>
  <c r="BD158" i="1"/>
  <c r="BH158" i="1"/>
  <c r="BT29" i="1"/>
  <c r="BT48" i="1"/>
  <c r="BS48" i="1"/>
  <c r="BS60" i="1"/>
  <c r="BP60" i="1"/>
  <c r="BT60" i="1"/>
  <c r="BT147" i="1"/>
  <c r="BS147" i="1"/>
  <c r="BP147" i="1"/>
  <c r="BT42" i="1"/>
  <c r="BS42" i="1"/>
  <c r="BP42" i="1"/>
  <c r="BT49" i="1"/>
  <c r="BP49" i="1"/>
  <c r="BR50" i="1" s="1"/>
  <c r="BH108" i="1"/>
  <c r="BH136" i="1"/>
  <c r="BG136" i="1"/>
  <c r="BD136" i="1"/>
  <c r="BH107" i="1"/>
  <c r="BG107" i="1"/>
  <c r="BI107" i="1" s="1"/>
  <c r="BD107" i="1"/>
  <c r="BT39" i="1"/>
  <c r="BS39" i="1"/>
  <c r="BS36" i="1"/>
  <c r="BU36" i="1" s="1"/>
  <c r="BP36" i="1"/>
  <c r="BG40" i="1"/>
  <c r="BD95" i="1"/>
  <c r="BF96" i="1" s="1"/>
  <c r="BH95" i="1"/>
  <c r="BG95" i="1"/>
  <c r="BH25" i="1"/>
  <c r="BG25" i="1"/>
  <c r="BI25" i="1" s="1"/>
  <c r="BT32" i="1"/>
  <c r="BP32" i="1"/>
  <c r="BR33" i="1" s="1"/>
  <c r="BS32" i="1"/>
  <c r="BT58" i="1"/>
  <c r="BS58" i="1"/>
  <c r="BU58" i="1" s="1"/>
  <c r="BT30" i="1"/>
  <c r="BS30" i="1"/>
  <c r="BT28" i="1"/>
  <c r="BU28" i="1" s="1"/>
  <c r="BP28" i="1"/>
  <c r="BP52" i="1"/>
  <c r="BT52" i="1"/>
  <c r="BS52" i="1"/>
  <c r="BU52" i="1" s="1"/>
  <c r="BP57" i="1"/>
  <c r="BT57" i="1"/>
  <c r="BS57" i="1"/>
  <c r="BH99" i="1"/>
  <c r="BD99" i="1"/>
  <c r="BG99" i="1"/>
  <c r="BT35" i="1"/>
  <c r="BP35" i="1"/>
  <c r="BS35" i="1"/>
  <c r="BF34" i="1"/>
  <c r="BD42" i="1"/>
  <c r="BH42" i="1"/>
  <c r="BI42" i="1" s="1"/>
  <c r="BD45" i="1"/>
  <c r="BF46" i="1" s="1"/>
  <c r="BH45" i="1"/>
  <c r="BG45" i="1"/>
  <c r="BH135" i="1"/>
  <c r="BG135" i="1"/>
  <c r="BI135" i="1" s="1"/>
  <c r="BT155" i="1"/>
  <c r="BP155" i="1"/>
  <c r="BS155" i="1"/>
  <c r="BU155" i="1" s="1"/>
  <c r="BG22" i="1"/>
  <c r="BH22" i="1"/>
  <c r="BD71" i="1"/>
  <c r="BH71" i="1"/>
  <c r="BG71" i="1"/>
  <c r="BD79" i="1"/>
  <c r="BF80" i="1" s="1"/>
  <c r="BH79" i="1"/>
  <c r="BI79" i="1" s="1"/>
  <c r="BP131" i="1"/>
  <c r="BT131" i="1"/>
  <c r="BS131" i="1"/>
  <c r="BU131" i="1" s="1"/>
  <c r="BD137" i="1"/>
  <c r="BH137" i="1"/>
  <c r="BG137" i="1"/>
  <c r="BI137" i="1" s="1"/>
  <c r="BT22" i="1"/>
  <c r="BS22" i="1"/>
  <c r="BF33" i="1"/>
  <c r="BH129" i="1"/>
  <c r="BG129" i="1"/>
  <c r="BG26" i="1"/>
  <c r="BH39" i="1"/>
  <c r="BG39" i="1"/>
  <c r="BI39" i="1" s="1"/>
  <c r="BD39" i="1"/>
  <c r="BT27" i="1"/>
  <c r="BS75" i="1"/>
  <c r="BU75" i="1" s="1"/>
  <c r="BT96" i="1"/>
  <c r="BS96" i="1"/>
  <c r="BS141" i="1"/>
  <c r="BU141" i="1" s="1"/>
  <c r="BP141" i="1"/>
  <c r="BD104" i="1"/>
  <c r="BH104" i="1"/>
  <c r="BI104" i="1" s="1"/>
  <c r="BG166" i="1"/>
  <c r="BH166" i="1"/>
  <c r="BD166" i="1"/>
  <c r="BT104" i="1"/>
  <c r="BS104" i="1"/>
  <c r="BP104" i="1"/>
  <c r="BR105" i="1" s="1"/>
  <c r="BH114" i="1"/>
  <c r="BG114" i="1"/>
  <c r="BD114" i="1"/>
  <c r="BF115" i="1" s="1"/>
  <c r="BG126" i="1"/>
  <c r="BF37" i="1"/>
  <c r="BS24" i="1"/>
  <c r="BD36" i="1"/>
  <c r="BS40" i="1"/>
  <c r="BT40" i="1"/>
  <c r="BP40" i="1"/>
  <c r="BF44" i="1"/>
  <c r="BR124" i="1"/>
  <c r="BF28" i="1"/>
  <c r="BG50" i="1"/>
  <c r="BD50" i="1"/>
  <c r="BR31" i="1"/>
  <c r="BH36" i="1"/>
  <c r="BI36" i="1" s="1"/>
  <c r="BH53" i="1"/>
  <c r="BG53" i="1"/>
  <c r="BI53" i="1" s="1"/>
  <c r="BD53" i="1"/>
  <c r="BG83" i="1"/>
  <c r="BI83" i="1" s="1"/>
  <c r="BD83" i="1"/>
  <c r="BF84" i="1" s="1"/>
  <c r="BD102" i="1"/>
  <c r="BG102" i="1"/>
  <c r="BH102" i="1"/>
  <c r="BT111" i="1"/>
  <c r="BU111" i="1" s="1"/>
  <c r="BP111" i="1"/>
  <c r="BF118" i="1"/>
  <c r="BT140" i="1"/>
  <c r="BS151" i="1"/>
  <c r="BU151" i="1" s="1"/>
  <c r="BP151" i="1"/>
  <c r="BT119" i="1"/>
  <c r="BS119" i="1"/>
  <c r="BP119" i="1"/>
  <c r="BS126" i="1"/>
  <c r="BT126" i="1"/>
  <c r="BP126" i="1"/>
  <c r="BS144" i="1"/>
  <c r="BP144" i="1"/>
  <c r="BT144" i="1"/>
  <c r="BG29" i="1"/>
  <c r="BH29" i="1"/>
  <c r="BD29" i="1"/>
  <c r="BT78" i="1"/>
  <c r="BS78" i="1"/>
  <c r="BP78" i="1"/>
  <c r="BR64" i="1"/>
  <c r="BP73" i="1"/>
  <c r="BR74" i="1" s="1"/>
  <c r="BS73" i="1"/>
  <c r="BU73" i="1" s="1"/>
  <c r="BP81" i="1"/>
  <c r="BR82" i="1" s="1"/>
  <c r="BS81" i="1"/>
  <c r="BT81" i="1"/>
  <c r="BR97" i="1"/>
  <c r="BS140" i="1"/>
  <c r="BT71" i="1"/>
  <c r="BS71" i="1"/>
  <c r="BU71" i="1" s="1"/>
  <c r="BP71" i="1"/>
  <c r="BR72" i="1" s="1"/>
  <c r="BD124" i="1"/>
  <c r="BH124" i="1"/>
  <c r="BP59" i="1"/>
  <c r="BS59" i="1"/>
  <c r="BG55" i="1"/>
  <c r="BT59" i="1"/>
  <c r="BT90" i="1"/>
  <c r="BS90" i="1"/>
  <c r="BU90" i="1" s="1"/>
  <c r="BP90" i="1"/>
  <c r="BR91" i="1" s="1"/>
  <c r="BT99" i="1"/>
  <c r="BD109" i="1"/>
  <c r="BG109" i="1"/>
  <c r="BH132" i="1"/>
  <c r="BI132" i="1" s="1"/>
  <c r="BS135" i="1"/>
  <c r="BP135" i="1"/>
  <c r="BT135" i="1"/>
  <c r="BP150" i="1"/>
  <c r="BT150" i="1"/>
  <c r="BS150" i="1"/>
  <c r="BU150" i="1" s="1"/>
  <c r="BT87" i="1"/>
  <c r="BS87" i="1"/>
  <c r="BH157" i="1"/>
  <c r="BG157" i="1"/>
  <c r="BI157" i="1" s="1"/>
  <c r="BG54" i="1"/>
  <c r="BH77" i="1"/>
  <c r="BG77" i="1"/>
  <c r="BI77" i="1" s="1"/>
  <c r="BP79" i="1"/>
  <c r="BH109" i="1"/>
  <c r="BF117" i="1"/>
  <c r="BP134" i="1"/>
  <c r="BS134" i="1"/>
  <c r="BD156" i="1"/>
  <c r="BG156" i="1"/>
  <c r="BP158" i="1"/>
  <c r="BT158" i="1"/>
  <c r="BP86" i="1"/>
  <c r="BT86" i="1"/>
  <c r="BP56" i="1"/>
  <c r="BR70" i="1"/>
  <c r="BH101" i="1"/>
  <c r="BH105" i="1"/>
  <c r="BG105" i="1"/>
  <c r="BI105" i="1" s="1"/>
  <c r="BH119" i="1"/>
  <c r="BG119" i="1"/>
  <c r="BI119" i="1" s="1"/>
  <c r="BD119" i="1"/>
  <c r="BT134" i="1"/>
  <c r="BH155" i="1"/>
  <c r="BG155" i="1"/>
  <c r="BI155" i="1" s="1"/>
  <c r="BD155" i="1"/>
  <c r="BH156" i="1"/>
  <c r="BH89" i="1"/>
  <c r="BG89" i="1"/>
  <c r="BI89" i="1" s="1"/>
  <c r="BD89" i="1"/>
  <c r="BH94" i="1"/>
  <c r="BG94" i="1"/>
  <c r="BD94" i="1"/>
  <c r="BG124" i="1"/>
  <c r="BS79" i="1"/>
  <c r="BU79" i="1" s="1"/>
  <c r="BR153" i="1"/>
  <c r="BS163" i="1"/>
  <c r="BP163" i="1"/>
  <c r="BR164" i="1" s="1"/>
  <c r="BT163" i="1"/>
  <c r="BS99" i="1"/>
  <c r="BR46" i="1"/>
  <c r="BR53" i="1"/>
  <c r="BR54" i="1"/>
  <c r="BR55" i="1"/>
  <c r="BH93" i="1"/>
  <c r="BG93" i="1"/>
  <c r="BD100" i="1"/>
  <c r="BH100" i="1"/>
  <c r="BI100" i="1" s="1"/>
  <c r="BR110" i="1"/>
  <c r="BS128" i="1"/>
  <c r="BP128" i="1"/>
  <c r="BT128" i="1"/>
  <c r="BF144" i="1"/>
  <c r="BD165" i="1"/>
  <c r="BG165" i="1"/>
  <c r="BH165" i="1"/>
  <c r="BF78" i="1"/>
  <c r="BT129" i="1"/>
  <c r="BR61" i="1"/>
  <c r="BF153" i="1"/>
  <c r="BR66" i="1"/>
  <c r="BT76" i="1"/>
  <c r="BF97" i="1"/>
  <c r="BP106" i="1"/>
  <c r="BR107" i="1" s="1"/>
  <c r="BT106" i="1"/>
  <c r="BS106" i="1"/>
  <c r="BU106" i="1" s="1"/>
  <c r="BG123" i="1"/>
  <c r="BT133" i="1"/>
  <c r="BS133" i="1"/>
  <c r="BU133" i="1" s="1"/>
  <c r="BP133" i="1"/>
  <c r="BR100" i="1"/>
  <c r="BS101" i="1"/>
  <c r="BR115" i="1"/>
  <c r="BH123" i="1"/>
  <c r="BS156" i="1"/>
  <c r="BP156" i="1"/>
  <c r="BT156" i="1"/>
  <c r="BR68" i="1"/>
  <c r="BF72" i="1"/>
  <c r="BR123" i="1"/>
  <c r="BF146" i="1"/>
  <c r="BR165" i="1"/>
  <c r="BT127" i="1"/>
  <c r="BS127" i="1"/>
  <c r="BU127" i="1" s="1"/>
  <c r="BF131" i="1"/>
  <c r="BG138" i="1"/>
  <c r="BT157" i="1"/>
  <c r="BS157" i="1"/>
  <c r="BG161" i="1"/>
  <c r="BF125" i="1"/>
  <c r="BF90" i="1"/>
  <c r="BR114" i="1"/>
  <c r="BF127" i="1"/>
  <c r="BR137" i="1"/>
  <c r="BF103" i="1"/>
  <c r="BR139" i="1"/>
  <c r="BR142" i="1"/>
  <c r="BR152" i="1"/>
  <c r="BF160" i="1"/>
  <c r="BR167" i="1"/>
  <c r="BF167" i="1"/>
  <c r="BF92" i="1"/>
  <c r="BF106" i="1"/>
  <c r="BF120" i="1"/>
  <c r="BF134" i="1"/>
  <c r="BF148" i="1"/>
  <c r="BI70" i="1" l="1"/>
  <c r="BI114" i="1"/>
  <c r="BU42" i="1"/>
  <c r="BU43" i="1"/>
  <c r="BT69" i="1"/>
  <c r="BT109" i="1"/>
  <c r="BP26" i="1"/>
  <c r="BG27" i="1"/>
  <c r="BI27" i="1" s="1"/>
  <c r="BS92" i="1"/>
  <c r="BT65" i="1"/>
  <c r="BU65" i="1" s="1"/>
  <c r="BD27" i="1"/>
  <c r="BT92" i="1"/>
  <c r="BG74" i="1"/>
  <c r="BI74" i="1" s="1"/>
  <c r="BX36" i="1"/>
  <c r="BH30" i="1"/>
  <c r="BI71" i="1"/>
  <c r="BI101" i="1"/>
  <c r="BU24" i="1"/>
  <c r="BG164" i="1"/>
  <c r="BD141" i="1"/>
  <c r="BP149" i="1"/>
  <c r="BD61" i="1"/>
  <c r="BF62" i="1" s="1"/>
  <c r="BI40" i="1"/>
  <c r="BX40" i="1" s="1"/>
  <c r="BT85" i="1"/>
  <c r="BU85" i="1" s="1"/>
  <c r="BS109" i="1"/>
  <c r="BU109" i="1" s="1"/>
  <c r="BH141" i="1"/>
  <c r="BI141" i="1" s="1"/>
  <c r="BX141" i="1" s="1"/>
  <c r="BT84" i="1"/>
  <c r="BS149" i="1"/>
  <c r="BU149" i="1" s="1"/>
  <c r="BU35" i="1"/>
  <c r="BX35" i="1" s="1"/>
  <c r="BH40" i="1"/>
  <c r="BU29" i="1"/>
  <c r="BG91" i="1"/>
  <c r="BI91" i="1" s="1"/>
  <c r="BP101" i="1"/>
  <c r="BT101" i="1"/>
  <c r="BU101" i="1" s="1"/>
  <c r="BX101" i="1" s="1"/>
  <c r="BS69" i="1"/>
  <c r="BD164" i="1"/>
  <c r="BH128" i="1"/>
  <c r="BG128" i="1"/>
  <c r="BI128" i="1" s="1"/>
  <c r="BP84" i="1"/>
  <c r="BU22" i="1"/>
  <c r="BV22" i="1" s="1"/>
  <c r="BD91" i="1"/>
  <c r="BX79" i="1"/>
  <c r="BS89" i="1"/>
  <c r="BT63" i="1"/>
  <c r="BU84" i="1"/>
  <c r="BS77" i="1"/>
  <c r="BU77" i="1" s="1"/>
  <c r="BP77" i="1"/>
  <c r="BS63" i="1"/>
  <c r="BU63" i="1" s="1"/>
  <c r="BT121" i="1"/>
  <c r="BU121" i="1" s="1"/>
  <c r="BP145" i="1"/>
  <c r="BR146" i="1" s="1"/>
  <c r="BT146" i="1" s="1"/>
  <c r="BT44" i="1"/>
  <c r="BU27" i="1"/>
  <c r="BS145" i="1"/>
  <c r="BU145" i="1" s="1"/>
  <c r="BU78" i="1"/>
  <c r="BU104" i="1"/>
  <c r="BX104" i="1" s="1"/>
  <c r="BS44" i="1"/>
  <c r="BI138" i="1"/>
  <c r="BH38" i="1"/>
  <c r="BI41" i="1"/>
  <c r="BX41" i="1" s="1"/>
  <c r="BD162" i="1"/>
  <c r="BF163" i="1" s="1"/>
  <c r="BD163" i="1" s="1"/>
  <c r="BG162" i="1"/>
  <c r="BI162" i="1" s="1"/>
  <c r="BH61" i="1"/>
  <c r="BI61" i="1" s="1"/>
  <c r="BI50" i="1"/>
  <c r="BD112" i="1"/>
  <c r="BG112" i="1"/>
  <c r="BI112" i="1" s="1"/>
  <c r="BG143" i="1"/>
  <c r="BI143" i="1" s="1"/>
  <c r="BD149" i="1"/>
  <c r="BF150" i="1" s="1"/>
  <c r="BD143" i="1"/>
  <c r="BD121" i="1"/>
  <c r="BD110" i="1"/>
  <c r="BD113" i="1"/>
  <c r="BD111" i="1"/>
  <c r="BG122" i="1"/>
  <c r="BI122" i="1" s="1"/>
  <c r="BG82" i="1"/>
  <c r="BI82" i="1" s="1"/>
  <c r="BG121" i="1"/>
  <c r="BI121" i="1" s="1"/>
  <c r="BH113" i="1"/>
  <c r="BI113" i="1" s="1"/>
  <c r="BX113" i="1" s="1"/>
  <c r="BD101" i="1"/>
  <c r="BG149" i="1"/>
  <c r="BI149" i="1" s="1"/>
  <c r="BX149" i="1" s="1"/>
  <c r="BD130" i="1"/>
  <c r="BG49" i="1"/>
  <c r="BI108" i="1"/>
  <c r="BD122" i="1"/>
  <c r="BI161" i="1"/>
  <c r="BH130" i="1"/>
  <c r="BI130" i="1" s="1"/>
  <c r="BD38" i="1"/>
  <c r="BD74" i="1"/>
  <c r="BF75" i="1" s="1"/>
  <c r="BD75" i="1" s="1"/>
  <c r="BH49" i="1"/>
  <c r="BI45" i="1"/>
  <c r="BP103" i="1"/>
  <c r="BS103" i="1"/>
  <c r="BU103" i="1" s="1"/>
  <c r="BT103" i="1"/>
  <c r="BI166" i="1"/>
  <c r="BH31" i="1"/>
  <c r="BD31" i="1"/>
  <c r="BF32" i="1" s="1"/>
  <c r="BU86" i="1"/>
  <c r="BU140" i="1"/>
  <c r="BS130" i="1"/>
  <c r="BT130" i="1"/>
  <c r="BP130" i="1"/>
  <c r="BH23" i="1"/>
  <c r="BG23" i="1"/>
  <c r="BI23" i="1" s="1"/>
  <c r="BD23" i="1"/>
  <c r="BF24" i="1" s="1"/>
  <c r="BG76" i="1"/>
  <c r="BI76" i="1" s="1"/>
  <c r="BG66" i="1"/>
  <c r="BI66" i="1" s="1"/>
  <c r="BG30" i="1"/>
  <c r="BI30" i="1" s="1"/>
  <c r="BG31" i="1"/>
  <c r="BD47" i="1"/>
  <c r="BF48" i="1" s="1"/>
  <c r="BH48" i="1" s="1"/>
  <c r="BI142" i="1"/>
  <c r="BH76" i="1"/>
  <c r="BH66" i="1"/>
  <c r="BU126" i="1"/>
  <c r="BT88" i="1"/>
  <c r="BG47" i="1"/>
  <c r="BI47" i="1" s="1"/>
  <c r="BI165" i="1"/>
  <c r="BD67" i="1"/>
  <c r="BF68" i="1" s="1"/>
  <c r="BH68" i="1" s="1"/>
  <c r="BI54" i="1"/>
  <c r="BH67" i="1"/>
  <c r="BI67" i="1" s="1"/>
  <c r="BG116" i="1"/>
  <c r="BI102" i="1"/>
  <c r="BX102" i="1" s="1"/>
  <c r="BD159" i="1"/>
  <c r="BS88" i="1"/>
  <c r="BT37" i="1"/>
  <c r="BS37" i="1"/>
  <c r="BP37" i="1"/>
  <c r="BR38" i="1" s="1"/>
  <c r="BH126" i="1"/>
  <c r="BI126" i="1" s="1"/>
  <c r="BD126" i="1"/>
  <c r="BP23" i="1"/>
  <c r="BS23" i="1"/>
  <c r="BU23" i="1" s="1"/>
  <c r="BH116" i="1"/>
  <c r="BH159" i="1"/>
  <c r="BI159" i="1" s="1"/>
  <c r="BX159" i="1" s="1"/>
  <c r="BT93" i="1"/>
  <c r="BU93" i="1" s="1"/>
  <c r="BS80" i="1"/>
  <c r="BP112" i="1"/>
  <c r="BT112" i="1"/>
  <c r="BS112" i="1"/>
  <c r="BS160" i="1"/>
  <c r="BU160" i="1" s="1"/>
  <c r="BS125" i="1"/>
  <c r="BU125" i="1" s="1"/>
  <c r="BP93" i="1"/>
  <c r="BR94" i="1" s="1"/>
  <c r="BT94" i="1" s="1"/>
  <c r="BT80" i="1"/>
  <c r="BT26" i="1"/>
  <c r="BU26" i="1" s="1"/>
  <c r="BP160" i="1"/>
  <c r="BR161" i="1" s="1"/>
  <c r="BT161" i="1" s="1"/>
  <c r="BP125" i="1"/>
  <c r="BP121" i="1"/>
  <c r="BD140" i="1"/>
  <c r="BP25" i="1"/>
  <c r="BU122" i="1"/>
  <c r="BD139" i="1"/>
  <c r="BH139" i="1"/>
  <c r="BG139" i="1"/>
  <c r="BP129" i="1"/>
  <c r="BS129" i="1"/>
  <c r="BU129" i="1" s="1"/>
  <c r="BU157" i="1"/>
  <c r="BX157" i="1" s="1"/>
  <c r="BU87" i="1"/>
  <c r="BP89" i="1"/>
  <c r="BH140" i="1"/>
  <c r="BI140" i="1" s="1"/>
  <c r="BI26" i="1"/>
  <c r="BX26" i="1" s="1"/>
  <c r="BI22" i="1"/>
  <c r="BT25" i="1"/>
  <c r="BU25" i="1" s="1"/>
  <c r="BX25" i="1" s="1"/>
  <c r="BI136" i="1"/>
  <c r="BX136" i="1" s="1"/>
  <c r="BD82" i="1"/>
  <c r="BP98" i="1"/>
  <c r="BT98" i="1"/>
  <c r="BS98" i="1"/>
  <c r="BI133" i="1"/>
  <c r="BX133" i="1" s="1"/>
  <c r="BS62" i="1"/>
  <c r="BU62" i="1" s="1"/>
  <c r="BP62" i="1"/>
  <c r="BS154" i="1"/>
  <c r="BT154" i="1"/>
  <c r="BP154" i="1"/>
  <c r="BU89" i="1"/>
  <c r="BX89" i="1" s="1"/>
  <c r="BG56" i="1"/>
  <c r="BD51" i="1"/>
  <c r="BF52" i="1" s="1"/>
  <c r="BG52" i="1" s="1"/>
  <c r="BU134" i="1"/>
  <c r="BG111" i="1"/>
  <c r="BI111" i="1" s="1"/>
  <c r="BD43" i="1"/>
  <c r="BH56" i="1"/>
  <c r="BG51" i="1"/>
  <c r="BI51" i="1" s="1"/>
  <c r="BD108" i="1"/>
  <c r="BS76" i="1"/>
  <c r="BU76" i="1" s="1"/>
  <c r="BH110" i="1"/>
  <c r="BI110" i="1" s="1"/>
  <c r="BH43" i="1"/>
  <c r="BI43" i="1" s="1"/>
  <c r="BX43" i="1" s="1"/>
  <c r="BU48" i="1"/>
  <c r="BH55" i="1"/>
  <c r="BI55" i="1" s="1"/>
  <c r="BD55" i="1"/>
  <c r="BT132" i="1"/>
  <c r="BS132" i="1"/>
  <c r="BU132" i="1" s="1"/>
  <c r="BX132" i="1" s="1"/>
  <c r="BP132" i="1"/>
  <c r="BT105" i="1"/>
  <c r="BS105" i="1"/>
  <c r="BP105" i="1"/>
  <c r="BH150" i="1"/>
  <c r="BG150" i="1"/>
  <c r="BD150" i="1"/>
  <c r="BF151" i="1" s="1"/>
  <c r="BG57" i="1"/>
  <c r="BH57" i="1"/>
  <c r="BD57" i="1"/>
  <c r="BF58" i="1" s="1"/>
  <c r="BH75" i="1"/>
  <c r="BG75" i="1"/>
  <c r="BH46" i="1"/>
  <c r="BG46" i="1"/>
  <c r="BI46" i="1" s="1"/>
  <c r="BD46" i="1"/>
  <c r="BS72" i="1"/>
  <c r="BT72" i="1"/>
  <c r="BP72" i="1"/>
  <c r="BT91" i="1"/>
  <c r="BS91" i="1"/>
  <c r="BP91" i="1"/>
  <c r="BT164" i="1"/>
  <c r="BS164" i="1"/>
  <c r="BP164" i="1"/>
  <c r="BG48" i="1"/>
  <c r="BS33" i="1"/>
  <c r="BT33" i="1"/>
  <c r="BP33" i="1"/>
  <c r="BR34" i="1" s="1"/>
  <c r="BH84" i="1"/>
  <c r="BG84" i="1"/>
  <c r="BD84" i="1"/>
  <c r="BF85" i="1" s="1"/>
  <c r="BH127" i="1"/>
  <c r="BD127" i="1"/>
  <c r="BG127" i="1"/>
  <c r="BT124" i="1"/>
  <c r="BS124" i="1"/>
  <c r="BP124" i="1"/>
  <c r="BG37" i="1"/>
  <c r="BH37" i="1"/>
  <c r="BD37" i="1"/>
  <c r="BH134" i="1"/>
  <c r="BG134" i="1"/>
  <c r="BI134" i="1" s="1"/>
  <c r="BD134" i="1"/>
  <c r="BU163" i="1"/>
  <c r="BS114" i="1"/>
  <c r="BP114" i="1"/>
  <c r="BT114" i="1"/>
  <c r="BH80" i="1"/>
  <c r="BG80" i="1"/>
  <c r="BI80" i="1" s="1"/>
  <c r="BD80" i="1"/>
  <c r="BF81" i="1" s="1"/>
  <c r="BP115" i="1"/>
  <c r="BR116" i="1" s="1"/>
  <c r="BS115" i="1"/>
  <c r="BT115" i="1"/>
  <c r="BH131" i="1"/>
  <c r="BG131" i="1"/>
  <c r="BI131" i="1" s="1"/>
  <c r="BX131" i="1" s="1"/>
  <c r="BD131" i="1"/>
  <c r="BP50" i="1"/>
  <c r="BR51" i="1" s="1"/>
  <c r="BS50" i="1"/>
  <c r="BT50" i="1"/>
  <c r="BD146" i="1"/>
  <c r="BF147" i="1" s="1"/>
  <c r="BH146" i="1"/>
  <c r="BG146" i="1"/>
  <c r="BI146" i="1" s="1"/>
  <c r="BT167" i="1"/>
  <c r="BS167" i="1"/>
  <c r="BP167" i="1"/>
  <c r="BS61" i="1"/>
  <c r="BT61" i="1"/>
  <c r="BP61" i="1"/>
  <c r="BU158" i="1"/>
  <c r="BX158" i="1" s="1"/>
  <c r="BP74" i="1"/>
  <c r="BT74" i="1"/>
  <c r="BS74" i="1"/>
  <c r="BU144" i="1"/>
  <c r="BX111" i="1"/>
  <c r="BG62" i="1"/>
  <c r="BD62" i="1"/>
  <c r="BF63" i="1" s="1"/>
  <c r="BH62" i="1"/>
  <c r="BS165" i="1"/>
  <c r="BP165" i="1"/>
  <c r="BR166" i="1" s="1"/>
  <c r="BT165" i="1"/>
  <c r="BD144" i="1"/>
  <c r="BF145" i="1" s="1"/>
  <c r="BH144" i="1"/>
  <c r="BG144" i="1"/>
  <c r="BD125" i="1"/>
  <c r="BG125" i="1"/>
  <c r="BH125" i="1"/>
  <c r="BD160" i="1"/>
  <c r="BH160" i="1"/>
  <c r="BG160" i="1"/>
  <c r="BU128" i="1"/>
  <c r="BX128" i="1" s="1"/>
  <c r="BX155" i="1"/>
  <c r="BI156" i="1"/>
  <c r="BU40" i="1"/>
  <c r="BX71" i="1"/>
  <c r="BI99" i="1"/>
  <c r="BH96" i="1"/>
  <c r="BG96" i="1"/>
  <c r="BD96" i="1"/>
  <c r="BU156" i="1"/>
  <c r="BX77" i="1"/>
  <c r="BH106" i="1"/>
  <c r="BG106" i="1"/>
  <c r="BI106" i="1" s="1"/>
  <c r="BX106" i="1" s="1"/>
  <c r="BD106" i="1"/>
  <c r="BT153" i="1"/>
  <c r="BP153" i="1"/>
  <c r="BS153" i="1"/>
  <c r="BU81" i="1"/>
  <c r="BG167" i="1"/>
  <c r="BD167" i="1"/>
  <c r="BH167" i="1"/>
  <c r="BP38" i="1"/>
  <c r="BS38" i="1"/>
  <c r="BT38" i="1"/>
  <c r="BT152" i="1"/>
  <c r="BS152" i="1"/>
  <c r="BP152" i="1"/>
  <c r="BD72" i="1"/>
  <c r="BF73" i="1" s="1"/>
  <c r="BH72" i="1"/>
  <c r="BG72" i="1"/>
  <c r="BT110" i="1"/>
  <c r="BS110" i="1"/>
  <c r="BP110" i="1"/>
  <c r="BP70" i="1"/>
  <c r="BT70" i="1"/>
  <c r="BS70" i="1"/>
  <c r="BU70" i="1" s="1"/>
  <c r="BX70" i="1" s="1"/>
  <c r="BD118" i="1"/>
  <c r="BH118" i="1"/>
  <c r="BG118" i="1"/>
  <c r="BH33" i="1"/>
  <c r="BG33" i="1"/>
  <c r="BD33" i="1"/>
  <c r="BI95" i="1"/>
  <c r="BU147" i="1"/>
  <c r="BD97" i="1"/>
  <c r="BF98" i="1" s="1"/>
  <c r="BH97" i="1"/>
  <c r="BG97" i="1"/>
  <c r="BH117" i="1"/>
  <c r="BG117" i="1"/>
  <c r="BI117" i="1" s="1"/>
  <c r="BD117" i="1"/>
  <c r="BH148" i="1"/>
  <c r="BD148" i="1"/>
  <c r="BG148" i="1"/>
  <c r="BH115" i="1"/>
  <c r="BG115" i="1"/>
  <c r="BD115" i="1"/>
  <c r="BH120" i="1"/>
  <c r="BD120" i="1"/>
  <c r="BG120" i="1"/>
  <c r="BP66" i="1"/>
  <c r="BR67" i="1" s="1"/>
  <c r="BT66" i="1"/>
  <c r="BS66" i="1"/>
  <c r="BU66" i="1" s="1"/>
  <c r="BT55" i="1"/>
  <c r="BP55" i="1"/>
  <c r="BS55" i="1"/>
  <c r="BD90" i="1"/>
  <c r="BG90" i="1"/>
  <c r="BH90" i="1"/>
  <c r="BD153" i="1"/>
  <c r="BF154" i="1" s="1"/>
  <c r="BH153" i="1"/>
  <c r="BG153" i="1"/>
  <c r="BI153" i="1" s="1"/>
  <c r="BS54" i="1"/>
  <c r="BT54" i="1"/>
  <c r="BP54" i="1"/>
  <c r="BI29" i="1"/>
  <c r="BX29" i="1" s="1"/>
  <c r="BH92" i="1"/>
  <c r="BD92" i="1"/>
  <c r="BG92" i="1"/>
  <c r="BP53" i="1"/>
  <c r="BT53" i="1"/>
  <c r="BS53" i="1"/>
  <c r="BP82" i="1"/>
  <c r="BR83" i="1" s="1"/>
  <c r="BT82" i="1"/>
  <c r="BS82" i="1"/>
  <c r="BH44" i="1"/>
  <c r="BG44" i="1"/>
  <c r="BD44" i="1"/>
  <c r="BS123" i="1"/>
  <c r="BP123" i="1"/>
  <c r="BT123" i="1"/>
  <c r="BS100" i="1"/>
  <c r="BP100" i="1"/>
  <c r="BT100" i="1"/>
  <c r="BU135" i="1"/>
  <c r="BX135" i="1" s="1"/>
  <c r="BS142" i="1"/>
  <c r="BP142" i="1"/>
  <c r="BR143" i="1" s="1"/>
  <c r="BT142" i="1"/>
  <c r="BI123" i="1"/>
  <c r="BD78" i="1"/>
  <c r="BH78" i="1"/>
  <c r="BG78" i="1"/>
  <c r="BI78" i="1" s="1"/>
  <c r="BU99" i="1"/>
  <c r="BT139" i="1"/>
  <c r="BP139" i="1"/>
  <c r="BS139" i="1"/>
  <c r="BU139" i="1" s="1"/>
  <c r="BP45" i="1"/>
  <c r="BT45" i="1"/>
  <c r="BS45" i="1"/>
  <c r="BI109" i="1"/>
  <c r="BP64" i="1"/>
  <c r="BS64" i="1"/>
  <c r="BT64" i="1"/>
  <c r="BP31" i="1"/>
  <c r="BT31" i="1"/>
  <c r="BS31" i="1"/>
  <c r="BU31" i="1" s="1"/>
  <c r="BX42" i="1"/>
  <c r="BD34" i="1"/>
  <c r="BH34" i="1"/>
  <c r="BG34" i="1"/>
  <c r="BH103" i="1"/>
  <c r="BG103" i="1"/>
  <c r="BI103" i="1" s="1"/>
  <c r="BD103" i="1"/>
  <c r="BI164" i="1"/>
  <c r="BI93" i="1"/>
  <c r="BI94" i="1"/>
  <c r="BU59" i="1"/>
  <c r="BU119" i="1"/>
  <c r="BX119" i="1" s="1"/>
  <c r="BD28" i="1"/>
  <c r="BH28" i="1"/>
  <c r="BG28" i="1"/>
  <c r="BI38" i="1"/>
  <c r="BU96" i="1"/>
  <c r="BI129" i="1"/>
  <c r="BU57" i="1"/>
  <c r="BU30" i="1"/>
  <c r="BU39" i="1"/>
  <c r="BX39" i="1" s="1"/>
  <c r="BS137" i="1"/>
  <c r="BT137" i="1"/>
  <c r="BP137" i="1"/>
  <c r="BR138" i="1" s="1"/>
  <c r="BH32" i="1"/>
  <c r="BG32" i="1"/>
  <c r="BD32" i="1"/>
  <c r="BU69" i="1"/>
  <c r="BS46" i="1"/>
  <c r="BT46" i="1"/>
  <c r="BP46" i="1"/>
  <c r="BR47" i="1" s="1"/>
  <c r="BT68" i="1"/>
  <c r="BS68" i="1"/>
  <c r="BU68" i="1" s="1"/>
  <c r="BP68" i="1"/>
  <c r="BI124" i="1"/>
  <c r="BS107" i="1"/>
  <c r="BP107" i="1"/>
  <c r="BR108" i="1" s="1"/>
  <c r="BT107" i="1"/>
  <c r="BT97" i="1"/>
  <c r="BP97" i="1"/>
  <c r="BS97" i="1"/>
  <c r="BU32" i="1"/>
  <c r="BU60" i="1"/>
  <c r="BX22" i="1" l="1"/>
  <c r="BH52" i="1"/>
  <c r="BU92" i="1"/>
  <c r="BI96" i="1"/>
  <c r="BU130" i="1"/>
  <c r="BX130" i="1" s="1"/>
  <c r="BD52" i="1"/>
  <c r="BH163" i="1"/>
  <c r="BU44" i="1"/>
  <c r="BP94" i="1"/>
  <c r="BR95" i="1" s="1"/>
  <c r="BS95" i="1" s="1"/>
  <c r="BG163" i="1"/>
  <c r="BI163" i="1" s="1"/>
  <c r="BX163" i="1" s="1"/>
  <c r="BS94" i="1"/>
  <c r="BU94" i="1" s="1"/>
  <c r="BX94" i="1" s="1"/>
  <c r="BU98" i="1"/>
  <c r="BI139" i="1"/>
  <c r="BX139" i="1" s="1"/>
  <c r="BU112" i="1"/>
  <c r="BX112" i="1" s="1"/>
  <c r="BI49" i="1"/>
  <c r="BX49" i="1" s="1"/>
  <c r="BX27" i="1"/>
  <c r="BI62" i="1"/>
  <c r="BI72" i="1"/>
  <c r="BU80" i="1"/>
  <c r="BI116" i="1"/>
  <c r="BS146" i="1"/>
  <c r="BU146" i="1" s="1"/>
  <c r="BX140" i="1"/>
  <c r="BX78" i="1"/>
  <c r="BP146" i="1"/>
  <c r="BX121" i="1"/>
  <c r="BX126" i="1"/>
  <c r="BU88" i="1"/>
  <c r="BU82" i="1"/>
  <c r="BX82" i="1" s="1"/>
  <c r="BU37" i="1"/>
  <c r="BX103" i="1"/>
  <c r="BU153" i="1"/>
  <c r="BX153" i="1" s="1"/>
  <c r="BU97" i="1"/>
  <c r="BU53" i="1"/>
  <c r="BX53" i="1" s="1"/>
  <c r="BX134" i="1"/>
  <c r="BI75" i="1"/>
  <c r="BX75" i="1" s="1"/>
  <c r="BI56" i="1"/>
  <c r="BX56" i="1" s="1"/>
  <c r="BI120" i="1"/>
  <c r="BX120" i="1" s="1"/>
  <c r="BI127" i="1"/>
  <c r="BX127" i="1" s="1"/>
  <c r="BI31" i="1"/>
  <c r="BX31" i="1" s="1"/>
  <c r="BI115" i="1"/>
  <c r="BI33" i="1"/>
  <c r="BI150" i="1"/>
  <c r="BX150" i="1" s="1"/>
  <c r="BD68" i="1"/>
  <c r="BF69" i="1" s="1"/>
  <c r="BD69" i="1" s="1"/>
  <c r="BG68" i="1"/>
  <c r="BI68" i="1" s="1"/>
  <c r="BX68" i="1" s="1"/>
  <c r="BI84" i="1"/>
  <c r="BX84" i="1" s="1"/>
  <c r="BI44" i="1"/>
  <c r="BX66" i="1"/>
  <c r="BI144" i="1"/>
  <c r="BX144" i="1" s="1"/>
  <c r="BX76" i="1"/>
  <c r="BX62" i="1"/>
  <c r="BU164" i="1"/>
  <c r="BX96" i="1"/>
  <c r="BI125" i="1"/>
  <c r="BX125" i="1" s="1"/>
  <c r="BU154" i="1"/>
  <c r="BU107" i="1"/>
  <c r="BX107" i="1" s="1"/>
  <c r="BS161" i="1"/>
  <c r="BU161" i="1" s="1"/>
  <c r="BX161" i="1" s="1"/>
  <c r="BV23" i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P161" i="1"/>
  <c r="BR162" i="1" s="1"/>
  <c r="BT162" i="1" s="1"/>
  <c r="BX80" i="1"/>
  <c r="BI90" i="1"/>
  <c r="BX90" i="1" s="1"/>
  <c r="BU72" i="1"/>
  <c r="BX72" i="1" s="1"/>
  <c r="BD24" i="1"/>
  <c r="BG24" i="1"/>
  <c r="BH24" i="1"/>
  <c r="BJ22" i="1"/>
  <c r="BJ23" i="1" s="1"/>
  <c r="BX23" i="1"/>
  <c r="BX30" i="1"/>
  <c r="BU33" i="1"/>
  <c r="BX33" i="1" s="1"/>
  <c r="BX93" i="1"/>
  <c r="BI148" i="1"/>
  <c r="BX148" i="1" s="1"/>
  <c r="BU50" i="1"/>
  <c r="BX50" i="1" s="1"/>
  <c r="BD48" i="1"/>
  <c r="BX122" i="1"/>
  <c r="BX129" i="1"/>
  <c r="BI118" i="1"/>
  <c r="BU152" i="1"/>
  <c r="BX152" i="1" s="1"/>
  <c r="BI160" i="1"/>
  <c r="BX160" i="1" s="1"/>
  <c r="BY22" i="1"/>
  <c r="BS83" i="1"/>
  <c r="BT83" i="1"/>
  <c r="BP83" i="1"/>
  <c r="BU100" i="1"/>
  <c r="BX100" i="1" s="1"/>
  <c r="BU54" i="1"/>
  <c r="BX54" i="1" s="1"/>
  <c r="BU74" i="1"/>
  <c r="BX74" i="1" s="1"/>
  <c r="BT138" i="1"/>
  <c r="BS138" i="1"/>
  <c r="BP138" i="1"/>
  <c r="BI52" i="1"/>
  <c r="BX52" i="1" s="1"/>
  <c r="BI48" i="1"/>
  <c r="BX48" i="1" s="1"/>
  <c r="BX156" i="1"/>
  <c r="BX146" i="1"/>
  <c r="BU137" i="1"/>
  <c r="BX137" i="1" s="1"/>
  <c r="BX164" i="1"/>
  <c r="BI92" i="1"/>
  <c r="BH154" i="1"/>
  <c r="BD154" i="1"/>
  <c r="BG154" i="1"/>
  <c r="BI154" i="1" s="1"/>
  <c r="BU165" i="1"/>
  <c r="BX165" i="1" s="1"/>
  <c r="BH147" i="1"/>
  <c r="BD147" i="1"/>
  <c r="BG147" i="1"/>
  <c r="BI147" i="1" s="1"/>
  <c r="BX147" i="1" s="1"/>
  <c r="BS116" i="1"/>
  <c r="BT116" i="1"/>
  <c r="BP116" i="1"/>
  <c r="BR117" i="1" s="1"/>
  <c r="BH73" i="1"/>
  <c r="BG73" i="1"/>
  <c r="BD73" i="1"/>
  <c r="BP67" i="1"/>
  <c r="BS67" i="1"/>
  <c r="BT67" i="1"/>
  <c r="BH145" i="1"/>
  <c r="BG145" i="1"/>
  <c r="BD145" i="1"/>
  <c r="BS47" i="1"/>
  <c r="BT47" i="1"/>
  <c r="BP47" i="1"/>
  <c r="BU46" i="1"/>
  <c r="BX46" i="1" s="1"/>
  <c r="BU123" i="1"/>
  <c r="BX123" i="1" s="1"/>
  <c r="BP166" i="1"/>
  <c r="BT166" i="1"/>
  <c r="BS166" i="1"/>
  <c r="BU115" i="1"/>
  <c r="BH58" i="1"/>
  <c r="BD58" i="1"/>
  <c r="BF59" i="1" s="1"/>
  <c r="BG58" i="1"/>
  <c r="BI58" i="1" s="1"/>
  <c r="BX58" i="1" s="1"/>
  <c r="BI97" i="1"/>
  <c r="BU38" i="1"/>
  <c r="BX38" i="1" s="1"/>
  <c r="BD81" i="1"/>
  <c r="BG81" i="1"/>
  <c r="BH81" i="1"/>
  <c r="BU91" i="1"/>
  <c r="BX91" i="1" s="1"/>
  <c r="BI57" i="1"/>
  <c r="BX57" i="1" s="1"/>
  <c r="BS108" i="1"/>
  <c r="BP108" i="1"/>
  <c r="BT108" i="1"/>
  <c r="BD63" i="1"/>
  <c r="BF64" i="1" s="1"/>
  <c r="BH63" i="1"/>
  <c r="BG63" i="1"/>
  <c r="BD151" i="1"/>
  <c r="BH151" i="1"/>
  <c r="BG151" i="1"/>
  <c r="BI151" i="1" s="1"/>
  <c r="BX151" i="1" s="1"/>
  <c r="BU64" i="1"/>
  <c r="BH98" i="1"/>
  <c r="BG98" i="1"/>
  <c r="BI98" i="1" s="1"/>
  <c r="BX98" i="1" s="1"/>
  <c r="BD98" i="1"/>
  <c r="BU61" i="1"/>
  <c r="BX61" i="1" s="1"/>
  <c r="BI37" i="1"/>
  <c r="BX37" i="1" s="1"/>
  <c r="BP143" i="1"/>
  <c r="BT143" i="1"/>
  <c r="BS143" i="1"/>
  <c r="BI32" i="1"/>
  <c r="BX32" i="1" s="1"/>
  <c r="BI34" i="1"/>
  <c r="BX109" i="1"/>
  <c r="BU142" i="1"/>
  <c r="BX142" i="1" s="1"/>
  <c r="BU55" i="1"/>
  <c r="BX55" i="1" s="1"/>
  <c r="BU110" i="1"/>
  <c r="BX110" i="1" s="1"/>
  <c r="BU167" i="1"/>
  <c r="BU124" i="1"/>
  <c r="BX124" i="1" s="1"/>
  <c r="BT34" i="1"/>
  <c r="BS34" i="1"/>
  <c r="BP34" i="1"/>
  <c r="BS51" i="1"/>
  <c r="BP51" i="1"/>
  <c r="BT51" i="1"/>
  <c r="BD85" i="1"/>
  <c r="BF86" i="1" s="1"/>
  <c r="BH85" i="1"/>
  <c r="BG85" i="1"/>
  <c r="BI28" i="1"/>
  <c r="BU45" i="1"/>
  <c r="BX45" i="1" s="1"/>
  <c r="BI167" i="1"/>
  <c r="BX99" i="1"/>
  <c r="BU114" i="1"/>
  <c r="BX114" i="1" s="1"/>
  <c r="BU105" i="1"/>
  <c r="BX105" i="1" s="1"/>
  <c r="BI63" i="1" l="1"/>
  <c r="BX63" i="1" s="1"/>
  <c r="BX44" i="1"/>
  <c r="BX154" i="1"/>
  <c r="BP95" i="1"/>
  <c r="BT95" i="1"/>
  <c r="BU95" i="1" s="1"/>
  <c r="BX95" i="1" s="1"/>
  <c r="BX115" i="1"/>
  <c r="BX92" i="1"/>
  <c r="BX97" i="1"/>
  <c r="BH69" i="1"/>
  <c r="BG69" i="1"/>
  <c r="BI81" i="1"/>
  <c r="BX81" i="1" s="1"/>
  <c r="BS162" i="1"/>
  <c r="BP162" i="1"/>
  <c r="BU83" i="1"/>
  <c r="BX83" i="1" s="1"/>
  <c r="BU34" i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Y23" i="1"/>
  <c r="BI24" i="1"/>
  <c r="BX24" i="1" s="1"/>
  <c r="BU108" i="1"/>
  <c r="BX108" i="1" s="1"/>
  <c r="BX167" i="1"/>
  <c r="BH64" i="1"/>
  <c r="BG64" i="1"/>
  <c r="BD64" i="1"/>
  <c r="BF65" i="1" s="1"/>
  <c r="BU116" i="1"/>
  <c r="BX116" i="1" s="1"/>
  <c r="BI69" i="1"/>
  <c r="BX69" i="1" s="1"/>
  <c r="BX28" i="1"/>
  <c r="BD59" i="1"/>
  <c r="BF60" i="1" s="1"/>
  <c r="BH59" i="1"/>
  <c r="BG59" i="1"/>
  <c r="BU47" i="1"/>
  <c r="BX47" i="1" s="1"/>
  <c r="BI85" i="1"/>
  <c r="BX85" i="1" s="1"/>
  <c r="BI145" i="1"/>
  <c r="BX145" i="1" s="1"/>
  <c r="BP117" i="1"/>
  <c r="BR118" i="1" s="1"/>
  <c r="BT117" i="1"/>
  <c r="BS117" i="1"/>
  <c r="BU117" i="1" s="1"/>
  <c r="BX117" i="1" s="1"/>
  <c r="BU67" i="1"/>
  <c r="BX67" i="1" s="1"/>
  <c r="BU166" i="1"/>
  <c r="BX166" i="1" s="1"/>
  <c r="BG86" i="1"/>
  <c r="BH86" i="1"/>
  <c r="BD86" i="1"/>
  <c r="BF87" i="1" s="1"/>
  <c r="BU51" i="1"/>
  <c r="BX51" i="1" s="1"/>
  <c r="BU162" i="1"/>
  <c r="BX162" i="1" s="1"/>
  <c r="BU138" i="1"/>
  <c r="BX138" i="1" s="1"/>
  <c r="BU143" i="1"/>
  <c r="BX143" i="1" s="1"/>
  <c r="BI73" i="1"/>
  <c r="BX73" i="1" s="1"/>
  <c r="BI59" i="1" l="1"/>
  <c r="BX59" i="1" s="1"/>
  <c r="BX34" i="1"/>
  <c r="BY24" i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J24" i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I64" i="1"/>
  <c r="BX64" i="1" s="1"/>
  <c r="BH60" i="1"/>
  <c r="BG60" i="1"/>
  <c r="BD60" i="1"/>
  <c r="BT118" i="1"/>
  <c r="BS118" i="1"/>
  <c r="BU118" i="1" s="1"/>
  <c r="BP118" i="1"/>
  <c r="BH65" i="1"/>
  <c r="BD65" i="1"/>
  <c r="BG65" i="1"/>
  <c r="BI65" i="1" s="1"/>
  <c r="BX65" i="1" s="1"/>
  <c r="BH87" i="1"/>
  <c r="BG87" i="1"/>
  <c r="BI87" i="1" s="1"/>
  <c r="BX87" i="1" s="1"/>
  <c r="BD87" i="1"/>
  <c r="BF88" i="1" s="1"/>
  <c r="BV47" i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I86" i="1"/>
  <c r="BX86" i="1" s="1"/>
  <c r="BY47" i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D88" i="1" l="1"/>
  <c r="BH88" i="1"/>
  <c r="BG88" i="1"/>
  <c r="BX118" i="1"/>
  <c r="BV9" i="1"/>
  <c r="BV10" i="1"/>
  <c r="BI60" i="1"/>
  <c r="BX60" i="1" l="1"/>
  <c r="BV11" i="1"/>
  <c r="BJ60" i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I88" i="1"/>
  <c r="BX88" i="1" s="1"/>
  <c r="BJ88" i="1" l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Y10" i="1"/>
  <c r="BY9" i="1"/>
  <c r="BY60" i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J9" i="1"/>
  <c r="BJ10" i="1"/>
  <c r="BY11" i="1" l="1"/>
  <c r="BJ11" i="1"/>
</calcChain>
</file>

<file path=xl/sharedStrings.xml><?xml version="1.0" encoding="utf-8"?>
<sst xmlns="http://schemas.openxmlformats.org/spreadsheetml/2006/main" count="53" uniqueCount="42">
  <si>
    <t>date</t>
  </si>
  <si>
    <t>IYK</t>
  </si>
  <si>
    <t>XLP</t>
  </si>
  <si>
    <t>IYK log rtn</t>
  </si>
  <si>
    <t>XLP log rtn</t>
  </si>
  <si>
    <t>IYK div</t>
  </si>
  <si>
    <t>IYK div cumsum</t>
  </si>
  <si>
    <t>XLP div</t>
  </si>
  <si>
    <t>XLP div cumsum</t>
  </si>
  <si>
    <t>IYK div adjustment</t>
  </si>
  <si>
    <t>XLP div adjustment</t>
  </si>
  <si>
    <t>IYK*</t>
  </si>
  <si>
    <t>XLP*</t>
  </si>
  <si>
    <t>XLP/IYK</t>
  </si>
  <si>
    <t>XLP/IYK avg</t>
  </si>
  <si>
    <t>XLP/IYK 10 dma</t>
  </si>
  <si>
    <t>XLP/IYK 20 dma</t>
  </si>
  <si>
    <t>IYK x avg</t>
  </si>
  <si>
    <t>IYK x 10 dma</t>
  </si>
  <si>
    <t>IYK x 20 dma</t>
  </si>
  <si>
    <t>log diff IYK x avg / XLP</t>
  </si>
  <si>
    <t>log diff IYK x 10 dma / XLP</t>
  </si>
  <si>
    <t>log diff IYK x 20 dma / XLP</t>
  </si>
  <si>
    <t>XLP*/IYK*</t>
  </si>
  <si>
    <t>XLP*/IYK* avg</t>
  </si>
  <si>
    <t>XLP*/IYK* 10 dma</t>
  </si>
  <si>
    <t>XLP*/IYK* 20 dma</t>
  </si>
  <si>
    <t>IYK* x avg</t>
  </si>
  <si>
    <t>IYK* x 10 dma</t>
  </si>
  <si>
    <t>IYK* x 20 dma</t>
  </si>
  <si>
    <t>log diff IYK* x avg / XLP*</t>
  </si>
  <si>
    <t>log diff IYK* x 10 dma / XLP*</t>
  </si>
  <si>
    <t>log diff IYK* x 20 dma / XLP*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</si>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</sst>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3" applyNumberFormat="1" applyFont="1"/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164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IYK_XLP_0!$O$1</c:f>
              <c:strCache>
                <c:ptCount val="1"/>
                <c:pt idx="0">
                  <c:v> XLP/IYK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IYK_XLP_0!$O$2:$O$167</c:f>
              <c:numCache>
                <c:formatCode>_(* #,##0.0000_);_(* \(#,##0.0000\);_(* "-"??_);_(@_)</c:formatCode>
                <c:ptCount val="166"/>
                <c:pt idx="0">
                  <c:v>1.16233556709835</c:v>
                </c:pt>
                <c:pt idx="1">
                  <c:v>1.16233556709835</c:v>
                </c:pt>
                <c:pt idx="2">
                  <c:v>1.16233556709835</c:v>
                </c:pt>
                <c:pt idx="3">
                  <c:v>1.16233556709835</c:v>
                </c:pt>
                <c:pt idx="4">
                  <c:v>1.16233556709835</c:v>
                </c:pt>
                <c:pt idx="5">
                  <c:v>1.16233556709835</c:v>
                </c:pt>
                <c:pt idx="6">
                  <c:v>1.16233556709835</c:v>
                </c:pt>
                <c:pt idx="7">
                  <c:v>1.16233556709835</c:v>
                </c:pt>
                <c:pt idx="8">
                  <c:v>1.16233556709835</c:v>
                </c:pt>
                <c:pt idx="9">
                  <c:v>1.16233556709835</c:v>
                </c:pt>
                <c:pt idx="10">
                  <c:v>1.16233556709835</c:v>
                </c:pt>
                <c:pt idx="11">
                  <c:v>1.16233556709835</c:v>
                </c:pt>
                <c:pt idx="12">
                  <c:v>1.16233556709835</c:v>
                </c:pt>
                <c:pt idx="13">
                  <c:v>1.16233556709835</c:v>
                </c:pt>
                <c:pt idx="14">
                  <c:v>1.16233556709835</c:v>
                </c:pt>
                <c:pt idx="15">
                  <c:v>1.16233556709835</c:v>
                </c:pt>
                <c:pt idx="16">
                  <c:v>1.16233556709835</c:v>
                </c:pt>
                <c:pt idx="17">
                  <c:v>1.16233556709835</c:v>
                </c:pt>
                <c:pt idx="18">
                  <c:v>1.16233556709835</c:v>
                </c:pt>
                <c:pt idx="19">
                  <c:v>1.16233556709835</c:v>
                </c:pt>
                <c:pt idx="20">
                  <c:v>1.16233556709835</c:v>
                </c:pt>
                <c:pt idx="21">
                  <c:v>1.16233556709835</c:v>
                </c:pt>
                <c:pt idx="22">
                  <c:v>1.16233556709835</c:v>
                </c:pt>
                <c:pt idx="23">
                  <c:v>1.16233556709835</c:v>
                </c:pt>
                <c:pt idx="24">
                  <c:v>1.16233556709835</c:v>
                </c:pt>
                <c:pt idx="25">
                  <c:v>1.16233556709835</c:v>
                </c:pt>
                <c:pt idx="26">
                  <c:v>1.16233556709835</c:v>
                </c:pt>
                <c:pt idx="27">
                  <c:v>1.16233556709835</c:v>
                </c:pt>
                <c:pt idx="28">
                  <c:v>1.16233556709835</c:v>
                </c:pt>
                <c:pt idx="29">
                  <c:v>1.16233556709835</c:v>
                </c:pt>
                <c:pt idx="30">
                  <c:v>1.16233556709835</c:v>
                </c:pt>
                <c:pt idx="31">
                  <c:v>1.16233556709835</c:v>
                </c:pt>
                <c:pt idx="32">
                  <c:v>1.16233556709835</c:v>
                </c:pt>
                <c:pt idx="33">
                  <c:v>1.16233556709835</c:v>
                </c:pt>
                <c:pt idx="34">
                  <c:v>1.16233556709835</c:v>
                </c:pt>
                <c:pt idx="35">
                  <c:v>1.16233556709835</c:v>
                </c:pt>
                <c:pt idx="36">
                  <c:v>1.16233556709835</c:v>
                </c:pt>
                <c:pt idx="37">
                  <c:v>1.16233556709835</c:v>
                </c:pt>
                <c:pt idx="38">
                  <c:v>1.16233556709835</c:v>
                </c:pt>
                <c:pt idx="39">
                  <c:v>1.16233556709835</c:v>
                </c:pt>
                <c:pt idx="40">
                  <c:v>1.16233556709835</c:v>
                </c:pt>
                <c:pt idx="41">
                  <c:v>1.16233556709835</c:v>
                </c:pt>
                <c:pt idx="42">
                  <c:v>1.16233556709835</c:v>
                </c:pt>
                <c:pt idx="43">
                  <c:v>1.16233556709835</c:v>
                </c:pt>
                <c:pt idx="44">
                  <c:v>1.16233556709835</c:v>
                </c:pt>
                <c:pt idx="45">
                  <c:v>1.16233556709835</c:v>
                </c:pt>
                <c:pt idx="46">
                  <c:v>1.16233556709835</c:v>
                </c:pt>
                <c:pt idx="47">
                  <c:v>1.16233556709835</c:v>
                </c:pt>
                <c:pt idx="48">
                  <c:v>1.16233556709835</c:v>
                </c:pt>
                <c:pt idx="49">
                  <c:v>1.16233556709835</c:v>
                </c:pt>
                <c:pt idx="50">
                  <c:v>1.16233556709835</c:v>
                </c:pt>
                <c:pt idx="51">
                  <c:v>1.16233556709835</c:v>
                </c:pt>
                <c:pt idx="52">
                  <c:v>1.16233556709835</c:v>
                </c:pt>
                <c:pt idx="53">
                  <c:v>1.16233556709835</c:v>
                </c:pt>
                <c:pt idx="54">
                  <c:v>1.16233556709835</c:v>
                </c:pt>
                <c:pt idx="55">
                  <c:v>1.16233556709835</c:v>
                </c:pt>
                <c:pt idx="56">
                  <c:v>1.16233556709835</c:v>
                </c:pt>
                <c:pt idx="57">
                  <c:v>1.16233556709835</c:v>
                </c:pt>
                <c:pt idx="58">
                  <c:v>1.16233556709835</c:v>
                </c:pt>
                <c:pt idx="59">
                  <c:v>1.16233556709835</c:v>
                </c:pt>
                <c:pt idx="60">
                  <c:v>1.16233556709835</c:v>
                </c:pt>
                <c:pt idx="61">
                  <c:v>1.16233556709835</c:v>
                </c:pt>
                <c:pt idx="62">
                  <c:v>1.16233556709835</c:v>
                </c:pt>
                <c:pt idx="63">
                  <c:v>1.16233556709835</c:v>
                </c:pt>
                <c:pt idx="64">
                  <c:v>1.16233556709835</c:v>
                </c:pt>
                <c:pt idx="65">
                  <c:v>1.16233556709835</c:v>
                </c:pt>
                <c:pt idx="66">
                  <c:v>1.16233556709835</c:v>
                </c:pt>
                <c:pt idx="67">
                  <c:v>1.16233556709835</c:v>
                </c:pt>
                <c:pt idx="68">
                  <c:v>1.16233556709835</c:v>
                </c:pt>
                <c:pt idx="69">
                  <c:v>1.16233556709835</c:v>
                </c:pt>
                <c:pt idx="70">
                  <c:v>1.16233556709835</c:v>
                </c:pt>
                <c:pt idx="71">
                  <c:v>1.16233556709835</c:v>
                </c:pt>
                <c:pt idx="72">
                  <c:v>1.16233556709835</c:v>
                </c:pt>
                <c:pt idx="73">
                  <c:v>1.16233556709835</c:v>
                </c:pt>
                <c:pt idx="74">
                  <c:v>1.16233556709835</c:v>
                </c:pt>
                <c:pt idx="75">
                  <c:v>1.16233556709835</c:v>
                </c:pt>
                <c:pt idx="76">
                  <c:v>1.16233556709835</c:v>
                </c:pt>
                <c:pt idx="77">
                  <c:v>1.16233556709835</c:v>
                </c:pt>
                <c:pt idx="78">
                  <c:v>1.16233556709835</c:v>
                </c:pt>
                <c:pt idx="79">
                  <c:v>1.16233556709835</c:v>
                </c:pt>
                <c:pt idx="80">
                  <c:v>1.16233556709835</c:v>
                </c:pt>
                <c:pt idx="81">
                  <c:v>1.16233556709835</c:v>
                </c:pt>
                <c:pt idx="82">
                  <c:v>1.16233556709835</c:v>
                </c:pt>
                <c:pt idx="83">
                  <c:v>1.16233556709835</c:v>
                </c:pt>
                <c:pt idx="84">
                  <c:v>1.16233556709835</c:v>
                </c:pt>
                <c:pt idx="85">
                  <c:v>1.16233556709835</c:v>
                </c:pt>
                <c:pt idx="86">
                  <c:v>1.16233556709835</c:v>
                </c:pt>
                <c:pt idx="87">
                  <c:v>1.16233556709835</c:v>
                </c:pt>
                <c:pt idx="88">
                  <c:v>1.16233556709835</c:v>
                </c:pt>
                <c:pt idx="89">
                  <c:v>1.16233556709835</c:v>
                </c:pt>
                <c:pt idx="90">
                  <c:v>1.16233556709835</c:v>
                </c:pt>
                <c:pt idx="91">
                  <c:v>1.16233556709835</c:v>
                </c:pt>
                <c:pt idx="92">
                  <c:v>1.16233556709835</c:v>
                </c:pt>
                <c:pt idx="93">
                  <c:v>1.16233556709835</c:v>
                </c:pt>
                <c:pt idx="94">
                  <c:v>1.16233556709835</c:v>
                </c:pt>
                <c:pt idx="95">
                  <c:v>1.16233556709835</c:v>
                </c:pt>
                <c:pt idx="96">
                  <c:v>1.16233556709835</c:v>
                </c:pt>
                <c:pt idx="97">
                  <c:v>1.16233556709835</c:v>
                </c:pt>
                <c:pt idx="98">
                  <c:v>1.16233556709835</c:v>
                </c:pt>
                <c:pt idx="99">
                  <c:v>1.16233556709835</c:v>
                </c:pt>
                <c:pt idx="100">
                  <c:v>1.16233556709835</c:v>
                </c:pt>
                <c:pt idx="101">
                  <c:v>1.16233556709835</c:v>
                </c:pt>
                <c:pt idx="102">
                  <c:v>1.16233556709835</c:v>
                </c:pt>
                <c:pt idx="103">
                  <c:v>1.16233556709835</c:v>
                </c:pt>
                <c:pt idx="104">
                  <c:v>1.16233556709835</c:v>
                </c:pt>
                <c:pt idx="105">
                  <c:v>1.16233556709835</c:v>
                </c:pt>
                <c:pt idx="106">
                  <c:v>1.16233556709835</c:v>
                </c:pt>
                <c:pt idx="107">
                  <c:v>1.16233556709835</c:v>
                </c:pt>
                <c:pt idx="108">
                  <c:v>1.16233556709835</c:v>
                </c:pt>
                <c:pt idx="109">
                  <c:v>1.16233556709835</c:v>
                </c:pt>
                <c:pt idx="110">
                  <c:v>1.16233556709835</c:v>
                </c:pt>
                <c:pt idx="111">
                  <c:v>1.16233556709835</c:v>
                </c:pt>
                <c:pt idx="112">
                  <c:v>1.16233556709835</c:v>
                </c:pt>
                <c:pt idx="113">
                  <c:v>1.16233556709835</c:v>
                </c:pt>
                <c:pt idx="114">
                  <c:v>1.16233556709835</c:v>
                </c:pt>
                <c:pt idx="115">
                  <c:v>1.16233556709835</c:v>
                </c:pt>
                <c:pt idx="116">
                  <c:v>1.16233556709835</c:v>
                </c:pt>
                <c:pt idx="117">
                  <c:v>1.16233556709835</c:v>
                </c:pt>
                <c:pt idx="118">
                  <c:v>1.16233556709835</c:v>
                </c:pt>
                <c:pt idx="119">
                  <c:v>1.16233556709835</c:v>
                </c:pt>
                <c:pt idx="120">
                  <c:v>1.16233556709835</c:v>
                </c:pt>
                <c:pt idx="121">
                  <c:v>1.16233556709835</c:v>
                </c:pt>
                <c:pt idx="122">
                  <c:v>1.16233556709835</c:v>
                </c:pt>
                <c:pt idx="123">
                  <c:v>1.16233556709835</c:v>
                </c:pt>
                <c:pt idx="124">
                  <c:v>1.16233556709835</c:v>
                </c:pt>
                <c:pt idx="125">
                  <c:v>1.16233556709835</c:v>
                </c:pt>
                <c:pt idx="126">
                  <c:v>1.16233556709835</c:v>
                </c:pt>
                <c:pt idx="127">
                  <c:v>1.16233556709835</c:v>
                </c:pt>
                <c:pt idx="128">
                  <c:v>1.16233556709835</c:v>
                </c:pt>
                <c:pt idx="129">
                  <c:v>1.16233556709835</c:v>
                </c:pt>
                <c:pt idx="130">
                  <c:v>1.16233556709835</c:v>
                </c:pt>
                <c:pt idx="131">
                  <c:v>1.16233556709835</c:v>
                </c:pt>
                <c:pt idx="132">
                  <c:v>1.16233556709835</c:v>
                </c:pt>
                <c:pt idx="133">
                  <c:v>1.16233556709835</c:v>
                </c:pt>
                <c:pt idx="134">
                  <c:v>1.16233556709835</c:v>
                </c:pt>
                <c:pt idx="135">
                  <c:v>1.16233556709835</c:v>
                </c:pt>
                <c:pt idx="136">
                  <c:v>1.16233556709835</c:v>
                </c:pt>
                <c:pt idx="137">
                  <c:v>1.16233556709835</c:v>
                </c:pt>
                <c:pt idx="138">
                  <c:v>1.16233556709835</c:v>
                </c:pt>
                <c:pt idx="139">
                  <c:v>1.16233556709835</c:v>
                </c:pt>
                <c:pt idx="140">
                  <c:v>1.16233556709835</c:v>
                </c:pt>
                <c:pt idx="141">
                  <c:v>1.16233556709835</c:v>
                </c:pt>
                <c:pt idx="142">
                  <c:v>1.16233556709835</c:v>
                </c:pt>
                <c:pt idx="143">
                  <c:v>1.16233556709835</c:v>
                </c:pt>
                <c:pt idx="144">
                  <c:v>1.16233556709835</c:v>
                </c:pt>
                <c:pt idx="145">
                  <c:v>1.16233556709835</c:v>
                </c:pt>
                <c:pt idx="146">
                  <c:v>1.16233556709835</c:v>
                </c:pt>
                <c:pt idx="147">
                  <c:v>1.16233556709835</c:v>
                </c:pt>
                <c:pt idx="148">
                  <c:v>1.16233556709835</c:v>
                </c:pt>
                <c:pt idx="149">
                  <c:v>1.16233556709835</c:v>
                </c:pt>
                <c:pt idx="150">
                  <c:v>1.16233556709835</c:v>
                </c:pt>
                <c:pt idx="151">
                  <c:v>1.16233556709835</c:v>
                </c:pt>
                <c:pt idx="152">
                  <c:v>1.16233556709835</c:v>
                </c:pt>
                <c:pt idx="153">
                  <c:v>1.16233556709835</c:v>
                </c:pt>
                <c:pt idx="154">
                  <c:v>1.16233556709835</c:v>
                </c:pt>
                <c:pt idx="155">
                  <c:v>1.16233556709835</c:v>
                </c:pt>
                <c:pt idx="156">
                  <c:v>1.16233556709835</c:v>
                </c:pt>
                <c:pt idx="157">
                  <c:v>1.16233556709835</c:v>
                </c:pt>
                <c:pt idx="158">
                  <c:v>1.16233556709835</c:v>
                </c:pt>
                <c:pt idx="159">
                  <c:v>1.16233556709835</c:v>
                </c:pt>
                <c:pt idx="160">
                  <c:v>1.16233556709835</c:v>
                </c:pt>
                <c:pt idx="161">
                  <c:v>1.16233556709835</c:v>
                </c:pt>
                <c:pt idx="162">
                  <c:v>1.16233556709835</c:v>
                </c:pt>
                <c:pt idx="163">
                  <c:v>1.16233556709835</c:v>
                </c:pt>
                <c:pt idx="164">
                  <c:v>1.16233556709835</c:v>
                </c:pt>
                <c:pt idx="165">
                  <c:v>1.16233556709835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9-45A4-9D3E-FC348B3E663A}"/>
            </c:ext>
          </c:extLst>
        </c:ser>
        <c:ser>
          <c:idx val="1"/>
          <c:order val="1"/>
          <c:tx>
            <c:strRef>
              <c:f>IYK_XLP_0!$P$1</c:f>
              <c:strCache>
                <c:ptCount val="1"/>
                <c:pt idx="0">
                  <c:v> XLP/IYK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IYK_XLP_0!$P$2:$P$167</c:f>
              <c:numCache>
                <c:formatCode>_(* #,##0.0000_);_(* \(#,##0.0000\);_(* "-"??_);_(@_)</c:formatCode>
                <c:ptCount val="166"/>
                <c:pt idx="9">
                  <c:v>1.17786688328375</c:v>
                </c:pt>
                <c:pt idx="10">
                  <c:v>1.1798411603671199</c:v>
                </c:pt>
                <c:pt idx="11">
                  <c:v>1.1812779551330801</c:v>
                </c:pt>
                <c:pt idx="12">
                  <c:v>1.1820128974687201</c:v>
                </c:pt>
                <c:pt idx="13">
                  <c:v>1.1823494302484101</c:v>
                </c:pt>
                <c:pt idx="14">
                  <c:v>1.1823592205303699</c:v>
                </c:pt>
                <c:pt idx="15">
                  <c:v>1.18174626701563</c:v>
                </c:pt>
                <c:pt idx="16">
                  <c:v>1.18090768575564</c:v>
                </c:pt>
                <c:pt idx="17">
                  <c:v>1.17935597762391</c:v>
                </c:pt>
                <c:pt idx="18">
                  <c:v>1.17767975091594</c:v>
                </c:pt>
                <c:pt idx="19">
                  <c:v>1.1762632378201701</c:v>
                </c:pt>
                <c:pt idx="20">
                  <c:v>1.17533765538899</c:v>
                </c:pt>
                <c:pt idx="21">
                  <c:v>1.1747465058481901</c:v>
                </c:pt>
                <c:pt idx="22">
                  <c:v>1.1748982474287999</c:v>
                </c:pt>
                <c:pt idx="23">
                  <c:v>1.1738028942938801</c:v>
                </c:pt>
                <c:pt idx="24">
                  <c:v>1.17313021165861</c:v>
                </c:pt>
                <c:pt idx="25">
                  <c:v>1.17302572132156</c:v>
                </c:pt>
                <c:pt idx="26">
                  <c:v>1.1724833749160399</c:v>
                </c:pt>
                <c:pt idx="27">
                  <c:v>1.17241164655153</c:v>
                </c:pt>
                <c:pt idx="28">
                  <c:v>1.1732284976759999</c:v>
                </c:pt>
                <c:pt idx="29">
                  <c:v>1.1744537630147101</c:v>
                </c:pt>
                <c:pt idx="30">
                  <c:v>1.1744361092556099</c:v>
                </c:pt>
                <c:pt idx="31">
                  <c:v>1.1738916728017199</c:v>
                </c:pt>
                <c:pt idx="32">
                  <c:v>1.17220770987986</c:v>
                </c:pt>
                <c:pt idx="33">
                  <c:v>1.17199297964331</c:v>
                </c:pt>
                <c:pt idx="34">
                  <c:v>1.1711356504903301</c:v>
                </c:pt>
                <c:pt idx="35">
                  <c:v>1.1706185558258</c:v>
                </c:pt>
                <c:pt idx="36">
                  <c:v>1.1700078192460499</c:v>
                </c:pt>
                <c:pt idx="37">
                  <c:v>1.16883847595955</c:v>
                </c:pt>
                <c:pt idx="38">
                  <c:v>1.1671262533389699</c:v>
                </c:pt>
                <c:pt idx="39">
                  <c:v>1.16460770918442</c:v>
                </c:pt>
                <c:pt idx="40">
                  <c:v>1.1633908892332501</c:v>
                </c:pt>
                <c:pt idx="41">
                  <c:v>1.16266905386827</c:v>
                </c:pt>
                <c:pt idx="42">
                  <c:v>1.1625024205247501</c:v>
                </c:pt>
                <c:pt idx="43">
                  <c:v>1.1631364716702699</c:v>
                </c:pt>
                <c:pt idx="44">
                  <c:v>1.1635926741954701</c:v>
                </c:pt>
                <c:pt idx="45">
                  <c:v>1.1637759487033199</c:v>
                </c:pt>
                <c:pt idx="46">
                  <c:v>1.16404973974977</c:v>
                </c:pt>
                <c:pt idx="47">
                  <c:v>1.1645612314853599</c:v>
                </c:pt>
                <c:pt idx="48">
                  <c:v>1.1650778086312601</c:v>
                </c:pt>
                <c:pt idx="49">
                  <c:v>1.1661595000387801</c:v>
                </c:pt>
                <c:pt idx="50">
                  <c:v>1.1670529440282</c:v>
                </c:pt>
                <c:pt idx="51">
                  <c:v>1.1678297878773101</c:v>
                </c:pt>
                <c:pt idx="52">
                  <c:v>1.1683658553017</c:v>
                </c:pt>
                <c:pt idx="53">
                  <c:v>1.1686133968791701</c:v>
                </c:pt>
                <c:pt idx="54">
                  <c:v>1.1688408398707699</c:v>
                </c:pt>
                <c:pt idx="55">
                  <c:v>1.16871599026047</c:v>
                </c:pt>
                <c:pt idx="56">
                  <c:v>1.1688308009703701</c:v>
                </c:pt>
                <c:pt idx="57">
                  <c:v>1.1695637785900199</c:v>
                </c:pt>
                <c:pt idx="58">
                  <c:v>1.1704461128011701</c:v>
                </c:pt>
                <c:pt idx="59">
                  <c:v>1.17084977862676</c:v>
                </c:pt>
                <c:pt idx="60">
                  <c:v>1.17074692762049</c:v>
                </c:pt>
                <c:pt idx="61">
                  <c:v>1.17056786745323</c:v>
                </c:pt>
                <c:pt idx="62">
                  <c:v>1.1704367451576501</c:v>
                </c:pt>
                <c:pt idx="63">
                  <c:v>1.17073289263639</c:v>
                </c:pt>
                <c:pt idx="64">
                  <c:v>1.1706293840450701</c:v>
                </c:pt>
                <c:pt idx="65">
                  <c:v>1.1710099341964799</c:v>
                </c:pt>
                <c:pt idx="66">
                  <c:v>1.1715380599598999</c:v>
                </c:pt>
                <c:pt idx="67">
                  <c:v>1.1710256386778299</c:v>
                </c:pt>
                <c:pt idx="68">
                  <c:v>1.16994510925277</c:v>
                </c:pt>
                <c:pt idx="69">
                  <c:v>1.16942568036696</c:v>
                </c:pt>
                <c:pt idx="70">
                  <c:v>1.16946644796963</c:v>
                </c:pt>
                <c:pt idx="71">
                  <c:v>1.16937287439204</c:v>
                </c:pt>
                <c:pt idx="72">
                  <c:v>1.1697010334578199</c:v>
                </c:pt>
                <c:pt idx="73">
                  <c:v>1.16992080127802</c:v>
                </c:pt>
                <c:pt idx="74">
                  <c:v>1.1716579388427799</c:v>
                </c:pt>
                <c:pt idx="75">
                  <c:v>1.1728190300404699</c:v>
                </c:pt>
                <c:pt idx="76">
                  <c:v>1.17364094795758</c:v>
                </c:pt>
                <c:pt idx="77">
                  <c:v>1.1749078884259501</c:v>
                </c:pt>
                <c:pt idx="78">
                  <c:v>1.1761010140234101</c:v>
                </c:pt>
                <c:pt idx="79">
                  <c:v>1.1763167144814899</c:v>
                </c:pt>
                <c:pt idx="80">
                  <c:v>1.17606639745234</c:v>
                </c:pt>
                <c:pt idx="81">
                  <c:v>1.17654175255381</c:v>
                </c:pt>
                <c:pt idx="82">
                  <c:v>1.1766180893720899</c:v>
                </c:pt>
                <c:pt idx="83">
                  <c:v>1.1762128017492199</c:v>
                </c:pt>
                <c:pt idx="84">
                  <c:v>1.1753537764584501</c:v>
                </c:pt>
                <c:pt idx="85">
                  <c:v>1.17497383436776</c:v>
                </c:pt>
                <c:pt idx="86">
                  <c:v>1.1750460202984701</c:v>
                </c:pt>
                <c:pt idx="87">
                  <c:v>1.17525466473132</c:v>
                </c:pt>
                <c:pt idx="88">
                  <c:v>1.1747391194341399</c:v>
                </c:pt>
                <c:pt idx="89">
                  <c:v>1.17494125262423</c:v>
                </c:pt>
                <c:pt idx="90">
                  <c:v>1.17529753337883</c:v>
                </c:pt>
                <c:pt idx="91">
                  <c:v>1.1750550145940699</c:v>
                </c:pt>
                <c:pt idx="92">
                  <c:v>1.1747624101076799</c:v>
                </c:pt>
                <c:pt idx="93">
                  <c:v>1.1751474330178699</c:v>
                </c:pt>
                <c:pt idx="94">
                  <c:v>1.17586746605182</c:v>
                </c:pt>
                <c:pt idx="95">
                  <c:v>1.1759903603983899</c:v>
                </c:pt>
                <c:pt idx="96">
                  <c:v>1.1746142091943099</c:v>
                </c:pt>
                <c:pt idx="97">
                  <c:v>1.17293845458297</c:v>
                </c:pt>
                <c:pt idx="98">
                  <c:v>1.17261622984895</c:v>
                </c:pt>
                <c:pt idx="99">
                  <c:v>1.17216485008106</c:v>
                </c:pt>
                <c:pt idx="100">
                  <c:v>1.1719254636120999</c:v>
                </c:pt>
                <c:pt idx="101">
                  <c:v>1.17128951014001</c:v>
                </c:pt>
                <c:pt idx="102">
                  <c:v>1.1709434921626201</c:v>
                </c:pt>
                <c:pt idx="103">
                  <c:v>1.16961225969611</c:v>
                </c:pt>
                <c:pt idx="104">
                  <c:v>1.1679152280471301</c:v>
                </c:pt>
                <c:pt idx="105">
                  <c:v>1.16665811859135</c:v>
                </c:pt>
                <c:pt idx="106">
                  <c:v>1.1659519170669901</c:v>
                </c:pt>
                <c:pt idx="107">
                  <c:v>1.1659897065615099</c:v>
                </c:pt>
                <c:pt idx="108">
                  <c:v>1.1653834600472901</c:v>
                </c:pt>
                <c:pt idx="109">
                  <c:v>1.16484821560798</c:v>
                </c:pt>
                <c:pt idx="110">
                  <c:v>1.1640959185153801</c:v>
                </c:pt>
                <c:pt idx="111">
                  <c:v>1.1636632519519099</c:v>
                </c:pt>
                <c:pt idx="112">
                  <c:v>1.1636678464633099</c:v>
                </c:pt>
                <c:pt idx="113">
                  <c:v>1.1638371223927799</c:v>
                </c:pt>
                <c:pt idx="114">
                  <c:v>1.1632253353764299</c:v>
                </c:pt>
                <c:pt idx="115">
                  <c:v>1.1628319659205499</c:v>
                </c:pt>
                <c:pt idx="116">
                  <c:v>1.16238196074241</c:v>
                </c:pt>
                <c:pt idx="117">
                  <c:v>1.1615919425878301</c:v>
                </c:pt>
                <c:pt idx="118">
                  <c:v>1.1614218465658901</c:v>
                </c:pt>
                <c:pt idx="119">
                  <c:v>1.1606157913282</c:v>
                </c:pt>
                <c:pt idx="120">
                  <c:v>1.1594136003481399</c:v>
                </c:pt>
                <c:pt idx="121">
                  <c:v>1.1580101466400201</c:v>
                </c:pt>
                <c:pt idx="122">
                  <c:v>1.1554973459461799</c:v>
                </c:pt>
                <c:pt idx="123">
                  <c:v>1.15245238962676</c:v>
                </c:pt>
                <c:pt idx="124">
                  <c:v>1.14995085792628</c:v>
                </c:pt>
                <c:pt idx="125">
                  <c:v>1.14699535293379</c:v>
                </c:pt>
                <c:pt idx="126">
                  <c:v>1.1444353675325101</c:v>
                </c:pt>
                <c:pt idx="127">
                  <c:v>1.14238145867231</c:v>
                </c:pt>
                <c:pt idx="128">
                  <c:v>1.14029044738052</c:v>
                </c:pt>
                <c:pt idx="129">
                  <c:v>1.1391610525720199</c:v>
                </c:pt>
                <c:pt idx="130">
                  <c:v>1.13817751259834</c:v>
                </c:pt>
                <c:pt idx="131">
                  <c:v>1.13755288395248</c:v>
                </c:pt>
                <c:pt idx="132">
                  <c:v>1.13739630959719</c:v>
                </c:pt>
                <c:pt idx="133">
                  <c:v>1.13777146151043</c:v>
                </c:pt>
                <c:pt idx="134">
                  <c:v>1.1380844895151501</c:v>
                </c:pt>
                <c:pt idx="135">
                  <c:v>1.1385870730965399</c:v>
                </c:pt>
                <c:pt idx="136">
                  <c:v>1.13900277365344</c:v>
                </c:pt>
                <c:pt idx="137">
                  <c:v>1.13874541701411</c:v>
                </c:pt>
                <c:pt idx="138">
                  <c:v>1.13792550926475</c:v>
                </c:pt>
                <c:pt idx="139">
                  <c:v>1.13686736954027</c:v>
                </c:pt>
                <c:pt idx="140">
                  <c:v>1.1360885479360701</c:v>
                </c:pt>
                <c:pt idx="141">
                  <c:v>1.1349615181017301</c:v>
                </c:pt>
                <c:pt idx="142">
                  <c:v>1.13446708217231</c:v>
                </c:pt>
                <c:pt idx="143">
                  <c:v>1.1338795723497299</c:v>
                </c:pt>
                <c:pt idx="144">
                  <c:v>1.13378368436882</c:v>
                </c:pt>
                <c:pt idx="145">
                  <c:v>1.13421363390574</c:v>
                </c:pt>
                <c:pt idx="146">
                  <c:v>1.1351633709545199</c:v>
                </c:pt>
                <c:pt idx="147">
                  <c:v>1.1360250581395099</c:v>
                </c:pt>
                <c:pt idx="148">
                  <c:v>1.13727106314225</c:v>
                </c:pt>
                <c:pt idx="149">
                  <c:v>1.1386463310395201</c:v>
                </c:pt>
                <c:pt idx="150">
                  <c:v>1.1398950227836</c:v>
                </c:pt>
                <c:pt idx="151">
                  <c:v>1.1411802902297199</c:v>
                </c:pt>
                <c:pt idx="152">
                  <c:v>1.1426796060105999</c:v>
                </c:pt>
                <c:pt idx="153">
                  <c:v>1.1447787004432199</c:v>
                </c:pt>
                <c:pt idx="154">
                  <c:v>1.14598582238902</c:v>
                </c:pt>
                <c:pt idx="155">
                  <c:v>1.14661109782382</c:v>
                </c:pt>
                <c:pt idx="156">
                  <c:v>1.14715451107047</c:v>
                </c:pt>
                <c:pt idx="157">
                  <c:v>1.14827973778195</c:v>
                </c:pt>
                <c:pt idx="158">
                  <c:v>1.1479050919340701</c:v>
                </c:pt>
                <c:pt idx="159">
                  <c:v>1.14773954975843</c:v>
                </c:pt>
                <c:pt idx="160">
                  <c:v>1.1479548621452</c:v>
                </c:pt>
                <c:pt idx="161">
                  <c:v>1.1475054694326401</c:v>
                </c:pt>
                <c:pt idx="162">
                  <c:v>1.1461878887918999</c:v>
                </c:pt>
                <c:pt idx="163">
                  <c:v>1.1445539130271001</c:v>
                </c:pt>
                <c:pt idx="164">
                  <c:v>1.14321263758948</c:v>
                </c:pt>
                <c:pt idx="165">
                  <c:v>1.1420434480730099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9-45A4-9D3E-FC348B3E663A}"/>
            </c:ext>
          </c:extLst>
        </c:ser>
        <c:ser>
          <c:idx val="2"/>
          <c:order val="2"/>
          <c:tx>
            <c:strRef>
              <c:f>IYK_XLP_0!$Q$1</c:f>
              <c:strCache>
                <c:ptCount val="1"/>
                <c:pt idx="0">
                  <c:v> XLP/IYK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IYK_XLP_0!$Q$2:$Q$167</c:f>
              <c:numCache>
                <c:formatCode>_(* #,##0.0000_);_(* \(#,##0.0000\);_(* "-"??_);_(@_)</c:formatCode>
                <c:ptCount val="166"/>
                <c:pt idx="19">
                  <c:v>1.1770650605519599</c:v>
                </c:pt>
                <c:pt idx="20">
                  <c:v>1.17758940787805</c:v>
                </c:pt>
                <c:pt idx="21">
                  <c:v>1.17801223049063</c:v>
                </c:pt>
                <c:pt idx="22">
                  <c:v>1.17845557244876</c:v>
                </c:pt>
                <c:pt idx="23">
                  <c:v>1.17807616227114</c:v>
                </c:pt>
                <c:pt idx="24">
                  <c:v>1.1777447160944901</c:v>
                </c:pt>
                <c:pt idx="25">
                  <c:v>1.1773859941686</c:v>
                </c:pt>
                <c:pt idx="26">
                  <c:v>1.17669553033584</c:v>
                </c:pt>
                <c:pt idx="27">
                  <c:v>1.17588381208772</c:v>
                </c:pt>
                <c:pt idx="28">
                  <c:v>1.17545412429597</c:v>
                </c:pt>
                <c:pt idx="29">
                  <c:v>1.1753585004174401</c:v>
                </c:pt>
                <c:pt idx="30">
                  <c:v>1.1748868823223</c:v>
                </c:pt>
                <c:pt idx="31">
                  <c:v>1.17431908932496</c:v>
                </c:pt>
                <c:pt idx="32">
                  <c:v>1.1735529786543299</c:v>
                </c:pt>
                <c:pt idx="33">
                  <c:v>1.1728979369685899</c:v>
                </c:pt>
                <c:pt idx="34">
                  <c:v>1.1721329310744699</c:v>
                </c:pt>
                <c:pt idx="35">
                  <c:v>1.17182213857368</c:v>
                </c:pt>
                <c:pt idx="36">
                  <c:v>1.17124559708104</c:v>
                </c:pt>
                <c:pt idx="37">
                  <c:v>1.17062506125554</c:v>
                </c:pt>
                <c:pt idx="38">
                  <c:v>1.17017737550748</c:v>
                </c:pt>
                <c:pt idx="39">
                  <c:v>1.1695307360995699</c:v>
                </c:pt>
                <c:pt idx="40">
                  <c:v>1.1689134992444301</c:v>
                </c:pt>
                <c:pt idx="41">
                  <c:v>1.1682803633350001</c:v>
                </c:pt>
                <c:pt idx="42">
                  <c:v>1.1673550652023099</c:v>
                </c:pt>
                <c:pt idx="43">
                  <c:v>1.16756472565679</c:v>
                </c:pt>
                <c:pt idx="44">
                  <c:v>1.1673641623429001</c:v>
                </c:pt>
                <c:pt idx="45">
                  <c:v>1.1671972522645599</c:v>
                </c:pt>
                <c:pt idx="46">
                  <c:v>1.16702877949791</c:v>
                </c:pt>
                <c:pt idx="47">
                  <c:v>1.16669985372245</c:v>
                </c:pt>
                <c:pt idx="48">
                  <c:v>1.16610203098512</c:v>
                </c:pt>
                <c:pt idx="49">
                  <c:v>1.1653836046116</c:v>
                </c:pt>
                <c:pt idx="50">
                  <c:v>1.1652219166307201</c:v>
                </c:pt>
                <c:pt idx="51">
                  <c:v>1.1652494208727899</c:v>
                </c:pt>
                <c:pt idx="52">
                  <c:v>1.16543413791322</c:v>
                </c:pt>
                <c:pt idx="53">
                  <c:v>1.1658749342747201</c:v>
                </c:pt>
                <c:pt idx="54">
                  <c:v>1.1662167570331201</c:v>
                </c:pt>
                <c:pt idx="55">
                  <c:v>1.1662459694819001</c:v>
                </c:pt>
                <c:pt idx="56">
                  <c:v>1.16644027036007</c:v>
                </c:pt>
                <c:pt idx="57">
                  <c:v>1.1670625050376899</c:v>
                </c:pt>
                <c:pt idx="58">
                  <c:v>1.16776196071622</c:v>
                </c:pt>
                <c:pt idx="59">
                  <c:v>1.16850463933277</c:v>
                </c:pt>
                <c:pt idx="60">
                  <c:v>1.1688999358243499</c:v>
                </c:pt>
                <c:pt idx="61">
                  <c:v>1.1691988276652701</c:v>
                </c:pt>
                <c:pt idx="62">
                  <c:v>1.1694013002296799</c:v>
                </c:pt>
                <c:pt idx="63">
                  <c:v>1.1696731447577799</c:v>
                </c:pt>
                <c:pt idx="64">
                  <c:v>1.16973511195792</c:v>
                </c:pt>
                <c:pt idx="65">
                  <c:v>1.16986296222848</c:v>
                </c:pt>
                <c:pt idx="66">
                  <c:v>1.1701844304651301</c:v>
                </c:pt>
                <c:pt idx="67">
                  <c:v>1.1702947086339199</c:v>
                </c:pt>
                <c:pt idx="68">
                  <c:v>1.17019561102697</c:v>
                </c:pt>
                <c:pt idx="69">
                  <c:v>1.17013772949686</c:v>
                </c:pt>
                <c:pt idx="70">
                  <c:v>1.1701066877950601</c:v>
                </c:pt>
                <c:pt idx="71">
                  <c:v>1.1699703709226299</c:v>
                </c:pt>
                <c:pt idx="72">
                  <c:v>1.17006888930774</c:v>
                </c:pt>
                <c:pt idx="73">
                  <c:v>1.1703268469572099</c:v>
                </c:pt>
                <c:pt idx="74">
                  <c:v>1.1711436614439299</c:v>
                </c:pt>
                <c:pt idx="75">
                  <c:v>1.1719144821184699</c:v>
                </c:pt>
                <c:pt idx="76">
                  <c:v>1.17258950395874</c:v>
                </c:pt>
                <c:pt idx="77">
                  <c:v>1.1729667635518899</c:v>
                </c:pt>
                <c:pt idx="78">
                  <c:v>1.1730230616380899</c:v>
                </c:pt>
                <c:pt idx="79">
                  <c:v>1.1728711974242201</c:v>
                </c:pt>
                <c:pt idx="80">
                  <c:v>1.17276642271099</c:v>
                </c:pt>
                <c:pt idx="81">
                  <c:v>1.1729573134729201</c:v>
                </c:pt>
                <c:pt idx="82">
                  <c:v>1.1731595614149499</c:v>
                </c:pt>
                <c:pt idx="83">
                  <c:v>1.1730668015136201</c:v>
                </c:pt>
                <c:pt idx="84">
                  <c:v>1.1735058576506201</c:v>
                </c:pt>
                <c:pt idx="85">
                  <c:v>1.1738964322041101</c:v>
                </c:pt>
                <c:pt idx="86">
                  <c:v>1.17434348412803</c:v>
                </c:pt>
                <c:pt idx="87">
                  <c:v>1.17508127657864</c:v>
                </c:pt>
                <c:pt idx="88">
                  <c:v>1.17542006672877</c:v>
                </c:pt>
                <c:pt idx="89">
                  <c:v>1.1756289835528599</c:v>
                </c:pt>
                <c:pt idx="90">
                  <c:v>1.1756819654155899</c:v>
                </c:pt>
                <c:pt idx="91">
                  <c:v>1.1757983835739401</c:v>
                </c:pt>
                <c:pt idx="92">
                  <c:v>1.17569024973988</c:v>
                </c:pt>
                <c:pt idx="93">
                  <c:v>1.17568011738355</c:v>
                </c:pt>
                <c:pt idx="94">
                  <c:v>1.17561062125514</c:v>
                </c:pt>
                <c:pt idx="95">
                  <c:v>1.17548209738308</c:v>
                </c:pt>
                <c:pt idx="96">
                  <c:v>1.17483011474639</c:v>
                </c:pt>
                <c:pt idx="97">
                  <c:v>1.17409655965715</c:v>
                </c:pt>
                <c:pt idx="98">
                  <c:v>1.17367767464155</c:v>
                </c:pt>
                <c:pt idx="99">
                  <c:v>1.17355305135264</c:v>
                </c:pt>
                <c:pt idx="100">
                  <c:v>1.17361149849547</c:v>
                </c:pt>
                <c:pt idx="101">
                  <c:v>1.17317226236704</c:v>
                </c:pt>
                <c:pt idx="102">
                  <c:v>1.17285295113515</c:v>
                </c:pt>
                <c:pt idx="103">
                  <c:v>1.1723798463569901</c:v>
                </c:pt>
                <c:pt idx="104">
                  <c:v>1.1718913470494801</c:v>
                </c:pt>
                <c:pt idx="105">
                  <c:v>1.17132423949487</c:v>
                </c:pt>
                <c:pt idx="106">
                  <c:v>1.17028306313065</c:v>
                </c:pt>
                <c:pt idx="107">
                  <c:v>1.1694640805722401</c:v>
                </c:pt>
                <c:pt idx="108">
                  <c:v>1.16899984494812</c:v>
                </c:pt>
                <c:pt idx="109">
                  <c:v>1.1685065328445201</c:v>
                </c:pt>
                <c:pt idx="110">
                  <c:v>1.16801069106374</c:v>
                </c:pt>
                <c:pt idx="111">
                  <c:v>1.1674763810459601</c:v>
                </c:pt>
                <c:pt idx="112">
                  <c:v>1.16730566931296</c:v>
                </c:pt>
                <c:pt idx="113">
                  <c:v>1.16672469104444</c:v>
                </c:pt>
                <c:pt idx="114">
                  <c:v>1.1655702817117799</c:v>
                </c:pt>
                <c:pt idx="115">
                  <c:v>1.16474504225595</c:v>
                </c:pt>
                <c:pt idx="116">
                  <c:v>1.1641669389047</c:v>
                </c:pt>
                <c:pt idx="117">
                  <c:v>1.16379082457467</c:v>
                </c:pt>
                <c:pt idx="118">
                  <c:v>1.16340265330659</c:v>
                </c:pt>
                <c:pt idx="119">
                  <c:v>1.1627320034680899</c:v>
                </c:pt>
                <c:pt idx="120">
                  <c:v>1.1617547594317601</c:v>
                </c:pt>
                <c:pt idx="121">
                  <c:v>1.16083669929596</c:v>
                </c:pt>
                <c:pt idx="122">
                  <c:v>1.1595825962047399</c:v>
                </c:pt>
                <c:pt idx="123">
                  <c:v>1.15814475600977</c:v>
                </c:pt>
                <c:pt idx="124">
                  <c:v>1.15658809665135</c:v>
                </c:pt>
                <c:pt idx="125">
                  <c:v>1.1549136594271701</c:v>
                </c:pt>
                <c:pt idx="126">
                  <c:v>1.1534086641374599</c:v>
                </c:pt>
                <c:pt idx="127">
                  <c:v>1.1519867006300699</c:v>
                </c:pt>
                <c:pt idx="128">
                  <c:v>1.1508561469731999</c:v>
                </c:pt>
                <c:pt idx="129">
                  <c:v>1.14988842195011</c:v>
                </c:pt>
                <c:pt idx="130">
                  <c:v>1.1487955564732399</c:v>
                </c:pt>
                <c:pt idx="131">
                  <c:v>1.1477815152962501</c:v>
                </c:pt>
                <c:pt idx="132">
                  <c:v>1.1464468277716799</c:v>
                </c:pt>
                <c:pt idx="133">
                  <c:v>1.14511192556859</c:v>
                </c:pt>
                <c:pt idx="134">
                  <c:v>1.1440176737207099</c:v>
                </c:pt>
                <c:pt idx="135">
                  <c:v>1.1427912130151701</c:v>
                </c:pt>
                <c:pt idx="136">
                  <c:v>1.1417190705929801</c:v>
                </c:pt>
                <c:pt idx="137">
                  <c:v>1.1405634378432099</c:v>
                </c:pt>
                <c:pt idx="138">
                  <c:v>1.1391079783226301</c:v>
                </c:pt>
                <c:pt idx="139">
                  <c:v>1.13801421105614</c:v>
                </c:pt>
                <c:pt idx="140">
                  <c:v>1.1371330302672</c:v>
                </c:pt>
                <c:pt idx="141">
                  <c:v>1.1362572010270999</c:v>
                </c:pt>
                <c:pt idx="142">
                  <c:v>1.1359316958847501</c:v>
                </c:pt>
                <c:pt idx="143">
                  <c:v>1.1358255169300799</c:v>
                </c:pt>
                <c:pt idx="144">
                  <c:v>1.1359340869419901</c:v>
                </c:pt>
                <c:pt idx="145">
                  <c:v>1.13640035350114</c:v>
                </c:pt>
                <c:pt idx="146">
                  <c:v>1.13708307230398</c:v>
                </c:pt>
                <c:pt idx="147">
                  <c:v>1.1373852375768101</c:v>
                </c:pt>
                <c:pt idx="148">
                  <c:v>1.1375982862034999</c:v>
                </c:pt>
                <c:pt idx="149">
                  <c:v>1.13775685028989</c:v>
                </c:pt>
                <c:pt idx="150">
                  <c:v>1.13799178535984</c:v>
                </c:pt>
                <c:pt idx="151">
                  <c:v>1.13807090416572</c:v>
                </c:pt>
                <c:pt idx="152">
                  <c:v>1.1385733440914501</c:v>
                </c:pt>
                <c:pt idx="153">
                  <c:v>1.1393291363964699</c:v>
                </c:pt>
                <c:pt idx="154">
                  <c:v>1.13988475337892</c:v>
                </c:pt>
                <c:pt idx="155">
                  <c:v>1.14041236586478</c:v>
                </c:pt>
                <c:pt idx="156">
                  <c:v>1.14115894101249</c:v>
                </c:pt>
                <c:pt idx="157">
                  <c:v>1.14215239796073</c:v>
                </c:pt>
                <c:pt idx="158">
                  <c:v>1.1425880775381601</c:v>
                </c:pt>
                <c:pt idx="159">
                  <c:v>1.14319294039898</c:v>
                </c:pt>
                <c:pt idx="160">
                  <c:v>1.1439249424644</c:v>
                </c:pt>
                <c:pt idx="161">
                  <c:v>1.1443428798311801</c:v>
                </c:pt>
                <c:pt idx="162">
                  <c:v>1.14443374740125</c:v>
                </c:pt>
                <c:pt idx="163">
                  <c:v>1.1446663067351599</c:v>
                </c:pt>
                <c:pt idx="164">
                  <c:v>1.14459922998925</c:v>
                </c:pt>
                <c:pt idx="165">
                  <c:v>1.14432727294842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59-45A4-9D3E-FC348B3E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IYK_XLP_0!$AE$1</c:f>
              <c:strCache>
                <c:ptCount val="1"/>
                <c:pt idx="0">
                  <c:v>log diff IYK* x avg / XLP*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IYK_XLP_0!$AE$2:$AE$167</c:f>
              <c:numCache>
                <c:formatCode>0.00%</c:formatCode>
                <c:ptCount val="166"/>
                <c:pt idx="1">
                  <c:v>-5.83312548625979E-3</c:v>
                </c:pt>
                <c:pt idx="2">
                  <c:v>-1.1928086878213499E-2</c:v>
                </c:pt>
                <c:pt idx="3">
                  <c:v>-1.05072526471189E-2</c:v>
                </c:pt>
                <c:pt idx="4">
                  <c:v>-1.3047884085678E-2</c:v>
                </c:pt>
                <c:pt idx="5">
                  <c:v>-1.45027644109066E-2</c:v>
                </c:pt>
                <c:pt idx="6">
                  <c:v>-1.7870656053182499E-2</c:v>
                </c:pt>
                <c:pt idx="7">
                  <c:v>-2.02944730537187E-2</c:v>
                </c:pt>
                <c:pt idx="8">
                  <c:v>-1.9346033253967301E-2</c:v>
                </c:pt>
                <c:pt idx="9">
                  <c:v>-1.7307191909963202E-2</c:v>
                </c:pt>
                <c:pt idx="10">
                  <c:v>-1.8750697948918999E-2</c:v>
                </c:pt>
                <c:pt idx="11">
                  <c:v>-1.8047602485450599E-2</c:v>
                </c:pt>
                <c:pt idx="12">
                  <c:v>-1.8156654979064001E-2</c:v>
                </c:pt>
                <c:pt idx="13">
                  <c:v>-1.3368208832112601E-2</c:v>
                </c:pt>
                <c:pt idx="14">
                  <c:v>-1.3131018146751E-2</c:v>
                </c:pt>
                <c:pt idx="15">
                  <c:v>-9.2916738046711408E-3</c:v>
                </c:pt>
                <c:pt idx="16">
                  <c:v>-1.0758587255115399E-2</c:v>
                </c:pt>
                <c:pt idx="17">
                  <c:v>-7.1264373314932402E-3</c:v>
                </c:pt>
                <c:pt idx="18">
                  <c:v>-5.1001581181022099E-3</c:v>
                </c:pt>
                <c:pt idx="19">
                  <c:v>-5.2572031158712798E-3</c:v>
                </c:pt>
                <c:pt idx="20">
                  <c:v>-1.09047964313462E-2</c:v>
                </c:pt>
                <c:pt idx="21">
                  <c:v>-1.3040174056551701E-2</c:v>
                </c:pt>
                <c:pt idx="22">
                  <c:v>-1.94378330816001E-2</c:v>
                </c:pt>
                <c:pt idx="23">
                  <c:v>-4.02612160203779E-3</c:v>
                </c:pt>
                <c:pt idx="24">
                  <c:v>-7.4028041651956903E-3</c:v>
                </c:pt>
                <c:pt idx="25">
                  <c:v>-8.40062240834831E-3</c:v>
                </c:pt>
                <c:pt idx="26">
                  <c:v>-6.1318254152629599E-3</c:v>
                </c:pt>
                <c:pt idx="27">
                  <c:v>-6.5135261929096496E-3</c:v>
                </c:pt>
                <c:pt idx="28">
                  <c:v>-1.20677473954685E-2</c:v>
                </c:pt>
                <c:pt idx="29">
                  <c:v>-1.5688739997255601E-2</c:v>
                </c:pt>
                <c:pt idx="30">
                  <c:v>-1.07545506104554E-2</c:v>
                </c:pt>
                <c:pt idx="31">
                  <c:v>-8.4061501429612794E-3</c:v>
                </c:pt>
                <c:pt idx="32">
                  <c:v>-5.1270600851455201E-3</c:v>
                </c:pt>
                <c:pt idx="33">
                  <c:v>-2.1844465453166599E-3</c:v>
                </c:pt>
                <c:pt idx="34">
                  <c:v>-5.4353441740444902E-5</c:v>
                </c:pt>
                <c:pt idx="35">
                  <c:v>-3.9793232188595502E-3</c:v>
                </c:pt>
                <c:pt idx="36">
                  <c:v>-8.9587090970024504E-4</c:v>
                </c:pt>
                <c:pt idx="37">
                  <c:v>3.53173388479975E-3</c:v>
                </c:pt>
                <c:pt idx="38">
                  <c:v>2.5933838491948502E-3</c:v>
                </c:pt>
                <c:pt idx="39">
                  <c:v>5.8727171246910704E-3</c:v>
                </c:pt>
                <c:pt idx="40">
                  <c:v>-3.4378038452423902E-4</c:v>
                </c:pt>
                <c:pt idx="41">
                  <c:v>-2.22888033903966E-3</c:v>
                </c:pt>
                <c:pt idx="42">
                  <c:v>-3.6997654821253E-3</c:v>
                </c:pt>
                <c:pt idx="43">
                  <c:v>-7.61275846504507E-3</c:v>
                </c:pt>
                <c:pt idx="44">
                  <c:v>-3.9713366742510402E-3</c:v>
                </c:pt>
                <c:pt idx="45">
                  <c:v>-5.5486071448168804E-3</c:v>
                </c:pt>
                <c:pt idx="46">
                  <c:v>-3.2465216437873902E-3</c:v>
                </c:pt>
                <c:pt idx="47">
                  <c:v>-8.7466407759658805E-4</c:v>
                </c:pt>
                <c:pt idx="48">
                  <c:v>-1.85256202203867E-3</c:v>
                </c:pt>
                <c:pt idx="49">
                  <c:v>-3.4447422888684901E-3</c:v>
                </c:pt>
                <c:pt idx="50">
                  <c:v>-7.9983938284235306E-3</c:v>
                </c:pt>
                <c:pt idx="51">
                  <c:v>-8.8753366550726707E-3</c:v>
                </c:pt>
                <c:pt idx="52">
                  <c:v>-8.28419421233011E-3</c:v>
                </c:pt>
                <c:pt idx="53">
                  <c:v>-9.7240679668255704E-3</c:v>
                </c:pt>
                <c:pt idx="54">
                  <c:v>-5.9184598281903098E-3</c:v>
                </c:pt>
                <c:pt idx="55">
                  <c:v>-4.4798525600845398E-3</c:v>
                </c:pt>
                <c:pt idx="56">
                  <c:v>-4.2305944310428202E-3</c:v>
                </c:pt>
                <c:pt idx="57">
                  <c:v>-7.1554610310285097E-3</c:v>
                </c:pt>
                <c:pt idx="58">
                  <c:v>-9.4009963526386301E-3</c:v>
                </c:pt>
                <c:pt idx="59">
                  <c:v>-6.8997098253081503E-3</c:v>
                </c:pt>
                <c:pt idx="60">
                  <c:v>-7.1201925913857997E-3</c:v>
                </c:pt>
                <c:pt idx="61">
                  <c:v>-7.3472614673372799E-3</c:v>
                </c:pt>
                <c:pt idx="62">
                  <c:v>-7.1647813532272299E-3</c:v>
                </c:pt>
                <c:pt idx="63">
                  <c:v>-1.22441000523516E-2</c:v>
                </c:pt>
                <c:pt idx="64">
                  <c:v>-5.0328002561191697E-3</c:v>
                </c:pt>
                <c:pt idx="65">
                  <c:v>-7.7339308004440704E-3</c:v>
                </c:pt>
                <c:pt idx="66">
                  <c:v>-8.7448679792849794E-3</c:v>
                </c:pt>
                <c:pt idx="67">
                  <c:v>-2.7687374330150902E-3</c:v>
                </c:pt>
                <c:pt idx="68">
                  <c:v>-1.49121701173423E-4</c:v>
                </c:pt>
                <c:pt idx="69">
                  <c:v>-2.45172215789105E-3</c:v>
                </c:pt>
                <c:pt idx="70">
                  <c:v>-7.4683821755849797E-3</c:v>
                </c:pt>
                <c:pt idx="71">
                  <c:v>-6.5477873212866702E-3</c:v>
                </c:pt>
                <c:pt idx="72">
                  <c:v>-9.9639771345133802E-3</c:v>
                </c:pt>
                <c:pt idx="73">
                  <c:v>-1.4110092021081599E-2</c:v>
                </c:pt>
                <c:pt idx="74">
                  <c:v>-1.9793528110607399E-2</c:v>
                </c:pt>
                <c:pt idx="75">
                  <c:v>-1.7597461551825799E-2</c:v>
                </c:pt>
                <c:pt idx="76">
                  <c:v>-1.5730108489093401E-2</c:v>
                </c:pt>
                <c:pt idx="77">
                  <c:v>-1.3579902644919799E-2</c:v>
                </c:pt>
                <c:pt idx="78">
                  <c:v>-1.03601783055031E-2</c:v>
                </c:pt>
                <c:pt idx="79">
                  <c:v>-4.3012168793524104E-3</c:v>
                </c:pt>
                <c:pt idx="80">
                  <c:v>-5.3285487488755499E-3</c:v>
                </c:pt>
                <c:pt idx="81">
                  <c:v>-1.06025196752244E-2</c:v>
                </c:pt>
                <c:pt idx="82">
                  <c:v>-1.0614008131924301E-2</c:v>
                </c:pt>
                <c:pt idx="83">
                  <c:v>-1.06661843562234E-2</c:v>
                </c:pt>
                <c:pt idx="84">
                  <c:v>-1.2521486593288901E-2</c:v>
                </c:pt>
                <c:pt idx="85">
                  <c:v>-1.4380530440096901E-2</c:v>
                </c:pt>
                <c:pt idx="86">
                  <c:v>-1.6341271152217299E-2</c:v>
                </c:pt>
                <c:pt idx="87">
                  <c:v>-1.53491695301057E-2</c:v>
                </c:pt>
                <c:pt idx="88">
                  <c:v>-5.96080418489244E-3</c:v>
                </c:pt>
                <c:pt idx="89">
                  <c:v>-6.0312816996502799E-3</c:v>
                </c:pt>
                <c:pt idx="90">
                  <c:v>-8.3728347517438607E-3</c:v>
                </c:pt>
                <c:pt idx="91">
                  <c:v>-8.5359125564998493E-3</c:v>
                </c:pt>
                <c:pt idx="92">
                  <c:v>-8.1200952298544401E-3</c:v>
                </c:pt>
                <c:pt idx="93">
                  <c:v>-1.3938175221127501E-2</c:v>
                </c:pt>
                <c:pt idx="94">
                  <c:v>-1.8620475313010199E-2</c:v>
                </c:pt>
                <c:pt idx="95">
                  <c:v>-1.54221971327188E-2</c:v>
                </c:pt>
                <c:pt idx="96">
                  <c:v>-4.6252724147691701E-3</c:v>
                </c:pt>
                <c:pt idx="97">
                  <c:v>-1.0498890287751199E-3</c:v>
                </c:pt>
                <c:pt idx="98">
                  <c:v>-3.2012578391229299E-3</c:v>
                </c:pt>
                <c:pt idx="99">
                  <c:v>-2.1637778348078001E-3</c:v>
                </c:pt>
                <c:pt idx="100">
                  <c:v>-6.3283886493866199E-3</c:v>
                </c:pt>
                <c:pt idx="101">
                  <c:v>-3.09630741532143E-3</c:v>
                </c:pt>
                <c:pt idx="102">
                  <c:v>-5.1628821681218998E-3</c:v>
                </c:pt>
                <c:pt idx="103">
                  <c:v>-2.5793529816248301E-3</c:v>
                </c:pt>
                <c:pt idx="104">
                  <c:v>-4.1859571828831302E-3</c:v>
                </c:pt>
                <c:pt idx="105">
                  <c:v>-4.7152241729453599E-3</c:v>
                </c:pt>
                <c:pt idx="106">
                  <c:v>1.4407631206426201E-3</c:v>
                </c:pt>
                <c:pt idx="107">
                  <c:v>-1.37461205062473E-3</c:v>
                </c:pt>
                <c:pt idx="108">
                  <c:v>2.0113956991061701E-3</c:v>
                </c:pt>
                <c:pt idx="109">
                  <c:v>2.4417627807963799E-3</c:v>
                </c:pt>
                <c:pt idx="110">
                  <c:v>1.2384078932402699E-4</c:v>
                </c:pt>
                <c:pt idx="111">
                  <c:v>6.2147658503990599E-4</c:v>
                </c:pt>
                <c:pt idx="112">
                  <c:v>-5.2022061109027098E-3</c:v>
                </c:pt>
                <c:pt idx="113">
                  <c:v>-4.03089043295896E-3</c:v>
                </c:pt>
                <c:pt idx="114">
                  <c:v>1.06926943711598E-3</c:v>
                </c:pt>
                <c:pt idx="115">
                  <c:v>-1.3411566049115399E-3</c:v>
                </c:pt>
                <c:pt idx="116">
                  <c:v>5.3254406485662197E-3</c:v>
                </c:pt>
                <c:pt idx="117">
                  <c:v>5.4360075770754201E-3</c:v>
                </c:pt>
                <c:pt idx="118">
                  <c:v>3.47881685187219E-3</c:v>
                </c:pt>
                <c:pt idx="119">
                  <c:v>9.4177819265471498E-3</c:v>
                </c:pt>
                <c:pt idx="120">
                  <c:v>1.0521885282559099E-2</c:v>
                </c:pt>
                <c:pt idx="121">
                  <c:v>1.27769906872756E-2</c:v>
                </c:pt>
                <c:pt idx="122">
                  <c:v>1.6538801759454901E-2</c:v>
                </c:pt>
                <c:pt idx="123">
                  <c:v>2.2407025582341301E-2</c:v>
                </c:pt>
                <c:pt idx="124">
                  <c:v>2.2849364191158E-2</c:v>
                </c:pt>
                <c:pt idx="125">
                  <c:v>2.43800315610633E-2</c:v>
                </c:pt>
                <c:pt idx="126">
                  <c:v>2.7716354750075198E-2</c:v>
                </c:pt>
                <c:pt idx="127">
                  <c:v>2.3362584153087101E-2</c:v>
                </c:pt>
                <c:pt idx="128">
                  <c:v>2.16961804563497E-2</c:v>
                </c:pt>
                <c:pt idx="129">
                  <c:v>1.9274742151409899E-2</c:v>
                </c:pt>
                <c:pt idx="130">
                  <c:v>1.9109916562901001E-2</c:v>
                </c:pt>
                <c:pt idx="131">
                  <c:v>1.82348705408805E-2</c:v>
                </c:pt>
                <c:pt idx="132">
                  <c:v>1.79092712599585E-2</c:v>
                </c:pt>
                <c:pt idx="133">
                  <c:v>1.91117546273347E-2</c:v>
                </c:pt>
                <c:pt idx="134">
                  <c:v>2.0097814311597999E-2</c:v>
                </c:pt>
                <c:pt idx="135">
                  <c:v>1.99591940120122E-2</c:v>
                </c:pt>
                <c:pt idx="136">
                  <c:v>2.4046161578332701E-2</c:v>
                </c:pt>
                <c:pt idx="137">
                  <c:v>2.5631627089998402E-2</c:v>
                </c:pt>
                <c:pt idx="138">
                  <c:v>2.89309726839488E-2</c:v>
                </c:pt>
                <c:pt idx="139">
                  <c:v>2.8598812223468901E-2</c:v>
                </c:pt>
                <c:pt idx="140">
                  <c:v>2.5963111679259999E-2</c:v>
                </c:pt>
                <c:pt idx="141">
                  <c:v>2.8158632183098001E-2</c:v>
                </c:pt>
                <c:pt idx="142">
                  <c:v>2.2249358805389099E-2</c:v>
                </c:pt>
                <c:pt idx="143">
                  <c:v>2.4277165903347799E-2</c:v>
                </c:pt>
                <c:pt idx="144">
                  <c:v>2.0939875896095701E-2</c:v>
                </c:pt>
                <c:pt idx="145">
                  <c:v>1.6192711216535201E-2</c:v>
                </c:pt>
                <c:pt idx="146">
                  <c:v>1.5711196278587101E-2</c:v>
                </c:pt>
                <c:pt idx="147">
                  <c:v>1.80545205396817E-2</c:v>
                </c:pt>
                <c:pt idx="148">
                  <c:v>1.7956904539256999E-2</c:v>
                </c:pt>
                <c:pt idx="149">
                  <c:v>1.6497134354063098E-2</c:v>
                </c:pt>
                <c:pt idx="150">
                  <c:v>1.49979229008728E-2</c:v>
                </c:pt>
                <c:pt idx="151">
                  <c:v>1.6849402185912798E-2</c:v>
                </c:pt>
                <c:pt idx="152">
                  <c:v>9.1462020259892706E-3</c:v>
                </c:pt>
                <c:pt idx="153">
                  <c:v>5.9431909356909597E-3</c:v>
                </c:pt>
                <c:pt idx="154">
                  <c:v>1.0390641553404901E-2</c:v>
                </c:pt>
                <c:pt idx="155">
                  <c:v>1.07403109155921E-2</c:v>
                </c:pt>
                <c:pt idx="156">
                  <c:v>1.0973221602758499E-2</c:v>
                </c:pt>
                <c:pt idx="157">
                  <c:v>8.2456776055515203E-3</c:v>
                </c:pt>
                <c:pt idx="158">
                  <c:v>2.1243918521995701E-2</c:v>
                </c:pt>
                <c:pt idx="159">
                  <c:v>1.7946094183525801E-2</c:v>
                </c:pt>
                <c:pt idx="160">
                  <c:v>1.31192853529507E-2</c:v>
                </c:pt>
                <c:pt idx="161">
                  <c:v>2.0789140018852299E-2</c:v>
                </c:pt>
                <c:pt idx="162">
                  <c:v>2.0651923672173899E-2</c:v>
                </c:pt>
                <c:pt idx="163">
                  <c:v>2.0185624854318299E-2</c:v>
                </c:pt>
                <c:pt idx="164">
                  <c:v>2.21191658010438E-2</c:v>
                </c:pt>
                <c:pt idx="165">
                  <c:v>2.09599396171514E-2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A-4C0E-9D18-7D786863BF9C}"/>
            </c:ext>
          </c:extLst>
        </c:ser>
        <c:ser>
          <c:idx val="1"/>
          <c:order val="1"/>
          <c:tx>
            <c:strRef>
              <c:f>IYK_XLP_0!$AF$1</c:f>
              <c:strCache>
                <c:ptCount val="1"/>
                <c:pt idx="0">
                  <c:v>log diff IYK* x 10 dma / XLP*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IYK_XLP_0!$AF$2:$AF$167</c:f>
              <c:numCache>
                <c:formatCode>0.00%</c:formatCode>
                <c:ptCount val="166"/>
                <c:pt idx="10">
                  <c:v>-5.4770222279580099E-3</c:v>
                </c:pt>
                <c:pt idx="11">
                  <c:v>-3.0991837443434902E-3</c:v>
                </c:pt>
                <c:pt idx="12">
                  <c:v>-1.9911905295268099E-3</c:v>
                </c:pt>
                <c:pt idx="13">
                  <c:v>3.4192208389510199E-3</c:v>
                </c:pt>
                <c:pt idx="14">
                  <c:v>3.94108259863255E-3</c:v>
                </c:pt>
                <c:pt idx="15">
                  <c:v>7.7887072690006297E-3</c:v>
                </c:pt>
                <c:pt idx="16">
                  <c:v>5.8032437524079602E-3</c:v>
                </c:pt>
                <c:pt idx="17">
                  <c:v>8.7255298432672608E-3</c:v>
                </c:pt>
                <c:pt idx="18">
                  <c:v>9.4369488744139203E-3</c:v>
                </c:pt>
                <c:pt idx="19">
                  <c:v>7.8575860303301704E-3</c:v>
                </c:pt>
                <c:pt idx="20">
                  <c:v>1.0064688627224401E-3</c:v>
                </c:pt>
                <c:pt idx="21">
                  <c:v>-1.91610227108868E-3</c:v>
                </c:pt>
                <c:pt idx="22">
                  <c:v>-8.8168492816796899E-3</c:v>
                </c:pt>
                <c:pt idx="23">
                  <c:v>6.7240234939597004E-3</c:v>
                </c:pt>
                <c:pt idx="24">
                  <c:v>2.41460990353079E-3</c:v>
                </c:pt>
                <c:pt idx="25">
                  <c:v>8.4354766634273798E-4</c:v>
                </c:pt>
                <c:pt idx="26">
                  <c:v>3.0232710086556302E-3</c:v>
                </c:pt>
                <c:pt idx="27">
                  <c:v>2.1791150513987599E-3</c:v>
                </c:pt>
                <c:pt idx="28">
                  <c:v>-3.4362844673479901E-3</c:v>
                </c:pt>
                <c:pt idx="29">
                  <c:v>-6.3607924361491104E-3</c:v>
                </c:pt>
                <c:pt idx="30">
                  <c:v>-3.8279446376625499E-4</c:v>
                </c:pt>
                <c:pt idx="31">
                  <c:v>1.9505744270584299E-3</c:v>
                </c:pt>
                <c:pt idx="32">
                  <c:v>4.7659843565693201E-3</c:v>
                </c:pt>
                <c:pt idx="33">
                  <c:v>6.2730549492539603E-3</c:v>
                </c:pt>
                <c:pt idx="34">
                  <c:v>8.2199468123265208E-3</c:v>
                </c:pt>
                <c:pt idx="35">
                  <c:v>3.5631954503558198E-3</c:v>
                </c:pt>
                <c:pt idx="36">
                  <c:v>6.2050175734433798E-3</c:v>
                </c:pt>
                <c:pt idx="37">
                  <c:v>1.0110764971039901E-2</c:v>
                </c:pt>
                <c:pt idx="38">
                  <c:v>8.1724831431426899E-3</c:v>
                </c:pt>
                <c:pt idx="39">
                  <c:v>9.9858499973587093E-3</c:v>
                </c:pt>
                <c:pt idx="40">
                  <c:v>1.6091187955782501E-3</c:v>
                </c:pt>
                <c:pt idx="41">
                  <c:v>-1.3213598484364099E-3</c:v>
                </c:pt>
                <c:pt idx="42">
                  <c:v>-3.4128957105980899E-3</c:v>
                </c:pt>
                <c:pt idx="43">
                  <c:v>-7.4692186333850203E-3</c:v>
                </c:pt>
                <c:pt idx="44">
                  <c:v>-3.2825263250067702E-3</c:v>
                </c:pt>
                <c:pt idx="45">
                  <c:v>-4.4676561531134503E-3</c:v>
                </c:pt>
                <c:pt idx="46">
                  <c:v>-2.0080756111815899E-3</c:v>
                </c:pt>
                <c:pt idx="47">
                  <c:v>5.9901524508804095E-4</c:v>
                </c:pt>
                <c:pt idx="48">
                  <c:v>6.04279026578344E-5</c:v>
                </c:pt>
                <c:pt idx="49">
                  <c:v>-1.08826979414319E-3</c:v>
                </c:pt>
                <c:pt idx="50">
                  <c:v>-4.71392358664827E-3</c:v>
                </c:pt>
                <c:pt idx="51">
                  <c:v>-4.8250175636894198E-3</c:v>
                </c:pt>
                <c:pt idx="52">
                  <c:v>-3.5684508003541102E-3</c:v>
                </c:pt>
                <c:pt idx="53">
                  <c:v>-4.5494011463045898E-3</c:v>
                </c:pt>
                <c:pt idx="54">
                  <c:v>-5.3194553134277005E-4</c:v>
                </c:pt>
                <c:pt idx="55">
                  <c:v>1.1012691765473401E-3</c:v>
                </c:pt>
                <c:pt idx="56">
                  <c:v>1.2437067065750099E-3</c:v>
                </c:pt>
                <c:pt idx="57">
                  <c:v>-1.58292809722187E-3</c:v>
                </c:pt>
                <c:pt idx="58">
                  <c:v>-3.2015566939674598E-3</c:v>
                </c:pt>
                <c:pt idx="59">
                  <c:v>5.3858485732772897E-5</c:v>
                </c:pt>
                <c:pt idx="60">
                  <c:v>1.7819828656696099E-4</c:v>
                </c:pt>
                <c:pt idx="61">
                  <c:v>-1.3671748980103899E-4</c:v>
                </c:pt>
                <c:pt idx="62">
                  <c:v>-1.07194310819641E-4</c:v>
                </c:pt>
                <c:pt idx="63">
                  <c:v>-5.2985352545857302E-3</c:v>
                </c:pt>
                <c:pt idx="64">
                  <c:v>2.1657555898259399E-3</c:v>
                </c:pt>
                <c:pt idx="65">
                  <c:v>-6.2379236210394803E-4</c:v>
                </c:pt>
                <c:pt idx="66">
                  <c:v>-1.30970070171344E-3</c:v>
                </c:pt>
                <c:pt idx="67">
                  <c:v>5.11732841627282E-3</c:v>
                </c:pt>
                <c:pt idx="68">
                  <c:v>7.2994565437917497E-3</c:v>
                </c:pt>
                <c:pt idx="69">
                  <c:v>4.0737095652739804E-3</c:v>
                </c:pt>
                <c:pt idx="70">
                  <c:v>-1.38702618137298E-3</c:v>
                </c:pt>
                <c:pt idx="71">
                  <c:v>-4.31570717486191E-4</c:v>
                </c:pt>
                <c:pt idx="72">
                  <c:v>-3.92777763727278E-3</c:v>
                </c:pt>
                <c:pt idx="73">
                  <c:v>-7.7933036404936196E-3</c:v>
                </c:pt>
                <c:pt idx="74">
                  <c:v>-1.3288873624837201E-2</c:v>
                </c:pt>
                <c:pt idx="75">
                  <c:v>-9.6090748697523608E-3</c:v>
                </c:pt>
                <c:pt idx="76">
                  <c:v>-6.7512311278461303E-3</c:v>
                </c:pt>
                <c:pt idx="77">
                  <c:v>-3.9004653265970698E-3</c:v>
                </c:pt>
                <c:pt idx="78">
                  <c:v>3.9817257138351501E-4</c:v>
                </c:pt>
                <c:pt idx="79">
                  <c:v>7.4721243692401499E-3</c:v>
                </c:pt>
                <c:pt idx="80">
                  <c:v>6.6281786866807602E-3</c:v>
                </c:pt>
                <c:pt idx="81">
                  <c:v>1.1413878086643601E-3</c:v>
                </c:pt>
                <c:pt idx="82">
                  <c:v>1.5340083897854499E-3</c:v>
                </c:pt>
                <c:pt idx="83">
                  <c:v>1.5467124315395699E-3</c:v>
                </c:pt>
                <c:pt idx="84">
                  <c:v>-6.5310043601687505E-4</c:v>
                </c:pt>
                <c:pt idx="85">
                  <c:v>-3.2427426311275901E-3</c:v>
                </c:pt>
                <c:pt idx="86">
                  <c:v>-5.5267932446030101E-3</c:v>
                </c:pt>
                <c:pt idx="87">
                  <c:v>-4.4732573068729199E-3</c:v>
                </c:pt>
                <c:pt idx="88">
                  <c:v>5.0926550515658104E-3</c:v>
                </c:pt>
                <c:pt idx="89">
                  <c:v>4.5834144141764597E-3</c:v>
                </c:pt>
                <c:pt idx="90">
                  <c:v>2.4139130104610302E-3</c:v>
                </c:pt>
                <c:pt idx="91">
                  <c:v>2.55402206437776E-3</c:v>
                </c:pt>
                <c:pt idx="92">
                  <c:v>2.76347138394822E-3</c:v>
                </c:pt>
                <c:pt idx="93">
                  <c:v>-3.3036530520740202E-3</c:v>
                </c:pt>
                <c:pt idx="94">
                  <c:v>-7.6582614967521997E-3</c:v>
                </c:pt>
                <c:pt idx="95">
                  <c:v>-3.8474537601847101E-3</c:v>
                </c:pt>
                <c:pt idx="96">
                  <c:v>7.0539792705517999E-3</c:v>
                </c:pt>
                <c:pt idx="97">
                  <c:v>9.45847123643365E-3</c:v>
                </c:pt>
                <c:pt idx="98">
                  <c:v>5.8794412521147596E-3</c:v>
                </c:pt>
                <c:pt idx="99">
                  <c:v>6.6421677082046399E-3</c:v>
                </c:pt>
                <c:pt idx="100">
                  <c:v>2.09254886252923E-3</c:v>
                </c:pt>
                <c:pt idx="101">
                  <c:v>5.1203832991137E-3</c:v>
                </c:pt>
                <c:pt idx="102">
                  <c:v>2.5110043266182202E-3</c:v>
                </c:pt>
                <c:pt idx="103">
                  <c:v>4.7990735997989796E-3</c:v>
                </c:pt>
                <c:pt idx="104">
                  <c:v>2.05493391450143E-3</c:v>
                </c:pt>
                <c:pt idx="105">
                  <c:v>7.3678054979500006E-5</c:v>
                </c:pt>
                <c:pt idx="106">
                  <c:v>5.1527151819850802E-3</c:v>
                </c:pt>
                <c:pt idx="107">
                  <c:v>1.73183670314344E-3</c:v>
                </c:pt>
                <c:pt idx="108">
                  <c:v>5.1502547792230602E-3</c:v>
                </c:pt>
                <c:pt idx="109">
                  <c:v>5.0605450782086102E-3</c:v>
                </c:pt>
                <c:pt idx="110">
                  <c:v>2.2832314697399602E-3</c:v>
                </c:pt>
                <c:pt idx="111">
                  <c:v>2.1348259047066498E-3</c:v>
                </c:pt>
                <c:pt idx="112">
                  <c:v>-4.0606019218714998E-3</c:v>
                </c:pt>
                <c:pt idx="113">
                  <c:v>-2.88533793472537E-3</c:v>
                </c:pt>
                <c:pt idx="114">
                  <c:v>2.36027892215528E-3</c:v>
                </c:pt>
                <c:pt idx="115">
                  <c:v>-5.7594910546542098E-4</c:v>
                </c:pt>
                <c:pt idx="116">
                  <c:v>5.7524196276655896E-3</c:v>
                </c:pt>
                <c:pt idx="117">
                  <c:v>5.4759209373086296E-3</c:v>
                </c:pt>
                <c:pt idx="118">
                  <c:v>2.8388446214180898E-3</c:v>
                </c:pt>
                <c:pt idx="119">
                  <c:v>8.6313654321406603E-3</c:v>
                </c:pt>
                <c:pt idx="120">
                  <c:v>9.0412033232760997E-3</c:v>
                </c:pt>
                <c:pt idx="121">
                  <c:v>1.0259950230152101E-2</c:v>
                </c:pt>
                <c:pt idx="122">
                  <c:v>1.28105422652177E-2</c:v>
                </c:pt>
                <c:pt idx="123">
                  <c:v>1.65064786068519E-2</c:v>
                </c:pt>
                <c:pt idx="124">
                  <c:v>1.43101478900647E-2</c:v>
                </c:pt>
                <c:pt idx="125">
                  <c:v>1.36678399677775E-2</c:v>
                </c:pt>
                <c:pt idx="126">
                  <c:v>1.4430740575470899E-2</c:v>
                </c:pt>
                <c:pt idx="127">
                  <c:v>7.8425699213553694E-3</c:v>
                </c:pt>
                <c:pt idx="128">
                  <c:v>4.3798619566569E-3</c:v>
                </c:pt>
                <c:pt idx="129">
                  <c:v>1.2634969389695001E-4</c:v>
                </c:pt>
                <c:pt idx="130">
                  <c:v>-1.02941156570816E-3</c:v>
                </c:pt>
                <c:pt idx="131">
                  <c:v>-2.7682202709553802E-3</c:v>
                </c:pt>
                <c:pt idx="132">
                  <c:v>-3.6427674083460699E-3</c:v>
                </c:pt>
                <c:pt idx="133">
                  <c:v>-2.5779349001406999E-3</c:v>
                </c:pt>
                <c:pt idx="134">
                  <c:v>-1.26209565289491E-3</c:v>
                </c:pt>
                <c:pt idx="135">
                  <c:v>-1.1256299949905901E-3</c:v>
                </c:pt>
                <c:pt idx="136">
                  <c:v>3.4028448996622799E-3</c:v>
                </c:pt>
                <c:pt idx="137">
                  <c:v>5.35334590014961E-3</c:v>
                </c:pt>
                <c:pt idx="138">
                  <c:v>8.4267168745350094E-3</c:v>
                </c:pt>
                <c:pt idx="139">
                  <c:v>7.3742873796978402E-3</c:v>
                </c:pt>
                <c:pt idx="140">
                  <c:v>3.80826934534996E-3</c:v>
                </c:pt>
                <c:pt idx="141">
                  <c:v>5.3184957537856896E-3</c:v>
                </c:pt>
                <c:pt idx="142">
                  <c:v>-1.5832964095837E-3</c:v>
                </c:pt>
                <c:pt idx="143">
                  <c:v>8.7746293613626003E-6</c:v>
                </c:pt>
                <c:pt idx="144">
                  <c:v>-3.8465224775079401E-3</c:v>
                </c:pt>
                <c:pt idx="145">
                  <c:v>-8.6782570160868992E-3</c:v>
                </c:pt>
                <c:pt idx="146">
                  <c:v>-8.7806272887383397E-3</c:v>
                </c:pt>
                <c:pt idx="147">
                  <c:v>-5.6003005356004797E-3</c:v>
                </c:pt>
                <c:pt idx="148">
                  <c:v>-4.93911800103599E-3</c:v>
                </c:pt>
                <c:pt idx="149">
                  <c:v>-5.3026780481402304E-3</c:v>
                </c:pt>
                <c:pt idx="150">
                  <c:v>-5.5933499750948296E-3</c:v>
                </c:pt>
                <c:pt idx="151">
                  <c:v>-2.6458257427075002E-3</c:v>
                </c:pt>
                <c:pt idx="152">
                  <c:v>-9.2221296754051597E-3</c:v>
                </c:pt>
                <c:pt idx="153">
                  <c:v>-1.11121740651287E-2</c:v>
                </c:pt>
                <c:pt idx="154">
                  <c:v>-4.8294156598138998E-3</c:v>
                </c:pt>
                <c:pt idx="155">
                  <c:v>-3.4258430740497598E-3</c:v>
                </c:pt>
                <c:pt idx="156">
                  <c:v>-2.64745887185404E-3</c:v>
                </c:pt>
                <c:pt idx="157">
                  <c:v>-4.9011852699981798E-3</c:v>
                </c:pt>
                <c:pt idx="158">
                  <c:v>9.0774599443883604E-3</c:v>
                </c:pt>
                <c:pt idx="159">
                  <c:v>5.4533153146631803E-3</c:v>
                </c:pt>
                <c:pt idx="160">
                  <c:v>4.8228366064547801E-4</c:v>
                </c:pt>
                <c:pt idx="161">
                  <c:v>8.3397176369981608E-3</c:v>
                </c:pt>
                <c:pt idx="162">
                  <c:v>7.8109521861074302E-3</c:v>
                </c:pt>
                <c:pt idx="163">
                  <c:v>6.19578071624811E-3</c:v>
                </c:pt>
                <c:pt idx="164">
                  <c:v>6.7027304682680602E-3</c:v>
                </c:pt>
                <c:pt idx="165">
                  <c:v>4.3709409466148597E-3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1A-4C0E-9D18-7D786863BF9C}"/>
            </c:ext>
          </c:extLst>
        </c:ser>
        <c:ser>
          <c:idx val="2"/>
          <c:order val="2"/>
          <c:tx>
            <c:strRef>
              <c:f>IYK_XLP_0!$AG$1</c:f>
              <c:strCache>
                <c:ptCount val="1"/>
                <c:pt idx="0">
                  <c:v>log diff IYK* x 20 dma / XLP*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IYK_XLP_0!$AG$2:$AG$167</c:f>
              <c:numCache>
                <c:formatCode>0.00%</c:formatCode>
                <c:ptCount val="166"/>
                <c:pt idx="20">
                  <c:v>1.6879060964220499E-3</c:v>
                </c:pt>
                <c:pt idx="21">
                  <c:v>-2.10059067629439E-6</c:v>
                </c:pt>
                <c:pt idx="22">
                  <c:v>-6.0407663035838399E-3</c:v>
                </c:pt>
                <c:pt idx="23">
                  <c:v>9.7472218752031603E-3</c:v>
                </c:pt>
                <c:pt idx="24">
                  <c:v>6.0485320372797103E-3</c:v>
                </c:pt>
                <c:pt idx="25">
                  <c:v>4.7693289215465402E-3</c:v>
                </c:pt>
                <c:pt idx="26">
                  <c:v>6.7334957494322003E-3</c:v>
                </c:pt>
                <c:pt idx="27">
                  <c:v>5.7651849964140004E-3</c:v>
                </c:pt>
                <c:pt idx="28">
                  <c:v>-4.7910286250873698E-4</c:v>
                </c:pt>
                <c:pt idx="29">
                  <c:v>-4.4655791235238603E-3</c:v>
                </c:pt>
                <c:pt idx="30">
                  <c:v>3.8725637094607501E-4</c:v>
                </c:pt>
                <c:pt idx="31">
                  <c:v>2.3343216374971799E-3</c:v>
                </c:pt>
                <c:pt idx="32">
                  <c:v>5.1300202726341001E-3</c:v>
                </c:pt>
                <c:pt idx="33">
                  <c:v>7.4200337766589398E-3</c:v>
                </c:pt>
                <c:pt idx="34">
                  <c:v>8.9918013696577703E-3</c:v>
                </c:pt>
                <c:pt idx="35">
                  <c:v>4.4143831052383198E-3</c:v>
                </c:pt>
                <c:pt idx="36">
                  <c:v>7.2326490150210103E-3</c:v>
                </c:pt>
                <c:pt idx="37">
                  <c:v>1.11681284684575E-2</c:v>
                </c:pt>
                <c:pt idx="38">
                  <c:v>9.6998295752463298E-3</c:v>
                </c:pt>
                <c:pt idx="39">
                  <c:v>1.25966566242559E-2</c:v>
                </c:pt>
                <c:pt idx="40">
                  <c:v>5.8274068967850597E-3</c:v>
                </c:pt>
                <c:pt idx="41">
                  <c:v>3.4144030819666001E-3</c:v>
                </c:pt>
                <c:pt idx="42">
                  <c:v>1.4017264041196801E-3</c:v>
                </c:pt>
                <c:pt idx="43">
                  <c:v>-3.3035975819978199E-3</c:v>
                </c:pt>
                <c:pt idx="44">
                  <c:v>5.1741106729802496E-4</c:v>
                </c:pt>
                <c:pt idx="45">
                  <c:v>-1.23165334133023E-3</c:v>
                </c:pt>
                <c:pt idx="46">
                  <c:v>9.2744163687087904E-4</c:v>
                </c:pt>
                <c:pt idx="47">
                  <c:v>3.1549492004062599E-3</c:v>
                </c:pt>
                <c:pt idx="48">
                  <c:v>1.8951626310810201E-3</c:v>
                </c:pt>
                <c:pt idx="49">
                  <c:v>-2.0955387326109599E-4</c:v>
                </c:pt>
                <c:pt idx="50">
                  <c:v>-5.3794874823144701E-3</c:v>
                </c:pt>
                <c:pt idx="51">
                  <c:v>-6.3951822167067802E-3</c:v>
                </c:pt>
                <c:pt idx="52">
                  <c:v>-5.78043575736695E-3</c:v>
                </c:pt>
                <c:pt idx="53">
                  <c:v>-7.0618006142248498E-3</c:v>
                </c:pt>
                <c:pt idx="54">
                  <c:v>-2.8780389548835402E-3</c:v>
                </c:pt>
                <c:pt idx="55">
                  <c:v>-1.1462847559612101E-3</c:v>
                </c:pt>
                <c:pt idx="56">
                  <c:v>-8.7197803904893697E-4</c:v>
                </c:pt>
                <c:pt idx="57">
                  <c:v>-3.6302548291373398E-3</c:v>
                </c:pt>
                <c:pt idx="58">
                  <c:v>-5.3424848562979204E-3</c:v>
                </c:pt>
                <c:pt idx="59">
                  <c:v>-2.2420477635081699E-3</c:v>
                </c:pt>
                <c:pt idx="60">
                  <c:v>-1.8267480880143599E-3</c:v>
                </c:pt>
                <c:pt idx="61">
                  <c:v>-1.7155815557307499E-3</c:v>
                </c:pt>
                <c:pt idx="62">
                  <c:v>-1.2774305972434001E-3</c:v>
                </c:pt>
                <c:pt idx="63">
                  <c:v>-6.1835922333038302E-3</c:v>
                </c:pt>
                <c:pt idx="64">
                  <c:v>1.26014525204302E-3</c:v>
                </c:pt>
                <c:pt idx="65">
                  <c:v>-1.3880084764773099E-3</c:v>
                </c:pt>
                <c:pt idx="66">
                  <c:v>-2.28965314726472E-3</c:v>
                </c:pt>
                <c:pt idx="67">
                  <c:v>3.9612310127018499E-3</c:v>
                </c:pt>
                <c:pt idx="68">
                  <c:v>6.6750822940330997E-3</c:v>
                </c:pt>
                <c:pt idx="69">
                  <c:v>4.2878007718290499E-3</c:v>
                </c:pt>
                <c:pt idx="70">
                  <c:v>-7.7832359277532897E-4</c:v>
                </c:pt>
                <c:pt idx="71">
                  <c:v>1.15742663424372E-4</c:v>
                </c:pt>
                <c:pt idx="72">
                  <c:v>-3.4169534606303198E-3</c:v>
                </c:pt>
                <c:pt idx="73">
                  <c:v>-7.4788660119325502E-3</c:v>
                </c:pt>
                <c:pt idx="74">
                  <c:v>-1.29418627573637E-2</c:v>
                </c:pt>
                <c:pt idx="75">
                  <c:v>-1.00481025766246E-2</c:v>
                </c:pt>
                <c:pt idx="76">
                  <c:v>-7.5227882896109601E-3</c:v>
                </c:pt>
                <c:pt idx="77">
                  <c:v>-4.7967490385152E-3</c:v>
                </c:pt>
                <c:pt idx="78">
                  <c:v>-1.2553444208425601E-3</c:v>
                </c:pt>
                <c:pt idx="79">
                  <c:v>4.8516121718742101E-3</c:v>
                </c:pt>
                <c:pt idx="80">
                  <c:v>3.6948079584988901E-3</c:v>
                </c:pt>
                <c:pt idx="81">
                  <c:v>-1.6684987735234801E-3</c:v>
                </c:pt>
                <c:pt idx="82">
                  <c:v>-1.51723084129913E-3</c:v>
                </c:pt>
                <c:pt idx="83">
                  <c:v>-1.3969962665486299E-3</c:v>
                </c:pt>
                <c:pt idx="84">
                  <c:v>-3.33137007389812E-3</c:v>
                </c:pt>
                <c:pt idx="85">
                  <c:v>-4.8162033541560298E-3</c:v>
                </c:pt>
                <c:pt idx="86">
                  <c:v>-6.4441723391750498E-3</c:v>
                </c:pt>
                <c:pt idx="87">
                  <c:v>-5.0713158153139898E-3</c:v>
                </c:pt>
                <c:pt idx="88">
                  <c:v>4.9451117578978698E-3</c:v>
                </c:pt>
                <c:pt idx="89">
                  <c:v>5.1629047888683303E-3</c:v>
                </c:pt>
                <c:pt idx="90">
                  <c:v>2.9990739536815201E-3</c:v>
                </c:pt>
                <c:pt idx="91">
                  <c:v>2.8810619559459E-3</c:v>
                </c:pt>
                <c:pt idx="92">
                  <c:v>3.3958961920846501E-3</c:v>
                </c:pt>
                <c:pt idx="93">
                  <c:v>-2.5141543344470801E-3</c:v>
                </c:pt>
                <c:pt idx="94">
                  <c:v>-7.2050726827098399E-3</c:v>
                </c:pt>
                <c:pt idx="95">
                  <c:v>-4.0659076756967699E-3</c:v>
                </c:pt>
                <c:pt idx="96">
                  <c:v>6.6216858609064004E-3</c:v>
                </c:pt>
                <c:pt idx="97">
                  <c:v>9.6422641022505997E-3</c:v>
                </c:pt>
                <c:pt idx="98">
                  <c:v>6.8663077974699602E-3</c:v>
                </c:pt>
                <c:pt idx="99">
                  <c:v>7.5469519408846598E-3</c:v>
                </c:pt>
                <c:pt idx="100">
                  <c:v>3.2761536197781901E-3</c:v>
                </c:pt>
                <c:pt idx="101">
                  <c:v>6.5580371932983297E-3</c:v>
                </c:pt>
                <c:pt idx="102">
                  <c:v>4.1171321414051002E-3</c:v>
                </c:pt>
                <c:pt idx="103">
                  <c:v>6.4284466628374897E-3</c:v>
                </c:pt>
                <c:pt idx="104">
                  <c:v>4.4183816323773197E-3</c:v>
                </c:pt>
                <c:pt idx="105">
                  <c:v>3.4723545712455899E-3</c:v>
                </c:pt>
                <c:pt idx="106">
                  <c:v>9.1442997058998696E-3</c:v>
                </c:pt>
                <c:pt idx="107">
                  <c:v>5.4396409799825204E-3</c:v>
                </c:pt>
                <c:pt idx="108">
                  <c:v>8.1255879611310897E-3</c:v>
                </c:pt>
                <c:pt idx="109">
                  <c:v>8.1589118170047898E-3</c:v>
                </c:pt>
                <c:pt idx="110">
                  <c:v>5.4189057485738703E-3</c:v>
                </c:pt>
                <c:pt idx="111">
                  <c:v>5.4921134398062304E-3</c:v>
                </c:pt>
                <c:pt idx="112">
                  <c:v>-7.8912693948520103E-4</c:v>
                </c:pt>
                <c:pt idx="113">
                  <c:v>2.3595518892626001E-4</c:v>
                </c:pt>
                <c:pt idx="114">
                  <c:v>4.8382823911985104E-3</c:v>
                </c:pt>
                <c:pt idx="115">
                  <c:v>1.4379220223171799E-3</c:v>
                </c:pt>
                <c:pt idx="116">
                  <c:v>7.3962550491994301E-3</c:v>
                </c:pt>
                <c:pt idx="117">
                  <c:v>7.0103640885305404E-3</c:v>
                </c:pt>
                <c:pt idx="118">
                  <c:v>4.7300452214006396E-3</c:v>
                </c:pt>
                <c:pt idx="119">
                  <c:v>1.0335414249701001E-2</c:v>
                </c:pt>
                <c:pt idx="120">
                  <c:v>1.0862895908313699E-2</c:v>
                </c:pt>
                <c:pt idx="121">
                  <c:v>1.2277175622391801E-2</c:v>
                </c:pt>
                <c:pt idx="122">
                  <c:v>1.52484385504592E-2</c:v>
                </c:pt>
                <c:pt idx="123">
                  <c:v>2.0035734270599601E-2</c:v>
                </c:pt>
                <c:pt idx="124">
                  <c:v>1.9237339901871799E-2</c:v>
                </c:pt>
                <c:pt idx="125">
                  <c:v>1.9423005760005701E-2</c:v>
                </c:pt>
                <c:pt idx="126">
                  <c:v>2.1310541369547902E-2</c:v>
                </c:pt>
                <c:pt idx="127">
                  <c:v>1.5652797330374599E-2</c:v>
                </c:pt>
                <c:pt idx="128">
                  <c:v>1.2752797254083501E-2</c:v>
                </c:pt>
                <c:pt idx="129">
                  <c:v>9.3494823535477702E-3</c:v>
                </c:pt>
                <c:pt idx="130">
                  <c:v>8.3434290223024492E-3</c:v>
                </c:pt>
                <c:pt idx="131">
                  <c:v>6.5175210553889903E-3</c:v>
                </c:pt>
                <c:pt idx="132">
                  <c:v>5.3088325410531002E-3</c:v>
                </c:pt>
                <c:pt idx="133">
                  <c:v>5.3477981799810196E-3</c:v>
                </c:pt>
                <c:pt idx="134">
                  <c:v>5.1687973113413903E-3</c:v>
                </c:pt>
                <c:pt idx="135">
                  <c:v>4.0741350894757996E-3</c:v>
                </c:pt>
                <c:pt idx="136">
                  <c:v>7.08846310969882E-3</c:v>
                </c:pt>
                <c:pt idx="137">
                  <c:v>7.7353095145936699E-3</c:v>
                </c:pt>
                <c:pt idx="138">
                  <c:v>1.00219558968938E-2</c:v>
                </c:pt>
                <c:pt idx="139">
                  <c:v>8.4128923634407497E-3</c:v>
                </c:pt>
                <c:pt idx="140">
                  <c:v>4.8165342351034002E-3</c:v>
                </c:pt>
                <c:pt idx="141">
                  <c:v>6.2374404045396001E-3</c:v>
                </c:pt>
                <c:pt idx="142">
                  <c:v>-4.4233798491126198E-4</c:v>
                </c:pt>
                <c:pt idx="143">
                  <c:v>1.2989567152236301E-3</c:v>
                </c:pt>
                <c:pt idx="144">
                  <c:v>-2.1318106708181702E-3</c:v>
                </c:pt>
                <c:pt idx="145">
                  <c:v>-6.7833930433353904E-3</c:v>
                </c:pt>
                <c:pt idx="146">
                  <c:v>-6.85452246989418E-3</c:v>
                </c:pt>
                <c:pt idx="147">
                  <c:v>-3.91060546586138E-3</c:v>
                </c:pt>
                <c:pt idx="148">
                  <c:v>-3.74251956725502E-3</c:v>
                </c:pt>
                <c:pt idx="149">
                  <c:v>-5.0149928994529403E-3</c:v>
                </c:pt>
                <c:pt idx="150">
                  <c:v>-6.3748291104160602E-3</c:v>
                </c:pt>
                <c:pt idx="151">
                  <c:v>-4.3168814420958103E-3</c:v>
                </c:pt>
                <c:pt idx="152">
                  <c:v>-1.19505590829052E-2</c:v>
                </c:pt>
                <c:pt idx="153">
                  <c:v>-1.47121837473082E-2</c:v>
                </c:pt>
                <c:pt idx="154">
                  <c:v>-9.6011469232263006E-3</c:v>
                </c:pt>
                <c:pt idx="155">
                  <c:v>-8.7639261329360407E-3</c:v>
                </c:pt>
                <c:pt idx="156">
                  <c:v>-8.06825777193672E-3</c:v>
                </c:pt>
                <c:pt idx="157">
                  <c:v>-1.01413622851726E-2</c:v>
                </c:pt>
                <c:pt idx="158">
                  <c:v>3.72706833687131E-3</c:v>
                </c:pt>
                <c:pt idx="159">
                  <c:v>8.1062611806297395E-4</c:v>
                </c:pt>
                <c:pt idx="160">
                  <c:v>-3.48694314827741E-3</c:v>
                </c:pt>
                <c:pt idx="161">
                  <c:v>4.8230202727548403E-3</c:v>
                </c:pt>
                <c:pt idx="162">
                  <c:v>5.0510910374504401E-3</c:v>
                </c:pt>
                <c:pt idx="163">
                  <c:v>4.6641949616833501E-3</c:v>
                </c:pt>
                <c:pt idx="164">
                  <c:v>6.8009243485923198E-3</c:v>
                </c:pt>
                <c:pt idx="165">
                  <c:v>5.5830970589263703E-3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1A-4C0E-9D18-7D786863B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IYK_XLP_0!$Y$1</c:f>
              <c:strCache>
                <c:ptCount val="1"/>
                <c:pt idx="0">
                  <c:v> XLP*/IYK*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IYK_XLP_0!$Y$2:$Y$167</c:f>
              <c:numCache>
                <c:formatCode>_(* #,##0.0000_);_(* \(#,##0.0000\);_(* "-"??_);_(@_)</c:formatCode>
                <c:ptCount val="166"/>
                <c:pt idx="0">
                  <c:v>1.16233556709835</c:v>
                </c:pt>
                <c:pt idx="1">
                  <c:v>1.16233556709835</c:v>
                </c:pt>
                <c:pt idx="2">
                  <c:v>1.16233556709835</c:v>
                </c:pt>
                <c:pt idx="3">
                  <c:v>1.16233556709835</c:v>
                </c:pt>
                <c:pt idx="4">
                  <c:v>1.16233556709835</c:v>
                </c:pt>
                <c:pt idx="5">
                  <c:v>1.16233556709835</c:v>
                </c:pt>
                <c:pt idx="6">
                  <c:v>1.16233556709835</c:v>
                </c:pt>
                <c:pt idx="7">
                  <c:v>1.16233556709835</c:v>
                </c:pt>
                <c:pt idx="8">
                  <c:v>1.16233556709835</c:v>
                </c:pt>
                <c:pt idx="9">
                  <c:v>1.16233556709835</c:v>
                </c:pt>
                <c:pt idx="10">
                  <c:v>1.16233556709835</c:v>
                </c:pt>
                <c:pt idx="11">
                  <c:v>1.16233556709835</c:v>
                </c:pt>
                <c:pt idx="12">
                  <c:v>1.16233556709835</c:v>
                </c:pt>
                <c:pt idx="13">
                  <c:v>1.16233556709835</c:v>
                </c:pt>
                <c:pt idx="14">
                  <c:v>1.16233556709835</c:v>
                </c:pt>
                <c:pt idx="15">
                  <c:v>1.16233556709835</c:v>
                </c:pt>
                <c:pt idx="16">
                  <c:v>1.16233556709835</c:v>
                </c:pt>
                <c:pt idx="17">
                  <c:v>1.16233556709835</c:v>
                </c:pt>
                <c:pt idx="18">
                  <c:v>1.16233556709835</c:v>
                </c:pt>
                <c:pt idx="19">
                  <c:v>1.16233556709835</c:v>
                </c:pt>
                <c:pt idx="20">
                  <c:v>1.16233556709835</c:v>
                </c:pt>
                <c:pt idx="21">
                  <c:v>1.16233556709835</c:v>
                </c:pt>
                <c:pt idx="22">
                  <c:v>1.16233556709835</c:v>
                </c:pt>
                <c:pt idx="23">
                  <c:v>1.16233556709835</c:v>
                </c:pt>
                <c:pt idx="24">
                  <c:v>1.16233556709835</c:v>
                </c:pt>
                <c:pt idx="25">
                  <c:v>1.16233556709835</c:v>
                </c:pt>
                <c:pt idx="26">
                  <c:v>1.16233556709835</c:v>
                </c:pt>
                <c:pt idx="27">
                  <c:v>1.16233556709835</c:v>
                </c:pt>
                <c:pt idx="28">
                  <c:v>1.16233556709835</c:v>
                </c:pt>
                <c:pt idx="29">
                  <c:v>1.16233556709835</c:v>
                </c:pt>
                <c:pt idx="30">
                  <c:v>1.16233556709835</c:v>
                </c:pt>
                <c:pt idx="31">
                  <c:v>1.16233556709835</c:v>
                </c:pt>
                <c:pt idx="32">
                  <c:v>1.16233556709835</c:v>
                </c:pt>
                <c:pt idx="33">
                  <c:v>1.16233556709835</c:v>
                </c:pt>
                <c:pt idx="34">
                  <c:v>1.16233556709835</c:v>
                </c:pt>
                <c:pt idx="35">
                  <c:v>1.16233556709835</c:v>
                </c:pt>
                <c:pt idx="36">
                  <c:v>1.16233556709835</c:v>
                </c:pt>
                <c:pt idx="37">
                  <c:v>1.16233556709835</c:v>
                </c:pt>
                <c:pt idx="38">
                  <c:v>1.16233556709835</c:v>
                </c:pt>
                <c:pt idx="39">
                  <c:v>1.16233556709835</c:v>
                </c:pt>
                <c:pt idx="40">
                  <c:v>1.16233556709835</c:v>
                </c:pt>
                <c:pt idx="41">
                  <c:v>1.16233556709835</c:v>
                </c:pt>
                <c:pt idx="42">
                  <c:v>1.16233556709835</c:v>
                </c:pt>
                <c:pt idx="43">
                  <c:v>1.16233556709835</c:v>
                </c:pt>
                <c:pt idx="44">
                  <c:v>1.16233556709835</c:v>
                </c:pt>
                <c:pt idx="45">
                  <c:v>1.16233556709835</c:v>
                </c:pt>
                <c:pt idx="46">
                  <c:v>1.16233556709835</c:v>
                </c:pt>
                <c:pt idx="47">
                  <c:v>1.16233556709835</c:v>
                </c:pt>
                <c:pt idx="48">
                  <c:v>1.16233556709835</c:v>
                </c:pt>
                <c:pt idx="49">
                  <c:v>1.16233556709835</c:v>
                </c:pt>
                <c:pt idx="50">
                  <c:v>1.16233556709835</c:v>
                </c:pt>
                <c:pt idx="51">
                  <c:v>1.16233556709835</c:v>
                </c:pt>
                <c:pt idx="52">
                  <c:v>1.16233556709835</c:v>
                </c:pt>
                <c:pt idx="53">
                  <c:v>1.16233556709835</c:v>
                </c:pt>
                <c:pt idx="54">
                  <c:v>1.16233556709835</c:v>
                </c:pt>
                <c:pt idx="55">
                  <c:v>1.16233556709835</c:v>
                </c:pt>
                <c:pt idx="56">
                  <c:v>1.16233556709835</c:v>
                </c:pt>
                <c:pt idx="57">
                  <c:v>1.16233556709835</c:v>
                </c:pt>
                <c:pt idx="58">
                  <c:v>1.16233556709835</c:v>
                </c:pt>
                <c:pt idx="59">
                  <c:v>1.16233556709835</c:v>
                </c:pt>
                <c:pt idx="60">
                  <c:v>1.16233556709835</c:v>
                </c:pt>
                <c:pt idx="61">
                  <c:v>1.16233556709835</c:v>
                </c:pt>
                <c:pt idx="62">
                  <c:v>1.16233556709835</c:v>
                </c:pt>
                <c:pt idx="63">
                  <c:v>1.16233556709835</c:v>
                </c:pt>
                <c:pt idx="64">
                  <c:v>1.16233556709835</c:v>
                </c:pt>
                <c:pt idx="65">
                  <c:v>1.16233556709835</c:v>
                </c:pt>
                <c:pt idx="66">
                  <c:v>1.16233556709835</c:v>
                </c:pt>
                <c:pt idx="67">
                  <c:v>1.16233556709835</c:v>
                </c:pt>
                <c:pt idx="68">
                  <c:v>1.16233556709835</c:v>
                </c:pt>
                <c:pt idx="69">
                  <c:v>1.16233556709835</c:v>
                </c:pt>
                <c:pt idx="70">
                  <c:v>1.16233556709835</c:v>
                </c:pt>
                <c:pt idx="71">
                  <c:v>1.16233556709835</c:v>
                </c:pt>
                <c:pt idx="72">
                  <c:v>1.16233556709835</c:v>
                </c:pt>
                <c:pt idx="73">
                  <c:v>1.16233556709835</c:v>
                </c:pt>
                <c:pt idx="74">
                  <c:v>1.16233556709835</c:v>
                </c:pt>
                <c:pt idx="75">
                  <c:v>1.16233556709835</c:v>
                </c:pt>
                <c:pt idx="76">
                  <c:v>1.16233556709835</c:v>
                </c:pt>
                <c:pt idx="77">
                  <c:v>1.16233556709835</c:v>
                </c:pt>
                <c:pt idx="78">
                  <c:v>1.16233556709835</c:v>
                </c:pt>
                <c:pt idx="79">
                  <c:v>1.16233556709835</c:v>
                </c:pt>
                <c:pt idx="80">
                  <c:v>1.16233556709835</c:v>
                </c:pt>
                <c:pt idx="81">
                  <c:v>1.16233556709835</c:v>
                </c:pt>
                <c:pt idx="82">
                  <c:v>1.16233556709835</c:v>
                </c:pt>
                <c:pt idx="83">
                  <c:v>1.16233556709835</c:v>
                </c:pt>
                <c:pt idx="84">
                  <c:v>1.16233556709835</c:v>
                </c:pt>
                <c:pt idx="85">
                  <c:v>1.16233556709835</c:v>
                </c:pt>
                <c:pt idx="86">
                  <c:v>1.16233556709835</c:v>
                </c:pt>
                <c:pt idx="87">
                  <c:v>1.16233556709835</c:v>
                </c:pt>
                <c:pt idx="88">
                  <c:v>1.16233556709835</c:v>
                </c:pt>
                <c:pt idx="89">
                  <c:v>1.16233556709835</c:v>
                </c:pt>
                <c:pt idx="90">
                  <c:v>1.16233556709835</c:v>
                </c:pt>
                <c:pt idx="91">
                  <c:v>1.16233556709835</c:v>
                </c:pt>
                <c:pt idx="92">
                  <c:v>1.16233556709835</c:v>
                </c:pt>
                <c:pt idx="93">
                  <c:v>1.16233556709835</c:v>
                </c:pt>
                <c:pt idx="94">
                  <c:v>1.16233556709835</c:v>
                </c:pt>
                <c:pt idx="95">
                  <c:v>1.16233556709835</c:v>
                </c:pt>
                <c:pt idx="96">
                  <c:v>1.16233556709835</c:v>
                </c:pt>
                <c:pt idx="97">
                  <c:v>1.16233556709835</c:v>
                </c:pt>
                <c:pt idx="98">
                  <c:v>1.16233556709835</c:v>
                </c:pt>
                <c:pt idx="99">
                  <c:v>1.16233556709835</c:v>
                </c:pt>
                <c:pt idx="100">
                  <c:v>1.16233556709835</c:v>
                </c:pt>
                <c:pt idx="101">
                  <c:v>1.16233556709835</c:v>
                </c:pt>
                <c:pt idx="102">
                  <c:v>1.16233556709835</c:v>
                </c:pt>
                <c:pt idx="103">
                  <c:v>1.16233556709835</c:v>
                </c:pt>
                <c:pt idx="104">
                  <c:v>1.16233556709835</c:v>
                </c:pt>
                <c:pt idx="105">
                  <c:v>1.16233556709835</c:v>
                </c:pt>
                <c:pt idx="106">
                  <c:v>1.16233556709835</c:v>
                </c:pt>
                <c:pt idx="107">
                  <c:v>1.16233556709835</c:v>
                </c:pt>
                <c:pt idx="108">
                  <c:v>1.16233556709835</c:v>
                </c:pt>
                <c:pt idx="109">
                  <c:v>1.16233556709835</c:v>
                </c:pt>
                <c:pt idx="110">
                  <c:v>1.16233556709835</c:v>
                </c:pt>
                <c:pt idx="111">
                  <c:v>1.16233556709835</c:v>
                </c:pt>
                <c:pt idx="112">
                  <c:v>1.16233556709835</c:v>
                </c:pt>
                <c:pt idx="113">
                  <c:v>1.16233556709835</c:v>
                </c:pt>
                <c:pt idx="114">
                  <c:v>1.16233556709835</c:v>
                </c:pt>
                <c:pt idx="115">
                  <c:v>1.16233556709835</c:v>
                </c:pt>
                <c:pt idx="116">
                  <c:v>1.16233556709835</c:v>
                </c:pt>
                <c:pt idx="117">
                  <c:v>1.16233556709835</c:v>
                </c:pt>
                <c:pt idx="118">
                  <c:v>1.16233556709835</c:v>
                </c:pt>
                <c:pt idx="119">
                  <c:v>1.16233556709835</c:v>
                </c:pt>
                <c:pt idx="120">
                  <c:v>1.16233556709835</c:v>
                </c:pt>
                <c:pt idx="121">
                  <c:v>1.16233556709835</c:v>
                </c:pt>
                <c:pt idx="122">
                  <c:v>1.16233556709835</c:v>
                </c:pt>
                <c:pt idx="123">
                  <c:v>1.16233556709835</c:v>
                </c:pt>
                <c:pt idx="124">
                  <c:v>1.16233556709835</c:v>
                </c:pt>
                <c:pt idx="125">
                  <c:v>1.16233556709835</c:v>
                </c:pt>
                <c:pt idx="126">
                  <c:v>1.16233556709835</c:v>
                </c:pt>
                <c:pt idx="127">
                  <c:v>1.16233556709835</c:v>
                </c:pt>
                <c:pt idx="128">
                  <c:v>1.16233556709835</c:v>
                </c:pt>
                <c:pt idx="129">
                  <c:v>1.16233556709835</c:v>
                </c:pt>
                <c:pt idx="130">
                  <c:v>1.16233556709835</c:v>
                </c:pt>
                <c:pt idx="131">
                  <c:v>1.16233556709835</c:v>
                </c:pt>
                <c:pt idx="132">
                  <c:v>1.16233556709835</c:v>
                </c:pt>
                <c:pt idx="133">
                  <c:v>1.16233556709835</c:v>
                </c:pt>
                <c:pt idx="134">
                  <c:v>1.16233556709835</c:v>
                </c:pt>
                <c:pt idx="135">
                  <c:v>1.16233556709835</c:v>
                </c:pt>
                <c:pt idx="136">
                  <c:v>1.16233556709835</c:v>
                </c:pt>
                <c:pt idx="137">
                  <c:v>1.16233556709835</c:v>
                </c:pt>
                <c:pt idx="138">
                  <c:v>1.16233556709835</c:v>
                </c:pt>
                <c:pt idx="139">
                  <c:v>1.16233556709835</c:v>
                </c:pt>
                <c:pt idx="140">
                  <c:v>1.16233556709835</c:v>
                </c:pt>
                <c:pt idx="141">
                  <c:v>1.16233556709835</c:v>
                </c:pt>
                <c:pt idx="142">
                  <c:v>1.16233556709835</c:v>
                </c:pt>
                <c:pt idx="143">
                  <c:v>1.16233556709835</c:v>
                </c:pt>
                <c:pt idx="144">
                  <c:v>1.16233556709835</c:v>
                </c:pt>
                <c:pt idx="145">
                  <c:v>1.16233556709835</c:v>
                </c:pt>
                <c:pt idx="146">
                  <c:v>1.16233556709835</c:v>
                </c:pt>
                <c:pt idx="147">
                  <c:v>1.16233556709835</c:v>
                </c:pt>
                <c:pt idx="148">
                  <c:v>1.16233556709835</c:v>
                </c:pt>
                <c:pt idx="149">
                  <c:v>1.16233556709835</c:v>
                </c:pt>
                <c:pt idx="150">
                  <c:v>1.16233556709835</c:v>
                </c:pt>
                <c:pt idx="151">
                  <c:v>1.16233556709835</c:v>
                </c:pt>
                <c:pt idx="152">
                  <c:v>1.16233556709835</c:v>
                </c:pt>
                <c:pt idx="153">
                  <c:v>1.16233556709835</c:v>
                </c:pt>
                <c:pt idx="154">
                  <c:v>1.16233556709835</c:v>
                </c:pt>
                <c:pt idx="155">
                  <c:v>1.16233556709835</c:v>
                </c:pt>
                <c:pt idx="156">
                  <c:v>1.16233556709835</c:v>
                </c:pt>
                <c:pt idx="157">
                  <c:v>1.16233556709835</c:v>
                </c:pt>
                <c:pt idx="158">
                  <c:v>1.16233556709835</c:v>
                </c:pt>
                <c:pt idx="159">
                  <c:v>1.16233556709835</c:v>
                </c:pt>
                <c:pt idx="160">
                  <c:v>1.16233556709835</c:v>
                </c:pt>
                <c:pt idx="161">
                  <c:v>1.16233556709835</c:v>
                </c:pt>
                <c:pt idx="162">
                  <c:v>1.16233556709835</c:v>
                </c:pt>
                <c:pt idx="163">
                  <c:v>1.16233556709835</c:v>
                </c:pt>
                <c:pt idx="164">
                  <c:v>1.16233556709835</c:v>
                </c:pt>
                <c:pt idx="165">
                  <c:v>1.16233556709835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7-4062-BC83-F4EC2E6C9BB0}"/>
            </c:ext>
          </c:extLst>
        </c:ser>
        <c:ser>
          <c:idx val="1"/>
          <c:order val="1"/>
          <c:tx>
            <c:strRef>
              <c:f>IYK_XLP_0!$Z$1</c:f>
              <c:strCache>
                <c:ptCount val="1"/>
                <c:pt idx="0">
                  <c:v> XLP*/IYK*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IYK_XLP_0!$Z$2:$Z$167</c:f>
              <c:numCache>
                <c:formatCode>_(* #,##0.0000_);_(* \(#,##0.0000\);_(* "-"??_);_(@_)</c:formatCode>
                <c:ptCount val="166"/>
                <c:pt idx="9">
                  <c:v>1.17786688328375</c:v>
                </c:pt>
                <c:pt idx="10">
                  <c:v>1.1798411603671199</c:v>
                </c:pt>
                <c:pt idx="11">
                  <c:v>1.1812779551330801</c:v>
                </c:pt>
                <c:pt idx="12">
                  <c:v>1.1820128974687201</c:v>
                </c:pt>
                <c:pt idx="13">
                  <c:v>1.1823494302484101</c:v>
                </c:pt>
                <c:pt idx="14">
                  <c:v>1.1823592205303699</c:v>
                </c:pt>
                <c:pt idx="15">
                  <c:v>1.18174626701563</c:v>
                </c:pt>
                <c:pt idx="16">
                  <c:v>1.18090768575564</c:v>
                </c:pt>
                <c:pt idx="17">
                  <c:v>1.17935597762391</c:v>
                </c:pt>
                <c:pt idx="18">
                  <c:v>1.17767975091594</c:v>
                </c:pt>
                <c:pt idx="19">
                  <c:v>1.1762632378201701</c:v>
                </c:pt>
                <c:pt idx="20">
                  <c:v>1.17533765538899</c:v>
                </c:pt>
                <c:pt idx="21">
                  <c:v>1.1747465058481901</c:v>
                </c:pt>
                <c:pt idx="22">
                  <c:v>1.1748982474287999</c:v>
                </c:pt>
                <c:pt idx="23">
                  <c:v>1.1738028942938801</c:v>
                </c:pt>
                <c:pt idx="24">
                  <c:v>1.17313021165861</c:v>
                </c:pt>
                <c:pt idx="25">
                  <c:v>1.17302572132156</c:v>
                </c:pt>
                <c:pt idx="26">
                  <c:v>1.1724833749160399</c:v>
                </c:pt>
                <c:pt idx="27">
                  <c:v>1.17241164655153</c:v>
                </c:pt>
                <c:pt idx="28">
                  <c:v>1.1732284976759999</c:v>
                </c:pt>
                <c:pt idx="29">
                  <c:v>1.1744537630147101</c:v>
                </c:pt>
                <c:pt idx="30">
                  <c:v>1.1744361092556099</c:v>
                </c:pt>
                <c:pt idx="31">
                  <c:v>1.1738916728017199</c:v>
                </c:pt>
                <c:pt idx="32">
                  <c:v>1.17220770987986</c:v>
                </c:pt>
                <c:pt idx="33">
                  <c:v>1.17199297964331</c:v>
                </c:pt>
                <c:pt idx="34">
                  <c:v>1.1711356504903301</c:v>
                </c:pt>
                <c:pt idx="35">
                  <c:v>1.1706185558258</c:v>
                </c:pt>
                <c:pt idx="36">
                  <c:v>1.1700078192460499</c:v>
                </c:pt>
                <c:pt idx="37">
                  <c:v>1.16883847595955</c:v>
                </c:pt>
                <c:pt idx="38">
                  <c:v>1.1671262533389699</c:v>
                </c:pt>
                <c:pt idx="39">
                  <c:v>1.16460770918442</c:v>
                </c:pt>
                <c:pt idx="40">
                  <c:v>1.1633908892332501</c:v>
                </c:pt>
                <c:pt idx="41">
                  <c:v>1.16266905386827</c:v>
                </c:pt>
                <c:pt idx="42">
                  <c:v>1.1625024205247501</c:v>
                </c:pt>
                <c:pt idx="43">
                  <c:v>1.1631364716702699</c:v>
                </c:pt>
                <c:pt idx="44">
                  <c:v>1.1635926741954701</c:v>
                </c:pt>
                <c:pt idx="45">
                  <c:v>1.1637759487033199</c:v>
                </c:pt>
                <c:pt idx="46">
                  <c:v>1.16404973974977</c:v>
                </c:pt>
                <c:pt idx="47">
                  <c:v>1.1645612314853599</c:v>
                </c:pt>
                <c:pt idx="48">
                  <c:v>1.1650778086312601</c:v>
                </c:pt>
                <c:pt idx="49">
                  <c:v>1.1661595000387801</c:v>
                </c:pt>
                <c:pt idx="50">
                  <c:v>1.1670529440282</c:v>
                </c:pt>
                <c:pt idx="51">
                  <c:v>1.1678297878773101</c:v>
                </c:pt>
                <c:pt idx="52">
                  <c:v>1.1683658553017</c:v>
                </c:pt>
                <c:pt idx="53">
                  <c:v>1.1686133968791701</c:v>
                </c:pt>
                <c:pt idx="54">
                  <c:v>1.1688408398707699</c:v>
                </c:pt>
                <c:pt idx="55">
                  <c:v>1.16871599026047</c:v>
                </c:pt>
                <c:pt idx="56">
                  <c:v>1.1688308009703701</c:v>
                </c:pt>
                <c:pt idx="57">
                  <c:v>1.1695637785900199</c:v>
                </c:pt>
                <c:pt idx="58">
                  <c:v>1.1704461128011701</c:v>
                </c:pt>
                <c:pt idx="59">
                  <c:v>1.17084977862676</c:v>
                </c:pt>
                <c:pt idx="60">
                  <c:v>1.17074692762049</c:v>
                </c:pt>
                <c:pt idx="61">
                  <c:v>1.17056786745323</c:v>
                </c:pt>
                <c:pt idx="62">
                  <c:v>1.1704367451576501</c:v>
                </c:pt>
                <c:pt idx="63">
                  <c:v>1.17073289263639</c:v>
                </c:pt>
                <c:pt idx="64">
                  <c:v>1.1706293840450701</c:v>
                </c:pt>
                <c:pt idx="65">
                  <c:v>1.1710099341964799</c:v>
                </c:pt>
                <c:pt idx="66">
                  <c:v>1.1715380599598999</c:v>
                </c:pt>
                <c:pt idx="67">
                  <c:v>1.1710256386778299</c:v>
                </c:pt>
                <c:pt idx="68">
                  <c:v>1.16994510925277</c:v>
                </c:pt>
                <c:pt idx="69">
                  <c:v>1.16942568036696</c:v>
                </c:pt>
                <c:pt idx="70">
                  <c:v>1.16946644796963</c:v>
                </c:pt>
                <c:pt idx="71">
                  <c:v>1.16937287439204</c:v>
                </c:pt>
                <c:pt idx="72">
                  <c:v>1.1697010334578199</c:v>
                </c:pt>
                <c:pt idx="73">
                  <c:v>1.16992080127802</c:v>
                </c:pt>
                <c:pt idx="74">
                  <c:v>1.1716579388427799</c:v>
                </c:pt>
                <c:pt idx="75">
                  <c:v>1.1728190300404699</c:v>
                </c:pt>
                <c:pt idx="76">
                  <c:v>1.17364094795758</c:v>
                </c:pt>
                <c:pt idx="77">
                  <c:v>1.1749078884259501</c:v>
                </c:pt>
                <c:pt idx="78">
                  <c:v>1.1761010140234101</c:v>
                </c:pt>
                <c:pt idx="79">
                  <c:v>1.1763167144814899</c:v>
                </c:pt>
                <c:pt idx="80">
                  <c:v>1.17606639745234</c:v>
                </c:pt>
                <c:pt idx="81">
                  <c:v>1.17654175255381</c:v>
                </c:pt>
                <c:pt idx="82">
                  <c:v>1.1766180893720899</c:v>
                </c:pt>
                <c:pt idx="83">
                  <c:v>1.1762128017492199</c:v>
                </c:pt>
                <c:pt idx="84">
                  <c:v>1.1753537764584501</c:v>
                </c:pt>
                <c:pt idx="85">
                  <c:v>1.17497383436776</c:v>
                </c:pt>
                <c:pt idx="86">
                  <c:v>1.1750460202984701</c:v>
                </c:pt>
                <c:pt idx="87">
                  <c:v>1.17525466473132</c:v>
                </c:pt>
                <c:pt idx="88">
                  <c:v>1.1747391194341399</c:v>
                </c:pt>
                <c:pt idx="89">
                  <c:v>1.17494125262423</c:v>
                </c:pt>
                <c:pt idx="90">
                  <c:v>1.17529753337883</c:v>
                </c:pt>
                <c:pt idx="91">
                  <c:v>1.1750550145940699</c:v>
                </c:pt>
                <c:pt idx="92">
                  <c:v>1.1747624101076799</c:v>
                </c:pt>
                <c:pt idx="93">
                  <c:v>1.1751474330178699</c:v>
                </c:pt>
                <c:pt idx="94">
                  <c:v>1.17586746605182</c:v>
                </c:pt>
                <c:pt idx="95">
                  <c:v>1.1759903603983899</c:v>
                </c:pt>
                <c:pt idx="96">
                  <c:v>1.1746142091943099</c:v>
                </c:pt>
                <c:pt idx="97">
                  <c:v>1.17293845458297</c:v>
                </c:pt>
                <c:pt idx="98">
                  <c:v>1.17261622984895</c:v>
                </c:pt>
                <c:pt idx="99">
                  <c:v>1.17216485008106</c:v>
                </c:pt>
                <c:pt idx="100">
                  <c:v>1.1719254636120999</c:v>
                </c:pt>
                <c:pt idx="101">
                  <c:v>1.17128951014001</c:v>
                </c:pt>
                <c:pt idx="102">
                  <c:v>1.1709434921626201</c:v>
                </c:pt>
                <c:pt idx="103">
                  <c:v>1.16961225969611</c:v>
                </c:pt>
                <c:pt idx="104">
                  <c:v>1.1679152280471301</c:v>
                </c:pt>
                <c:pt idx="105">
                  <c:v>1.16665811859135</c:v>
                </c:pt>
                <c:pt idx="106">
                  <c:v>1.1659519170669901</c:v>
                </c:pt>
                <c:pt idx="107">
                  <c:v>1.1659897065615099</c:v>
                </c:pt>
                <c:pt idx="108">
                  <c:v>1.1653834600472901</c:v>
                </c:pt>
                <c:pt idx="109">
                  <c:v>1.16484821560798</c:v>
                </c:pt>
                <c:pt idx="110">
                  <c:v>1.1640959185153801</c:v>
                </c:pt>
                <c:pt idx="111">
                  <c:v>1.1636632519519099</c:v>
                </c:pt>
                <c:pt idx="112">
                  <c:v>1.1636678464633099</c:v>
                </c:pt>
                <c:pt idx="113">
                  <c:v>1.1638371223927799</c:v>
                </c:pt>
                <c:pt idx="114">
                  <c:v>1.1632253353764299</c:v>
                </c:pt>
                <c:pt idx="115">
                  <c:v>1.1628319659205499</c:v>
                </c:pt>
                <c:pt idx="116">
                  <c:v>1.16238196074241</c:v>
                </c:pt>
                <c:pt idx="117">
                  <c:v>1.1615919425878301</c:v>
                </c:pt>
                <c:pt idx="118">
                  <c:v>1.1614218465658901</c:v>
                </c:pt>
                <c:pt idx="119">
                  <c:v>1.1606157913282</c:v>
                </c:pt>
                <c:pt idx="120">
                  <c:v>1.1594136003481399</c:v>
                </c:pt>
                <c:pt idx="121">
                  <c:v>1.1580101466400201</c:v>
                </c:pt>
                <c:pt idx="122">
                  <c:v>1.1554973459461799</c:v>
                </c:pt>
                <c:pt idx="123">
                  <c:v>1.15245238962676</c:v>
                </c:pt>
                <c:pt idx="124">
                  <c:v>1.14995085792628</c:v>
                </c:pt>
                <c:pt idx="125">
                  <c:v>1.14699535293379</c:v>
                </c:pt>
                <c:pt idx="126">
                  <c:v>1.1444353675325101</c:v>
                </c:pt>
                <c:pt idx="127">
                  <c:v>1.14238145867231</c:v>
                </c:pt>
                <c:pt idx="128">
                  <c:v>1.14029044738052</c:v>
                </c:pt>
                <c:pt idx="129">
                  <c:v>1.1391610525720199</c:v>
                </c:pt>
                <c:pt idx="130">
                  <c:v>1.13817751259834</c:v>
                </c:pt>
                <c:pt idx="131">
                  <c:v>1.13755288395248</c:v>
                </c:pt>
                <c:pt idx="132">
                  <c:v>1.13739630959719</c:v>
                </c:pt>
                <c:pt idx="133">
                  <c:v>1.13777146151043</c:v>
                </c:pt>
                <c:pt idx="134">
                  <c:v>1.1380844895151501</c:v>
                </c:pt>
                <c:pt idx="135">
                  <c:v>1.1385870730965399</c:v>
                </c:pt>
                <c:pt idx="136">
                  <c:v>1.13900277365344</c:v>
                </c:pt>
                <c:pt idx="137">
                  <c:v>1.13874541701411</c:v>
                </c:pt>
                <c:pt idx="138">
                  <c:v>1.13792550926475</c:v>
                </c:pt>
                <c:pt idx="139">
                  <c:v>1.13686736954027</c:v>
                </c:pt>
                <c:pt idx="140">
                  <c:v>1.1360885479360701</c:v>
                </c:pt>
                <c:pt idx="141">
                  <c:v>1.1349615181017301</c:v>
                </c:pt>
                <c:pt idx="142">
                  <c:v>1.13446708217231</c:v>
                </c:pt>
                <c:pt idx="143">
                  <c:v>1.1338795723497299</c:v>
                </c:pt>
                <c:pt idx="144">
                  <c:v>1.13378368436882</c:v>
                </c:pt>
                <c:pt idx="145">
                  <c:v>1.13421363390574</c:v>
                </c:pt>
                <c:pt idx="146">
                  <c:v>1.1351633709545199</c:v>
                </c:pt>
                <c:pt idx="147">
                  <c:v>1.1360250581395099</c:v>
                </c:pt>
                <c:pt idx="148">
                  <c:v>1.13727106314225</c:v>
                </c:pt>
                <c:pt idx="149">
                  <c:v>1.1386463310395201</c:v>
                </c:pt>
                <c:pt idx="150">
                  <c:v>1.1398950227836</c:v>
                </c:pt>
                <c:pt idx="151">
                  <c:v>1.1411802902297199</c:v>
                </c:pt>
                <c:pt idx="152">
                  <c:v>1.1426796060105999</c:v>
                </c:pt>
                <c:pt idx="153">
                  <c:v>1.1447787004432199</c:v>
                </c:pt>
                <c:pt idx="154">
                  <c:v>1.14598582238902</c:v>
                </c:pt>
                <c:pt idx="155">
                  <c:v>1.14661109782382</c:v>
                </c:pt>
                <c:pt idx="156">
                  <c:v>1.14715451107047</c:v>
                </c:pt>
                <c:pt idx="157">
                  <c:v>1.14827973778195</c:v>
                </c:pt>
                <c:pt idx="158">
                  <c:v>1.1479050919340701</c:v>
                </c:pt>
                <c:pt idx="159">
                  <c:v>1.14773954975843</c:v>
                </c:pt>
                <c:pt idx="160">
                  <c:v>1.1479548621452</c:v>
                </c:pt>
                <c:pt idx="161">
                  <c:v>1.1475054694326401</c:v>
                </c:pt>
                <c:pt idx="162">
                  <c:v>1.1461878887918999</c:v>
                </c:pt>
                <c:pt idx="163">
                  <c:v>1.1445539130271001</c:v>
                </c:pt>
                <c:pt idx="164">
                  <c:v>1.14321263758948</c:v>
                </c:pt>
                <c:pt idx="165">
                  <c:v>1.1420434480730099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97-4062-BC83-F4EC2E6C9BB0}"/>
            </c:ext>
          </c:extLst>
        </c:ser>
        <c:ser>
          <c:idx val="2"/>
          <c:order val="2"/>
          <c:tx>
            <c:strRef>
              <c:f>IYK_XLP_0!$AA$1</c:f>
              <c:strCache>
                <c:ptCount val="1"/>
                <c:pt idx="0">
                  <c:v> XLP*/IYK*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IYK_XLP_0!$AA$2:$AA$167</c:f>
              <c:numCache>
                <c:formatCode>_(* #,##0.0000_);_(* \(#,##0.0000\);_(* "-"??_);_(@_)</c:formatCode>
                <c:ptCount val="166"/>
                <c:pt idx="19">
                  <c:v>1.1770650605519599</c:v>
                </c:pt>
                <c:pt idx="20">
                  <c:v>1.17758940787805</c:v>
                </c:pt>
                <c:pt idx="21">
                  <c:v>1.17801223049063</c:v>
                </c:pt>
                <c:pt idx="22">
                  <c:v>1.17845557244876</c:v>
                </c:pt>
                <c:pt idx="23">
                  <c:v>1.17807616227114</c:v>
                </c:pt>
                <c:pt idx="24">
                  <c:v>1.1777447160944901</c:v>
                </c:pt>
                <c:pt idx="25">
                  <c:v>1.1773859941686</c:v>
                </c:pt>
                <c:pt idx="26">
                  <c:v>1.17669553033584</c:v>
                </c:pt>
                <c:pt idx="27">
                  <c:v>1.17588381208772</c:v>
                </c:pt>
                <c:pt idx="28">
                  <c:v>1.17545412429597</c:v>
                </c:pt>
                <c:pt idx="29">
                  <c:v>1.1753585004174401</c:v>
                </c:pt>
                <c:pt idx="30">
                  <c:v>1.1748868823223</c:v>
                </c:pt>
                <c:pt idx="31">
                  <c:v>1.17431908932496</c:v>
                </c:pt>
                <c:pt idx="32">
                  <c:v>1.1735529786543299</c:v>
                </c:pt>
                <c:pt idx="33">
                  <c:v>1.1728979369685899</c:v>
                </c:pt>
                <c:pt idx="34">
                  <c:v>1.1721329310744699</c:v>
                </c:pt>
                <c:pt idx="35">
                  <c:v>1.17182213857368</c:v>
                </c:pt>
                <c:pt idx="36">
                  <c:v>1.17124559708104</c:v>
                </c:pt>
                <c:pt idx="37">
                  <c:v>1.17062506125554</c:v>
                </c:pt>
                <c:pt idx="38">
                  <c:v>1.17017737550748</c:v>
                </c:pt>
                <c:pt idx="39">
                  <c:v>1.1695307360995699</c:v>
                </c:pt>
                <c:pt idx="40">
                  <c:v>1.1689134992444301</c:v>
                </c:pt>
                <c:pt idx="41">
                  <c:v>1.1682803633350001</c:v>
                </c:pt>
                <c:pt idx="42">
                  <c:v>1.1673550652023099</c:v>
                </c:pt>
                <c:pt idx="43">
                  <c:v>1.16756472565679</c:v>
                </c:pt>
                <c:pt idx="44">
                  <c:v>1.1673641623429001</c:v>
                </c:pt>
                <c:pt idx="45">
                  <c:v>1.1671972522645599</c:v>
                </c:pt>
                <c:pt idx="46">
                  <c:v>1.16702877949791</c:v>
                </c:pt>
                <c:pt idx="47">
                  <c:v>1.16669985372245</c:v>
                </c:pt>
                <c:pt idx="48">
                  <c:v>1.16610203098512</c:v>
                </c:pt>
                <c:pt idx="49">
                  <c:v>1.1653836046116</c:v>
                </c:pt>
                <c:pt idx="50">
                  <c:v>1.1652219166307201</c:v>
                </c:pt>
                <c:pt idx="51">
                  <c:v>1.1652494208727899</c:v>
                </c:pt>
                <c:pt idx="52">
                  <c:v>1.16543413791322</c:v>
                </c:pt>
                <c:pt idx="53">
                  <c:v>1.1658749342747201</c:v>
                </c:pt>
                <c:pt idx="54">
                  <c:v>1.1662167570331201</c:v>
                </c:pt>
                <c:pt idx="55">
                  <c:v>1.1662459694819001</c:v>
                </c:pt>
                <c:pt idx="56">
                  <c:v>1.16644027036007</c:v>
                </c:pt>
                <c:pt idx="57">
                  <c:v>1.1670625050376899</c:v>
                </c:pt>
                <c:pt idx="58">
                  <c:v>1.16776196071622</c:v>
                </c:pt>
                <c:pt idx="59">
                  <c:v>1.16850463933277</c:v>
                </c:pt>
                <c:pt idx="60">
                  <c:v>1.1688999358243499</c:v>
                </c:pt>
                <c:pt idx="61">
                  <c:v>1.1691988276652701</c:v>
                </c:pt>
                <c:pt idx="62">
                  <c:v>1.1694013002296799</c:v>
                </c:pt>
                <c:pt idx="63">
                  <c:v>1.1696731447577799</c:v>
                </c:pt>
                <c:pt idx="64">
                  <c:v>1.16973511195792</c:v>
                </c:pt>
                <c:pt idx="65">
                  <c:v>1.16986296222848</c:v>
                </c:pt>
                <c:pt idx="66">
                  <c:v>1.1701844304651301</c:v>
                </c:pt>
                <c:pt idx="67">
                  <c:v>1.1702947086339199</c:v>
                </c:pt>
                <c:pt idx="68">
                  <c:v>1.17019561102697</c:v>
                </c:pt>
                <c:pt idx="69">
                  <c:v>1.17013772949686</c:v>
                </c:pt>
                <c:pt idx="70">
                  <c:v>1.1701066877950601</c:v>
                </c:pt>
                <c:pt idx="71">
                  <c:v>1.1699703709226299</c:v>
                </c:pt>
                <c:pt idx="72">
                  <c:v>1.17006888930774</c:v>
                </c:pt>
                <c:pt idx="73">
                  <c:v>1.1703268469572099</c:v>
                </c:pt>
                <c:pt idx="74">
                  <c:v>1.1711436614439299</c:v>
                </c:pt>
                <c:pt idx="75">
                  <c:v>1.1719144821184699</c:v>
                </c:pt>
                <c:pt idx="76">
                  <c:v>1.17258950395874</c:v>
                </c:pt>
                <c:pt idx="77">
                  <c:v>1.1729667635518899</c:v>
                </c:pt>
                <c:pt idx="78">
                  <c:v>1.1730230616380899</c:v>
                </c:pt>
                <c:pt idx="79">
                  <c:v>1.1728711974242201</c:v>
                </c:pt>
                <c:pt idx="80">
                  <c:v>1.17276642271099</c:v>
                </c:pt>
                <c:pt idx="81">
                  <c:v>1.1729573134729201</c:v>
                </c:pt>
                <c:pt idx="82">
                  <c:v>1.1731595614149499</c:v>
                </c:pt>
                <c:pt idx="83">
                  <c:v>1.1730668015136201</c:v>
                </c:pt>
                <c:pt idx="84">
                  <c:v>1.1735058576506201</c:v>
                </c:pt>
                <c:pt idx="85">
                  <c:v>1.1738964322041101</c:v>
                </c:pt>
                <c:pt idx="86">
                  <c:v>1.17434348412803</c:v>
                </c:pt>
                <c:pt idx="87">
                  <c:v>1.17508127657864</c:v>
                </c:pt>
                <c:pt idx="88">
                  <c:v>1.17542006672877</c:v>
                </c:pt>
                <c:pt idx="89">
                  <c:v>1.1756289835528599</c:v>
                </c:pt>
                <c:pt idx="90">
                  <c:v>1.1756819654155899</c:v>
                </c:pt>
                <c:pt idx="91">
                  <c:v>1.1757983835739401</c:v>
                </c:pt>
                <c:pt idx="92">
                  <c:v>1.17569024973988</c:v>
                </c:pt>
                <c:pt idx="93">
                  <c:v>1.17568011738355</c:v>
                </c:pt>
                <c:pt idx="94">
                  <c:v>1.17561062125514</c:v>
                </c:pt>
                <c:pt idx="95">
                  <c:v>1.17548209738308</c:v>
                </c:pt>
                <c:pt idx="96">
                  <c:v>1.17483011474639</c:v>
                </c:pt>
                <c:pt idx="97">
                  <c:v>1.17409655965715</c:v>
                </c:pt>
                <c:pt idx="98">
                  <c:v>1.17367767464155</c:v>
                </c:pt>
                <c:pt idx="99">
                  <c:v>1.17355305135264</c:v>
                </c:pt>
                <c:pt idx="100">
                  <c:v>1.17361149849547</c:v>
                </c:pt>
                <c:pt idx="101">
                  <c:v>1.17317226236704</c:v>
                </c:pt>
                <c:pt idx="102">
                  <c:v>1.17285295113515</c:v>
                </c:pt>
                <c:pt idx="103">
                  <c:v>1.1723798463569901</c:v>
                </c:pt>
                <c:pt idx="104">
                  <c:v>1.1718913470494801</c:v>
                </c:pt>
                <c:pt idx="105">
                  <c:v>1.17132423949487</c:v>
                </c:pt>
                <c:pt idx="106">
                  <c:v>1.17028306313065</c:v>
                </c:pt>
                <c:pt idx="107">
                  <c:v>1.1694640805722401</c:v>
                </c:pt>
                <c:pt idx="108">
                  <c:v>1.16899984494812</c:v>
                </c:pt>
                <c:pt idx="109">
                  <c:v>1.1685065328445201</c:v>
                </c:pt>
                <c:pt idx="110">
                  <c:v>1.16801069106374</c:v>
                </c:pt>
                <c:pt idx="111">
                  <c:v>1.1674763810459601</c:v>
                </c:pt>
                <c:pt idx="112">
                  <c:v>1.16730566931296</c:v>
                </c:pt>
                <c:pt idx="113">
                  <c:v>1.16672469104444</c:v>
                </c:pt>
                <c:pt idx="114">
                  <c:v>1.1655702817117799</c:v>
                </c:pt>
                <c:pt idx="115">
                  <c:v>1.16474504225595</c:v>
                </c:pt>
                <c:pt idx="116">
                  <c:v>1.1641669389047</c:v>
                </c:pt>
                <c:pt idx="117">
                  <c:v>1.16379082457467</c:v>
                </c:pt>
                <c:pt idx="118">
                  <c:v>1.16340265330659</c:v>
                </c:pt>
                <c:pt idx="119">
                  <c:v>1.1627320034680899</c:v>
                </c:pt>
                <c:pt idx="120">
                  <c:v>1.1617547594317601</c:v>
                </c:pt>
                <c:pt idx="121">
                  <c:v>1.16083669929596</c:v>
                </c:pt>
                <c:pt idx="122">
                  <c:v>1.1595825962047399</c:v>
                </c:pt>
                <c:pt idx="123">
                  <c:v>1.15814475600977</c:v>
                </c:pt>
                <c:pt idx="124">
                  <c:v>1.15658809665135</c:v>
                </c:pt>
                <c:pt idx="125">
                  <c:v>1.1549136594271701</c:v>
                </c:pt>
                <c:pt idx="126">
                  <c:v>1.1534086641374599</c:v>
                </c:pt>
                <c:pt idx="127">
                  <c:v>1.1519867006300699</c:v>
                </c:pt>
                <c:pt idx="128">
                  <c:v>1.1508561469731999</c:v>
                </c:pt>
                <c:pt idx="129">
                  <c:v>1.14988842195011</c:v>
                </c:pt>
                <c:pt idx="130">
                  <c:v>1.1487955564732399</c:v>
                </c:pt>
                <c:pt idx="131">
                  <c:v>1.1477815152962501</c:v>
                </c:pt>
                <c:pt idx="132">
                  <c:v>1.1464468277716799</c:v>
                </c:pt>
                <c:pt idx="133">
                  <c:v>1.14511192556859</c:v>
                </c:pt>
                <c:pt idx="134">
                  <c:v>1.1440176737207099</c:v>
                </c:pt>
                <c:pt idx="135">
                  <c:v>1.1427912130151701</c:v>
                </c:pt>
                <c:pt idx="136">
                  <c:v>1.1417190705929801</c:v>
                </c:pt>
                <c:pt idx="137">
                  <c:v>1.1405634378432099</c:v>
                </c:pt>
                <c:pt idx="138">
                  <c:v>1.1391079783226301</c:v>
                </c:pt>
                <c:pt idx="139">
                  <c:v>1.13801421105614</c:v>
                </c:pt>
                <c:pt idx="140">
                  <c:v>1.1371330302672</c:v>
                </c:pt>
                <c:pt idx="141">
                  <c:v>1.1362572010270999</c:v>
                </c:pt>
                <c:pt idx="142">
                  <c:v>1.1359316958847501</c:v>
                </c:pt>
                <c:pt idx="143">
                  <c:v>1.1358255169300799</c:v>
                </c:pt>
                <c:pt idx="144">
                  <c:v>1.1359340869419901</c:v>
                </c:pt>
                <c:pt idx="145">
                  <c:v>1.13640035350114</c:v>
                </c:pt>
                <c:pt idx="146">
                  <c:v>1.13708307230398</c:v>
                </c:pt>
                <c:pt idx="147">
                  <c:v>1.1373852375768101</c:v>
                </c:pt>
                <c:pt idx="148">
                  <c:v>1.1375982862034999</c:v>
                </c:pt>
                <c:pt idx="149">
                  <c:v>1.13775685028989</c:v>
                </c:pt>
                <c:pt idx="150">
                  <c:v>1.13799178535984</c:v>
                </c:pt>
                <c:pt idx="151">
                  <c:v>1.13807090416572</c:v>
                </c:pt>
                <c:pt idx="152">
                  <c:v>1.1385733440914501</c:v>
                </c:pt>
                <c:pt idx="153">
                  <c:v>1.1393291363964699</c:v>
                </c:pt>
                <c:pt idx="154">
                  <c:v>1.13988475337892</c:v>
                </c:pt>
                <c:pt idx="155">
                  <c:v>1.14041236586478</c:v>
                </c:pt>
                <c:pt idx="156">
                  <c:v>1.14115894101249</c:v>
                </c:pt>
                <c:pt idx="157">
                  <c:v>1.14215239796073</c:v>
                </c:pt>
                <c:pt idx="158">
                  <c:v>1.1425880775381601</c:v>
                </c:pt>
                <c:pt idx="159">
                  <c:v>1.14319294039898</c:v>
                </c:pt>
                <c:pt idx="160">
                  <c:v>1.1439249424644</c:v>
                </c:pt>
                <c:pt idx="161">
                  <c:v>1.1443428798311801</c:v>
                </c:pt>
                <c:pt idx="162">
                  <c:v>1.14443374740125</c:v>
                </c:pt>
                <c:pt idx="163">
                  <c:v>1.1446663067351599</c:v>
                </c:pt>
                <c:pt idx="164">
                  <c:v>1.14459922998925</c:v>
                </c:pt>
                <c:pt idx="165">
                  <c:v>1.14432727294842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97-4062-BC83-F4EC2E6C9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IYK_XLP_0!$U$1</c:f>
              <c:strCache>
                <c:ptCount val="1"/>
                <c:pt idx="0">
                  <c:v>log diff IYK x avg / XLP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IYK_XLP_0!$U$2:$U$167</c:f>
              <c:numCache>
                <c:formatCode>0.00%</c:formatCode>
                <c:ptCount val="166"/>
                <c:pt idx="1">
                  <c:v>-5.83312548625979E-3</c:v>
                </c:pt>
                <c:pt idx="2">
                  <c:v>-1.1928086878213499E-2</c:v>
                </c:pt>
                <c:pt idx="3">
                  <c:v>-1.05072526471189E-2</c:v>
                </c:pt>
                <c:pt idx="4">
                  <c:v>-1.3047884085678E-2</c:v>
                </c:pt>
                <c:pt idx="5">
                  <c:v>-1.45027644109066E-2</c:v>
                </c:pt>
                <c:pt idx="6">
                  <c:v>-1.7870656053182499E-2</c:v>
                </c:pt>
                <c:pt idx="7">
                  <c:v>-2.02944730537187E-2</c:v>
                </c:pt>
                <c:pt idx="8">
                  <c:v>-1.9346033253967301E-2</c:v>
                </c:pt>
                <c:pt idx="9">
                  <c:v>-1.7307191909963202E-2</c:v>
                </c:pt>
                <c:pt idx="10">
                  <c:v>-1.8750697948918999E-2</c:v>
                </c:pt>
                <c:pt idx="11">
                  <c:v>-1.8047602485450599E-2</c:v>
                </c:pt>
                <c:pt idx="12">
                  <c:v>-1.8156654979064001E-2</c:v>
                </c:pt>
                <c:pt idx="13">
                  <c:v>-1.3368208832112601E-2</c:v>
                </c:pt>
                <c:pt idx="14">
                  <c:v>-1.3131018146751E-2</c:v>
                </c:pt>
                <c:pt idx="15">
                  <c:v>-9.2916738046711408E-3</c:v>
                </c:pt>
                <c:pt idx="16">
                  <c:v>-1.0758587255115399E-2</c:v>
                </c:pt>
                <c:pt idx="17">
                  <c:v>-7.1264373314932402E-3</c:v>
                </c:pt>
                <c:pt idx="18">
                  <c:v>-5.1001581181022099E-3</c:v>
                </c:pt>
                <c:pt idx="19">
                  <c:v>-5.2572031158712798E-3</c:v>
                </c:pt>
                <c:pt idx="20">
                  <c:v>-1.09047964313462E-2</c:v>
                </c:pt>
                <c:pt idx="21">
                  <c:v>-1.3040174056551701E-2</c:v>
                </c:pt>
                <c:pt idx="22">
                  <c:v>-1.94378330816001E-2</c:v>
                </c:pt>
                <c:pt idx="23">
                  <c:v>-4.02612160203779E-3</c:v>
                </c:pt>
                <c:pt idx="24">
                  <c:v>-7.4028041651956903E-3</c:v>
                </c:pt>
                <c:pt idx="25">
                  <c:v>-8.40062240834831E-3</c:v>
                </c:pt>
                <c:pt idx="26">
                  <c:v>-6.1318254152629599E-3</c:v>
                </c:pt>
                <c:pt idx="27">
                  <c:v>-6.5135261929096496E-3</c:v>
                </c:pt>
                <c:pt idx="28">
                  <c:v>-1.20677473954685E-2</c:v>
                </c:pt>
                <c:pt idx="29">
                  <c:v>-1.5688739997255601E-2</c:v>
                </c:pt>
                <c:pt idx="30">
                  <c:v>-1.07545506104554E-2</c:v>
                </c:pt>
                <c:pt idx="31">
                  <c:v>-8.4061501429612794E-3</c:v>
                </c:pt>
                <c:pt idx="32">
                  <c:v>-5.1270600851455201E-3</c:v>
                </c:pt>
                <c:pt idx="33">
                  <c:v>-2.1844465453166599E-3</c:v>
                </c:pt>
                <c:pt idx="34">
                  <c:v>-5.4353441740444902E-5</c:v>
                </c:pt>
                <c:pt idx="35">
                  <c:v>-3.9793232188595502E-3</c:v>
                </c:pt>
                <c:pt idx="36">
                  <c:v>-8.9587090970024504E-4</c:v>
                </c:pt>
                <c:pt idx="37">
                  <c:v>3.53173388479975E-3</c:v>
                </c:pt>
                <c:pt idx="38">
                  <c:v>2.5933838491948502E-3</c:v>
                </c:pt>
                <c:pt idx="39">
                  <c:v>5.8727171246910704E-3</c:v>
                </c:pt>
                <c:pt idx="40">
                  <c:v>-3.4378038452423902E-4</c:v>
                </c:pt>
                <c:pt idx="41">
                  <c:v>-2.22888033903966E-3</c:v>
                </c:pt>
                <c:pt idx="42">
                  <c:v>-3.6997654821253E-3</c:v>
                </c:pt>
                <c:pt idx="43">
                  <c:v>-7.61275846504507E-3</c:v>
                </c:pt>
                <c:pt idx="44">
                  <c:v>-3.9713366742510402E-3</c:v>
                </c:pt>
                <c:pt idx="45">
                  <c:v>-5.5486071448168804E-3</c:v>
                </c:pt>
                <c:pt idx="46">
                  <c:v>-3.2465216437873902E-3</c:v>
                </c:pt>
                <c:pt idx="47">
                  <c:v>-8.7466407759658805E-4</c:v>
                </c:pt>
                <c:pt idx="48">
                  <c:v>-1.85256202203867E-3</c:v>
                </c:pt>
                <c:pt idx="49">
                  <c:v>-3.4447422888684901E-3</c:v>
                </c:pt>
                <c:pt idx="50">
                  <c:v>-7.9983938284235306E-3</c:v>
                </c:pt>
                <c:pt idx="51">
                  <c:v>-8.8753366550726707E-3</c:v>
                </c:pt>
                <c:pt idx="52">
                  <c:v>-8.28419421233011E-3</c:v>
                </c:pt>
                <c:pt idx="53">
                  <c:v>-9.7240679668255704E-3</c:v>
                </c:pt>
                <c:pt idx="54">
                  <c:v>-5.9184598281903098E-3</c:v>
                </c:pt>
                <c:pt idx="55">
                  <c:v>-4.4798525600845398E-3</c:v>
                </c:pt>
                <c:pt idx="56">
                  <c:v>-4.2305944310428202E-3</c:v>
                </c:pt>
                <c:pt idx="57">
                  <c:v>-7.1554610310285097E-3</c:v>
                </c:pt>
                <c:pt idx="58">
                  <c:v>-9.4009963526386301E-3</c:v>
                </c:pt>
                <c:pt idx="59">
                  <c:v>-6.8997098253081503E-3</c:v>
                </c:pt>
                <c:pt idx="60">
                  <c:v>-7.1201925913857997E-3</c:v>
                </c:pt>
                <c:pt idx="61">
                  <c:v>-7.3472614673372799E-3</c:v>
                </c:pt>
                <c:pt idx="62">
                  <c:v>-7.1647813532272299E-3</c:v>
                </c:pt>
                <c:pt idx="63">
                  <c:v>-1.22441000523516E-2</c:v>
                </c:pt>
                <c:pt idx="64">
                  <c:v>-5.0328002561191697E-3</c:v>
                </c:pt>
                <c:pt idx="65">
                  <c:v>-7.7339308004440704E-3</c:v>
                </c:pt>
                <c:pt idx="66">
                  <c:v>-8.7448679792849794E-3</c:v>
                </c:pt>
                <c:pt idx="67">
                  <c:v>-2.7687374330150902E-3</c:v>
                </c:pt>
                <c:pt idx="68">
                  <c:v>-1.49121701173423E-4</c:v>
                </c:pt>
                <c:pt idx="69">
                  <c:v>-2.45172215789105E-3</c:v>
                </c:pt>
                <c:pt idx="70">
                  <c:v>-7.4683821755849797E-3</c:v>
                </c:pt>
                <c:pt idx="71">
                  <c:v>-6.5477873212866702E-3</c:v>
                </c:pt>
                <c:pt idx="72">
                  <c:v>-9.9639771345133802E-3</c:v>
                </c:pt>
                <c:pt idx="73">
                  <c:v>-1.4110092021081599E-2</c:v>
                </c:pt>
                <c:pt idx="74">
                  <c:v>-1.9793528110607399E-2</c:v>
                </c:pt>
                <c:pt idx="75">
                  <c:v>-1.7597461551825799E-2</c:v>
                </c:pt>
                <c:pt idx="76">
                  <c:v>-1.5730108489093401E-2</c:v>
                </c:pt>
                <c:pt idx="77">
                  <c:v>-1.3579902644919799E-2</c:v>
                </c:pt>
                <c:pt idx="78">
                  <c:v>-1.03601783055031E-2</c:v>
                </c:pt>
                <c:pt idx="79">
                  <c:v>-4.3012168793524104E-3</c:v>
                </c:pt>
                <c:pt idx="80">
                  <c:v>-5.3285487488755499E-3</c:v>
                </c:pt>
                <c:pt idx="81">
                  <c:v>-1.06025196752244E-2</c:v>
                </c:pt>
                <c:pt idx="82">
                  <c:v>-1.0614008131924301E-2</c:v>
                </c:pt>
                <c:pt idx="83">
                  <c:v>-1.06661843562234E-2</c:v>
                </c:pt>
                <c:pt idx="84">
                  <c:v>-1.2521486593288901E-2</c:v>
                </c:pt>
                <c:pt idx="85">
                  <c:v>-1.4380530440096901E-2</c:v>
                </c:pt>
                <c:pt idx="86">
                  <c:v>-1.6341271152217299E-2</c:v>
                </c:pt>
                <c:pt idx="87">
                  <c:v>-1.53491695301057E-2</c:v>
                </c:pt>
                <c:pt idx="88">
                  <c:v>-5.96080418489244E-3</c:v>
                </c:pt>
                <c:pt idx="89">
                  <c:v>-6.0312816996502799E-3</c:v>
                </c:pt>
                <c:pt idx="90">
                  <c:v>-8.3728347517438607E-3</c:v>
                </c:pt>
                <c:pt idx="91">
                  <c:v>-8.5359125564998493E-3</c:v>
                </c:pt>
                <c:pt idx="92">
                  <c:v>-8.1200952298544401E-3</c:v>
                </c:pt>
                <c:pt idx="93">
                  <c:v>-1.3938175221127501E-2</c:v>
                </c:pt>
                <c:pt idx="94">
                  <c:v>-1.8620475313010199E-2</c:v>
                </c:pt>
                <c:pt idx="95">
                  <c:v>-1.54221971327188E-2</c:v>
                </c:pt>
                <c:pt idx="96">
                  <c:v>-4.6252724147691701E-3</c:v>
                </c:pt>
                <c:pt idx="97">
                  <c:v>-1.0498890287751199E-3</c:v>
                </c:pt>
                <c:pt idx="98">
                  <c:v>-3.2012578391229299E-3</c:v>
                </c:pt>
                <c:pt idx="99">
                  <c:v>-2.1637778348078001E-3</c:v>
                </c:pt>
                <c:pt idx="100">
                  <c:v>-6.3283886493866199E-3</c:v>
                </c:pt>
                <c:pt idx="101">
                  <c:v>-3.09630741532143E-3</c:v>
                </c:pt>
                <c:pt idx="102">
                  <c:v>-5.1628821681218998E-3</c:v>
                </c:pt>
                <c:pt idx="103">
                  <c:v>-2.5793529816248301E-3</c:v>
                </c:pt>
                <c:pt idx="104">
                  <c:v>-4.1859571828831302E-3</c:v>
                </c:pt>
                <c:pt idx="105">
                  <c:v>-4.7152241729453599E-3</c:v>
                </c:pt>
                <c:pt idx="106">
                  <c:v>1.4407631206426201E-3</c:v>
                </c:pt>
                <c:pt idx="107">
                  <c:v>-1.37461205062473E-3</c:v>
                </c:pt>
                <c:pt idx="108">
                  <c:v>2.0113956991061701E-3</c:v>
                </c:pt>
                <c:pt idx="109">
                  <c:v>2.4417627807963799E-3</c:v>
                </c:pt>
                <c:pt idx="110">
                  <c:v>1.2384078932402699E-4</c:v>
                </c:pt>
                <c:pt idx="111">
                  <c:v>6.2147658503990599E-4</c:v>
                </c:pt>
                <c:pt idx="112">
                  <c:v>-5.2022061109027098E-3</c:v>
                </c:pt>
                <c:pt idx="113">
                  <c:v>-4.03089043295896E-3</c:v>
                </c:pt>
                <c:pt idx="114">
                  <c:v>1.06926943711598E-3</c:v>
                </c:pt>
                <c:pt idx="115">
                  <c:v>-1.3411566049115399E-3</c:v>
                </c:pt>
                <c:pt idx="116">
                  <c:v>5.3254406485662197E-3</c:v>
                </c:pt>
                <c:pt idx="117">
                  <c:v>5.4360075770754201E-3</c:v>
                </c:pt>
                <c:pt idx="118">
                  <c:v>3.47881685187219E-3</c:v>
                </c:pt>
                <c:pt idx="119">
                  <c:v>9.4177819265471498E-3</c:v>
                </c:pt>
                <c:pt idx="120">
                  <c:v>1.0521885282559099E-2</c:v>
                </c:pt>
                <c:pt idx="121">
                  <c:v>1.27769906872756E-2</c:v>
                </c:pt>
                <c:pt idx="122">
                  <c:v>1.6538801759454901E-2</c:v>
                </c:pt>
                <c:pt idx="123">
                  <c:v>2.2407025582341301E-2</c:v>
                </c:pt>
                <c:pt idx="124">
                  <c:v>2.2849364191158E-2</c:v>
                </c:pt>
                <c:pt idx="125">
                  <c:v>2.43800315610633E-2</c:v>
                </c:pt>
                <c:pt idx="126">
                  <c:v>2.7716354750075198E-2</c:v>
                </c:pt>
                <c:pt idx="127">
                  <c:v>2.3362584153087101E-2</c:v>
                </c:pt>
                <c:pt idx="128">
                  <c:v>2.16961804563497E-2</c:v>
                </c:pt>
                <c:pt idx="129">
                  <c:v>1.9274742151409899E-2</c:v>
                </c:pt>
                <c:pt idx="130">
                  <c:v>1.9109916562901001E-2</c:v>
                </c:pt>
                <c:pt idx="131">
                  <c:v>1.82348705408805E-2</c:v>
                </c:pt>
                <c:pt idx="132">
                  <c:v>1.79092712599585E-2</c:v>
                </c:pt>
                <c:pt idx="133">
                  <c:v>1.91117546273347E-2</c:v>
                </c:pt>
                <c:pt idx="134">
                  <c:v>2.0097814311597999E-2</c:v>
                </c:pt>
                <c:pt idx="135">
                  <c:v>1.99591940120122E-2</c:v>
                </c:pt>
                <c:pt idx="136">
                  <c:v>2.4046161578332701E-2</c:v>
                </c:pt>
                <c:pt idx="137">
                  <c:v>2.5631627089998402E-2</c:v>
                </c:pt>
                <c:pt idx="138">
                  <c:v>2.89309726839488E-2</c:v>
                </c:pt>
                <c:pt idx="139">
                  <c:v>2.8598812223468901E-2</c:v>
                </c:pt>
                <c:pt idx="140">
                  <c:v>2.5963111679259999E-2</c:v>
                </c:pt>
                <c:pt idx="141">
                  <c:v>2.8158632183098001E-2</c:v>
                </c:pt>
                <c:pt idx="142">
                  <c:v>2.2249358805389099E-2</c:v>
                </c:pt>
                <c:pt idx="143">
                  <c:v>2.4277165903347799E-2</c:v>
                </c:pt>
                <c:pt idx="144">
                  <c:v>2.0939875896095701E-2</c:v>
                </c:pt>
                <c:pt idx="145">
                  <c:v>1.6192711216535201E-2</c:v>
                </c:pt>
                <c:pt idx="146">
                  <c:v>1.5711196278587101E-2</c:v>
                </c:pt>
                <c:pt idx="147">
                  <c:v>1.80545205396817E-2</c:v>
                </c:pt>
                <c:pt idx="148">
                  <c:v>1.7956904539256999E-2</c:v>
                </c:pt>
                <c:pt idx="149">
                  <c:v>1.6497134354063098E-2</c:v>
                </c:pt>
                <c:pt idx="150">
                  <c:v>1.49979229008728E-2</c:v>
                </c:pt>
                <c:pt idx="151">
                  <c:v>1.6849402185912798E-2</c:v>
                </c:pt>
                <c:pt idx="152">
                  <c:v>9.1462020259892706E-3</c:v>
                </c:pt>
                <c:pt idx="153">
                  <c:v>5.9431909356909597E-3</c:v>
                </c:pt>
                <c:pt idx="154">
                  <c:v>1.0390641553404901E-2</c:v>
                </c:pt>
                <c:pt idx="155">
                  <c:v>1.07403109155921E-2</c:v>
                </c:pt>
                <c:pt idx="156">
                  <c:v>1.0973221602758499E-2</c:v>
                </c:pt>
                <c:pt idx="157">
                  <c:v>8.2456776055515203E-3</c:v>
                </c:pt>
                <c:pt idx="158">
                  <c:v>2.1243918521995701E-2</c:v>
                </c:pt>
                <c:pt idx="159">
                  <c:v>1.7946094183525801E-2</c:v>
                </c:pt>
                <c:pt idx="160">
                  <c:v>1.31192853529507E-2</c:v>
                </c:pt>
                <c:pt idx="161">
                  <c:v>2.0789140018852299E-2</c:v>
                </c:pt>
                <c:pt idx="162">
                  <c:v>2.0651923672173899E-2</c:v>
                </c:pt>
                <c:pt idx="163">
                  <c:v>2.0185624854318299E-2</c:v>
                </c:pt>
                <c:pt idx="164">
                  <c:v>2.21191658010438E-2</c:v>
                </c:pt>
                <c:pt idx="165">
                  <c:v>2.09599396171514E-2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4-4753-9F86-B540A5194530}"/>
            </c:ext>
          </c:extLst>
        </c:ser>
        <c:ser>
          <c:idx val="1"/>
          <c:order val="1"/>
          <c:tx>
            <c:strRef>
              <c:f>IYK_XLP_0!$V$1</c:f>
              <c:strCache>
                <c:ptCount val="1"/>
                <c:pt idx="0">
                  <c:v>log diff IYK x 10 dma / XLP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IYK_XLP_0!$V$2:$V$167</c:f>
              <c:numCache>
                <c:formatCode>0.00%</c:formatCode>
                <c:ptCount val="166"/>
                <c:pt idx="10">
                  <c:v>-5.4770222279580099E-3</c:v>
                </c:pt>
                <c:pt idx="11">
                  <c:v>-3.0991837443434902E-3</c:v>
                </c:pt>
                <c:pt idx="12">
                  <c:v>-1.9911905295268099E-3</c:v>
                </c:pt>
                <c:pt idx="13">
                  <c:v>3.4192208389510199E-3</c:v>
                </c:pt>
                <c:pt idx="14">
                  <c:v>3.94108259863255E-3</c:v>
                </c:pt>
                <c:pt idx="15">
                  <c:v>7.7887072690006297E-3</c:v>
                </c:pt>
                <c:pt idx="16">
                  <c:v>5.8032437524079602E-3</c:v>
                </c:pt>
                <c:pt idx="17">
                  <c:v>8.7255298432672608E-3</c:v>
                </c:pt>
                <c:pt idx="18">
                  <c:v>9.4369488744139203E-3</c:v>
                </c:pt>
                <c:pt idx="19">
                  <c:v>7.8575860303301704E-3</c:v>
                </c:pt>
                <c:pt idx="20">
                  <c:v>1.0064688627224401E-3</c:v>
                </c:pt>
                <c:pt idx="21">
                  <c:v>-1.91610227108868E-3</c:v>
                </c:pt>
                <c:pt idx="22">
                  <c:v>-8.8168492816796899E-3</c:v>
                </c:pt>
                <c:pt idx="23">
                  <c:v>6.7240234939597004E-3</c:v>
                </c:pt>
                <c:pt idx="24">
                  <c:v>2.41460990353079E-3</c:v>
                </c:pt>
                <c:pt idx="25">
                  <c:v>8.4354766634273798E-4</c:v>
                </c:pt>
                <c:pt idx="26">
                  <c:v>3.0232710086556302E-3</c:v>
                </c:pt>
                <c:pt idx="27">
                  <c:v>2.1791150513987599E-3</c:v>
                </c:pt>
                <c:pt idx="28">
                  <c:v>-3.4362844673479901E-3</c:v>
                </c:pt>
                <c:pt idx="29">
                  <c:v>-6.3607924361491104E-3</c:v>
                </c:pt>
                <c:pt idx="30">
                  <c:v>-3.8279446376625499E-4</c:v>
                </c:pt>
                <c:pt idx="31">
                  <c:v>1.9505744270584299E-3</c:v>
                </c:pt>
                <c:pt idx="32">
                  <c:v>4.7659843565693201E-3</c:v>
                </c:pt>
                <c:pt idx="33">
                  <c:v>6.2730549492539603E-3</c:v>
                </c:pt>
                <c:pt idx="34">
                  <c:v>8.2199468123265208E-3</c:v>
                </c:pt>
                <c:pt idx="35">
                  <c:v>3.5631954503558198E-3</c:v>
                </c:pt>
                <c:pt idx="36">
                  <c:v>6.2050175734433798E-3</c:v>
                </c:pt>
                <c:pt idx="37">
                  <c:v>1.0110764971039901E-2</c:v>
                </c:pt>
                <c:pt idx="38">
                  <c:v>8.1724831431426899E-3</c:v>
                </c:pt>
                <c:pt idx="39">
                  <c:v>9.9858499973587093E-3</c:v>
                </c:pt>
                <c:pt idx="40">
                  <c:v>1.6091187955782501E-3</c:v>
                </c:pt>
                <c:pt idx="41">
                  <c:v>-1.3213598484364099E-3</c:v>
                </c:pt>
                <c:pt idx="42">
                  <c:v>-3.4128957105980899E-3</c:v>
                </c:pt>
                <c:pt idx="43">
                  <c:v>-7.4692186333850203E-3</c:v>
                </c:pt>
                <c:pt idx="44">
                  <c:v>-3.2825263250067702E-3</c:v>
                </c:pt>
                <c:pt idx="45">
                  <c:v>-4.4676561531134503E-3</c:v>
                </c:pt>
                <c:pt idx="46">
                  <c:v>-2.0080756111815899E-3</c:v>
                </c:pt>
                <c:pt idx="47">
                  <c:v>5.9901524508804095E-4</c:v>
                </c:pt>
                <c:pt idx="48">
                  <c:v>6.04279026578344E-5</c:v>
                </c:pt>
                <c:pt idx="49">
                  <c:v>-1.08826979414319E-3</c:v>
                </c:pt>
                <c:pt idx="50">
                  <c:v>-4.71392358664827E-3</c:v>
                </c:pt>
                <c:pt idx="51">
                  <c:v>-4.8250175636894198E-3</c:v>
                </c:pt>
                <c:pt idx="52">
                  <c:v>-3.5684508003541102E-3</c:v>
                </c:pt>
                <c:pt idx="53">
                  <c:v>-4.5494011463045898E-3</c:v>
                </c:pt>
                <c:pt idx="54">
                  <c:v>-5.3194553134277005E-4</c:v>
                </c:pt>
                <c:pt idx="55">
                  <c:v>1.1012691765473401E-3</c:v>
                </c:pt>
                <c:pt idx="56">
                  <c:v>1.2437067065750099E-3</c:v>
                </c:pt>
                <c:pt idx="57">
                  <c:v>-1.58292809722187E-3</c:v>
                </c:pt>
                <c:pt idx="58">
                  <c:v>-3.2015566939674598E-3</c:v>
                </c:pt>
                <c:pt idx="59">
                  <c:v>5.3858485732772897E-5</c:v>
                </c:pt>
                <c:pt idx="60">
                  <c:v>1.7819828656696099E-4</c:v>
                </c:pt>
                <c:pt idx="61">
                  <c:v>-1.3671748980103899E-4</c:v>
                </c:pt>
                <c:pt idx="62">
                  <c:v>-1.07194310819641E-4</c:v>
                </c:pt>
                <c:pt idx="63">
                  <c:v>-5.2985352545857302E-3</c:v>
                </c:pt>
                <c:pt idx="64">
                  <c:v>2.1657555898259399E-3</c:v>
                </c:pt>
                <c:pt idx="65">
                  <c:v>-6.2379236210394803E-4</c:v>
                </c:pt>
                <c:pt idx="66">
                  <c:v>-1.30970070171344E-3</c:v>
                </c:pt>
                <c:pt idx="67">
                  <c:v>5.11732841627282E-3</c:v>
                </c:pt>
                <c:pt idx="68">
                  <c:v>7.2994565437917497E-3</c:v>
                </c:pt>
                <c:pt idx="69">
                  <c:v>4.0737095652739804E-3</c:v>
                </c:pt>
                <c:pt idx="70">
                  <c:v>-1.38702618137298E-3</c:v>
                </c:pt>
                <c:pt idx="71">
                  <c:v>-4.31570717486191E-4</c:v>
                </c:pt>
                <c:pt idx="72">
                  <c:v>-3.92777763727278E-3</c:v>
                </c:pt>
                <c:pt idx="73">
                  <c:v>-7.7933036404936196E-3</c:v>
                </c:pt>
                <c:pt idx="74">
                  <c:v>-1.3288873624837201E-2</c:v>
                </c:pt>
                <c:pt idx="75">
                  <c:v>-9.6090748697523608E-3</c:v>
                </c:pt>
                <c:pt idx="76">
                  <c:v>-6.7512311278461303E-3</c:v>
                </c:pt>
                <c:pt idx="77">
                  <c:v>-3.9004653265970698E-3</c:v>
                </c:pt>
                <c:pt idx="78">
                  <c:v>3.9817257138351501E-4</c:v>
                </c:pt>
                <c:pt idx="79">
                  <c:v>7.4721243692401499E-3</c:v>
                </c:pt>
                <c:pt idx="80">
                  <c:v>6.6281786866807602E-3</c:v>
                </c:pt>
                <c:pt idx="81">
                  <c:v>1.1413878086643601E-3</c:v>
                </c:pt>
                <c:pt idx="82">
                  <c:v>1.5340083897854499E-3</c:v>
                </c:pt>
                <c:pt idx="83">
                  <c:v>1.5467124315395699E-3</c:v>
                </c:pt>
                <c:pt idx="84">
                  <c:v>-6.5310043601687505E-4</c:v>
                </c:pt>
                <c:pt idx="85">
                  <c:v>-3.2427426311275901E-3</c:v>
                </c:pt>
                <c:pt idx="86">
                  <c:v>-5.5267932446030101E-3</c:v>
                </c:pt>
                <c:pt idx="87">
                  <c:v>-4.4732573068729199E-3</c:v>
                </c:pt>
                <c:pt idx="88">
                  <c:v>5.0926550515658104E-3</c:v>
                </c:pt>
                <c:pt idx="89">
                  <c:v>4.5834144141764597E-3</c:v>
                </c:pt>
                <c:pt idx="90">
                  <c:v>2.4139130104610302E-3</c:v>
                </c:pt>
                <c:pt idx="91">
                  <c:v>2.55402206437776E-3</c:v>
                </c:pt>
                <c:pt idx="92">
                  <c:v>2.76347138394822E-3</c:v>
                </c:pt>
                <c:pt idx="93">
                  <c:v>-3.3036530520740202E-3</c:v>
                </c:pt>
                <c:pt idx="94">
                  <c:v>-7.6582614967521997E-3</c:v>
                </c:pt>
                <c:pt idx="95">
                  <c:v>-3.8474537601847101E-3</c:v>
                </c:pt>
                <c:pt idx="96">
                  <c:v>7.0539792705517999E-3</c:v>
                </c:pt>
                <c:pt idx="97">
                  <c:v>9.45847123643365E-3</c:v>
                </c:pt>
                <c:pt idx="98">
                  <c:v>5.8794412521147596E-3</c:v>
                </c:pt>
                <c:pt idx="99">
                  <c:v>6.6421677082046399E-3</c:v>
                </c:pt>
                <c:pt idx="100">
                  <c:v>2.09254886252923E-3</c:v>
                </c:pt>
                <c:pt idx="101">
                  <c:v>5.1203832991137E-3</c:v>
                </c:pt>
                <c:pt idx="102">
                  <c:v>2.5110043266182202E-3</c:v>
                </c:pt>
                <c:pt idx="103">
                  <c:v>4.7990735997989796E-3</c:v>
                </c:pt>
                <c:pt idx="104">
                  <c:v>2.05493391450143E-3</c:v>
                </c:pt>
                <c:pt idx="105">
                  <c:v>7.3678054979500006E-5</c:v>
                </c:pt>
                <c:pt idx="106">
                  <c:v>5.1527151819850802E-3</c:v>
                </c:pt>
                <c:pt idx="107">
                  <c:v>1.73183670314344E-3</c:v>
                </c:pt>
                <c:pt idx="108">
                  <c:v>5.1502547792230602E-3</c:v>
                </c:pt>
                <c:pt idx="109">
                  <c:v>5.0605450782086102E-3</c:v>
                </c:pt>
                <c:pt idx="110">
                  <c:v>2.2832314697399602E-3</c:v>
                </c:pt>
                <c:pt idx="111">
                  <c:v>2.1348259047066498E-3</c:v>
                </c:pt>
                <c:pt idx="112">
                  <c:v>-4.0606019218714998E-3</c:v>
                </c:pt>
                <c:pt idx="113">
                  <c:v>-2.88533793472537E-3</c:v>
                </c:pt>
                <c:pt idx="114">
                  <c:v>2.36027892215528E-3</c:v>
                </c:pt>
                <c:pt idx="115">
                  <c:v>-5.7594910546542098E-4</c:v>
                </c:pt>
                <c:pt idx="116">
                  <c:v>5.7524196276655896E-3</c:v>
                </c:pt>
                <c:pt idx="117">
                  <c:v>5.4759209373086296E-3</c:v>
                </c:pt>
                <c:pt idx="118">
                  <c:v>2.8388446214180898E-3</c:v>
                </c:pt>
                <c:pt idx="119">
                  <c:v>8.6313654321406603E-3</c:v>
                </c:pt>
                <c:pt idx="120">
                  <c:v>9.0412033232760997E-3</c:v>
                </c:pt>
                <c:pt idx="121">
                  <c:v>1.0259950230152101E-2</c:v>
                </c:pt>
                <c:pt idx="122">
                  <c:v>1.28105422652177E-2</c:v>
                </c:pt>
                <c:pt idx="123">
                  <c:v>1.65064786068519E-2</c:v>
                </c:pt>
                <c:pt idx="124">
                  <c:v>1.43101478900647E-2</c:v>
                </c:pt>
                <c:pt idx="125">
                  <c:v>1.36678399677775E-2</c:v>
                </c:pt>
                <c:pt idx="126">
                  <c:v>1.4430740575470899E-2</c:v>
                </c:pt>
                <c:pt idx="127">
                  <c:v>7.8425699213553694E-3</c:v>
                </c:pt>
                <c:pt idx="128">
                  <c:v>4.3798619566569E-3</c:v>
                </c:pt>
                <c:pt idx="129">
                  <c:v>1.2634969389695001E-4</c:v>
                </c:pt>
                <c:pt idx="130">
                  <c:v>-1.02941156570816E-3</c:v>
                </c:pt>
                <c:pt idx="131">
                  <c:v>-2.7682202709553802E-3</c:v>
                </c:pt>
                <c:pt idx="132">
                  <c:v>-3.6427674083460699E-3</c:v>
                </c:pt>
                <c:pt idx="133">
                  <c:v>-2.5779349001406999E-3</c:v>
                </c:pt>
                <c:pt idx="134">
                  <c:v>-1.26209565289491E-3</c:v>
                </c:pt>
                <c:pt idx="135">
                  <c:v>-1.1256299949905901E-3</c:v>
                </c:pt>
                <c:pt idx="136">
                  <c:v>3.4028448996622799E-3</c:v>
                </c:pt>
                <c:pt idx="137">
                  <c:v>5.35334590014961E-3</c:v>
                </c:pt>
                <c:pt idx="138">
                  <c:v>8.4267168745350094E-3</c:v>
                </c:pt>
                <c:pt idx="139">
                  <c:v>7.3742873796978402E-3</c:v>
                </c:pt>
                <c:pt idx="140">
                  <c:v>3.80826934534996E-3</c:v>
                </c:pt>
                <c:pt idx="141">
                  <c:v>5.3184957537856896E-3</c:v>
                </c:pt>
                <c:pt idx="142">
                  <c:v>-1.5832964095837E-3</c:v>
                </c:pt>
                <c:pt idx="143">
                  <c:v>8.7746293613626003E-6</c:v>
                </c:pt>
                <c:pt idx="144">
                  <c:v>-3.8465224775079401E-3</c:v>
                </c:pt>
                <c:pt idx="145">
                  <c:v>-8.6782570160868992E-3</c:v>
                </c:pt>
                <c:pt idx="146">
                  <c:v>-8.7806272887383397E-3</c:v>
                </c:pt>
                <c:pt idx="147">
                  <c:v>-5.6003005356004797E-3</c:v>
                </c:pt>
                <c:pt idx="148">
                  <c:v>-4.93911800103599E-3</c:v>
                </c:pt>
                <c:pt idx="149">
                  <c:v>-5.3026780481402304E-3</c:v>
                </c:pt>
                <c:pt idx="150">
                  <c:v>-5.5933499750948296E-3</c:v>
                </c:pt>
                <c:pt idx="151">
                  <c:v>-2.6458257427075002E-3</c:v>
                </c:pt>
                <c:pt idx="152">
                  <c:v>-9.2221296754051597E-3</c:v>
                </c:pt>
                <c:pt idx="153">
                  <c:v>-1.11121740651287E-2</c:v>
                </c:pt>
                <c:pt idx="154">
                  <c:v>-4.8294156598138998E-3</c:v>
                </c:pt>
                <c:pt idx="155">
                  <c:v>-3.4258430740497598E-3</c:v>
                </c:pt>
                <c:pt idx="156">
                  <c:v>-2.64745887185404E-3</c:v>
                </c:pt>
                <c:pt idx="157">
                  <c:v>-4.9011852699981798E-3</c:v>
                </c:pt>
                <c:pt idx="158">
                  <c:v>9.0774599443883604E-3</c:v>
                </c:pt>
                <c:pt idx="159">
                  <c:v>5.4533153146631803E-3</c:v>
                </c:pt>
                <c:pt idx="160">
                  <c:v>4.8228366064547801E-4</c:v>
                </c:pt>
                <c:pt idx="161">
                  <c:v>8.3397176369981608E-3</c:v>
                </c:pt>
                <c:pt idx="162">
                  <c:v>7.8109521861074302E-3</c:v>
                </c:pt>
                <c:pt idx="163">
                  <c:v>6.19578071624811E-3</c:v>
                </c:pt>
                <c:pt idx="164">
                  <c:v>6.7027304682680602E-3</c:v>
                </c:pt>
                <c:pt idx="165">
                  <c:v>4.3709409466148597E-3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4-4753-9F86-B540A5194530}"/>
            </c:ext>
          </c:extLst>
        </c:ser>
        <c:ser>
          <c:idx val="2"/>
          <c:order val="2"/>
          <c:tx>
            <c:strRef>
              <c:f>IYK_XLP_0!$W$1</c:f>
              <c:strCache>
                <c:ptCount val="1"/>
                <c:pt idx="0">
                  <c:v>log diff IYK x 20 dma / XLP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IYK_XLP_0!$W$2:$W$167</c:f>
              <c:numCache>
                <c:formatCode>0.00%</c:formatCode>
                <c:ptCount val="166"/>
                <c:pt idx="20">
                  <c:v>1.6879060964220499E-3</c:v>
                </c:pt>
                <c:pt idx="21">
                  <c:v>-2.10059067629439E-6</c:v>
                </c:pt>
                <c:pt idx="22">
                  <c:v>-6.0407663035838399E-3</c:v>
                </c:pt>
                <c:pt idx="23">
                  <c:v>9.7472218752031603E-3</c:v>
                </c:pt>
                <c:pt idx="24">
                  <c:v>6.0485320372797103E-3</c:v>
                </c:pt>
                <c:pt idx="25">
                  <c:v>4.7693289215465402E-3</c:v>
                </c:pt>
                <c:pt idx="26">
                  <c:v>6.7334957494322003E-3</c:v>
                </c:pt>
                <c:pt idx="27">
                  <c:v>5.7651849964140004E-3</c:v>
                </c:pt>
                <c:pt idx="28">
                  <c:v>-4.7910286250873698E-4</c:v>
                </c:pt>
                <c:pt idx="29">
                  <c:v>-4.4655791235238603E-3</c:v>
                </c:pt>
                <c:pt idx="30">
                  <c:v>3.8725637094607501E-4</c:v>
                </c:pt>
                <c:pt idx="31">
                  <c:v>2.3343216374971799E-3</c:v>
                </c:pt>
                <c:pt idx="32">
                  <c:v>5.1300202726341001E-3</c:v>
                </c:pt>
                <c:pt idx="33">
                  <c:v>7.4200337766589398E-3</c:v>
                </c:pt>
                <c:pt idx="34">
                  <c:v>8.9918013696577703E-3</c:v>
                </c:pt>
                <c:pt idx="35">
                  <c:v>4.4143831052383198E-3</c:v>
                </c:pt>
                <c:pt idx="36">
                  <c:v>7.2326490150210103E-3</c:v>
                </c:pt>
                <c:pt idx="37">
                  <c:v>1.11681284684575E-2</c:v>
                </c:pt>
                <c:pt idx="38">
                  <c:v>9.6998295752463298E-3</c:v>
                </c:pt>
                <c:pt idx="39">
                  <c:v>1.25966566242559E-2</c:v>
                </c:pt>
                <c:pt idx="40">
                  <c:v>5.8274068967850597E-3</c:v>
                </c:pt>
                <c:pt idx="41">
                  <c:v>3.4144030819666001E-3</c:v>
                </c:pt>
                <c:pt idx="42">
                  <c:v>1.4017264041196801E-3</c:v>
                </c:pt>
                <c:pt idx="43">
                  <c:v>-3.3035975819978199E-3</c:v>
                </c:pt>
                <c:pt idx="44">
                  <c:v>5.1741106729802496E-4</c:v>
                </c:pt>
                <c:pt idx="45">
                  <c:v>-1.23165334133023E-3</c:v>
                </c:pt>
                <c:pt idx="46">
                  <c:v>9.2744163687087904E-4</c:v>
                </c:pt>
                <c:pt idx="47">
                  <c:v>3.1549492004062599E-3</c:v>
                </c:pt>
                <c:pt idx="48">
                  <c:v>1.8951626310810201E-3</c:v>
                </c:pt>
                <c:pt idx="49">
                  <c:v>-2.0955387326109599E-4</c:v>
                </c:pt>
                <c:pt idx="50">
                  <c:v>-5.3794874823144701E-3</c:v>
                </c:pt>
                <c:pt idx="51">
                  <c:v>-6.3951822167067802E-3</c:v>
                </c:pt>
                <c:pt idx="52">
                  <c:v>-5.78043575736695E-3</c:v>
                </c:pt>
                <c:pt idx="53">
                  <c:v>-7.0618006142248498E-3</c:v>
                </c:pt>
                <c:pt idx="54">
                  <c:v>-2.8780389548835402E-3</c:v>
                </c:pt>
                <c:pt idx="55">
                  <c:v>-1.1462847559612101E-3</c:v>
                </c:pt>
                <c:pt idx="56">
                  <c:v>-8.7197803904893697E-4</c:v>
                </c:pt>
                <c:pt idx="57">
                  <c:v>-3.6302548291373398E-3</c:v>
                </c:pt>
                <c:pt idx="58">
                  <c:v>-5.3424848562979204E-3</c:v>
                </c:pt>
                <c:pt idx="59">
                  <c:v>-2.2420477635081699E-3</c:v>
                </c:pt>
                <c:pt idx="60">
                  <c:v>-1.8267480880143599E-3</c:v>
                </c:pt>
                <c:pt idx="61">
                  <c:v>-1.7155815557307499E-3</c:v>
                </c:pt>
                <c:pt idx="62">
                  <c:v>-1.2774305972434001E-3</c:v>
                </c:pt>
                <c:pt idx="63">
                  <c:v>-6.1835922333038302E-3</c:v>
                </c:pt>
                <c:pt idx="64">
                  <c:v>1.26014525204302E-3</c:v>
                </c:pt>
                <c:pt idx="65">
                  <c:v>-1.3880084764773099E-3</c:v>
                </c:pt>
                <c:pt idx="66">
                  <c:v>-2.28965314726472E-3</c:v>
                </c:pt>
                <c:pt idx="67">
                  <c:v>3.9612310127018499E-3</c:v>
                </c:pt>
                <c:pt idx="68">
                  <c:v>6.6750822940330997E-3</c:v>
                </c:pt>
                <c:pt idx="69">
                  <c:v>4.2878007718290499E-3</c:v>
                </c:pt>
                <c:pt idx="70">
                  <c:v>-7.7832359277532897E-4</c:v>
                </c:pt>
                <c:pt idx="71">
                  <c:v>1.15742663424372E-4</c:v>
                </c:pt>
                <c:pt idx="72">
                  <c:v>-3.4169534606303198E-3</c:v>
                </c:pt>
                <c:pt idx="73">
                  <c:v>-7.4788660119325502E-3</c:v>
                </c:pt>
                <c:pt idx="74">
                  <c:v>-1.29418627573637E-2</c:v>
                </c:pt>
                <c:pt idx="75">
                  <c:v>-1.00481025766246E-2</c:v>
                </c:pt>
                <c:pt idx="76">
                  <c:v>-7.5227882896109601E-3</c:v>
                </c:pt>
                <c:pt idx="77">
                  <c:v>-4.7967490385152E-3</c:v>
                </c:pt>
                <c:pt idx="78">
                  <c:v>-1.2553444208425601E-3</c:v>
                </c:pt>
                <c:pt idx="79">
                  <c:v>4.8516121718742101E-3</c:v>
                </c:pt>
                <c:pt idx="80">
                  <c:v>3.6948079584988901E-3</c:v>
                </c:pt>
                <c:pt idx="81">
                  <c:v>-1.6684987735234801E-3</c:v>
                </c:pt>
                <c:pt idx="82">
                  <c:v>-1.51723084129913E-3</c:v>
                </c:pt>
                <c:pt idx="83">
                  <c:v>-1.3969962665486299E-3</c:v>
                </c:pt>
                <c:pt idx="84">
                  <c:v>-3.33137007389812E-3</c:v>
                </c:pt>
                <c:pt idx="85">
                  <c:v>-4.8162033541560298E-3</c:v>
                </c:pt>
                <c:pt idx="86">
                  <c:v>-6.4441723391750498E-3</c:v>
                </c:pt>
                <c:pt idx="87">
                  <c:v>-5.0713158153139898E-3</c:v>
                </c:pt>
                <c:pt idx="88">
                  <c:v>4.9451117578978698E-3</c:v>
                </c:pt>
                <c:pt idx="89">
                  <c:v>5.1629047888683303E-3</c:v>
                </c:pt>
                <c:pt idx="90">
                  <c:v>2.9990739536815201E-3</c:v>
                </c:pt>
                <c:pt idx="91">
                  <c:v>2.8810619559459E-3</c:v>
                </c:pt>
                <c:pt idx="92">
                  <c:v>3.3958961920846501E-3</c:v>
                </c:pt>
                <c:pt idx="93">
                  <c:v>-2.5141543344470801E-3</c:v>
                </c:pt>
                <c:pt idx="94">
                  <c:v>-7.2050726827098399E-3</c:v>
                </c:pt>
                <c:pt idx="95">
                  <c:v>-4.0659076756967699E-3</c:v>
                </c:pt>
                <c:pt idx="96">
                  <c:v>6.6216858609064004E-3</c:v>
                </c:pt>
                <c:pt idx="97">
                  <c:v>9.6422641022505997E-3</c:v>
                </c:pt>
                <c:pt idx="98">
                  <c:v>6.8663077974699602E-3</c:v>
                </c:pt>
                <c:pt idx="99">
                  <c:v>7.5469519408846598E-3</c:v>
                </c:pt>
                <c:pt idx="100">
                  <c:v>3.2761536197781901E-3</c:v>
                </c:pt>
                <c:pt idx="101">
                  <c:v>6.5580371932983297E-3</c:v>
                </c:pt>
                <c:pt idx="102">
                  <c:v>4.1171321414051002E-3</c:v>
                </c:pt>
                <c:pt idx="103">
                  <c:v>6.4284466628374897E-3</c:v>
                </c:pt>
                <c:pt idx="104">
                  <c:v>4.4183816323773197E-3</c:v>
                </c:pt>
                <c:pt idx="105">
                  <c:v>3.4723545712455899E-3</c:v>
                </c:pt>
                <c:pt idx="106">
                  <c:v>9.1442997058998696E-3</c:v>
                </c:pt>
                <c:pt idx="107">
                  <c:v>5.4396409799825204E-3</c:v>
                </c:pt>
                <c:pt idx="108">
                  <c:v>8.1255879611310897E-3</c:v>
                </c:pt>
                <c:pt idx="109">
                  <c:v>8.1589118170047898E-3</c:v>
                </c:pt>
                <c:pt idx="110">
                  <c:v>5.4189057485738703E-3</c:v>
                </c:pt>
                <c:pt idx="111">
                  <c:v>5.4921134398062304E-3</c:v>
                </c:pt>
                <c:pt idx="112">
                  <c:v>-7.8912693948520103E-4</c:v>
                </c:pt>
                <c:pt idx="113">
                  <c:v>2.3595518892626001E-4</c:v>
                </c:pt>
                <c:pt idx="114">
                  <c:v>4.8382823911985104E-3</c:v>
                </c:pt>
                <c:pt idx="115">
                  <c:v>1.4379220223171799E-3</c:v>
                </c:pt>
                <c:pt idx="116">
                  <c:v>7.3962550491994301E-3</c:v>
                </c:pt>
                <c:pt idx="117">
                  <c:v>7.0103640885305404E-3</c:v>
                </c:pt>
                <c:pt idx="118">
                  <c:v>4.7300452214006396E-3</c:v>
                </c:pt>
                <c:pt idx="119">
                  <c:v>1.0335414249701001E-2</c:v>
                </c:pt>
                <c:pt idx="120">
                  <c:v>1.0862895908313699E-2</c:v>
                </c:pt>
                <c:pt idx="121">
                  <c:v>1.2277175622391801E-2</c:v>
                </c:pt>
                <c:pt idx="122">
                  <c:v>1.52484385504592E-2</c:v>
                </c:pt>
                <c:pt idx="123">
                  <c:v>2.0035734270599601E-2</c:v>
                </c:pt>
                <c:pt idx="124">
                  <c:v>1.9237339901871799E-2</c:v>
                </c:pt>
                <c:pt idx="125">
                  <c:v>1.9423005760005701E-2</c:v>
                </c:pt>
                <c:pt idx="126">
                  <c:v>2.1310541369547902E-2</c:v>
                </c:pt>
                <c:pt idx="127">
                  <c:v>1.5652797330374599E-2</c:v>
                </c:pt>
                <c:pt idx="128">
                  <c:v>1.2752797254083501E-2</c:v>
                </c:pt>
                <c:pt idx="129">
                  <c:v>9.3494823535477702E-3</c:v>
                </c:pt>
                <c:pt idx="130">
                  <c:v>8.3434290223024492E-3</c:v>
                </c:pt>
                <c:pt idx="131">
                  <c:v>6.5175210553889903E-3</c:v>
                </c:pt>
                <c:pt idx="132">
                  <c:v>5.3088325410531002E-3</c:v>
                </c:pt>
                <c:pt idx="133">
                  <c:v>5.3477981799810196E-3</c:v>
                </c:pt>
                <c:pt idx="134">
                  <c:v>5.1687973113413903E-3</c:v>
                </c:pt>
                <c:pt idx="135">
                  <c:v>4.0741350894757996E-3</c:v>
                </c:pt>
                <c:pt idx="136">
                  <c:v>7.08846310969882E-3</c:v>
                </c:pt>
                <c:pt idx="137">
                  <c:v>7.7353095145936699E-3</c:v>
                </c:pt>
                <c:pt idx="138">
                  <c:v>1.00219558968938E-2</c:v>
                </c:pt>
                <c:pt idx="139">
                  <c:v>8.4128923634407497E-3</c:v>
                </c:pt>
                <c:pt idx="140">
                  <c:v>4.8165342351034002E-3</c:v>
                </c:pt>
                <c:pt idx="141">
                  <c:v>6.2374404045396001E-3</c:v>
                </c:pt>
                <c:pt idx="142">
                  <c:v>-4.4233798491126198E-4</c:v>
                </c:pt>
                <c:pt idx="143">
                  <c:v>1.2989567152236301E-3</c:v>
                </c:pt>
                <c:pt idx="144">
                  <c:v>-2.1318106708181702E-3</c:v>
                </c:pt>
                <c:pt idx="145">
                  <c:v>-6.7833930433353904E-3</c:v>
                </c:pt>
                <c:pt idx="146">
                  <c:v>-6.85452246989418E-3</c:v>
                </c:pt>
                <c:pt idx="147">
                  <c:v>-3.91060546586138E-3</c:v>
                </c:pt>
                <c:pt idx="148">
                  <c:v>-3.74251956725502E-3</c:v>
                </c:pt>
                <c:pt idx="149">
                  <c:v>-5.0149928994529403E-3</c:v>
                </c:pt>
                <c:pt idx="150">
                  <c:v>-6.3748291104160602E-3</c:v>
                </c:pt>
                <c:pt idx="151">
                  <c:v>-4.3168814420958103E-3</c:v>
                </c:pt>
                <c:pt idx="152">
                  <c:v>-1.19505590829052E-2</c:v>
                </c:pt>
                <c:pt idx="153">
                  <c:v>-1.47121837473082E-2</c:v>
                </c:pt>
                <c:pt idx="154">
                  <c:v>-9.6011469232263006E-3</c:v>
                </c:pt>
                <c:pt idx="155">
                  <c:v>-8.7639261329360407E-3</c:v>
                </c:pt>
                <c:pt idx="156">
                  <c:v>-8.06825777193672E-3</c:v>
                </c:pt>
                <c:pt idx="157">
                  <c:v>-1.01413622851726E-2</c:v>
                </c:pt>
                <c:pt idx="158">
                  <c:v>3.72706833687131E-3</c:v>
                </c:pt>
                <c:pt idx="159">
                  <c:v>8.1062611806297395E-4</c:v>
                </c:pt>
                <c:pt idx="160">
                  <c:v>-3.48694314827741E-3</c:v>
                </c:pt>
                <c:pt idx="161">
                  <c:v>4.8230202727548403E-3</c:v>
                </c:pt>
                <c:pt idx="162">
                  <c:v>5.0510910374504401E-3</c:v>
                </c:pt>
                <c:pt idx="163">
                  <c:v>4.6641949616833501E-3</c:v>
                </c:pt>
                <c:pt idx="164">
                  <c:v>6.8009243485923198E-3</c:v>
                </c:pt>
                <c:pt idx="165">
                  <c:v>5.5830970589263703E-3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F4-4753-9F86-B540A5194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079-4023-AE38-064F964CC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IYK_XLP_0!$BY$22:$BY$167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1.5411711479561987E-2</c:v>
                </c:pt>
                <c:pt idx="4">
                  <c:v>1.8788394042719817E-2</c:v>
                </c:pt>
                <c:pt idx="5">
                  <c:v>1.9786212285872507E-2</c:v>
                </c:pt>
                <c:pt idx="6">
                  <c:v>1.7517415292787056E-2</c:v>
                </c:pt>
                <c:pt idx="7">
                  <c:v>1.7899116070433659E-2</c:v>
                </c:pt>
                <c:pt idx="8">
                  <c:v>2.3453337272992689E-2</c:v>
                </c:pt>
                <c:pt idx="9">
                  <c:v>2.3453337272992689E-2</c:v>
                </c:pt>
                <c:pt idx="10">
                  <c:v>2.8387526659793057E-2</c:v>
                </c:pt>
                <c:pt idx="11">
                  <c:v>2.8387526659793057E-2</c:v>
                </c:pt>
                <c:pt idx="12">
                  <c:v>2.8387526659793057E-2</c:v>
                </c:pt>
                <c:pt idx="13">
                  <c:v>2.5444913119963886E-2</c:v>
                </c:pt>
                <c:pt idx="14">
                  <c:v>2.3314820016387586E-2</c:v>
                </c:pt>
                <c:pt idx="15">
                  <c:v>2.7239789793506788E-2</c:v>
                </c:pt>
                <c:pt idx="16">
                  <c:v>2.4156337484347527E-2</c:v>
                </c:pt>
                <c:pt idx="17">
                  <c:v>1.9728732689847546E-2</c:v>
                </c:pt>
                <c:pt idx="18">
                  <c:v>2.0667082725452545E-2</c:v>
                </c:pt>
                <c:pt idx="19">
                  <c:v>1.7387749449956344E-2</c:v>
                </c:pt>
                <c:pt idx="20">
                  <c:v>2.3604246959171443E-2</c:v>
                </c:pt>
                <c:pt idx="21">
                  <c:v>2.5489346913686962E-2</c:v>
                </c:pt>
                <c:pt idx="22">
                  <c:v>2.6960232056772664E-2</c:v>
                </c:pt>
                <c:pt idx="23">
                  <c:v>3.0873225039692597E-2</c:v>
                </c:pt>
                <c:pt idx="24">
                  <c:v>3.4514646830486675E-2</c:v>
                </c:pt>
                <c:pt idx="25">
                  <c:v>3.4514646830486675E-2</c:v>
                </c:pt>
                <c:pt idx="26">
                  <c:v>3.4514646830486675E-2</c:v>
                </c:pt>
                <c:pt idx="27">
                  <c:v>3.4514646830486675E-2</c:v>
                </c:pt>
                <c:pt idx="28">
                  <c:v>3.5492544774928615E-2</c:v>
                </c:pt>
                <c:pt idx="29">
                  <c:v>3.7084725041758276E-2</c:v>
                </c:pt>
                <c:pt idx="30">
                  <c:v>3.7084725041758276E-2</c:v>
                </c:pt>
                <c:pt idx="31">
                  <c:v>3.6207782215109174E-2</c:v>
                </c:pt>
                <c:pt idx="32">
                  <c:v>3.6798924657851624E-2</c:v>
                </c:pt>
                <c:pt idx="33">
                  <c:v>3.5359050903356171E-2</c:v>
                </c:pt>
                <c:pt idx="34">
                  <c:v>3.5359050903356171E-2</c:v>
                </c:pt>
                <c:pt idx="35">
                  <c:v>3.5359050903356171E-2</c:v>
                </c:pt>
                <c:pt idx="36">
                  <c:v>3.5359050903356171E-2</c:v>
                </c:pt>
                <c:pt idx="37">
                  <c:v>3.5359050903356171E-2</c:v>
                </c:pt>
                <c:pt idx="38">
                  <c:v>3.3113515581746002E-2</c:v>
                </c:pt>
                <c:pt idx="39">
                  <c:v>3.561480210907652E-2</c:v>
                </c:pt>
                <c:pt idx="40">
                  <c:v>3.5394319342998727E-2</c:v>
                </c:pt>
                <c:pt idx="41">
                  <c:v>3.5167250467047426E-2</c:v>
                </c:pt>
                <c:pt idx="42">
                  <c:v>3.5349730581157313E-2</c:v>
                </c:pt>
                <c:pt idx="43">
                  <c:v>3.027041188203284E-2</c:v>
                </c:pt>
                <c:pt idx="44">
                  <c:v>3.7481711678265472E-2</c:v>
                </c:pt>
                <c:pt idx="45">
                  <c:v>3.7481711678265472E-2</c:v>
                </c:pt>
                <c:pt idx="46">
                  <c:v>3.7481711678265472E-2</c:v>
                </c:pt>
                <c:pt idx="47">
                  <c:v>3.7481711678265472E-2</c:v>
                </c:pt>
                <c:pt idx="48">
                  <c:v>3.4862095946423963E-2</c:v>
                </c:pt>
                <c:pt idx="49">
                  <c:v>3.7164696403141489E-2</c:v>
                </c:pt>
                <c:pt idx="50">
                  <c:v>4.2181356420835377E-2</c:v>
                </c:pt>
                <c:pt idx="51">
                  <c:v>4.2181356420835377E-2</c:v>
                </c:pt>
                <c:pt idx="52">
                  <c:v>4.2181356420835377E-2</c:v>
                </c:pt>
                <c:pt idx="53">
                  <c:v>3.80352415342671E-2</c:v>
                </c:pt>
                <c:pt idx="54">
                  <c:v>3.2351805444741283E-2</c:v>
                </c:pt>
                <c:pt idx="55">
                  <c:v>3.4547872003523022E-2</c:v>
                </c:pt>
                <c:pt idx="56">
                  <c:v>3.6415225066255025E-2</c:v>
                </c:pt>
                <c:pt idx="57">
                  <c:v>3.856543091042873E-2</c:v>
                </c:pt>
                <c:pt idx="58">
                  <c:v>4.1785155249845503E-2</c:v>
                </c:pt>
                <c:pt idx="59">
                  <c:v>4.7844116675996126E-2</c:v>
                </c:pt>
                <c:pt idx="60">
                  <c:v>4.8871448545519315E-2</c:v>
                </c:pt>
                <c:pt idx="61">
                  <c:v>5.414541947186842E-2</c:v>
                </c:pt>
                <c:pt idx="62">
                  <c:v>5.414541947186842E-2</c:v>
                </c:pt>
                <c:pt idx="63">
                  <c:v>5.414541947186842E-2</c:v>
                </c:pt>
                <c:pt idx="64">
                  <c:v>5.414541947186842E-2</c:v>
                </c:pt>
                <c:pt idx="65">
                  <c:v>5.2286375625060222E-2</c:v>
                </c:pt>
                <c:pt idx="66">
                  <c:v>5.0325634912940002E-2</c:v>
                </c:pt>
                <c:pt idx="67">
                  <c:v>5.1317736535051582E-2</c:v>
                </c:pt>
                <c:pt idx="68">
                  <c:v>6.0706101880264839E-2</c:v>
                </c:pt>
                <c:pt idx="69">
                  <c:v>6.077657939502254E-2</c:v>
                </c:pt>
                <c:pt idx="70">
                  <c:v>6.3118132447115935E-2</c:v>
                </c:pt>
                <c:pt idx="71">
                  <c:v>6.3281210251872E-2</c:v>
                </c:pt>
                <c:pt idx="72">
                  <c:v>6.2865392925226582E-2</c:v>
                </c:pt>
                <c:pt idx="73">
                  <c:v>6.8683472916499677E-2</c:v>
                </c:pt>
                <c:pt idx="74">
                  <c:v>6.8683472916499677E-2</c:v>
                </c:pt>
                <c:pt idx="75">
                  <c:v>7.1881751096790902E-2</c:v>
                </c:pt>
                <c:pt idx="76">
                  <c:v>8.2678675814740643E-2</c:v>
                </c:pt>
                <c:pt idx="77">
                  <c:v>7.9103292428746697E-2</c:v>
                </c:pt>
                <c:pt idx="78">
                  <c:v>8.12546612390945E-2</c:v>
                </c:pt>
                <c:pt idx="79">
                  <c:v>8.02171812347795E-2</c:v>
                </c:pt>
                <c:pt idx="80">
                  <c:v>8.4381792049358514E-2</c:v>
                </c:pt>
                <c:pt idx="81">
                  <c:v>8.1149710815293208E-2</c:v>
                </c:pt>
                <c:pt idx="82">
                  <c:v>8.3216285568093601E-2</c:v>
                </c:pt>
                <c:pt idx="83">
                  <c:v>8.0632756381596629E-2</c:v>
                </c:pt>
                <c:pt idx="84">
                  <c:v>8.223936058285497E-2</c:v>
                </c:pt>
                <c:pt idx="85">
                  <c:v>8.2768627572917225E-2</c:v>
                </c:pt>
                <c:pt idx="86">
                  <c:v>7.6612640279329125E-2</c:v>
                </c:pt>
                <c:pt idx="87">
                  <c:v>7.9428015450596329E-2</c:v>
                </c:pt>
                <c:pt idx="88">
                  <c:v>7.6042007700865527E-2</c:v>
                </c:pt>
                <c:pt idx="89">
                  <c:v>7.5611640619175136E-2</c:v>
                </c:pt>
                <c:pt idx="90">
                  <c:v>7.7929562610647263E-2</c:v>
                </c:pt>
                <c:pt idx="91">
                  <c:v>7.7431926814931426E-2</c:v>
                </c:pt>
                <c:pt idx="92">
                  <c:v>7.7431926814931426E-2</c:v>
                </c:pt>
                <c:pt idx="93">
                  <c:v>7.7431926814931426E-2</c:v>
                </c:pt>
                <c:pt idx="94">
                  <c:v>7.7431926814931426E-2</c:v>
                </c:pt>
                <c:pt idx="95">
                  <c:v>7.9842352856959162E-2</c:v>
                </c:pt>
                <c:pt idx="96">
                  <c:v>7.9842352856959162E-2</c:v>
                </c:pt>
                <c:pt idx="97">
                  <c:v>7.9731785928449858E-2</c:v>
                </c:pt>
                <c:pt idx="98">
                  <c:v>8.168897665365317E-2</c:v>
                </c:pt>
                <c:pt idx="99">
                  <c:v>7.5750011578978066E-2</c:v>
                </c:pt>
                <c:pt idx="100">
                  <c:v>7.4645908222966004E-2</c:v>
                </c:pt>
                <c:pt idx="101">
                  <c:v>7.2390802818249736E-2</c:v>
                </c:pt>
                <c:pt idx="102">
                  <c:v>6.8628991746070039E-2</c:v>
                </c:pt>
                <c:pt idx="103">
                  <c:v>6.2760767923183788E-2</c:v>
                </c:pt>
                <c:pt idx="104">
                  <c:v>6.2318429314366791E-2</c:v>
                </c:pt>
                <c:pt idx="105">
                  <c:v>6.0787761944461713E-2</c:v>
                </c:pt>
                <c:pt idx="106">
                  <c:v>5.7451438755449724E-2</c:v>
                </c:pt>
                <c:pt idx="107">
                  <c:v>6.1805209352437947E-2</c:v>
                </c:pt>
                <c:pt idx="108">
                  <c:v>6.3471613049175243E-2</c:v>
                </c:pt>
                <c:pt idx="109">
                  <c:v>6.5893051354115245E-2</c:v>
                </c:pt>
                <c:pt idx="110">
                  <c:v>6.6057876942624091E-2</c:v>
                </c:pt>
                <c:pt idx="111">
                  <c:v>6.6932922964644495E-2</c:v>
                </c:pt>
                <c:pt idx="112">
                  <c:v>6.7258522245566332E-2</c:v>
                </c:pt>
                <c:pt idx="113">
                  <c:v>6.6056038878189935E-2</c:v>
                </c:pt>
                <c:pt idx="114">
                  <c:v>6.5069979193926791E-2</c:v>
                </c:pt>
                <c:pt idx="115">
                  <c:v>6.5208599493512528E-2</c:v>
                </c:pt>
                <c:pt idx="116">
                  <c:v>6.1121631927192152E-2</c:v>
                </c:pt>
                <c:pt idx="117">
                  <c:v>5.9536166415526365E-2</c:v>
                </c:pt>
                <c:pt idx="118">
                  <c:v>5.6236820821575967E-2</c:v>
                </c:pt>
                <c:pt idx="119">
                  <c:v>5.6568981282055869E-2</c:v>
                </c:pt>
                <c:pt idx="120">
                  <c:v>5.920468182626467E-2</c:v>
                </c:pt>
                <c:pt idx="121">
                  <c:v>5.7009161322426671E-2</c:v>
                </c:pt>
                <c:pt idx="122">
                  <c:v>6.2918434700135528E-2</c:v>
                </c:pt>
                <c:pt idx="123">
                  <c:v>6.2918434700135528E-2</c:v>
                </c:pt>
                <c:pt idx="124">
                  <c:v>6.2918434700135528E-2</c:v>
                </c:pt>
                <c:pt idx="125">
                  <c:v>6.2918434700135528E-2</c:v>
                </c:pt>
                <c:pt idx="126">
                  <c:v>6.243691976218723E-2</c:v>
                </c:pt>
                <c:pt idx="127">
                  <c:v>6.4780244023281711E-2</c:v>
                </c:pt>
                <c:pt idx="128">
                  <c:v>6.4682628022857042E-2</c:v>
                </c:pt>
                <c:pt idx="129">
                  <c:v>6.3222857837663099E-2</c:v>
                </c:pt>
                <c:pt idx="130">
                  <c:v>6.1723646384472836E-2</c:v>
                </c:pt>
                <c:pt idx="131">
                  <c:v>6.3575125669512844E-2</c:v>
                </c:pt>
                <c:pt idx="132">
                  <c:v>5.5871925509589436E-2</c:v>
                </c:pt>
                <c:pt idx="133">
                  <c:v>5.2668914419291196E-2</c:v>
                </c:pt>
                <c:pt idx="134">
                  <c:v>5.7116365037005214E-2</c:v>
                </c:pt>
                <c:pt idx="135">
                  <c:v>5.7466034399192213E-2</c:v>
                </c:pt>
                <c:pt idx="136">
                  <c:v>5.7698945086358915E-2</c:v>
                </c:pt>
                <c:pt idx="137">
                  <c:v>5.4971401089151814E-2</c:v>
                </c:pt>
                <c:pt idx="138">
                  <c:v>6.7969642005595882E-2</c:v>
                </c:pt>
                <c:pt idx="139">
                  <c:v>7.126746634406575E-2</c:v>
                </c:pt>
                <c:pt idx="140">
                  <c:v>7.6094275174640957E-2</c:v>
                </c:pt>
                <c:pt idx="141">
                  <c:v>8.3764129840542656E-2</c:v>
                </c:pt>
                <c:pt idx="142">
                  <c:v>8.390134618722124E-2</c:v>
                </c:pt>
                <c:pt idx="143">
                  <c:v>8.4367645005076944E-2</c:v>
                </c:pt>
                <c:pt idx="144">
                  <c:v>8.2434104058351221E-2</c:v>
                </c:pt>
                <c:pt idx="145">
                  <c:v>8.3593330242243635E-2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F-46A0-BB19-3209F00BB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1.5411711479561987E-2</c:v>
                </c:pt>
                <c:pt idx="4">
                  <c:v>1.5411711479561987E-2</c:v>
                </c:pt>
                <c:pt idx="5">
                  <c:v>1.5411711479561987E-2</c:v>
                </c:pt>
                <c:pt idx="6">
                  <c:v>1.5411711479561987E-2</c:v>
                </c:pt>
                <c:pt idx="7">
                  <c:v>1.5411711479561987E-2</c:v>
                </c:pt>
                <c:pt idx="8">
                  <c:v>1.5411711479561987E-2</c:v>
                </c:pt>
                <c:pt idx="9">
                  <c:v>1.5411711479561987E-2</c:v>
                </c:pt>
                <c:pt idx="10">
                  <c:v>2.0345900866362357E-2</c:v>
                </c:pt>
                <c:pt idx="11">
                  <c:v>2.0345900866362357E-2</c:v>
                </c:pt>
                <c:pt idx="12">
                  <c:v>2.0345900866362357E-2</c:v>
                </c:pt>
                <c:pt idx="13">
                  <c:v>2.0345900866362357E-2</c:v>
                </c:pt>
                <c:pt idx="14">
                  <c:v>2.0345900866362357E-2</c:v>
                </c:pt>
                <c:pt idx="15">
                  <c:v>2.0345900866362357E-2</c:v>
                </c:pt>
                <c:pt idx="16">
                  <c:v>2.0345900866362357E-2</c:v>
                </c:pt>
                <c:pt idx="17">
                  <c:v>2.0345900866362357E-2</c:v>
                </c:pt>
                <c:pt idx="18">
                  <c:v>2.0345900866362357E-2</c:v>
                </c:pt>
                <c:pt idx="19">
                  <c:v>2.0345900866362357E-2</c:v>
                </c:pt>
                <c:pt idx="20">
                  <c:v>2.0345900866362357E-2</c:v>
                </c:pt>
                <c:pt idx="21">
                  <c:v>2.0345900866362357E-2</c:v>
                </c:pt>
                <c:pt idx="22">
                  <c:v>2.0345900866362357E-2</c:v>
                </c:pt>
                <c:pt idx="23">
                  <c:v>2.0345900866362357E-2</c:v>
                </c:pt>
                <c:pt idx="24">
                  <c:v>2.3987322657156435E-2</c:v>
                </c:pt>
                <c:pt idx="25">
                  <c:v>2.3987322657156435E-2</c:v>
                </c:pt>
                <c:pt idx="26">
                  <c:v>2.3987322657156435E-2</c:v>
                </c:pt>
                <c:pt idx="27">
                  <c:v>2.3987322657156435E-2</c:v>
                </c:pt>
                <c:pt idx="28">
                  <c:v>2.3987322657156435E-2</c:v>
                </c:pt>
                <c:pt idx="29">
                  <c:v>2.3987322657156435E-2</c:v>
                </c:pt>
                <c:pt idx="30">
                  <c:v>2.3987322657156435E-2</c:v>
                </c:pt>
                <c:pt idx="31">
                  <c:v>2.3110379830507337E-2</c:v>
                </c:pt>
                <c:pt idx="32">
                  <c:v>2.3701522273249787E-2</c:v>
                </c:pt>
                <c:pt idx="33">
                  <c:v>2.2261648518754337E-2</c:v>
                </c:pt>
                <c:pt idx="34">
                  <c:v>2.2261648518754337E-2</c:v>
                </c:pt>
                <c:pt idx="35">
                  <c:v>2.2261648518754337E-2</c:v>
                </c:pt>
                <c:pt idx="36">
                  <c:v>2.2261648518754337E-2</c:v>
                </c:pt>
                <c:pt idx="37">
                  <c:v>2.2261648518754337E-2</c:v>
                </c:pt>
                <c:pt idx="38">
                  <c:v>2.0016113197144164E-2</c:v>
                </c:pt>
                <c:pt idx="39">
                  <c:v>2.2517399724474682E-2</c:v>
                </c:pt>
                <c:pt idx="40">
                  <c:v>2.2296916958396893E-2</c:v>
                </c:pt>
                <c:pt idx="41">
                  <c:v>2.2069848082445595E-2</c:v>
                </c:pt>
                <c:pt idx="42">
                  <c:v>2.2252328196555485E-2</c:v>
                </c:pt>
                <c:pt idx="43">
                  <c:v>1.7173009497431016E-2</c:v>
                </c:pt>
                <c:pt idx="44">
                  <c:v>2.4384309293663645E-2</c:v>
                </c:pt>
                <c:pt idx="45">
                  <c:v>2.4384309293663645E-2</c:v>
                </c:pt>
                <c:pt idx="46">
                  <c:v>2.4384309293663645E-2</c:v>
                </c:pt>
                <c:pt idx="47">
                  <c:v>2.4384309293663645E-2</c:v>
                </c:pt>
                <c:pt idx="48">
                  <c:v>2.4384309293663645E-2</c:v>
                </c:pt>
                <c:pt idx="49">
                  <c:v>2.4384309293663645E-2</c:v>
                </c:pt>
                <c:pt idx="50">
                  <c:v>2.4384309293663645E-2</c:v>
                </c:pt>
                <c:pt idx="51">
                  <c:v>2.4384309293663645E-2</c:v>
                </c:pt>
                <c:pt idx="52">
                  <c:v>2.4384309293663645E-2</c:v>
                </c:pt>
                <c:pt idx="53">
                  <c:v>2.0238194407095365E-2</c:v>
                </c:pt>
                <c:pt idx="54">
                  <c:v>1.4554758317569545E-2</c:v>
                </c:pt>
                <c:pt idx="55">
                  <c:v>1.6750824876351284E-2</c:v>
                </c:pt>
                <c:pt idx="56">
                  <c:v>1.8618177939083283E-2</c:v>
                </c:pt>
                <c:pt idx="57">
                  <c:v>2.0768383783256988E-2</c:v>
                </c:pt>
                <c:pt idx="58">
                  <c:v>2.3988108122673758E-2</c:v>
                </c:pt>
                <c:pt idx="59">
                  <c:v>3.0047069548824377E-2</c:v>
                </c:pt>
                <c:pt idx="60">
                  <c:v>3.0047069548824377E-2</c:v>
                </c:pt>
                <c:pt idx="61">
                  <c:v>3.0047069548824377E-2</c:v>
                </c:pt>
                <c:pt idx="62">
                  <c:v>3.0047069548824377E-2</c:v>
                </c:pt>
                <c:pt idx="63">
                  <c:v>3.0047069548824377E-2</c:v>
                </c:pt>
                <c:pt idx="64">
                  <c:v>3.0047069548824377E-2</c:v>
                </c:pt>
                <c:pt idx="65">
                  <c:v>2.818802570201618E-2</c:v>
                </c:pt>
                <c:pt idx="66">
                  <c:v>2.622728498989596E-2</c:v>
                </c:pt>
                <c:pt idx="67">
                  <c:v>2.721938661200754E-2</c:v>
                </c:pt>
                <c:pt idx="68">
                  <c:v>3.6607751957220797E-2</c:v>
                </c:pt>
                <c:pt idx="69">
                  <c:v>3.6607751957220797E-2</c:v>
                </c:pt>
                <c:pt idx="70">
                  <c:v>3.6607751957220797E-2</c:v>
                </c:pt>
                <c:pt idx="71">
                  <c:v>3.6607751957220797E-2</c:v>
                </c:pt>
                <c:pt idx="72">
                  <c:v>3.6607751957220797E-2</c:v>
                </c:pt>
                <c:pt idx="73">
                  <c:v>3.6607751957220797E-2</c:v>
                </c:pt>
                <c:pt idx="74">
                  <c:v>3.6607751957220797E-2</c:v>
                </c:pt>
                <c:pt idx="75">
                  <c:v>3.9806030137512029E-2</c:v>
                </c:pt>
                <c:pt idx="76">
                  <c:v>5.0602954855461776E-2</c:v>
                </c:pt>
                <c:pt idx="77">
                  <c:v>5.0602954855461776E-2</c:v>
                </c:pt>
                <c:pt idx="78">
                  <c:v>5.0602954855461776E-2</c:v>
                </c:pt>
                <c:pt idx="79">
                  <c:v>5.0602954855461776E-2</c:v>
                </c:pt>
                <c:pt idx="80">
                  <c:v>5.0602954855461776E-2</c:v>
                </c:pt>
                <c:pt idx="81">
                  <c:v>5.0602954855461776E-2</c:v>
                </c:pt>
                <c:pt idx="82">
                  <c:v>5.0602954855461776E-2</c:v>
                </c:pt>
                <c:pt idx="83">
                  <c:v>5.0602954855461776E-2</c:v>
                </c:pt>
                <c:pt idx="84">
                  <c:v>5.0602954855461776E-2</c:v>
                </c:pt>
                <c:pt idx="85">
                  <c:v>5.0602954855461776E-2</c:v>
                </c:pt>
                <c:pt idx="86">
                  <c:v>5.0602954855461776E-2</c:v>
                </c:pt>
                <c:pt idx="87">
                  <c:v>5.0602954855461776E-2</c:v>
                </c:pt>
                <c:pt idx="88">
                  <c:v>5.0602954855461776E-2</c:v>
                </c:pt>
                <c:pt idx="89">
                  <c:v>5.0602954855461776E-2</c:v>
                </c:pt>
                <c:pt idx="90">
                  <c:v>5.0602954855461776E-2</c:v>
                </c:pt>
                <c:pt idx="91">
                  <c:v>5.0602954855461776E-2</c:v>
                </c:pt>
                <c:pt idx="92">
                  <c:v>5.0602954855461776E-2</c:v>
                </c:pt>
                <c:pt idx="93">
                  <c:v>5.0602954855461776E-2</c:v>
                </c:pt>
                <c:pt idx="94">
                  <c:v>5.0602954855461776E-2</c:v>
                </c:pt>
                <c:pt idx="95">
                  <c:v>5.0602954855461776E-2</c:v>
                </c:pt>
                <c:pt idx="96">
                  <c:v>5.0602954855461776E-2</c:v>
                </c:pt>
                <c:pt idx="97">
                  <c:v>5.0602954855461776E-2</c:v>
                </c:pt>
                <c:pt idx="98">
                  <c:v>5.0602954855461776E-2</c:v>
                </c:pt>
                <c:pt idx="99">
                  <c:v>5.0602954855461776E-2</c:v>
                </c:pt>
                <c:pt idx="100">
                  <c:v>5.0602954855461776E-2</c:v>
                </c:pt>
                <c:pt idx="101">
                  <c:v>5.0602954855461776E-2</c:v>
                </c:pt>
                <c:pt idx="102">
                  <c:v>5.0602954855461776E-2</c:v>
                </c:pt>
                <c:pt idx="103">
                  <c:v>5.0602954855461776E-2</c:v>
                </c:pt>
                <c:pt idx="104">
                  <c:v>5.0602954855461776E-2</c:v>
                </c:pt>
                <c:pt idx="105">
                  <c:v>5.0602954855461776E-2</c:v>
                </c:pt>
                <c:pt idx="106">
                  <c:v>5.0602954855461776E-2</c:v>
                </c:pt>
                <c:pt idx="107">
                  <c:v>5.0602954855461776E-2</c:v>
                </c:pt>
                <c:pt idx="108">
                  <c:v>5.0602954855461776E-2</c:v>
                </c:pt>
                <c:pt idx="109">
                  <c:v>5.0602954855461776E-2</c:v>
                </c:pt>
                <c:pt idx="110">
                  <c:v>5.0602954855461776E-2</c:v>
                </c:pt>
                <c:pt idx="111">
                  <c:v>5.0602954855461776E-2</c:v>
                </c:pt>
                <c:pt idx="112">
                  <c:v>5.0602954855461776E-2</c:v>
                </c:pt>
                <c:pt idx="113">
                  <c:v>5.0602954855461776E-2</c:v>
                </c:pt>
                <c:pt idx="114">
                  <c:v>5.0602954855461776E-2</c:v>
                </c:pt>
                <c:pt idx="115">
                  <c:v>5.0602954855461776E-2</c:v>
                </c:pt>
                <c:pt idx="116">
                  <c:v>5.0602954855461776E-2</c:v>
                </c:pt>
                <c:pt idx="117">
                  <c:v>5.0602954855461776E-2</c:v>
                </c:pt>
                <c:pt idx="118">
                  <c:v>5.0602954855461776E-2</c:v>
                </c:pt>
                <c:pt idx="119">
                  <c:v>5.0602954855461776E-2</c:v>
                </c:pt>
                <c:pt idx="120">
                  <c:v>5.0602954855461776E-2</c:v>
                </c:pt>
                <c:pt idx="121">
                  <c:v>5.0602954855461776E-2</c:v>
                </c:pt>
                <c:pt idx="122">
                  <c:v>5.0602954855461776E-2</c:v>
                </c:pt>
                <c:pt idx="123">
                  <c:v>5.0602954855461776E-2</c:v>
                </c:pt>
                <c:pt idx="124">
                  <c:v>5.0602954855461776E-2</c:v>
                </c:pt>
                <c:pt idx="125">
                  <c:v>5.0602954855461776E-2</c:v>
                </c:pt>
                <c:pt idx="126">
                  <c:v>5.0121439917513479E-2</c:v>
                </c:pt>
                <c:pt idx="127">
                  <c:v>5.2464764178607952E-2</c:v>
                </c:pt>
                <c:pt idx="128">
                  <c:v>5.2367148178183283E-2</c:v>
                </c:pt>
                <c:pt idx="129">
                  <c:v>5.090737799298934E-2</c:v>
                </c:pt>
                <c:pt idx="130">
                  <c:v>4.9408166539799084E-2</c:v>
                </c:pt>
                <c:pt idx="131">
                  <c:v>5.1259645824839092E-2</c:v>
                </c:pt>
                <c:pt idx="132">
                  <c:v>4.3556445664915684E-2</c:v>
                </c:pt>
                <c:pt idx="133">
                  <c:v>4.0353434574617444E-2</c:v>
                </c:pt>
                <c:pt idx="134">
                  <c:v>4.4800885192331462E-2</c:v>
                </c:pt>
                <c:pt idx="135">
                  <c:v>4.5150554554518461E-2</c:v>
                </c:pt>
                <c:pt idx="136">
                  <c:v>4.5383465241685163E-2</c:v>
                </c:pt>
                <c:pt idx="137">
                  <c:v>4.2655921244478062E-2</c:v>
                </c:pt>
                <c:pt idx="138">
                  <c:v>5.565416216092213E-2</c:v>
                </c:pt>
                <c:pt idx="139">
                  <c:v>5.565416216092213E-2</c:v>
                </c:pt>
                <c:pt idx="140">
                  <c:v>5.565416216092213E-2</c:v>
                </c:pt>
                <c:pt idx="141">
                  <c:v>6.3324016826823828E-2</c:v>
                </c:pt>
                <c:pt idx="142">
                  <c:v>6.3324016826823828E-2</c:v>
                </c:pt>
                <c:pt idx="143">
                  <c:v>6.3324016826823828E-2</c:v>
                </c:pt>
                <c:pt idx="144">
                  <c:v>6.3324016826823828E-2</c:v>
                </c:pt>
                <c:pt idx="145">
                  <c:v>6.3324016826823828E-2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3-4943-BA30-F8A3EE597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3.37668256315783E-3</c:v>
                </c:pt>
                <c:pt idx="5">
                  <c:v>4.37450080631052E-3</c:v>
                </c:pt>
                <c:pt idx="6">
                  <c:v>2.1057038132250702E-3</c:v>
                </c:pt>
                <c:pt idx="7">
                  <c:v>2.4874045908716705E-3</c:v>
                </c:pt>
                <c:pt idx="8">
                  <c:v>8.0416257934306998E-3</c:v>
                </c:pt>
                <c:pt idx="9">
                  <c:v>8.0416257934306998E-3</c:v>
                </c:pt>
                <c:pt idx="10">
                  <c:v>8.0416257934306998E-3</c:v>
                </c:pt>
                <c:pt idx="11">
                  <c:v>8.0416257934306998E-3</c:v>
                </c:pt>
                <c:pt idx="12">
                  <c:v>8.0416257934306998E-3</c:v>
                </c:pt>
                <c:pt idx="13">
                  <c:v>5.0990122536015295E-3</c:v>
                </c:pt>
                <c:pt idx="14">
                  <c:v>2.9689191500252296E-3</c:v>
                </c:pt>
                <c:pt idx="15">
                  <c:v>6.8938889271444306E-3</c:v>
                </c:pt>
                <c:pt idx="16">
                  <c:v>3.8104366179851695E-3</c:v>
                </c:pt>
                <c:pt idx="17">
                  <c:v>-6.1716817651481012E-4</c:v>
                </c:pt>
                <c:pt idx="18">
                  <c:v>3.2118185909018899E-4</c:v>
                </c:pt>
                <c:pt idx="19">
                  <c:v>-2.9581514164060104E-3</c:v>
                </c:pt>
                <c:pt idx="20">
                  <c:v>3.2583460928090882E-3</c:v>
                </c:pt>
                <c:pt idx="21">
                  <c:v>5.1434460473246081E-3</c:v>
                </c:pt>
                <c:pt idx="22">
                  <c:v>6.6143311904103093E-3</c:v>
                </c:pt>
                <c:pt idx="23">
                  <c:v>1.0527324173330244E-2</c:v>
                </c:pt>
                <c:pt idx="24">
                  <c:v>1.0527324173330244E-2</c:v>
                </c:pt>
                <c:pt idx="25">
                  <c:v>1.0527324173330244E-2</c:v>
                </c:pt>
                <c:pt idx="26">
                  <c:v>1.0527324173330244E-2</c:v>
                </c:pt>
                <c:pt idx="27">
                  <c:v>1.0527324173330244E-2</c:v>
                </c:pt>
                <c:pt idx="28">
                  <c:v>1.1505222117772183E-2</c:v>
                </c:pt>
                <c:pt idx="29">
                  <c:v>1.3097402384601844E-2</c:v>
                </c:pt>
                <c:pt idx="30">
                  <c:v>1.3097402384601844E-2</c:v>
                </c:pt>
                <c:pt idx="31">
                  <c:v>1.3097402384601844E-2</c:v>
                </c:pt>
                <c:pt idx="32">
                  <c:v>1.3097402384601844E-2</c:v>
                </c:pt>
                <c:pt idx="33">
                  <c:v>1.3097402384601844E-2</c:v>
                </c:pt>
                <c:pt idx="34">
                  <c:v>1.3097402384601844E-2</c:v>
                </c:pt>
                <c:pt idx="35">
                  <c:v>1.3097402384601844E-2</c:v>
                </c:pt>
                <c:pt idx="36">
                  <c:v>1.3097402384601844E-2</c:v>
                </c:pt>
                <c:pt idx="37">
                  <c:v>1.3097402384601844E-2</c:v>
                </c:pt>
                <c:pt idx="38">
                  <c:v>1.3097402384601844E-2</c:v>
                </c:pt>
                <c:pt idx="39">
                  <c:v>1.3097402384601844E-2</c:v>
                </c:pt>
                <c:pt idx="40">
                  <c:v>1.3097402384601844E-2</c:v>
                </c:pt>
                <c:pt idx="41">
                  <c:v>1.3097402384601844E-2</c:v>
                </c:pt>
                <c:pt idx="42">
                  <c:v>1.3097402384601844E-2</c:v>
                </c:pt>
                <c:pt idx="43">
                  <c:v>1.3097402384601844E-2</c:v>
                </c:pt>
                <c:pt idx="44">
                  <c:v>1.3097402384601844E-2</c:v>
                </c:pt>
                <c:pt idx="45">
                  <c:v>1.3097402384601844E-2</c:v>
                </c:pt>
                <c:pt idx="46">
                  <c:v>1.3097402384601844E-2</c:v>
                </c:pt>
                <c:pt idx="47">
                  <c:v>1.3097402384601844E-2</c:v>
                </c:pt>
                <c:pt idx="48">
                  <c:v>1.0477786652760335E-2</c:v>
                </c:pt>
                <c:pt idx="49">
                  <c:v>1.2780387109477863E-2</c:v>
                </c:pt>
                <c:pt idx="50">
                  <c:v>1.7797047127171752E-2</c:v>
                </c:pt>
                <c:pt idx="51">
                  <c:v>1.7797047127171752E-2</c:v>
                </c:pt>
                <c:pt idx="52">
                  <c:v>1.7797047127171752E-2</c:v>
                </c:pt>
                <c:pt idx="53">
                  <c:v>1.7797047127171752E-2</c:v>
                </c:pt>
                <c:pt idx="54">
                  <c:v>1.7797047127171752E-2</c:v>
                </c:pt>
                <c:pt idx="55">
                  <c:v>1.7797047127171752E-2</c:v>
                </c:pt>
                <c:pt idx="56">
                  <c:v>1.7797047127171752E-2</c:v>
                </c:pt>
                <c:pt idx="57">
                  <c:v>1.7797047127171752E-2</c:v>
                </c:pt>
                <c:pt idx="58">
                  <c:v>1.7797047127171752E-2</c:v>
                </c:pt>
                <c:pt idx="59">
                  <c:v>1.7797047127171752E-2</c:v>
                </c:pt>
                <c:pt idx="60">
                  <c:v>1.8824378996694941E-2</c:v>
                </c:pt>
                <c:pt idx="61">
                  <c:v>2.4098349923044042E-2</c:v>
                </c:pt>
                <c:pt idx="62">
                  <c:v>2.4098349923044042E-2</c:v>
                </c:pt>
                <c:pt idx="63">
                  <c:v>2.4098349923044042E-2</c:v>
                </c:pt>
                <c:pt idx="64">
                  <c:v>2.4098349923044042E-2</c:v>
                </c:pt>
                <c:pt idx="65">
                  <c:v>2.4098349923044042E-2</c:v>
                </c:pt>
                <c:pt idx="66">
                  <c:v>2.4098349923044042E-2</c:v>
                </c:pt>
                <c:pt idx="67">
                  <c:v>2.4098349923044042E-2</c:v>
                </c:pt>
                <c:pt idx="68">
                  <c:v>2.4098349923044042E-2</c:v>
                </c:pt>
                <c:pt idx="69">
                  <c:v>2.4168827437801743E-2</c:v>
                </c:pt>
                <c:pt idx="70">
                  <c:v>2.6510380489895138E-2</c:v>
                </c:pt>
                <c:pt idx="71">
                  <c:v>2.6673458294651196E-2</c:v>
                </c:pt>
                <c:pt idx="72">
                  <c:v>2.6257640968005778E-2</c:v>
                </c:pt>
                <c:pt idx="73">
                  <c:v>3.2075720959278867E-2</c:v>
                </c:pt>
                <c:pt idx="74">
                  <c:v>3.2075720959278867E-2</c:v>
                </c:pt>
                <c:pt idx="75">
                  <c:v>3.2075720959278867E-2</c:v>
                </c:pt>
                <c:pt idx="76">
                  <c:v>3.2075720959278867E-2</c:v>
                </c:pt>
                <c:pt idx="77">
                  <c:v>2.8500337573284917E-2</c:v>
                </c:pt>
                <c:pt idx="78">
                  <c:v>3.0651706383632717E-2</c:v>
                </c:pt>
                <c:pt idx="79">
                  <c:v>2.9614226379317717E-2</c:v>
                </c:pt>
                <c:pt idx="80">
                  <c:v>3.3778837193896724E-2</c:v>
                </c:pt>
                <c:pt idx="81">
                  <c:v>3.0546755959831424E-2</c:v>
                </c:pt>
                <c:pt idx="82">
                  <c:v>3.2613330712631824E-2</c:v>
                </c:pt>
                <c:pt idx="83">
                  <c:v>3.0029801526134853E-2</c:v>
                </c:pt>
                <c:pt idx="84">
                  <c:v>3.1636405727393194E-2</c:v>
                </c:pt>
                <c:pt idx="85">
                  <c:v>3.2165672717455455E-2</c:v>
                </c:pt>
                <c:pt idx="86">
                  <c:v>2.6009685423867356E-2</c:v>
                </c:pt>
                <c:pt idx="87">
                  <c:v>2.8825060595134566E-2</c:v>
                </c:pt>
                <c:pt idx="88">
                  <c:v>2.5439052845403765E-2</c:v>
                </c:pt>
                <c:pt idx="89">
                  <c:v>2.5008685763713366E-2</c:v>
                </c:pt>
                <c:pt idx="90">
                  <c:v>2.7326607755185486E-2</c:v>
                </c:pt>
                <c:pt idx="91">
                  <c:v>2.6828971959469657E-2</c:v>
                </c:pt>
                <c:pt idx="92">
                  <c:v>2.6828971959469657E-2</c:v>
                </c:pt>
                <c:pt idx="93">
                  <c:v>2.6828971959469657E-2</c:v>
                </c:pt>
                <c:pt idx="94">
                  <c:v>2.6828971959469657E-2</c:v>
                </c:pt>
                <c:pt idx="95">
                  <c:v>2.9239398001497396E-2</c:v>
                </c:pt>
                <c:pt idx="96">
                  <c:v>2.9239398001497396E-2</c:v>
                </c:pt>
                <c:pt idx="97">
                  <c:v>2.9128831072988096E-2</c:v>
                </c:pt>
                <c:pt idx="98">
                  <c:v>3.1086021798191407E-2</c:v>
                </c:pt>
                <c:pt idx="99">
                  <c:v>2.5147056723516307E-2</c:v>
                </c:pt>
                <c:pt idx="100">
                  <c:v>2.4042953367504248E-2</c:v>
                </c:pt>
                <c:pt idx="101">
                  <c:v>2.1787847962787977E-2</c:v>
                </c:pt>
                <c:pt idx="102">
                  <c:v>1.8026036890608277E-2</c:v>
                </c:pt>
                <c:pt idx="103">
                  <c:v>1.2157813067722026E-2</c:v>
                </c:pt>
                <c:pt idx="104">
                  <c:v>1.1715474458905025E-2</c:v>
                </c:pt>
                <c:pt idx="105">
                  <c:v>1.0184807088999945E-2</c:v>
                </c:pt>
                <c:pt idx="106">
                  <c:v>6.8484838999879546E-3</c:v>
                </c:pt>
                <c:pt idx="107">
                  <c:v>1.1202254496976174E-2</c:v>
                </c:pt>
                <c:pt idx="108">
                  <c:v>1.2868658193713474E-2</c:v>
                </c:pt>
                <c:pt idx="109">
                  <c:v>1.5290096498653474E-2</c:v>
                </c:pt>
                <c:pt idx="110">
                  <c:v>1.5454922087162315E-2</c:v>
                </c:pt>
                <c:pt idx="111">
                  <c:v>1.6329968109182715E-2</c:v>
                </c:pt>
                <c:pt idx="112">
                  <c:v>1.6655567390104556E-2</c:v>
                </c:pt>
                <c:pt idx="113">
                  <c:v>1.5453084022728155E-2</c:v>
                </c:pt>
                <c:pt idx="114">
                  <c:v>1.4467024338465015E-2</c:v>
                </c:pt>
                <c:pt idx="115">
                  <c:v>1.4605644638050756E-2</c:v>
                </c:pt>
                <c:pt idx="116">
                  <c:v>1.0518677071730376E-2</c:v>
                </c:pt>
                <c:pt idx="117">
                  <c:v>8.9332115600645867E-3</c:v>
                </c:pt>
                <c:pt idx="118">
                  <c:v>5.633865966114187E-3</c:v>
                </c:pt>
                <c:pt idx="119">
                  <c:v>5.9660264265940857E-3</c:v>
                </c:pt>
                <c:pt idx="120">
                  <c:v>8.6017269708028848E-3</c:v>
                </c:pt>
                <c:pt idx="121">
                  <c:v>6.4062064669648828E-3</c:v>
                </c:pt>
                <c:pt idx="122">
                  <c:v>1.2315479844673743E-2</c:v>
                </c:pt>
                <c:pt idx="123">
                  <c:v>1.2315479844673743E-2</c:v>
                </c:pt>
                <c:pt idx="124">
                  <c:v>1.2315479844673743E-2</c:v>
                </c:pt>
                <c:pt idx="125">
                  <c:v>1.2315479844673743E-2</c:v>
                </c:pt>
                <c:pt idx="126">
                  <c:v>1.2315479844673743E-2</c:v>
                </c:pt>
                <c:pt idx="127">
                  <c:v>1.2315479844673743E-2</c:v>
                </c:pt>
                <c:pt idx="128">
                  <c:v>1.2315479844673743E-2</c:v>
                </c:pt>
                <c:pt idx="129">
                  <c:v>1.2315479844673743E-2</c:v>
                </c:pt>
                <c:pt idx="130">
                  <c:v>1.2315479844673743E-2</c:v>
                </c:pt>
                <c:pt idx="131">
                  <c:v>1.2315479844673743E-2</c:v>
                </c:pt>
                <c:pt idx="132">
                  <c:v>1.2315479844673743E-2</c:v>
                </c:pt>
                <c:pt idx="133">
                  <c:v>1.2315479844673743E-2</c:v>
                </c:pt>
                <c:pt idx="134">
                  <c:v>1.2315479844673743E-2</c:v>
                </c:pt>
                <c:pt idx="135">
                  <c:v>1.2315479844673743E-2</c:v>
                </c:pt>
                <c:pt idx="136">
                  <c:v>1.2315479844673743E-2</c:v>
                </c:pt>
                <c:pt idx="137">
                  <c:v>1.2315479844673743E-2</c:v>
                </c:pt>
                <c:pt idx="138">
                  <c:v>1.2315479844673743E-2</c:v>
                </c:pt>
                <c:pt idx="139">
                  <c:v>1.5613304183143613E-2</c:v>
                </c:pt>
                <c:pt idx="140">
                  <c:v>2.0440113013718814E-2</c:v>
                </c:pt>
                <c:pt idx="141">
                  <c:v>2.0440113013718814E-2</c:v>
                </c:pt>
                <c:pt idx="142">
                  <c:v>2.0577329360397394E-2</c:v>
                </c:pt>
                <c:pt idx="143">
                  <c:v>2.1043628178253095E-2</c:v>
                </c:pt>
                <c:pt idx="144">
                  <c:v>1.9110087231527375E-2</c:v>
                </c:pt>
                <c:pt idx="145">
                  <c:v>2.0269313415419796E-2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8-4AB0-9280-8CD955821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D5109-272E-40A7-BA3F-BF2405342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E41A96-76E2-4394-8BEA-8AA35FDA0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5B1DDE-D192-4FD9-B869-2D09FCF19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C02ACF-F7DE-48E7-8381-26FCD93AC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F0C54C-5D73-4067-8E40-223FF2FD2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8A91ED-0F32-48EA-9212-1A57C480B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B0DC71-CE75-42A7-AC4D-27EFBF9F9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540F96B-9688-4ACB-AC95-E7DDA4E6C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8448-929B-4D7B-B72A-F020EDFE0EFD}">
  <dimension ref="A1:BY167"/>
  <sheetViews>
    <sheetView tabSelected="1" topLeftCell="W1" workbookViewId="0">
      <selection activeCell="AA11" sqref="AA11"/>
    </sheetView>
  </sheetViews>
  <sheetFormatPr defaultRowHeight="14.4" x14ac:dyDescent="0.3"/>
  <cols>
    <col min="1" max="1" width="9.33203125" bestFit="1" customWidth="1"/>
    <col min="2" max="3" width="10.6640625" style="15" bestFit="1" customWidth="1"/>
    <col min="4" max="5" width="10.6640625" style="11" customWidth="1"/>
    <col min="6" max="6" width="8.6640625" style="15" bestFit="1" customWidth="1"/>
    <col min="7" max="7" width="16.21875" style="15" bestFit="1" customWidth="1"/>
    <col min="8" max="8" width="9.33203125" style="15" bestFit="1" customWidth="1"/>
    <col min="9" max="9" width="17" style="15" bestFit="1" customWidth="1"/>
    <col min="10" max="10" width="18.6640625" style="15" bestFit="1" customWidth="1"/>
    <col min="11" max="11" width="19.44140625" style="15" bestFit="1" customWidth="1"/>
    <col min="12" max="13" width="10.6640625" style="15" bestFit="1" customWidth="1"/>
    <col min="14" max="14" width="10.44140625" style="16" bestFit="1" customWidth="1"/>
    <col min="15" max="15" width="13.6640625" style="16" bestFit="1" customWidth="1"/>
    <col min="16" max="17" width="17" style="16" bestFit="1" customWidth="1"/>
    <col min="18" max="18" width="10.6640625" style="15" bestFit="1" customWidth="1"/>
    <col min="19" max="20" width="13.44140625" style="15" bestFit="1" customWidth="1"/>
    <col min="21" max="21" width="20.21875" style="11" bestFit="1" customWidth="1"/>
    <col min="22" max="23" width="23.6640625" style="11" bestFit="1" customWidth="1"/>
    <col min="24" max="24" width="12.44140625" style="16" bestFit="1" customWidth="1"/>
    <col min="25" max="25" width="15.6640625" style="16" bestFit="1" customWidth="1"/>
    <col min="26" max="27" width="19.109375" style="16" bestFit="1" customWidth="1"/>
    <col min="28" max="28" width="11" style="15" bestFit="1" customWidth="1"/>
    <col min="29" max="30" width="14.44140625" style="15" bestFit="1" customWidth="1"/>
    <col min="31" max="31" width="22.33203125" style="11" bestFit="1" customWidth="1"/>
    <col min="32" max="33" width="25.77734375" style="11" bestFit="1" customWidth="1"/>
    <col min="52" max="53" width="8.88671875" style="5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5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2" t="s">
        <v>17</v>
      </c>
      <c r="S1" s="12" t="s">
        <v>18</v>
      </c>
      <c r="T1" s="12" t="s">
        <v>19</v>
      </c>
      <c r="U1" s="13" t="s">
        <v>20</v>
      </c>
      <c r="V1" s="13" t="s">
        <v>21</v>
      </c>
      <c r="W1" s="13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2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3" t="s">
        <v>32</v>
      </c>
      <c r="BG1" s="3"/>
      <c r="BH1" s="3"/>
      <c r="BI1" s="3"/>
      <c r="BJ1" s="4">
        <f>BJ167</f>
        <v>6.3324016826823828E-2</v>
      </c>
      <c r="BS1" s="3"/>
      <c r="BT1" s="3"/>
      <c r="BU1" s="3"/>
      <c r="BV1" s="4">
        <f>BV167</f>
        <v>2.0269313415419796E-2</v>
      </c>
      <c r="BY1" s="4">
        <f>BY167</f>
        <v>8.3593330242243635E-2</v>
      </c>
    </row>
    <row r="2" spans="1:77" x14ac:dyDescent="0.3">
      <c r="A2" s="1">
        <v>46024</v>
      </c>
      <c r="B2" s="15">
        <v>66.709999999999994</v>
      </c>
      <c r="C2" s="15">
        <v>77.69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66.709999999999994</v>
      </c>
      <c r="M2" s="15">
        <v>77.69</v>
      </c>
      <c r="N2" s="16">
        <v>1.1645930145405401</v>
      </c>
      <c r="O2" s="16">
        <v>1.16233556709835</v>
      </c>
      <c r="X2" s="16">
        <v>1.1645930145405401</v>
      </c>
      <c r="Y2" s="16">
        <v>1.16233556709835</v>
      </c>
    </row>
    <row r="3" spans="1:77" x14ac:dyDescent="0.3">
      <c r="A3" s="1">
        <v>46027</v>
      </c>
      <c r="B3" s="15">
        <v>66.16</v>
      </c>
      <c r="C3" s="15">
        <v>77.349999999999994</v>
      </c>
      <c r="D3" s="11">
        <v>-8.2788160059881107E-3</v>
      </c>
      <c r="E3" s="11">
        <v>-4.3859719432543199E-3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66.16</v>
      </c>
      <c r="M3" s="15">
        <v>77.349999999999994</v>
      </c>
      <c r="N3" s="16">
        <v>1.1691354292623899</v>
      </c>
      <c r="O3" s="16">
        <v>1.16233556709835</v>
      </c>
      <c r="R3" s="15">
        <v>76.900121119226895</v>
      </c>
      <c r="U3" s="11">
        <v>-5.83312548625979E-3</v>
      </c>
      <c r="X3" s="16">
        <v>1.1691354292623899</v>
      </c>
      <c r="Y3" s="16">
        <v>1.16233556709835</v>
      </c>
      <c r="AB3" s="15">
        <v>76.900121119226895</v>
      </c>
      <c r="AE3" s="11">
        <v>-5.83312548625979E-3</v>
      </c>
    </row>
    <row r="4" spans="1:77" x14ac:dyDescent="0.3">
      <c r="A4" s="1">
        <v>46028</v>
      </c>
      <c r="B4" s="15">
        <v>65.86</v>
      </c>
      <c r="C4" s="15">
        <v>77.47</v>
      </c>
      <c r="D4" s="11">
        <v>-4.5447737672175701E-3</v>
      </c>
      <c r="E4" s="11">
        <v>1.55018762473602E-3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65.86</v>
      </c>
      <c r="M4" s="15">
        <v>77.47</v>
      </c>
      <c r="N4" s="16">
        <v>1.1762830245976299</v>
      </c>
      <c r="O4" s="16">
        <v>1.16233556709835</v>
      </c>
      <c r="R4" s="15">
        <v>76.551420449097407</v>
      </c>
      <c r="U4" s="11">
        <v>-1.1928086878213499E-2</v>
      </c>
      <c r="X4" s="16">
        <v>1.1762830245976299</v>
      </c>
      <c r="Y4" s="16">
        <v>1.16233556709835</v>
      </c>
      <c r="AB4" s="15">
        <v>76.551420449097407</v>
      </c>
      <c r="AE4" s="11">
        <v>-1.1928086878213499E-2</v>
      </c>
    </row>
    <row r="5" spans="1:77" x14ac:dyDescent="0.3">
      <c r="A5" s="1">
        <v>46029</v>
      </c>
      <c r="B5" s="15">
        <v>65.23</v>
      </c>
      <c r="C5" s="15">
        <v>76.62</v>
      </c>
      <c r="D5" s="11">
        <v>-9.6117911402134708E-3</v>
      </c>
      <c r="E5" s="11">
        <v>-1.10326253713081E-2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65.23</v>
      </c>
      <c r="M5" s="15">
        <v>76.62</v>
      </c>
      <c r="N5" s="16">
        <v>1.1746129081710801</v>
      </c>
      <c r="O5" s="16">
        <v>1.16233556709835</v>
      </c>
      <c r="R5" s="15">
        <v>75.819149041825497</v>
      </c>
      <c r="U5" s="11">
        <v>-1.05072526471189E-2</v>
      </c>
      <c r="X5" s="16">
        <v>1.1746129081710801</v>
      </c>
      <c r="Y5" s="16">
        <v>1.16233556709835</v>
      </c>
      <c r="AB5" s="15">
        <v>75.819149041825497</v>
      </c>
      <c r="AE5" s="11">
        <v>-1.05072526471189E-2</v>
      </c>
    </row>
    <row r="6" spans="1:77" x14ac:dyDescent="0.3">
      <c r="A6" s="1">
        <v>46030</v>
      </c>
      <c r="B6" s="15">
        <v>66.61</v>
      </c>
      <c r="C6" s="15">
        <v>78.44</v>
      </c>
      <c r="D6" s="11">
        <v>2.09352306170833E-2</v>
      </c>
      <c r="E6" s="11">
        <v>2.3475862055642598E-2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66.61</v>
      </c>
      <c r="M6" s="15">
        <v>78.44</v>
      </c>
      <c r="N6" s="16">
        <v>1.17760096081669</v>
      </c>
      <c r="O6" s="16">
        <v>1.16233556709835</v>
      </c>
      <c r="R6" s="15">
        <v>77.4231721244212</v>
      </c>
      <c r="U6" s="11">
        <v>-1.3047884085678E-2</v>
      </c>
      <c r="X6" s="16">
        <v>1.17760096081669</v>
      </c>
      <c r="Y6" s="16">
        <v>1.16233556709835</v>
      </c>
      <c r="AB6" s="15">
        <v>77.4231721244212</v>
      </c>
      <c r="AE6" s="11">
        <v>-1.3047884085678E-2</v>
      </c>
    </row>
    <row r="7" spans="1:77" x14ac:dyDescent="0.3">
      <c r="A7" s="1">
        <v>46031</v>
      </c>
      <c r="B7" s="15">
        <v>67.2</v>
      </c>
      <c r="C7" s="15">
        <v>79.25</v>
      </c>
      <c r="D7" s="11">
        <v>8.8185311040158698E-3</v>
      </c>
      <c r="E7" s="11">
        <v>1.0273411429244501E-2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67.2</v>
      </c>
      <c r="M7" s="15">
        <v>79.25</v>
      </c>
      <c r="N7" s="16">
        <v>1.1793154761904701</v>
      </c>
      <c r="O7" s="16">
        <v>1.16233556709835</v>
      </c>
      <c r="R7" s="15">
        <v>78.1089501090092</v>
      </c>
      <c r="U7" s="11">
        <v>-1.45027644109066E-2</v>
      </c>
      <c r="X7" s="16">
        <v>1.1793154761904701</v>
      </c>
      <c r="Y7" s="16">
        <v>1.16233556709835</v>
      </c>
      <c r="AB7" s="15">
        <v>78.1089501090092</v>
      </c>
      <c r="AE7" s="11">
        <v>-1.45027644109066E-2</v>
      </c>
    </row>
    <row r="8" spans="1:77" x14ac:dyDescent="0.3">
      <c r="A8" s="1">
        <v>46034</v>
      </c>
      <c r="B8" s="15">
        <v>67.760000000000005</v>
      </c>
      <c r="C8" s="15">
        <v>80.180000000000007</v>
      </c>
      <c r="D8" s="11">
        <v>8.2988028146950606E-3</v>
      </c>
      <c r="E8" s="11">
        <v>1.1666694456970999E-2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67.760000000000005</v>
      </c>
      <c r="M8" s="15">
        <v>80.180000000000007</v>
      </c>
      <c r="N8" s="16">
        <v>1.1832939787485199</v>
      </c>
      <c r="O8" s="16">
        <v>1.16233556709835</v>
      </c>
      <c r="R8" s="15">
        <v>78.759858026584297</v>
      </c>
      <c r="U8" s="11">
        <v>-1.7870656053182499E-2</v>
      </c>
      <c r="X8" s="16">
        <v>1.1832939787485199</v>
      </c>
      <c r="Y8" s="16">
        <v>1.16233556709835</v>
      </c>
      <c r="AB8" s="15">
        <v>78.759858026584297</v>
      </c>
      <c r="AE8" s="11">
        <v>-1.7870656053182499E-2</v>
      </c>
    </row>
    <row r="9" spans="1:77" x14ac:dyDescent="0.3">
      <c r="A9" s="1">
        <v>46035</v>
      </c>
      <c r="B9" s="15">
        <v>68.38</v>
      </c>
      <c r="C9" s="15">
        <v>81.11</v>
      </c>
      <c r="D9" s="11">
        <v>9.1083338673560894E-3</v>
      </c>
      <c r="E9" s="11">
        <v>1.1532150867892299E-2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68.38</v>
      </c>
      <c r="M9" s="15">
        <v>81.11</v>
      </c>
      <c r="N9" s="16">
        <v>1.18616554548113</v>
      </c>
      <c r="O9" s="16">
        <v>1.16233556709835</v>
      </c>
      <c r="R9" s="15">
        <v>79.4805060781853</v>
      </c>
      <c r="U9" s="11">
        <v>-2.02944730537187E-2</v>
      </c>
      <c r="X9" s="16">
        <v>1.18616554548113</v>
      </c>
      <c r="Y9" s="16">
        <v>1.16233556709835</v>
      </c>
      <c r="AB9" s="15">
        <v>79.4805060781853</v>
      </c>
      <c r="AE9" s="11">
        <v>-2.02944730537187E-2</v>
      </c>
      <c r="BJ9" s="6">
        <f>AVERAGE(BI22:BI200)</f>
        <v>4.3372614264947828E-4</v>
      </c>
      <c r="BV9" s="6">
        <f>AVERAGE(BU22:BU200)</f>
        <v>1.3883091380424519E-4</v>
      </c>
      <c r="BY9" s="6">
        <f>AVERAGE(BX22:BX200)</f>
        <v>5.7255705645372355E-4</v>
      </c>
    </row>
    <row r="10" spans="1:77" x14ac:dyDescent="0.3">
      <c r="A10" s="1">
        <v>46036</v>
      </c>
      <c r="B10" s="15">
        <v>69.39</v>
      </c>
      <c r="C10" s="15">
        <v>82.23</v>
      </c>
      <c r="D10" s="11">
        <v>1.46623807003024E-2</v>
      </c>
      <c r="E10" s="11">
        <v>1.37139409005508E-2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69.39</v>
      </c>
      <c r="M10" s="15">
        <v>82.23</v>
      </c>
      <c r="N10" s="16">
        <v>1.1850410722006</v>
      </c>
      <c r="O10" s="16">
        <v>1.16233556709835</v>
      </c>
      <c r="R10" s="15">
        <v>80.654465000954602</v>
      </c>
      <c r="U10" s="11">
        <v>-1.9346033253967301E-2</v>
      </c>
      <c r="X10" s="16">
        <v>1.1850410722006</v>
      </c>
      <c r="Y10" s="16">
        <v>1.16233556709835</v>
      </c>
      <c r="AB10" s="15">
        <v>80.654465000954602</v>
      </c>
      <c r="AE10" s="11">
        <v>-1.9346033253967301E-2</v>
      </c>
      <c r="AZ10" s="7"/>
      <c r="BJ10" s="6">
        <f>STDEV(BI22:BI200)</f>
        <v>2.6407075735171738E-3</v>
      </c>
      <c r="BL10" s="7"/>
      <c r="BV10" s="6">
        <f>STDEV(BU22:BU200)</f>
        <v>2.1463126545873722E-3</v>
      </c>
      <c r="BY10" s="6">
        <f>STDEV(BX22:BX200)</f>
        <v>3.385075296128802E-3</v>
      </c>
    </row>
    <row r="11" spans="1:77" x14ac:dyDescent="0.3">
      <c r="A11" s="1">
        <v>46037</v>
      </c>
      <c r="B11" s="15">
        <v>69.650000000000006</v>
      </c>
      <c r="C11" s="15">
        <v>82.37</v>
      </c>
      <c r="D11" s="11">
        <v>3.7399353143572601E-3</v>
      </c>
      <c r="E11" s="11">
        <v>1.7010939703531801E-3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69.650000000000006</v>
      </c>
      <c r="M11" s="15">
        <v>82.37</v>
      </c>
      <c r="N11" s="16">
        <v>1.1826274228284199</v>
      </c>
      <c r="O11" s="16">
        <v>1.16233556709835</v>
      </c>
      <c r="P11" s="16">
        <v>1.17786688328375</v>
      </c>
      <c r="R11" s="15">
        <v>80.956672248400196</v>
      </c>
      <c r="U11" s="11">
        <v>-1.7307191909963202E-2</v>
      </c>
      <c r="X11" s="16">
        <v>1.1826274228284199</v>
      </c>
      <c r="Y11" s="16">
        <v>1.16233556709835</v>
      </c>
      <c r="Z11" s="16">
        <v>1.17786688328375</v>
      </c>
      <c r="AB11" s="15">
        <v>80.956672248400196</v>
      </c>
      <c r="AE11" s="11">
        <v>-1.7307191909963202E-2</v>
      </c>
      <c r="BJ11">
        <f>SQRT(252)*BJ9/BJ10</f>
        <v>2.6073273437757614</v>
      </c>
      <c r="BV11">
        <f>SQRT(252)*BV9/BV10</f>
        <v>1.0268179841240115</v>
      </c>
      <c r="BY11">
        <f>SQRT(252)*BY9/BY10</f>
        <v>2.6850396819901321</v>
      </c>
    </row>
    <row r="12" spans="1:77" x14ac:dyDescent="0.3">
      <c r="A12" s="1">
        <v>46038</v>
      </c>
      <c r="B12" s="15">
        <v>69.33</v>
      </c>
      <c r="C12" s="15">
        <v>82.11</v>
      </c>
      <c r="D12" s="11">
        <v>-4.6049872714157402E-3</v>
      </c>
      <c r="E12" s="11">
        <v>-3.1614812324600602E-3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69.33</v>
      </c>
      <c r="M12" s="15">
        <v>82.11</v>
      </c>
      <c r="N12" s="16">
        <v>1.18433578537429</v>
      </c>
      <c r="O12" s="16">
        <v>1.16233556709835</v>
      </c>
      <c r="P12" s="16">
        <v>1.1798411603671199</v>
      </c>
      <c r="R12" s="15">
        <v>80.584724866928696</v>
      </c>
      <c r="S12" s="15">
        <v>81.661511018062498</v>
      </c>
      <c r="U12" s="11">
        <v>-1.8750697948918999E-2</v>
      </c>
      <c r="V12" s="11">
        <v>-5.4770222279580099E-3</v>
      </c>
      <c r="X12" s="16">
        <v>1.18433578537429</v>
      </c>
      <c r="Y12" s="16">
        <v>1.16233556709835</v>
      </c>
      <c r="Z12" s="16">
        <v>1.1798411603671199</v>
      </c>
      <c r="AB12" s="15">
        <v>80.584724866928696</v>
      </c>
      <c r="AC12" s="15">
        <v>81.661511018062498</v>
      </c>
      <c r="AE12" s="11">
        <v>-1.8750697948918999E-2</v>
      </c>
      <c r="AF12" s="11">
        <v>-5.4770222279580099E-3</v>
      </c>
    </row>
    <row r="13" spans="1:77" x14ac:dyDescent="0.3">
      <c r="A13" s="1">
        <v>46042</v>
      </c>
      <c r="B13" s="15">
        <v>69.59</v>
      </c>
      <c r="C13" s="15">
        <v>82.36</v>
      </c>
      <c r="D13" s="11">
        <v>3.7431659023597699E-3</v>
      </c>
      <c r="E13" s="11">
        <v>3.0400704388913401E-3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69.59</v>
      </c>
      <c r="M13" s="15">
        <v>82.36</v>
      </c>
      <c r="N13" s="16">
        <v>1.1835033769219701</v>
      </c>
      <c r="O13" s="16">
        <v>1.16233556709835</v>
      </c>
      <c r="P13" s="16">
        <v>1.1812779551330801</v>
      </c>
      <c r="R13" s="15">
        <v>80.886932114374304</v>
      </c>
      <c r="S13" s="15">
        <v>82.105146349948299</v>
      </c>
      <c r="U13" s="11">
        <v>-1.8047602485450599E-2</v>
      </c>
      <c r="V13" s="11">
        <v>-3.0991837443434902E-3</v>
      </c>
      <c r="X13" s="16">
        <v>1.1835033769219701</v>
      </c>
      <c r="Y13" s="16">
        <v>1.16233556709835</v>
      </c>
      <c r="Z13" s="16">
        <v>1.1812779551330801</v>
      </c>
      <c r="AB13" s="15">
        <v>80.886932114374304</v>
      </c>
      <c r="AC13" s="15">
        <v>82.105146349948299</v>
      </c>
      <c r="AE13" s="11">
        <v>-1.8047602485450599E-2</v>
      </c>
      <c r="AF13" s="11">
        <v>-3.0991837443434902E-3</v>
      </c>
    </row>
    <row r="14" spans="1:77" x14ac:dyDescent="0.3">
      <c r="A14" s="1">
        <v>46043</v>
      </c>
      <c r="B14" s="15">
        <v>69.650000000000006</v>
      </c>
      <c r="C14" s="15">
        <v>82.44</v>
      </c>
      <c r="D14" s="11">
        <v>8.6182136905613995E-4</v>
      </c>
      <c r="E14" s="11">
        <v>9.7087386266965004E-4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69.650000000000006</v>
      </c>
      <c r="M14" s="15">
        <v>82.44</v>
      </c>
      <c r="N14" s="16">
        <v>1.1836324479540501</v>
      </c>
      <c r="O14" s="16">
        <v>1.16233556709835</v>
      </c>
      <c r="P14" s="16">
        <v>1.1820128974687201</v>
      </c>
      <c r="R14" s="15">
        <v>80.956672248400196</v>
      </c>
      <c r="S14" s="15">
        <v>82.276009575019302</v>
      </c>
      <c r="U14" s="11">
        <v>-1.8156654979064001E-2</v>
      </c>
      <c r="V14" s="11">
        <v>-1.9911905295268099E-3</v>
      </c>
      <c r="X14" s="16">
        <v>1.1836324479540501</v>
      </c>
      <c r="Y14" s="16">
        <v>1.16233556709835</v>
      </c>
      <c r="Z14" s="16">
        <v>1.1820128974687201</v>
      </c>
      <c r="AB14" s="15">
        <v>80.956672248400196</v>
      </c>
      <c r="AC14" s="15">
        <v>82.276009575019302</v>
      </c>
      <c r="AE14" s="11">
        <v>-1.8156654979064001E-2</v>
      </c>
      <c r="AF14" s="11">
        <v>-1.9911905295268099E-3</v>
      </c>
    </row>
    <row r="15" spans="1:77" x14ac:dyDescent="0.3">
      <c r="A15" s="1">
        <v>46044</v>
      </c>
      <c r="B15" s="15">
        <v>69.84</v>
      </c>
      <c r="C15" s="15">
        <v>82.27</v>
      </c>
      <c r="D15" s="11">
        <v>2.7242113055320301E-3</v>
      </c>
      <c r="E15" s="11">
        <v>-2.0642348414193802E-3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69.84</v>
      </c>
      <c r="M15" s="15">
        <v>82.27</v>
      </c>
      <c r="N15" s="16">
        <v>1.1779782359679201</v>
      </c>
      <c r="O15" s="16">
        <v>1.16233556709835</v>
      </c>
      <c r="P15" s="16">
        <v>1.1823494302484101</v>
      </c>
      <c r="R15" s="15">
        <v>81.177516006148906</v>
      </c>
      <c r="S15" s="15">
        <v>82.551780759215902</v>
      </c>
      <c r="U15" s="11">
        <v>-1.3368208832112601E-2</v>
      </c>
      <c r="V15" s="11">
        <v>3.4192208389510199E-3</v>
      </c>
      <c r="X15" s="16">
        <v>1.1779782359679201</v>
      </c>
      <c r="Y15" s="16">
        <v>1.16233556709835</v>
      </c>
      <c r="Z15" s="16">
        <v>1.1823494302484101</v>
      </c>
      <c r="AB15" s="15">
        <v>81.177516006148906</v>
      </c>
      <c r="AC15" s="15">
        <v>82.551780759215902</v>
      </c>
      <c r="AE15" s="11">
        <v>-1.3368208832112601E-2</v>
      </c>
      <c r="AF15" s="11">
        <v>3.4192208389510199E-3</v>
      </c>
    </row>
    <row r="16" spans="1:77" x14ac:dyDescent="0.3">
      <c r="A16" s="1">
        <v>46045</v>
      </c>
      <c r="B16" s="15">
        <v>70.400000000000006</v>
      </c>
      <c r="C16" s="15">
        <v>82.91</v>
      </c>
      <c r="D16" s="11">
        <v>7.9863516326499195E-3</v>
      </c>
      <c r="E16" s="11">
        <v>7.7491609472884497E-3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70.400000000000006</v>
      </c>
      <c r="M16" s="15">
        <v>82.91</v>
      </c>
      <c r="N16" s="16">
        <v>1.1776988636363599</v>
      </c>
      <c r="O16" s="16">
        <v>1.16233556709835</v>
      </c>
      <c r="P16" s="16">
        <v>1.1823592205303699</v>
      </c>
      <c r="R16" s="15">
        <v>81.828423923723903</v>
      </c>
      <c r="S16" s="15">
        <v>83.237399889488103</v>
      </c>
      <c r="U16" s="11">
        <v>-1.3131018146751E-2</v>
      </c>
      <c r="V16" s="11">
        <v>3.94108259863255E-3</v>
      </c>
      <c r="X16" s="16">
        <v>1.1776988636363599</v>
      </c>
      <c r="Y16" s="16">
        <v>1.16233556709835</v>
      </c>
      <c r="Z16" s="16">
        <v>1.1823592205303699</v>
      </c>
      <c r="AB16" s="15">
        <v>81.828423923723903</v>
      </c>
      <c r="AC16" s="15">
        <v>83.237399889488103</v>
      </c>
      <c r="AE16" s="11">
        <v>-1.3131018146751E-2</v>
      </c>
      <c r="AF16" s="11">
        <v>3.94108259863255E-3</v>
      </c>
    </row>
    <row r="17" spans="1:77" x14ac:dyDescent="0.3">
      <c r="A17" s="1">
        <v>46048</v>
      </c>
      <c r="B17" s="15">
        <v>70.56</v>
      </c>
      <c r="C17" s="15">
        <v>82.78</v>
      </c>
      <c r="D17" s="11">
        <v>2.2701485345390702E-3</v>
      </c>
      <c r="E17" s="11">
        <v>-1.5691958075409601E-3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70.56</v>
      </c>
      <c r="M17" s="15">
        <v>82.78</v>
      </c>
      <c r="N17" s="16">
        <v>1.17318594104308</v>
      </c>
      <c r="O17" s="16">
        <v>1.16233556709835</v>
      </c>
      <c r="P17" s="16">
        <v>1.18174626701563</v>
      </c>
      <c r="R17" s="15">
        <v>82.014397614459696</v>
      </c>
      <c r="S17" s="15">
        <v>83.427266600623497</v>
      </c>
      <c r="U17" s="11">
        <v>-9.2916738046711408E-3</v>
      </c>
      <c r="V17" s="11">
        <v>7.7887072690006297E-3</v>
      </c>
      <c r="X17" s="16">
        <v>1.17318594104308</v>
      </c>
      <c r="Y17" s="16">
        <v>1.16233556709835</v>
      </c>
      <c r="Z17" s="16">
        <v>1.18174626701563</v>
      </c>
      <c r="AB17" s="15">
        <v>82.014397614459696</v>
      </c>
      <c r="AC17" s="15">
        <v>83.427266600623497</v>
      </c>
      <c r="AE17" s="11">
        <v>-9.2916738046711408E-3</v>
      </c>
      <c r="AF17" s="11">
        <v>7.7887072690006297E-3</v>
      </c>
    </row>
    <row r="18" spans="1:77" x14ac:dyDescent="0.3">
      <c r="A18" s="1">
        <v>46049</v>
      </c>
      <c r="B18" s="15">
        <v>70.78</v>
      </c>
      <c r="C18" s="15">
        <v>83.16</v>
      </c>
      <c r="D18" s="11">
        <v>3.1130632187814102E-3</v>
      </c>
      <c r="E18" s="11">
        <v>4.5799766692258097E-3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70.78</v>
      </c>
      <c r="M18" s="15">
        <v>83.16</v>
      </c>
      <c r="N18" s="16">
        <v>1.17490816614862</v>
      </c>
      <c r="O18" s="16">
        <v>1.16233556709835</v>
      </c>
      <c r="P18" s="16">
        <v>1.18090768575564</v>
      </c>
      <c r="R18" s="15">
        <v>82.270111439221296</v>
      </c>
      <c r="S18" s="15">
        <v>83.644000779366905</v>
      </c>
      <c r="U18" s="11">
        <v>-1.0758587255115399E-2</v>
      </c>
      <c r="V18" s="11">
        <v>5.8032437524079602E-3</v>
      </c>
      <c r="X18" s="16">
        <v>1.17490816614862</v>
      </c>
      <c r="Y18" s="16">
        <v>1.16233556709835</v>
      </c>
      <c r="Z18" s="16">
        <v>1.18090768575564</v>
      </c>
      <c r="AB18" s="15">
        <v>82.270111439221296</v>
      </c>
      <c r="AC18" s="15">
        <v>83.644000779366905</v>
      </c>
      <c r="AE18" s="11">
        <v>-1.0758587255115399E-2</v>
      </c>
      <c r="AF18" s="11">
        <v>5.8032437524079602E-3</v>
      </c>
    </row>
    <row r="19" spans="1:77" x14ac:dyDescent="0.3">
      <c r="A19" s="1">
        <v>46050</v>
      </c>
      <c r="B19" s="15">
        <v>70.319999999999993</v>
      </c>
      <c r="C19" s="15">
        <v>82.32</v>
      </c>
      <c r="D19" s="11">
        <v>-6.5202215403958198E-3</v>
      </c>
      <c r="E19" s="11">
        <v>-1.0152371464018E-2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70.319999999999993</v>
      </c>
      <c r="M19" s="15">
        <v>82.32</v>
      </c>
      <c r="N19" s="16">
        <v>1.17064846416382</v>
      </c>
      <c r="O19" s="16">
        <v>1.16233556709835</v>
      </c>
      <c r="P19" s="16">
        <v>1.17935597762391</v>
      </c>
      <c r="R19" s="15">
        <v>81.7354370783561</v>
      </c>
      <c r="S19" s="15">
        <v>83.041428462337194</v>
      </c>
      <c r="U19" s="11">
        <v>-7.1264373314932402E-3</v>
      </c>
      <c r="V19" s="11">
        <v>8.7255298432672608E-3</v>
      </c>
      <c r="X19" s="16">
        <v>1.17064846416382</v>
      </c>
      <c r="Y19" s="16">
        <v>1.16233556709835</v>
      </c>
      <c r="Z19" s="16">
        <v>1.17935597762391</v>
      </c>
      <c r="AB19" s="15">
        <v>81.7354370783561</v>
      </c>
      <c r="AC19" s="15">
        <v>83.041428462337194</v>
      </c>
      <c r="AE19" s="11">
        <v>-7.1264373314932402E-3</v>
      </c>
      <c r="AF19" s="11">
        <v>8.7255298432672608E-3</v>
      </c>
      <c r="BX19" s="3" t="s">
        <v>33</v>
      </c>
      <c r="BY19" s="3" t="s">
        <v>33</v>
      </c>
    </row>
    <row r="20" spans="1:77" x14ac:dyDescent="0.3">
      <c r="A20" s="1">
        <v>46051</v>
      </c>
      <c r="B20" s="15">
        <v>70.3</v>
      </c>
      <c r="C20" s="15">
        <v>82.13</v>
      </c>
      <c r="D20" s="11">
        <v>-2.8445456030232202E-4</v>
      </c>
      <c r="E20" s="11">
        <v>-2.3107337736931999E-3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70.3</v>
      </c>
      <c r="M20" s="15">
        <v>82.13</v>
      </c>
      <c r="N20" s="16">
        <v>1.1682788051209101</v>
      </c>
      <c r="O20" s="16">
        <v>1.16233556709835</v>
      </c>
      <c r="P20" s="16">
        <v>1.17767975091594</v>
      </c>
      <c r="R20" s="15">
        <v>81.712190367014102</v>
      </c>
      <c r="S20" s="15">
        <v>82.908725226961394</v>
      </c>
      <c r="U20" s="11">
        <v>-5.1001581181022099E-3</v>
      </c>
      <c r="V20" s="11">
        <v>9.4369488744139203E-3</v>
      </c>
      <c r="X20" s="16">
        <v>1.1682788051209101</v>
      </c>
      <c r="Y20" s="16">
        <v>1.16233556709835</v>
      </c>
      <c r="Z20" s="16">
        <v>1.17767975091594</v>
      </c>
      <c r="AB20" s="15">
        <v>81.712190367014102</v>
      </c>
      <c r="AC20" s="15">
        <v>82.908725226961394</v>
      </c>
      <c r="AE20" s="11">
        <v>-5.1001581181022099E-3</v>
      </c>
      <c r="AF20" s="11">
        <v>9.4369488744139203E-3</v>
      </c>
      <c r="AZ20" s="8" t="s">
        <v>34</v>
      </c>
      <c r="BA20" s="9">
        <v>-3.0000000000000001E-3</v>
      </c>
      <c r="BB20" s="3" t="s">
        <v>35</v>
      </c>
      <c r="BC20" s="3" t="s">
        <v>36</v>
      </c>
      <c r="BD20" s="3" t="s">
        <v>37</v>
      </c>
      <c r="BE20" s="3" t="s">
        <v>38</v>
      </c>
      <c r="BF20" s="3" t="s">
        <v>39</v>
      </c>
      <c r="BG20" s="3" t="str">
        <f>D1</f>
        <v>IYK log rtn</v>
      </c>
      <c r="BH20" s="3" t="str">
        <f>E1</f>
        <v>XLP log rtn</v>
      </c>
      <c r="BI20" s="3" t="s">
        <v>40</v>
      </c>
      <c r="BJ20" s="3" t="s">
        <v>41</v>
      </c>
      <c r="BL20" s="8" t="s">
        <v>34</v>
      </c>
      <c r="BM20" s="9">
        <v>3.0000000000000001E-3</v>
      </c>
      <c r="BN20" s="3" t="s">
        <v>36</v>
      </c>
      <c r="BO20" s="3" t="s">
        <v>35</v>
      </c>
      <c r="BP20" s="3" t="s">
        <v>37</v>
      </c>
      <c r="BQ20" s="3" t="s">
        <v>38</v>
      </c>
      <c r="BR20" s="3" t="s">
        <v>39</v>
      </c>
      <c r="BS20" s="4" t="str">
        <f>D1</f>
        <v>IYK log rtn</v>
      </c>
      <c r="BT20" s="4" t="str">
        <f>E1</f>
        <v>XLP log rtn</v>
      </c>
      <c r="BU20" s="3" t="s">
        <v>40</v>
      </c>
      <c r="BV20" s="3" t="s">
        <v>41</v>
      </c>
      <c r="BX20" s="3" t="s">
        <v>40</v>
      </c>
      <c r="BY20" s="3" t="s">
        <v>41</v>
      </c>
    </row>
    <row r="21" spans="1:77" x14ac:dyDescent="0.3">
      <c r="A21" s="1">
        <v>46052</v>
      </c>
      <c r="B21" s="15">
        <v>71.47</v>
      </c>
      <c r="C21" s="15">
        <v>83.51</v>
      </c>
      <c r="D21" s="11">
        <v>1.6505982415268301E-2</v>
      </c>
      <c r="E21" s="11">
        <v>1.6663027413037101E-2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71.47</v>
      </c>
      <c r="M21" s="15">
        <v>83.51</v>
      </c>
      <c r="N21" s="16">
        <v>1.1684622918707099</v>
      </c>
      <c r="O21" s="16">
        <v>1.16233556709835</v>
      </c>
      <c r="P21" s="16">
        <v>1.1762632378201701</v>
      </c>
      <c r="Q21" s="16">
        <v>1.1770650605519599</v>
      </c>
      <c r="R21" s="15">
        <v>83.072122980519197</v>
      </c>
      <c r="S21" s="15">
        <v>84.168771797962805</v>
      </c>
      <c r="U21" s="11">
        <v>-5.2572031158712798E-3</v>
      </c>
      <c r="V21" s="11">
        <v>7.8575860303301704E-3</v>
      </c>
      <c r="X21" s="16">
        <v>1.1684622918707099</v>
      </c>
      <c r="Y21" s="16">
        <v>1.16233556709835</v>
      </c>
      <c r="Z21" s="16">
        <v>1.1762632378201701</v>
      </c>
      <c r="AA21" s="16">
        <v>1.1770650605519599</v>
      </c>
      <c r="AB21" s="15">
        <v>83.072122980519197</v>
      </c>
      <c r="AC21" s="15">
        <v>84.168771797962805</v>
      </c>
      <c r="AE21" s="11">
        <v>-5.2572031158712798E-3</v>
      </c>
      <c r="AF21" s="11">
        <v>7.8575860303301704E-3</v>
      </c>
      <c r="BA21" s="9">
        <v>0</v>
      </c>
      <c r="BE21">
        <f>IF(F22+H22&gt;0,0,1)</f>
        <v>1</v>
      </c>
      <c r="BF21" s="10">
        <v>0</v>
      </c>
      <c r="BM21" s="9">
        <v>0</v>
      </c>
      <c r="BQ21">
        <f>IF(F22+H22&gt;0,0,1)</f>
        <v>1</v>
      </c>
      <c r="BR21" s="10">
        <v>0</v>
      </c>
    </row>
    <row r="22" spans="1:77" x14ac:dyDescent="0.3">
      <c r="A22" s="1">
        <v>46055</v>
      </c>
      <c r="B22" s="15">
        <v>71.91</v>
      </c>
      <c r="C22" s="15">
        <v>84.5</v>
      </c>
      <c r="D22" s="11">
        <v>6.1375558825151602E-3</v>
      </c>
      <c r="E22" s="11">
        <v>1.1785149197989999E-2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71.91</v>
      </c>
      <c r="M22" s="15">
        <v>84.5</v>
      </c>
      <c r="N22" s="16">
        <v>1.1750799610624301</v>
      </c>
      <c r="O22" s="16">
        <v>1.16233556709835</v>
      </c>
      <c r="P22" s="16">
        <v>1.17533765538899</v>
      </c>
      <c r="Q22" s="16">
        <v>1.17758940787805</v>
      </c>
      <c r="R22" s="15">
        <v>83.583550630042396</v>
      </c>
      <c r="S22" s="15">
        <v>84.585089431648896</v>
      </c>
      <c r="T22" s="15">
        <v>84.642748504291802</v>
      </c>
      <c r="U22" s="11">
        <v>-1.09047964313462E-2</v>
      </c>
      <c r="V22" s="11">
        <v>1.0064688627224401E-3</v>
      </c>
      <c r="W22" s="11">
        <v>1.6879060964220499E-3</v>
      </c>
      <c r="X22" s="16">
        <v>1.1750799610624301</v>
      </c>
      <c r="Y22" s="16">
        <v>1.16233556709835</v>
      </c>
      <c r="Z22" s="16">
        <v>1.17533765538899</v>
      </c>
      <c r="AA22" s="16">
        <v>1.17758940787805</v>
      </c>
      <c r="AB22" s="15">
        <v>83.583550630042396</v>
      </c>
      <c r="AC22" s="15">
        <v>84.585089431648896</v>
      </c>
      <c r="AD22" s="15">
        <v>84.642748504291802</v>
      </c>
      <c r="AE22" s="11">
        <v>-1.09047964313462E-2</v>
      </c>
      <c r="AF22" s="11">
        <v>1.0064688627224401E-3</v>
      </c>
      <c r="AG22" s="11">
        <v>1.6879060964220499E-3</v>
      </c>
      <c r="AZ22" s="11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11">
        <f>BF22*D22</f>
        <v>0</v>
      </c>
      <c r="BH22" s="11">
        <f>-BF22*$E22</f>
        <v>0</v>
      </c>
      <c r="BI22" s="11">
        <f>BG22+BH22</f>
        <v>0</v>
      </c>
      <c r="BJ22" s="6">
        <f>BJ21+BI22</f>
        <v>0</v>
      </c>
      <c r="BL22" s="11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11">
        <f>-BR22*D22</f>
        <v>0</v>
      </c>
      <c r="BT22" s="11">
        <f>BR22*$E22</f>
        <v>0</v>
      </c>
      <c r="BU22" s="11">
        <f>BS22+BT22</f>
        <v>0</v>
      </c>
      <c r="BV22" s="6">
        <f>BV21+BU22</f>
        <v>0</v>
      </c>
      <c r="BX22" s="6">
        <f>BI22+BU22</f>
        <v>0</v>
      </c>
      <c r="BY22" s="6">
        <f>BY21+BX22</f>
        <v>0</v>
      </c>
    </row>
    <row r="23" spans="1:77" x14ac:dyDescent="0.3">
      <c r="A23" s="1">
        <v>46056</v>
      </c>
      <c r="B23" s="15">
        <v>72.92</v>
      </c>
      <c r="C23" s="15">
        <v>85.87</v>
      </c>
      <c r="D23" s="11">
        <v>1.39476126960596E-2</v>
      </c>
      <c r="E23" s="11">
        <v>1.6082990321265301E-2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72.92</v>
      </c>
      <c r="M23" s="15">
        <v>85.87</v>
      </c>
      <c r="N23" s="16">
        <v>1.1775918815139801</v>
      </c>
      <c r="O23" s="16">
        <v>1.16233556709835</v>
      </c>
      <c r="P23" s="16">
        <v>1.1747465058481901</v>
      </c>
      <c r="Q23" s="16">
        <v>1.17801223049063</v>
      </c>
      <c r="R23" s="15">
        <v>84.757509552811797</v>
      </c>
      <c r="S23" s="15">
        <v>85.7056218309652</v>
      </c>
      <c r="T23" s="15">
        <v>85.869819622468</v>
      </c>
      <c r="U23" s="11">
        <v>-1.3040174056551701E-2</v>
      </c>
      <c r="V23" s="11">
        <v>-1.91610227108868E-3</v>
      </c>
      <c r="W23" s="11">
        <v>-2.10059067629439E-6</v>
      </c>
      <c r="X23" s="16">
        <v>1.1775918815139801</v>
      </c>
      <c r="Y23" s="16">
        <v>1.16233556709835</v>
      </c>
      <c r="Z23" s="16">
        <v>1.1747465058481901</v>
      </c>
      <c r="AA23" s="16">
        <v>1.17801223049063</v>
      </c>
      <c r="AB23" s="15">
        <v>84.757509552811797</v>
      </c>
      <c r="AC23" s="15">
        <v>85.7056218309652</v>
      </c>
      <c r="AD23" s="15">
        <v>85.869819622468</v>
      </c>
      <c r="AE23" s="11">
        <v>-1.3040174056551701E-2</v>
      </c>
      <c r="AF23" s="11">
        <v>-1.91610227108868E-3</v>
      </c>
      <c r="AG23" s="11">
        <v>-2.10059067629439E-6</v>
      </c>
      <c r="AZ23" s="11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11">
        <f t="shared" ref="BG23:BG86" si="6">BF23*D23</f>
        <v>0</v>
      </c>
      <c r="BH23" s="11">
        <f t="shared" ref="BH23:BH86" si="7">-BF23*$E23</f>
        <v>0</v>
      </c>
      <c r="BI23" s="11">
        <f t="shared" ref="BI23:BI86" si="8">BG23+BH23</f>
        <v>0</v>
      </c>
      <c r="BJ23" s="6">
        <f t="shared" ref="BJ23:BJ86" si="9">BJ22+BI23</f>
        <v>0</v>
      </c>
      <c r="BL23" s="11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11">
        <f t="shared" ref="BS23:BS86" si="14">-BR23*D23</f>
        <v>0</v>
      </c>
      <c r="BT23" s="11">
        <f t="shared" ref="BT23:BT86" si="15">BR23*$E23</f>
        <v>0</v>
      </c>
      <c r="BU23" s="11">
        <f t="shared" ref="BU23:BU86" si="16">BS23+BT23</f>
        <v>0</v>
      </c>
      <c r="BV23" s="6">
        <f t="shared" ref="BV23:BV86" si="17">BV22+BU23</f>
        <v>0</v>
      </c>
      <c r="BX23" s="6">
        <f t="shared" ref="BX23:BX86" si="18">BI23+BU23</f>
        <v>0</v>
      </c>
      <c r="BY23" s="6">
        <f t="shared" ref="BY23:BY86" si="19">BY22+BX23</f>
        <v>0</v>
      </c>
    </row>
    <row r="24" spans="1:77" x14ac:dyDescent="0.3">
      <c r="A24" s="1">
        <v>46057</v>
      </c>
      <c r="B24" s="15">
        <v>73.400000000000006</v>
      </c>
      <c r="C24" s="15">
        <v>86.99</v>
      </c>
      <c r="D24" s="11">
        <v>6.5609858100076296E-3</v>
      </c>
      <c r="E24" s="11">
        <v>1.2958644835055899E-2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73.400000000000006</v>
      </c>
      <c r="M24" s="15">
        <v>86.99</v>
      </c>
      <c r="N24" s="16">
        <v>1.18514986376021</v>
      </c>
      <c r="O24" s="16">
        <v>1.16233556709835</v>
      </c>
      <c r="P24" s="16">
        <v>1.1748982474287999</v>
      </c>
      <c r="Q24" s="16">
        <v>1.17845557244876</v>
      </c>
      <c r="R24" s="15">
        <v>85.315430625019005</v>
      </c>
      <c r="S24" s="15">
        <v>86.226393529257393</v>
      </c>
      <c r="T24" s="15">
        <v>86.466097718012904</v>
      </c>
      <c r="U24" s="11">
        <v>-1.94378330816001E-2</v>
      </c>
      <c r="V24" s="11">
        <v>-8.8168492816796899E-3</v>
      </c>
      <c r="W24" s="11">
        <v>-6.0407663035838399E-3</v>
      </c>
      <c r="X24" s="16">
        <v>1.18514986376021</v>
      </c>
      <c r="Y24" s="16">
        <v>1.16233556709835</v>
      </c>
      <c r="Z24" s="16">
        <v>1.1748982474287999</v>
      </c>
      <c r="AA24" s="16">
        <v>1.17845557244876</v>
      </c>
      <c r="AB24" s="15">
        <v>85.315430625019005</v>
      </c>
      <c r="AC24" s="15">
        <v>86.226393529257393</v>
      </c>
      <c r="AD24" s="15">
        <v>86.466097718012904</v>
      </c>
      <c r="AE24" s="11">
        <v>-1.94378330816001E-2</v>
      </c>
      <c r="AF24" s="11">
        <v>-8.8168492816796899E-3</v>
      </c>
      <c r="AG24" s="11">
        <v>-6.0407663035838399E-3</v>
      </c>
      <c r="AZ24" s="11"/>
      <c r="BB24">
        <f t="shared" si="2"/>
        <v>1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11">
        <f t="shared" si="6"/>
        <v>0</v>
      </c>
      <c r="BH24" s="11">
        <f t="shared" si="7"/>
        <v>0</v>
      </c>
      <c r="BI24" s="11">
        <f t="shared" si="8"/>
        <v>0</v>
      </c>
      <c r="BJ24" s="6">
        <f t="shared" si="9"/>
        <v>0</v>
      </c>
      <c r="BL24" s="11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11">
        <f t="shared" si="14"/>
        <v>0</v>
      </c>
      <c r="BT24" s="11">
        <f t="shared" si="15"/>
        <v>0</v>
      </c>
      <c r="BU24" s="11">
        <f t="shared" si="16"/>
        <v>0</v>
      </c>
      <c r="BV24" s="6">
        <f t="shared" si="17"/>
        <v>0</v>
      </c>
      <c r="BX24" s="6">
        <f t="shared" si="18"/>
        <v>0</v>
      </c>
      <c r="BY24" s="6">
        <f t="shared" si="19"/>
        <v>0</v>
      </c>
    </row>
    <row r="25" spans="1:77" x14ac:dyDescent="0.3">
      <c r="A25" s="1">
        <v>46058</v>
      </c>
      <c r="B25" s="15">
        <v>74.48</v>
      </c>
      <c r="C25" s="15">
        <v>86.92</v>
      </c>
      <c r="D25" s="11">
        <v>1.46066973483416E-2</v>
      </c>
      <c r="E25" s="11">
        <v>-8.0501413122038704E-4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74.48</v>
      </c>
      <c r="M25" s="15">
        <v>86.92</v>
      </c>
      <c r="N25" s="16">
        <v>1.1670247046186799</v>
      </c>
      <c r="O25" s="16">
        <v>1.16233556709835</v>
      </c>
      <c r="P25" s="16">
        <v>1.1738028942938801</v>
      </c>
      <c r="Q25" s="16">
        <v>1.17807616227114</v>
      </c>
      <c r="R25" s="15">
        <v>86.570753037485204</v>
      </c>
      <c r="S25" s="15">
        <v>87.506421468497706</v>
      </c>
      <c r="T25" s="15">
        <v>87.771371035984203</v>
      </c>
      <c r="U25" s="11">
        <v>-4.02612160203779E-3</v>
      </c>
      <c r="V25" s="11">
        <v>6.7240234939597004E-3</v>
      </c>
      <c r="W25" s="11">
        <v>9.7472218752031603E-3</v>
      </c>
      <c r="X25" s="16">
        <v>1.1670247046186799</v>
      </c>
      <c r="Y25" s="16">
        <v>1.16233556709835</v>
      </c>
      <c r="Z25" s="16">
        <v>1.1738028942938801</v>
      </c>
      <c r="AA25" s="16">
        <v>1.17807616227114</v>
      </c>
      <c r="AB25" s="15">
        <v>86.570753037485204</v>
      </c>
      <c r="AC25" s="15">
        <v>87.506421468497706</v>
      </c>
      <c r="AD25" s="15">
        <v>87.771371035984203</v>
      </c>
      <c r="AE25" s="11">
        <v>-4.02612160203779E-3</v>
      </c>
      <c r="AF25" s="11">
        <v>6.7240234939597004E-3</v>
      </c>
      <c r="AG25" s="11">
        <v>9.7472218752031603E-3</v>
      </c>
      <c r="AZ25" s="11"/>
      <c r="BB25">
        <f t="shared" si="2"/>
        <v>0</v>
      </c>
      <c r="BC25">
        <f t="shared" si="3"/>
        <v>1</v>
      </c>
      <c r="BD25">
        <f t="shared" si="4"/>
        <v>1</v>
      </c>
      <c r="BE25">
        <f t="shared" si="0"/>
        <v>1</v>
      </c>
      <c r="BF25">
        <f t="shared" si="5"/>
        <v>1</v>
      </c>
      <c r="BG25" s="11">
        <f t="shared" si="6"/>
        <v>1.46066973483416E-2</v>
      </c>
      <c r="BH25" s="11">
        <f t="shared" si="7"/>
        <v>8.0501413122038704E-4</v>
      </c>
      <c r="BI25" s="11">
        <f t="shared" si="8"/>
        <v>1.5411711479561987E-2</v>
      </c>
      <c r="BJ25" s="6">
        <f t="shared" si="9"/>
        <v>1.5411711479561987E-2</v>
      </c>
      <c r="BL25" s="11"/>
      <c r="BN25">
        <f t="shared" si="10"/>
        <v>1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11">
        <f t="shared" si="14"/>
        <v>0</v>
      </c>
      <c r="BT25" s="11">
        <f t="shared" si="15"/>
        <v>0</v>
      </c>
      <c r="BU25" s="11">
        <f t="shared" si="16"/>
        <v>0</v>
      </c>
      <c r="BV25" s="6">
        <f t="shared" si="17"/>
        <v>0</v>
      </c>
      <c r="BX25" s="6">
        <f t="shared" si="18"/>
        <v>1.5411711479561987E-2</v>
      </c>
      <c r="BY25" s="6">
        <f t="shared" si="19"/>
        <v>1.5411711479561987E-2</v>
      </c>
    </row>
    <row r="26" spans="1:77" x14ac:dyDescent="0.3">
      <c r="A26" s="1">
        <v>46059</v>
      </c>
      <c r="B26" s="15">
        <v>75.099999999999994</v>
      </c>
      <c r="C26" s="15">
        <v>87.94</v>
      </c>
      <c r="D26" s="11">
        <v>8.2899258012773692E-3</v>
      </c>
      <c r="E26" s="11">
        <v>1.1666608364435199E-2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75.099999999999994</v>
      </c>
      <c r="M26" s="15">
        <v>87.94</v>
      </c>
      <c r="N26" s="16">
        <v>1.1709720372836201</v>
      </c>
      <c r="O26" s="16">
        <v>1.16233556709835</v>
      </c>
      <c r="P26" s="16">
        <v>1.17313021165861</v>
      </c>
      <c r="Q26" s="16">
        <v>1.1777447160944901</v>
      </c>
      <c r="R26" s="15">
        <v>87.291401089086193</v>
      </c>
      <c r="S26" s="15">
        <v>88.152597361470796</v>
      </c>
      <c r="T26" s="15">
        <v>88.473519786563202</v>
      </c>
      <c r="U26" s="11">
        <v>-7.4028041651956903E-3</v>
      </c>
      <c r="V26" s="11">
        <v>2.41460990353079E-3</v>
      </c>
      <c r="W26" s="11">
        <v>6.0485320372797103E-3</v>
      </c>
      <c r="X26" s="16">
        <v>1.1709720372836201</v>
      </c>
      <c r="Y26" s="16">
        <v>1.16233556709835</v>
      </c>
      <c r="Z26" s="16">
        <v>1.17313021165861</v>
      </c>
      <c r="AA26" s="16">
        <v>1.1777447160944901</v>
      </c>
      <c r="AB26" s="15">
        <v>87.291401089086193</v>
      </c>
      <c r="AC26" s="15">
        <v>88.152597361470796</v>
      </c>
      <c r="AD26" s="15">
        <v>88.473519786563202</v>
      </c>
      <c r="AE26" s="11">
        <v>-7.4028041651956903E-3</v>
      </c>
      <c r="AF26" s="11">
        <v>2.41460990353079E-3</v>
      </c>
      <c r="AG26" s="11">
        <v>6.0485320372797103E-3</v>
      </c>
      <c r="AZ26" s="11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11">
        <f t="shared" si="6"/>
        <v>0</v>
      </c>
      <c r="BH26" s="11">
        <f t="shared" si="7"/>
        <v>0</v>
      </c>
      <c r="BI26" s="11">
        <f t="shared" si="8"/>
        <v>0</v>
      </c>
      <c r="BJ26" s="6">
        <f t="shared" si="9"/>
        <v>1.5411711479561987E-2</v>
      </c>
      <c r="BL26" s="11"/>
      <c r="BN26">
        <f t="shared" si="10"/>
        <v>1</v>
      </c>
      <c r="BO26">
        <f t="shared" si="11"/>
        <v>0</v>
      </c>
      <c r="BP26">
        <f t="shared" si="12"/>
        <v>1</v>
      </c>
      <c r="BQ26">
        <f t="shared" si="1"/>
        <v>1</v>
      </c>
      <c r="BR26">
        <f t="shared" si="13"/>
        <v>1</v>
      </c>
      <c r="BS26" s="11">
        <f t="shared" si="14"/>
        <v>-8.2899258012773692E-3</v>
      </c>
      <c r="BT26" s="11">
        <f t="shared" si="15"/>
        <v>1.1666608364435199E-2</v>
      </c>
      <c r="BU26" s="11">
        <f t="shared" si="16"/>
        <v>3.37668256315783E-3</v>
      </c>
      <c r="BV26" s="6">
        <f t="shared" si="17"/>
        <v>3.37668256315783E-3</v>
      </c>
      <c r="BX26" s="6">
        <f t="shared" si="18"/>
        <v>3.37668256315783E-3</v>
      </c>
      <c r="BY26" s="6">
        <f t="shared" si="19"/>
        <v>1.8788394042719817E-2</v>
      </c>
    </row>
    <row r="27" spans="1:77" x14ac:dyDescent="0.3">
      <c r="A27" s="1">
        <v>46062</v>
      </c>
      <c r="B27" s="15">
        <v>74.59</v>
      </c>
      <c r="C27" s="15">
        <v>87.43</v>
      </c>
      <c r="D27" s="11">
        <v>-6.8141088030170298E-3</v>
      </c>
      <c r="E27" s="11">
        <v>-5.8162905598643398E-3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74.59</v>
      </c>
      <c r="M27" s="15">
        <v>87.43</v>
      </c>
      <c r="N27" s="16">
        <v>1.17214103767261</v>
      </c>
      <c r="O27" s="16">
        <v>1.16233556709835</v>
      </c>
      <c r="P27" s="16">
        <v>1.17302572132156</v>
      </c>
      <c r="Q27" s="16">
        <v>1.1773859941686</v>
      </c>
      <c r="R27" s="15">
        <v>86.698609949865997</v>
      </c>
      <c r="S27" s="15">
        <v>87.503782487615794</v>
      </c>
      <c r="T27" s="15">
        <v>87.847978373488303</v>
      </c>
      <c r="U27" s="11">
        <v>-8.40062240834831E-3</v>
      </c>
      <c r="V27" s="11">
        <v>8.4354766634273798E-4</v>
      </c>
      <c r="W27" s="11">
        <v>4.7693289215465402E-3</v>
      </c>
      <c r="X27" s="16">
        <v>1.17214103767261</v>
      </c>
      <c r="Y27" s="16">
        <v>1.16233556709835</v>
      </c>
      <c r="Z27" s="16">
        <v>1.17302572132156</v>
      </c>
      <c r="AA27" s="16">
        <v>1.1773859941686</v>
      </c>
      <c r="AB27" s="15">
        <v>86.698609949865997</v>
      </c>
      <c r="AC27" s="15">
        <v>87.503782487615794</v>
      </c>
      <c r="AD27" s="15">
        <v>87.847978373488303</v>
      </c>
      <c r="AE27" s="11">
        <v>-8.40062240834831E-3</v>
      </c>
      <c r="AF27" s="11">
        <v>8.4354766634273798E-4</v>
      </c>
      <c r="AG27" s="11">
        <v>4.7693289215465402E-3</v>
      </c>
      <c r="AZ27" s="11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11">
        <f t="shared" si="6"/>
        <v>0</v>
      </c>
      <c r="BH27" s="11">
        <f t="shared" si="7"/>
        <v>0</v>
      </c>
      <c r="BI27" s="11">
        <f t="shared" si="8"/>
        <v>0</v>
      </c>
      <c r="BJ27" s="6">
        <f t="shared" si="9"/>
        <v>1.5411711479561987E-2</v>
      </c>
      <c r="BL27" s="11"/>
      <c r="BN27">
        <f t="shared" si="10"/>
        <v>1</v>
      </c>
      <c r="BO27">
        <f t="shared" si="11"/>
        <v>0</v>
      </c>
      <c r="BP27">
        <f t="shared" si="12"/>
        <v>1</v>
      </c>
      <c r="BQ27">
        <f t="shared" si="1"/>
        <v>1</v>
      </c>
      <c r="BR27">
        <f t="shared" si="13"/>
        <v>1</v>
      </c>
      <c r="BS27" s="11">
        <f t="shared" si="14"/>
        <v>6.8141088030170298E-3</v>
      </c>
      <c r="BT27" s="11">
        <f t="shared" si="15"/>
        <v>-5.8162905598643398E-3</v>
      </c>
      <c r="BU27" s="11">
        <f t="shared" si="16"/>
        <v>9.9781824315268997E-4</v>
      </c>
      <c r="BV27" s="6">
        <f t="shared" si="17"/>
        <v>4.37450080631052E-3</v>
      </c>
      <c r="BX27" s="6">
        <f t="shared" si="18"/>
        <v>9.9781824315268997E-4</v>
      </c>
      <c r="BY27" s="6">
        <f t="shared" si="19"/>
        <v>1.9786212285872507E-2</v>
      </c>
    </row>
    <row r="28" spans="1:77" x14ac:dyDescent="0.3">
      <c r="A28" s="1">
        <v>46063</v>
      </c>
      <c r="B28" s="15">
        <v>74.52</v>
      </c>
      <c r="C28" s="15">
        <v>87.15</v>
      </c>
      <c r="D28" s="11">
        <v>-9.3890423368428E-4</v>
      </c>
      <c r="E28" s="11">
        <v>-3.20770122676973E-3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74.52</v>
      </c>
      <c r="M28" s="15">
        <v>87.15</v>
      </c>
      <c r="N28" s="16">
        <v>1.1694847020933901</v>
      </c>
      <c r="O28" s="16">
        <v>1.16233556709835</v>
      </c>
      <c r="P28" s="16">
        <v>1.1724833749160399</v>
      </c>
      <c r="Q28" s="16">
        <v>1.17669553033584</v>
      </c>
      <c r="R28" s="15">
        <v>86.617246460169099</v>
      </c>
      <c r="S28" s="15">
        <v>87.413876752882899</v>
      </c>
      <c r="T28" s="15">
        <v>87.738804285444203</v>
      </c>
      <c r="U28" s="11">
        <v>-6.1318254152629599E-3</v>
      </c>
      <c r="V28" s="11">
        <v>3.0232710086556302E-3</v>
      </c>
      <c r="W28" s="11">
        <v>6.7334957494322003E-3</v>
      </c>
      <c r="X28" s="16">
        <v>1.1694847020933901</v>
      </c>
      <c r="Y28" s="16">
        <v>1.16233556709835</v>
      </c>
      <c r="Z28" s="16">
        <v>1.1724833749160399</v>
      </c>
      <c r="AA28" s="16">
        <v>1.17669553033584</v>
      </c>
      <c r="AB28" s="15">
        <v>86.617246460169099</v>
      </c>
      <c r="AC28" s="15">
        <v>87.413876752882899</v>
      </c>
      <c r="AD28" s="15">
        <v>87.738804285444203</v>
      </c>
      <c r="AE28" s="11">
        <v>-6.1318254152629599E-3</v>
      </c>
      <c r="AF28" s="11">
        <v>3.0232710086556302E-3</v>
      </c>
      <c r="AG28" s="11">
        <v>6.7334957494322003E-3</v>
      </c>
      <c r="AZ28" s="11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11">
        <f t="shared" si="6"/>
        <v>0</v>
      </c>
      <c r="BH28" s="11">
        <f t="shared" si="7"/>
        <v>0</v>
      </c>
      <c r="BI28" s="11">
        <f t="shared" si="8"/>
        <v>0</v>
      </c>
      <c r="BJ28" s="6">
        <f t="shared" si="9"/>
        <v>1.5411711479561987E-2</v>
      </c>
      <c r="BL28" s="11"/>
      <c r="BN28">
        <f t="shared" si="10"/>
        <v>1</v>
      </c>
      <c r="BO28">
        <f t="shared" si="11"/>
        <v>0</v>
      </c>
      <c r="BP28">
        <f t="shared" si="12"/>
        <v>1</v>
      </c>
      <c r="BQ28">
        <f t="shared" si="1"/>
        <v>1</v>
      </c>
      <c r="BR28">
        <f t="shared" si="13"/>
        <v>1</v>
      </c>
      <c r="BS28" s="11">
        <f t="shared" si="14"/>
        <v>9.3890423368428E-4</v>
      </c>
      <c r="BT28" s="11">
        <f t="shared" si="15"/>
        <v>-3.20770122676973E-3</v>
      </c>
      <c r="BU28" s="11">
        <f t="shared" si="16"/>
        <v>-2.2687969930854498E-3</v>
      </c>
      <c r="BV28" s="6">
        <f t="shared" si="17"/>
        <v>2.1057038132250702E-3</v>
      </c>
      <c r="BX28" s="6">
        <f t="shared" si="18"/>
        <v>-2.2687969930854498E-3</v>
      </c>
      <c r="BY28" s="6">
        <f t="shared" si="19"/>
        <v>1.7517415292787056E-2</v>
      </c>
    </row>
    <row r="29" spans="1:77" x14ac:dyDescent="0.3">
      <c r="A29" s="1">
        <v>46064</v>
      </c>
      <c r="B29" s="15">
        <v>75.56</v>
      </c>
      <c r="C29" s="15">
        <v>88.4</v>
      </c>
      <c r="D29" s="11">
        <v>1.38594968999211E-2</v>
      </c>
      <c r="E29" s="11">
        <v>1.42411976775677E-2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75.56</v>
      </c>
      <c r="M29" s="15">
        <v>88.4</v>
      </c>
      <c r="N29" s="16">
        <v>1.16993118051879</v>
      </c>
      <c r="O29" s="16">
        <v>1.16233556709835</v>
      </c>
      <c r="P29" s="16">
        <v>1.17241164655153</v>
      </c>
      <c r="Q29" s="16">
        <v>1.17588381208772</v>
      </c>
      <c r="R29" s="15">
        <v>87.826075449951404</v>
      </c>
      <c r="S29" s="15">
        <v>88.592843808655999</v>
      </c>
      <c r="T29" s="15">
        <v>88.911114272176405</v>
      </c>
      <c r="U29" s="11">
        <v>-6.5135261929096496E-3</v>
      </c>
      <c r="V29" s="11">
        <v>2.1791150513987599E-3</v>
      </c>
      <c r="W29" s="11">
        <v>5.7651849964140004E-3</v>
      </c>
      <c r="X29" s="16">
        <v>1.16993118051879</v>
      </c>
      <c r="Y29" s="16">
        <v>1.16233556709835</v>
      </c>
      <c r="Z29" s="16">
        <v>1.17241164655153</v>
      </c>
      <c r="AA29" s="16">
        <v>1.17588381208772</v>
      </c>
      <c r="AB29" s="15">
        <v>87.826075449951404</v>
      </c>
      <c r="AC29" s="15">
        <v>88.592843808655999</v>
      </c>
      <c r="AD29" s="15">
        <v>88.911114272176405</v>
      </c>
      <c r="AE29" s="11">
        <v>-6.5135261929096496E-3</v>
      </c>
      <c r="AF29" s="11">
        <v>2.1791150513987599E-3</v>
      </c>
      <c r="AG29" s="11">
        <v>5.7651849964140004E-3</v>
      </c>
      <c r="AZ29" s="11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11">
        <f t="shared" si="6"/>
        <v>0</v>
      </c>
      <c r="BH29" s="11">
        <f t="shared" si="7"/>
        <v>0</v>
      </c>
      <c r="BI29" s="11">
        <f t="shared" si="8"/>
        <v>0</v>
      </c>
      <c r="BJ29" s="6">
        <f t="shared" si="9"/>
        <v>1.5411711479561987E-2</v>
      </c>
      <c r="BL29" s="11"/>
      <c r="BN29">
        <f t="shared" si="10"/>
        <v>1</v>
      </c>
      <c r="BO29">
        <f t="shared" si="11"/>
        <v>0</v>
      </c>
      <c r="BP29">
        <f t="shared" si="12"/>
        <v>1</v>
      </c>
      <c r="BQ29">
        <f t="shared" si="1"/>
        <v>1</v>
      </c>
      <c r="BR29">
        <f t="shared" si="13"/>
        <v>1</v>
      </c>
      <c r="BS29" s="11">
        <f t="shared" si="14"/>
        <v>-1.38594968999211E-2</v>
      </c>
      <c r="BT29" s="11">
        <f t="shared" si="15"/>
        <v>1.42411976775677E-2</v>
      </c>
      <c r="BU29" s="11">
        <f t="shared" si="16"/>
        <v>3.8170077764660033E-4</v>
      </c>
      <c r="BV29" s="6">
        <f t="shared" si="17"/>
        <v>2.4874045908716705E-3</v>
      </c>
      <c r="BX29" s="6">
        <f t="shared" si="18"/>
        <v>3.8170077764660033E-4</v>
      </c>
      <c r="BY29" s="6">
        <f t="shared" si="19"/>
        <v>1.7899116070433659E-2</v>
      </c>
    </row>
    <row r="30" spans="1:77" x14ac:dyDescent="0.3">
      <c r="A30" s="1">
        <v>46065</v>
      </c>
      <c r="B30" s="15">
        <v>75.83</v>
      </c>
      <c r="C30" s="15">
        <v>89.21</v>
      </c>
      <c r="D30" s="11">
        <v>3.56695007953528E-3</v>
      </c>
      <c r="E30" s="11">
        <v>9.1211712820943106E-3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75.83</v>
      </c>
      <c r="M30" s="15">
        <v>89.21</v>
      </c>
      <c r="N30" s="16">
        <v>1.17644731636555</v>
      </c>
      <c r="O30" s="16">
        <v>1.16233556709835</v>
      </c>
      <c r="P30" s="16">
        <v>1.1732284976759999</v>
      </c>
      <c r="Q30" s="16">
        <v>1.17545412429597</v>
      </c>
      <c r="R30" s="15">
        <v>88.139906053068003</v>
      </c>
      <c r="S30" s="15">
        <v>88.903975158003107</v>
      </c>
      <c r="T30" s="15">
        <v>89.167269470612396</v>
      </c>
      <c r="U30" s="11">
        <v>-1.20677473954685E-2</v>
      </c>
      <c r="V30" s="11">
        <v>-3.4362844673479901E-3</v>
      </c>
      <c r="W30" s="11">
        <v>-4.7910286250873698E-4</v>
      </c>
      <c r="X30" s="16">
        <v>1.17644731636555</v>
      </c>
      <c r="Y30" s="16">
        <v>1.16233556709835</v>
      </c>
      <c r="Z30" s="16">
        <v>1.1732284976759999</v>
      </c>
      <c r="AA30" s="16">
        <v>1.17545412429597</v>
      </c>
      <c r="AB30" s="15">
        <v>88.139906053068003</v>
      </c>
      <c r="AC30" s="15">
        <v>88.903975158003107</v>
      </c>
      <c r="AD30" s="15">
        <v>89.167269470612396</v>
      </c>
      <c r="AE30" s="11">
        <v>-1.20677473954685E-2</v>
      </c>
      <c r="AF30" s="11">
        <v>-3.4362844673479901E-3</v>
      </c>
      <c r="AG30" s="11">
        <v>-4.7910286250873698E-4</v>
      </c>
      <c r="AZ30" s="11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11">
        <f t="shared" si="6"/>
        <v>0</v>
      </c>
      <c r="BH30" s="11">
        <f t="shared" si="7"/>
        <v>0</v>
      </c>
      <c r="BI30" s="11">
        <f t="shared" si="8"/>
        <v>0</v>
      </c>
      <c r="BJ30" s="6">
        <f t="shared" si="9"/>
        <v>1.5411711479561987E-2</v>
      </c>
      <c r="BL30" s="11"/>
      <c r="BN30">
        <f t="shared" si="10"/>
        <v>0</v>
      </c>
      <c r="BO30">
        <f t="shared" si="11"/>
        <v>1</v>
      </c>
      <c r="BP30">
        <f t="shared" si="12"/>
        <v>1</v>
      </c>
      <c r="BQ30">
        <f t="shared" si="1"/>
        <v>1</v>
      </c>
      <c r="BR30">
        <f t="shared" si="13"/>
        <v>1</v>
      </c>
      <c r="BS30" s="11">
        <f t="shared" si="14"/>
        <v>-3.56695007953528E-3</v>
      </c>
      <c r="BT30" s="11">
        <f t="shared" si="15"/>
        <v>9.1211712820943106E-3</v>
      </c>
      <c r="BU30" s="11">
        <f t="shared" si="16"/>
        <v>5.5542212025590301E-3</v>
      </c>
      <c r="BV30" s="6">
        <f t="shared" si="17"/>
        <v>8.0416257934306998E-3</v>
      </c>
      <c r="BX30" s="6">
        <f t="shared" si="18"/>
        <v>5.5542212025590301E-3</v>
      </c>
      <c r="BY30" s="6">
        <f t="shared" si="19"/>
        <v>2.3453337272992689E-2</v>
      </c>
    </row>
    <row r="31" spans="1:77" x14ac:dyDescent="0.3">
      <c r="A31" s="1">
        <v>46066</v>
      </c>
      <c r="B31" s="15">
        <v>75.81</v>
      </c>
      <c r="C31" s="15">
        <v>89.51</v>
      </c>
      <c r="D31" s="11">
        <v>-2.6378264463158499E-4</v>
      </c>
      <c r="E31" s="11">
        <v>3.3572099571556198E-3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75.81</v>
      </c>
      <c r="M31" s="15">
        <v>89.51</v>
      </c>
      <c r="N31" s="16">
        <v>1.18071494525788</v>
      </c>
      <c r="O31" s="16">
        <v>1.16233556709835</v>
      </c>
      <c r="P31" s="16">
        <v>1.1744537630147101</v>
      </c>
      <c r="Q31" s="16">
        <v>1.1753585004174401</v>
      </c>
      <c r="R31" s="15">
        <v>88.116659341726006</v>
      </c>
      <c r="S31" s="15">
        <v>88.942452408817701</v>
      </c>
      <c r="T31" s="15">
        <v>89.111177162877894</v>
      </c>
      <c r="U31" s="11">
        <v>-1.5688739997255601E-2</v>
      </c>
      <c r="V31" s="11">
        <v>-6.3607924361491104E-3</v>
      </c>
      <c r="W31" s="11">
        <v>-4.4655791235238603E-3</v>
      </c>
      <c r="X31" s="16">
        <v>1.18071494525788</v>
      </c>
      <c r="Y31" s="16">
        <v>1.16233556709835</v>
      </c>
      <c r="Z31" s="16">
        <v>1.1744537630147101</v>
      </c>
      <c r="AA31" s="16">
        <v>1.1753585004174401</v>
      </c>
      <c r="AB31" s="15">
        <v>88.116659341726006</v>
      </c>
      <c r="AC31" s="15">
        <v>88.942452408817701</v>
      </c>
      <c r="AD31" s="15">
        <v>89.111177162877894</v>
      </c>
      <c r="AE31" s="11">
        <v>-1.5688739997255601E-2</v>
      </c>
      <c r="AF31" s="11">
        <v>-6.3607924361491104E-3</v>
      </c>
      <c r="AG31" s="11">
        <v>-4.4655791235238603E-3</v>
      </c>
      <c r="AZ31" s="11"/>
      <c r="BB31">
        <f t="shared" si="2"/>
        <v>1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11">
        <f t="shared" si="6"/>
        <v>0</v>
      </c>
      <c r="BH31" s="11">
        <f t="shared" si="7"/>
        <v>0</v>
      </c>
      <c r="BI31" s="11">
        <f t="shared" si="8"/>
        <v>0</v>
      </c>
      <c r="BJ31" s="6">
        <f t="shared" si="9"/>
        <v>1.5411711479561987E-2</v>
      </c>
      <c r="BL31" s="11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11">
        <f t="shared" si="14"/>
        <v>0</v>
      </c>
      <c r="BT31" s="11">
        <f t="shared" si="15"/>
        <v>0</v>
      </c>
      <c r="BU31" s="11">
        <f t="shared" si="16"/>
        <v>0</v>
      </c>
      <c r="BV31" s="6">
        <f t="shared" si="17"/>
        <v>8.0416257934306998E-3</v>
      </c>
      <c r="BX31" s="6">
        <f t="shared" si="18"/>
        <v>0</v>
      </c>
      <c r="BY31" s="6">
        <f t="shared" si="19"/>
        <v>2.3453337272992689E-2</v>
      </c>
    </row>
    <row r="32" spans="1:77" x14ac:dyDescent="0.3">
      <c r="A32" s="1">
        <v>46070</v>
      </c>
      <c r="B32" s="15">
        <v>75.069999999999993</v>
      </c>
      <c r="C32" s="15">
        <v>88.2</v>
      </c>
      <c r="D32" s="11">
        <v>-9.8091984833016295E-3</v>
      </c>
      <c r="E32" s="11">
        <v>-1.4743387870101999E-2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75.069999999999993</v>
      </c>
      <c r="M32" s="15">
        <v>88.2</v>
      </c>
      <c r="N32" s="16">
        <v>1.17490342347142</v>
      </c>
      <c r="O32" s="16">
        <v>1.16233556709835</v>
      </c>
      <c r="P32" s="16">
        <v>1.1744361092556099</v>
      </c>
      <c r="Q32" s="16">
        <v>1.1748868823223</v>
      </c>
      <c r="R32" s="15">
        <v>87.256531022073204</v>
      </c>
      <c r="S32" s="15">
        <v>88.166243989514896</v>
      </c>
      <c r="T32" s="15">
        <v>88.234162626337806</v>
      </c>
      <c r="U32" s="11">
        <v>-1.07545506104554E-2</v>
      </c>
      <c r="V32" s="11">
        <v>-3.8279446376625499E-4</v>
      </c>
      <c r="W32" s="11">
        <v>3.8725637094607501E-4</v>
      </c>
      <c r="X32" s="16">
        <v>1.17490342347142</v>
      </c>
      <c r="Y32" s="16">
        <v>1.16233556709835</v>
      </c>
      <c r="Z32" s="16">
        <v>1.1744361092556099</v>
      </c>
      <c r="AA32" s="16">
        <v>1.1748868823223</v>
      </c>
      <c r="AB32" s="15">
        <v>87.256531022073204</v>
      </c>
      <c r="AC32" s="15">
        <v>88.166243989514896</v>
      </c>
      <c r="AD32" s="15">
        <v>88.234162626337806</v>
      </c>
      <c r="AE32" s="11">
        <v>-1.07545506104554E-2</v>
      </c>
      <c r="AF32" s="11">
        <v>-3.8279446376625499E-4</v>
      </c>
      <c r="AG32" s="11">
        <v>3.8725637094607501E-4</v>
      </c>
      <c r="AZ32" s="11"/>
      <c r="BB32">
        <f t="shared" si="2"/>
        <v>0</v>
      </c>
      <c r="BC32">
        <f t="shared" si="3"/>
        <v>1</v>
      </c>
      <c r="BD32">
        <f t="shared" si="4"/>
        <v>1</v>
      </c>
      <c r="BE32">
        <f t="shared" si="0"/>
        <v>1</v>
      </c>
      <c r="BF32">
        <f t="shared" si="5"/>
        <v>1</v>
      </c>
      <c r="BG32" s="11">
        <f t="shared" si="6"/>
        <v>-9.8091984833016295E-3</v>
      </c>
      <c r="BH32" s="11">
        <f t="shared" si="7"/>
        <v>1.4743387870101999E-2</v>
      </c>
      <c r="BI32" s="11">
        <f t="shared" si="8"/>
        <v>4.9341893868003698E-3</v>
      </c>
      <c r="BJ32" s="6">
        <f t="shared" si="9"/>
        <v>2.0345900866362357E-2</v>
      </c>
      <c r="BL32" s="11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11">
        <f t="shared" si="14"/>
        <v>0</v>
      </c>
      <c r="BT32" s="11">
        <f t="shared" si="15"/>
        <v>0</v>
      </c>
      <c r="BU32" s="11">
        <f t="shared" si="16"/>
        <v>0</v>
      </c>
      <c r="BV32" s="6">
        <f t="shared" si="17"/>
        <v>8.0416257934306998E-3</v>
      </c>
      <c r="BX32" s="6">
        <f t="shared" si="18"/>
        <v>4.9341893868003698E-3</v>
      </c>
      <c r="BY32" s="6">
        <f t="shared" si="19"/>
        <v>2.8387526659793057E-2</v>
      </c>
    </row>
    <row r="33" spans="1:77" x14ac:dyDescent="0.3">
      <c r="A33" s="1">
        <v>46071</v>
      </c>
      <c r="B33" s="15">
        <v>75.11</v>
      </c>
      <c r="C33" s="15">
        <v>88.04</v>
      </c>
      <c r="D33" s="11">
        <v>5.3269411300946702E-4</v>
      </c>
      <c r="E33" s="11">
        <v>-1.8157063544847001E-3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75.11</v>
      </c>
      <c r="M33" s="15">
        <v>88.04</v>
      </c>
      <c r="N33" s="16">
        <v>1.1721475169750999</v>
      </c>
      <c r="O33" s="16">
        <v>1.16233556709835</v>
      </c>
      <c r="P33" s="16">
        <v>1.1738916728017199</v>
      </c>
      <c r="Q33" s="16">
        <v>1.17431908932496</v>
      </c>
      <c r="R33" s="15">
        <v>87.303024444757199</v>
      </c>
      <c r="S33" s="15">
        <v>88.211896166189405</v>
      </c>
      <c r="T33" s="15">
        <v>88.245753731228305</v>
      </c>
      <c r="U33" s="11">
        <v>-8.4061501429612794E-3</v>
      </c>
      <c r="V33" s="11">
        <v>1.9505744270584299E-3</v>
      </c>
      <c r="W33" s="11">
        <v>2.3343216374971799E-3</v>
      </c>
      <c r="X33" s="16">
        <v>1.1721475169750999</v>
      </c>
      <c r="Y33" s="16">
        <v>1.16233556709835</v>
      </c>
      <c r="Z33" s="16">
        <v>1.1738916728017199</v>
      </c>
      <c r="AA33" s="16">
        <v>1.17431908932496</v>
      </c>
      <c r="AB33" s="15">
        <v>87.303024444757199</v>
      </c>
      <c r="AC33" s="15">
        <v>88.211896166189405</v>
      </c>
      <c r="AD33" s="15">
        <v>88.245753731228305</v>
      </c>
      <c r="AE33" s="11">
        <v>-8.4061501429612794E-3</v>
      </c>
      <c r="AF33" s="11">
        <v>1.9505744270584299E-3</v>
      </c>
      <c r="AG33" s="11">
        <v>2.3343216374971799E-3</v>
      </c>
      <c r="AZ33" s="11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11">
        <f t="shared" si="6"/>
        <v>0</v>
      </c>
      <c r="BH33" s="11">
        <f t="shared" si="7"/>
        <v>0</v>
      </c>
      <c r="BI33" s="11">
        <f t="shared" si="8"/>
        <v>0</v>
      </c>
      <c r="BJ33" s="6">
        <f t="shared" si="9"/>
        <v>2.0345900866362357E-2</v>
      </c>
      <c r="BL33" s="11"/>
      <c r="BN33">
        <f t="shared" si="10"/>
        <v>0</v>
      </c>
      <c r="BO33">
        <f t="shared" si="11"/>
        <v>0</v>
      </c>
      <c r="BP33">
        <f t="shared" si="12"/>
        <v>0</v>
      </c>
      <c r="BQ33">
        <f t="shared" si="1"/>
        <v>1</v>
      </c>
      <c r="BR33">
        <f t="shared" si="13"/>
        <v>0</v>
      </c>
      <c r="BS33" s="11">
        <f t="shared" si="14"/>
        <v>0</v>
      </c>
      <c r="BT33" s="11">
        <f t="shared" si="15"/>
        <v>0</v>
      </c>
      <c r="BU33" s="11">
        <f t="shared" si="16"/>
        <v>0</v>
      </c>
      <c r="BV33" s="6">
        <f t="shared" si="17"/>
        <v>8.0416257934306998E-3</v>
      </c>
      <c r="BX33" s="6">
        <f t="shared" si="18"/>
        <v>0</v>
      </c>
      <c r="BY33" s="6">
        <f t="shared" si="19"/>
        <v>2.8387526659793057E-2</v>
      </c>
    </row>
    <row r="34" spans="1:77" x14ac:dyDescent="0.3">
      <c r="A34" s="1">
        <v>46072</v>
      </c>
      <c r="B34" s="15">
        <v>75.040000000000006</v>
      </c>
      <c r="C34" s="15">
        <v>87.67</v>
      </c>
      <c r="D34" s="11">
        <v>-9.3240099995113405E-4</v>
      </c>
      <c r="E34" s="11">
        <v>-4.2114910577667301E-3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75.040000000000006</v>
      </c>
      <c r="M34" s="15">
        <v>87.67</v>
      </c>
      <c r="N34" s="16">
        <v>1.1683102345415699</v>
      </c>
      <c r="O34" s="16">
        <v>1.16233556709835</v>
      </c>
      <c r="P34" s="16">
        <v>1.17220770987986</v>
      </c>
      <c r="Q34" s="16">
        <v>1.1735529786543299</v>
      </c>
      <c r="R34" s="15">
        <v>87.221660955060301</v>
      </c>
      <c r="S34" s="15">
        <v>88.0888311270418</v>
      </c>
      <c r="T34" s="15">
        <v>88.120904462945106</v>
      </c>
      <c r="U34" s="11">
        <v>-5.1270600851455201E-3</v>
      </c>
      <c r="V34" s="11">
        <v>4.7659843565693201E-3</v>
      </c>
      <c r="W34" s="11">
        <v>5.1300202726341001E-3</v>
      </c>
      <c r="X34" s="16">
        <v>1.1683102345415699</v>
      </c>
      <c r="Y34" s="16">
        <v>1.16233556709835</v>
      </c>
      <c r="Z34" s="16">
        <v>1.17220770987986</v>
      </c>
      <c r="AA34" s="16">
        <v>1.1735529786543299</v>
      </c>
      <c r="AB34" s="15">
        <v>87.221660955060301</v>
      </c>
      <c r="AC34" s="15">
        <v>88.0888311270418</v>
      </c>
      <c r="AD34" s="15">
        <v>88.120904462945106</v>
      </c>
      <c r="AE34" s="11">
        <v>-5.1270600851455201E-3</v>
      </c>
      <c r="AF34" s="11">
        <v>4.7659843565693201E-3</v>
      </c>
      <c r="AG34" s="11">
        <v>5.1300202726341001E-3</v>
      </c>
      <c r="AZ34" s="11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11">
        <f t="shared" si="6"/>
        <v>0</v>
      </c>
      <c r="BH34" s="11">
        <f t="shared" si="7"/>
        <v>0</v>
      </c>
      <c r="BI34" s="11">
        <f t="shared" si="8"/>
        <v>0</v>
      </c>
      <c r="BJ34" s="6">
        <f t="shared" si="9"/>
        <v>2.0345900866362357E-2</v>
      </c>
      <c r="BL34" s="11"/>
      <c r="BN34">
        <f t="shared" si="10"/>
        <v>1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11">
        <f t="shared" si="14"/>
        <v>0</v>
      </c>
      <c r="BT34" s="11">
        <f t="shared" si="15"/>
        <v>0</v>
      </c>
      <c r="BU34" s="11">
        <f t="shared" si="16"/>
        <v>0</v>
      </c>
      <c r="BV34" s="6">
        <f t="shared" si="17"/>
        <v>8.0416257934306998E-3</v>
      </c>
      <c r="BX34" s="6">
        <f t="shared" si="18"/>
        <v>0</v>
      </c>
      <c r="BY34" s="6">
        <f t="shared" si="19"/>
        <v>2.8387526659793057E-2</v>
      </c>
    </row>
    <row r="35" spans="1:77" x14ac:dyDescent="0.3">
      <c r="A35" s="1">
        <v>46073</v>
      </c>
      <c r="B35" s="15">
        <v>75.45</v>
      </c>
      <c r="C35" s="15">
        <v>87.89</v>
      </c>
      <c r="D35" s="11">
        <v>5.4488805158887004E-3</v>
      </c>
      <c r="E35" s="11">
        <v>2.5062669760595301E-3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75.45</v>
      </c>
      <c r="M35" s="15">
        <v>87.89</v>
      </c>
      <c r="N35" s="16">
        <v>1.1648774022531401</v>
      </c>
      <c r="O35" s="16">
        <v>1.16233556709835</v>
      </c>
      <c r="P35" s="16">
        <v>1.17199297964331</v>
      </c>
      <c r="Q35" s="16">
        <v>1.1728979369685899</v>
      </c>
      <c r="R35" s="15">
        <v>87.698218537570597</v>
      </c>
      <c r="S35" s="15">
        <v>88.443071710435802</v>
      </c>
      <c r="T35" s="15">
        <v>88.544572239469701</v>
      </c>
      <c r="U35" s="11">
        <v>-2.1844465453166599E-3</v>
      </c>
      <c r="V35" s="11">
        <v>6.2730549492539603E-3</v>
      </c>
      <c r="W35" s="11">
        <v>7.4200337766589398E-3</v>
      </c>
      <c r="X35" s="16">
        <v>1.1648774022531401</v>
      </c>
      <c r="Y35" s="16">
        <v>1.16233556709835</v>
      </c>
      <c r="Z35" s="16">
        <v>1.17199297964331</v>
      </c>
      <c r="AA35" s="16">
        <v>1.1728979369685899</v>
      </c>
      <c r="AB35" s="15">
        <v>87.698218537570597</v>
      </c>
      <c r="AC35" s="15">
        <v>88.443071710435802</v>
      </c>
      <c r="AD35" s="15">
        <v>88.544572239469701</v>
      </c>
      <c r="AE35" s="11">
        <v>-2.1844465453166599E-3</v>
      </c>
      <c r="AF35" s="11">
        <v>6.2730549492539603E-3</v>
      </c>
      <c r="AG35" s="11">
        <v>7.4200337766589398E-3</v>
      </c>
      <c r="AZ35" s="11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11">
        <f t="shared" si="6"/>
        <v>0</v>
      </c>
      <c r="BH35" s="11">
        <f t="shared" si="7"/>
        <v>0</v>
      </c>
      <c r="BI35" s="11">
        <f t="shared" si="8"/>
        <v>0</v>
      </c>
      <c r="BJ35" s="6">
        <f t="shared" si="9"/>
        <v>2.0345900866362357E-2</v>
      </c>
      <c r="BL35" s="11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11">
        <f t="shared" si="14"/>
        <v>-5.4488805158887004E-3</v>
      </c>
      <c r="BT35" s="11">
        <f t="shared" si="15"/>
        <v>2.5062669760595301E-3</v>
      </c>
      <c r="BU35" s="11">
        <f t="shared" si="16"/>
        <v>-2.9426135398291703E-3</v>
      </c>
      <c r="BV35" s="6">
        <f t="shared" si="17"/>
        <v>5.0990122536015295E-3</v>
      </c>
      <c r="BX35" s="6">
        <f t="shared" si="18"/>
        <v>-2.9426135398291703E-3</v>
      </c>
      <c r="BY35" s="6">
        <f t="shared" si="19"/>
        <v>2.5444913119963886E-2</v>
      </c>
    </row>
    <row r="36" spans="1:77" x14ac:dyDescent="0.3">
      <c r="A36" s="1">
        <v>46076</v>
      </c>
      <c r="B36" s="15">
        <v>76.540000000000006</v>
      </c>
      <c r="C36" s="15">
        <v>88.97</v>
      </c>
      <c r="D36" s="11">
        <v>1.43432947836983E-2</v>
      </c>
      <c r="E36" s="11">
        <v>1.2213201680122E-2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76.540000000000006</v>
      </c>
      <c r="M36" s="15">
        <v>88.97</v>
      </c>
      <c r="N36" s="16">
        <v>1.16239874575385</v>
      </c>
      <c r="O36" s="16">
        <v>1.16233556709835</v>
      </c>
      <c r="P36" s="16">
        <v>1.1711356504903301</v>
      </c>
      <c r="Q36" s="16">
        <v>1.1721329310744699</v>
      </c>
      <c r="R36" s="15">
        <v>88.965164305707802</v>
      </c>
      <c r="S36" s="15">
        <v>89.704342661899005</v>
      </c>
      <c r="T36" s="15">
        <v>89.773608095576506</v>
      </c>
      <c r="U36" s="11">
        <v>-5.4353441740444902E-5</v>
      </c>
      <c r="V36" s="11">
        <v>8.2199468123265208E-3</v>
      </c>
      <c r="W36" s="11">
        <v>8.9918013696577703E-3</v>
      </c>
      <c r="X36" s="16">
        <v>1.16239874575385</v>
      </c>
      <c r="Y36" s="16">
        <v>1.16233556709835</v>
      </c>
      <c r="Z36" s="16">
        <v>1.1711356504903301</v>
      </c>
      <c r="AA36" s="16">
        <v>1.1721329310744699</v>
      </c>
      <c r="AB36" s="15">
        <v>88.965164305707802</v>
      </c>
      <c r="AC36" s="15">
        <v>89.704342661899005</v>
      </c>
      <c r="AD36" s="15">
        <v>89.773608095576506</v>
      </c>
      <c r="AE36" s="11">
        <v>-5.4353441740444902E-5</v>
      </c>
      <c r="AF36" s="11">
        <v>8.2199468123265208E-3</v>
      </c>
      <c r="AG36" s="11">
        <v>8.9918013696577703E-3</v>
      </c>
      <c r="AZ36" s="11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11">
        <f t="shared" si="6"/>
        <v>0</v>
      </c>
      <c r="BH36" s="11">
        <f t="shared" si="7"/>
        <v>0</v>
      </c>
      <c r="BI36" s="11">
        <f t="shared" si="8"/>
        <v>0</v>
      </c>
      <c r="BJ36" s="6">
        <f t="shared" si="9"/>
        <v>2.0345900866362357E-2</v>
      </c>
      <c r="BL36" s="11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11">
        <f t="shared" si="14"/>
        <v>-1.43432947836983E-2</v>
      </c>
      <c r="BT36" s="11">
        <f t="shared" si="15"/>
        <v>1.2213201680122E-2</v>
      </c>
      <c r="BU36" s="11">
        <f t="shared" si="16"/>
        <v>-2.1300931035762999E-3</v>
      </c>
      <c r="BV36" s="6">
        <f t="shared" si="17"/>
        <v>2.9689191500252296E-3</v>
      </c>
      <c r="BX36" s="6">
        <f t="shared" si="18"/>
        <v>-2.1300931035762999E-3</v>
      </c>
      <c r="BY36" s="6">
        <f t="shared" si="19"/>
        <v>2.3314820016387586E-2</v>
      </c>
    </row>
    <row r="37" spans="1:77" x14ac:dyDescent="0.3">
      <c r="A37" s="1">
        <v>46077</v>
      </c>
      <c r="B37" s="15">
        <v>76.900000000000006</v>
      </c>
      <c r="C37" s="15">
        <v>89.74</v>
      </c>
      <c r="D37" s="11">
        <v>4.6923965140419997E-3</v>
      </c>
      <c r="E37" s="11">
        <v>8.6173662911612006E-3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76.900000000000006</v>
      </c>
      <c r="M37" s="15">
        <v>89.74</v>
      </c>
      <c r="N37" s="16">
        <v>1.1669700910273</v>
      </c>
      <c r="O37" s="16">
        <v>1.16233556709835</v>
      </c>
      <c r="P37" s="16">
        <v>1.1706185558258</v>
      </c>
      <c r="Q37" s="16">
        <v>1.17182213857368</v>
      </c>
      <c r="R37" s="15">
        <v>89.383605109863197</v>
      </c>
      <c r="S37" s="15">
        <v>90.060331522706704</v>
      </c>
      <c r="T37" s="15">
        <v>90.137022399627</v>
      </c>
      <c r="U37" s="11">
        <v>-3.9793232188595502E-3</v>
      </c>
      <c r="V37" s="11">
        <v>3.5631954503558198E-3</v>
      </c>
      <c r="W37" s="11">
        <v>4.4143831052383198E-3</v>
      </c>
      <c r="X37" s="16">
        <v>1.1669700910273</v>
      </c>
      <c r="Y37" s="16">
        <v>1.16233556709835</v>
      </c>
      <c r="Z37" s="16">
        <v>1.1706185558258</v>
      </c>
      <c r="AA37" s="16">
        <v>1.17182213857368</v>
      </c>
      <c r="AB37" s="15">
        <v>89.383605109863197</v>
      </c>
      <c r="AC37" s="15">
        <v>90.060331522706704</v>
      </c>
      <c r="AD37" s="15">
        <v>90.137022399627</v>
      </c>
      <c r="AE37" s="11">
        <v>-3.9793232188595502E-3</v>
      </c>
      <c r="AF37" s="11">
        <v>3.5631954503558198E-3</v>
      </c>
      <c r="AG37" s="11">
        <v>4.4143831052383198E-3</v>
      </c>
      <c r="AZ37" s="11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11">
        <f t="shared" si="6"/>
        <v>0</v>
      </c>
      <c r="BH37" s="11">
        <f t="shared" si="7"/>
        <v>0</v>
      </c>
      <c r="BI37" s="11">
        <f t="shared" si="8"/>
        <v>0</v>
      </c>
      <c r="BJ37" s="6">
        <f t="shared" si="9"/>
        <v>2.0345900866362357E-2</v>
      </c>
      <c r="BL37" s="11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11">
        <f t="shared" si="14"/>
        <v>-4.6923965140419997E-3</v>
      </c>
      <c r="BT37" s="11">
        <f t="shared" si="15"/>
        <v>8.6173662911612006E-3</v>
      </c>
      <c r="BU37" s="11">
        <f t="shared" si="16"/>
        <v>3.924969777119201E-3</v>
      </c>
      <c r="BV37" s="6">
        <f t="shared" si="17"/>
        <v>6.8938889271444306E-3</v>
      </c>
      <c r="BX37" s="6">
        <f t="shared" si="18"/>
        <v>3.924969777119201E-3</v>
      </c>
      <c r="BY37" s="6">
        <f t="shared" si="19"/>
        <v>2.7239789793506788E-2</v>
      </c>
    </row>
    <row r="38" spans="1:77" x14ac:dyDescent="0.3">
      <c r="A38" s="1">
        <v>46078</v>
      </c>
      <c r="B38" s="15">
        <v>76.510000000000005</v>
      </c>
      <c r="C38" s="15">
        <v>89.01</v>
      </c>
      <c r="D38" s="11">
        <v>-5.0844252678378197E-3</v>
      </c>
      <c r="E38" s="11">
        <v>-8.1678775769970808E-3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76.510000000000005</v>
      </c>
      <c r="M38" s="15">
        <v>89.01</v>
      </c>
      <c r="N38" s="16">
        <v>1.1633773362958999</v>
      </c>
      <c r="O38" s="16">
        <v>1.16233556709835</v>
      </c>
      <c r="P38" s="16">
        <v>1.1700078192460499</v>
      </c>
      <c r="Q38" s="16">
        <v>1.17124559708104</v>
      </c>
      <c r="R38" s="15">
        <v>88.930294238694898</v>
      </c>
      <c r="S38" s="15">
        <v>89.5640257062323</v>
      </c>
      <c r="T38" s="15">
        <v>89.656111822272507</v>
      </c>
      <c r="U38" s="11">
        <v>-8.9587090970024504E-4</v>
      </c>
      <c r="V38" s="11">
        <v>6.2050175734433798E-3</v>
      </c>
      <c r="W38" s="11">
        <v>7.2326490150210103E-3</v>
      </c>
      <c r="X38" s="16">
        <v>1.1633773362958999</v>
      </c>
      <c r="Y38" s="16">
        <v>1.16233556709835</v>
      </c>
      <c r="Z38" s="16">
        <v>1.1700078192460499</v>
      </c>
      <c r="AA38" s="16">
        <v>1.17124559708104</v>
      </c>
      <c r="AB38" s="15">
        <v>88.930294238694898</v>
      </c>
      <c r="AC38" s="15">
        <v>89.5640257062323</v>
      </c>
      <c r="AD38" s="15">
        <v>89.656111822272507</v>
      </c>
      <c r="AE38" s="11">
        <v>-8.9587090970024504E-4</v>
      </c>
      <c r="AF38" s="11">
        <v>6.2050175734433798E-3</v>
      </c>
      <c r="AG38" s="11">
        <v>7.2326490150210103E-3</v>
      </c>
      <c r="AZ38" s="11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11">
        <f t="shared" si="6"/>
        <v>0</v>
      </c>
      <c r="BH38" s="11">
        <f t="shared" si="7"/>
        <v>0</v>
      </c>
      <c r="BI38" s="11">
        <f t="shared" si="8"/>
        <v>0</v>
      </c>
      <c r="BJ38" s="6">
        <f t="shared" si="9"/>
        <v>2.0345900866362357E-2</v>
      </c>
      <c r="BL38" s="11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11">
        <f t="shared" si="14"/>
        <v>5.0844252678378197E-3</v>
      </c>
      <c r="BT38" s="11">
        <f t="shared" si="15"/>
        <v>-8.1678775769970808E-3</v>
      </c>
      <c r="BU38" s="11">
        <f t="shared" si="16"/>
        <v>-3.0834523091592611E-3</v>
      </c>
      <c r="BV38" s="6">
        <f t="shared" si="17"/>
        <v>3.8104366179851695E-3</v>
      </c>
      <c r="BX38" s="6">
        <f t="shared" si="18"/>
        <v>-3.0834523091592611E-3</v>
      </c>
      <c r="BY38" s="6">
        <f t="shared" si="19"/>
        <v>2.4156337484347527E-2</v>
      </c>
    </row>
    <row r="39" spans="1:77" x14ac:dyDescent="0.3">
      <c r="A39" s="1">
        <v>46079</v>
      </c>
      <c r="B39" s="15">
        <v>76.72</v>
      </c>
      <c r="C39" s="15">
        <v>88.86</v>
      </c>
      <c r="D39" s="11">
        <v>2.74097933142226E-3</v>
      </c>
      <c r="E39" s="11">
        <v>-1.68662546307772E-3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76.72</v>
      </c>
      <c r="M39" s="15">
        <v>88.86</v>
      </c>
      <c r="N39" s="16">
        <v>1.1582377476537999</v>
      </c>
      <c r="O39" s="16">
        <v>1.16233556709835</v>
      </c>
      <c r="P39" s="16">
        <v>1.16883847595955</v>
      </c>
      <c r="Q39" s="16">
        <v>1.17062506125554</v>
      </c>
      <c r="R39" s="15">
        <v>89.174384707785507</v>
      </c>
      <c r="S39" s="15">
        <v>89.762999892557303</v>
      </c>
      <c r="T39" s="15">
        <v>89.857962208057998</v>
      </c>
      <c r="U39" s="11">
        <v>3.53173388479975E-3</v>
      </c>
      <c r="V39" s="11">
        <v>1.0110764971039901E-2</v>
      </c>
      <c r="W39" s="11">
        <v>1.11681284684575E-2</v>
      </c>
      <c r="X39" s="16">
        <v>1.1582377476537999</v>
      </c>
      <c r="Y39" s="16">
        <v>1.16233556709835</v>
      </c>
      <c r="Z39" s="16">
        <v>1.16883847595955</v>
      </c>
      <c r="AA39" s="16">
        <v>1.17062506125554</v>
      </c>
      <c r="AB39" s="15">
        <v>89.174384707785507</v>
      </c>
      <c r="AC39" s="15">
        <v>89.762999892557303</v>
      </c>
      <c r="AD39" s="15">
        <v>89.857962208057998</v>
      </c>
      <c r="AE39" s="11">
        <v>3.53173388479975E-3</v>
      </c>
      <c r="AF39" s="11">
        <v>1.0110764971039901E-2</v>
      </c>
      <c r="AG39" s="11">
        <v>1.11681284684575E-2</v>
      </c>
      <c r="AZ39" s="11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11">
        <f t="shared" si="6"/>
        <v>0</v>
      </c>
      <c r="BH39" s="11">
        <f t="shared" si="7"/>
        <v>0</v>
      </c>
      <c r="BI39" s="11">
        <f t="shared" si="8"/>
        <v>0</v>
      </c>
      <c r="BJ39" s="6">
        <f t="shared" si="9"/>
        <v>2.0345900866362357E-2</v>
      </c>
      <c r="BL39" s="11"/>
      <c r="BN39">
        <f t="shared" si="10"/>
        <v>1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11">
        <f t="shared" si="14"/>
        <v>-2.74097933142226E-3</v>
      </c>
      <c r="BT39" s="11">
        <f t="shared" si="15"/>
        <v>-1.68662546307772E-3</v>
      </c>
      <c r="BU39" s="11">
        <f t="shared" si="16"/>
        <v>-4.4276047944999796E-3</v>
      </c>
      <c r="BV39" s="6">
        <f t="shared" si="17"/>
        <v>-6.1716817651481012E-4</v>
      </c>
      <c r="BX39" s="6">
        <f t="shared" si="18"/>
        <v>-4.4276047944999796E-3</v>
      </c>
      <c r="BY39" s="6">
        <f t="shared" si="19"/>
        <v>1.9728732689847546E-2</v>
      </c>
    </row>
    <row r="40" spans="1:77" x14ac:dyDescent="0.3">
      <c r="A40" s="1">
        <v>46080</v>
      </c>
      <c r="B40" s="15">
        <v>77.64</v>
      </c>
      <c r="C40" s="15">
        <v>90.01</v>
      </c>
      <c r="D40" s="11">
        <v>1.19203277256266E-2</v>
      </c>
      <c r="E40" s="11">
        <v>1.2858677761231599E-2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77.64</v>
      </c>
      <c r="M40" s="15">
        <v>90.01</v>
      </c>
      <c r="N40" s="16">
        <v>1.1593250901597101</v>
      </c>
      <c r="O40" s="16">
        <v>1.16233556709835</v>
      </c>
      <c r="P40" s="16">
        <v>1.1671262533389699</v>
      </c>
      <c r="Q40" s="16">
        <v>1.17017737550748</v>
      </c>
      <c r="R40" s="15">
        <v>90.243733429515999</v>
      </c>
      <c r="S40" s="15">
        <v>90.748619273499898</v>
      </c>
      <c r="T40" s="15">
        <v>90.8873297558807</v>
      </c>
      <c r="U40" s="11">
        <v>2.5933838491948502E-3</v>
      </c>
      <c r="V40" s="11">
        <v>8.1724831431426899E-3</v>
      </c>
      <c r="W40" s="11">
        <v>9.6998295752463298E-3</v>
      </c>
      <c r="X40" s="16">
        <v>1.1593250901597101</v>
      </c>
      <c r="Y40" s="16">
        <v>1.16233556709835</v>
      </c>
      <c r="Z40" s="16">
        <v>1.1671262533389699</v>
      </c>
      <c r="AA40" s="16">
        <v>1.17017737550748</v>
      </c>
      <c r="AB40" s="15">
        <v>90.243733429515999</v>
      </c>
      <c r="AC40" s="15">
        <v>90.748619273499898</v>
      </c>
      <c r="AD40" s="15">
        <v>90.8873297558807</v>
      </c>
      <c r="AE40" s="11">
        <v>2.5933838491948502E-3</v>
      </c>
      <c r="AF40" s="11">
        <v>8.1724831431426899E-3</v>
      </c>
      <c r="AG40" s="11">
        <v>9.6998295752463298E-3</v>
      </c>
      <c r="AZ40" s="11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11">
        <f t="shared" si="6"/>
        <v>0</v>
      </c>
      <c r="BH40" s="11">
        <f t="shared" si="7"/>
        <v>0</v>
      </c>
      <c r="BI40" s="11">
        <f t="shared" si="8"/>
        <v>0</v>
      </c>
      <c r="BJ40" s="6">
        <f t="shared" si="9"/>
        <v>2.0345900866362357E-2</v>
      </c>
      <c r="BL40" s="11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11">
        <f t="shared" si="14"/>
        <v>-1.19203277256266E-2</v>
      </c>
      <c r="BT40" s="11">
        <f t="shared" si="15"/>
        <v>1.2858677761231599E-2</v>
      </c>
      <c r="BU40" s="11">
        <f t="shared" si="16"/>
        <v>9.3835003560499911E-4</v>
      </c>
      <c r="BV40" s="6">
        <f t="shared" si="17"/>
        <v>3.2118185909018899E-4</v>
      </c>
      <c r="BX40" s="6">
        <f t="shared" si="18"/>
        <v>9.3835003560499911E-4</v>
      </c>
      <c r="BY40" s="6">
        <f t="shared" si="19"/>
        <v>2.0667082725452545E-2</v>
      </c>
    </row>
    <row r="41" spans="1:77" x14ac:dyDescent="0.3">
      <c r="A41" s="1">
        <v>46083</v>
      </c>
      <c r="B41" s="15">
        <v>76.77</v>
      </c>
      <c r="C41" s="15">
        <v>88.71</v>
      </c>
      <c r="D41" s="11">
        <v>-1.12688194610023E-2</v>
      </c>
      <c r="E41" s="11">
        <v>-1.4548152736498499E-2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76.77</v>
      </c>
      <c r="M41" s="15">
        <v>88.71</v>
      </c>
      <c r="N41" s="16">
        <v>1.1555295037123801</v>
      </c>
      <c r="O41" s="16">
        <v>1.16233556709835</v>
      </c>
      <c r="P41" s="16">
        <v>1.16460770918442</v>
      </c>
      <c r="Q41" s="16">
        <v>1.1695307360995699</v>
      </c>
      <c r="R41" s="15">
        <v>89.232501486140393</v>
      </c>
      <c r="S41" s="15">
        <v>89.600282468832901</v>
      </c>
      <c r="T41" s="15">
        <v>89.834517117709794</v>
      </c>
      <c r="U41" s="11">
        <v>5.8727171246910704E-3</v>
      </c>
      <c r="V41" s="11">
        <v>9.9858499973587093E-3</v>
      </c>
      <c r="W41" s="11">
        <v>1.25966566242559E-2</v>
      </c>
      <c r="X41" s="16">
        <v>1.1555295037123801</v>
      </c>
      <c r="Y41" s="16">
        <v>1.16233556709835</v>
      </c>
      <c r="Z41" s="16">
        <v>1.16460770918442</v>
      </c>
      <c r="AA41" s="16">
        <v>1.1695307360995699</v>
      </c>
      <c r="AB41" s="15">
        <v>89.232501486140393</v>
      </c>
      <c r="AC41" s="15">
        <v>89.600282468832901</v>
      </c>
      <c r="AD41" s="15">
        <v>89.834517117709794</v>
      </c>
      <c r="AE41" s="11">
        <v>5.8727171246910704E-3</v>
      </c>
      <c r="AF41" s="11">
        <v>9.9858499973587093E-3</v>
      </c>
      <c r="AG41" s="11">
        <v>1.25966566242559E-2</v>
      </c>
      <c r="AZ41" s="11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11">
        <f t="shared" si="6"/>
        <v>0</v>
      </c>
      <c r="BH41" s="11">
        <f t="shared" si="7"/>
        <v>0</v>
      </c>
      <c r="BI41" s="11">
        <f t="shared" si="8"/>
        <v>0</v>
      </c>
      <c r="BJ41" s="6">
        <f t="shared" si="9"/>
        <v>2.0345900866362357E-2</v>
      </c>
      <c r="BL41" s="11"/>
      <c r="BN41">
        <f t="shared" si="10"/>
        <v>1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11">
        <f t="shared" si="14"/>
        <v>1.12688194610023E-2</v>
      </c>
      <c r="BT41" s="11">
        <f t="shared" si="15"/>
        <v>-1.4548152736498499E-2</v>
      </c>
      <c r="BU41" s="11">
        <f t="shared" si="16"/>
        <v>-3.2793332754961994E-3</v>
      </c>
      <c r="BV41" s="6">
        <f t="shared" si="17"/>
        <v>-2.9581514164060104E-3</v>
      </c>
      <c r="BX41" s="6">
        <f t="shared" si="18"/>
        <v>-3.2793332754961994E-3</v>
      </c>
      <c r="BY41" s="6">
        <f t="shared" si="19"/>
        <v>1.7387749449956344E-2</v>
      </c>
    </row>
    <row r="42" spans="1:77" x14ac:dyDescent="0.3">
      <c r="A42" s="1">
        <v>46084</v>
      </c>
      <c r="B42" s="15">
        <v>75.459999999999994</v>
      </c>
      <c r="C42" s="15">
        <v>87.74</v>
      </c>
      <c r="D42" s="11">
        <v>-1.7211224303642698E-2</v>
      </c>
      <c r="E42" s="11">
        <v>-1.09947267944276E-2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75.459999999999994</v>
      </c>
      <c r="M42" s="15">
        <v>87.74</v>
      </c>
      <c r="N42" s="16">
        <v>1.16273522395971</v>
      </c>
      <c r="O42" s="16">
        <v>1.16233556709835</v>
      </c>
      <c r="P42" s="16">
        <v>1.1633908892332501</v>
      </c>
      <c r="Q42" s="16">
        <v>1.1689134992444301</v>
      </c>
      <c r="R42" s="15">
        <v>87.709841893241602</v>
      </c>
      <c r="S42" s="15">
        <v>87.881297735056506</v>
      </c>
      <c r="T42" s="15">
        <v>88.252789346073598</v>
      </c>
      <c r="U42" s="11">
        <v>-3.4378038452423902E-4</v>
      </c>
      <c r="V42" s="11">
        <v>1.6091187955782501E-3</v>
      </c>
      <c r="W42" s="11">
        <v>5.8274068967850597E-3</v>
      </c>
      <c r="X42" s="16">
        <v>1.16273522395971</v>
      </c>
      <c r="Y42" s="16">
        <v>1.16233556709835</v>
      </c>
      <c r="Z42" s="16">
        <v>1.1633908892332501</v>
      </c>
      <c r="AA42" s="16">
        <v>1.1689134992444301</v>
      </c>
      <c r="AB42" s="15">
        <v>87.709841893241602</v>
      </c>
      <c r="AC42" s="15">
        <v>87.881297735056506</v>
      </c>
      <c r="AD42" s="15">
        <v>88.252789346073598</v>
      </c>
      <c r="AE42" s="11">
        <v>-3.4378038452423902E-4</v>
      </c>
      <c r="AF42" s="11">
        <v>1.6091187955782501E-3</v>
      </c>
      <c r="AG42" s="11">
        <v>5.8274068967850597E-3</v>
      </c>
      <c r="AZ42" s="11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11">
        <f t="shared" si="6"/>
        <v>0</v>
      </c>
      <c r="BH42" s="11">
        <f t="shared" si="7"/>
        <v>0</v>
      </c>
      <c r="BI42" s="11">
        <f t="shared" si="8"/>
        <v>0</v>
      </c>
      <c r="BJ42" s="6">
        <f t="shared" si="9"/>
        <v>2.0345900866362357E-2</v>
      </c>
      <c r="BL42" s="11"/>
      <c r="BN42">
        <f t="shared" si="10"/>
        <v>1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11">
        <f t="shared" si="14"/>
        <v>1.7211224303642698E-2</v>
      </c>
      <c r="BT42" s="11">
        <f t="shared" si="15"/>
        <v>-1.09947267944276E-2</v>
      </c>
      <c r="BU42" s="11">
        <f t="shared" si="16"/>
        <v>6.2164975092150986E-3</v>
      </c>
      <c r="BV42" s="6">
        <f t="shared" si="17"/>
        <v>3.2583460928090882E-3</v>
      </c>
      <c r="BX42" s="6">
        <f t="shared" si="18"/>
        <v>6.2164975092150986E-3</v>
      </c>
      <c r="BY42" s="6">
        <f t="shared" si="19"/>
        <v>2.3604246959171443E-2</v>
      </c>
    </row>
    <row r="43" spans="1:77" x14ac:dyDescent="0.3">
      <c r="A43" s="1">
        <v>46085</v>
      </c>
      <c r="B43" s="15">
        <v>74.819999999999993</v>
      </c>
      <c r="C43" s="15">
        <v>87.16</v>
      </c>
      <c r="D43" s="11">
        <v>-8.5174856161642897E-3</v>
      </c>
      <c r="E43" s="11">
        <v>-6.6323856616487698E-3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74.819999999999993</v>
      </c>
      <c r="M43" s="15">
        <v>87.16</v>
      </c>
      <c r="N43" s="16">
        <v>1.16492916332531</v>
      </c>
      <c r="O43" s="16">
        <v>1.16233556709835</v>
      </c>
      <c r="P43" s="16">
        <v>1.16266905386827</v>
      </c>
      <c r="Q43" s="16">
        <v>1.1682803633350001</v>
      </c>
      <c r="R43" s="15">
        <v>86.965947130298602</v>
      </c>
      <c r="S43" s="15">
        <v>87.044906332431793</v>
      </c>
      <c r="T43" s="15">
        <v>87.458108013468603</v>
      </c>
      <c r="U43" s="11">
        <v>-2.22888033903966E-3</v>
      </c>
      <c r="V43" s="11">
        <v>-1.3213598484364099E-3</v>
      </c>
      <c r="W43" s="11">
        <v>3.4144030819666001E-3</v>
      </c>
      <c r="X43" s="16">
        <v>1.16492916332531</v>
      </c>
      <c r="Y43" s="16">
        <v>1.16233556709835</v>
      </c>
      <c r="Z43" s="16">
        <v>1.16266905386827</v>
      </c>
      <c r="AA43" s="16">
        <v>1.1682803633350001</v>
      </c>
      <c r="AB43" s="15">
        <v>86.965947130298602</v>
      </c>
      <c r="AC43" s="15">
        <v>87.044906332431793</v>
      </c>
      <c r="AD43" s="15">
        <v>87.458108013468603</v>
      </c>
      <c r="AE43" s="11">
        <v>-2.22888033903966E-3</v>
      </c>
      <c r="AF43" s="11">
        <v>-1.3213598484364099E-3</v>
      </c>
      <c r="AG43" s="11">
        <v>3.4144030819666001E-3</v>
      </c>
      <c r="AZ43" s="11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11">
        <f t="shared" si="6"/>
        <v>0</v>
      </c>
      <c r="BH43" s="11">
        <f t="shared" si="7"/>
        <v>0</v>
      </c>
      <c r="BI43" s="11">
        <f t="shared" si="8"/>
        <v>0</v>
      </c>
      <c r="BJ43" s="6">
        <f t="shared" si="9"/>
        <v>2.0345900866362357E-2</v>
      </c>
      <c r="BL43" s="11"/>
      <c r="BN43">
        <f t="shared" si="10"/>
        <v>1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11">
        <f t="shared" si="14"/>
        <v>8.5174856161642897E-3</v>
      </c>
      <c r="BT43" s="11">
        <f t="shared" si="15"/>
        <v>-6.6323856616487698E-3</v>
      </c>
      <c r="BU43" s="11">
        <f t="shared" si="16"/>
        <v>1.8850999545155199E-3</v>
      </c>
      <c r="BV43" s="6">
        <f t="shared" si="17"/>
        <v>5.1434460473246081E-3</v>
      </c>
      <c r="BX43" s="6">
        <f t="shared" si="18"/>
        <v>1.8850999545155199E-3</v>
      </c>
      <c r="BY43" s="6">
        <f t="shared" si="19"/>
        <v>2.5489346913686962E-2</v>
      </c>
    </row>
    <row r="44" spans="1:77" x14ac:dyDescent="0.3">
      <c r="A44" s="1">
        <v>46086</v>
      </c>
      <c r="B44" s="15">
        <v>73.209999999999994</v>
      </c>
      <c r="C44" s="15">
        <v>85.41</v>
      </c>
      <c r="D44" s="11">
        <v>-2.1753205261448801E-2</v>
      </c>
      <c r="E44" s="11">
        <v>-2.02823201183631E-2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73.209999999999994</v>
      </c>
      <c r="M44" s="15">
        <v>85.41</v>
      </c>
      <c r="N44" s="16">
        <v>1.1666439011064</v>
      </c>
      <c r="O44" s="16">
        <v>1.16233556709835</v>
      </c>
      <c r="P44" s="16">
        <v>1.1625024205247501</v>
      </c>
      <c r="Q44" s="16">
        <v>1.1673550652023099</v>
      </c>
      <c r="R44" s="15">
        <v>85.094586867270294</v>
      </c>
      <c r="S44" s="15">
        <v>85.119001433696198</v>
      </c>
      <c r="T44" s="15">
        <v>85.529805399755404</v>
      </c>
      <c r="U44" s="11">
        <v>-3.6997654821253E-3</v>
      </c>
      <c r="V44" s="11">
        <v>-3.4128957105980899E-3</v>
      </c>
      <c r="W44" s="11">
        <v>1.4017264041196801E-3</v>
      </c>
      <c r="X44" s="16">
        <v>1.1666439011064</v>
      </c>
      <c r="Y44" s="16">
        <v>1.16233556709835</v>
      </c>
      <c r="Z44" s="16">
        <v>1.1625024205247501</v>
      </c>
      <c r="AA44" s="16">
        <v>1.1673550652023099</v>
      </c>
      <c r="AB44" s="15">
        <v>85.094586867270294</v>
      </c>
      <c r="AC44" s="15">
        <v>85.119001433696198</v>
      </c>
      <c r="AD44" s="15">
        <v>85.529805399755404</v>
      </c>
      <c r="AE44" s="11">
        <v>-3.6997654821253E-3</v>
      </c>
      <c r="AF44" s="11">
        <v>-3.4128957105980899E-3</v>
      </c>
      <c r="AG44" s="11">
        <v>1.4017264041196801E-3</v>
      </c>
      <c r="AZ44" s="11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11">
        <f t="shared" si="6"/>
        <v>0</v>
      </c>
      <c r="BH44" s="11">
        <f t="shared" si="7"/>
        <v>0</v>
      </c>
      <c r="BI44" s="11">
        <f t="shared" si="8"/>
        <v>0</v>
      </c>
      <c r="BJ44" s="6">
        <f t="shared" si="9"/>
        <v>2.0345900866362357E-2</v>
      </c>
      <c r="BL44" s="11"/>
      <c r="BN44">
        <f t="shared" si="10"/>
        <v>0</v>
      </c>
      <c r="BO44">
        <f t="shared" si="11"/>
        <v>0</v>
      </c>
      <c r="BP44">
        <f t="shared" si="12"/>
        <v>1</v>
      </c>
      <c r="BQ44">
        <f t="shared" si="1"/>
        <v>1</v>
      </c>
      <c r="BR44">
        <f t="shared" si="13"/>
        <v>1</v>
      </c>
      <c r="BS44" s="11">
        <f t="shared" si="14"/>
        <v>2.1753205261448801E-2</v>
      </c>
      <c r="BT44" s="11">
        <f t="shared" si="15"/>
        <v>-2.02823201183631E-2</v>
      </c>
      <c r="BU44" s="11">
        <f t="shared" si="16"/>
        <v>1.4708851430857012E-3</v>
      </c>
      <c r="BV44" s="6">
        <f t="shared" si="17"/>
        <v>6.6143311904103093E-3</v>
      </c>
      <c r="BX44" s="6">
        <f t="shared" si="18"/>
        <v>1.4708851430857012E-3</v>
      </c>
      <c r="BY44" s="6">
        <f t="shared" si="19"/>
        <v>2.6960232056772664E-2</v>
      </c>
    </row>
    <row r="45" spans="1:77" x14ac:dyDescent="0.3">
      <c r="A45" s="1">
        <v>46087</v>
      </c>
      <c r="B45" s="15">
        <v>73.239999999999995</v>
      </c>
      <c r="C45" s="15">
        <v>85.78</v>
      </c>
      <c r="D45" s="11">
        <v>4.09696147758606E-4</v>
      </c>
      <c r="E45" s="11">
        <v>4.3226891306785403E-3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73.239999999999995</v>
      </c>
      <c r="M45" s="15">
        <v>85.78</v>
      </c>
      <c r="N45" s="16">
        <v>1.17121791370835</v>
      </c>
      <c r="O45" s="16">
        <v>1.16233556709835</v>
      </c>
      <c r="P45" s="16">
        <v>1.1631364716702699</v>
      </c>
      <c r="Q45" s="16">
        <v>1.16756472565679</v>
      </c>
      <c r="R45" s="15">
        <v>85.129456934283297</v>
      </c>
      <c r="S45" s="15">
        <v>85.141677279233093</v>
      </c>
      <c r="T45" s="15">
        <v>85.497084975417195</v>
      </c>
      <c r="U45" s="11">
        <v>-7.61275846504507E-3</v>
      </c>
      <c r="V45" s="11">
        <v>-7.4692186333850203E-3</v>
      </c>
      <c r="W45" s="11">
        <v>-3.3035975819978199E-3</v>
      </c>
      <c r="X45" s="16">
        <v>1.17121791370835</v>
      </c>
      <c r="Y45" s="16">
        <v>1.16233556709835</v>
      </c>
      <c r="Z45" s="16">
        <v>1.1631364716702699</v>
      </c>
      <c r="AA45" s="16">
        <v>1.16756472565679</v>
      </c>
      <c r="AB45" s="15">
        <v>85.129456934283297</v>
      </c>
      <c r="AC45" s="15">
        <v>85.141677279233093</v>
      </c>
      <c r="AD45" s="15">
        <v>85.497084975417195</v>
      </c>
      <c r="AE45" s="11">
        <v>-7.61275846504507E-3</v>
      </c>
      <c r="AF45" s="11">
        <v>-7.4692186333850203E-3</v>
      </c>
      <c r="AG45" s="11">
        <v>-3.3035975819978199E-3</v>
      </c>
      <c r="AZ45" s="11"/>
      <c r="BB45">
        <f t="shared" si="2"/>
        <v>1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11">
        <f t="shared" si="6"/>
        <v>0</v>
      </c>
      <c r="BH45" s="11">
        <f t="shared" si="7"/>
        <v>0</v>
      </c>
      <c r="BI45" s="11">
        <f t="shared" si="8"/>
        <v>0</v>
      </c>
      <c r="BJ45" s="6">
        <f t="shared" si="9"/>
        <v>2.0345900866362357E-2</v>
      </c>
      <c r="BL45" s="11"/>
      <c r="BN45">
        <f t="shared" si="10"/>
        <v>0</v>
      </c>
      <c r="BO45">
        <f t="shared" si="11"/>
        <v>1</v>
      </c>
      <c r="BP45">
        <f t="shared" si="12"/>
        <v>1</v>
      </c>
      <c r="BQ45">
        <f t="shared" si="1"/>
        <v>1</v>
      </c>
      <c r="BR45">
        <f t="shared" si="13"/>
        <v>1</v>
      </c>
      <c r="BS45" s="11">
        <f t="shared" si="14"/>
        <v>-4.09696147758606E-4</v>
      </c>
      <c r="BT45" s="11">
        <f t="shared" si="15"/>
        <v>4.3226891306785403E-3</v>
      </c>
      <c r="BU45" s="11">
        <f t="shared" si="16"/>
        <v>3.9129929829199344E-3</v>
      </c>
      <c r="BV45" s="6">
        <f t="shared" si="17"/>
        <v>1.0527324173330244E-2</v>
      </c>
      <c r="BX45" s="6">
        <f t="shared" si="18"/>
        <v>3.9129929829199344E-3</v>
      </c>
      <c r="BY45" s="6">
        <f t="shared" si="19"/>
        <v>3.0873225039692597E-2</v>
      </c>
    </row>
    <row r="46" spans="1:77" x14ac:dyDescent="0.3">
      <c r="A46" s="1">
        <v>46090</v>
      </c>
      <c r="B46" s="15">
        <v>73.67</v>
      </c>
      <c r="C46" s="15">
        <v>85.97</v>
      </c>
      <c r="D46" s="11">
        <v>5.8539408884123898E-3</v>
      </c>
      <c r="E46" s="11">
        <v>2.2125190976183102E-3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73.67</v>
      </c>
      <c r="M46" s="15">
        <v>85.97</v>
      </c>
      <c r="N46" s="16">
        <v>1.1669607710058301</v>
      </c>
      <c r="O46" s="16">
        <v>1.16233556709835</v>
      </c>
      <c r="P46" s="16">
        <v>1.1635926741954701</v>
      </c>
      <c r="Q46" s="16">
        <v>1.1673641623429001</v>
      </c>
      <c r="R46" s="15">
        <v>85.629261228135505</v>
      </c>
      <c r="S46" s="15">
        <v>85.688263867949203</v>
      </c>
      <c r="T46" s="15">
        <v>86.014493339135996</v>
      </c>
      <c r="U46" s="11">
        <v>-3.9713366742510402E-3</v>
      </c>
      <c r="V46" s="11">
        <v>-3.2825263250067702E-3</v>
      </c>
      <c r="W46" s="11">
        <v>5.1741106729802496E-4</v>
      </c>
      <c r="X46" s="16">
        <v>1.1669607710058301</v>
      </c>
      <c r="Y46" s="16">
        <v>1.16233556709835</v>
      </c>
      <c r="Z46" s="16">
        <v>1.1635926741954701</v>
      </c>
      <c r="AA46" s="16">
        <v>1.1673641623429001</v>
      </c>
      <c r="AB46" s="15">
        <v>85.629261228135505</v>
      </c>
      <c r="AC46" s="15">
        <v>85.688263867949203</v>
      </c>
      <c r="AD46" s="15">
        <v>86.014493339135996</v>
      </c>
      <c r="AE46" s="11">
        <v>-3.9713366742510402E-3</v>
      </c>
      <c r="AF46" s="11">
        <v>-3.2825263250067702E-3</v>
      </c>
      <c r="AG46" s="11">
        <v>5.1741106729802496E-4</v>
      </c>
      <c r="AZ46" s="11"/>
      <c r="BB46">
        <f t="shared" si="2"/>
        <v>0</v>
      </c>
      <c r="BC46">
        <f t="shared" si="3"/>
        <v>1</v>
      </c>
      <c r="BD46">
        <f t="shared" si="4"/>
        <v>1</v>
      </c>
      <c r="BE46">
        <f t="shared" si="0"/>
        <v>1</v>
      </c>
      <c r="BF46">
        <f t="shared" si="5"/>
        <v>1</v>
      </c>
      <c r="BG46" s="11">
        <f t="shared" si="6"/>
        <v>5.8539408884123898E-3</v>
      </c>
      <c r="BH46" s="11">
        <f t="shared" si="7"/>
        <v>-2.2125190976183102E-3</v>
      </c>
      <c r="BI46" s="11">
        <f t="shared" si="8"/>
        <v>3.6414217907940797E-3</v>
      </c>
      <c r="BJ46" s="6">
        <f t="shared" si="9"/>
        <v>2.3987322657156435E-2</v>
      </c>
      <c r="BL46" s="11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11">
        <f t="shared" si="14"/>
        <v>0</v>
      </c>
      <c r="BT46" s="11">
        <f t="shared" si="15"/>
        <v>0</v>
      </c>
      <c r="BU46" s="11">
        <f t="shared" si="16"/>
        <v>0</v>
      </c>
      <c r="BV46" s="6">
        <f t="shared" si="17"/>
        <v>1.0527324173330244E-2</v>
      </c>
      <c r="BX46" s="6">
        <f t="shared" si="18"/>
        <v>3.6414217907940797E-3</v>
      </c>
      <c r="BY46" s="6">
        <f t="shared" si="19"/>
        <v>3.4514646830486675E-2</v>
      </c>
    </row>
    <row r="47" spans="1:77" x14ac:dyDescent="0.3">
      <c r="A47" s="1">
        <v>46091</v>
      </c>
      <c r="B47" s="15">
        <v>73.34</v>
      </c>
      <c r="C47" s="15">
        <v>85.72</v>
      </c>
      <c r="D47" s="11">
        <v>-4.4894980515422398E-3</v>
      </c>
      <c r="E47" s="11">
        <v>-2.9122275809764201E-3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73.34</v>
      </c>
      <c r="M47" s="15">
        <v>85.72</v>
      </c>
      <c r="N47" s="16">
        <v>1.1688028361058</v>
      </c>
      <c r="O47" s="16">
        <v>1.16233556709835</v>
      </c>
      <c r="P47" s="16">
        <v>1.1637759487033199</v>
      </c>
      <c r="Q47" s="16">
        <v>1.1671972522645599</v>
      </c>
      <c r="R47" s="15">
        <v>85.245690490993098</v>
      </c>
      <c r="S47" s="15">
        <v>85.337886725496105</v>
      </c>
      <c r="T47" s="15">
        <v>85.614487666228598</v>
      </c>
      <c r="U47" s="11">
        <v>-5.5486071448168804E-3</v>
      </c>
      <c r="V47" s="11">
        <v>-4.4676561531134503E-3</v>
      </c>
      <c r="W47" s="11">
        <v>-1.23165334133023E-3</v>
      </c>
      <c r="X47" s="16">
        <v>1.1688028361058</v>
      </c>
      <c r="Y47" s="16">
        <v>1.16233556709835</v>
      </c>
      <c r="Z47" s="16">
        <v>1.1637759487033199</v>
      </c>
      <c r="AA47" s="16">
        <v>1.1671972522645599</v>
      </c>
      <c r="AB47" s="15">
        <v>85.245690490993098</v>
      </c>
      <c r="AC47" s="15">
        <v>85.337886725496105</v>
      </c>
      <c r="AD47" s="15">
        <v>85.614487666228598</v>
      </c>
      <c r="AE47" s="11">
        <v>-5.5486071448168804E-3</v>
      </c>
      <c r="AF47" s="11">
        <v>-4.4676561531134503E-3</v>
      </c>
      <c r="AG47" s="11">
        <v>-1.23165334133023E-3</v>
      </c>
      <c r="AZ47" s="11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11">
        <f t="shared" si="6"/>
        <v>0</v>
      </c>
      <c r="BH47" s="11">
        <f t="shared" si="7"/>
        <v>0</v>
      </c>
      <c r="BI47" s="11">
        <f t="shared" si="8"/>
        <v>0</v>
      </c>
      <c r="BJ47" s="6">
        <f t="shared" si="9"/>
        <v>2.3987322657156435E-2</v>
      </c>
      <c r="BL47" s="11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11">
        <f t="shared" si="14"/>
        <v>0</v>
      </c>
      <c r="BT47" s="11">
        <f t="shared" si="15"/>
        <v>0</v>
      </c>
      <c r="BU47" s="11">
        <f t="shared" si="16"/>
        <v>0</v>
      </c>
      <c r="BV47" s="6">
        <f t="shared" si="17"/>
        <v>1.0527324173330244E-2</v>
      </c>
      <c r="BX47" s="6">
        <f t="shared" si="18"/>
        <v>0</v>
      </c>
      <c r="BY47" s="6">
        <f t="shared" si="19"/>
        <v>3.4514646830486675E-2</v>
      </c>
    </row>
    <row r="48" spans="1:77" x14ac:dyDescent="0.3">
      <c r="A48" s="1">
        <v>46092</v>
      </c>
      <c r="B48" s="15">
        <v>72.540000000000006</v>
      </c>
      <c r="C48" s="15">
        <v>84.59</v>
      </c>
      <c r="D48" s="11">
        <v>-1.09680287884236E-2</v>
      </c>
      <c r="E48" s="11">
        <v>-1.32701142894531E-2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72.540000000000006</v>
      </c>
      <c r="M48" s="15">
        <v>84.59</v>
      </c>
      <c r="N48" s="16">
        <v>1.1661152467603999</v>
      </c>
      <c r="O48" s="16">
        <v>1.16233556709835</v>
      </c>
      <c r="P48" s="16">
        <v>1.16404973974977</v>
      </c>
      <c r="Q48" s="16">
        <v>1.16702877949791</v>
      </c>
      <c r="R48" s="15">
        <v>84.315822037314405</v>
      </c>
      <c r="S48" s="15">
        <v>84.420307318939194</v>
      </c>
      <c r="T48" s="15">
        <v>84.668488679271505</v>
      </c>
      <c r="U48" s="11">
        <v>-3.2465216437873902E-3</v>
      </c>
      <c r="V48" s="11">
        <v>-2.0080756111815899E-3</v>
      </c>
      <c r="W48" s="11">
        <v>9.2744163687087904E-4</v>
      </c>
      <c r="X48" s="16">
        <v>1.1661152467603999</v>
      </c>
      <c r="Y48" s="16">
        <v>1.16233556709835</v>
      </c>
      <c r="Z48" s="16">
        <v>1.16404973974977</v>
      </c>
      <c r="AA48" s="16">
        <v>1.16702877949791</v>
      </c>
      <c r="AB48" s="15">
        <v>84.315822037314405</v>
      </c>
      <c r="AC48" s="15">
        <v>84.420307318939194</v>
      </c>
      <c r="AD48" s="15">
        <v>84.668488679271505</v>
      </c>
      <c r="AE48" s="11">
        <v>-3.2465216437873902E-3</v>
      </c>
      <c r="AF48" s="11">
        <v>-2.0080756111815899E-3</v>
      </c>
      <c r="AG48" s="11">
        <v>9.2744163687087904E-4</v>
      </c>
      <c r="AZ48" s="11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11">
        <f t="shared" si="6"/>
        <v>0</v>
      </c>
      <c r="BH48" s="11">
        <f t="shared" si="7"/>
        <v>0</v>
      </c>
      <c r="BI48" s="11">
        <f t="shared" si="8"/>
        <v>0</v>
      </c>
      <c r="BJ48" s="6">
        <f t="shared" si="9"/>
        <v>2.3987322657156435E-2</v>
      </c>
      <c r="BL48" s="11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11">
        <f t="shared" si="14"/>
        <v>0</v>
      </c>
      <c r="BT48" s="11">
        <f t="shared" si="15"/>
        <v>0</v>
      </c>
      <c r="BU48" s="11">
        <f t="shared" si="16"/>
        <v>0</v>
      </c>
      <c r="BV48" s="6">
        <f t="shared" si="17"/>
        <v>1.0527324173330244E-2</v>
      </c>
      <c r="BX48" s="6">
        <f t="shared" si="18"/>
        <v>0</v>
      </c>
      <c r="BY48" s="6">
        <f t="shared" si="19"/>
        <v>3.4514646830486675E-2</v>
      </c>
    </row>
    <row r="49" spans="1:77" x14ac:dyDescent="0.3">
      <c r="A49" s="1">
        <v>46093</v>
      </c>
      <c r="B49" s="15">
        <v>72.42</v>
      </c>
      <c r="C49" s="15">
        <v>84.25</v>
      </c>
      <c r="D49" s="11">
        <v>-1.6556295172611799E-3</v>
      </c>
      <c r="E49" s="11">
        <v>-4.0274870834520601E-3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72.42</v>
      </c>
      <c r="M49" s="15">
        <v>84.25</v>
      </c>
      <c r="N49" s="16">
        <v>1.1633526650096599</v>
      </c>
      <c r="O49" s="16">
        <v>1.16233556709835</v>
      </c>
      <c r="P49" s="16">
        <v>1.1645612314853599</v>
      </c>
      <c r="Q49" s="16">
        <v>1.16669985372245</v>
      </c>
      <c r="R49" s="15">
        <v>84.176341769262606</v>
      </c>
      <c r="S49" s="15">
        <v>84.300482152678697</v>
      </c>
      <c r="T49" s="15">
        <v>84.516224211239006</v>
      </c>
      <c r="U49" s="11">
        <v>-8.7466407759658805E-4</v>
      </c>
      <c r="V49" s="11">
        <v>5.9901524508804095E-4</v>
      </c>
      <c r="W49" s="11">
        <v>3.1549492004062599E-3</v>
      </c>
      <c r="X49" s="16">
        <v>1.1633526650096599</v>
      </c>
      <c r="Y49" s="16">
        <v>1.16233556709835</v>
      </c>
      <c r="Z49" s="16">
        <v>1.1645612314853599</v>
      </c>
      <c r="AA49" s="16">
        <v>1.16669985372245</v>
      </c>
      <c r="AB49" s="15">
        <v>84.176341769262606</v>
      </c>
      <c r="AC49" s="15">
        <v>84.300482152678697</v>
      </c>
      <c r="AD49" s="15">
        <v>84.516224211239006</v>
      </c>
      <c r="AE49" s="11">
        <v>-8.7466407759658805E-4</v>
      </c>
      <c r="AF49" s="11">
        <v>5.9901524508804095E-4</v>
      </c>
      <c r="AG49" s="11">
        <v>3.1549492004062599E-3</v>
      </c>
      <c r="AZ49" s="11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11">
        <f t="shared" si="6"/>
        <v>0</v>
      </c>
      <c r="BH49" s="11">
        <f t="shared" si="7"/>
        <v>0</v>
      </c>
      <c r="BI49" s="11">
        <f t="shared" si="8"/>
        <v>0</v>
      </c>
      <c r="BJ49" s="6">
        <f t="shared" si="9"/>
        <v>2.3987322657156435E-2</v>
      </c>
      <c r="BL49" s="11"/>
      <c r="BN49">
        <f t="shared" si="10"/>
        <v>1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11">
        <f t="shared" si="14"/>
        <v>0</v>
      </c>
      <c r="BT49" s="11">
        <f t="shared" si="15"/>
        <v>0</v>
      </c>
      <c r="BU49" s="11">
        <f t="shared" si="16"/>
        <v>0</v>
      </c>
      <c r="BV49" s="6">
        <f t="shared" si="17"/>
        <v>1.0527324173330244E-2</v>
      </c>
      <c r="BX49" s="6">
        <f t="shared" si="18"/>
        <v>0</v>
      </c>
      <c r="BY49" s="6">
        <f t="shared" si="19"/>
        <v>3.4514646830486675E-2</v>
      </c>
    </row>
    <row r="50" spans="1:77" x14ac:dyDescent="0.3">
      <c r="A50" s="1">
        <v>46094</v>
      </c>
      <c r="B50" s="15">
        <v>72.77</v>
      </c>
      <c r="C50" s="15">
        <v>84.74</v>
      </c>
      <c r="D50" s="11">
        <v>4.8212780214999503E-3</v>
      </c>
      <c r="E50" s="11">
        <v>5.79917596594189E-3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72.77</v>
      </c>
      <c r="M50" s="15">
        <v>84.74</v>
      </c>
      <c r="N50" s="16">
        <v>1.1644908616187899</v>
      </c>
      <c r="O50" s="16">
        <v>1.16233556709835</v>
      </c>
      <c r="P50" s="16">
        <v>1.1650778086312601</v>
      </c>
      <c r="Q50" s="16">
        <v>1.16610203098512</v>
      </c>
      <c r="R50" s="15">
        <v>84.583159217746996</v>
      </c>
      <c r="S50" s="15">
        <v>84.745120815189694</v>
      </c>
      <c r="T50" s="15">
        <v>84.9007483553833</v>
      </c>
      <c r="U50" s="11">
        <v>-1.85256202203867E-3</v>
      </c>
      <c r="V50" s="11">
        <v>6.04279026578344E-5</v>
      </c>
      <c r="W50" s="11">
        <v>1.8951626310810201E-3</v>
      </c>
      <c r="X50" s="16">
        <v>1.1644908616187899</v>
      </c>
      <c r="Y50" s="16">
        <v>1.16233556709835</v>
      </c>
      <c r="Z50" s="16">
        <v>1.1650778086312601</v>
      </c>
      <c r="AA50" s="16">
        <v>1.16610203098512</v>
      </c>
      <c r="AB50" s="15">
        <v>84.583159217746996</v>
      </c>
      <c r="AC50" s="15">
        <v>84.745120815189694</v>
      </c>
      <c r="AD50" s="15">
        <v>84.9007483553833</v>
      </c>
      <c r="AE50" s="11">
        <v>-1.85256202203867E-3</v>
      </c>
      <c r="AF50" s="11">
        <v>6.04279026578344E-5</v>
      </c>
      <c r="AG50" s="11">
        <v>1.8951626310810201E-3</v>
      </c>
      <c r="AZ50" s="11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11">
        <f t="shared" si="6"/>
        <v>0</v>
      </c>
      <c r="BH50" s="11">
        <f t="shared" si="7"/>
        <v>0</v>
      </c>
      <c r="BI50" s="11">
        <f t="shared" si="8"/>
        <v>0</v>
      </c>
      <c r="BJ50" s="6">
        <f t="shared" si="9"/>
        <v>2.3987322657156435E-2</v>
      </c>
      <c r="BL50" s="11"/>
      <c r="BN50">
        <f t="shared" si="10"/>
        <v>0</v>
      </c>
      <c r="BO50">
        <f t="shared" si="11"/>
        <v>0</v>
      </c>
      <c r="BP50">
        <f t="shared" si="12"/>
        <v>1</v>
      </c>
      <c r="BQ50">
        <f t="shared" si="1"/>
        <v>1</v>
      </c>
      <c r="BR50">
        <f t="shared" si="13"/>
        <v>1</v>
      </c>
      <c r="BS50" s="11">
        <f t="shared" si="14"/>
        <v>-4.8212780214999503E-3</v>
      </c>
      <c r="BT50" s="11">
        <f t="shared" si="15"/>
        <v>5.79917596594189E-3</v>
      </c>
      <c r="BU50" s="11">
        <f t="shared" si="16"/>
        <v>9.7789794444193973E-4</v>
      </c>
      <c r="BV50" s="6">
        <f t="shared" si="17"/>
        <v>1.1505222117772183E-2</v>
      </c>
      <c r="BX50" s="6">
        <f t="shared" si="18"/>
        <v>9.7789794444193973E-4</v>
      </c>
      <c r="BY50" s="6">
        <f t="shared" si="19"/>
        <v>3.5492544774928615E-2</v>
      </c>
    </row>
    <row r="51" spans="1:77" x14ac:dyDescent="0.3">
      <c r="A51" s="1">
        <v>46097</v>
      </c>
      <c r="B51" s="15">
        <v>72.86</v>
      </c>
      <c r="C51" s="15">
        <v>84.98</v>
      </c>
      <c r="D51" s="11">
        <v>1.2360092214228E-3</v>
      </c>
      <c r="E51" s="11">
        <v>2.8281894882524602E-3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72.86</v>
      </c>
      <c r="M51" s="15">
        <v>84.98</v>
      </c>
      <c r="N51" s="16">
        <v>1.16634641778753</v>
      </c>
      <c r="O51" s="16">
        <v>1.16233556709835</v>
      </c>
      <c r="P51" s="16">
        <v>1.1661595000387801</v>
      </c>
      <c r="Q51" s="16">
        <v>1.1653836046116</v>
      </c>
      <c r="R51" s="15">
        <v>84.687769418785905</v>
      </c>
      <c r="S51" s="15">
        <v>84.887569136874305</v>
      </c>
      <c r="T51" s="15">
        <v>84.962193977575893</v>
      </c>
      <c r="U51" s="11">
        <v>-3.4447422888684901E-3</v>
      </c>
      <c r="V51" s="11">
        <v>-1.08826979414319E-3</v>
      </c>
      <c r="W51" s="11">
        <v>-2.0955387326109599E-4</v>
      </c>
      <c r="X51" s="16">
        <v>1.16634641778753</v>
      </c>
      <c r="Y51" s="16">
        <v>1.16233556709835</v>
      </c>
      <c r="Z51" s="16">
        <v>1.1661595000387801</v>
      </c>
      <c r="AA51" s="16">
        <v>1.1653836046116</v>
      </c>
      <c r="AB51" s="15">
        <v>84.687769418785905</v>
      </c>
      <c r="AC51" s="15">
        <v>84.887569136874305</v>
      </c>
      <c r="AD51" s="15">
        <v>84.962193977575893</v>
      </c>
      <c r="AE51" s="11">
        <v>-3.4447422888684901E-3</v>
      </c>
      <c r="AF51" s="11">
        <v>-1.08826979414319E-3</v>
      </c>
      <c r="AG51" s="11">
        <v>-2.0955387326109599E-4</v>
      </c>
      <c r="AZ51" s="11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0</v>
      </c>
      <c r="BF51">
        <f t="shared" si="5"/>
        <v>0</v>
      </c>
      <c r="BG51" s="11">
        <f t="shared" si="6"/>
        <v>0</v>
      </c>
      <c r="BH51" s="11">
        <f t="shared" si="7"/>
        <v>0</v>
      </c>
      <c r="BI51" s="11">
        <f t="shared" si="8"/>
        <v>0</v>
      </c>
      <c r="BJ51" s="6">
        <f t="shared" si="9"/>
        <v>2.3987322657156435E-2</v>
      </c>
      <c r="BL51" s="11"/>
      <c r="BN51">
        <f t="shared" si="10"/>
        <v>0</v>
      </c>
      <c r="BO51">
        <f t="shared" si="11"/>
        <v>1</v>
      </c>
      <c r="BP51">
        <f t="shared" si="12"/>
        <v>1</v>
      </c>
      <c r="BQ51">
        <f t="shared" si="1"/>
        <v>0</v>
      </c>
      <c r="BR51">
        <f t="shared" si="13"/>
        <v>1</v>
      </c>
      <c r="BS51" s="11">
        <f t="shared" si="14"/>
        <v>-1.2360092214228E-3</v>
      </c>
      <c r="BT51" s="11">
        <f t="shared" si="15"/>
        <v>2.8281894882524602E-3</v>
      </c>
      <c r="BU51" s="11">
        <f t="shared" si="16"/>
        <v>1.5921802668296603E-3</v>
      </c>
      <c r="BV51" s="6">
        <f t="shared" si="17"/>
        <v>1.3097402384601844E-2</v>
      </c>
      <c r="BX51" s="6">
        <f t="shared" si="18"/>
        <v>1.5921802668296603E-3</v>
      </c>
      <c r="BY51" s="6">
        <f t="shared" si="19"/>
        <v>3.7084725041758276E-2</v>
      </c>
    </row>
    <row r="52" spans="1:77" x14ac:dyDescent="0.3">
      <c r="A52" s="1">
        <v>46098</v>
      </c>
      <c r="B52" s="15">
        <v>72.290000000000006</v>
      </c>
      <c r="C52" s="15">
        <v>84.7</v>
      </c>
      <c r="D52" s="11">
        <v>-7.8539845682118296E-3</v>
      </c>
      <c r="E52" s="11">
        <v>-3.3003330286568498E-3</v>
      </c>
      <c r="F52" s="15">
        <v>0.28749999999999998</v>
      </c>
      <c r="G52" s="15">
        <v>0.28749999999999998</v>
      </c>
      <c r="H52" s="15">
        <v>0</v>
      </c>
      <c r="I52" s="15">
        <v>0</v>
      </c>
      <c r="J52" s="15">
        <v>0</v>
      </c>
      <c r="K52" s="15">
        <v>0</v>
      </c>
      <c r="L52" s="15">
        <v>72.290000000000006</v>
      </c>
      <c r="M52" s="15">
        <v>84.7</v>
      </c>
      <c r="N52" s="16">
        <v>1.1716696638539199</v>
      </c>
      <c r="O52" s="16">
        <v>1.16233556709835</v>
      </c>
      <c r="P52" s="16">
        <v>1.1670529440282</v>
      </c>
      <c r="Q52" s="16">
        <v>1.1652219166307201</v>
      </c>
      <c r="R52" s="15">
        <v>84.025238145539802</v>
      </c>
      <c r="S52" s="15">
        <v>84.301670257803707</v>
      </c>
      <c r="T52" s="15">
        <v>84.245580777372794</v>
      </c>
      <c r="U52" s="11">
        <v>-7.9983938284235306E-3</v>
      </c>
      <c r="V52" s="11">
        <v>-4.71392358664827E-3</v>
      </c>
      <c r="W52" s="11">
        <v>-5.3794874823144701E-3</v>
      </c>
      <c r="X52" s="16">
        <v>1.1716696638539199</v>
      </c>
      <c r="Y52" s="16">
        <v>1.16233556709835</v>
      </c>
      <c r="Z52" s="16">
        <v>1.1670529440282</v>
      </c>
      <c r="AA52" s="16">
        <v>1.1652219166307201</v>
      </c>
      <c r="AB52" s="15">
        <v>84.025238145539802</v>
      </c>
      <c r="AC52" s="15">
        <v>84.301670257803707</v>
      </c>
      <c r="AD52" s="15">
        <v>84.245580777372794</v>
      </c>
      <c r="AE52" s="11">
        <v>-7.9983938284235306E-3</v>
      </c>
      <c r="AF52" s="11">
        <v>-4.71392358664827E-3</v>
      </c>
      <c r="AG52" s="11">
        <v>-5.3794874823144701E-3</v>
      </c>
      <c r="AZ52" s="11"/>
      <c r="BB52">
        <f t="shared" si="2"/>
        <v>1</v>
      </c>
      <c r="BC52">
        <f t="shared" si="3"/>
        <v>0</v>
      </c>
      <c r="BD52">
        <f t="shared" si="4"/>
        <v>0</v>
      </c>
      <c r="BE52">
        <f t="shared" si="0"/>
        <v>1</v>
      </c>
      <c r="BF52">
        <f t="shared" si="5"/>
        <v>0</v>
      </c>
      <c r="BG52" s="11">
        <f t="shared" si="6"/>
        <v>0</v>
      </c>
      <c r="BH52" s="11">
        <f t="shared" si="7"/>
        <v>0</v>
      </c>
      <c r="BI52" s="11">
        <f t="shared" si="8"/>
        <v>0</v>
      </c>
      <c r="BJ52" s="6">
        <f t="shared" si="9"/>
        <v>2.3987322657156435E-2</v>
      </c>
      <c r="BL52" s="11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11">
        <f t="shared" si="14"/>
        <v>0</v>
      </c>
      <c r="BT52" s="11">
        <f t="shared" si="15"/>
        <v>0</v>
      </c>
      <c r="BU52" s="11">
        <f t="shared" si="16"/>
        <v>0</v>
      </c>
      <c r="BV52" s="6">
        <f t="shared" si="17"/>
        <v>1.3097402384601844E-2</v>
      </c>
      <c r="BX52" s="6">
        <f t="shared" si="18"/>
        <v>0</v>
      </c>
      <c r="BY52" s="6">
        <f t="shared" si="19"/>
        <v>3.7084725041758276E-2</v>
      </c>
    </row>
    <row r="53" spans="1:77" x14ac:dyDescent="0.3">
      <c r="A53" s="1">
        <v>46099</v>
      </c>
      <c r="B53" s="15">
        <v>70.47</v>
      </c>
      <c r="C53" s="15">
        <v>82.64</v>
      </c>
      <c r="D53" s="11">
        <v>-2.5498719673274699E-2</v>
      </c>
      <c r="E53" s="11">
        <v>-2.4621776846625601E-2</v>
      </c>
      <c r="F53" s="15">
        <v>0</v>
      </c>
      <c r="G53" s="15">
        <v>0.28749999999999998</v>
      </c>
      <c r="H53" s="15">
        <v>0</v>
      </c>
      <c r="I53" s="15">
        <v>0</v>
      </c>
      <c r="J53" s="15">
        <v>0</v>
      </c>
      <c r="K53" s="15">
        <v>0</v>
      </c>
      <c r="L53" s="15">
        <v>70.47</v>
      </c>
      <c r="M53" s="15">
        <v>82.64</v>
      </c>
      <c r="N53" s="16">
        <v>1.17269760181637</v>
      </c>
      <c r="O53" s="16">
        <v>1.16233556709835</v>
      </c>
      <c r="P53" s="16">
        <v>1.1678297878773101</v>
      </c>
      <c r="Q53" s="16">
        <v>1.1652494208727899</v>
      </c>
      <c r="R53" s="15">
        <v>81.909787413420801</v>
      </c>
      <c r="S53" s="15">
        <v>82.242220965667599</v>
      </c>
      <c r="T53" s="15">
        <v>82.113188464967394</v>
      </c>
      <c r="U53" s="11">
        <v>-8.8753366550726707E-3</v>
      </c>
      <c r="V53" s="11">
        <v>-4.8250175636894198E-3</v>
      </c>
      <c r="W53" s="11">
        <v>-6.3951822167067802E-3</v>
      </c>
      <c r="X53" s="16">
        <v>1.17269760181637</v>
      </c>
      <c r="Y53" s="16">
        <v>1.16233556709835</v>
      </c>
      <c r="Z53" s="16">
        <v>1.1678297878773101</v>
      </c>
      <c r="AA53" s="16">
        <v>1.1652494208727899</v>
      </c>
      <c r="AB53" s="15">
        <v>81.909787413420801</v>
      </c>
      <c r="AC53" s="15">
        <v>82.242220965667599</v>
      </c>
      <c r="AD53" s="15">
        <v>82.113188464967394</v>
      </c>
      <c r="AE53" s="11">
        <v>-8.8753366550726707E-3</v>
      </c>
      <c r="AF53" s="11">
        <v>-4.8250175636894198E-3</v>
      </c>
      <c r="AG53" s="11">
        <v>-6.3951822167067802E-3</v>
      </c>
      <c r="AZ53" s="11"/>
      <c r="BB53">
        <f t="shared" si="2"/>
        <v>1</v>
      </c>
      <c r="BC53">
        <f t="shared" si="3"/>
        <v>0</v>
      </c>
      <c r="BD53">
        <f t="shared" si="4"/>
        <v>1</v>
      </c>
      <c r="BE53">
        <f t="shared" si="0"/>
        <v>1</v>
      </c>
      <c r="BF53">
        <f t="shared" si="5"/>
        <v>1</v>
      </c>
      <c r="BG53" s="11">
        <f t="shared" si="6"/>
        <v>-2.5498719673274699E-2</v>
      </c>
      <c r="BH53" s="11">
        <f t="shared" si="7"/>
        <v>2.4621776846625601E-2</v>
      </c>
      <c r="BI53" s="11">
        <f t="shared" si="8"/>
        <v>-8.7694282664909848E-4</v>
      </c>
      <c r="BJ53" s="6">
        <f t="shared" si="9"/>
        <v>2.3110379830507337E-2</v>
      </c>
      <c r="BL53" s="11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11">
        <f t="shared" si="14"/>
        <v>0</v>
      </c>
      <c r="BT53" s="11">
        <f t="shared" si="15"/>
        <v>0</v>
      </c>
      <c r="BU53" s="11">
        <f t="shared" si="16"/>
        <v>0</v>
      </c>
      <c r="BV53" s="6">
        <f t="shared" si="17"/>
        <v>1.3097402384601844E-2</v>
      </c>
      <c r="BX53" s="6">
        <f t="shared" si="18"/>
        <v>-8.7694282664909848E-4</v>
      </c>
      <c r="BY53" s="6">
        <f t="shared" si="19"/>
        <v>3.6207782215109174E-2</v>
      </c>
    </row>
    <row r="54" spans="1:77" x14ac:dyDescent="0.3">
      <c r="A54" s="1">
        <v>46100</v>
      </c>
      <c r="B54" s="15">
        <v>69.94</v>
      </c>
      <c r="C54" s="15">
        <v>81.97</v>
      </c>
      <c r="D54" s="11">
        <v>-7.54935570370136E-3</v>
      </c>
      <c r="E54" s="11">
        <v>-8.1404981464438097E-3</v>
      </c>
      <c r="F54" s="15">
        <v>0</v>
      </c>
      <c r="G54" s="15">
        <v>0.28749999999999998</v>
      </c>
      <c r="H54" s="15">
        <v>0</v>
      </c>
      <c r="I54" s="15">
        <v>0</v>
      </c>
      <c r="J54" s="15">
        <v>0</v>
      </c>
      <c r="K54" s="15">
        <v>0</v>
      </c>
      <c r="L54" s="15">
        <v>69.94</v>
      </c>
      <c r="M54" s="15">
        <v>81.97</v>
      </c>
      <c r="N54" s="16">
        <v>1.1720045753502999</v>
      </c>
      <c r="O54" s="16">
        <v>1.16233556709835</v>
      </c>
      <c r="P54" s="16">
        <v>1.1683658553017</v>
      </c>
      <c r="Q54" s="16">
        <v>1.16543413791322</v>
      </c>
      <c r="R54" s="15">
        <v>81.293749562858693</v>
      </c>
      <c r="S54" s="15">
        <v>81.6780153641391</v>
      </c>
      <c r="T54" s="15">
        <v>81.497544495843101</v>
      </c>
      <c r="U54" s="11">
        <v>-8.28419421233011E-3</v>
      </c>
      <c r="V54" s="11">
        <v>-3.5684508003541102E-3</v>
      </c>
      <c r="W54" s="11">
        <v>-5.78043575736695E-3</v>
      </c>
      <c r="X54" s="16">
        <v>1.1720045753502999</v>
      </c>
      <c r="Y54" s="16">
        <v>1.16233556709835</v>
      </c>
      <c r="Z54" s="16">
        <v>1.1683658553017</v>
      </c>
      <c r="AA54" s="16">
        <v>1.16543413791322</v>
      </c>
      <c r="AB54" s="15">
        <v>81.293749562858693</v>
      </c>
      <c r="AC54" s="15">
        <v>81.6780153641391</v>
      </c>
      <c r="AD54" s="15">
        <v>81.497544495843101</v>
      </c>
      <c r="AE54" s="11">
        <v>-8.28419421233011E-3</v>
      </c>
      <c r="AF54" s="11">
        <v>-3.5684508003541102E-3</v>
      </c>
      <c r="AG54" s="11">
        <v>-5.78043575736695E-3</v>
      </c>
      <c r="AZ54" s="11"/>
      <c r="BB54">
        <f t="shared" si="2"/>
        <v>1</v>
      </c>
      <c r="BC54">
        <f t="shared" si="3"/>
        <v>0</v>
      </c>
      <c r="BD54">
        <f t="shared" si="4"/>
        <v>1</v>
      </c>
      <c r="BE54">
        <f t="shared" si="0"/>
        <v>1</v>
      </c>
      <c r="BF54">
        <f t="shared" si="5"/>
        <v>1</v>
      </c>
      <c r="BG54" s="11">
        <f t="shared" si="6"/>
        <v>-7.54935570370136E-3</v>
      </c>
      <c r="BH54" s="11">
        <f t="shared" si="7"/>
        <v>8.1404981464438097E-3</v>
      </c>
      <c r="BI54" s="11">
        <f t="shared" si="8"/>
        <v>5.911424427424497E-4</v>
      </c>
      <c r="BJ54" s="6">
        <f t="shared" si="9"/>
        <v>2.3701522273249787E-2</v>
      </c>
      <c r="BL54" s="11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11">
        <f t="shared" si="14"/>
        <v>0</v>
      </c>
      <c r="BT54" s="11">
        <f t="shared" si="15"/>
        <v>0</v>
      </c>
      <c r="BU54" s="11">
        <f t="shared" si="16"/>
        <v>0</v>
      </c>
      <c r="BV54" s="6">
        <f t="shared" si="17"/>
        <v>1.3097402384601844E-2</v>
      </c>
      <c r="BX54" s="6">
        <f t="shared" si="18"/>
        <v>5.911424427424497E-4</v>
      </c>
      <c r="BY54" s="6">
        <f t="shared" si="19"/>
        <v>3.6798924657851624E-2</v>
      </c>
    </row>
    <row r="55" spans="1:77" x14ac:dyDescent="0.3">
      <c r="A55" s="1">
        <v>46101</v>
      </c>
      <c r="B55" s="15">
        <v>69.260000000000005</v>
      </c>
      <c r="C55" s="15">
        <v>81.290000000000006</v>
      </c>
      <c r="D55" s="11">
        <v>-9.7701926609537297E-3</v>
      </c>
      <c r="E55" s="11">
        <v>-8.3303189064582797E-3</v>
      </c>
      <c r="F55" s="15">
        <v>0</v>
      </c>
      <c r="G55" s="15">
        <v>0.28749999999999998</v>
      </c>
      <c r="H55" s="15">
        <v>0</v>
      </c>
      <c r="I55" s="15">
        <v>0</v>
      </c>
      <c r="J55" s="15">
        <v>0</v>
      </c>
      <c r="K55" s="15">
        <v>0</v>
      </c>
      <c r="L55" s="15">
        <v>69.260000000000005</v>
      </c>
      <c r="M55" s="15">
        <v>81.290000000000006</v>
      </c>
      <c r="N55" s="16">
        <v>1.1736933294831</v>
      </c>
      <c r="O55" s="16">
        <v>1.16233556709835</v>
      </c>
      <c r="P55" s="16">
        <v>1.1686133968791701</v>
      </c>
      <c r="Q55" s="16">
        <v>1.1658749342747201</v>
      </c>
      <c r="R55" s="15">
        <v>80.503361377231798</v>
      </c>
      <c r="S55" s="15">
        <v>80.921019138195803</v>
      </c>
      <c r="T55" s="15">
        <v>80.717968391870201</v>
      </c>
      <c r="U55" s="11">
        <v>-9.7240679668255704E-3</v>
      </c>
      <c r="V55" s="11">
        <v>-4.5494011463045898E-3</v>
      </c>
      <c r="W55" s="11">
        <v>-7.0618006142248498E-3</v>
      </c>
      <c r="X55" s="16">
        <v>1.1736933294831</v>
      </c>
      <c r="Y55" s="16">
        <v>1.16233556709835</v>
      </c>
      <c r="Z55" s="16">
        <v>1.1686133968791701</v>
      </c>
      <c r="AA55" s="16">
        <v>1.1658749342747201</v>
      </c>
      <c r="AB55" s="15">
        <v>80.503361377231798</v>
      </c>
      <c r="AC55" s="15">
        <v>80.921019138195803</v>
      </c>
      <c r="AD55" s="15">
        <v>80.717968391870201</v>
      </c>
      <c r="AE55" s="11">
        <v>-9.7240679668255704E-3</v>
      </c>
      <c r="AF55" s="11">
        <v>-4.5494011463045898E-3</v>
      </c>
      <c r="AG55" s="11">
        <v>-7.0618006142248498E-3</v>
      </c>
      <c r="AZ55" s="11"/>
      <c r="BB55">
        <f t="shared" si="2"/>
        <v>1</v>
      </c>
      <c r="BC55">
        <f t="shared" si="3"/>
        <v>0</v>
      </c>
      <c r="BD55">
        <f t="shared" si="4"/>
        <v>1</v>
      </c>
      <c r="BE55">
        <f t="shared" si="0"/>
        <v>0</v>
      </c>
      <c r="BF55">
        <f t="shared" si="5"/>
        <v>1</v>
      </c>
      <c r="BG55" s="11">
        <f t="shared" si="6"/>
        <v>-9.7701926609537297E-3</v>
      </c>
      <c r="BH55" s="11">
        <f t="shared" si="7"/>
        <v>8.3303189064582797E-3</v>
      </c>
      <c r="BI55" s="11">
        <f t="shared" si="8"/>
        <v>-1.43987375449545E-3</v>
      </c>
      <c r="BJ55" s="6">
        <f t="shared" si="9"/>
        <v>2.2261648518754337E-2</v>
      </c>
      <c r="BL55" s="11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0</v>
      </c>
      <c r="BR55">
        <f t="shared" si="13"/>
        <v>0</v>
      </c>
      <c r="BS55" s="11">
        <f t="shared" si="14"/>
        <v>0</v>
      </c>
      <c r="BT55" s="11">
        <f t="shared" si="15"/>
        <v>0</v>
      </c>
      <c r="BU55" s="11">
        <f t="shared" si="16"/>
        <v>0</v>
      </c>
      <c r="BV55" s="6">
        <f t="shared" si="17"/>
        <v>1.3097402384601844E-2</v>
      </c>
      <c r="BX55" s="6">
        <f t="shared" si="18"/>
        <v>-1.43987375449545E-3</v>
      </c>
      <c r="BY55" s="6">
        <f t="shared" si="19"/>
        <v>3.5359050903356171E-2</v>
      </c>
    </row>
    <row r="56" spans="1:77" x14ac:dyDescent="0.3">
      <c r="A56" s="1">
        <v>46104</v>
      </c>
      <c r="B56" s="15">
        <v>69.430000000000007</v>
      </c>
      <c r="C56" s="15">
        <v>81.180000000000007</v>
      </c>
      <c r="D56" s="11">
        <v>2.45151179090614E-3</v>
      </c>
      <c r="E56" s="11">
        <v>-1.3540963477292501E-3</v>
      </c>
      <c r="F56" s="15">
        <v>0</v>
      </c>
      <c r="G56" s="15">
        <v>0.28749999999999998</v>
      </c>
      <c r="H56" s="15">
        <v>0.45490000000000003</v>
      </c>
      <c r="I56" s="15">
        <v>0.45490000000000003</v>
      </c>
      <c r="J56" s="15">
        <v>0</v>
      </c>
      <c r="K56" s="15">
        <v>0</v>
      </c>
      <c r="L56" s="15">
        <v>69.430000000000007</v>
      </c>
      <c r="M56" s="15">
        <v>81.180000000000007</v>
      </c>
      <c r="N56" s="16">
        <v>1.1692352009217899</v>
      </c>
      <c r="O56" s="16">
        <v>1.16233556709835</v>
      </c>
      <c r="P56" s="16">
        <v>1.1688408398707699</v>
      </c>
      <c r="Q56" s="16">
        <v>1.1662167570331201</v>
      </c>
      <c r="R56" s="15">
        <v>80.700958423638497</v>
      </c>
      <c r="S56" s="15">
        <v>81.136828145321203</v>
      </c>
      <c r="T56" s="15">
        <v>80.946696686694196</v>
      </c>
      <c r="U56" s="11">
        <v>-5.9184598281903098E-3</v>
      </c>
      <c r="V56" s="11">
        <v>-5.3194553134277005E-4</v>
      </c>
      <c r="W56" s="11">
        <v>-2.8780389548835402E-3</v>
      </c>
      <c r="X56" s="16">
        <v>1.1692352009217899</v>
      </c>
      <c r="Y56" s="16">
        <v>1.16233556709835</v>
      </c>
      <c r="Z56" s="16">
        <v>1.1688408398707699</v>
      </c>
      <c r="AA56" s="16">
        <v>1.1662167570331201</v>
      </c>
      <c r="AB56" s="15">
        <v>80.700958423638497</v>
      </c>
      <c r="AC56" s="15">
        <v>81.136828145321203</v>
      </c>
      <c r="AD56" s="15">
        <v>80.946696686694196</v>
      </c>
      <c r="AE56" s="11">
        <v>-5.9184598281903098E-3</v>
      </c>
      <c r="AF56" s="11">
        <v>-5.3194553134277005E-4</v>
      </c>
      <c r="AG56" s="11">
        <v>-2.8780389548835402E-3</v>
      </c>
      <c r="AZ56" s="11"/>
      <c r="BB56">
        <f t="shared" si="2"/>
        <v>0</v>
      </c>
      <c r="BC56">
        <f t="shared" si="3"/>
        <v>0</v>
      </c>
      <c r="BD56">
        <f t="shared" si="4"/>
        <v>0</v>
      </c>
      <c r="BE56">
        <f t="shared" si="0"/>
        <v>1</v>
      </c>
      <c r="BF56">
        <f t="shared" si="5"/>
        <v>0</v>
      </c>
      <c r="BG56" s="11">
        <f t="shared" si="6"/>
        <v>0</v>
      </c>
      <c r="BH56" s="11">
        <f t="shared" si="7"/>
        <v>0</v>
      </c>
      <c r="BI56" s="11">
        <f t="shared" si="8"/>
        <v>0</v>
      </c>
      <c r="BJ56" s="6">
        <f t="shared" si="9"/>
        <v>2.2261648518754337E-2</v>
      </c>
      <c r="BL56" s="11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1</v>
      </c>
      <c r="BR56">
        <f t="shared" si="13"/>
        <v>0</v>
      </c>
      <c r="BS56" s="11">
        <f t="shared" si="14"/>
        <v>0</v>
      </c>
      <c r="BT56" s="11">
        <f t="shared" si="15"/>
        <v>0</v>
      </c>
      <c r="BU56" s="11">
        <f t="shared" si="16"/>
        <v>0</v>
      </c>
      <c r="BV56" s="6">
        <f t="shared" si="17"/>
        <v>1.3097402384601844E-2</v>
      </c>
      <c r="BX56" s="6">
        <f t="shared" si="18"/>
        <v>0</v>
      </c>
      <c r="BY56" s="6">
        <f t="shared" si="19"/>
        <v>3.5359050903356171E-2</v>
      </c>
    </row>
    <row r="57" spans="1:77" x14ac:dyDescent="0.3">
      <c r="A57" s="1">
        <v>46105</v>
      </c>
      <c r="B57" s="15">
        <v>69.47</v>
      </c>
      <c r="C57" s="15">
        <v>81.11</v>
      </c>
      <c r="D57" s="11">
        <v>5.7595393960733197E-4</v>
      </c>
      <c r="E57" s="11">
        <v>-8.6265332849845902E-4</v>
      </c>
      <c r="F57" s="15">
        <v>0</v>
      </c>
      <c r="G57" s="15">
        <v>0.28749999999999998</v>
      </c>
      <c r="H57" s="15">
        <v>0</v>
      </c>
      <c r="I57" s="15">
        <v>0.45490000000000003</v>
      </c>
      <c r="J57" s="15">
        <v>0</v>
      </c>
      <c r="K57" s="15">
        <v>0</v>
      </c>
      <c r="L57" s="15">
        <v>69.47</v>
      </c>
      <c r="M57" s="15">
        <v>81.11</v>
      </c>
      <c r="N57" s="16">
        <v>1.1675543400028701</v>
      </c>
      <c r="O57" s="16">
        <v>1.16233556709835</v>
      </c>
      <c r="P57" s="16">
        <v>1.16871599026047</v>
      </c>
      <c r="Q57" s="16">
        <v>1.1662459694819001</v>
      </c>
      <c r="R57" s="15">
        <v>80.747451846322505</v>
      </c>
      <c r="S57" s="15">
        <v>81.199373145822506</v>
      </c>
      <c r="T57" s="15">
        <v>81.017078111090996</v>
      </c>
      <c r="U57" s="11">
        <v>-4.4798525600845398E-3</v>
      </c>
      <c r="V57" s="11">
        <v>1.1012691765473401E-3</v>
      </c>
      <c r="W57" s="11">
        <v>-1.1462847559612101E-3</v>
      </c>
      <c r="X57" s="16">
        <v>1.1675543400028701</v>
      </c>
      <c r="Y57" s="16">
        <v>1.16233556709835</v>
      </c>
      <c r="Z57" s="16">
        <v>1.16871599026047</v>
      </c>
      <c r="AA57" s="16">
        <v>1.1662459694819001</v>
      </c>
      <c r="AB57" s="15">
        <v>80.747451846322505</v>
      </c>
      <c r="AC57" s="15">
        <v>81.199373145822506</v>
      </c>
      <c r="AD57" s="15">
        <v>81.017078111090996</v>
      </c>
      <c r="AE57" s="11">
        <v>-4.4798525600845398E-3</v>
      </c>
      <c r="AF57" s="11">
        <v>1.1012691765473401E-3</v>
      </c>
      <c r="AG57" s="11">
        <v>-1.1462847559612101E-3</v>
      </c>
      <c r="AZ57" s="11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11">
        <f t="shared" si="6"/>
        <v>0</v>
      </c>
      <c r="BH57" s="11">
        <f t="shared" si="7"/>
        <v>0</v>
      </c>
      <c r="BI57" s="11">
        <f t="shared" si="8"/>
        <v>0</v>
      </c>
      <c r="BJ57" s="6">
        <f t="shared" si="9"/>
        <v>2.2261648518754337E-2</v>
      </c>
      <c r="BL57" s="11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11">
        <f t="shared" si="14"/>
        <v>0</v>
      </c>
      <c r="BT57" s="11">
        <f t="shared" si="15"/>
        <v>0</v>
      </c>
      <c r="BU57" s="11">
        <f t="shared" si="16"/>
        <v>0</v>
      </c>
      <c r="BV57" s="6">
        <f t="shared" si="17"/>
        <v>1.3097402384601844E-2</v>
      </c>
      <c r="BX57" s="6">
        <f t="shared" si="18"/>
        <v>0</v>
      </c>
      <c r="BY57" s="6">
        <f t="shared" si="19"/>
        <v>3.5359050903356171E-2</v>
      </c>
    </row>
    <row r="58" spans="1:77" x14ac:dyDescent="0.3">
      <c r="A58" s="1">
        <v>46106</v>
      </c>
      <c r="B58" s="15">
        <v>69.83</v>
      </c>
      <c r="C58" s="15">
        <v>81.510000000000005</v>
      </c>
      <c r="D58" s="11">
        <v>5.1687121531542903E-3</v>
      </c>
      <c r="E58" s="11">
        <v>4.9194540241126799E-3</v>
      </c>
      <c r="F58" s="15">
        <v>0</v>
      </c>
      <c r="G58" s="15">
        <v>0.28749999999999998</v>
      </c>
      <c r="H58" s="15">
        <v>0</v>
      </c>
      <c r="I58" s="15">
        <v>0.45490000000000003</v>
      </c>
      <c r="J58" s="15">
        <v>0</v>
      </c>
      <c r="K58" s="15">
        <v>0</v>
      </c>
      <c r="L58" s="15">
        <v>69.83</v>
      </c>
      <c r="M58" s="15">
        <v>81.510000000000005</v>
      </c>
      <c r="N58" s="16">
        <v>1.16726335385937</v>
      </c>
      <c r="O58" s="16">
        <v>1.16233556709835</v>
      </c>
      <c r="P58" s="16">
        <v>1.1688308009703701</v>
      </c>
      <c r="Q58" s="16">
        <v>1.16644027036007</v>
      </c>
      <c r="R58" s="15">
        <v>81.1658926504779</v>
      </c>
      <c r="S58" s="15">
        <v>81.6114375998892</v>
      </c>
      <c r="T58" s="15">
        <v>81.438956048921199</v>
      </c>
      <c r="U58" s="11">
        <v>-4.2305944310428202E-3</v>
      </c>
      <c r="V58" s="11">
        <v>1.2437067065750099E-3</v>
      </c>
      <c r="W58" s="11">
        <v>-8.7197803904893697E-4</v>
      </c>
      <c r="X58" s="16">
        <v>1.16726335385937</v>
      </c>
      <c r="Y58" s="16">
        <v>1.16233556709835</v>
      </c>
      <c r="Z58" s="16">
        <v>1.1688308009703701</v>
      </c>
      <c r="AA58" s="16">
        <v>1.16644027036007</v>
      </c>
      <c r="AB58" s="15">
        <v>81.1658926504779</v>
      </c>
      <c r="AC58" s="15">
        <v>81.6114375998892</v>
      </c>
      <c r="AD58" s="15">
        <v>81.438956048921199</v>
      </c>
      <c r="AE58" s="11">
        <v>-4.2305944310428202E-3</v>
      </c>
      <c r="AF58" s="11">
        <v>1.2437067065750099E-3</v>
      </c>
      <c r="AG58" s="11">
        <v>-8.7197803904893697E-4</v>
      </c>
      <c r="AZ58" s="11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11">
        <f t="shared" si="6"/>
        <v>0</v>
      </c>
      <c r="BH58" s="11">
        <f t="shared" si="7"/>
        <v>0</v>
      </c>
      <c r="BI58" s="11">
        <f t="shared" si="8"/>
        <v>0</v>
      </c>
      <c r="BJ58" s="6">
        <f t="shared" si="9"/>
        <v>2.2261648518754337E-2</v>
      </c>
      <c r="BL58" s="11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11">
        <f t="shared" si="14"/>
        <v>0</v>
      </c>
      <c r="BT58" s="11">
        <f t="shared" si="15"/>
        <v>0</v>
      </c>
      <c r="BU58" s="11">
        <f t="shared" si="16"/>
        <v>0</v>
      </c>
      <c r="BV58" s="6">
        <f t="shared" si="17"/>
        <v>1.3097402384601844E-2</v>
      </c>
      <c r="BX58" s="6">
        <f t="shared" si="18"/>
        <v>0</v>
      </c>
      <c r="BY58" s="6">
        <f t="shared" si="19"/>
        <v>3.5359050903356171E-2</v>
      </c>
    </row>
    <row r="59" spans="1:77" x14ac:dyDescent="0.3">
      <c r="A59" s="1">
        <v>46107</v>
      </c>
      <c r="B59" s="15">
        <v>69.31</v>
      </c>
      <c r="C59" s="15">
        <v>81.14</v>
      </c>
      <c r="D59" s="11">
        <v>-7.4745209280505003E-3</v>
      </c>
      <c r="E59" s="11">
        <v>-4.5496543280649903E-3</v>
      </c>
      <c r="F59" s="15">
        <v>0</v>
      </c>
      <c r="G59" s="15">
        <v>0.28749999999999998</v>
      </c>
      <c r="H59" s="15">
        <v>0</v>
      </c>
      <c r="I59" s="15">
        <v>0.45490000000000003</v>
      </c>
      <c r="J59" s="15">
        <v>0</v>
      </c>
      <c r="K59" s="15">
        <v>0</v>
      </c>
      <c r="L59" s="15">
        <v>69.31</v>
      </c>
      <c r="M59" s="15">
        <v>81.14</v>
      </c>
      <c r="N59" s="16">
        <v>1.17068244120617</v>
      </c>
      <c r="O59" s="16">
        <v>1.16233556709835</v>
      </c>
      <c r="P59" s="16">
        <v>1.1695637785900199</v>
      </c>
      <c r="Q59" s="16">
        <v>1.1670625050376899</v>
      </c>
      <c r="R59" s="15">
        <v>80.561478155586698</v>
      </c>
      <c r="S59" s="15">
        <v>81.011662815256699</v>
      </c>
      <c r="T59" s="15">
        <v>80.845975138656797</v>
      </c>
      <c r="U59" s="11">
        <v>-7.1554610310285097E-3</v>
      </c>
      <c r="V59" s="11">
        <v>-1.58292809722187E-3</v>
      </c>
      <c r="W59" s="11">
        <v>-3.6302548291373398E-3</v>
      </c>
      <c r="X59" s="16">
        <v>1.17068244120617</v>
      </c>
      <c r="Y59" s="16">
        <v>1.16233556709835</v>
      </c>
      <c r="Z59" s="16">
        <v>1.1695637785900199</v>
      </c>
      <c r="AA59" s="16">
        <v>1.1670625050376899</v>
      </c>
      <c r="AB59" s="15">
        <v>80.561478155586698</v>
      </c>
      <c r="AC59" s="15">
        <v>81.011662815256699</v>
      </c>
      <c r="AD59" s="15">
        <v>80.845975138656797</v>
      </c>
      <c r="AE59" s="11">
        <v>-7.1554610310285097E-3</v>
      </c>
      <c r="AF59" s="11">
        <v>-1.58292809722187E-3</v>
      </c>
      <c r="AG59" s="11">
        <v>-3.6302548291373398E-3</v>
      </c>
      <c r="AZ59" s="11"/>
      <c r="BB59">
        <f t="shared" si="2"/>
        <v>1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11">
        <f t="shared" si="6"/>
        <v>0</v>
      </c>
      <c r="BH59" s="11">
        <f t="shared" si="7"/>
        <v>0</v>
      </c>
      <c r="BI59" s="11">
        <f t="shared" si="8"/>
        <v>0</v>
      </c>
      <c r="BJ59" s="6">
        <f t="shared" si="9"/>
        <v>2.2261648518754337E-2</v>
      </c>
      <c r="BL59" s="11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11">
        <f t="shared" si="14"/>
        <v>0</v>
      </c>
      <c r="BT59" s="11">
        <f t="shared" si="15"/>
        <v>0</v>
      </c>
      <c r="BU59" s="11">
        <f t="shared" si="16"/>
        <v>0</v>
      </c>
      <c r="BV59" s="6">
        <f t="shared" si="17"/>
        <v>1.3097402384601844E-2</v>
      </c>
      <c r="BX59" s="6">
        <f t="shared" si="18"/>
        <v>0</v>
      </c>
      <c r="BY59" s="6">
        <f t="shared" si="19"/>
        <v>3.5359050903356171E-2</v>
      </c>
    </row>
    <row r="60" spans="1:77" x14ac:dyDescent="0.3">
      <c r="A60" s="1">
        <v>46108</v>
      </c>
      <c r="B60" s="15">
        <v>69.7</v>
      </c>
      <c r="C60" s="15">
        <v>81.78</v>
      </c>
      <c r="D60" s="11">
        <v>5.6111218365848901E-3</v>
      </c>
      <c r="E60" s="11">
        <v>7.8566571581950607E-3</v>
      </c>
      <c r="F60" s="15">
        <v>0</v>
      </c>
      <c r="G60" s="15">
        <v>0.28749999999999998</v>
      </c>
      <c r="H60" s="15">
        <v>0</v>
      </c>
      <c r="I60" s="15">
        <v>0.45490000000000003</v>
      </c>
      <c r="J60" s="15">
        <v>0</v>
      </c>
      <c r="K60" s="15">
        <v>0</v>
      </c>
      <c r="L60" s="15">
        <v>69.7</v>
      </c>
      <c r="M60" s="15">
        <v>81.78</v>
      </c>
      <c r="N60" s="16">
        <v>1.17331420373027</v>
      </c>
      <c r="O60" s="16">
        <v>1.16233556709835</v>
      </c>
      <c r="P60" s="16">
        <v>1.1704461128011701</v>
      </c>
      <c r="Q60" s="16">
        <v>1.16776196071622</v>
      </c>
      <c r="R60" s="15">
        <v>81.014789026755096</v>
      </c>
      <c r="S60" s="15">
        <v>81.518595367724799</v>
      </c>
      <c r="T60" s="15">
        <v>81.344256601127199</v>
      </c>
      <c r="U60" s="11">
        <v>-9.4009963526386301E-3</v>
      </c>
      <c r="V60" s="11">
        <v>-3.2015566939674598E-3</v>
      </c>
      <c r="W60" s="11">
        <v>-5.3424848562979204E-3</v>
      </c>
      <c r="X60" s="16">
        <v>1.17331420373027</v>
      </c>
      <c r="Y60" s="16">
        <v>1.16233556709835</v>
      </c>
      <c r="Z60" s="16">
        <v>1.1704461128011701</v>
      </c>
      <c r="AA60" s="16">
        <v>1.16776196071622</v>
      </c>
      <c r="AB60" s="15">
        <v>81.014789026755096</v>
      </c>
      <c r="AC60" s="15">
        <v>81.518595367724799</v>
      </c>
      <c r="AD60" s="15">
        <v>81.344256601127199</v>
      </c>
      <c r="AE60" s="11">
        <v>-9.4009963526386301E-3</v>
      </c>
      <c r="AF60" s="11">
        <v>-3.2015566939674598E-3</v>
      </c>
      <c r="AG60" s="11">
        <v>-5.3424848562979204E-3</v>
      </c>
      <c r="AZ60" s="11"/>
      <c r="BB60">
        <f t="shared" si="2"/>
        <v>1</v>
      </c>
      <c r="BC60">
        <f t="shared" si="3"/>
        <v>0</v>
      </c>
      <c r="BD60">
        <f t="shared" si="4"/>
        <v>1</v>
      </c>
      <c r="BE60">
        <f t="shared" si="0"/>
        <v>1</v>
      </c>
      <c r="BF60">
        <f t="shared" si="5"/>
        <v>1</v>
      </c>
      <c r="BG60" s="11">
        <f t="shared" si="6"/>
        <v>5.6111218365848901E-3</v>
      </c>
      <c r="BH60" s="11">
        <f t="shared" si="7"/>
        <v>-7.8566571581950607E-3</v>
      </c>
      <c r="BI60" s="11">
        <f t="shared" si="8"/>
        <v>-2.2455353216101707E-3</v>
      </c>
      <c r="BJ60" s="6">
        <f t="shared" si="9"/>
        <v>2.0016113197144164E-2</v>
      </c>
      <c r="BL60" s="11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11">
        <f t="shared" si="14"/>
        <v>0</v>
      </c>
      <c r="BT60" s="11">
        <f t="shared" si="15"/>
        <v>0</v>
      </c>
      <c r="BU60" s="11">
        <f t="shared" si="16"/>
        <v>0</v>
      </c>
      <c r="BV60" s="6">
        <f t="shared" si="17"/>
        <v>1.3097402384601844E-2</v>
      </c>
      <c r="BX60" s="6">
        <f t="shared" si="18"/>
        <v>-2.2455353216101707E-3</v>
      </c>
      <c r="BY60" s="6">
        <f t="shared" si="19"/>
        <v>3.3113515581746002E-2</v>
      </c>
    </row>
    <row r="61" spans="1:77" x14ac:dyDescent="0.3">
      <c r="A61" s="1">
        <v>46111</v>
      </c>
      <c r="B61" s="15">
        <v>69.959999999999994</v>
      </c>
      <c r="C61" s="15">
        <v>81.88</v>
      </c>
      <c r="D61" s="11">
        <v>3.7233323839230498E-3</v>
      </c>
      <c r="E61" s="11">
        <v>1.2220458565925299E-3</v>
      </c>
      <c r="F61" s="15">
        <v>0</v>
      </c>
      <c r="G61" s="15">
        <v>0.28749999999999998</v>
      </c>
      <c r="H61" s="15">
        <v>0</v>
      </c>
      <c r="I61" s="15">
        <v>0.45490000000000003</v>
      </c>
      <c r="J61" s="15">
        <v>0</v>
      </c>
      <c r="K61" s="15">
        <v>0</v>
      </c>
      <c r="L61" s="15">
        <v>69.959999999999994</v>
      </c>
      <c r="M61" s="15">
        <v>81.88</v>
      </c>
      <c r="N61" s="16">
        <v>1.1703830760434499</v>
      </c>
      <c r="O61" s="16">
        <v>1.16233556709835</v>
      </c>
      <c r="P61" s="16">
        <v>1.17084977862676</v>
      </c>
      <c r="Q61" s="16">
        <v>1.16850463933277</v>
      </c>
      <c r="R61" s="15">
        <v>81.316996274200605</v>
      </c>
      <c r="S61" s="15">
        <v>81.884410051570001</v>
      </c>
      <c r="T61" s="15">
        <v>81.696626771706804</v>
      </c>
      <c r="U61" s="11">
        <v>-6.8997098253081503E-3</v>
      </c>
      <c r="V61" s="11">
        <v>5.3858485732772897E-5</v>
      </c>
      <c r="W61" s="11">
        <v>-2.2420477635081699E-3</v>
      </c>
      <c r="X61" s="16">
        <v>1.1703830760434499</v>
      </c>
      <c r="Y61" s="16">
        <v>1.16233556709835</v>
      </c>
      <c r="Z61" s="16">
        <v>1.17084977862676</v>
      </c>
      <c r="AA61" s="16">
        <v>1.16850463933277</v>
      </c>
      <c r="AB61" s="15">
        <v>81.316996274200605</v>
      </c>
      <c r="AC61" s="15">
        <v>81.884410051570001</v>
      </c>
      <c r="AD61" s="15">
        <v>81.696626771706804</v>
      </c>
      <c r="AE61" s="11">
        <v>-6.8997098253081503E-3</v>
      </c>
      <c r="AF61" s="11">
        <v>5.3858485732772897E-5</v>
      </c>
      <c r="AG61" s="11">
        <v>-2.2420477635081699E-3</v>
      </c>
      <c r="AZ61" s="11"/>
      <c r="BB61">
        <f t="shared" si="2"/>
        <v>0</v>
      </c>
      <c r="BC61">
        <f t="shared" si="3"/>
        <v>0</v>
      </c>
      <c r="BD61">
        <f t="shared" si="4"/>
        <v>1</v>
      </c>
      <c r="BE61">
        <f t="shared" si="0"/>
        <v>1</v>
      </c>
      <c r="BF61">
        <f t="shared" si="5"/>
        <v>1</v>
      </c>
      <c r="BG61" s="11">
        <f t="shared" si="6"/>
        <v>3.7233323839230498E-3</v>
      </c>
      <c r="BH61" s="11">
        <f t="shared" si="7"/>
        <v>-1.2220458565925299E-3</v>
      </c>
      <c r="BI61" s="11">
        <f t="shared" si="8"/>
        <v>2.5012865273305197E-3</v>
      </c>
      <c r="BJ61" s="6">
        <f t="shared" si="9"/>
        <v>2.2517399724474682E-2</v>
      </c>
      <c r="BL61" s="11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11">
        <f t="shared" si="14"/>
        <v>0</v>
      </c>
      <c r="BT61" s="11">
        <f t="shared" si="15"/>
        <v>0</v>
      </c>
      <c r="BU61" s="11">
        <f t="shared" si="16"/>
        <v>0</v>
      </c>
      <c r="BV61" s="6">
        <f t="shared" si="17"/>
        <v>1.3097402384601844E-2</v>
      </c>
      <c r="BX61" s="6">
        <f t="shared" si="18"/>
        <v>2.5012865273305197E-3</v>
      </c>
      <c r="BY61" s="6">
        <f t="shared" si="19"/>
        <v>3.561480210907652E-2</v>
      </c>
    </row>
    <row r="62" spans="1:77" x14ac:dyDescent="0.3">
      <c r="A62" s="1">
        <v>46112</v>
      </c>
      <c r="B62" s="15">
        <v>70.03</v>
      </c>
      <c r="C62" s="15">
        <v>81.98</v>
      </c>
      <c r="D62" s="11">
        <v>1.00007151702508E-3</v>
      </c>
      <c r="E62" s="11">
        <v>1.2205542831028699E-3</v>
      </c>
      <c r="F62" s="15">
        <v>0</v>
      </c>
      <c r="G62" s="15">
        <v>0.28749999999999998</v>
      </c>
      <c r="H62" s="15">
        <v>0</v>
      </c>
      <c r="I62" s="15">
        <v>0.45490000000000003</v>
      </c>
      <c r="J62" s="15">
        <v>0</v>
      </c>
      <c r="K62" s="15">
        <v>0</v>
      </c>
      <c r="L62" s="15">
        <v>70.03</v>
      </c>
      <c r="M62" s="15">
        <v>81.98</v>
      </c>
      <c r="N62" s="16">
        <v>1.17064115379123</v>
      </c>
      <c r="O62" s="16">
        <v>1.16233556709835</v>
      </c>
      <c r="P62" s="16">
        <v>1.17074692762049</v>
      </c>
      <c r="Q62" s="16">
        <v>1.1688999358243499</v>
      </c>
      <c r="R62" s="15">
        <v>81.398359763897503</v>
      </c>
      <c r="S62" s="15">
        <v>81.994609997232303</v>
      </c>
      <c r="T62" s="15">
        <v>81.830379892474198</v>
      </c>
      <c r="U62" s="11">
        <v>-7.1201925913857997E-3</v>
      </c>
      <c r="V62" s="11">
        <v>1.7819828656696099E-4</v>
      </c>
      <c r="W62" s="11">
        <v>-1.8267480880143599E-3</v>
      </c>
      <c r="X62" s="16">
        <v>1.17064115379123</v>
      </c>
      <c r="Y62" s="16">
        <v>1.16233556709835</v>
      </c>
      <c r="Z62" s="16">
        <v>1.17074692762049</v>
      </c>
      <c r="AA62" s="16">
        <v>1.1688999358243499</v>
      </c>
      <c r="AB62" s="15">
        <v>81.398359763897503</v>
      </c>
      <c r="AC62" s="15">
        <v>81.994609997232303</v>
      </c>
      <c r="AD62" s="15">
        <v>81.830379892474198</v>
      </c>
      <c r="AE62" s="11">
        <v>-7.1201925913857997E-3</v>
      </c>
      <c r="AF62" s="11">
        <v>1.7819828656696099E-4</v>
      </c>
      <c r="AG62" s="11">
        <v>-1.8267480880143599E-3</v>
      </c>
      <c r="AZ62" s="11"/>
      <c r="BB62">
        <f t="shared" si="2"/>
        <v>0</v>
      </c>
      <c r="BC62">
        <f t="shared" si="3"/>
        <v>0</v>
      </c>
      <c r="BD62">
        <f t="shared" si="4"/>
        <v>1</v>
      </c>
      <c r="BE62">
        <f t="shared" si="0"/>
        <v>1</v>
      </c>
      <c r="BF62">
        <f t="shared" si="5"/>
        <v>1</v>
      </c>
      <c r="BG62" s="11">
        <f t="shared" si="6"/>
        <v>1.00007151702508E-3</v>
      </c>
      <c r="BH62" s="11">
        <f t="shared" si="7"/>
        <v>-1.2205542831028699E-3</v>
      </c>
      <c r="BI62" s="11">
        <f t="shared" si="8"/>
        <v>-2.2048276607778989E-4</v>
      </c>
      <c r="BJ62" s="6">
        <f t="shared" si="9"/>
        <v>2.2296916958396893E-2</v>
      </c>
      <c r="BL62" s="11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11">
        <f t="shared" si="14"/>
        <v>0</v>
      </c>
      <c r="BT62" s="11">
        <f t="shared" si="15"/>
        <v>0</v>
      </c>
      <c r="BU62" s="11">
        <f t="shared" si="16"/>
        <v>0</v>
      </c>
      <c r="BV62" s="6">
        <f t="shared" si="17"/>
        <v>1.3097402384601844E-2</v>
      </c>
      <c r="BX62" s="6">
        <f t="shared" si="18"/>
        <v>-2.2048276607778989E-4</v>
      </c>
      <c r="BY62" s="6">
        <f t="shared" si="19"/>
        <v>3.5394319342998727E-2</v>
      </c>
    </row>
    <row r="63" spans="1:77" x14ac:dyDescent="0.3">
      <c r="A63" s="1">
        <v>46113</v>
      </c>
      <c r="B63" s="15">
        <v>69.569999999999993</v>
      </c>
      <c r="C63" s="15">
        <v>81.459999999999994</v>
      </c>
      <c r="D63" s="11">
        <v>-6.59028173187645E-3</v>
      </c>
      <c r="E63" s="11">
        <v>-6.3632128559251502E-3</v>
      </c>
      <c r="F63" s="15">
        <v>0</v>
      </c>
      <c r="G63" s="15">
        <v>0.28749999999999998</v>
      </c>
      <c r="H63" s="15">
        <v>0</v>
      </c>
      <c r="I63" s="15">
        <v>0.45490000000000003</v>
      </c>
      <c r="J63" s="15">
        <v>0</v>
      </c>
      <c r="K63" s="15">
        <v>0</v>
      </c>
      <c r="L63" s="15">
        <v>69.569999999999993</v>
      </c>
      <c r="M63" s="15">
        <v>81.459999999999994</v>
      </c>
      <c r="N63" s="16">
        <v>1.1709070001437401</v>
      </c>
      <c r="O63" s="16">
        <v>1.16233556709835</v>
      </c>
      <c r="P63" s="16">
        <v>1.17056786745323</v>
      </c>
      <c r="Q63" s="16">
        <v>1.1691988276652701</v>
      </c>
      <c r="R63" s="15">
        <v>80.863685403032306</v>
      </c>
      <c r="S63" s="15">
        <v>81.448863754557905</v>
      </c>
      <c r="T63" s="15">
        <v>81.320368535300005</v>
      </c>
      <c r="U63" s="11">
        <v>-7.3472614673372799E-3</v>
      </c>
      <c r="V63" s="11">
        <v>-1.3671748980103899E-4</v>
      </c>
      <c r="W63" s="11">
        <v>-1.7155815557307499E-3</v>
      </c>
      <c r="X63" s="16">
        <v>1.1709070001437401</v>
      </c>
      <c r="Y63" s="16">
        <v>1.16233556709835</v>
      </c>
      <c r="Z63" s="16">
        <v>1.17056786745323</v>
      </c>
      <c r="AA63" s="16">
        <v>1.1691988276652701</v>
      </c>
      <c r="AB63" s="15">
        <v>80.863685403032306</v>
      </c>
      <c r="AC63" s="15">
        <v>81.448863754557905</v>
      </c>
      <c r="AD63" s="15">
        <v>81.320368535300005</v>
      </c>
      <c r="AE63" s="11">
        <v>-7.3472614673372799E-3</v>
      </c>
      <c r="AF63" s="11">
        <v>-1.3671748980103899E-4</v>
      </c>
      <c r="AG63" s="11">
        <v>-1.7155815557307499E-3</v>
      </c>
      <c r="AZ63" s="11"/>
      <c r="BB63">
        <f t="shared" si="2"/>
        <v>0</v>
      </c>
      <c r="BC63">
        <f t="shared" si="3"/>
        <v>0</v>
      </c>
      <c r="BD63">
        <f t="shared" si="4"/>
        <v>1</v>
      </c>
      <c r="BE63">
        <f t="shared" si="0"/>
        <v>1</v>
      </c>
      <c r="BF63">
        <f t="shared" si="5"/>
        <v>1</v>
      </c>
      <c r="BG63" s="11">
        <f t="shared" si="6"/>
        <v>-6.59028173187645E-3</v>
      </c>
      <c r="BH63" s="11">
        <f t="shared" si="7"/>
        <v>6.3632128559251502E-3</v>
      </c>
      <c r="BI63" s="11">
        <f t="shared" si="8"/>
        <v>-2.2706887595129975E-4</v>
      </c>
      <c r="BJ63" s="6">
        <f t="shared" si="9"/>
        <v>2.2069848082445595E-2</v>
      </c>
      <c r="BL63" s="11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11">
        <f t="shared" si="14"/>
        <v>0</v>
      </c>
      <c r="BT63" s="11">
        <f t="shared" si="15"/>
        <v>0</v>
      </c>
      <c r="BU63" s="11">
        <f t="shared" si="16"/>
        <v>0</v>
      </c>
      <c r="BV63" s="6">
        <f t="shared" si="17"/>
        <v>1.3097402384601844E-2</v>
      </c>
      <c r="BX63" s="6">
        <f t="shared" si="18"/>
        <v>-2.2706887595129975E-4</v>
      </c>
      <c r="BY63" s="6">
        <f t="shared" si="19"/>
        <v>3.5167250467047426E-2</v>
      </c>
    </row>
    <row r="64" spans="1:77" x14ac:dyDescent="0.3">
      <c r="A64" s="1">
        <v>46114</v>
      </c>
      <c r="B64" s="15">
        <v>69.95</v>
      </c>
      <c r="C64" s="15">
        <v>81.89</v>
      </c>
      <c r="D64" s="11">
        <v>5.4472611759402503E-3</v>
      </c>
      <c r="E64" s="11">
        <v>5.2647810618303599E-3</v>
      </c>
      <c r="F64" s="15">
        <v>0</v>
      </c>
      <c r="G64" s="15">
        <v>0.28749999999999998</v>
      </c>
      <c r="H64" s="15">
        <v>0</v>
      </c>
      <c r="I64" s="15">
        <v>0.45490000000000003</v>
      </c>
      <c r="J64" s="15">
        <v>0</v>
      </c>
      <c r="K64" s="15">
        <v>0</v>
      </c>
      <c r="L64" s="15">
        <v>69.95</v>
      </c>
      <c r="M64" s="15">
        <v>81.89</v>
      </c>
      <c r="N64" s="16">
        <v>1.17069335239456</v>
      </c>
      <c r="O64" s="16">
        <v>1.16233556709835</v>
      </c>
      <c r="P64" s="16">
        <v>1.1704367451576501</v>
      </c>
      <c r="Q64" s="16">
        <v>1.1694013002296799</v>
      </c>
      <c r="R64" s="15">
        <v>81.305372918529699</v>
      </c>
      <c r="S64" s="15">
        <v>81.881222328353601</v>
      </c>
      <c r="T64" s="15">
        <v>81.785457995185695</v>
      </c>
      <c r="U64" s="11">
        <v>-7.1647813532272299E-3</v>
      </c>
      <c r="V64" s="11">
        <v>-1.07194310819641E-4</v>
      </c>
      <c r="W64" s="11">
        <v>-1.2774305972434001E-3</v>
      </c>
      <c r="X64" s="16">
        <v>1.17069335239456</v>
      </c>
      <c r="Y64" s="16">
        <v>1.16233556709835</v>
      </c>
      <c r="Z64" s="16">
        <v>1.1704367451576501</v>
      </c>
      <c r="AA64" s="16">
        <v>1.1694013002296799</v>
      </c>
      <c r="AB64" s="15">
        <v>81.305372918529699</v>
      </c>
      <c r="AC64" s="15">
        <v>81.881222328353601</v>
      </c>
      <c r="AD64" s="15">
        <v>81.785457995185695</v>
      </c>
      <c r="AE64" s="11">
        <v>-7.1647813532272299E-3</v>
      </c>
      <c r="AF64" s="11">
        <v>-1.07194310819641E-4</v>
      </c>
      <c r="AG64" s="11">
        <v>-1.2774305972434001E-3</v>
      </c>
      <c r="AZ64" s="11"/>
      <c r="BB64">
        <f t="shared" si="2"/>
        <v>0</v>
      </c>
      <c r="BC64">
        <f t="shared" si="3"/>
        <v>0</v>
      </c>
      <c r="BD64">
        <f t="shared" si="4"/>
        <v>1</v>
      </c>
      <c r="BE64">
        <f t="shared" si="0"/>
        <v>1</v>
      </c>
      <c r="BF64">
        <f t="shared" si="5"/>
        <v>1</v>
      </c>
      <c r="BG64" s="11">
        <f t="shared" si="6"/>
        <v>5.4472611759402503E-3</v>
      </c>
      <c r="BH64" s="11">
        <f t="shared" si="7"/>
        <v>-5.2647810618303599E-3</v>
      </c>
      <c r="BI64" s="11">
        <f t="shared" si="8"/>
        <v>1.8248011410989043E-4</v>
      </c>
      <c r="BJ64" s="6">
        <f t="shared" si="9"/>
        <v>2.2252328196555485E-2</v>
      </c>
      <c r="BL64" s="11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11">
        <f t="shared" si="14"/>
        <v>0</v>
      </c>
      <c r="BT64" s="11">
        <f t="shared" si="15"/>
        <v>0</v>
      </c>
      <c r="BU64" s="11">
        <f t="shared" si="16"/>
        <v>0</v>
      </c>
      <c r="BV64" s="6">
        <f t="shared" si="17"/>
        <v>1.3097402384601844E-2</v>
      </c>
      <c r="BX64" s="6">
        <f t="shared" si="18"/>
        <v>1.8248011410989043E-4</v>
      </c>
      <c r="BY64" s="6">
        <f t="shared" si="19"/>
        <v>3.5349730581157313E-2</v>
      </c>
    </row>
    <row r="65" spans="1:77" x14ac:dyDescent="0.3">
      <c r="A65" s="1">
        <v>46118</v>
      </c>
      <c r="B65" s="15">
        <v>70.25</v>
      </c>
      <c r="C65" s="15">
        <v>82.66</v>
      </c>
      <c r="D65" s="11">
        <v>4.2796071023649997E-3</v>
      </c>
      <c r="E65" s="11">
        <v>9.3589258014894709E-3</v>
      </c>
      <c r="F65" s="15">
        <v>0</v>
      </c>
      <c r="G65" s="15">
        <v>0.28749999999999998</v>
      </c>
      <c r="H65" s="15">
        <v>0</v>
      </c>
      <c r="I65" s="15">
        <v>0.45490000000000003</v>
      </c>
      <c r="J65" s="15">
        <v>0</v>
      </c>
      <c r="K65" s="15">
        <v>0</v>
      </c>
      <c r="L65" s="15">
        <v>70.25</v>
      </c>
      <c r="M65" s="15">
        <v>82.66</v>
      </c>
      <c r="N65" s="16">
        <v>1.1766548042704601</v>
      </c>
      <c r="O65" s="16">
        <v>1.16233556709835</v>
      </c>
      <c r="P65" s="16">
        <v>1.17073289263639</v>
      </c>
      <c r="Q65" s="16">
        <v>1.1696731447577799</v>
      </c>
      <c r="R65" s="15">
        <v>81.654073588659202</v>
      </c>
      <c r="S65" s="15">
        <v>82.223181347325493</v>
      </c>
      <c r="T65" s="15">
        <v>82.150441341134993</v>
      </c>
      <c r="U65" s="11">
        <v>-1.22441000523516E-2</v>
      </c>
      <c r="V65" s="11">
        <v>-5.2985352545857302E-3</v>
      </c>
      <c r="W65" s="11">
        <v>-6.1835922333038302E-3</v>
      </c>
      <c r="X65" s="16">
        <v>1.1766548042704601</v>
      </c>
      <c r="Y65" s="16">
        <v>1.16233556709835</v>
      </c>
      <c r="Z65" s="16">
        <v>1.17073289263639</v>
      </c>
      <c r="AA65" s="16">
        <v>1.1696731447577799</v>
      </c>
      <c r="AB65" s="15">
        <v>81.654073588659202</v>
      </c>
      <c r="AC65" s="15">
        <v>82.223181347325493</v>
      </c>
      <c r="AD65" s="15">
        <v>82.150441341134993</v>
      </c>
      <c r="AE65" s="11">
        <v>-1.22441000523516E-2</v>
      </c>
      <c r="AF65" s="11">
        <v>-5.2985352545857302E-3</v>
      </c>
      <c r="AG65" s="11">
        <v>-6.1835922333038302E-3</v>
      </c>
      <c r="AZ65" s="11"/>
      <c r="BB65">
        <f t="shared" si="2"/>
        <v>1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11">
        <f t="shared" si="6"/>
        <v>4.2796071023649997E-3</v>
      </c>
      <c r="BH65" s="11">
        <f t="shared" si="7"/>
        <v>-9.3589258014894709E-3</v>
      </c>
      <c r="BI65" s="11">
        <f t="shared" si="8"/>
        <v>-5.0793186991244712E-3</v>
      </c>
      <c r="BJ65" s="6">
        <f t="shared" si="9"/>
        <v>1.7173009497431016E-2</v>
      </c>
      <c r="BL65" s="11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11">
        <f t="shared" si="14"/>
        <v>0</v>
      </c>
      <c r="BT65" s="11">
        <f t="shared" si="15"/>
        <v>0</v>
      </c>
      <c r="BU65" s="11">
        <f t="shared" si="16"/>
        <v>0</v>
      </c>
      <c r="BV65" s="6">
        <f t="shared" si="17"/>
        <v>1.3097402384601844E-2</v>
      </c>
      <c r="BX65" s="6">
        <f t="shared" si="18"/>
        <v>-5.0793186991244712E-3</v>
      </c>
      <c r="BY65" s="6">
        <f t="shared" si="19"/>
        <v>3.027041188203284E-2</v>
      </c>
    </row>
    <row r="66" spans="1:77" x14ac:dyDescent="0.3">
      <c r="A66" s="1">
        <v>46119</v>
      </c>
      <c r="B66" s="15">
        <v>69.56</v>
      </c>
      <c r="C66" s="15">
        <v>81.260000000000005</v>
      </c>
      <c r="D66" s="11">
        <v>-9.8706187277727703E-3</v>
      </c>
      <c r="E66" s="11">
        <v>-1.70819185240054E-2</v>
      </c>
      <c r="F66" s="15">
        <v>0</v>
      </c>
      <c r="G66" s="15">
        <v>0.28749999999999998</v>
      </c>
      <c r="H66" s="15">
        <v>0</v>
      </c>
      <c r="I66" s="15">
        <v>0.45490000000000003</v>
      </c>
      <c r="J66" s="15">
        <v>0</v>
      </c>
      <c r="K66" s="15">
        <v>0</v>
      </c>
      <c r="L66" s="15">
        <v>69.56</v>
      </c>
      <c r="M66" s="15">
        <v>81.260000000000005</v>
      </c>
      <c r="N66" s="16">
        <v>1.1682001150086201</v>
      </c>
      <c r="O66" s="16">
        <v>1.16233556709835</v>
      </c>
      <c r="P66" s="16">
        <v>1.1706293840450701</v>
      </c>
      <c r="Q66" s="16">
        <v>1.16973511195792</v>
      </c>
      <c r="R66" s="15">
        <v>80.852062047361301</v>
      </c>
      <c r="S66" s="15">
        <v>81.436180011787599</v>
      </c>
      <c r="T66" s="15">
        <v>81.362463949351493</v>
      </c>
      <c r="U66" s="11">
        <v>-5.0328002561191697E-3</v>
      </c>
      <c r="V66" s="11">
        <v>2.1657555898259399E-3</v>
      </c>
      <c r="W66" s="11">
        <v>1.26014525204302E-3</v>
      </c>
      <c r="X66" s="16">
        <v>1.1682001150086201</v>
      </c>
      <c r="Y66" s="16">
        <v>1.16233556709835</v>
      </c>
      <c r="Z66" s="16">
        <v>1.1706293840450701</v>
      </c>
      <c r="AA66" s="16">
        <v>1.16973511195792</v>
      </c>
      <c r="AB66" s="15">
        <v>80.852062047361301</v>
      </c>
      <c r="AC66" s="15">
        <v>81.436180011787599</v>
      </c>
      <c r="AD66" s="15">
        <v>81.362463949351493</v>
      </c>
      <c r="AE66" s="11">
        <v>-5.0328002561191697E-3</v>
      </c>
      <c r="AF66" s="11">
        <v>2.1657555898259399E-3</v>
      </c>
      <c r="AG66" s="11">
        <v>1.26014525204302E-3</v>
      </c>
      <c r="AZ66" s="11"/>
      <c r="BB66">
        <f t="shared" si="2"/>
        <v>0</v>
      </c>
      <c r="BC66">
        <f t="shared" si="3"/>
        <v>1</v>
      </c>
      <c r="BD66">
        <f t="shared" si="4"/>
        <v>1</v>
      </c>
      <c r="BE66">
        <f t="shared" si="0"/>
        <v>1</v>
      </c>
      <c r="BF66">
        <f t="shared" si="5"/>
        <v>1</v>
      </c>
      <c r="BG66" s="11">
        <f t="shared" si="6"/>
        <v>-9.8706187277727703E-3</v>
      </c>
      <c r="BH66" s="11">
        <f t="shared" si="7"/>
        <v>1.70819185240054E-2</v>
      </c>
      <c r="BI66" s="11">
        <f t="shared" si="8"/>
        <v>7.2112997962326293E-3</v>
      </c>
      <c r="BJ66" s="6">
        <f t="shared" si="9"/>
        <v>2.4384309293663645E-2</v>
      </c>
      <c r="BL66" s="11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11">
        <f t="shared" si="14"/>
        <v>0</v>
      </c>
      <c r="BT66" s="11">
        <f t="shared" si="15"/>
        <v>0</v>
      </c>
      <c r="BU66" s="11">
        <f t="shared" si="16"/>
        <v>0</v>
      </c>
      <c r="BV66" s="6">
        <f t="shared" si="17"/>
        <v>1.3097402384601844E-2</v>
      </c>
      <c r="BX66" s="6">
        <f t="shared" si="18"/>
        <v>7.2112997962326293E-3</v>
      </c>
      <c r="BY66" s="6">
        <f t="shared" si="19"/>
        <v>3.7481711678265472E-2</v>
      </c>
    </row>
    <row r="67" spans="1:77" x14ac:dyDescent="0.3">
      <c r="A67" s="1">
        <v>46120</v>
      </c>
      <c r="B67" s="15">
        <v>70.67</v>
      </c>
      <c r="C67" s="15">
        <v>82.78</v>
      </c>
      <c r="D67" s="11">
        <v>1.58314652166806E-2</v>
      </c>
      <c r="E67" s="11">
        <v>1.8532595761005601E-2</v>
      </c>
      <c r="F67" s="15">
        <v>0</v>
      </c>
      <c r="G67" s="15">
        <v>0.28749999999999998</v>
      </c>
      <c r="H67" s="15">
        <v>0</v>
      </c>
      <c r="I67" s="15">
        <v>0.45490000000000003</v>
      </c>
      <c r="J67" s="15">
        <v>0</v>
      </c>
      <c r="K67" s="15">
        <v>0</v>
      </c>
      <c r="L67" s="15">
        <v>70.67</v>
      </c>
      <c r="M67" s="15">
        <v>82.78</v>
      </c>
      <c r="N67" s="16">
        <v>1.1713598415169</v>
      </c>
      <c r="O67" s="16">
        <v>1.16233556709835</v>
      </c>
      <c r="P67" s="16">
        <v>1.1710099341964799</v>
      </c>
      <c r="Q67" s="16">
        <v>1.16986296222848</v>
      </c>
      <c r="R67" s="15">
        <v>82.142254526840503</v>
      </c>
      <c r="S67" s="15">
        <v>82.728378570465594</v>
      </c>
      <c r="T67" s="15">
        <v>82.665180362066494</v>
      </c>
      <c r="U67" s="11">
        <v>-7.7339308004440704E-3</v>
      </c>
      <c r="V67" s="11">
        <v>-6.2379236210394803E-4</v>
      </c>
      <c r="W67" s="11">
        <v>-1.3880084764773099E-3</v>
      </c>
      <c r="X67" s="16">
        <v>1.1713598415169</v>
      </c>
      <c r="Y67" s="16">
        <v>1.16233556709835</v>
      </c>
      <c r="Z67" s="16">
        <v>1.1710099341964799</v>
      </c>
      <c r="AA67" s="16">
        <v>1.16986296222848</v>
      </c>
      <c r="AB67" s="15">
        <v>82.142254526840503</v>
      </c>
      <c r="AC67" s="15">
        <v>82.728378570465594</v>
      </c>
      <c r="AD67" s="15">
        <v>82.665180362066494</v>
      </c>
      <c r="AE67" s="11">
        <v>-7.7339308004440704E-3</v>
      </c>
      <c r="AF67" s="11">
        <v>-6.2379236210394803E-4</v>
      </c>
      <c r="AG67" s="11">
        <v>-1.3880084764773099E-3</v>
      </c>
      <c r="AZ67" s="11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11">
        <f t="shared" si="6"/>
        <v>0</v>
      </c>
      <c r="BH67" s="11">
        <f t="shared" si="7"/>
        <v>0</v>
      </c>
      <c r="BI67" s="11">
        <f t="shared" si="8"/>
        <v>0</v>
      </c>
      <c r="BJ67" s="6">
        <f t="shared" si="9"/>
        <v>2.4384309293663645E-2</v>
      </c>
      <c r="BL67" s="11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11">
        <f t="shared" si="14"/>
        <v>0</v>
      </c>
      <c r="BT67" s="11">
        <f t="shared" si="15"/>
        <v>0</v>
      </c>
      <c r="BU67" s="11">
        <f t="shared" si="16"/>
        <v>0</v>
      </c>
      <c r="BV67" s="6">
        <f t="shared" si="17"/>
        <v>1.3097402384601844E-2</v>
      </c>
      <c r="BX67" s="6">
        <f t="shared" si="18"/>
        <v>0</v>
      </c>
      <c r="BY67" s="6">
        <f t="shared" si="19"/>
        <v>3.7481711678265472E-2</v>
      </c>
    </row>
    <row r="68" spans="1:77" x14ac:dyDescent="0.3">
      <c r="A68" s="1">
        <v>46121</v>
      </c>
      <c r="B68" s="15">
        <v>71.17</v>
      </c>
      <c r="C68" s="15">
        <v>83.45</v>
      </c>
      <c r="D68" s="11">
        <v>7.0502266084167898E-3</v>
      </c>
      <c r="E68" s="11">
        <v>8.0611637872576598E-3</v>
      </c>
      <c r="F68" s="15">
        <v>0</v>
      </c>
      <c r="G68" s="15">
        <v>0.28749999999999998</v>
      </c>
      <c r="H68" s="15">
        <v>0</v>
      </c>
      <c r="I68" s="15">
        <v>0.45490000000000003</v>
      </c>
      <c r="J68" s="15">
        <v>0</v>
      </c>
      <c r="K68" s="15">
        <v>0</v>
      </c>
      <c r="L68" s="15">
        <v>71.17</v>
      </c>
      <c r="M68" s="15">
        <v>83.45</v>
      </c>
      <c r="N68" s="16">
        <v>1.1725446114936</v>
      </c>
      <c r="O68" s="16">
        <v>1.16233556709835</v>
      </c>
      <c r="P68" s="16">
        <v>1.1715380599598999</v>
      </c>
      <c r="Q68" s="16">
        <v>1.1701844304651301</v>
      </c>
      <c r="R68" s="15">
        <v>82.723422310389694</v>
      </c>
      <c r="S68" s="15">
        <v>83.340777016763496</v>
      </c>
      <c r="T68" s="15">
        <v>83.259147021800899</v>
      </c>
      <c r="U68" s="11">
        <v>-8.7448679792849794E-3</v>
      </c>
      <c r="V68" s="11">
        <v>-1.30970070171344E-3</v>
      </c>
      <c r="W68" s="11">
        <v>-2.28965314726472E-3</v>
      </c>
      <c r="X68" s="16">
        <v>1.1725446114936</v>
      </c>
      <c r="Y68" s="16">
        <v>1.16233556709835</v>
      </c>
      <c r="Z68" s="16">
        <v>1.1715380599598999</v>
      </c>
      <c r="AA68" s="16">
        <v>1.1701844304651301</v>
      </c>
      <c r="AB68" s="15">
        <v>82.723422310389694</v>
      </c>
      <c r="AC68" s="15">
        <v>83.340777016763496</v>
      </c>
      <c r="AD68" s="15">
        <v>83.259147021800899</v>
      </c>
      <c r="AE68" s="11">
        <v>-8.7448679792849794E-3</v>
      </c>
      <c r="AF68" s="11">
        <v>-1.30970070171344E-3</v>
      </c>
      <c r="AG68" s="11">
        <v>-2.28965314726472E-3</v>
      </c>
      <c r="AZ68" s="11"/>
      <c r="BB68">
        <f t="shared" si="2"/>
        <v>0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11">
        <f t="shared" si="6"/>
        <v>0</v>
      </c>
      <c r="BH68" s="11">
        <f t="shared" si="7"/>
        <v>0</v>
      </c>
      <c r="BI68" s="11">
        <f t="shared" si="8"/>
        <v>0</v>
      </c>
      <c r="BJ68" s="6">
        <f t="shared" si="9"/>
        <v>2.4384309293663645E-2</v>
      </c>
      <c r="BL68" s="11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11">
        <f t="shared" si="14"/>
        <v>0</v>
      </c>
      <c r="BT68" s="11">
        <f t="shared" si="15"/>
        <v>0</v>
      </c>
      <c r="BU68" s="11">
        <f t="shared" si="16"/>
        <v>0</v>
      </c>
      <c r="BV68" s="6">
        <f t="shared" si="17"/>
        <v>1.3097402384601844E-2</v>
      </c>
      <c r="BX68" s="6">
        <f t="shared" si="18"/>
        <v>0</v>
      </c>
      <c r="BY68" s="6">
        <f t="shared" si="19"/>
        <v>3.7481711678265472E-2</v>
      </c>
    </row>
    <row r="69" spans="1:77" x14ac:dyDescent="0.3">
      <c r="A69" s="1">
        <v>46122</v>
      </c>
      <c r="B69" s="15">
        <v>70.67</v>
      </c>
      <c r="C69" s="15">
        <v>82.37</v>
      </c>
      <c r="D69" s="11">
        <v>-7.0502266084167603E-3</v>
      </c>
      <c r="E69" s="11">
        <v>-1.3026357154686599E-2</v>
      </c>
      <c r="F69" s="15">
        <v>0</v>
      </c>
      <c r="G69" s="15">
        <v>0.28749999999999998</v>
      </c>
      <c r="H69" s="15">
        <v>0</v>
      </c>
      <c r="I69" s="15">
        <v>0.45490000000000003</v>
      </c>
      <c r="J69" s="15">
        <v>0</v>
      </c>
      <c r="K69" s="15">
        <v>0</v>
      </c>
      <c r="L69" s="15">
        <v>70.67</v>
      </c>
      <c r="M69" s="15">
        <v>82.37</v>
      </c>
      <c r="N69" s="16">
        <v>1.16555822838545</v>
      </c>
      <c r="O69" s="16">
        <v>1.16233556709835</v>
      </c>
      <c r="P69" s="16">
        <v>1.1710256386778299</v>
      </c>
      <c r="Q69" s="16">
        <v>1.1702947086339199</v>
      </c>
      <c r="R69" s="15">
        <v>82.142254526840503</v>
      </c>
      <c r="S69" s="15">
        <v>82.792594697366397</v>
      </c>
      <c r="T69" s="15">
        <v>82.6969337009714</v>
      </c>
      <c r="U69" s="11">
        <v>-2.7687374330150902E-3</v>
      </c>
      <c r="V69" s="11">
        <v>5.11732841627282E-3</v>
      </c>
      <c r="W69" s="11">
        <v>3.9612310127018499E-3</v>
      </c>
      <c r="X69" s="16">
        <v>1.16555822838545</v>
      </c>
      <c r="Y69" s="16">
        <v>1.16233556709835</v>
      </c>
      <c r="Z69" s="16">
        <v>1.1710256386778299</v>
      </c>
      <c r="AA69" s="16">
        <v>1.1702947086339199</v>
      </c>
      <c r="AB69" s="15">
        <v>82.142254526840503</v>
      </c>
      <c r="AC69" s="15">
        <v>82.792594697366397</v>
      </c>
      <c r="AD69" s="15">
        <v>82.6969337009714</v>
      </c>
      <c r="AE69" s="11">
        <v>-2.7687374330150902E-3</v>
      </c>
      <c r="AF69" s="11">
        <v>5.11732841627282E-3</v>
      </c>
      <c r="AG69" s="11">
        <v>3.9612310127018499E-3</v>
      </c>
      <c r="AZ69" s="11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11">
        <f t="shared" si="6"/>
        <v>0</v>
      </c>
      <c r="BH69" s="11">
        <f t="shared" si="7"/>
        <v>0</v>
      </c>
      <c r="BI69" s="11">
        <f t="shared" si="8"/>
        <v>0</v>
      </c>
      <c r="BJ69" s="6">
        <f t="shared" si="9"/>
        <v>2.4384309293663645E-2</v>
      </c>
      <c r="BL69" s="11"/>
      <c r="BN69">
        <f t="shared" si="10"/>
        <v>1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11">
        <f t="shared" si="14"/>
        <v>0</v>
      </c>
      <c r="BT69" s="11">
        <f t="shared" si="15"/>
        <v>0</v>
      </c>
      <c r="BU69" s="11">
        <f t="shared" si="16"/>
        <v>0</v>
      </c>
      <c r="BV69" s="6">
        <f t="shared" si="17"/>
        <v>1.3097402384601844E-2</v>
      </c>
      <c r="BX69" s="6">
        <f t="shared" si="18"/>
        <v>0</v>
      </c>
      <c r="BY69" s="6">
        <f t="shared" si="19"/>
        <v>3.7481711678265472E-2</v>
      </c>
    </row>
    <row r="70" spans="1:77" x14ac:dyDescent="0.3">
      <c r="A70" s="1">
        <v>46125</v>
      </c>
      <c r="B70" s="15">
        <v>70.150000000000006</v>
      </c>
      <c r="C70" s="15">
        <v>81.55</v>
      </c>
      <c r="D70" s="11">
        <v>-7.3853481542929898E-3</v>
      </c>
      <c r="E70" s="11">
        <v>-1.00049638861345E-2</v>
      </c>
      <c r="F70" s="15">
        <v>0</v>
      </c>
      <c r="G70" s="15">
        <v>0.28749999999999998</v>
      </c>
      <c r="H70" s="15">
        <v>0</v>
      </c>
      <c r="I70" s="15">
        <v>0.45490000000000003</v>
      </c>
      <c r="J70" s="15">
        <v>0</v>
      </c>
      <c r="K70" s="15">
        <v>0</v>
      </c>
      <c r="L70" s="15">
        <v>70.150000000000006</v>
      </c>
      <c r="M70" s="15">
        <v>81.55</v>
      </c>
      <c r="N70" s="16">
        <v>1.1625089094796801</v>
      </c>
      <c r="O70" s="16">
        <v>1.16233556709835</v>
      </c>
      <c r="P70" s="16">
        <v>1.16994510925277</v>
      </c>
      <c r="Q70" s="16">
        <v>1.17019561102697</v>
      </c>
      <c r="R70" s="15">
        <v>81.537840031949401</v>
      </c>
      <c r="S70" s="15">
        <v>82.147448553249902</v>
      </c>
      <c r="T70" s="15">
        <v>82.096173810670095</v>
      </c>
      <c r="U70" s="11">
        <v>-1.49121701173423E-4</v>
      </c>
      <c r="V70" s="11">
        <v>7.2994565437917497E-3</v>
      </c>
      <c r="W70" s="11">
        <v>6.6750822940330997E-3</v>
      </c>
      <c r="X70" s="16">
        <v>1.1625089094796801</v>
      </c>
      <c r="Y70" s="16">
        <v>1.16233556709835</v>
      </c>
      <c r="Z70" s="16">
        <v>1.16994510925277</v>
      </c>
      <c r="AA70" s="16">
        <v>1.17019561102697</v>
      </c>
      <c r="AB70" s="15">
        <v>81.537840031949401</v>
      </c>
      <c r="AC70" s="15">
        <v>82.147448553249902</v>
      </c>
      <c r="AD70" s="15">
        <v>82.096173810670095</v>
      </c>
      <c r="AE70" s="11">
        <v>-1.49121701173423E-4</v>
      </c>
      <c r="AF70" s="11">
        <v>7.2994565437917497E-3</v>
      </c>
      <c r="AG70" s="11">
        <v>6.6750822940330997E-3</v>
      </c>
      <c r="AZ70" s="11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11">
        <f t="shared" si="6"/>
        <v>0</v>
      </c>
      <c r="BH70" s="11">
        <f t="shared" si="7"/>
        <v>0</v>
      </c>
      <c r="BI70" s="11">
        <f t="shared" si="8"/>
        <v>0</v>
      </c>
      <c r="BJ70" s="6">
        <f t="shared" si="9"/>
        <v>2.4384309293663645E-2</v>
      </c>
      <c r="BL70" s="11"/>
      <c r="BN70">
        <f t="shared" si="10"/>
        <v>1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11">
        <f t="shared" si="14"/>
        <v>7.3853481542929898E-3</v>
      </c>
      <c r="BT70" s="11">
        <f t="shared" si="15"/>
        <v>-1.00049638861345E-2</v>
      </c>
      <c r="BU70" s="11">
        <f t="shared" si="16"/>
        <v>-2.6196157318415098E-3</v>
      </c>
      <c r="BV70" s="6">
        <f t="shared" si="17"/>
        <v>1.0477786652760335E-2</v>
      </c>
      <c r="BX70" s="6">
        <f t="shared" si="18"/>
        <v>-2.6196157318415098E-3</v>
      </c>
      <c r="BY70" s="6">
        <f t="shared" si="19"/>
        <v>3.4862095946423963E-2</v>
      </c>
    </row>
    <row r="71" spans="1:77" x14ac:dyDescent="0.3">
      <c r="A71" s="1">
        <v>46126</v>
      </c>
      <c r="B71" s="15">
        <v>69.92</v>
      </c>
      <c r="C71" s="15">
        <v>81.47</v>
      </c>
      <c r="D71" s="11">
        <v>-3.28407520118999E-3</v>
      </c>
      <c r="E71" s="11">
        <v>-9.8147474447246108E-4</v>
      </c>
      <c r="F71" s="15">
        <v>0</v>
      </c>
      <c r="G71" s="15">
        <v>0.28749999999999998</v>
      </c>
      <c r="H71" s="15">
        <v>0</v>
      </c>
      <c r="I71" s="15">
        <v>0.45490000000000003</v>
      </c>
      <c r="J71" s="15">
        <v>0</v>
      </c>
      <c r="K71" s="15">
        <v>0</v>
      </c>
      <c r="L71" s="15">
        <v>69.92</v>
      </c>
      <c r="M71" s="15">
        <v>81.47</v>
      </c>
      <c r="N71" s="16">
        <v>1.1651887871853499</v>
      </c>
      <c r="O71" s="16">
        <v>1.16233556709835</v>
      </c>
      <c r="P71" s="16">
        <v>1.16942568036696</v>
      </c>
      <c r="Q71" s="16">
        <v>1.17013772949686</v>
      </c>
      <c r="R71" s="15">
        <v>81.270502851516696</v>
      </c>
      <c r="S71" s="15">
        <v>81.802562038953894</v>
      </c>
      <c r="T71" s="15">
        <v>81.820077123005902</v>
      </c>
      <c r="U71" s="11">
        <v>-2.45172215789105E-3</v>
      </c>
      <c r="V71" s="11">
        <v>4.0737095652739804E-3</v>
      </c>
      <c r="W71" s="11">
        <v>4.2878007718290499E-3</v>
      </c>
      <c r="X71" s="16">
        <v>1.1651887871853499</v>
      </c>
      <c r="Y71" s="16">
        <v>1.16233556709835</v>
      </c>
      <c r="Z71" s="16">
        <v>1.16942568036696</v>
      </c>
      <c r="AA71" s="16">
        <v>1.17013772949686</v>
      </c>
      <c r="AB71" s="15">
        <v>81.270502851516696</v>
      </c>
      <c r="AC71" s="15">
        <v>81.802562038953894</v>
      </c>
      <c r="AD71" s="15">
        <v>81.820077123005902</v>
      </c>
      <c r="AE71" s="11">
        <v>-2.45172215789105E-3</v>
      </c>
      <c r="AF71" s="11">
        <v>4.0737095652739804E-3</v>
      </c>
      <c r="AG71" s="11">
        <v>4.2878007718290499E-3</v>
      </c>
      <c r="AZ71" s="11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11">
        <f t="shared" si="6"/>
        <v>0</v>
      </c>
      <c r="BH71" s="11">
        <f t="shared" si="7"/>
        <v>0</v>
      </c>
      <c r="BI71" s="11">
        <f t="shared" si="8"/>
        <v>0</v>
      </c>
      <c r="BJ71" s="6">
        <f t="shared" si="9"/>
        <v>2.4384309293663645E-2</v>
      </c>
      <c r="BL71" s="11"/>
      <c r="BN71">
        <f t="shared" si="10"/>
        <v>1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11">
        <f t="shared" si="14"/>
        <v>3.28407520118999E-3</v>
      </c>
      <c r="BT71" s="11">
        <f t="shared" si="15"/>
        <v>-9.8147474447246108E-4</v>
      </c>
      <c r="BU71" s="11">
        <f t="shared" si="16"/>
        <v>2.3026004567175289E-3</v>
      </c>
      <c r="BV71" s="6">
        <f t="shared" si="17"/>
        <v>1.2780387109477863E-2</v>
      </c>
      <c r="BX71" s="6">
        <f t="shared" si="18"/>
        <v>2.3026004567175289E-3</v>
      </c>
      <c r="BY71" s="6">
        <f t="shared" si="19"/>
        <v>3.7164696403141489E-2</v>
      </c>
    </row>
    <row r="72" spans="1:77" x14ac:dyDescent="0.3">
      <c r="A72" s="1">
        <v>46127</v>
      </c>
      <c r="B72" s="15">
        <v>69.22</v>
      </c>
      <c r="C72" s="15">
        <v>81.06</v>
      </c>
      <c r="D72" s="11">
        <v>-1.0061893140081799E-2</v>
      </c>
      <c r="E72" s="11">
        <v>-5.0452331223879102E-3</v>
      </c>
      <c r="F72" s="15">
        <v>0</v>
      </c>
      <c r="G72" s="15">
        <v>0.28749999999999998</v>
      </c>
      <c r="H72" s="15">
        <v>0</v>
      </c>
      <c r="I72" s="15">
        <v>0.45490000000000003</v>
      </c>
      <c r="J72" s="15">
        <v>0</v>
      </c>
      <c r="K72" s="15">
        <v>0</v>
      </c>
      <c r="L72" s="15">
        <v>69.22</v>
      </c>
      <c r="M72" s="15">
        <v>81.06</v>
      </c>
      <c r="N72" s="16">
        <v>1.17104882981797</v>
      </c>
      <c r="O72" s="16">
        <v>1.16233556709835</v>
      </c>
      <c r="P72" s="16">
        <v>1.16946644796963</v>
      </c>
      <c r="Q72" s="16">
        <v>1.1701066877950601</v>
      </c>
      <c r="R72" s="15">
        <v>80.456867954547903</v>
      </c>
      <c r="S72" s="15">
        <v>80.947645595001205</v>
      </c>
      <c r="T72" s="15">
        <v>80.996933635772905</v>
      </c>
      <c r="U72" s="11">
        <v>-7.4683821755849797E-3</v>
      </c>
      <c r="V72" s="11">
        <v>-1.38702618137298E-3</v>
      </c>
      <c r="W72" s="11">
        <v>-7.7832359277532897E-4</v>
      </c>
      <c r="X72" s="16">
        <v>1.17104882981797</v>
      </c>
      <c r="Y72" s="16">
        <v>1.16233556709835</v>
      </c>
      <c r="Z72" s="16">
        <v>1.16946644796963</v>
      </c>
      <c r="AA72" s="16">
        <v>1.1701066877950601</v>
      </c>
      <c r="AB72" s="15">
        <v>80.456867954547903</v>
      </c>
      <c r="AC72" s="15">
        <v>80.947645595001205</v>
      </c>
      <c r="AD72" s="15">
        <v>80.996933635772905</v>
      </c>
      <c r="AE72" s="11">
        <v>-7.4683821755849797E-3</v>
      </c>
      <c r="AF72" s="11">
        <v>-1.38702618137298E-3</v>
      </c>
      <c r="AG72" s="11">
        <v>-7.7832359277532897E-4</v>
      </c>
      <c r="AZ72" s="11"/>
      <c r="BB72">
        <f t="shared" si="2"/>
        <v>0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11">
        <f t="shared" si="6"/>
        <v>0</v>
      </c>
      <c r="BH72" s="11">
        <f t="shared" si="7"/>
        <v>0</v>
      </c>
      <c r="BI72" s="11">
        <f t="shared" si="8"/>
        <v>0</v>
      </c>
      <c r="BJ72" s="6">
        <f t="shared" si="9"/>
        <v>2.4384309293663645E-2</v>
      </c>
      <c r="BL72" s="11"/>
      <c r="BN72">
        <f t="shared" si="10"/>
        <v>0</v>
      </c>
      <c r="BO72">
        <f t="shared" si="11"/>
        <v>1</v>
      </c>
      <c r="BP72">
        <f t="shared" si="12"/>
        <v>1</v>
      </c>
      <c r="BQ72">
        <f t="shared" si="1"/>
        <v>1</v>
      </c>
      <c r="BR72">
        <f t="shared" si="13"/>
        <v>1</v>
      </c>
      <c r="BS72" s="11">
        <f t="shared" si="14"/>
        <v>1.0061893140081799E-2</v>
      </c>
      <c r="BT72" s="11">
        <f t="shared" si="15"/>
        <v>-5.0452331223879102E-3</v>
      </c>
      <c r="BU72" s="11">
        <f t="shared" si="16"/>
        <v>5.0166600176938889E-3</v>
      </c>
      <c r="BV72" s="6">
        <f t="shared" si="17"/>
        <v>1.7797047127171752E-2</v>
      </c>
      <c r="BX72" s="6">
        <f t="shared" si="18"/>
        <v>5.0166600176938889E-3</v>
      </c>
      <c r="BY72" s="6">
        <f t="shared" si="19"/>
        <v>4.2181356420835377E-2</v>
      </c>
    </row>
    <row r="73" spans="1:77" x14ac:dyDescent="0.3">
      <c r="A73" s="1">
        <v>46128</v>
      </c>
      <c r="B73" s="15">
        <v>69.599999999999994</v>
      </c>
      <c r="C73" s="15">
        <v>81.430000000000007</v>
      </c>
      <c r="D73" s="11">
        <v>5.4747291331757502E-3</v>
      </c>
      <c r="E73" s="11">
        <v>4.5541342788774598E-3</v>
      </c>
      <c r="F73" s="15">
        <v>0</v>
      </c>
      <c r="G73" s="15">
        <v>0.28749999999999998</v>
      </c>
      <c r="H73" s="15">
        <v>0</v>
      </c>
      <c r="I73" s="15">
        <v>0.45490000000000003</v>
      </c>
      <c r="J73" s="15">
        <v>0</v>
      </c>
      <c r="K73" s="15">
        <v>0</v>
      </c>
      <c r="L73" s="15">
        <v>69.599999999999994</v>
      </c>
      <c r="M73" s="15">
        <v>81.430000000000007</v>
      </c>
      <c r="N73" s="16">
        <v>1.16997126436781</v>
      </c>
      <c r="O73" s="16">
        <v>1.16233556709835</v>
      </c>
      <c r="P73" s="16">
        <v>1.16937287439204</v>
      </c>
      <c r="Q73" s="16">
        <v>1.1699703709226299</v>
      </c>
      <c r="R73" s="15">
        <v>80.898555470045295</v>
      </c>
      <c r="S73" s="15">
        <v>81.394864778686696</v>
      </c>
      <c r="T73" s="15">
        <v>81.439425470536605</v>
      </c>
      <c r="U73" s="11">
        <v>-6.5477873212866702E-3</v>
      </c>
      <c r="V73" s="11">
        <v>-4.31570717486191E-4</v>
      </c>
      <c r="W73" s="11">
        <v>1.15742663424372E-4</v>
      </c>
      <c r="X73" s="16">
        <v>1.16997126436781</v>
      </c>
      <c r="Y73" s="16">
        <v>1.16233556709835</v>
      </c>
      <c r="Z73" s="16">
        <v>1.16937287439204</v>
      </c>
      <c r="AA73" s="16">
        <v>1.1699703709226299</v>
      </c>
      <c r="AB73" s="15">
        <v>80.898555470045295</v>
      </c>
      <c r="AC73" s="15">
        <v>81.394864778686696</v>
      </c>
      <c r="AD73" s="15">
        <v>81.439425470536605</v>
      </c>
      <c r="AE73" s="11">
        <v>-6.5477873212866702E-3</v>
      </c>
      <c r="AF73" s="11">
        <v>-4.31570717486191E-4</v>
      </c>
      <c r="AG73" s="11">
        <v>1.15742663424372E-4</v>
      </c>
      <c r="AZ73" s="11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11">
        <f t="shared" si="6"/>
        <v>0</v>
      </c>
      <c r="BH73" s="11">
        <f t="shared" si="7"/>
        <v>0</v>
      </c>
      <c r="BI73" s="11">
        <f t="shared" si="8"/>
        <v>0</v>
      </c>
      <c r="BJ73" s="6">
        <f t="shared" si="9"/>
        <v>2.4384309293663645E-2</v>
      </c>
      <c r="BL73" s="11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11">
        <f t="shared" si="14"/>
        <v>0</v>
      </c>
      <c r="BT73" s="11">
        <f t="shared" si="15"/>
        <v>0</v>
      </c>
      <c r="BU73" s="11">
        <f t="shared" si="16"/>
        <v>0</v>
      </c>
      <c r="BV73" s="6">
        <f t="shared" si="17"/>
        <v>1.7797047127171752E-2</v>
      </c>
      <c r="BX73" s="6">
        <f t="shared" si="18"/>
        <v>0</v>
      </c>
      <c r="BY73" s="6">
        <f t="shared" si="19"/>
        <v>4.2181356420835377E-2</v>
      </c>
    </row>
    <row r="74" spans="1:77" x14ac:dyDescent="0.3">
      <c r="A74" s="1">
        <v>46129</v>
      </c>
      <c r="B74" s="15">
        <v>70.239999999999995</v>
      </c>
      <c r="C74" s="15">
        <v>82.46</v>
      </c>
      <c r="D74" s="11">
        <v>9.1533819864871996E-3</v>
      </c>
      <c r="E74" s="11">
        <v>1.2569571799713899E-2</v>
      </c>
      <c r="F74" s="15">
        <v>0</v>
      </c>
      <c r="G74" s="15">
        <v>0.28749999999999998</v>
      </c>
      <c r="H74" s="15">
        <v>0</v>
      </c>
      <c r="I74" s="15">
        <v>0.45490000000000003</v>
      </c>
      <c r="J74" s="15">
        <v>0</v>
      </c>
      <c r="K74" s="15">
        <v>0</v>
      </c>
      <c r="L74" s="15">
        <v>70.239999999999995</v>
      </c>
      <c r="M74" s="15">
        <v>82.46</v>
      </c>
      <c r="N74" s="16">
        <v>1.17397494305239</v>
      </c>
      <c r="O74" s="16">
        <v>1.16233556709835</v>
      </c>
      <c r="P74" s="16">
        <v>1.1697010334578199</v>
      </c>
      <c r="Q74" s="16">
        <v>1.17006888930774</v>
      </c>
      <c r="R74" s="15">
        <v>81.642450232988196</v>
      </c>
      <c r="S74" s="15">
        <v>82.136750697297202</v>
      </c>
      <c r="T74" s="15">
        <v>82.1787188536061</v>
      </c>
      <c r="U74" s="11">
        <v>-9.9639771345133802E-3</v>
      </c>
      <c r="V74" s="11">
        <v>-3.92777763727278E-3</v>
      </c>
      <c r="W74" s="11">
        <v>-3.4169534606303198E-3</v>
      </c>
      <c r="X74" s="16">
        <v>1.17397494305239</v>
      </c>
      <c r="Y74" s="16">
        <v>1.16233556709835</v>
      </c>
      <c r="Z74" s="16">
        <v>1.1697010334578199</v>
      </c>
      <c r="AA74" s="16">
        <v>1.17006888930774</v>
      </c>
      <c r="AB74" s="15">
        <v>81.642450232988196</v>
      </c>
      <c r="AC74" s="15">
        <v>82.136750697297202</v>
      </c>
      <c r="AD74" s="15">
        <v>82.1787188536061</v>
      </c>
      <c r="AE74" s="11">
        <v>-9.9639771345133802E-3</v>
      </c>
      <c r="AF74" s="11">
        <v>-3.92777763727278E-3</v>
      </c>
      <c r="AG74" s="11">
        <v>-3.4169534606303198E-3</v>
      </c>
      <c r="AZ74" s="11"/>
      <c r="BB74">
        <f t="shared" si="2"/>
        <v>1</v>
      </c>
      <c r="BC74">
        <f t="shared" si="3"/>
        <v>0</v>
      </c>
      <c r="BD74">
        <f t="shared" si="4"/>
        <v>0</v>
      </c>
      <c r="BE74">
        <f t="shared" si="0"/>
        <v>1</v>
      </c>
      <c r="BF74">
        <f t="shared" si="5"/>
        <v>0</v>
      </c>
      <c r="BG74" s="11">
        <f t="shared" si="6"/>
        <v>0</v>
      </c>
      <c r="BH74" s="11">
        <f t="shared" si="7"/>
        <v>0</v>
      </c>
      <c r="BI74" s="11">
        <f t="shared" si="8"/>
        <v>0</v>
      </c>
      <c r="BJ74" s="6">
        <f t="shared" si="9"/>
        <v>2.4384309293663645E-2</v>
      </c>
      <c r="BL74" s="11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11">
        <f t="shared" si="14"/>
        <v>0</v>
      </c>
      <c r="BT74" s="11">
        <f t="shared" si="15"/>
        <v>0</v>
      </c>
      <c r="BU74" s="11">
        <f t="shared" si="16"/>
        <v>0</v>
      </c>
      <c r="BV74" s="6">
        <f t="shared" si="17"/>
        <v>1.7797047127171752E-2</v>
      </c>
      <c r="BX74" s="6">
        <f t="shared" si="18"/>
        <v>0</v>
      </c>
      <c r="BY74" s="6">
        <f t="shared" si="19"/>
        <v>4.2181356420835377E-2</v>
      </c>
    </row>
    <row r="75" spans="1:77" x14ac:dyDescent="0.3">
      <c r="A75" s="1">
        <v>46132</v>
      </c>
      <c r="B75" s="15">
        <v>69.89</v>
      </c>
      <c r="C75" s="15">
        <v>82.39</v>
      </c>
      <c r="D75" s="11">
        <v>-4.9953718378235304E-3</v>
      </c>
      <c r="E75" s="11">
        <v>-8.4925695125524997E-4</v>
      </c>
      <c r="F75" s="15">
        <v>0</v>
      </c>
      <c r="G75" s="15">
        <v>0.28749999999999998</v>
      </c>
      <c r="H75" s="15">
        <v>0</v>
      </c>
      <c r="I75" s="15">
        <v>0.45490000000000003</v>
      </c>
      <c r="J75" s="15">
        <v>0</v>
      </c>
      <c r="K75" s="15">
        <v>0</v>
      </c>
      <c r="L75" s="15">
        <v>69.89</v>
      </c>
      <c r="M75" s="15">
        <v>82.39</v>
      </c>
      <c r="N75" s="16">
        <v>1.17885248247245</v>
      </c>
      <c r="O75" s="16">
        <v>1.16233556709835</v>
      </c>
      <c r="P75" s="16">
        <v>1.16992080127802</v>
      </c>
      <c r="Q75" s="16">
        <v>1.1703268469572099</v>
      </c>
      <c r="R75" s="15">
        <v>81.235632784503807</v>
      </c>
      <c r="S75" s="15">
        <v>81.750405228367597</v>
      </c>
      <c r="T75" s="15">
        <v>81.776114673718197</v>
      </c>
      <c r="U75" s="11">
        <v>-1.4110092021081599E-2</v>
      </c>
      <c r="V75" s="11">
        <v>-7.7933036404936196E-3</v>
      </c>
      <c r="W75" s="11">
        <v>-7.4788660119325502E-3</v>
      </c>
      <c r="X75" s="16">
        <v>1.17885248247245</v>
      </c>
      <c r="Y75" s="16">
        <v>1.16233556709835</v>
      </c>
      <c r="Z75" s="16">
        <v>1.16992080127802</v>
      </c>
      <c r="AA75" s="16">
        <v>1.1703268469572099</v>
      </c>
      <c r="AB75" s="15">
        <v>81.235632784503807</v>
      </c>
      <c r="AC75" s="15">
        <v>81.750405228367597</v>
      </c>
      <c r="AD75" s="15">
        <v>81.776114673718197</v>
      </c>
      <c r="AE75" s="11">
        <v>-1.4110092021081599E-2</v>
      </c>
      <c r="AF75" s="11">
        <v>-7.7933036404936196E-3</v>
      </c>
      <c r="AG75" s="11">
        <v>-7.4788660119325502E-3</v>
      </c>
      <c r="AZ75" s="11"/>
      <c r="BB75">
        <f t="shared" si="2"/>
        <v>1</v>
      </c>
      <c r="BC75">
        <f t="shared" si="3"/>
        <v>0</v>
      </c>
      <c r="BD75">
        <f t="shared" si="4"/>
        <v>1</v>
      </c>
      <c r="BE75">
        <f t="shared" si="0"/>
        <v>1</v>
      </c>
      <c r="BF75">
        <f t="shared" si="5"/>
        <v>1</v>
      </c>
      <c r="BG75" s="11">
        <f t="shared" si="6"/>
        <v>-4.9953718378235304E-3</v>
      </c>
      <c r="BH75" s="11">
        <f t="shared" si="7"/>
        <v>8.4925695125524997E-4</v>
      </c>
      <c r="BI75" s="11">
        <f t="shared" si="8"/>
        <v>-4.14611488656828E-3</v>
      </c>
      <c r="BJ75" s="6">
        <f t="shared" si="9"/>
        <v>2.0238194407095365E-2</v>
      </c>
      <c r="BL75" s="11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11">
        <f t="shared" si="14"/>
        <v>0</v>
      </c>
      <c r="BT75" s="11">
        <f t="shared" si="15"/>
        <v>0</v>
      </c>
      <c r="BU75" s="11">
        <f t="shared" si="16"/>
        <v>0</v>
      </c>
      <c r="BV75" s="6">
        <f t="shared" si="17"/>
        <v>1.7797047127171752E-2</v>
      </c>
      <c r="BX75" s="6">
        <f t="shared" si="18"/>
        <v>-4.14611488656828E-3</v>
      </c>
      <c r="BY75" s="6">
        <f t="shared" si="19"/>
        <v>3.80352415342671E-2</v>
      </c>
    </row>
    <row r="76" spans="1:77" x14ac:dyDescent="0.3">
      <c r="A76" s="1">
        <v>46133</v>
      </c>
      <c r="B76" s="15">
        <v>69.03</v>
      </c>
      <c r="C76" s="15">
        <v>81.84</v>
      </c>
      <c r="D76" s="11">
        <v>-1.2381384773653401E-2</v>
      </c>
      <c r="E76" s="11">
        <v>-6.6979486841275797E-3</v>
      </c>
      <c r="F76" s="15">
        <v>0</v>
      </c>
      <c r="G76" s="15">
        <v>0.28749999999999998</v>
      </c>
      <c r="H76" s="15">
        <v>0</v>
      </c>
      <c r="I76" s="15">
        <v>0.45490000000000003</v>
      </c>
      <c r="J76" s="15">
        <v>0</v>
      </c>
      <c r="K76" s="15">
        <v>0</v>
      </c>
      <c r="L76" s="15">
        <v>69.03</v>
      </c>
      <c r="M76" s="15">
        <v>81.84</v>
      </c>
      <c r="N76" s="16">
        <v>1.18557149065623</v>
      </c>
      <c r="O76" s="16">
        <v>1.16233556709835</v>
      </c>
      <c r="P76" s="16">
        <v>1.1716579388427799</v>
      </c>
      <c r="Q76" s="16">
        <v>1.1711436614439299</v>
      </c>
      <c r="R76" s="15">
        <v>80.236024196799207</v>
      </c>
      <c r="S76" s="15">
        <v>80.759632912222202</v>
      </c>
      <c r="T76" s="15">
        <v>80.787662245456204</v>
      </c>
      <c r="U76" s="11">
        <v>-1.9793528110607399E-2</v>
      </c>
      <c r="V76" s="11">
        <v>-1.3288873624837201E-2</v>
      </c>
      <c r="W76" s="11">
        <v>-1.29418627573637E-2</v>
      </c>
      <c r="X76" s="16">
        <v>1.18557149065623</v>
      </c>
      <c r="Y76" s="16">
        <v>1.16233556709835</v>
      </c>
      <c r="Z76" s="16">
        <v>1.1716579388427799</v>
      </c>
      <c r="AA76" s="16">
        <v>1.1711436614439299</v>
      </c>
      <c r="AB76" s="15">
        <v>80.236024196799207</v>
      </c>
      <c r="AC76" s="15">
        <v>80.759632912222202</v>
      </c>
      <c r="AD76" s="15">
        <v>80.787662245456204</v>
      </c>
      <c r="AE76" s="11">
        <v>-1.9793528110607399E-2</v>
      </c>
      <c r="AF76" s="11">
        <v>-1.3288873624837201E-2</v>
      </c>
      <c r="AG76" s="11">
        <v>-1.29418627573637E-2</v>
      </c>
      <c r="AZ76" s="11"/>
      <c r="BB76">
        <f t="shared" si="2"/>
        <v>1</v>
      </c>
      <c r="BC76">
        <f t="shared" si="3"/>
        <v>0</v>
      </c>
      <c r="BD76">
        <f t="shared" si="4"/>
        <v>1</v>
      </c>
      <c r="BE76">
        <f t="shared" si="0"/>
        <v>1</v>
      </c>
      <c r="BF76">
        <f t="shared" si="5"/>
        <v>1</v>
      </c>
      <c r="BG76" s="11">
        <f t="shared" si="6"/>
        <v>-1.2381384773653401E-2</v>
      </c>
      <c r="BH76" s="11">
        <f t="shared" si="7"/>
        <v>6.6979486841275797E-3</v>
      </c>
      <c r="BI76" s="11">
        <f t="shared" si="8"/>
        <v>-5.6834360895258208E-3</v>
      </c>
      <c r="BJ76" s="6">
        <f t="shared" si="9"/>
        <v>1.4554758317569545E-2</v>
      </c>
      <c r="BL76" s="11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11">
        <f t="shared" si="14"/>
        <v>0</v>
      </c>
      <c r="BT76" s="11">
        <f t="shared" si="15"/>
        <v>0</v>
      </c>
      <c r="BU76" s="11">
        <f t="shared" si="16"/>
        <v>0</v>
      </c>
      <c r="BV76" s="6">
        <f t="shared" si="17"/>
        <v>1.7797047127171752E-2</v>
      </c>
      <c r="BX76" s="6">
        <f t="shared" si="18"/>
        <v>-5.6834360895258208E-3</v>
      </c>
      <c r="BY76" s="6">
        <f t="shared" si="19"/>
        <v>3.2351805444741283E-2</v>
      </c>
    </row>
    <row r="77" spans="1:77" x14ac:dyDescent="0.3">
      <c r="A77" s="1">
        <v>46134</v>
      </c>
      <c r="B77" s="15">
        <v>69.41</v>
      </c>
      <c r="C77" s="15">
        <v>82.11</v>
      </c>
      <c r="D77" s="11">
        <v>5.4897566361079798E-3</v>
      </c>
      <c r="E77" s="11">
        <v>3.2936900773262402E-3</v>
      </c>
      <c r="F77" s="15">
        <v>0</v>
      </c>
      <c r="G77" s="15">
        <v>0.28749999999999998</v>
      </c>
      <c r="H77" s="15">
        <v>0</v>
      </c>
      <c r="I77" s="15">
        <v>0.45490000000000003</v>
      </c>
      <c r="J77" s="15">
        <v>0</v>
      </c>
      <c r="K77" s="15">
        <v>0</v>
      </c>
      <c r="L77" s="15">
        <v>69.41</v>
      </c>
      <c r="M77" s="15">
        <v>82.11</v>
      </c>
      <c r="N77" s="16">
        <v>1.1829707534937299</v>
      </c>
      <c r="O77" s="16">
        <v>1.16233556709835</v>
      </c>
      <c r="P77" s="16">
        <v>1.1728190300404699</v>
      </c>
      <c r="Q77" s="16">
        <v>1.1719144821184699</v>
      </c>
      <c r="R77" s="15">
        <v>80.677711712296599</v>
      </c>
      <c r="S77" s="15">
        <v>81.324777535077899</v>
      </c>
      <c r="T77" s="15">
        <v>81.289081540823403</v>
      </c>
      <c r="U77" s="11">
        <v>-1.7597461551825799E-2</v>
      </c>
      <c r="V77" s="11">
        <v>-9.6090748697523608E-3</v>
      </c>
      <c r="W77" s="11">
        <v>-1.00481025766246E-2</v>
      </c>
      <c r="X77" s="16">
        <v>1.1829707534937299</v>
      </c>
      <c r="Y77" s="16">
        <v>1.16233556709835</v>
      </c>
      <c r="Z77" s="16">
        <v>1.1728190300404699</v>
      </c>
      <c r="AA77" s="16">
        <v>1.1719144821184699</v>
      </c>
      <c r="AB77" s="15">
        <v>80.677711712296599</v>
      </c>
      <c r="AC77" s="15">
        <v>81.324777535077899</v>
      </c>
      <c r="AD77" s="15">
        <v>81.289081540823403</v>
      </c>
      <c r="AE77" s="11">
        <v>-1.7597461551825799E-2</v>
      </c>
      <c r="AF77" s="11">
        <v>-9.6090748697523608E-3</v>
      </c>
      <c r="AG77" s="11">
        <v>-1.00481025766246E-2</v>
      </c>
      <c r="AZ77" s="11"/>
      <c r="BB77">
        <f t="shared" si="2"/>
        <v>1</v>
      </c>
      <c r="BC77">
        <f t="shared" si="3"/>
        <v>0</v>
      </c>
      <c r="BD77">
        <f t="shared" si="4"/>
        <v>1</v>
      </c>
      <c r="BE77">
        <f t="shared" si="0"/>
        <v>1</v>
      </c>
      <c r="BF77">
        <f t="shared" si="5"/>
        <v>1</v>
      </c>
      <c r="BG77" s="11">
        <f t="shared" si="6"/>
        <v>5.4897566361079798E-3</v>
      </c>
      <c r="BH77" s="11">
        <f t="shared" si="7"/>
        <v>-3.2936900773262402E-3</v>
      </c>
      <c r="BI77" s="11">
        <f t="shared" si="8"/>
        <v>2.1960665587817396E-3</v>
      </c>
      <c r="BJ77" s="6">
        <f t="shared" si="9"/>
        <v>1.6750824876351284E-2</v>
      </c>
      <c r="BL77" s="11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11">
        <f t="shared" si="14"/>
        <v>0</v>
      </c>
      <c r="BT77" s="11">
        <f t="shared" si="15"/>
        <v>0</v>
      </c>
      <c r="BU77" s="11">
        <f t="shared" si="16"/>
        <v>0</v>
      </c>
      <c r="BV77" s="6">
        <f t="shared" si="17"/>
        <v>1.7797047127171752E-2</v>
      </c>
      <c r="BX77" s="6">
        <f t="shared" si="18"/>
        <v>2.1960665587817396E-3</v>
      </c>
      <c r="BY77" s="6">
        <f t="shared" si="19"/>
        <v>3.4547872003523022E-2</v>
      </c>
    </row>
    <row r="78" spans="1:77" x14ac:dyDescent="0.3">
      <c r="A78" s="1">
        <v>46135</v>
      </c>
      <c r="B78" s="15">
        <v>70.7</v>
      </c>
      <c r="C78" s="15">
        <v>83.48</v>
      </c>
      <c r="D78" s="11">
        <v>1.8414623551034699E-2</v>
      </c>
      <c r="E78" s="11">
        <v>1.65472704883027E-2</v>
      </c>
      <c r="F78" s="15">
        <v>0</v>
      </c>
      <c r="G78" s="15">
        <v>0.28749999999999998</v>
      </c>
      <c r="H78" s="15">
        <v>0</v>
      </c>
      <c r="I78" s="15">
        <v>0.45490000000000003</v>
      </c>
      <c r="J78" s="15">
        <v>0</v>
      </c>
      <c r="K78" s="15">
        <v>0</v>
      </c>
      <c r="L78" s="15">
        <v>70.7</v>
      </c>
      <c r="M78" s="15">
        <v>83.48</v>
      </c>
      <c r="N78" s="16">
        <v>1.1807637906647801</v>
      </c>
      <c r="O78" s="16">
        <v>1.16233556709835</v>
      </c>
      <c r="P78" s="16">
        <v>1.17364094795758</v>
      </c>
      <c r="Q78" s="16">
        <v>1.17258950395874</v>
      </c>
      <c r="R78" s="15">
        <v>82.177124593853407</v>
      </c>
      <c r="S78" s="15">
        <v>82.918305423861298</v>
      </c>
      <c r="T78" s="15">
        <v>82.854353885776206</v>
      </c>
      <c r="U78" s="11">
        <v>-1.5730108489093401E-2</v>
      </c>
      <c r="V78" s="11">
        <v>-6.7512311278461303E-3</v>
      </c>
      <c r="W78" s="11">
        <v>-7.5227882896109601E-3</v>
      </c>
      <c r="X78" s="16">
        <v>1.1807637906647801</v>
      </c>
      <c r="Y78" s="16">
        <v>1.16233556709835</v>
      </c>
      <c r="Z78" s="16">
        <v>1.17364094795758</v>
      </c>
      <c r="AA78" s="16">
        <v>1.17258950395874</v>
      </c>
      <c r="AB78" s="15">
        <v>82.177124593853407</v>
      </c>
      <c r="AC78" s="15">
        <v>82.918305423861298</v>
      </c>
      <c r="AD78" s="15">
        <v>82.854353885776206</v>
      </c>
      <c r="AE78" s="11">
        <v>-1.5730108489093401E-2</v>
      </c>
      <c r="AF78" s="11">
        <v>-6.7512311278461303E-3</v>
      </c>
      <c r="AG78" s="11">
        <v>-7.5227882896109601E-3</v>
      </c>
      <c r="AZ78" s="11"/>
      <c r="BB78">
        <f t="shared" si="2"/>
        <v>1</v>
      </c>
      <c r="BC78">
        <f t="shared" si="3"/>
        <v>0</v>
      </c>
      <c r="BD78">
        <f t="shared" si="4"/>
        <v>1</v>
      </c>
      <c r="BE78">
        <f t="shared" si="0"/>
        <v>1</v>
      </c>
      <c r="BF78">
        <f t="shared" si="5"/>
        <v>1</v>
      </c>
      <c r="BG78" s="11">
        <f t="shared" si="6"/>
        <v>1.8414623551034699E-2</v>
      </c>
      <c r="BH78" s="11">
        <f t="shared" si="7"/>
        <v>-1.65472704883027E-2</v>
      </c>
      <c r="BI78" s="11">
        <f t="shared" si="8"/>
        <v>1.8673530627319988E-3</v>
      </c>
      <c r="BJ78" s="6">
        <f t="shared" si="9"/>
        <v>1.8618177939083283E-2</v>
      </c>
      <c r="BL78" s="11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11">
        <f t="shared" si="14"/>
        <v>0</v>
      </c>
      <c r="BT78" s="11">
        <f t="shared" si="15"/>
        <v>0</v>
      </c>
      <c r="BU78" s="11">
        <f t="shared" si="16"/>
        <v>0</v>
      </c>
      <c r="BV78" s="6">
        <f t="shared" si="17"/>
        <v>1.7797047127171752E-2</v>
      </c>
      <c r="BX78" s="6">
        <f t="shared" si="18"/>
        <v>1.8673530627319988E-3</v>
      </c>
      <c r="BY78" s="6">
        <f t="shared" si="19"/>
        <v>3.6415225066255025E-2</v>
      </c>
    </row>
    <row r="79" spans="1:77" x14ac:dyDescent="0.3">
      <c r="A79" s="1">
        <v>46136</v>
      </c>
      <c r="B79" s="15">
        <v>70.64</v>
      </c>
      <c r="C79" s="15">
        <v>83.23</v>
      </c>
      <c r="D79" s="11">
        <v>-8.4901660682248296E-4</v>
      </c>
      <c r="E79" s="11">
        <v>-2.9992224509961898E-3</v>
      </c>
      <c r="F79" s="15">
        <v>0</v>
      </c>
      <c r="G79" s="15">
        <v>0.28749999999999998</v>
      </c>
      <c r="H79" s="15">
        <v>0</v>
      </c>
      <c r="I79" s="15">
        <v>0.45490000000000003</v>
      </c>
      <c r="J79" s="15">
        <v>0</v>
      </c>
      <c r="K79" s="15">
        <v>0</v>
      </c>
      <c r="L79" s="15">
        <v>70.64</v>
      </c>
      <c r="M79" s="15">
        <v>83.23</v>
      </c>
      <c r="N79" s="16">
        <v>1.17822763306908</v>
      </c>
      <c r="O79" s="16">
        <v>1.16233556709835</v>
      </c>
      <c r="P79" s="16">
        <v>1.1749078884259501</v>
      </c>
      <c r="Q79" s="16">
        <v>1.1729667635518899</v>
      </c>
      <c r="R79" s="15">
        <v>82.1073844598275</v>
      </c>
      <c r="S79" s="15">
        <v>82.905996563724003</v>
      </c>
      <c r="T79" s="15">
        <v>82.831722559645797</v>
      </c>
      <c r="U79" s="11">
        <v>-1.3579902644919799E-2</v>
      </c>
      <c r="V79" s="11">
        <v>-3.9004653265970698E-3</v>
      </c>
      <c r="W79" s="11">
        <v>-4.7967490385152E-3</v>
      </c>
      <c r="X79" s="16">
        <v>1.17822763306908</v>
      </c>
      <c r="Y79" s="16">
        <v>1.16233556709835</v>
      </c>
      <c r="Z79" s="16">
        <v>1.1749078884259501</v>
      </c>
      <c r="AA79" s="16">
        <v>1.1729667635518899</v>
      </c>
      <c r="AB79" s="15">
        <v>82.1073844598275</v>
      </c>
      <c r="AC79" s="15">
        <v>82.905996563724003</v>
      </c>
      <c r="AD79" s="15">
        <v>82.831722559645797</v>
      </c>
      <c r="AE79" s="11">
        <v>-1.3579902644919799E-2</v>
      </c>
      <c r="AF79" s="11">
        <v>-3.9004653265970698E-3</v>
      </c>
      <c r="AG79" s="11">
        <v>-4.7967490385152E-3</v>
      </c>
      <c r="AZ79" s="11"/>
      <c r="BB79">
        <f t="shared" si="2"/>
        <v>1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11">
        <f t="shared" si="6"/>
        <v>-8.4901660682248296E-4</v>
      </c>
      <c r="BH79" s="11">
        <f t="shared" si="7"/>
        <v>2.9992224509961898E-3</v>
      </c>
      <c r="BI79" s="11">
        <f t="shared" si="8"/>
        <v>2.1502058441737067E-3</v>
      </c>
      <c r="BJ79" s="6">
        <f t="shared" si="9"/>
        <v>2.0768383783256988E-2</v>
      </c>
      <c r="BL79" s="11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11">
        <f t="shared" si="14"/>
        <v>0</v>
      </c>
      <c r="BT79" s="11">
        <f t="shared" si="15"/>
        <v>0</v>
      </c>
      <c r="BU79" s="11">
        <f t="shared" si="16"/>
        <v>0</v>
      </c>
      <c r="BV79" s="6">
        <f t="shared" si="17"/>
        <v>1.7797047127171752E-2</v>
      </c>
      <c r="BX79" s="6">
        <f t="shared" si="18"/>
        <v>2.1502058441737067E-3</v>
      </c>
      <c r="BY79" s="6">
        <f t="shared" si="19"/>
        <v>3.856543091042873E-2</v>
      </c>
    </row>
    <row r="80" spans="1:77" x14ac:dyDescent="0.3">
      <c r="A80" s="1">
        <v>46139</v>
      </c>
      <c r="B80" s="15">
        <v>70.11</v>
      </c>
      <c r="C80" s="15">
        <v>82.34</v>
      </c>
      <c r="D80" s="11">
        <v>-7.5311190768283303E-3</v>
      </c>
      <c r="E80" s="11">
        <v>-1.07508434162451E-2</v>
      </c>
      <c r="F80" s="15">
        <v>0</v>
      </c>
      <c r="G80" s="15">
        <v>0.28749999999999998</v>
      </c>
      <c r="H80" s="15">
        <v>0</v>
      </c>
      <c r="I80" s="15">
        <v>0.45490000000000003</v>
      </c>
      <c r="J80" s="15">
        <v>0</v>
      </c>
      <c r="K80" s="15">
        <v>0</v>
      </c>
      <c r="L80" s="15">
        <v>70.11</v>
      </c>
      <c r="M80" s="15">
        <v>82.34</v>
      </c>
      <c r="N80" s="16">
        <v>1.17444016545428</v>
      </c>
      <c r="O80" s="16">
        <v>1.16233556709835</v>
      </c>
      <c r="P80" s="16">
        <v>1.1761010140234101</v>
      </c>
      <c r="Q80" s="16">
        <v>1.1730230616380899</v>
      </c>
      <c r="R80" s="15">
        <v>81.491346609265406</v>
      </c>
      <c r="S80" s="15">
        <v>82.372792057543407</v>
      </c>
      <c r="T80" s="15">
        <v>82.236699792623099</v>
      </c>
      <c r="U80" s="11">
        <v>-1.03601783055031E-2</v>
      </c>
      <c r="V80" s="11">
        <v>3.9817257138351501E-4</v>
      </c>
      <c r="W80" s="11">
        <v>-1.2553444208425601E-3</v>
      </c>
      <c r="X80" s="16">
        <v>1.17444016545428</v>
      </c>
      <c r="Y80" s="16">
        <v>1.16233556709835</v>
      </c>
      <c r="Z80" s="16">
        <v>1.1761010140234101</v>
      </c>
      <c r="AA80" s="16">
        <v>1.1730230616380899</v>
      </c>
      <c r="AB80" s="15">
        <v>81.491346609265406</v>
      </c>
      <c r="AC80" s="15">
        <v>82.372792057543407</v>
      </c>
      <c r="AD80" s="15">
        <v>82.236699792623099</v>
      </c>
      <c r="AE80" s="11">
        <v>-1.03601783055031E-2</v>
      </c>
      <c r="AF80" s="11">
        <v>3.9817257138351501E-4</v>
      </c>
      <c r="AG80" s="11">
        <v>-1.2553444208425601E-3</v>
      </c>
      <c r="AZ80" s="11"/>
      <c r="BB80">
        <f t="shared" si="2"/>
        <v>0</v>
      </c>
      <c r="BC80">
        <f t="shared" si="3"/>
        <v>0</v>
      </c>
      <c r="BD80">
        <f t="shared" si="4"/>
        <v>1</v>
      </c>
      <c r="BE80">
        <f t="shared" si="0"/>
        <v>1</v>
      </c>
      <c r="BF80">
        <f t="shared" si="5"/>
        <v>1</v>
      </c>
      <c r="BG80" s="11">
        <f t="shared" si="6"/>
        <v>-7.5311190768283303E-3</v>
      </c>
      <c r="BH80" s="11">
        <f t="shared" si="7"/>
        <v>1.07508434162451E-2</v>
      </c>
      <c r="BI80" s="11">
        <f t="shared" si="8"/>
        <v>3.2197243394167701E-3</v>
      </c>
      <c r="BJ80" s="6">
        <f t="shared" si="9"/>
        <v>2.3988108122673758E-2</v>
      </c>
      <c r="BL80" s="11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11">
        <f t="shared" si="14"/>
        <v>0</v>
      </c>
      <c r="BT80" s="11">
        <f t="shared" si="15"/>
        <v>0</v>
      </c>
      <c r="BU80" s="11">
        <f t="shared" si="16"/>
        <v>0</v>
      </c>
      <c r="BV80" s="6">
        <f t="shared" si="17"/>
        <v>1.7797047127171752E-2</v>
      </c>
      <c r="BX80" s="6">
        <f t="shared" si="18"/>
        <v>3.2197243394167701E-3</v>
      </c>
      <c r="BY80" s="6">
        <f t="shared" si="19"/>
        <v>4.1785155249845503E-2</v>
      </c>
    </row>
    <row r="81" spans="1:77" x14ac:dyDescent="0.3">
      <c r="A81" s="1">
        <v>46140</v>
      </c>
      <c r="B81" s="15">
        <v>71.17</v>
      </c>
      <c r="C81" s="15">
        <v>83.08</v>
      </c>
      <c r="D81" s="11">
        <v>1.50059440923035E-2</v>
      </c>
      <c r="E81" s="11">
        <v>8.9469826661528803E-3</v>
      </c>
      <c r="F81" s="15">
        <v>0</v>
      </c>
      <c r="G81" s="15">
        <v>0.28749999999999998</v>
      </c>
      <c r="H81" s="15">
        <v>0</v>
      </c>
      <c r="I81" s="15">
        <v>0.45490000000000003</v>
      </c>
      <c r="J81" s="15">
        <v>0</v>
      </c>
      <c r="K81" s="15">
        <v>0</v>
      </c>
      <c r="L81" s="15">
        <v>71.17</v>
      </c>
      <c r="M81" s="15">
        <v>83.08</v>
      </c>
      <c r="N81" s="16">
        <v>1.16734579176619</v>
      </c>
      <c r="O81" s="16">
        <v>1.16233556709835</v>
      </c>
      <c r="P81" s="16">
        <v>1.1763167144814899</v>
      </c>
      <c r="Q81" s="16">
        <v>1.1728711974242201</v>
      </c>
      <c r="R81" s="15">
        <v>82.723422310389694</v>
      </c>
      <c r="S81" s="15">
        <v>83.703109168046097</v>
      </c>
      <c r="T81" s="15">
        <v>83.484051296782994</v>
      </c>
      <c r="U81" s="11">
        <v>-4.3012168793524104E-3</v>
      </c>
      <c r="V81" s="11">
        <v>7.4721243692401499E-3</v>
      </c>
      <c r="W81" s="11">
        <v>4.8516121718742101E-3</v>
      </c>
      <c r="X81" s="16">
        <v>1.16734579176619</v>
      </c>
      <c r="Y81" s="16">
        <v>1.16233556709835</v>
      </c>
      <c r="Z81" s="16">
        <v>1.1763167144814899</v>
      </c>
      <c r="AA81" s="16">
        <v>1.1728711974242201</v>
      </c>
      <c r="AB81" s="15">
        <v>82.723422310389694</v>
      </c>
      <c r="AC81" s="15">
        <v>83.703109168046097</v>
      </c>
      <c r="AD81" s="15">
        <v>83.484051296782994</v>
      </c>
      <c r="AE81" s="11">
        <v>-4.3012168793524104E-3</v>
      </c>
      <c r="AF81" s="11">
        <v>7.4721243692401499E-3</v>
      </c>
      <c r="AG81" s="11">
        <v>4.8516121718742101E-3</v>
      </c>
      <c r="AZ81" s="11"/>
      <c r="BB81">
        <f t="shared" si="2"/>
        <v>0</v>
      </c>
      <c r="BC81">
        <f t="shared" si="3"/>
        <v>1</v>
      </c>
      <c r="BD81">
        <f t="shared" si="4"/>
        <v>1</v>
      </c>
      <c r="BE81">
        <f t="shared" si="0"/>
        <v>1</v>
      </c>
      <c r="BF81">
        <f t="shared" si="5"/>
        <v>1</v>
      </c>
      <c r="BG81" s="11">
        <f t="shared" si="6"/>
        <v>1.50059440923035E-2</v>
      </c>
      <c r="BH81" s="11">
        <f t="shared" si="7"/>
        <v>-8.9469826661528803E-3</v>
      </c>
      <c r="BI81" s="11">
        <f t="shared" si="8"/>
        <v>6.0589614261506199E-3</v>
      </c>
      <c r="BJ81" s="6">
        <f t="shared" si="9"/>
        <v>3.0047069548824377E-2</v>
      </c>
      <c r="BL81" s="11"/>
      <c r="BN81">
        <f t="shared" si="10"/>
        <v>1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11">
        <f t="shared" si="14"/>
        <v>0</v>
      </c>
      <c r="BT81" s="11">
        <f t="shared" si="15"/>
        <v>0</v>
      </c>
      <c r="BU81" s="11">
        <f t="shared" si="16"/>
        <v>0</v>
      </c>
      <c r="BV81" s="6">
        <f t="shared" si="17"/>
        <v>1.7797047127171752E-2</v>
      </c>
      <c r="BX81" s="6">
        <f t="shared" si="18"/>
        <v>6.0589614261506199E-3</v>
      </c>
      <c r="BY81" s="6">
        <f t="shared" si="19"/>
        <v>4.7844116675996126E-2</v>
      </c>
    </row>
    <row r="82" spans="1:77" x14ac:dyDescent="0.3">
      <c r="A82" s="1">
        <v>46141</v>
      </c>
      <c r="B82" s="15">
        <v>70.959999999999994</v>
      </c>
      <c r="C82" s="15">
        <v>82.92</v>
      </c>
      <c r="D82" s="11">
        <v>-2.9550433098558299E-3</v>
      </c>
      <c r="E82" s="11">
        <v>-1.9277114403326401E-3</v>
      </c>
      <c r="F82" s="15">
        <v>0</v>
      </c>
      <c r="G82" s="15">
        <v>0.28749999999999998</v>
      </c>
      <c r="H82" s="15">
        <v>0</v>
      </c>
      <c r="I82" s="15">
        <v>0.45490000000000003</v>
      </c>
      <c r="J82" s="15">
        <v>0</v>
      </c>
      <c r="K82" s="15">
        <v>0</v>
      </c>
      <c r="L82" s="15">
        <v>70.959999999999994</v>
      </c>
      <c r="M82" s="15">
        <v>82.92</v>
      </c>
      <c r="N82" s="16">
        <v>1.16854565952649</v>
      </c>
      <c r="O82" s="16">
        <v>1.16233556709835</v>
      </c>
      <c r="P82" s="16">
        <v>1.17606639745234</v>
      </c>
      <c r="Q82" s="16">
        <v>1.17276642271099</v>
      </c>
      <c r="R82" s="15">
        <v>82.479331841299</v>
      </c>
      <c r="S82" s="15">
        <v>83.471434059606807</v>
      </c>
      <c r="T82" s="15">
        <v>83.226940169223298</v>
      </c>
      <c r="U82" s="11">
        <v>-5.3285487488755499E-3</v>
      </c>
      <c r="V82" s="11">
        <v>6.6281786866807602E-3</v>
      </c>
      <c r="W82" s="11">
        <v>3.6948079584988901E-3</v>
      </c>
      <c r="X82" s="16">
        <v>1.16854565952649</v>
      </c>
      <c r="Y82" s="16">
        <v>1.16233556709835</v>
      </c>
      <c r="Z82" s="16">
        <v>1.17606639745234</v>
      </c>
      <c r="AA82" s="16">
        <v>1.17276642271099</v>
      </c>
      <c r="AB82" s="15">
        <v>82.479331841299</v>
      </c>
      <c r="AC82" s="15">
        <v>83.471434059606807</v>
      </c>
      <c r="AD82" s="15">
        <v>83.226940169223298</v>
      </c>
      <c r="AE82" s="11">
        <v>-5.3285487488755499E-3</v>
      </c>
      <c r="AF82" s="11">
        <v>6.6281786866807602E-3</v>
      </c>
      <c r="AG82" s="11">
        <v>3.6948079584988901E-3</v>
      </c>
      <c r="AZ82" s="11"/>
      <c r="BB82">
        <f t="shared" si="2"/>
        <v>0</v>
      </c>
      <c r="BC82">
        <f t="shared" si="3"/>
        <v>1</v>
      </c>
      <c r="BD82">
        <f t="shared" si="4"/>
        <v>0</v>
      </c>
      <c r="BE82">
        <f t="shared" si="0"/>
        <v>1</v>
      </c>
      <c r="BF82">
        <f t="shared" si="5"/>
        <v>0</v>
      </c>
      <c r="BG82" s="11">
        <f t="shared" si="6"/>
        <v>0</v>
      </c>
      <c r="BH82" s="11">
        <f t="shared" si="7"/>
        <v>0</v>
      </c>
      <c r="BI82" s="11">
        <f t="shared" si="8"/>
        <v>0</v>
      </c>
      <c r="BJ82" s="6">
        <f t="shared" si="9"/>
        <v>3.0047069548824377E-2</v>
      </c>
      <c r="BL82" s="11"/>
      <c r="BN82">
        <f t="shared" si="10"/>
        <v>1</v>
      </c>
      <c r="BO82">
        <f t="shared" si="11"/>
        <v>0</v>
      </c>
      <c r="BP82">
        <f t="shared" si="12"/>
        <v>1</v>
      </c>
      <c r="BQ82">
        <f t="shared" si="1"/>
        <v>1</v>
      </c>
      <c r="BR82">
        <f t="shared" si="13"/>
        <v>1</v>
      </c>
      <c r="BS82" s="11">
        <f t="shared" si="14"/>
        <v>2.9550433098558299E-3</v>
      </c>
      <c r="BT82" s="11">
        <f t="shared" si="15"/>
        <v>-1.9277114403326401E-3</v>
      </c>
      <c r="BU82" s="11">
        <f t="shared" si="16"/>
        <v>1.0273318695231898E-3</v>
      </c>
      <c r="BV82" s="6">
        <f t="shared" si="17"/>
        <v>1.8824378996694941E-2</v>
      </c>
      <c r="BX82" s="6">
        <f t="shared" si="18"/>
        <v>1.0273318695231898E-3</v>
      </c>
      <c r="BY82" s="6">
        <f t="shared" si="19"/>
        <v>4.8871448545519315E-2</v>
      </c>
    </row>
    <row r="83" spans="1:77" x14ac:dyDescent="0.3">
      <c r="A83" s="1">
        <v>46142</v>
      </c>
      <c r="B83" s="15">
        <v>71.77</v>
      </c>
      <c r="C83" s="15">
        <v>84.31</v>
      </c>
      <c r="D83" s="11">
        <v>1.13502234406564E-2</v>
      </c>
      <c r="E83" s="11">
        <v>1.6624194367005501E-2</v>
      </c>
      <c r="F83" s="15">
        <v>0</v>
      </c>
      <c r="G83" s="15">
        <v>0.28749999999999998</v>
      </c>
      <c r="H83" s="15">
        <v>0</v>
      </c>
      <c r="I83" s="15">
        <v>0.45490000000000003</v>
      </c>
      <c r="J83" s="15">
        <v>0</v>
      </c>
      <c r="K83" s="15">
        <v>0</v>
      </c>
      <c r="L83" s="15">
        <v>71.77</v>
      </c>
      <c r="M83" s="15">
        <v>84.31</v>
      </c>
      <c r="N83" s="16">
        <v>1.1747248153824701</v>
      </c>
      <c r="O83" s="16">
        <v>1.16233556709835</v>
      </c>
      <c r="P83" s="16">
        <v>1.17654175255381</v>
      </c>
      <c r="Q83" s="16">
        <v>1.1729573134729201</v>
      </c>
      <c r="R83" s="15">
        <v>83.4208236506487</v>
      </c>
      <c r="S83" s="15">
        <v>84.406285345154899</v>
      </c>
      <c r="T83" s="15">
        <v>84.169446157967897</v>
      </c>
      <c r="U83" s="11">
        <v>-1.06025196752244E-2</v>
      </c>
      <c r="V83" s="11">
        <v>1.1413878086643601E-3</v>
      </c>
      <c r="W83" s="11">
        <v>-1.6684987735234801E-3</v>
      </c>
      <c r="X83" s="16">
        <v>1.1747248153824701</v>
      </c>
      <c r="Y83" s="16">
        <v>1.16233556709835</v>
      </c>
      <c r="Z83" s="16">
        <v>1.17654175255381</v>
      </c>
      <c r="AA83" s="16">
        <v>1.1729573134729201</v>
      </c>
      <c r="AB83" s="15">
        <v>83.4208236506487</v>
      </c>
      <c r="AC83" s="15">
        <v>84.406285345154899</v>
      </c>
      <c r="AD83" s="15">
        <v>84.169446157967897</v>
      </c>
      <c r="AE83" s="11">
        <v>-1.06025196752244E-2</v>
      </c>
      <c r="AF83" s="11">
        <v>1.1413878086643601E-3</v>
      </c>
      <c r="AG83" s="11">
        <v>-1.6684987735234801E-3</v>
      </c>
      <c r="AZ83" s="11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11">
        <f t="shared" si="6"/>
        <v>0</v>
      </c>
      <c r="BH83" s="11">
        <f t="shared" si="7"/>
        <v>0</v>
      </c>
      <c r="BI83" s="11">
        <f t="shared" si="8"/>
        <v>0</v>
      </c>
      <c r="BJ83" s="6">
        <f t="shared" si="9"/>
        <v>3.0047069548824377E-2</v>
      </c>
      <c r="BL83" s="11"/>
      <c r="BN83">
        <f t="shared" si="10"/>
        <v>0</v>
      </c>
      <c r="BO83">
        <f t="shared" si="11"/>
        <v>1</v>
      </c>
      <c r="BP83">
        <f t="shared" si="12"/>
        <v>1</v>
      </c>
      <c r="BQ83">
        <f t="shared" si="1"/>
        <v>1</v>
      </c>
      <c r="BR83">
        <f t="shared" si="13"/>
        <v>1</v>
      </c>
      <c r="BS83" s="11">
        <f t="shared" si="14"/>
        <v>-1.13502234406564E-2</v>
      </c>
      <c r="BT83" s="11">
        <f t="shared" si="15"/>
        <v>1.6624194367005501E-2</v>
      </c>
      <c r="BU83" s="11">
        <f t="shared" si="16"/>
        <v>5.2739709263491009E-3</v>
      </c>
      <c r="BV83" s="6">
        <f t="shared" si="17"/>
        <v>2.4098349923044042E-2</v>
      </c>
      <c r="BX83" s="6">
        <f t="shared" si="18"/>
        <v>5.2739709263491009E-3</v>
      </c>
      <c r="BY83" s="6">
        <f t="shared" si="19"/>
        <v>5.414541947186842E-2</v>
      </c>
    </row>
    <row r="84" spans="1:77" x14ac:dyDescent="0.3">
      <c r="A84" s="1">
        <v>46143</v>
      </c>
      <c r="B84" s="15">
        <v>71.650000000000006</v>
      </c>
      <c r="C84" s="15">
        <v>84.17</v>
      </c>
      <c r="D84" s="11">
        <v>-1.67340716779952E-3</v>
      </c>
      <c r="E84" s="11">
        <v>-1.6619187110995799E-3</v>
      </c>
      <c r="F84" s="15">
        <v>0</v>
      </c>
      <c r="G84" s="15">
        <v>0.28749999999999998</v>
      </c>
      <c r="H84" s="15">
        <v>0</v>
      </c>
      <c r="I84" s="15">
        <v>0.45490000000000003</v>
      </c>
      <c r="J84" s="15">
        <v>0</v>
      </c>
      <c r="K84" s="15">
        <v>0</v>
      </c>
      <c r="L84" s="15">
        <v>71.650000000000006</v>
      </c>
      <c r="M84" s="15">
        <v>84.17</v>
      </c>
      <c r="N84" s="16">
        <v>1.1747383112351699</v>
      </c>
      <c r="O84" s="16">
        <v>1.16233556709835</v>
      </c>
      <c r="P84" s="16">
        <v>1.1766180893720899</v>
      </c>
      <c r="Q84" s="16">
        <v>1.1731595614149499</v>
      </c>
      <c r="R84" s="15">
        <v>83.281343382596901</v>
      </c>
      <c r="S84" s="15">
        <v>84.299216570480596</v>
      </c>
      <c r="T84" s="15">
        <v>84.042391510335307</v>
      </c>
      <c r="U84" s="11">
        <v>-1.0614008131924301E-2</v>
      </c>
      <c r="V84" s="11">
        <v>1.5340083897854499E-3</v>
      </c>
      <c r="W84" s="11">
        <v>-1.51723084129913E-3</v>
      </c>
      <c r="X84" s="16">
        <v>1.1747383112351699</v>
      </c>
      <c r="Y84" s="16">
        <v>1.16233556709835</v>
      </c>
      <c r="Z84" s="16">
        <v>1.1766180893720899</v>
      </c>
      <c r="AA84" s="16">
        <v>1.1731595614149499</v>
      </c>
      <c r="AB84" s="15">
        <v>83.281343382596901</v>
      </c>
      <c r="AC84" s="15">
        <v>84.299216570480596</v>
      </c>
      <c r="AD84" s="15">
        <v>84.042391510335307</v>
      </c>
      <c r="AE84" s="11">
        <v>-1.0614008131924301E-2</v>
      </c>
      <c r="AF84" s="11">
        <v>1.5340083897854499E-3</v>
      </c>
      <c r="AG84" s="11">
        <v>-1.51723084129913E-3</v>
      </c>
      <c r="AZ84" s="11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11">
        <f t="shared" si="6"/>
        <v>0</v>
      </c>
      <c r="BH84" s="11">
        <f t="shared" si="7"/>
        <v>0</v>
      </c>
      <c r="BI84" s="11">
        <f t="shared" si="8"/>
        <v>0</v>
      </c>
      <c r="BJ84" s="6">
        <f t="shared" si="9"/>
        <v>3.0047069548824377E-2</v>
      </c>
      <c r="BL84" s="11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11">
        <f t="shared" si="14"/>
        <v>0</v>
      </c>
      <c r="BT84" s="11">
        <f t="shared" si="15"/>
        <v>0</v>
      </c>
      <c r="BU84" s="11">
        <f t="shared" si="16"/>
        <v>0</v>
      </c>
      <c r="BV84" s="6">
        <f t="shared" si="17"/>
        <v>2.4098349923044042E-2</v>
      </c>
      <c r="BX84" s="6">
        <f t="shared" si="18"/>
        <v>0</v>
      </c>
      <c r="BY84" s="6">
        <f t="shared" si="19"/>
        <v>5.414541947186842E-2</v>
      </c>
    </row>
    <row r="85" spans="1:77" x14ac:dyDescent="0.3">
      <c r="A85" s="1">
        <v>46146</v>
      </c>
      <c r="B85" s="15">
        <v>71.11</v>
      </c>
      <c r="C85" s="15">
        <v>83.54</v>
      </c>
      <c r="D85" s="11">
        <v>-7.5651803787543503E-3</v>
      </c>
      <c r="E85" s="11">
        <v>-7.5130041544553897E-3</v>
      </c>
      <c r="F85" s="15">
        <v>0</v>
      </c>
      <c r="G85" s="15">
        <v>0.28749999999999998</v>
      </c>
      <c r="H85" s="15">
        <v>0</v>
      </c>
      <c r="I85" s="15">
        <v>0.45490000000000003</v>
      </c>
      <c r="J85" s="15">
        <v>0</v>
      </c>
      <c r="K85" s="15">
        <v>0</v>
      </c>
      <c r="L85" s="15">
        <v>71.11</v>
      </c>
      <c r="M85" s="15">
        <v>83.54</v>
      </c>
      <c r="N85" s="16">
        <v>1.1747996062438399</v>
      </c>
      <c r="O85" s="16">
        <v>1.16233556709835</v>
      </c>
      <c r="P85" s="16">
        <v>1.1762128017492199</v>
      </c>
      <c r="Q85" s="16">
        <v>1.1730668015136201</v>
      </c>
      <c r="R85" s="15">
        <v>82.653682176363802</v>
      </c>
      <c r="S85" s="15">
        <v>83.669312335249302</v>
      </c>
      <c r="T85" s="15">
        <v>83.423376412217706</v>
      </c>
      <c r="U85" s="11">
        <v>-1.06661843562234E-2</v>
      </c>
      <c r="V85" s="11">
        <v>1.5467124315395699E-3</v>
      </c>
      <c r="W85" s="11">
        <v>-1.3969962665486299E-3</v>
      </c>
      <c r="X85" s="16">
        <v>1.1747996062438399</v>
      </c>
      <c r="Y85" s="16">
        <v>1.16233556709835</v>
      </c>
      <c r="Z85" s="16">
        <v>1.1762128017492199</v>
      </c>
      <c r="AA85" s="16">
        <v>1.1730668015136201</v>
      </c>
      <c r="AB85" s="15">
        <v>82.653682176363802</v>
      </c>
      <c r="AC85" s="15">
        <v>83.669312335249302</v>
      </c>
      <c r="AD85" s="15">
        <v>83.423376412217706</v>
      </c>
      <c r="AE85" s="11">
        <v>-1.06661843562234E-2</v>
      </c>
      <c r="AF85" s="11">
        <v>1.5467124315395699E-3</v>
      </c>
      <c r="AG85" s="11">
        <v>-1.3969962665486299E-3</v>
      </c>
      <c r="AZ85" s="11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11">
        <f t="shared" si="6"/>
        <v>0</v>
      </c>
      <c r="BH85" s="11">
        <f t="shared" si="7"/>
        <v>0</v>
      </c>
      <c r="BI85" s="11">
        <f t="shared" si="8"/>
        <v>0</v>
      </c>
      <c r="BJ85" s="6">
        <f t="shared" si="9"/>
        <v>3.0047069548824377E-2</v>
      </c>
      <c r="BL85" s="11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11">
        <f t="shared" si="14"/>
        <v>0</v>
      </c>
      <c r="BT85" s="11">
        <f t="shared" si="15"/>
        <v>0</v>
      </c>
      <c r="BU85" s="11">
        <f t="shared" si="16"/>
        <v>0</v>
      </c>
      <c r="BV85" s="6">
        <f t="shared" si="17"/>
        <v>2.4098349923044042E-2</v>
      </c>
      <c r="BX85" s="6">
        <f t="shared" si="18"/>
        <v>0</v>
      </c>
      <c r="BY85" s="6">
        <f t="shared" si="19"/>
        <v>5.414541947186842E-2</v>
      </c>
    </row>
    <row r="86" spans="1:77" x14ac:dyDescent="0.3">
      <c r="A86" s="1">
        <v>46147</v>
      </c>
      <c r="B86" s="15">
        <v>71.42</v>
      </c>
      <c r="C86" s="15">
        <v>84.06</v>
      </c>
      <c r="D86" s="11">
        <v>4.3499682708758799E-3</v>
      </c>
      <c r="E86" s="11">
        <v>6.2052705079412504E-3</v>
      </c>
      <c r="F86" s="15">
        <v>0</v>
      </c>
      <c r="G86" s="15">
        <v>0.28749999999999998</v>
      </c>
      <c r="H86" s="15">
        <v>0</v>
      </c>
      <c r="I86" s="15">
        <v>0.45490000000000003</v>
      </c>
      <c r="J86" s="15">
        <v>0</v>
      </c>
      <c r="K86" s="15">
        <v>0</v>
      </c>
      <c r="L86" s="15">
        <v>71.42</v>
      </c>
      <c r="M86" s="15">
        <v>84.06</v>
      </c>
      <c r="N86" s="16">
        <v>1.17698123774852</v>
      </c>
      <c r="O86" s="16">
        <v>1.16233556709835</v>
      </c>
      <c r="P86" s="16">
        <v>1.1753537764584501</v>
      </c>
      <c r="Q86" s="16">
        <v>1.1735058576506201</v>
      </c>
      <c r="R86" s="15">
        <v>83.014006202164296</v>
      </c>
      <c r="S86" s="15">
        <v>84.005118300929993</v>
      </c>
      <c r="T86" s="15">
        <v>83.780430964103303</v>
      </c>
      <c r="U86" s="11">
        <v>-1.2521486593288901E-2</v>
      </c>
      <c r="V86" s="11">
        <v>-6.5310043601687505E-4</v>
      </c>
      <c r="W86" s="11">
        <v>-3.33137007389812E-3</v>
      </c>
      <c r="X86" s="16">
        <v>1.17698123774852</v>
      </c>
      <c r="Y86" s="16">
        <v>1.16233556709835</v>
      </c>
      <c r="Z86" s="16">
        <v>1.1753537764584501</v>
      </c>
      <c r="AA86" s="16">
        <v>1.1735058576506201</v>
      </c>
      <c r="AB86" s="15">
        <v>83.014006202164296</v>
      </c>
      <c r="AC86" s="15">
        <v>84.005118300929993</v>
      </c>
      <c r="AD86" s="15">
        <v>83.780430964103303</v>
      </c>
      <c r="AE86" s="11">
        <v>-1.2521486593288901E-2</v>
      </c>
      <c r="AF86" s="11">
        <v>-6.5310043601687505E-4</v>
      </c>
      <c r="AG86" s="11">
        <v>-3.33137007389812E-3</v>
      </c>
      <c r="AZ86" s="11"/>
      <c r="BB86">
        <f t="shared" si="2"/>
        <v>1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11">
        <f t="shared" si="6"/>
        <v>0</v>
      </c>
      <c r="BH86" s="11">
        <f t="shared" si="7"/>
        <v>0</v>
      </c>
      <c r="BI86" s="11">
        <f t="shared" si="8"/>
        <v>0</v>
      </c>
      <c r="BJ86" s="6">
        <f t="shared" si="9"/>
        <v>3.0047069548824377E-2</v>
      </c>
      <c r="BL86" s="11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11">
        <f t="shared" si="14"/>
        <v>0</v>
      </c>
      <c r="BT86" s="11">
        <f t="shared" si="15"/>
        <v>0</v>
      </c>
      <c r="BU86" s="11">
        <f t="shared" si="16"/>
        <v>0</v>
      </c>
      <c r="BV86" s="6">
        <f t="shared" si="17"/>
        <v>2.4098349923044042E-2</v>
      </c>
      <c r="BX86" s="6">
        <f t="shared" si="18"/>
        <v>0</v>
      </c>
      <c r="BY86" s="6">
        <f t="shared" si="19"/>
        <v>5.414541947186842E-2</v>
      </c>
    </row>
    <row r="87" spans="1:77" x14ac:dyDescent="0.3">
      <c r="A87" s="1">
        <v>46148</v>
      </c>
      <c r="B87" s="15">
        <v>71.44</v>
      </c>
      <c r="C87" s="15">
        <v>84.24</v>
      </c>
      <c r="D87" s="11">
        <v>2.7999440194124102E-4</v>
      </c>
      <c r="E87" s="11">
        <v>2.1390382487494401E-3</v>
      </c>
      <c r="F87" s="15">
        <v>0</v>
      </c>
      <c r="G87" s="15">
        <v>0.28749999999999998</v>
      </c>
      <c r="H87" s="15">
        <v>0</v>
      </c>
      <c r="I87" s="15">
        <v>0.45490000000000003</v>
      </c>
      <c r="J87" s="15">
        <v>0</v>
      </c>
      <c r="K87" s="15">
        <v>0</v>
      </c>
      <c r="L87" s="15">
        <v>71.44</v>
      </c>
      <c r="M87" s="15">
        <v>84.24</v>
      </c>
      <c r="N87" s="16">
        <v>1.1791713325867801</v>
      </c>
      <c r="O87" s="16">
        <v>1.16233556709835</v>
      </c>
      <c r="P87" s="16">
        <v>1.17497383436776</v>
      </c>
      <c r="Q87" s="16">
        <v>1.1738964322041101</v>
      </c>
      <c r="R87" s="15">
        <v>83.037252913506194</v>
      </c>
      <c r="S87" s="15">
        <v>83.967273790192294</v>
      </c>
      <c r="T87" s="15">
        <v>83.835258470560504</v>
      </c>
      <c r="U87" s="11">
        <v>-1.4380530440096901E-2</v>
      </c>
      <c r="V87" s="11">
        <v>-3.2427426311275901E-3</v>
      </c>
      <c r="W87" s="11">
        <v>-4.8162033541560298E-3</v>
      </c>
      <c r="X87" s="16">
        <v>1.1791713325867801</v>
      </c>
      <c r="Y87" s="16">
        <v>1.16233556709835</v>
      </c>
      <c r="Z87" s="16">
        <v>1.17497383436776</v>
      </c>
      <c r="AA87" s="16">
        <v>1.1738964322041101</v>
      </c>
      <c r="AB87" s="15">
        <v>83.037252913506194</v>
      </c>
      <c r="AC87" s="15">
        <v>83.967273790192294</v>
      </c>
      <c r="AD87" s="15">
        <v>83.835258470560504</v>
      </c>
      <c r="AE87" s="11">
        <v>-1.4380530440096901E-2</v>
      </c>
      <c r="AF87" s="11">
        <v>-3.2427426311275901E-3</v>
      </c>
      <c r="AG87" s="11">
        <v>-4.8162033541560298E-3</v>
      </c>
      <c r="AZ87" s="11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1</v>
      </c>
      <c r="BE87">
        <f t="shared" si="20"/>
        <v>1</v>
      </c>
      <c r="BF87">
        <f t="shared" ref="BF87:BF150" si="25">IF(BB86,1,IF(BC86,0,BD86))*BE86</f>
        <v>1</v>
      </c>
      <c r="BG87" s="11">
        <f t="shared" ref="BG87:BG150" si="26">BF87*D87</f>
        <v>2.7999440194124102E-4</v>
      </c>
      <c r="BH87" s="11">
        <f t="shared" ref="BH87:BH150" si="27">-BF87*$E87</f>
        <v>-2.1390382487494401E-3</v>
      </c>
      <c r="BI87" s="11">
        <f t="shared" ref="BI87:BI150" si="28">BG87+BH87</f>
        <v>-1.859043846808199E-3</v>
      </c>
      <c r="BJ87" s="6">
        <f t="shared" ref="BJ87:BJ150" si="29">BJ86+BI87</f>
        <v>2.818802570201618E-2</v>
      </c>
      <c r="BL87" s="11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11">
        <f t="shared" ref="BS87:BS150" si="34">-BR87*D87</f>
        <v>0</v>
      </c>
      <c r="BT87" s="11">
        <f t="shared" ref="BT87:BT150" si="35">BR87*$E87</f>
        <v>0</v>
      </c>
      <c r="BU87" s="11">
        <f t="shared" ref="BU87:BU150" si="36">BS87+BT87</f>
        <v>0</v>
      </c>
      <c r="BV87" s="6">
        <f t="shared" ref="BV87:BV150" si="37">BV86+BU87</f>
        <v>2.4098349923044042E-2</v>
      </c>
      <c r="BX87" s="6">
        <f t="shared" ref="BX87:BX150" si="38">BI87+BU87</f>
        <v>-1.859043846808199E-3</v>
      </c>
      <c r="BY87" s="6">
        <f t="shared" ref="BY87:BY150" si="39">BY86+BX87</f>
        <v>5.2286375625060222E-2</v>
      </c>
    </row>
    <row r="88" spans="1:77" x14ac:dyDescent="0.3">
      <c r="A88" s="1">
        <v>46149</v>
      </c>
      <c r="B88" s="15">
        <v>71.08</v>
      </c>
      <c r="C88" s="15">
        <v>83.98</v>
      </c>
      <c r="D88" s="11">
        <v>-5.0519332817929603E-3</v>
      </c>
      <c r="E88" s="11">
        <v>-3.09119256967274E-3</v>
      </c>
      <c r="F88" s="15">
        <v>0</v>
      </c>
      <c r="G88" s="15">
        <v>0.28749999999999998</v>
      </c>
      <c r="H88" s="15">
        <v>0</v>
      </c>
      <c r="I88" s="15">
        <v>0.45490000000000003</v>
      </c>
      <c r="J88" s="15">
        <v>0</v>
      </c>
      <c r="K88" s="15">
        <v>0</v>
      </c>
      <c r="L88" s="15">
        <v>71.08</v>
      </c>
      <c r="M88" s="15">
        <v>83.98</v>
      </c>
      <c r="N88" s="16">
        <v>1.18148564997186</v>
      </c>
      <c r="O88" s="16">
        <v>1.16233556709835</v>
      </c>
      <c r="P88" s="16">
        <v>1.1750460202984701</v>
      </c>
      <c r="Q88" s="16">
        <v>1.17434348412803</v>
      </c>
      <c r="R88" s="15">
        <v>82.618812109350799</v>
      </c>
      <c r="S88" s="15">
        <v>83.517140146860697</v>
      </c>
      <c r="T88" s="15">
        <v>83.4405584010686</v>
      </c>
      <c r="U88" s="11">
        <v>-1.6341271152217299E-2</v>
      </c>
      <c r="V88" s="11">
        <v>-5.5267932446030101E-3</v>
      </c>
      <c r="W88" s="11">
        <v>-6.4441723391750498E-3</v>
      </c>
      <c r="X88" s="16">
        <v>1.18148564997186</v>
      </c>
      <c r="Y88" s="16">
        <v>1.16233556709835</v>
      </c>
      <c r="Z88" s="16">
        <v>1.1750460202984701</v>
      </c>
      <c r="AA88" s="16">
        <v>1.17434348412803</v>
      </c>
      <c r="AB88" s="15">
        <v>82.618812109350799</v>
      </c>
      <c r="AC88" s="15">
        <v>83.517140146860697</v>
      </c>
      <c r="AD88" s="15">
        <v>83.4405584010686</v>
      </c>
      <c r="AE88" s="11">
        <v>-1.6341271152217299E-2</v>
      </c>
      <c r="AF88" s="11">
        <v>-5.5267932446030101E-3</v>
      </c>
      <c r="AG88" s="11">
        <v>-6.4441723391750498E-3</v>
      </c>
      <c r="AZ88" s="11"/>
      <c r="BB88">
        <f t="shared" si="22"/>
        <v>1</v>
      </c>
      <c r="BC88">
        <f t="shared" si="23"/>
        <v>0</v>
      </c>
      <c r="BD88">
        <f t="shared" si="24"/>
        <v>1</v>
      </c>
      <c r="BE88">
        <f t="shared" si="20"/>
        <v>1</v>
      </c>
      <c r="BF88">
        <f t="shared" si="25"/>
        <v>1</v>
      </c>
      <c r="BG88" s="11">
        <f t="shared" si="26"/>
        <v>-5.0519332817929603E-3</v>
      </c>
      <c r="BH88" s="11">
        <f t="shared" si="27"/>
        <v>3.09119256967274E-3</v>
      </c>
      <c r="BI88" s="11">
        <f t="shared" si="28"/>
        <v>-1.9607407121202203E-3</v>
      </c>
      <c r="BJ88" s="6">
        <f t="shared" si="29"/>
        <v>2.622728498989596E-2</v>
      </c>
      <c r="BL88" s="11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11">
        <f t="shared" si="34"/>
        <v>0</v>
      </c>
      <c r="BT88" s="11">
        <f t="shared" si="35"/>
        <v>0</v>
      </c>
      <c r="BU88" s="11">
        <f t="shared" si="36"/>
        <v>0</v>
      </c>
      <c r="BV88" s="6">
        <f t="shared" si="37"/>
        <v>2.4098349923044042E-2</v>
      </c>
      <c r="BX88" s="6">
        <f t="shared" si="38"/>
        <v>-1.9607407121202203E-3</v>
      </c>
      <c r="BY88" s="6">
        <f t="shared" si="39"/>
        <v>5.0325634912940002E-2</v>
      </c>
    </row>
    <row r="89" spans="1:77" x14ac:dyDescent="0.3">
      <c r="A89" s="1">
        <v>46150</v>
      </c>
      <c r="B89" s="15">
        <v>71.319999999999993</v>
      </c>
      <c r="C89" s="15">
        <v>84.18</v>
      </c>
      <c r="D89" s="11">
        <v>3.37078970848899E-3</v>
      </c>
      <c r="E89" s="11">
        <v>2.3786880863774099E-3</v>
      </c>
      <c r="F89" s="15">
        <v>0</v>
      </c>
      <c r="G89" s="15">
        <v>0.28749999999999998</v>
      </c>
      <c r="H89" s="15">
        <v>0</v>
      </c>
      <c r="I89" s="15">
        <v>0.45490000000000003</v>
      </c>
      <c r="J89" s="15">
        <v>0</v>
      </c>
      <c r="K89" s="15">
        <v>0</v>
      </c>
      <c r="L89" s="15">
        <v>71.319999999999993</v>
      </c>
      <c r="M89" s="15">
        <v>84.18</v>
      </c>
      <c r="N89" s="16">
        <v>1.1803140773976399</v>
      </c>
      <c r="O89" s="16">
        <v>1.16233556709835</v>
      </c>
      <c r="P89" s="16">
        <v>1.17525466473132</v>
      </c>
      <c r="Q89" s="16">
        <v>1.17508127657864</v>
      </c>
      <c r="R89" s="15">
        <v>82.897772645454396</v>
      </c>
      <c r="S89" s="15">
        <v>83.804282167687006</v>
      </c>
      <c r="T89" s="15">
        <v>83.754177288011107</v>
      </c>
      <c r="U89" s="11">
        <v>-1.53491695301057E-2</v>
      </c>
      <c r="V89" s="11">
        <v>-4.4732573068729199E-3</v>
      </c>
      <c r="W89" s="11">
        <v>-5.0713158153139898E-3</v>
      </c>
      <c r="X89" s="16">
        <v>1.1803140773976399</v>
      </c>
      <c r="Y89" s="16">
        <v>1.16233556709835</v>
      </c>
      <c r="Z89" s="16">
        <v>1.17525466473132</v>
      </c>
      <c r="AA89" s="16">
        <v>1.17508127657864</v>
      </c>
      <c r="AB89" s="15">
        <v>82.897772645454396</v>
      </c>
      <c r="AC89" s="15">
        <v>83.804282167687006</v>
      </c>
      <c r="AD89" s="15">
        <v>83.754177288011107</v>
      </c>
      <c r="AE89" s="11">
        <v>-1.53491695301057E-2</v>
      </c>
      <c r="AF89" s="11">
        <v>-4.4732573068729199E-3</v>
      </c>
      <c r="AG89" s="11">
        <v>-5.0713158153139898E-3</v>
      </c>
      <c r="AZ89" s="11"/>
      <c r="BB89">
        <f t="shared" si="22"/>
        <v>1</v>
      </c>
      <c r="BC89">
        <f t="shared" si="23"/>
        <v>0</v>
      </c>
      <c r="BD89">
        <f t="shared" si="24"/>
        <v>1</v>
      </c>
      <c r="BE89">
        <f t="shared" si="20"/>
        <v>1</v>
      </c>
      <c r="BF89">
        <f t="shared" si="25"/>
        <v>1</v>
      </c>
      <c r="BG89" s="11">
        <f t="shared" si="26"/>
        <v>3.37078970848899E-3</v>
      </c>
      <c r="BH89" s="11">
        <f t="shared" si="27"/>
        <v>-2.3786880863774099E-3</v>
      </c>
      <c r="BI89" s="11">
        <f t="shared" si="28"/>
        <v>9.9210162211158014E-4</v>
      </c>
      <c r="BJ89" s="6">
        <f t="shared" si="29"/>
        <v>2.721938661200754E-2</v>
      </c>
      <c r="BL89" s="11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11">
        <f t="shared" si="34"/>
        <v>0</v>
      </c>
      <c r="BT89" s="11">
        <f t="shared" si="35"/>
        <v>0</v>
      </c>
      <c r="BU89" s="11">
        <f t="shared" si="36"/>
        <v>0</v>
      </c>
      <c r="BV89" s="6">
        <f t="shared" si="37"/>
        <v>2.4098349923044042E-2</v>
      </c>
      <c r="BX89" s="6">
        <f t="shared" si="38"/>
        <v>9.9210162211158014E-4</v>
      </c>
      <c r="BY89" s="6">
        <f t="shared" si="39"/>
        <v>5.1317736535051582E-2</v>
      </c>
    </row>
    <row r="90" spans="1:77" x14ac:dyDescent="0.3">
      <c r="A90" s="1">
        <v>46153</v>
      </c>
      <c r="B90" s="15">
        <v>71.3</v>
      </c>
      <c r="C90" s="15">
        <v>83.37</v>
      </c>
      <c r="D90" s="11">
        <v>-2.80465574689306E-4</v>
      </c>
      <c r="E90" s="11">
        <v>-9.6688309199025602E-3</v>
      </c>
      <c r="F90" s="15">
        <v>0</v>
      </c>
      <c r="G90" s="15">
        <v>0.28749999999999998</v>
      </c>
      <c r="H90" s="15">
        <v>0</v>
      </c>
      <c r="I90" s="15">
        <v>0.45490000000000003</v>
      </c>
      <c r="J90" s="15">
        <v>0</v>
      </c>
      <c r="K90" s="15">
        <v>0</v>
      </c>
      <c r="L90" s="15">
        <v>71.3</v>
      </c>
      <c r="M90" s="15">
        <v>83.37</v>
      </c>
      <c r="N90" s="16">
        <v>1.1692847124824599</v>
      </c>
      <c r="O90" s="16">
        <v>1.16233556709835</v>
      </c>
      <c r="P90" s="16">
        <v>1.1747391194341399</v>
      </c>
      <c r="Q90" s="16">
        <v>1.17542006672877</v>
      </c>
      <c r="R90" s="15">
        <v>82.874525934112498</v>
      </c>
      <c r="S90" s="15">
        <v>83.795657595343698</v>
      </c>
      <c r="T90" s="15">
        <v>83.783295020056997</v>
      </c>
      <c r="U90" s="11">
        <v>-5.96080418489244E-3</v>
      </c>
      <c r="V90" s="11">
        <v>5.0926550515658104E-3</v>
      </c>
      <c r="W90" s="11">
        <v>4.9451117578978698E-3</v>
      </c>
      <c r="X90" s="16">
        <v>1.1692847124824599</v>
      </c>
      <c r="Y90" s="16">
        <v>1.16233556709835</v>
      </c>
      <c r="Z90" s="16">
        <v>1.1747391194341399</v>
      </c>
      <c r="AA90" s="16">
        <v>1.17542006672877</v>
      </c>
      <c r="AB90" s="15">
        <v>82.874525934112498</v>
      </c>
      <c r="AC90" s="15">
        <v>83.795657595343698</v>
      </c>
      <c r="AD90" s="15">
        <v>83.783295020056997</v>
      </c>
      <c r="AE90" s="11">
        <v>-5.96080418489244E-3</v>
      </c>
      <c r="AF90" s="11">
        <v>5.0926550515658104E-3</v>
      </c>
      <c r="AG90" s="11">
        <v>4.9451117578978698E-3</v>
      </c>
      <c r="AZ90" s="11"/>
      <c r="BB90">
        <f t="shared" si="22"/>
        <v>0</v>
      </c>
      <c r="BC90">
        <f t="shared" si="23"/>
        <v>1</v>
      </c>
      <c r="BD90">
        <f t="shared" si="24"/>
        <v>1</v>
      </c>
      <c r="BE90">
        <f t="shared" si="20"/>
        <v>1</v>
      </c>
      <c r="BF90">
        <f t="shared" si="25"/>
        <v>1</v>
      </c>
      <c r="BG90" s="11">
        <f t="shared" si="26"/>
        <v>-2.80465574689306E-4</v>
      </c>
      <c r="BH90" s="11">
        <f t="shared" si="27"/>
        <v>9.6688309199025602E-3</v>
      </c>
      <c r="BI90" s="11">
        <f t="shared" si="28"/>
        <v>9.3883653452132548E-3</v>
      </c>
      <c r="BJ90" s="6">
        <f t="shared" si="29"/>
        <v>3.6607751957220797E-2</v>
      </c>
      <c r="BL90" s="11"/>
      <c r="BN90">
        <f t="shared" si="30"/>
        <v>1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11">
        <f t="shared" si="34"/>
        <v>0</v>
      </c>
      <c r="BT90" s="11">
        <f t="shared" si="35"/>
        <v>0</v>
      </c>
      <c r="BU90" s="11">
        <f t="shared" si="36"/>
        <v>0</v>
      </c>
      <c r="BV90" s="6">
        <f t="shared" si="37"/>
        <v>2.4098349923044042E-2</v>
      </c>
      <c r="BX90" s="6">
        <f t="shared" si="38"/>
        <v>9.3883653452132548E-3</v>
      </c>
      <c r="BY90" s="6">
        <f t="shared" si="39"/>
        <v>6.0706101880264839E-2</v>
      </c>
    </row>
    <row r="91" spans="1:77" x14ac:dyDescent="0.3">
      <c r="A91" s="1">
        <v>46154</v>
      </c>
      <c r="B91" s="15">
        <v>72.209999999999994</v>
      </c>
      <c r="C91" s="15">
        <v>84.44</v>
      </c>
      <c r="D91" s="11">
        <v>1.26822130428399E-2</v>
      </c>
      <c r="E91" s="11">
        <v>1.2752690557597601E-2</v>
      </c>
      <c r="F91" s="15">
        <v>0</v>
      </c>
      <c r="G91" s="15">
        <v>0.28749999999999998</v>
      </c>
      <c r="H91" s="15">
        <v>0</v>
      </c>
      <c r="I91" s="15">
        <v>0.45490000000000003</v>
      </c>
      <c r="J91" s="15">
        <v>0</v>
      </c>
      <c r="K91" s="15">
        <v>0</v>
      </c>
      <c r="L91" s="15">
        <v>72.209999999999994</v>
      </c>
      <c r="M91" s="15">
        <v>84.44</v>
      </c>
      <c r="N91" s="16">
        <v>1.16936712366708</v>
      </c>
      <c r="O91" s="16">
        <v>1.16233556709835</v>
      </c>
      <c r="P91" s="16">
        <v>1.17494125262423</v>
      </c>
      <c r="Q91" s="16">
        <v>1.1756289835528599</v>
      </c>
      <c r="R91" s="15">
        <v>83.932251300171899</v>
      </c>
      <c r="S91" s="15">
        <v>84.8279118143397</v>
      </c>
      <c r="T91" s="15">
        <v>84.877083018485095</v>
      </c>
      <c r="U91" s="11">
        <v>-6.0312816996502799E-3</v>
      </c>
      <c r="V91" s="11">
        <v>4.5834144141764597E-3</v>
      </c>
      <c r="W91" s="11">
        <v>5.1629047888683303E-3</v>
      </c>
      <c r="X91" s="16">
        <v>1.16936712366708</v>
      </c>
      <c r="Y91" s="16">
        <v>1.16233556709835</v>
      </c>
      <c r="Z91" s="16">
        <v>1.17494125262423</v>
      </c>
      <c r="AA91" s="16">
        <v>1.1756289835528599</v>
      </c>
      <c r="AB91" s="15">
        <v>83.932251300171899</v>
      </c>
      <c r="AC91" s="15">
        <v>84.8279118143397</v>
      </c>
      <c r="AD91" s="15">
        <v>84.877083018485095</v>
      </c>
      <c r="AE91" s="11">
        <v>-6.0312816996502799E-3</v>
      </c>
      <c r="AF91" s="11">
        <v>4.5834144141764597E-3</v>
      </c>
      <c r="AG91" s="11">
        <v>5.1629047888683303E-3</v>
      </c>
      <c r="AZ91" s="11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11">
        <f t="shared" si="26"/>
        <v>0</v>
      </c>
      <c r="BH91" s="11">
        <f t="shared" si="27"/>
        <v>0</v>
      </c>
      <c r="BI91" s="11">
        <f t="shared" si="28"/>
        <v>0</v>
      </c>
      <c r="BJ91" s="6">
        <f t="shared" si="29"/>
        <v>3.6607751957220797E-2</v>
      </c>
      <c r="BL91" s="11"/>
      <c r="BN91">
        <f t="shared" si="30"/>
        <v>1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11">
        <f t="shared" si="34"/>
        <v>-1.26822130428399E-2</v>
      </c>
      <c r="BT91" s="11">
        <f t="shared" si="35"/>
        <v>1.2752690557597601E-2</v>
      </c>
      <c r="BU91" s="11">
        <f t="shared" si="36"/>
        <v>7.0477514757701087E-5</v>
      </c>
      <c r="BV91" s="6">
        <f t="shared" si="37"/>
        <v>2.4168827437801743E-2</v>
      </c>
      <c r="BX91" s="6">
        <f t="shared" si="38"/>
        <v>7.0477514757701087E-5</v>
      </c>
      <c r="BY91" s="6">
        <f t="shared" si="39"/>
        <v>6.077657939502254E-2</v>
      </c>
    </row>
    <row r="92" spans="1:77" x14ac:dyDescent="0.3">
      <c r="A92" s="1">
        <v>46155</v>
      </c>
      <c r="B92" s="15">
        <v>72.28</v>
      </c>
      <c r="C92" s="15">
        <v>84.72</v>
      </c>
      <c r="D92" s="11">
        <v>9.6892526093767298E-4</v>
      </c>
      <c r="E92" s="11">
        <v>3.3104783130310702E-3</v>
      </c>
      <c r="F92" s="15">
        <v>0</v>
      </c>
      <c r="G92" s="15">
        <v>0.28749999999999998</v>
      </c>
      <c r="H92" s="15">
        <v>0</v>
      </c>
      <c r="I92" s="15">
        <v>0.45490000000000003</v>
      </c>
      <c r="J92" s="15">
        <v>0</v>
      </c>
      <c r="K92" s="15">
        <v>0</v>
      </c>
      <c r="L92" s="15">
        <v>72.28</v>
      </c>
      <c r="M92" s="15">
        <v>84.72</v>
      </c>
      <c r="N92" s="16">
        <v>1.1721084670724899</v>
      </c>
      <c r="O92" s="16">
        <v>1.16233556709835</v>
      </c>
      <c r="P92" s="16">
        <v>1.17529753337883</v>
      </c>
      <c r="Q92" s="16">
        <v>1.1756819654155899</v>
      </c>
      <c r="R92" s="15">
        <v>84.013614789868797</v>
      </c>
      <c r="S92" s="15">
        <v>84.924753739679701</v>
      </c>
      <c r="T92" s="15">
        <v>84.974462931201103</v>
      </c>
      <c r="U92" s="11">
        <v>-8.3728347517438607E-3</v>
      </c>
      <c r="V92" s="11">
        <v>2.4139130104610302E-3</v>
      </c>
      <c r="W92" s="11">
        <v>2.9990739536815201E-3</v>
      </c>
      <c r="X92" s="16">
        <v>1.1721084670724899</v>
      </c>
      <c r="Y92" s="16">
        <v>1.16233556709835</v>
      </c>
      <c r="Z92" s="16">
        <v>1.17529753337883</v>
      </c>
      <c r="AA92" s="16">
        <v>1.1756819654155899</v>
      </c>
      <c r="AB92" s="15">
        <v>84.013614789868797</v>
      </c>
      <c r="AC92" s="15">
        <v>84.924753739679701</v>
      </c>
      <c r="AD92" s="15">
        <v>84.974462931201103</v>
      </c>
      <c r="AE92" s="11">
        <v>-8.3728347517438607E-3</v>
      </c>
      <c r="AF92" s="11">
        <v>2.4139130104610302E-3</v>
      </c>
      <c r="AG92" s="11">
        <v>2.9990739536815201E-3</v>
      </c>
      <c r="AZ92" s="11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11">
        <f t="shared" si="26"/>
        <v>0</v>
      </c>
      <c r="BH92" s="11">
        <f t="shared" si="27"/>
        <v>0</v>
      </c>
      <c r="BI92" s="11">
        <f t="shared" si="28"/>
        <v>0</v>
      </c>
      <c r="BJ92" s="6">
        <f t="shared" si="29"/>
        <v>3.6607751957220797E-2</v>
      </c>
      <c r="BL92" s="11"/>
      <c r="BN92">
        <f t="shared" si="30"/>
        <v>0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11">
        <f t="shared" si="34"/>
        <v>-9.6892526093767298E-4</v>
      </c>
      <c r="BT92" s="11">
        <f t="shared" si="35"/>
        <v>3.3104783130310702E-3</v>
      </c>
      <c r="BU92" s="11">
        <f t="shared" si="36"/>
        <v>2.341553052093397E-3</v>
      </c>
      <c r="BV92" s="6">
        <f t="shared" si="37"/>
        <v>2.6510380489895138E-2</v>
      </c>
      <c r="BX92" s="6">
        <f t="shared" si="38"/>
        <v>2.341553052093397E-3</v>
      </c>
      <c r="BY92" s="6">
        <f t="shared" si="39"/>
        <v>6.3118132447115935E-2</v>
      </c>
    </row>
    <row r="93" spans="1:77" x14ac:dyDescent="0.3">
      <c r="A93" s="1">
        <v>46156</v>
      </c>
      <c r="B93" s="15">
        <v>72.489999999999995</v>
      </c>
      <c r="C93" s="15">
        <v>84.98</v>
      </c>
      <c r="D93" s="11">
        <v>2.9011555887585301E-3</v>
      </c>
      <c r="E93" s="11">
        <v>3.0642333935145898E-3</v>
      </c>
      <c r="F93" s="15">
        <v>0</v>
      </c>
      <c r="G93" s="15">
        <v>0.28749999999999998</v>
      </c>
      <c r="H93" s="15">
        <v>0</v>
      </c>
      <c r="I93" s="15">
        <v>0.45490000000000003</v>
      </c>
      <c r="J93" s="15">
        <v>0</v>
      </c>
      <c r="K93" s="15">
        <v>0</v>
      </c>
      <c r="L93" s="15">
        <v>72.489999999999995</v>
      </c>
      <c r="M93" s="15">
        <v>84.98</v>
      </c>
      <c r="N93" s="16">
        <v>1.1722996275348301</v>
      </c>
      <c r="O93" s="16">
        <v>1.16233556709835</v>
      </c>
      <c r="P93" s="16">
        <v>1.1750550145940699</v>
      </c>
      <c r="Q93" s="16">
        <v>1.1757983835739401</v>
      </c>
      <c r="R93" s="15">
        <v>84.257705258959504</v>
      </c>
      <c r="S93" s="15">
        <v>85.197318194631805</v>
      </c>
      <c r="T93" s="15">
        <v>85.225185672976195</v>
      </c>
      <c r="U93" s="11">
        <v>-8.5359125564998493E-3</v>
      </c>
      <c r="V93" s="11">
        <v>2.55402206437776E-3</v>
      </c>
      <c r="W93" s="11">
        <v>2.8810619559459E-3</v>
      </c>
      <c r="X93" s="16">
        <v>1.1722996275348301</v>
      </c>
      <c r="Y93" s="16">
        <v>1.16233556709835</v>
      </c>
      <c r="Z93" s="16">
        <v>1.1750550145940699</v>
      </c>
      <c r="AA93" s="16">
        <v>1.1757983835739401</v>
      </c>
      <c r="AB93" s="15">
        <v>84.257705258959504</v>
      </c>
      <c r="AC93" s="15">
        <v>85.197318194631805</v>
      </c>
      <c r="AD93" s="15">
        <v>85.225185672976195</v>
      </c>
      <c r="AE93" s="11">
        <v>-8.5359125564998493E-3</v>
      </c>
      <c r="AF93" s="11">
        <v>2.55402206437776E-3</v>
      </c>
      <c r="AG93" s="11">
        <v>2.8810619559459E-3</v>
      </c>
      <c r="AZ93" s="11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11">
        <f t="shared" si="26"/>
        <v>0</v>
      </c>
      <c r="BH93" s="11">
        <f t="shared" si="27"/>
        <v>0</v>
      </c>
      <c r="BI93" s="11">
        <f t="shared" si="28"/>
        <v>0</v>
      </c>
      <c r="BJ93" s="6">
        <f t="shared" si="29"/>
        <v>3.6607751957220797E-2</v>
      </c>
      <c r="BL93" s="11"/>
      <c r="BN93">
        <f t="shared" si="30"/>
        <v>0</v>
      </c>
      <c r="BO93">
        <f t="shared" si="31"/>
        <v>0</v>
      </c>
      <c r="BP93">
        <f t="shared" si="32"/>
        <v>1</v>
      </c>
      <c r="BQ93">
        <f t="shared" si="21"/>
        <v>1</v>
      </c>
      <c r="BR93">
        <f t="shared" si="33"/>
        <v>1</v>
      </c>
      <c r="BS93" s="11">
        <f t="shared" si="34"/>
        <v>-2.9011555887585301E-3</v>
      </c>
      <c r="BT93" s="11">
        <f t="shared" si="35"/>
        <v>3.0642333935145898E-3</v>
      </c>
      <c r="BU93" s="11">
        <f t="shared" si="36"/>
        <v>1.6307780475605972E-4</v>
      </c>
      <c r="BV93" s="6">
        <f t="shared" si="37"/>
        <v>2.6673458294651196E-2</v>
      </c>
      <c r="BX93" s="6">
        <f t="shared" si="38"/>
        <v>1.6307780475605972E-4</v>
      </c>
      <c r="BY93" s="6">
        <f t="shared" si="39"/>
        <v>6.3281210251872E-2</v>
      </c>
    </row>
    <row r="94" spans="1:77" x14ac:dyDescent="0.3">
      <c r="A94" s="1">
        <v>46157</v>
      </c>
      <c r="B94" s="15">
        <v>72.23</v>
      </c>
      <c r="C94" s="15">
        <v>84.64</v>
      </c>
      <c r="D94" s="11">
        <v>-3.5931492500308601E-3</v>
      </c>
      <c r="E94" s="11">
        <v>-4.0089665766762797E-3</v>
      </c>
      <c r="F94" s="15">
        <v>0</v>
      </c>
      <c r="G94" s="15">
        <v>0.28749999999999998</v>
      </c>
      <c r="H94" s="15">
        <v>0</v>
      </c>
      <c r="I94" s="15">
        <v>0.45490000000000003</v>
      </c>
      <c r="J94" s="15">
        <v>0</v>
      </c>
      <c r="K94" s="15">
        <v>0</v>
      </c>
      <c r="L94" s="15">
        <v>72.23</v>
      </c>
      <c r="M94" s="15">
        <v>84.64</v>
      </c>
      <c r="N94" s="16">
        <v>1.17181226637131</v>
      </c>
      <c r="O94" s="16">
        <v>1.16233556709835</v>
      </c>
      <c r="P94" s="16">
        <v>1.1747624101076799</v>
      </c>
      <c r="Q94" s="16">
        <v>1.17569024973988</v>
      </c>
      <c r="R94" s="15">
        <v>83.955498011513896</v>
      </c>
      <c r="S94" s="15">
        <v>84.874223704129804</v>
      </c>
      <c r="T94" s="15">
        <v>84.9279172455458</v>
      </c>
      <c r="U94" s="11">
        <v>-8.1200952298544401E-3</v>
      </c>
      <c r="V94" s="11">
        <v>2.76347138394822E-3</v>
      </c>
      <c r="W94" s="11">
        <v>3.3958961920846501E-3</v>
      </c>
      <c r="X94" s="16">
        <v>1.17181226637131</v>
      </c>
      <c r="Y94" s="16">
        <v>1.16233556709835</v>
      </c>
      <c r="Z94" s="16">
        <v>1.1747624101076799</v>
      </c>
      <c r="AA94" s="16">
        <v>1.17569024973988</v>
      </c>
      <c r="AB94" s="15">
        <v>83.955498011513896</v>
      </c>
      <c r="AC94" s="15">
        <v>84.874223704129804</v>
      </c>
      <c r="AD94" s="15">
        <v>84.9279172455458</v>
      </c>
      <c r="AE94" s="11">
        <v>-8.1200952298544401E-3</v>
      </c>
      <c r="AF94" s="11">
        <v>2.76347138394822E-3</v>
      </c>
      <c r="AG94" s="11">
        <v>3.3958961920846501E-3</v>
      </c>
      <c r="AZ94" s="11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11">
        <f t="shared" si="26"/>
        <v>0</v>
      </c>
      <c r="BH94" s="11">
        <f t="shared" si="27"/>
        <v>0</v>
      </c>
      <c r="BI94" s="11">
        <f t="shared" si="28"/>
        <v>0</v>
      </c>
      <c r="BJ94" s="6">
        <f t="shared" si="29"/>
        <v>3.6607751957220797E-2</v>
      </c>
      <c r="BL94" s="11"/>
      <c r="BN94">
        <f t="shared" si="30"/>
        <v>1</v>
      </c>
      <c r="BO94">
        <f t="shared" si="31"/>
        <v>0</v>
      </c>
      <c r="BP94">
        <f t="shared" si="32"/>
        <v>1</v>
      </c>
      <c r="BQ94">
        <f t="shared" si="21"/>
        <v>1</v>
      </c>
      <c r="BR94">
        <f t="shared" si="33"/>
        <v>1</v>
      </c>
      <c r="BS94" s="11">
        <f t="shared" si="34"/>
        <v>3.5931492500308601E-3</v>
      </c>
      <c r="BT94" s="11">
        <f t="shared" si="35"/>
        <v>-4.0089665766762797E-3</v>
      </c>
      <c r="BU94" s="11">
        <f t="shared" si="36"/>
        <v>-4.1581732664541966E-4</v>
      </c>
      <c r="BV94" s="6">
        <f t="shared" si="37"/>
        <v>2.6257640968005778E-2</v>
      </c>
      <c r="BX94" s="6">
        <f t="shared" si="38"/>
        <v>-4.1581732664541966E-4</v>
      </c>
      <c r="BY94" s="6">
        <f t="shared" si="39"/>
        <v>6.2865392925226582E-2</v>
      </c>
    </row>
    <row r="95" spans="1:77" x14ac:dyDescent="0.3">
      <c r="A95" s="1">
        <v>46160</v>
      </c>
      <c r="B95" s="15">
        <v>72.88</v>
      </c>
      <c r="C95" s="15">
        <v>85.9</v>
      </c>
      <c r="D95" s="11">
        <v>8.9587808889473094E-3</v>
      </c>
      <c r="E95" s="11">
        <v>1.4776860880220399E-2</v>
      </c>
      <c r="F95" s="15">
        <v>0</v>
      </c>
      <c r="G95" s="15">
        <v>0.28749999999999998</v>
      </c>
      <c r="H95" s="15">
        <v>0</v>
      </c>
      <c r="I95" s="15">
        <v>0.45490000000000003</v>
      </c>
      <c r="J95" s="15">
        <v>0</v>
      </c>
      <c r="K95" s="15">
        <v>0</v>
      </c>
      <c r="L95" s="15">
        <v>72.88</v>
      </c>
      <c r="M95" s="15">
        <v>85.9</v>
      </c>
      <c r="N95" s="16">
        <v>1.1786498353457699</v>
      </c>
      <c r="O95" s="16">
        <v>1.16233556709835</v>
      </c>
      <c r="P95" s="16">
        <v>1.1751474330178699</v>
      </c>
      <c r="Q95" s="16">
        <v>1.17568011738355</v>
      </c>
      <c r="R95" s="15">
        <v>84.711016130127803</v>
      </c>
      <c r="S95" s="15">
        <v>85.616684448648101</v>
      </c>
      <c r="T95" s="15">
        <v>85.684305401043005</v>
      </c>
      <c r="U95" s="11">
        <v>-1.3938175221127501E-2</v>
      </c>
      <c r="V95" s="11">
        <v>-3.3036530520740202E-3</v>
      </c>
      <c r="W95" s="11">
        <v>-2.5141543344470801E-3</v>
      </c>
      <c r="X95" s="16">
        <v>1.1786498353457699</v>
      </c>
      <c r="Y95" s="16">
        <v>1.16233556709835</v>
      </c>
      <c r="Z95" s="16">
        <v>1.1751474330178699</v>
      </c>
      <c r="AA95" s="16">
        <v>1.17568011738355</v>
      </c>
      <c r="AB95" s="15">
        <v>84.711016130127803</v>
      </c>
      <c r="AC95" s="15">
        <v>85.616684448648101</v>
      </c>
      <c r="AD95" s="15">
        <v>85.684305401043005</v>
      </c>
      <c r="AE95" s="11">
        <v>-1.3938175221127501E-2</v>
      </c>
      <c r="AF95" s="11">
        <v>-3.3036530520740202E-3</v>
      </c>
      <c r="AG95" s="11">
        <v>-2.5141543344470801E-3</v>
      </c>
      <c r="AZ95" s="11"/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0"/>
        <v>1</v>
      </c>
      <c r="BF95">
        <f t="shared" si="25"/>
        <v>0</v>
      </c>
      <c r="BG95" s="11">
        <f t="shared" si="26"/>
        <v>0</v>
      </c>
      <c r="BH95" s="11">
        <f t="shared" si="27"/>
        <v>0</v>
      </c>
      <c r="BI95" s="11">
        <f t="shared" si="28"/>
        <v>0</v>
      </c>
      <c r="BJ95" s="6">
        <f t="shared" si="29"/>
        <v>3.6607751957220797E-2</v>
      </c>
      <c r="BL95" s="11"/>
      <c r="BN95">
        <f t="shared" si="30"/>
        <v>0</v>
      </c>
      <c r="BO95">
        <f t="shared" si="31"/>
        <v>1</v>
      </c>
      <c r="BP95">
        <f t="shared" si="32"/>
        <v>1</v>
      </c>
      <c r="BQ95">
        <f t="shared" si="21"/>
        <v>1</v>
      </c>
      <c r="BR95">
        <f t="shared" si="33"/>
        <v>1</v>
      </c>
      <c r="BS95" s="11">
        <f t="shared" si="34"/>
        <v>-8.9587808889473094E-3</v>
      </c>
      <c r="BT95" s="11">
        <f t="shared" si="35"/>
        <v>1.4776860880220399E-2</v>
      </c>
      <c r="BU95" s="11">
        <f t="shared" si="36"/>
        <v>5.81807999127309E-3</v>
      </c>
      <c r="BV95" s="6">
        <f t="shared" si="37"/>
        <v>3.2075720959278867E-2</v>
      </c>
      <c r="BX95" s="6">
        <f t="shared" si="38"/>
        <v>5.81807999127309E-3</v>
      </c>
      <c r="BY95" s="6">
        <f t="shared" si="39"/>
        <v>6.8683472916499677E-2</v>
      </c>
    </row>
    <row r="96" spans="1:77" x14ac:dyDescent="0.3">
      <c r="A96" s="1">
        <v>46161</v>
      </c>
      <c r="B96" s="15">
        <v>72.7</v>
      </c>
      <c r="C96" s="15">
        <v>86.09</v>
      </c>
      <c r="D96" s="11">
        <v>-2.47286841222904E-3</v>
      </c>
      <c r="E96" s="11">
        <v>2.20943167965356E-3</v>
      </c>
      <c r="F96" s="15">
        <v>0</v>
      </c>
      <c r="G96" s="15">
        <v>0.28749999999999998</v>
      </c>
      <c r="H96" s="15">
        <v>0</v>
      </c>
      <c r="I96" s="15">
        <v>0.45490000000000003</v>
      </c>
      <c r="J96" s="15">
        <v>0</v>
      </c>
      <c r="K96" s="15">
        <v>0</v>
      </c>
      <c r="L96" s="15">
        <v>72.7</v>
      </c>
      <c r="M96" s="15">
        <v>86.09</v>
      </c>
      <c r="N96" s="16">
        <v>1.1841815680880301</v>
      </c>
      <c r="O96" s="16">
        <v>1.16233556709835</v>
      </c>
      <c r="P96" s="16">
        <v>1.17586746605182</v>
      </c>
      <c r="Q96" s="16">
        <v>1.17561062125514</v>
      </c>
      <c r="R96" s="15">
        <v>84.501795728050098</v>
      </c>
      <c r="S96" s="15">
        <v>85.433218380399794</v>
      </c>
      <c r="T96" s="15">
        <v>85.471944533784395</v>
      </c>
      <c r="U96" s="11">
        <v>-1.8620475313010199E-2</v>
      </c>
      <c r="V96" s="11">
        <v>-7.6582614967521997E-3</v>
      </c>
      <c r="W96" s="11">
        <v>-7.2050726827098399E-3</v>
      </c>
      <c r="X96" s="16">
        <v>1.1841815680880301</v>
      </c>
      <c r="Y96" s="16">
        <v>1.16233556709835</v>
      </c>
      <c r="Z96" s="16">
        <v>1.17586746605182</v>
      </c>
      <c r="AA96" s="16">
        <v>1.17561062125514</v>
      </c>
      <c r="AB96" s="15">
        <v>84.501795728050098</v>
      </c>
      <c r="AC96" s="15">
        <v>85.433218380399794</v>
      </c>
      <c r="AD96" s="15">
        <v>85.471944533784395</v>
      </c>
      <c r="AE96" s="11">
        <v>-1.8620475313010199E-2</v>
      </c>
      <c r="AF96" s="11">
        <v>-7.6582614967521997E-3</v>
      </c>
      <c r="AG96" s="11">
        <v>-7.2050726827098399E-3</v>
      </c>
      <c r="AZ96" s="11"/>
      <c r="BB96">
        <f t="shared" si="22"/>
        <v>1</v>
      </c>
      <c r="BC96">
        <f t="shared" si="23"/>
        <v>0</v>
      </c>
      <c r="BD96">
        <f t="shared" si="24"/>
        <v>0</v>
      </c>
      <c r="BE96">
        <f t="shared" si="20"/>
        <v>1</v>
      </c>
      <c r="BF96">
        <f t="shared" si="25"/>
        <v>0</v>
      </c>
      <c r="BG96" s="11">
        <f t="shared" si="26"/>
        <v>0</v>
      </c>
      <c r="BH96" s="11">
        <f t="shared" si="27"/>
        <v>0</v>
      </c>
      <c r="BI96" s="11">
        <f t="shared" si="28"/>
        <v>0</v>
      </c>
      <c r="BJ96" s="6">
        <f t="shared" si="29"/>
        <v>3.6607751957220797E-2</v>
      </c>
      <c r="BL96" s="11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11">
        <f t="shared" si="34"/>
        <v>0</v>
      </c>
      <c r="BT96" s="11">
        <f t="shared" si="35"/>
        <v>0</v>
      </c>
      <c r="BU96" s="11">
        <f t="shared" si="36"/>
        <v>0</v>
      </c>
      <c r="BV96" s="6">
        <f t="shared" si="37"/>
        <v>3.2075720959278867E-2</v>
      </c>
      <c r="BX96" s="6">
        <f t="shared" si="38"/>
        <v>0</v>
      </c>
      <c r="BY96" s="6">
        <f t="shared" si="39"/>
        <v>6.8683472916499677E-2</v>
      </c>
    </row>
    <row r="97" spans="1:77" x14ac:dyDescent="0.3">
      <c r="A97" s="1">
        <v>46162</v>
      </c>
      <c r="B97" s="15">
        <v>72.45</v>
      </c>
      <c r="C97" s="15">
        <v>85.52</v>
      </c>
      <c r="D97" s="11">
        <v>-3.4447157727823001E-3</v>
      </c>
      <c r="E97" s="11">
        <v>-6.6429939530735296E-3</v>
      </c>
      <c r="F97" s="15">
        <v>0</v>
      </c>
      <c r="G97" s="15">
        <v>0.28749999999999998</v>
      </c>
      <c r="H97" s="15">
        <v>0</v>
      </c>
      <c r="I97" s="15">
        <v>0.45490000000000003</v>
      </c>
      <c r="J97" s="15">
        <v>0</v>
      </c>
      <c r="K97" s="15">
        <v>0</v>
      </c>
      <c r="L97" s="15">
        <v>72.45</v>
      </c>
      <c r="M97" s="15">
        <v>85.52</v>
      </c>
      <c r="N97" s="16">
        <v>1.1804002760524499</v>
      </c>
      <c r="O97" s="16">
        <v>1.16233556709835</v>
      </c>
      <c r="P97" s="16">
        <v>1.1759903603983899</v>
      </c>
      <c r="Q97" s="16">
        <v>1.17548209738308</v>
      </c>
      <c r="R97" s="15">
        <v>84.211211836275595</v>
      </c>
      <c r="S97" s="15">
        <v>85.191597915455006</v>
      </c>
      <c r="T97" s="15">
        <v>85.172989509935107</v>
      </c>
      <c r="U97" s="11">
        <v>-1.54221971327188E-2</v>
      </c>
      <c r="V97" s="11">
        <v>-3.8474537601847101E-3</v>
      </c>
      <c r="W97" s="11">
        <v>-4.0659076756967699E-3</v>
      </c>
      <c r="X97" s="16">
        <v>1.1804002760524499</v>
      </c>
      <c r="Y97" s="16">
        <v>1.16233556709835</v>
      </c>
      <c r="Z97" s="16">
        <v>1.1759903603983899</v>
      </c>
      <c r="AA97" s="16">
        <v>1.17548209738308</v>
      </c>
      <c r="AB97" s="15">
        <v>84.211211836275595</v>
      </c>
      <c r="AC97" s="15">
        <v>85.191597915455006</v>
      </c>
      <c r="AD97" s="15">
        <v>85.172989509935107</v>
      </c>
      <c r="AE97" s="11">
        <v>-1.54221971327188E-2</v>
      </c>
      <c r="AF97" s="11">
        <v>-3.8474537601847101E-3</v>
      </c>
      <c r="AG97" s="11">
        <v>-4.0659076756967699E-3</v>
      </c>
      <c r="AZ97" s="11"/>
      <c r="BB97">
        <f t="shared" si="22"/>
        <v>1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11">
        <f t="shared" si="26"/>
        <v>-3.4447157727823001E-3</v>
      </c>
      <c r="BH97" s="11">
        <f t="shared" si="27"/>
        <v>6.6429939530735296E-3</v>
      </c>
      <c r="BI97" s="11">
        <f t="shared" si="28"/>
        <v>3.1982781802912296E-3</v>
      </c>
      <c r="BJ97" s="6">
        <f t="shared" si="29"/>
        <v>3.9806030137512029E-2</v>
      </c>
      <c r="BL97" s="11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11">
        <f t="shared" si="34"/>
        <v>0</v>
      </c>
      <c r="BT97" s="11">
        <f t="shared" si="35"/>
        <v>0</v>
      </c>
      <c r="BU97" s="11">
        <f t="shared" si="36"/>
        <v>0</v>
      </c>
      <c r="BV97" s="6">
        <f t="shared" si="37"/>
        <v>3.2075720959278867E-2</v>
      </c>
      <c r="BX97" s="6">
        <f t="shared" si="38"/>
        <v>3.1982781802912296E-3</v>
      </c>
      <c r="BY97" s="6">
        <f t="shared" si="39"/>
        <v>7.1881751096790902E-2</v>
      </c>
    </row>
    <row r="98" spans="1:77" x14ac:dyDescent="0.3">
      <c r="A98" s="1">
        <v>46163</v>
      </c>
      <c r="B98" s="15">
        <v>72.5</v>
      </c>
      <c r="C98" s="15">
        <v>84.66</v>
      </c>
      <c r="D98" s="11">
        <v>6.8989309393764598E-4</v>
      </c>
      <c r="E98" s="11">
        <v>-1.01070316240121E-2</v>
      </c>
      <c r="F98" s="15">
        <v>0</v>
      </c>
      <c r="G98" s="15">
        <v>0.28749999999999998</v>
      </c>
      <c r="H98" s="15">
        <v>0</v>
      </c>
      <c r="I98" s="15">
        <v>0.45490000000000003</v>
      </c>
      <c r="J98" s="15">
        <v>0</v>
      </c>
      <c r="K98" s="15">
        <v>0</v>
      </c>
      <c r="L98" s="15">
        <v>72.5</v>
      </c>
      <c r="M98" s="15">
        <v>84.66</v>
      </c>
      <c r="N98" s="16">
        <v>1.1677241379310299</v>
      </c>
      <c r="O98" s="16">
        <v>1.16233556709835</v>
      </c>
      <c r="P98" s="16">
        <v>1.1746142091943099</v>
      </c>
      <c r="Q98" s="16">
        <v>1.17483011474639</v>
      </c>
      <c r="R98" s="15">
        <v>84.269328614630496</v>
      </c>
      <c r="S98" s="15">
        <v>85.259301128883607</v>
      </c>
      <c r="T98" s="15">
        <v>85.222452060273298</v>
      </c>
      <c r="U98" s="11">
        <v>-4.6252724147691701E-3</v>
      </c>
      <c r="V98" s="11">
        <v>7.0539792705517999E-3</v>
      </c>
      <c r="W98" s="11">
        <v>6.6216858609064004E-3</v>
      </c>
      <c r="X98" s="16">
        <v>1.1677241379310299</v>
      </c>
      <c r="Y98" s="16">
        <v>1.16233556709835</v>
      </c>
      <c r="Z98" s="16">
        <v>1.1746142091943099</v>
      </c>
      <c r="AA98" s="16">
        <v>1.17483011474639</v>
      </c>
      <c r="AB98" s="15">
        <v>84.269328614630496</v>
      </c>
      <c r="AC98" s="15">
        <v>85.259301128883607</v>
      </c>
      <c r="AD98" s="15">
        <v>85.222452060273298</v>
      </c>
      <c r="AE98" s="11">
        <v>-4.6252724147691701E-3</v>
      </c>
      <c r="AF98" s="11">
        <v>7.0539792705517999E-3</v>
      </c>
      <c r="AG98" s="11">
        <v>6.6216858609064004E-3</v>
      </c>
      <c r="AZ98" s="11"/>
      <c r="BB98">
        <f t="shared" si="22"/>
        <v>0</v>
      </c>
      <c r="BC98">
        <f t="shared" si="23"/>
        <v>1</v>
      </c>
      <c r="BD98">
        <f t="shared" si="24"/>
        <v>1</v>
      </c>
      <c r="BE98">
        <f t="shared" si="20"/>
        <v>1</v>
      </c>
      <c r="BF98">
        <f t="shared" si="25"/>
        <v>1</v>
      </c>
      <c r="BG98" s="11">
        <f t="shared" si="26"/>
        <v>6.8989309393764598E-4</v>
      </c>
      <c r="BH98" s="11">
        <f t="shared" si="27"/>
        <v>1.01070316240121E-2</v>
      </c>
      <c r="BI98" s="11">
        <f t="shared" si="28"/>
        <v>1.0796924717949746E-2</v>
      </c>
      <c r="BJ98" s="6">
        <f t="shared" si="29"/>
        <v>5.0602954855461776E-2</v>
      </c>
      <c r="BL98" s="11"/>
      <c r="BN98">
        <f t="shared" si="30"/>
        <v>1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11">
        <f t="shared" si="34"/>
        <v>0</v>
      </c>
      <c r="BT98" s="11">
        <f t="shared" si="35"/>
        <v>0</v>
      </c>
      <c r="BU98" s="11">
        <f t="shared" si="36"/>
        <v>0</v>
      </c>
      <c r="BV98" s="6">
        <f t="shared" si="37"/>
        <v>3.2075720959278867E-2</v>
      </c>
      <c r="BX98" s="6">
        <f t="shared" si="38"/>
        <v>1.0796924717949746E-2</v>
      </c>
      <c r="BY98" s="6">
        <f t="shared" si="39"/>
        <v>8.2678675814740643E-2</v>
      </c>
    </row>
    <row r="99" spans="1:77" x14ac:dyDescent="0.3">
      <c r="A99" s="1">
        <v>46164</v>
      </c>
      <c r="B99" s="15">
        <v>72.88</v>
      </c>
      <c r="C99" s="15">
        <v>84.8</v>
      </c>
      <c r="D99" s="11">
        <v>5.2276910910737003E-3</v>
      </c>
      <c r="E99" s="11">
        <v>1.65230770507975E-3</v>
      </c>
      <c r="F99" s="15">
        <v>0</v>
      </c>
      <c r="G99" s="15">
        <v>0.28749999999999998</v>
      </c>
      <c r="H99" s="15">
        <v>0</v>
      </c>
      <c r="I99" s="15">
        <v>0.45490000000000003</v>
      </c>
      <c r="J99" s="15">
        <v>0</v>
      </c>
      <c r="K99" s="15">
        <v>0</v>
      </c>
      <c r="L99" s="15">
        <v>72.88</v>
      </c>
      <c r="M99" s="15">
        <v>84.8</v>
      </c>
      <c r="N99" s="16">
        <v>1.1635565312842999</v>
      </c>
      <c r="O99" s="16">
        <v>1.16233556709835</v>
      </c>
      <c r="P99" s="16">
        <v>1.17293845458297</v>
      </c>
      <c r="Q99" s="16">
        <v>1.17409655965715</v>
      </c>
      <c r="R99" s="15">
        <v>84.711016130127803</v>
      </c>
      <c r="S99" s="15">
        <v>85.605883566081502</v>
      </c>
      <c r="T99" s="15">
        <v>85.621618762717006</v>
      </c>
      <c r="U99" s="11">
        <v>-1.0498890287751199E-3</v>
      </c>
      <c r="V99" s="11">
        <v>9.45847123643365E-3</v>
      </c>
      <c r="W99" s="11">
        <v>9.6422641022505997E-3</v>
      </c>
      <c r="X99" s="16">
        <v>1.1635565312842999</v>
      </c>
      <c r="Y99" s="16">
        <v>1.16233556709835</v>
      </c>
      <c r="Z99" s="16">
        <v>1.17293845458297</v>
      </c>
      <c r="AA99" s="16">
        <v>1.17409655965715</v>
      </c>
      <c r="AB99" s="15">
        <v>84.711016130127803</v>
      </c>
      <c r="AC99" s="15">
        <v>85.605883566081502</v>
      </c>
      <c r="AD99" s="15">
        <v>85.621618762717006</v>
      </c>
      <c r="AE99" s="11">
        <v>-1.0498890287751199E-3</v>
      </c>
      <c r="AF99" s="11">
        <v>9.45847123643365E-3</v>
      </c>
      <c r="AG99" s="11">
        <v>9.6422641022505997E-3</v>
      </c>
      <c r="AZ99" s="11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11">
        <f t="shared" si="26"/>
        <v>0</v>
      </c>
      <c r="BH99" s="11">
        <f t="shared" si="27"/>
        <v>0</v>
      </c>
      <c r="BI99" s="11">
        <f t="shared" si="28"/>
        <v>0</v>
      </c>
      <c r="BJ99" s="6">
        <f t="shared" si="29"/>
        <v>5.0602954855461776E-2</v>
      </c>
      <c r="BL99" s="11"/>
      <c r="BN99">
        <f t="shared" si="30"/>
        <v>1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11">
        <f t="shared" si="34"/>
        <v>-5.2276910910737003E-3</v>
      </c>
      <c r="BT99" s="11">
        <f t="shared" si="35"/>
        <v>1.65230770507975E-3</v>
      </c>
      <c r="BU99" s="11">
        <f t="shared" si="36"/>
        <v>-3.57538338599395E-3</v>
      </c>
      <c r="BV99" s="6">
        <f t="shared" si="37"/>
        <v>2.8500337573284917E-2</v>
      </c>
      <c r="BX99" s="6">
        <f t="shared" si="38"/>
        <v>-3.57538338599395E-3</v>
      </c>
      <c r="BY99" s="6">
        <f t="shared" si="39"/>
        <v>7.9103292428746697E-2</v>
      </c>
    </row>
    <row r="100" spans="1:77" x14ac:dyDescent="0.3">
      <c r="A100" s="1">
        <v>46168</v>
      </c>
      <c r="B100" s="15">
        <v>71.72</v>
      </c>
      <c r="C100" s="15">
        <v>83.63</v>
      </c>
      <c r="D100" s="11">
        <v>-1.6044604214770702E-2</v>
      </c>
      <c r="E100" s="11">
        <v>-1.38932354044229E-2</v>
      </c>
      <c r="F100" s="15">
        <v>0</v>
      </c>
      <c r="G100" s="15">
        <v>0.28749999999999998</v>
      </c>
      <c r="H100" s="15">
        <v>0</v>
      </c>
      <c r="I100" s="15">
        <v>0.45490000000000003</v>
      </c>
      <c r="J100" s="15">
        <v>0</v>
      </c>
      <c r="K100" s="15">
        <v>0</v>
      </c>
      <c r="L100" s="15">
        <v>71.72</v>
      </c>
      <c r="M100" s="15">
        <v>83.63</v>
      </c>
      <c r="N100" s="16">
        <v>1.16606246514221</v>
      </c>
      <c r="O100" s="16">
        <v>1.16233556709835</v>
      </c>
      <c r="P100" s="16">
        <v>1.17261622984895</v>
      </c>
      <c r="Q100" s="16">
        <v>1.17367767464155</v>
      </c>
      <c r="R100" s="15">
        <v>83.362706872293799</v>
      </c>
      <c r="S100" s="15">
        <v>84.123145962691197</v>
      </c>
      <c r="T100" s="15">
        <v>84.206205258611007</v>
      </c>
      <c r="U100" s="11">
        <v>-3.2012578391229299E-3</v>
      </c>
      <c r="V100" s="11">
        <v>5.8794412521147596E-3</v>
      </c>
      <c r="W100" s="11">
        <v>6.8663077974699602E-3</v>
      </c>
      <c r="X100" s="16">
        <v>1.16606246514221</v>
      </c>
      <c r="Y100" s="16">
        <v>1.16233556709835</v>
      </c>
      <c r="Z100" s="16">
        <v>1.17261622984895</v>
      </c>
      <c r="AA100" s="16">
        <v>1.17367767464155</v>
      </c>
      <c r="AB100" s="15">
        <v>83.362706872293799</v>
      </c>
      <c r="AC100" s="15">
        <v>84.123145962691197</v>
      </c>
      <c r="AD100" s="15">
        <v>84.206205258611007</v>
      </c>
      <c r="AE100" s="11">
        <v>-3.2012578391229299E-3</v>
      </c>
      <c r="AF100" s="11">
        <v>5.8794412521147596E-3</v>
      </c>
      <c r="AG100" s="11">
        <v>6.8663077974699602E-3</v>
      </c>
      <c r="AZ100" s="11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11">
        <f t="shared" si="26"/>
        <v>0</v>
      </c>
      <c r="BH100" s="11">
        <f t="shared" si="27"/>
        <v>0</v>
      </c>
      <c r="BI100" s="11">
        <f t="shared" si="28"/>
        <v>0</v>
      </c>
      <c r="BJ100" s="6">
        <f t="shared" si="29"/>
        <v>5.0602954855461776E-2</v>
      </c>
      <c r="BL100" s="11"/>
      <c r="BN100">
        <f t="shared" si="30"/>
        <v>1</v>
      </c>
      <c r="BO100">
        <f t="shared" si="31"/>
        <v>0</v>
      </c>
      <c r="BP100">
        <f t="shared" si="32"/>
        <v>1</v>
      </c>
      <c r="BQ100">
        <f t="shared" si="21"/>
        <v>1</v>
      </c>
      <c r="BR100">
        <f t="shared" si="33"/>
        <v>1</v>
      </c>
      <c r="BS100" s="11">
        <f t="shared" si="34"/>
        <v>1.6044604214770702E-2</v>
      </c>
      <c r="BT100" s="11">
        <f t="shared" si="35"/>
        <v>-1.38932354044229E-2</v>
      </c>
      <c r="BU100" s="11">
        <f t="shared" si="36"/>
        <v>2.1513688103478017E-3</v>
      </c>
      <c r="BV100" s="6">
        <f t="shared" si="37"/>
        <v>3.0651706383632717E-2</v>
      </c>
      <c r="BX100" s="6">
        <f t="shared" si="38"/>
        <v>2.1513688103478017E-3</v>
      </c>
      <c r="BY100" s="6">
        <f t="shared" si="39"/>
        <v>8.12546612390945E-2</v>
      </c>
    </row>
    <row r="101" spans="1:77" x14ac:dyDescent="0.3">
      <c r="A101" s="1">
        <v>46169</v>
      </c>
      <c r="B101" s="15">
        <v>72.61</v>
      </c>
      <c r="C101" s="15">
        <v>84.58</v>
      </c>
      <c r="D101" s="11">
        <v>1.23330046552232E-2</v>
      </c>
      <c r="E101" s="11">
        <v>1.12955246509082E-2</v>
      </c>
      <c r="F101" s="15">
        <v>0</v>
      </c>
      <c r="G101" s="15">
        <v>0.28749999999999998</v>
      </c>
      <c r="H101" s="15">
        <v>0</v>
      </c>
      <c r="I101" s="15">
        <v>0.45490000000000003</v>
      </c>
      <c r="J101" s="15">
        <v>0</v>
      </c>
      <c r="K101" s="15">
        <v>0</v>
      </c>
      <c r="L101" s="15">
        <v>72.61</v>
      </c>
      <c r="M101" s="15">
        <v>84.58</v>
      </c>
      <c r="N101" s="16">
        <v>1.1648533259881499</v>
      </c>
      <c r="O101" s="16">
        <v>1.16233556709835</v>
      </c>
      <c r="P101" s="16">
        <v>1.17216485008106</v>
      </c>
      <c r="Q101" s="16">
        <v>1.17355305135264</v>
      </c>
      <c r="R101" s="15">
        <v>84.397185527011302</v>
      </c>
      <c r="S101" s="15">
        <v>85.143664449332505</v>
      </c>
      <c r="T101" s="15">
        <v>85.220735955722901</v>
      </c>
      <c r="U101" s="11">
        <v>-2.1637778348078001E-3</v>
      </c>
      <c r="V101" s="11">
        <v>6.6421677082046399E-3</v>
      </c>
      <c r="W101" s="11">
        <v>7.5469519408846598E-3</v>
      </c>
      <c r="X101" s="16">
        <v>1.1648533259881499</v>
      </c>
      <c r="Y101" s="16">
        <v>1.16233556709835</v>
      </c>
      <c r="Z101" s="16">
        <v>1.17216485008106</v>
      </c>
      <c r="AA101" s="16">
        <v>1.17355305135264</v>
      </c>
      <c r="AB101" s="15">
        <v>84.397185527011302</v>
      </c>
      <c r="AC101" s="15">
        <v>85.143664449332505</v>
      </c>
      <c r="AD101" s="15">
        <v>85.220735955722901</v>
      </c>
      <c r="AE101" s="11">
        <v>-2.1637778348078001E-3</v>
      </c>
      <c r="AF101" s="11">
        <v>6.6421677082046399E-3</v>
      </c>
      <c r="AG101" s="11">
        <v>7.5469519408846598E-3</v>
      </c>
      <c r="AZ101" s="11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11">
        <f t="shared" si="26"/>
        <v>0</v>
      </c>
      <c r="BH101" s="11">
        <f t="shared" si="27"/>
        <v>0</v>
      </c>
      <c r="BI101" s="11">
        <f t="shared" si="28"/>
        <v>0</v>
      </c>
      <c r="BJ101" s="6">
        <f t="shared" si="29"/>
        <v>5.0602954855461776E-2</v>
      </c>
      <c r="BL101" s="11"/>
      <c r="BN101">
        <f t="shared" si="30"/>
        <v>1</v>
      </c>
      <c r="BO101">
        <f t="shared" si="31"/>
        <v>0</v>
      </c>
      <c r="BP101">
        <f t="shared" si="32"/>
        <v>1</v>
      </c>
      <c r="BQ101">
        <f t="shared" si="21"/>
        <v>1</v>
      </c>
      <c r="BR101">
        <f t="shared" si="33"/>
        <v>1</v>
      </c>
      <c r="BS101" s="11">
        <f t="shared" si="34"/>
        <v>-1.23330046552232E-2</v>
      </c>
      <c r="BT101" s="11">
        <f t="shared" si="35"/>
        <v>1.12955246509082E-2</v>
      </c>
      <c r="BU101" s="11">
        <f t="shared" si="36"/>
        <v>-1.0374800043150001E-3</v>
      </c>
      <c r="BV101" s="6">
        <f t="shared" si="37"/>
        <v>2.9614226379317717E-2</v>
      </c>
      <c r="BX101" s="6">
        <f t="shared" si="38"/>
        <v>-1.0374800043150001E-3</v>
      </c>
      <c r="BY101" s="6">
        <f t="shared" si="39"/>
        <v>8.02171812347795E-2</v>
      </c>
    </row>
    <row r="102" spans="1:77" x14ac:dyDescent="0.3">
      <c r="A102" s="1">
        <v>46170</v>
      </c>
      <c r="B102" s="15">
        <v>72.180000000000007</v>
      </c>
      <c r="C102" s="15">
        <v>84.43</v>
      </c>
      <c r="D102" s="11">
        <v>-5.9396541775128204E-3</v>
      </c>
      <c r="E102" s="11">
        <v>-1.77504336293381E-3</v>
      </c>
      <c r="F102" s="15">
        <v>0</v>
      </c>
      <c r="G102" s="15">
        <v>0.28749999999999998</v>
      </c>
      <c r="H102" s="15">
        <v>0</v>
      </c>
      <c r="I102" s="15">
        <v>0.45490000000000003</v>
      </c>
      <c r="J102" s="15">
        <v>0</v>
      </c>
      <c r="K102" s="15">
        <v>0</v>
      </c>
      <c r="L102" s="15">
        <v>72.180000000000007</v>
      </c>
      <c r="M102" s="15">
        <v>84.43</v>
      </c>
      <c r="N102" s="16">
        <v>1.1697146023829299</v>
      </c>
      <c r="O102" s="16">
        <v>1.16233556709835</v>
      </c>
      <c r="P102" s="16">
        <v>1.1719254636120999</v>
      </c>
      <c r="Q102" s="16">
        <v>1.17361149849547</v>
      </c>
      <c r="R102" s="15">
        <v>83.897381233158995</v>
      </c>
      <c r="S102" s="15">
        <v>84.606858878851</v>
      </c>
      <c r="T102" s="15">
        <v>84.707059246634103</v>
      </c>
      <c r="U102" s="11">
        <v>-6.3283886493866199E-3</v>
      </c>
      <c r="V102" s="11">
        <v>2.09254886252923E-3</v>
      </c>
      <c r="W102" s="11">
        <v>3.2761536197781901E-3</v>
      </c>
      <c r="X102" s="16">
        <v>1.1697146023829299</v>
      </c>
      <c r="Y102" s="16">
        <v>1.16233556709835</v>
      </c>
      <c r="Z102" s="16">
        <v>1.1719254636120999</v>
      </c>
      <c r="AA102" s="16">
        <v>1.17361149849547</v>
      </c>
      <c r="AB102" s="15">
        <v>83.897381233158995</v>
      </c>
      <c r="AC102" s="15">
        <v>84.606858878851</v>
      </c>
      <c r="AD102" s="15">
        <v>84.707059246634103</v>
      </c>
      <c r="AE102" s="11">
        <v>-6.3283886493866199E-3</v>
      </c>
      <c r="AF102" s="11">
        <v>2.09254886252923E-3</v>
      </c>
      <c r="AG102" s="11">
        <v>3.2761536197781901E-3</v>
      </c>
      <c r="AZ102" s="11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11">
        <f t="shared" si="26"/>
        <v>0</v>
      </c>
      <c r="BH102" s="11">
        <f t="shared" si="27"/>
        <v>0</v>
      </c>
      <c r="BI102" s="11">
        <f t="shared" si="28"/>
        <v>0</v>
      </c>
      <c r="BJ102" s="6">
        <f t="shared" si="29"/>
        <v>5.0602954855461776E-2</v>
      </c>
      <c r="BL102" s="11"/>
      <c r="BN102">
        <f t="shared" si="30"/>
        <v>1</v>
      </c>
      <c r="BO102">
        <f t="shared" si="31"/>
        <v>0</v>
      </c>
      <c r="BP102">
        <f t="shared" si="32"/>
        <v>1</v>
      </c>
      <c r="BQ102">
        <f t="shared" si="21"/>
        <v>1</v>
      </c>
      <c r="BR102">
        <f t="shared" si="33"/>
        <v>1</v>
      </c>
      <c r="BS102" s="11">
        <f t="shared" si="34"/>
        <v>5.9396541775128204E-3</v>
      </c>
      <c r="BT102" s="11">
        <f t="shared" si="35"/>
        <v>-1.77504336293381E-3</v>
      </c>
      <c r="BU102" s="11">
        <f t="shared" si="36"/>
        <v>4.1646108145790102E-3</v>
      </c>
      <c r="BV102" s="6">
        <f t="shared" si="37"/>
        <v>3.3778837193896724E-2</v>
      </c>
      <c r="BX102" s="6">
        <f t="shared" si="38"/>
        <v>4.1646108145790102E-3</v>
      </c>
      <c r="BY102" s="6">
        <f t="shared" si="39"/>
        <v>8.4381792049358514E-2</v>
      </c>
    </row>
    <row r="103" spans="1:77" x14ac:dyDescent="0.3">
      <c r="A103" s="1">
        <v>46171</v>
      </c>
      <c r="B103" s="15">
        <v>71.11</v>
      </c>
      <c r="C103" s="15">
        <v>82.91</v>
      </c>
      <c r="D103" s="11">
        <v>-1.4935025319216E-2</v>
      </c>
      <c r="E103" s="11">
        <v>-1.8167106553281302E-2</v>
      </c>
      <c r="F103" s="15">
        <v>0</v>
      </c>
      <c r="G103" s="15">
        <v>0.28749999999999998</v>
      </c>
      <c r="H103" s="15">
        <v>0</v>
      </c>
      <c r="I103" s="15">
        <v>0.45490000000000003</v>
      </c>
      <c r="J103" s="15">
        <v>0</v>
      </c>
      <c r="K103" s="15">
        <v>0</v>
      </c>
      <c r="L103" s="15">
        <v>71.11</v>
      </c>
      <c r="M103" s="15">
        <v>82.91</v>
      </c>
      <c r="N103" s="16">
        <v>1.1659400928139501</v>
      </c>
      <c r="O103" s="16">
        <v>1.16233556709835</v>
      </c>
      <c r="P103" s="16">
        <v>1.17128951014001</v>
      </c>
      <c r="Q103" s="16">
        <v>1.17317226236704</v>
      </c>
      <c r="R103" s="15">
        <v>82.653682176363802</v>
      </c>
      <c r="S103" s="15">
        <v>83.335619717456694</v>
      </c>
      <c r="T103" s="15">
        <v>83.455513658012904</v>
      </c>
      <c r="U103" s="11">
        <v>-3.09630741532143E-3</v>
      </c>
      <c r="V103" s="11">
        <v>5.1203832991137E-3</v>
      </c>
      <c r="W103" s="11">
        <v>6.5580371932983297E-3</v>
      </c>
      <c r="X103" s="16">
        <v>1.1659400928139501</v>
      </c>
      <c r="Y103" s="16">
        <v>1.16233556709835</v>
      </c>
      <c r="Z103" s="16">
        <v>1.17128951014001</v>
      </c>
      <c r="AA103" s="16">
        <v>1.17317226236704</v>
      </c>
      <c r="AB103" s="15">
        <v>82.653682176363802</v>
      </c>
      <c r="AC103" s="15">
        <v>83.335619717456694</v>
      </c>
      <c r="AD103" s="15">
        <v>83.455513658012904</v>
      </c>
      <c r="AE103" s="11">
        <v>-3.09630741532143E-3</v>
      </c>
      <c r="AF103" s="11">
        <v>5.1203832991137E-3</v>
      </c>
      <c r="AG103" s="11">
        <v>6.5580371932983297E-3</v>
      </c>
      <c r="AZ103" s="11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11">
        <f t="shared" si="26"/>
        <v>0</v>
      </c>
      <c r="BH103" s="11">
        <f t="shared" si="27"/>
        <v>0</v>
      </c>
      <c r="BI103" s="11">
        <f t="shared" si="28"/>
        <v>0</v>
      </c>
      <c r="BJ103" s="6">
        <f t="shared" si="29"/>
        <v>5.0602954855461776E-2</v>
      </c>
      <c r="BL103" s="11"/>
      <c r="BN103">
        <f t="shared" si="30"/>
        <v>1</v>
      </c>
      <c r="BO103">
        <f t="shared" si="31"/>
        <v>0</v>
      </c>
      <c r="BP103">
        <f t="shared" si="32"/>
        <v>1</v>
      </c>
      <c r="BQ103">
        <f t="shared" si="21"/>
        <v>1</v>
      </c>
      <c r="BR103">
        <f t="shared" si="33"/>
        <v>1</v>
      </c>
      <c r="BS103" s="11">
        <f t="shared" si="34"/>
        <v>1.4935025319216E-2</v>
      </c>
      <c r="BT103" s="11">
        <f t="shared" si="35"/>
        <v>-1.8167106553281302E-2</v>
      </c>
      <c r="BU103" s="11">
        <f t="shared" si="36"/>
        <v>-3.2320812340653014E-3</v>
      </c>
      <c r="BV103" s="6">
        <f t="shared" si="37"/>
        <v>3.0546755959831424E-2</v>
      </c>
      <c r="BX103" s="6">
        <f t="shared" si="38"/>
        <v>-3.2320812340653014E-3</v>
      </c>
      <c r="BY103" s="6">
        <f t="shared" si="39"/>
        <v>8.1149710815293208E-2</v>
      </c>
    </row>
    <row r="104" spans="1:77" x14ac:dyDescent="0.3">
      <c r="A104" s="1">
        <v>46174</v>
      </c>
      <c r="B104" s="15">
        <v>70.209999999999994</v>
      </c>
      <c r="C104" s="15">
        <v>82.03</v>
      </c>
      <c r="D104" s="11">
        <v>-1.2737222866269099E-2</v>
      </c>
      <c r="E104" s="11">
        <v>-1.0670648113468699E-2</v>
      </c>
      <c r="F104" s="15">
        <v>0</v>
      </c>
      <c r="G104" s="15">
        <v>0.28749999999999998</v>
      </c>
      <c r="H104" s="15">
        <v>0</v>
      </c>
      <c r="I104" s="15">
        <v>0.45490000000000003</v>
      </c>
      <c r="J104" s="15">
        <v>0</v>
      </c>
      <c r="K104" s="15">
        <v>0</v>
      </c>
      <c r="L104" s="15">
        <v>70.209999999999994</v>
      </c>
      <c r="M104" s="15">
        <v>82.03</v>
      </c>
      <c r="N104" s="16">
        <v>1.16835208659735</v>
      </c>
      <c r="O104" s="16">
        <v>1.16233556709835</v>
      </c>
      <c r="P104" s="16">
        <v>1.1709434921626201</v>
      </c>
      <c r="Q104" s="16">
        <v>1.17285295113515</v>
      </c>
      <c r="R104" s="15">
        <v>81.607580165975193</v>
      </c>
      <c r="S104" s="15">
        <v>82.236236506930496</v>
      </c>
      <c r="T104" s="15">
        <v>82.368424540790102</v>
      </c>
      <c r="U104" s="11">
        <v>-5.1628821681218998E-3</v>
      </c>
      <c r="V104" s="11">
        <v>2.5110043266182202E-3</v>
      </c>
      <c r="W104" s="11">
        <v>4.1171321414051002E-3</v>
      </c>
      <c r="X104" s="16">
        <v>1.16835208659735</v>
      </c>
      <c r="Y104" s="16">
        <v>1.16233556709835</v>
      </c>
      <c r="Z104" s="16">
        <v>1.1709434921626201</v>
      </c>
      <c r="AA104" s="16">
        <v>1.17285295113515</v>
      </c>
      <c r="AB104" s="15">
        <v>81.607580165975193</v>
      </c>
      <c r="AC104" s="15">
        <v>82.236236506930496</v>
      </c>
      <c r="AD104" s="15">
        <v>82.368424540790102</v>
      </c>
      <c r="AE104" s="11">
        <v>-5.1628821681218998E-3</v>
      </c>
      <c r="AF104" s="11">
        <v>2.5110043266182202E-3</v>
      </c>
      <c r="AG104" s="11">
        <v>4.1171321414051002E-3</v>
      </c>
      <c r="AZ104" s="11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11">
        <f t="shared" si="26"/>
        <v>0</v>
      </c>
      <c r="BH104" s="11">
        <f t="shared" si="27"/>
        <v>0</v>
      </c>
      <c r="BI104" s="11">
        <f t="shared" si="28"/>
        <v>0</v>
      </c>
      <c r="BJ104" s="6">
        <f t="shared" si="29"/>
        <v>5.0602954855461776E-2</v>
      </c>
      <c r="BL104" s="11"/>
      <c r="BN104">
        <f t="shared" si="30"/>
        <v>1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11">
        <f t="shared" si="34"/>
        <v>1.2737222866269099E-2</v>
      </c>
      <c r="BT104" s="11">
        <f t="shared" si="35"/>
        <v>-1.0670648113468699E-2</v>
      </c>
      <c r="BU104" s="11">
        <f t="shared" si="36"/>
        <v>2.0665747528004E-3</v>
      </c>
      <c r="BV104" s="6">
        <f t="shared" si="37"/>
        <v>3.2613330712631824E-2</v>
      </c>
      <c r="BX104" s="6">
        <f t="shared" si="38"/>
        <v>2.0665747528004E-3</v>
      </c>
      <c r="BY104" s="6">
        <f t="shared" si="39"/>
        <v>8.3216285568093601E-2</v>
      </c>
    </row>
    <row r="105" spans="1:77" x14ac:dyDescent="0.3">
      <c r="A105" s="1">
        <v>46175</v>
      </c>
      <c r="B105" s="15">
        <v>70.22</v>
      </c>
      <c r="C105" s="15">
        <v>81.83</v>
      </c>
      <c r="D105" s="11">
        <v>1.4241971112873001E-4</v>
      </c>
      <c r="E105" s="11">
        <v>-2.4411094753682399E-3</v>
      </c>
      <c r="F105" s="15">
        <v>0</v>
      </c>
      <c r="G105" s="15">
        <v>0.28749999999999998</v>
      </c>
      <c r="H105" s="15">
        <v>0</v>
      </c>
      <c r="I105" s="15">
        <v>0.45490000000000003</v>
      </c>
      <c r="J105" s="15">
        <v>0</v>
      </c>
      <c r="K105" s="15">
        <v>0</v>
      </c>
      <c r="L105" s="15">
        <v>70.22</v>
      </c>
      <c r="M105" s="15">
        <v>81.83</v>
      </c>
      <c r="N105" s="16">
        <v>1.16533751068071</v>
      </c>
      <c r="O105" s="16">
        <v>1.16233556709835</v>
      </c>
      <c r="P105" s="16">
        <v>1.16961225969611</v>
      </c>
      <c r="Q105" s="16">
        <v>1.1723798463569901</v>
      </c>
      <c r="R105" s="15">
        <v>81.619203521646199</v>
      </c>
      <c r="S105" s="15">
        <v>82.223652019659198</v>
      </c>
      <c r="T105" s="15">
        <v>82.357734228710399</v>
      </c>
      <c r="U105" s="11">
        <v>-2.5793529816248301E-3</v>
      </c>
      <c r="V105" s="11">
        <v>4.7990735997989796E-3</v>
      </c>
      <c r="W105" s="11">
        <v>6.4284466628374897E-3</v>
      </c>
      <c r="X105" s="16">
        <v>1.16533751068071</v>
      </c>
      <c r="Y105" s="16">
        <v>1.16233556709835</v>
      </c>
      <c r="Z105" s="16">
        <v>1.16961225969611</v>
      </c>
      <c r="AA105" s="16">
        <v>1.1723798463569901</v>
      </c>
      <c r="AB105" s="15">
        <v>81.619203521646199</v>
      </c>
      <c r="AC105" s="15">
        <v>82.223652019659198</v>
      </c>
      <c r="AD105" s="15">
        <v>82.357734228710399</v>
      </c>
      <c r="AE105" s="11">
        <v>-2.5793529816248301E-3</v>
      </c>
      <c r="AF105" s="11">
        <v>4.7990735997989796E-3</v>
      </c>
      <c r="AG105" s="11">
        <v>6.4284466628374897E-3</v>
      </c>
      <c r="AZ105" s="11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11">
        <f t="shared" si="26"/>
        <v>0</v>
      </c>
      <c r="BH105" s="11">
        <f t="shared" si="27"/>
        <v>0</v>
      </c>
      <c r="BI105" s="11">
        <f t="shared" si="28"/>
        <v>0</v>
      </c>
      <c r="BJ105" s="6">
        <f t="shared" si="29"/>
        <v>5.0602954855461776E-2</v>
      </c>
      <c r="BL105" s="11"/>
      <c r="BN105">
        <f t="shared" si="30"/>
        <v>1</v>
      </c>
      <c r="BO105">
        <f t="shared" si="31"/>
        <v>0</v>
      </c>
      <c r="BP105">
        <f t="shared" si="32"/>
        <v>1</v>
      </c>
      <c r="BQ105">
        <f t="shared" si="21"/>
        <v>1</v>
      </c>
      <c r="BR105">
        <f t="shared" si="33"/>
        <v>1</v>
      </c>
      <c r="BS105" s="11">
        <f t="shared" si="34"/>
        <v>-1.4241971112873001E-4</v>
      </c>
      <c r="BT105" s="11">
        <f t="shared" si="35"/>
        <v>-2.4411094753682399E-3</v>
      </c>
      <c r="BU105" s="11">
        <f t="shared" si="36"/>
        <v>-2.58352918649697E-3</v>
      </c>
      <c r="BV105" s="6">
        <f t="shared" si="37"/>
        <v>3.0029801526134853E-2</v>
      </c>
      <c r="BX105" s="6">
        <f t="shared" si="38"/>
        <v>-2.58352918649697E-3</v>
      </c>
      <c r="BY105" s="6">
        <f t="shared" si="39"/>
        <v>8.0632756381596629E-2</v>
      </c>
    </row>
    <row r="106" spans="1:77" x14ac:dyDescent="0.3">
      <c r="A106" s="1">
        <v>46176</v>
      </c>
      <c r="B106" s="15">
        <v>70.39</v>
      </c>
      <c r="C106" s="15">
        <v>82.16</v>
      </c>
      <c r="D106" s="11">
        <v>2.4180368797539998E-3</v>
      </c>
      <c r="E106" s="11">
        <v>4.0246410810123399E-3</v>
      </c>
      <c r="F106" s="15">
        <v>0</v>
      </c>
      <c r="G106" s="15">
        <v>0.28749999999999998</v>
      </c>
      <c r="H106" s="15">
        <v>0</v>
      </c>
      <c r="I106" s="15">
        <v>0.45490000000000003</v>
      </c>
      <c r="J106" s="15">
        <v>0</v>
      </c>
      <c r="K106" s="15">
        <v>0</v>
      </c>
      <c r="L106" s="15">
        <v>70.39</v>
      </c>
      <c r="M106" s="15">
        <v>82.16</v>
      </c>
      <c r="N106" s="16">
        <v>1.16721125159823</v>
      </c>
      <c r="O106" s="16">
        <v>1.16233556709835</v>
      </c>
      <c r="P106" s="16">
        <v>1.1679152280471301</v>
      </c>
      <c r="Q106" s="16">
        <v>1.1718913470494801</v>
      </c>
      <c r="R106" s="15">
        <v>81.816800568052997</v>
      </c>
      <c r="S106" s="15">
        <v>82.329006960009494</v>
      </c>
      <c r="T106" s="15">
        <v>82.523817385068995</v>
      </c>
      <c r="U106" s="11">
        <v>-4.1859571828831302E-3</v>
      </c>
      <c r="V106" s="11">
        <v>2.05493391450143E-3</v>
      </c>
      <c r="W106" s="11">
        <v>4.4183816323773197E-3</v>
      </c>
      <c r="X106" s="16">
        <v>1.16721125159823</v>
      </c>
      <c r="Y106" s="16">
        <v>1.16233556709835</v>
      </c>
      <c r="Z106" s="16">
        <v>1.1679152280471301</v>
      </c>
      <c r="AA106" s="16">
        <v>1.1718913470494801</v>
      </c>
      <c r="AB106" s="15">
        <v>81.816800568052997</v>
      </c>
      <c r="AC106" s="15">
        <v>82.329006960009494</v>
      </c>
      <c r="AD106" s="15">
        <v>82.523817385068995</v>
      </c>
      <c r="AE106" s="11">
        <v>-4.1859571828831302E-3</v>
      </c>
      <c r="AF106" s="11">
        <v>2.05493391450143E-3</v>
      </c>
      <c r="AG106" s="11">
        <v>4.4183816323773197E-3</v>
      </c>
      <c r="AZ106" s="11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11">
        <f t="shared" si="26"/>
        <v>0</v>
      </c>
      <c r="BH106" s="11">
        <f t="shared" si="27"/>
        <v>0</v>
      </c>
      <c r="BI106" s="11">
        <f t="shared" si="28"/>
        <v>0</v>
      </c>
      <c r="BJ106" s="6">
        <f t="shared" si="29"/>
        <v>5.0602954855461776E-2</v>
      </c>
      <c r="BL106" s="11"/>
      <c r="BN106">
        <f t="shared" si="30"/>
        <v>1</v>
      </c>
      <c r="BO106">
        <f t="shared" si="31"/>
        <v>0</v>
      </c>
      <c r="BP106">
        <f t="shared" si="32"/>
        <v>1</v>
      </c>
      <c r="BQ106">
        <f t="shared" si="21"/>
        <v>1</v>
      </c>
      <c r="BR106">
        <f t="shared" si="33"/>
        <v>1</v>
      </c>
      <c r="BS106" s="11">
        <f t="shared" si="34"/>
        <v>-2.4180368797539998E-3</v>
      </c>
      <c r="BT106" s="11">
        <f t="shared" si="35"/>
        <v>4.0246410810123399E-3</v>
      </c>
      <c r="BU106" s="11">
        <f t="shared" si="36"/>
        <v>1.60660420125834E-3</v>
      </c>
      <c r="BV106" s="6">
        <f t="shared" si="37"/>
        <v>3.1636405727393194E-2</v>
      </c>
      <c r="BX106" s="6">
        <f t="shared" si="38"/>
        <v>1.60660420125834E-3</v>
      </c>
      <c r="BY106" s="6">
        <f t="shared" si="39"/>
        <v>8.223936058285497E-2</v>
      </c>
    </row>
    <row r="107" spans="1:77" x14ac:dyDescent="0.3">
      <c r="A107" s="1">
        <v>46177</v>
      </c>
      <c r="B107" s="15">
        <v>70.25</v>
      </c>
      <c r="C107" s="15">
        <v>82.04</v>
      </c>
      <c r="D107" s="11">
        <v>-1.99089940618505E-3</v>
      </c>
      <c r="E107" s="11">
        <v>-1.4616324161227899E-3</v>
      </c>
      <c r="F107" s="15">
        <v>0</v>
      </c>
      <c r="G107" s="15">
        <v>0.28749999999999998</v>
      </c>
      <c r="H107" s="15">
        <v>0</v>
      </c>
      <c r="I107" s="15">
        <v>0.45490000000000003</v>
      </c>
      <c r="J107" s="15">
        <v>0</v>
      </c>
      <c r="K107" s="15">
        <v>0</v>
      </c>
      <c r="L107" s="15">
        <v>70.25</v>
      </c>
      <c r="M107" s="15">
        <v>82.04</v>
      </c>
      <c r="N107" s="16">
        <v>1.16782918149466</v>
      </c>
      <c r="O107" s="16">
        <v>1.16233556709835</v>
      </c>
      <c r="P107" s="16">
        <v>1.16665811859135</v>
      </c>
      <c r="Q107" s="16">
        <v>1.17132423949487</v>
      </c>
      <c r="R107" s="15">
        <v>81.654073588659202</v>
      </c>
      <c r="S107" s="15">
        <v>82.046044770311198</v>
      </c>
      <c r="T107" s="15">
        <v>82.325367130226098</v>
      </c>
      <c r="U107" s="11">
        <v>-4.7152241729453599E-3</v>
      </c>
      <c r="V107" s="11">
        <v>7.3678054979500006E-5</v>
      </c>
      <c r="W107" s="11">
        <v>3.4723545712455899E-3</v>
      </c>
      <c r="X107" s="16">
        <v>1.16782918149466</v>
      </c>
      <c r="Y107" s="16">
        <v>1.16233556709835</v>
      </c>
      <c r="Z107" s="16">
        <v>1.16665811859135</v>
      </c>
      <c r="AA107" s="16">
        <v>1.17132423949487</v>
      </c>
      <c r="AB107" s="15">
        <v>81.654073588659202</v>
      </c>
      <c r="AC107" s="15">
        <v>82.046044770311198</v>
      </c>
      <c r="AD107" s="15">
        <v>82.325367130226098</v>
      </c>
      <c r="AE107" s="11">
        <v>-4.7152241729453599E-3</v>
      </c>
      <c r="AF107" s="11">
        <v>7.3678054979500006E-5</v>
      </c>
      <c r="AG107" s="11">
        <v>3.4723545712455899E-3</v>
      </c>
      <c r="AZ107" s="11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11">
        <f t="shared" si="26"/>
        <v>0</v>
      </c>
      <c r="BH107" s="11">
        <f t="shared" si="27"/>
        <v>0</v>
      </c>
      <c r="BI107" s="11">
        <f t="shared" si="28"/>
        <v>0</v>
      </c>
      <c r="BJ107" s="6">
        <f t="shared" si="29"/>
        <v>5.0602954855461776E-2</v>
      </c>
      <c r="BL107" s="11"/>
      <c r="BN107">
        <f t="shared" si="30"/>
        <v>1</v>
      </c>
      <c r="BO107">
        <f t="shared" si="31"/>
        <v>0</v>
      </c>
      <c r="BP107">
        <f t="shared" si="32"/>
        <v>1</v>
      </c>
      <c r="BQ107">
        <f t="shared" si="21"/>
        <v>1</v>
      </c>
      <c r="BR107">
        <f t="shared" si="33"/>
        <v>1</v>
      </c>
      <c r="BS107" s="11">
        <f t="shared" si="34"/>
        <v>1.99089940618505E-3</v>
      </c>
      <c r="BT107" s="11">
        <f t="shared" si="35"/>
        <v>-1.4616324161227899E-3</v>
      </c>
      <c r="BU107" s="11">
        <f t="shared" si="36"/>
        <v>5.2926699006226006E-4</v>
      </c>
      <c r="BV107" s="6">
        <f t="shared" si="37"/>
        <v>3.2165672717455455E-2</v>
      </c>
      <c r="BX107" s="6">
        <f t="shared" si="38"/>
        <v>5.2926699006226006E-4</v>
      </c>
      <c r="BY107" s="6">
        <f t="shared" si="39"/>
        <v>8.2768627572917225E-2</v>
      </c>
    </row>
    <row r="108" spans="1:77" x14ac:dyDescent="0.3">
      <c r="A108" s="1">
        <v>46178</v>
      </c>
      <c r="B108" s="15">
        <v>71.89</v>
      </c>
      <c r="C108" s="15">
        <v>83.44</v>
      </c>
      <c r="D108" s="11">
        <v>2.3076864781924999E-2</v>
      </c>
      <c r="E108" s="11">
        <v>1.69208774883369E-2</v>
      </c>
      <c r="F108" s="15">
        <v>0</v>
      </c>
      <c r="G108" s="15">
        <v>0.28749999999999998</v>
      </c>
      <c r="H108" s="15">
        <v>0</v>
      </c>
      <c r="I108" s="15">
        <v>0.45490000000000003</v>
      </c>
      <c r="J108" s="15">
        <v>0</v>
      </c>
      <c r="K108" s="15">
        <v>0</v>
      </c>
      <c r="L108" s="15">
        <v>71.89</v>
      </c>
      <c r="M108" s="15">
        <v>83.44</v>
      </c>
      <c r="N108" s="16">
        <v>1.1606621226874301</v>
      </c>
      <c r="O108" s="16">
        <v>1.16233556709835</v>
      </c>
      <c r="P108" s="16">
        <v>1.1659519170669901</v>
      </c>
      <c r="Q108" s="16">
        <v>1.17028306313065</v>
      </c>
      <c r="R108" s="15">
        <v>83.560303918700498</v>
      </c>
      <c r="S108" s="15">
        <v>83.871052145532602</v>
      </c>
      <c r="T108" s="15">
        <v>84.206499577286607</v>
      </c>
      <c r="U108" s="11">
        <v>1.4407631206426201E-3</v>
      </c>
      <c r="V108" s="11">
        <v>5.1527151819850802E-3</v>
      </c>
      <c r="W108" s="11">
        <v>9.1442997058998696E-3</v>
      </c>
      <c r="X108" s="16">
        <v>1.1606621226874301</v>
      </c>
      <c r="Y108" s="16">
        <v>1.16233556709835</v>
      </c>
      <c r="Z108" s="16">
        <v>1.1659519170669901</v>
      </c>
      <c r="AA108" s="16">
        <v>1.17028306313065</v>
      </c>
      <c r="AB108" s="15">
        <v>83.560303918700498</v>
      </c>
      <c r="AC108" s="15">
        <v>83.871052145532602</v>
      </c>
      <c r="AD108" s="15">
        <v>84.206499577286607</v>
      </c>
      <c r="AE108" s="11">
        <v>1.4407631206426201E-3</v>
      </c>
      <c r="AF108" s="11">
        <v>5.1527151819850802E-3</v>
      </c>
      <c r="AG108" s="11">
        <v>9.1442997058998696E-3</v>
      </c>
      <c r="AZ108" s="11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11">
        <f t="shared" si="26"/>
        <v>0</v>
      </c>
      <c r="BH108" s="11">
        <f t="shared" si="27"/>
        <v>0</v>
      </c>
      <c r="BI108" s="11">
        <f t="shared" si="28"/>
        <v>0</v>
      </c>
      <c r="BJ108" s="6">
        <f t="shared" si="29"/>
        <v>5.0602954855461776E-2</v>
      </c>
      <c r="BL108" s="11"/>
      <c r="BN108">
        <f t="shared" si="30"/>
        <v>1</v>
      </c>
      <c r="BO108">
        <f t="shared" si="31"/>
        <v>0</v>
      </c>
      <c r="BP108">
        <f t="shared" si="32"/>
        <v>1</v>
      </c>
      <c r="BQ108">
        <f t="shared" si="21"/>
        <v>1</v>
      </c>
      <c r="BR108">
        <f t="shared" si="33"/>
        <v>1</v>
      </c>
      <c r="BS108" s="11">
        <f t="shared" si="34"/>
        <v>-2.3076864781924999E-2</v>
      </c>
      <c r="BT108" s="11">
        <f t="shared" si="35"/>
        <v>1.69208774883369E-2</v>
      </c>
      <c r="BU108" s="11">
        <f t="shared" si="36"/>
        <v>-6.1559872935880999E-3</v>
      </c>
      <c r="BV108" s="6">
        <f t="shared" si="37"/>
        <v>2.6009685423867356E-2</v>
      </c>
      <c r="BX108" s="6">
        <f t="shared" si="38"/>
        <v>-6.1559872935880999E-3</v>
      </c>
      <c r="BY108" s="6">
        <f t="shared" si="39"/>
        <v>7.6612640279329125E-2</v>
      </c>
    </row>
    <row r="109" spans="1:77" x14ac:dyDescent="0.3">
      <c r="A109" s="1">
        <v>46181</v>
      </c>
      <c r="B109" s="15">
        <v>71.37</v>
      </c>
      <c r="C109" s="15">
        <v>83.07</v>
      </c>
      <c r="D109" s="11">
        <v>-7.2595600128041102E-3</v>
      </c>
      <c r="E109" s="11">
        <v>-4.4441848415369004E-3</v>
      </c>
      <c r="F109" s="15">
        <v>0</v>
      </c>
      <c r="G109" s="15">
        <v>0.28749999999999998</v>
      </c>
      <c r="H109" s="15">
        <v>0</v>
      </c>
      <c r="I109" s="15">
        <v>0.45490000000000003</v>
      </c>
      <c r="J109" s="15">
        <v>0</v>
      </c>
      <c r="K109" s="15">
        <v>0</v>
      </c>
      <c r="L109" s="15">
        <v>71.37</v>
      </c>
      <c r="M109" s="15">
        <v>83.07</v>
      </c>
      <c r="N109" s="16">
        <v>1.1639344262294999</v>
      </c>
      <c r="O109" s="16">
        <v>1.16233556709835</v>
      </c>
      <c r="P109" s="16">
        <v>1.1659897065615099</v>
      </c>
      <c r="Q109" s="16">
        <v>1.1694640805722401</v>
      </c>
      <c r="R109" s="15">
        <v>82.955889423809296</v>
      </c>
      <c r="S109" s="15">
        <v>83.213988321071497</v>
      </c>
      <c r="T109" s="15">
        <v>83.523102215634793</v>
      </c>
      <c r="U109" s="11">
        <v>-1.37461205062473E-3</v>
      </c>
      <c r="V109" s="11">
        <v>1.73183670314344E-3</v>
      </c>
      <c r="W109" s="11">
        <v>5.4396409799825204E-3</v>
      </c>
      <c r="X109" s="16">
        <v>1.1639344262294999</v>
      </c>
      <c r="Y109" s="16">
        <v>1.16233556709835</v>
      </c>
      <c r="Z109" s="16">
        <v>1.1659897065615099</v>
      </c>
      <c r="AA109" s="16">
        <v>1.1694640805722401</v>
      </c>
      <c r="AB109" s="15">
        <v>82.955889423809296</v>
      </c>
      <c r="AC109" s="15">
        <v>83.213988321071497</v>
      </c>
      <c r="AD109" s="15">
        <v>83.523102215634793</v>
      </c>
      <c r="AE109" s="11">
        <v>-1.37461205062473E-3</v>
      </c>
      <c r="AF109" s="11">
        <v>1.73183670314344E-3</v>
      </c>
      <c r="AG109" s="11">
        <v>5.4396409799825204E-3</v>
      </c>
      <c r="AZ109" s="11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11">
        <f t="shared" si="26"/>
        <v>0</v>
      </c>
      <c r="BH109" s="11">
        <f t="shared" si="27"/>
        <v>0</v>
      </c>
      <c r="BI109" s="11">
        <f t="shared" si="28"/>
        <v>0</v>
      </c>
      <c r="BJ109" s="6">
        <f t="shared" si="29"/>
        <v>5.0602954855461776E-2</v>
      </c>
      <c r="BL109" s="11"/>
      <c r="BN109">
        <f t="shared" si="30"/>
        <v>1</v>
      </c>
      <c r="BO109">
        <f t="shared" si="31"/>
        <v>0</v>
      </c>
      <c r="BP109">
        <f t="shared" si="32"/>
        <v>1</v>
      </c>
      <c r="BQ109">
        <f t="shared" si="21"/>
        <v>1</v>
      </c>
      <c r="BR109">
        <f t="shared" si="33"/>
        <v>1</v>
      </c>
      <c r="BS109" s="11">
        <f t="shared" si="34"/>
        <v>7.2595600128041102E-3</v>
      </c>
      <c r="BT109" s="11">
        <f t="shared" si="35"/>
        <v>-4.4441848415369004E-3</v>
      </c>
      <c r="BU109" s="11">
        <f t="shared" si="36"/>
        <v>2.8153751712672098E-3</v>
      </c>
      <c r="BV109" s="6">
        <f t="shared" si="37"/>
        <v>2.8825060595134566E-2</v>
      </c>
      <c r="BX109" s="6">
        <f t="shared" si="38"/>
        <v>2.8153751712672098E-3</v>
      </c>
      <c r="BY109" s="6">
        <f t="shared" si="39"/>
        <v>7.9428015450596329E-2</v>
      </c>
    </row>
    <row r="110" spans="1:77" x14ac:dyDescent="0.3">
      <c r="A110" s="1">
        <v>46182</v>
      </c>
      <c r="B110" s="15">
        <v>72.5</v>
      </c>
      <c r="C110" s="15">
        <v>84.1</v>
      </c>
      <c r="D110" s="11">
        <v>1.5708948877652999E-2</v>
      </c>
      <c r="E110" s="11">
        <v>1.2322941127922199E-2</v>
      </c>
      <c r="F110" s="15">
        <v>0</v>
      </c>
      <c r="G110" s="15">
        <v>0.28749999999999998</v>
      </c>
      <c r="H110" s="15">
        <v>0</v>
      </c>
      <c r="I110" s="15">
        <v>0.45490000000000003</v>
      </c>
      <c r="J110" s="15">
        <v>0</v>
      </c>
      <c r="K110" s="15">
        <v>0</v>
      </c>
      <c r="L110" s="15">
        <v>72.5</v>
      </c>
      <c r="M110" s="15">
        <v>84.1</v>
      </c>
      <c r="N110" s="16">
        <v>1.1599999999999999</v>
      </c>
      <c r="O110" s="16">
        <v>1.16233556709835</v>
      </c>
      <c r="P110" s="16">
        <v>1.1653834600472901</v>
      </c>
      <c r="Q110" s="16">
        <v>1.16899984494812</v>
      </c>
      <c r="R110" s="15">
        <v>84.269328614630496</v>
      </c>
      <c r="S110" s="15">
        <v>84.534253725710002</v>
      </c>
      <c r="T110" s="15">
        <v>84.786145841487894</v>
      </c>
      <c r="U110" s="11">
        <v>2.0113956991061701E-3</v>
      </c>
      <c r="V110" s="11">
        <v>5.1502547792230602E-3</v>
      </c>
      <c r="W110" s="11">
        <v>8.1255879611310897E-3</v>
      </c>
      <c r="X110" s="16">
        <v>1.1599999999999999</v>
      </c>
      <c r="Y110" s="16">
        <v>1.16233556709835</v>
      </c>
      <c r="Z110" s="16">
        <v>1.1653834600472901</v>
      </c>
      <c r="AA110" s="16">
        <v>1.16899984494812</v>
      </c>
      <c r="AB110" s="15">
        <v>84.269328614630496</v>
      </c>
      <c r="AC110" s="15">
        <v>84.534253725710002</v>
      </c>
      <c r="AD110" s="15">
        <v>84.786145841487894</v>
      </c>
      <c r="AE110" s="11">
        <v>2.0113956991061701E-3</v>
      </c>
      <c r="AF110" s="11">
        <v>5.1502547792230602E-3</v>
      </c>
      <c r="AG110" s="11">
        <v>8.1255879611310897E-3</v>
      </c>
      <c r="AZ110" s="11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11">
        <f t="shared" si="26"/>
        <v>0</v>
      </c>
      <c r="BH110" s="11">
        <f t="shared" si="27"/>
        <v>0</v>
      </c>
      <c r="BI110" s="11">
        <f t="shared" si="28"/>
        <v>0</v>
      </c>
      <c r="BJ110" s="6">
        <f t="shared" si="29"/>
        <v>5.0602954855461776E-2</v>
      </c>
      <c r="BL110" s="11"/>
      <c r="BN110">
        <f t="shared" si="30"/>
        <v>1</v>
      </c>
      <c r="BO110">
        <f t="shared" si="31"/>
        <v>0</v>
      </c>
      <c r="BP110">
        <f t="shared" si="32"/>
        <v>1</v>
      </c>
      <c r="BQ110">
        <f t="shared" si="21"/>
        <v>1</v>
      </c>
      <c r="BR110">
        <f t="shared" si="33"/>
        <v>1</v>
      </c>
      <c r="BS110" s="11">
        <f t="shared" si="34"/>
        <v>-1.5708948877652999E-2</v>
      </c>
      <c r="BT110" s="11">
        <f t="shared" si="35"/>
        <v>1.2322941127922199E-2</v>
      </c>
      <c r="BU110" s="11">
        <f t="shared" si="36"/>
        <v>-3.3860077497307999E-3</v>
      </c>
      <c r="BV110" s="6">
        <f t="shared" si="37"/>
        <v>2.5439052845403765E-2</v>
      </c>
      <c r="BX110" s="6">
        <f t="shared" si="38"/>
        <v>-3.3860077497307999E-3</v>
      </c>
      <c r="BY110" s="6">
        <f t="shared" si="39"/>
        <v>7.6042007700865527E-2</v>
      </c>
    </row>
    <row r="111" spans="1:77" x14ac:dyDescent="0.3">
      <c r="A111" s="1">
        <v>46183</v>
      </c>
      <c r="B111" s="15">
        <v>73.73</v>
      </c>
      <c r="C111" s="15">
        <v>85.49</v>
      </c>
      <c r="D111" s="11">
        <v>1.68232101409302E-2</v>
      </c>
      <c r="E111" s="11">
        <v>1.6392843059239801E-2</v>
      </c>
      <c r="F111" s="15">
        <v>0</v>
      </c>
      <c r="G111" s="15">
        <v>0.28749999999999998</v>
      </c>
      <c r="H111" s="15">
        <v>0</v>
      </c>
      <c r="I111" s="15">
        <v>0.45490000000000003</v>
      </c>
      <c r="J111" s="15">
        <v>0</v>
      </c>
      <c r="K111" s="15">
        <v>0</v>
      </c>
      <c r="L111" s="15">
        <v>73.73</v>
      </c>
      <c r="M111" s="15">
        <v>85.49</v>
      </c>
      <c r="N111" s="16">
        <v>1.1595008815950001</v>
      </c>
      <c r="O111" s="16">
        <v>1.16233556709835</v>
      </c>
      <c r="P111" s="16">
        <v>1.16484821560798</v>
      </c>
      <c r="Q111" s="16">
        <v>1.1685065328445201</v>
      </c>
      <c r="R111" s="15">
        <v>85.699001362161496</v>
      </c>
      <c r="S111" s="15">
        <v>85.923722509287103</v>
      </c>
      <c r="T111" s="15">
        <v>86.190358568025204</v>
      </c>
      <c r="U111" s="11">
        <v>2.4417627807963799E-3</v>
      </c>
      <c r="V111" s="11">
        <v>5.0605450782086102E-3</v>
      </c>
      <c r="W111" s="11">
        <v>8.1589118170047898E-3</v>
      </c>
      <c r="X111" s="16">
        <v>1.1595008815950001</v>
      </c>
      <c r="Y111" s="16">
        <v>1.16233556709835</v>
      </c>
      <c r="Z111" s="16">
        <v>1.16484821560798</v>
      </c>
      <c r="AA111" s="16">
        <v>1.1685065328445201</v>
      </c>
      <c r="AB111" s="15">
        <v>85.699001362161496</v>
      </c>
      <c r="AC111" s="15">
        <v>85.923722509287103</v>
      </c>
      <c r="AD111" s="15">
        <v>86.190358568025204</v>
      </c>
      <c r="AE111" s="11">
        <v>2.4417627807963799E-3</v>
      </c>
      <c r="AF111" s="11">
        <v>5.0605450782086102E-3</v>
      </c>
      <c r="AG111" s="11">
        <v>8.1589118170047898E-3</v>
      </c>
      <c r="AZ111" s="11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11">
        <f t="shared" si="26"/>
        <v>0</v>
      </c>
      <c r="BH111" s="11">
        <f t="shared" si="27"/>
        <v>0</v>
      </c>
      <c r="BI111" s="11">
        <f t="shared" si="28"/>
        <v>0</v>
      </c>
      <c r="BJ111" s="6">
        <f t="shared" si="29"/>
        <v>5.0602954855461776E-2</v>
      </c>
      <c r="BL111" s="11"/>
      <c r="BN111">
        <f t="shared" si="30"/>
        <v>1</v>
      </c>
      <c r="BO111">
        <f t="shared" si="31"/>
        <v>0</v>
      </c>
      <c r="BP111">
        <f t="shared" si="32"/>
        <v>1</v>
      </c>
      <c r="BQ111">
        <f t="shared" si="21"/>
        <v>1</v>
      </c>
      <c r="BR111">
        <f t="shared" si="33"/>
        <v>1</v>
      </c>
      <c r="BS111" s="11">
        <f t="shared" si="34"/>
        <v>-1.68232101409302E-2</v>
      </c>
      <c r="BT111" s="11">
        <f t="shared" si="35"/>
        <v>1.6392843059239801E-2</v>
      </c>
      <c r="BU111" s="11">
        <f t="shared" si="36"/>
        <v>-4.3036708169039845E-4</v>
      </c>
      <c r="BV111" s="6">
        <f t="shared" si="37"/>
        <v>2.5008685763713366E-2</v>
      </c>
      <c r="BX111" s="6">
        <f t="shared" si="38"/>
        <v>-4.3036708169039845E-4</v>
      </c>
      <c r="BY111" s="6">
        <f t="shared" si="39"/>
        <v>7.5611640619175136E-2</v>
      </c>
    </row>
    <row r="112" spans="1:77" x14ac:dyDescent="0.3">
      <c r="A112" s="1">
        <v>46184</v>
      </c>
      <c r="B112" s="15">
        <v>73.37</v>
      </c>
      <c r="C112" s="15">
        <v>85.27</v>
      </c>
      <c r="D112" s="11">
        <v>-4.8946392756562601E-3</v>
      </c>
      <c r="E112" s="11">
        <v>-2.5767172841841398E-3</v>
      </c>
      <c r="F112" s="15">
        <v>0</v>
      </c>
      <c r="G112" s="15">
        <v>0.28749999999999998</v>
      </c>
      <c r="H112" s="15">
        <v>0</v>
      </c>
      <c r="I112" s="15">
        <v>0.45490000000000003</v>
      </c>
      <c r="J112" s="15">
        <v>0</v>
      </c>
      <c r="K112" s="15">
        <v>0</v>
      </c>
      <c r="L112" s="15">
        <v>73.37</v>
      </c>
      <c r="M112" s="15">
        <v>85.27</v>
      </c>
      <c r="N112" s="16">
        <v>1.16219163145699</v>
      </c>
      <c r="O112" s="16">
        <v>1.16233556709835</v>
      </c>
      <c r="P112" s="16">
        <v>1.1640959185153801</v>
      </c>
      <c r="Q112" s="16">
        <v>1.16801069106374</v>
      </c>
      <c r="R112" s="15">
        <v>85.280560558006002</v>
      </c>
      <c r="S112" s="15">
        <v>85.464913579157496</v>
      </c>
      <c r="T112" s="15">
        <v>85.733324314802402</v>
      </c>
      <c r="U112" s="11">
        <v>1.2384078932402699E-4</v>
      </c>
      <c r="V112" s="11">
        <v>2.2832314697399602E-3</v>
      </c>
      <c r="W112" s="11">
        <v>5.4189057485738703E-3</v>
      </c>
      <c r="X112" s="16">
        <v>1.16219163145699</v>
      </c>
      <c r="Y112" s="16">
        <v>1.16233556709835</v>
      </c>
      <c r="Z112" s="16">
        <v>1.1640959185153801</v>
      </c>
      <c r="AA112" s="16">
        <v>1.16801069106374</v>
      </c>
      <c r="AB112" s="15">
        <v>85.280560558006002</v>
      </c>
      <c r="AC112" s="15">
        <v>85.464913579157496</v>
      </c>
      <c r="AD112" s="15">
        <v>85.733324314802402</v>
      </c>
      <c r="AE112" s="11">
        <v>1.2384078932402699E-4</v>
      </c>
      <c r="AF112" s="11">
        <v>2.2832314697399602E-3</v>
      </c>
      <c r="AG112" s="11">
        <v>5.4189057485738703E-3</v>
      </c>
      <c r="AZ112" s="11"/>
      <c r="BB112">
        <f t="shared" si="22"/>
        <v>0</v>
      </c>
      <c r="BC112">
        <f t="shared" si="23"/>
        <v>1</v>
      </c>
      <c r="BD112">
        <f t="shared" si="24"/>
        <v>0</v>
      </c>
      <c r="BE112">
        <f t="shared" si="20"/>
        <v>1</v>
      </c>
      <c r="BF112">
        <f t="shared" si="25"/>
        <v>0</v>
      </c>
      <c r="BG112" s="11">
        <f t="shared" si="26"/>
        <v>0</v>
      </c>
      <c r="BH112" s="11">
        <f t="shared" si="27"/>
        <v>0</v>
      </c>
      <c r="BI112" s="11">
        <f t="shared" si="28"/>
        <v>0</v>
      </c>
      <c r="BJ112" s="6">
        <f t="shared" si="29"/>
        <v>5.0602954855461776E-2</v>
      </c>
      <c r="BL112" s="11"/>
      <c r="BN112">
        <f t="shared" si="30"/>
        <v>1</v>
      </c>
      <c r="BO112">
        <f t="shared" si="31"/>
        <v>0</v>
      </c>
      <c r="BP112">
        <f t="shared" si="32"/>
        <v>1</v>
      </c>
      <c r="BQ112">
        <f t="shared" si="21"/>
        <v>1</v>
      </c>
      <c r="BR112">
        <f t="shared" si="33"/>
        <v>1</v>
      </c>
      <c r="BS112" s="11">
        <f t="shared" si="34"/>
        <v>4.8946392756562601E-3</v>
      </c>
      <c r="BT112" s="11">
        <f t="shared" si="35"/>
        <v>-2.5767172841841398E-3</v>
      </c>
      <c r="BU112" s="11">
        <f t="shared" si="36"/>
        <v>2.3179219914721202E-3</v>
      </c>
      <c r="BV112" s="6">
        <f t="shared" si="37"/>
        <v>2.7326607755185486E-2</v>
      </c>
      <c r="BX112" s="6">
        <f t="shared" si="38"/>
        <v>2.3179219914721202E-3</v>
      </c>
      <c r="BY112" s="6">
        <f t="shared" si="39"/>
        <v>7.7929562610647263E-2</v>
      </c>
    </row>
    <row r="113" spans="1:77" x14ac:dyDescent="0.3">
      <c r="A113" s="1">
        <v>46185</v>
      </c>
      <c r="B113" s="15">
        <v>73.88</v>
      </c>
      <c r="C113" s="15">
        <v>85.82</v>
      </c>
      <c r="D113" s="11">
        <v>6.9270226051362602E-3</v>
      </c>
      <c r="E113" s="11">
        <v>6.4293868094204296E-3</v>
      </c>
      <c r="F113" s="15">
        <v>0</v>
      </c>
      <c r="G113" s="15">
        <v>0.28749999999999998</v>
      </c>
      <c r="H113" s="15">
        <v>0</v>
      </c>
      <c r="I113" s="15">
        <v>0.45490000000000003</v>
      </c>
      <c r="J113" s="15">
        <v>0</v>
      </c>
      <c r="K113" s="15">
        <v>0</v>
      </c>
      <c r="L113" s="15">
        <v>73.88</v>
      </c>
      <c r="M113" s="15">
        <v>85.82</v>
      </c>
      <c r="N113" s="16">
        <v>1.1616134271792</v>
      </c>
      <c r="O113" s="16">
        <v>1.16233556709835</v>
      </c>
      <c r="P113" s="16">
        <v>1.1636632519519099</v>
      </c>
      <c r="Q113" s="16">
        <v>1.1674763810459601</v>
      </c>
      <c r="R113" s="15">
        <v>85.873351697226198</v>
      </c>
      <c r="S113" s="15">
        <v>86.003406459916803</v>
      </c>
      <c r="T113" s="15">
        <v>86.2926298557895</v>
      </c>
      <c r="U113" s="11">
        <v>6.2147658503990599E-4</v>
      </c>
      <c r="V113" s="11">
        <v>2.1348259047066498E-3</v>
      </c>
      <c r="W113" s="11">
        <v>5.4921134398062304E-3</v>
      </c>
      <c r="X113" s="16">
        <v>1.1616134271792</v>
      </c>
      <c r="Y113" s="16">
        <v>1.16233556709835</v>
      </c>
      <c r="Z113" s="16">
        <v>1.1636632519519099</v>
      </c>
      <c r="AA113" s="16">
        <v>1.1674763810459601</v>
      </c>
      <c r="AB113" s="15">
        <v>85.873351697226198</v>
      </c>
      <c r="AC113" s="15">
        <v>86.003406459916803</v>
      </c>
      <c r="AD113" s="15">
        <v>86.2926298557895</v>
      </c>
      <c r="AE113" s="11">
        <v>6.2147658503990599E-4</v>
      </c>
      <c r="AF113" s="11">
        <v>2.1348259047066498E-3</v>
      </c>
      <c r="AG113" s="11">
        <v>5.4921134398062304E-3</v>
      </c>
      <c r="AZ113" s="11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11">
        <f t="shared" si="26"/>
        <v>0</v>
      </c>
      <c r="BH113" s="11">
        <f t="shared" si="27"/>
        <v>0</v>
      </c>
      <c r="BI113" s="11">
        <f t="shared" si="28"/>
        <v>0</v>
      </c>
      <c r="BJ113" s="6">
        <f t="shared" si="29"/>
        <v>5.0602954855461776E-2</v>
      </c>
      <c r="BL113" s="11"/>
      <c r="BN113">
        <f t="shared" si="30"/>
        <v>1</v>
      </c>
      <c r="BO113">
        <f t="shared" si="31"/>
        <v>0</v>
      </c>
      <c r="BP113">
        <f t="shared" si="32"/>
        <v>1</v>
      </c>
      <c r="BQ113">
        <f t="shared" si="21"/>
        <v>0</v>
      </c>
      <c r="BR113">
        <f t="shared" si="33"/>
        <v>1</v>
      </c>
      <c r="BS113" s="11">
        <f t="shared" si="34"/>
        <v>-6.9270226051362602E-3</v>
      </c>
      <c r="BT113" s="11">
        <f t="shared" si="35"/>
        <v>6.4293868094204296E-3</v>
      </c>
      <c r="BU113" s="11">
        <f t="shared" si="36"/>
        <v>-4.9763579571583064E-4</v>
      </c>
      <c r="BV113" s="6">
        <f t="shared" si="37"/>
        <v>2.6828971959469657E-2</v>
      </c>
      <c r="BX113" s="6">
        <f t="shared" si="38"/>
        <v>-4.9763579571583064E-4</v>
      </c>
      <c r="BY113" s="6">
        <f t="shared" si="39"/>
        <v>7.7431926814931426E-2</v>
      </c>
    </row>
    <row r="114" spans="1:77" x14ac:dyDescent="0.3">
      <c r="A114" s="1">
        <v>46188</v>
      </c>
      <c r="B114" s="15">
        <v>73.16</v>
      </c>
      <c r="C114" s="15">
        <v>85.48</v>
      </c>
      <c r="D114" s="11">
        <v>-9.7933318083741998E-3</v>
      </c>
      <c r="E114" s="11">
        <v>-3.9696491124316096E-3</v>
      </c>
      <c r="F114" s="15">
        <v>0.40749999999999997</v>
      </c>
      <c r="G114" s="15">
        <v>0.69499999999999995</v>
      </c>
      <c r="H114" s="15">
        <v>0</v>
      </c>
      <c r="I114" s="15">
        <v>0.45490000000000003</v>
      </c>
      <c r="J114" s="15">
        <v>0</v>
      </c>
      <c r="K114" s="15">
        <v>0</v>
      </c>
      <c r="L114" s="15">
        <v>73.16</v>
      </c>
      <c r="M114" s="15">
        <v>85.48</v>
      </c>
      <c r="N114" s="16">
        <v>1.1683980317113101</v>
      </c>
      <c r="O114" s="16">
        <v>1.16233556709835</v>
      </c>
      <c r="P114" s="16">
        <v>1.1636678464633099</v>
      </c>
      <c r="Q114" s="16">
        <v>1.16730566931296</v>
      </c>
      <c r="R114" s="15">
        <v>85.036470088915394</v>
      </c>
      <c r="S114" s="15">
        <v>85.133603512801898</v>
      </c>
      <c r="T114" s="15">
        <v>85.412572037322704</v>
      </c>
      <c r="U114" s="11">
        <v>-5.2022061109027098E-3</v>
      </c>
      <c r="V114" s="11">
        <v>-4.0606019218714998E-3</v>
      </c>
      <c r="W114" s="11">
        <v>-7.8912693948520103E-4</v>
      </c>
      <c r="X114" s="16">
        <v>1.1683980317113101</v>
      </c>
      <c r="Y114" s="16">
        <v>1.16233556709835</v>
      </c>
      <c r="Z114" s="16">
        <v>1.1636678464633099</v>
      </c>
      <c r="AA114" s="16">
        <v>1.16730566931296</v>
      </c>
      <c r="AB114" s="15">
        <v>85.036470088915394</v>
      </c>
      <c r="AC114" s="15">
        <v>85.133603512801898</v>
      </c>
      <c r="AD114" s="15">
        <v>85.412572037322704</v>
      </c>
      <c r="AE114" s="11">
        <v>-5.2022061109027098E-3</v>
      </c>
      <c r="AF114" s="11">
        <v>-4.0606019218714998E-3</v>
      </c>
      <c r="AG114" s="11">
        <v>-7.8912693948520103E-4</v>
      </c>
      <c r="AZ114" s="11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11">
        <f t="shared" si="26"/>
        <v>0</v>
      </c>
      <c r="BH114" s="11">
        <f t="shared" si="27"/>
        <v>0</v>
      </c>
      <c r="BI114" s="11">
        <f t="shared" si="28"/>
        <v>0</v>
      </c>
      <c r="BJ114" s="6">
        <f t="shared" si="29"/>
        <v>5.0602954855461776E-2</v>
      </c>
      <c r="BL114" s="11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11">
        <f t="shared" si="34"/>
        <v>0</v>
      </c>
      <c r="BT114" s="11">
        <f t="shared" si="35"/>
        <v>0</v>
      </c>
      <c r="BU114" s="11">
        <f t="shared" si="36"/>
        <v>0</v>
      </c>
      <c r="BV114" s="6">
        <f t="shared" si="37"/>
        <v>2.6828971959469657E-2</v>
      </c>
      <c r="BX114" s="6">
        <f t="shared" si="38"/>
        <v>0</v>
      </c>
      <c r="BY114" s="6">
        <f t="shared" si="39"/>
        <v>7.7431926814931426E-2</v>
      </c>
    </row>
    <row r="115" spans="1:77" x14ac:dyDescent="0.3">
      <c r="A115" s="1">
        <v>46189</v>
      </c>
      <c r="B115" s="15">
        <v>73.34</v>
      </c>
      <c r="C115" s="15">
        <v>85.59</v>
      </c>
      <c r="D115" s="11">
        <v>2.4573391205151298E-3</v>
      </c>
      <c r="E115" s="11">
        <v>1.28602344257145E-3</v>
      </c>
      <c r="F115" s="15">
        <v>0</v>
      </c>
      <c r="G115" s="15">
        <v>0.69499999999999995</v>
      </c>
      <c r="H115" s="15">
        <v>0</v>
      </c>
      <c r="I115" s="15">
        <v>0.45490000000000003</v>
      </c>
      <c r="J115" s="15">
        <v>0</v>
      </c>
      <c r="K115" s="15">
        <v>0</v>
      </c>
      <c r="L115" s="15">
        <v>73.34</v>
      </c>
      <c r="M115" s="15">
        <v>85.59</v>
      </c>
      <c r="N115" s="16">
        <v>1.16703026997545</v>
      </c>
      <c r="O115" s="16">
        <v>1.16233556709835</v>
      </c>
      <c r="P115" s="16">
        <v>1.1638371223927799</v>
      </c>
      <c r="Q115" s="16">
        <v>1.16672469104444</v>
      </c>
      <c r="R115" s="15">
        <v>85.245690490993098</v>
      </c>
      <c r="S115" s="15">
        <v>85.343399859619097</v>
      </c>
      <c r="T115" s="15">
        <v>85.610197787412801</v>
      </c>
      <c r="U115" s="11">
        <v>-4.03089043295896E-3</v>
      </c>
      <c r="V115" s="11">
        <v>-2.88533793472537E-3</v>
      </c>
      <c r="W115" s="11">
        <v>2.3595518892626001E-4</v>
      </c>
      <c r="X115" s="16">
        <v>1.16703026997545</v>
      </c>
      <c r="Y115" s="16">
        <v>1.16233556709835</v>
      </c>
      <c r="Z115" s="16">
        <v>1.1638371223927799</v>
      </c>
      <c r="AA115" s="16">
        <v>1.16672469104444</v>
      </c>
      <c r="AB115" s="15">
        <v>85.245690490993098</v>
      </c>
      <c r="AC115" s="15">
        <v>85.343399859619097</v>
      </c>
      <c r="AD115" s="15">
        <v>85.610197787412801</v>
      </c>
      <c r="AE115" s="11">
        <v>-4.03089043295896E-3</v>
      </c>
      <c r="AF115" s="11">
        <v>-2.88533793472537E-3</v>
      </c>
      <c r="AG115" s="11">
        <v>2.3595518892626001E-4</v>
      </c>
      <c r="AZ115" s="11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11">
        <f t="shared" si="26"/>
        <v>0</v>
      </c>
      <c r="BH115" s="11">
        <f t="shared" si="27"/>
        <v>0</v>
      </c>
      <c r="BI115" s="11">
        <f t="shared" si="28"/>
        <v>0</v>
      </c>
      <c r="BJ115" s="6">
        <f t="shared" si="29"/>
        <v>5.0602954855461776E-2</v>
      </c>
      <c r="BL115" s="11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11">
        <f t="shared" si="34"/>
        <v>0</v>
      </c>
      <c r="BT115" s="11">
        <f t="shared" si="35"/>
        <v>0</v>
      </c>
      <c r="BU115" s="11">
        <f t="shared" si="36"/>
        <v>0</v>
      </c>
      <c r="BV115" s="6">
        <f t="shared" si="37"/>
        <v>2.6828971959469657E-2</v>
      </c>
      <c r="BX115" s="6">
        <f t="shared" si="38"/>
        <v>0</v>
      </c>
      <c r="BY115" s="6">
        <f t="shared" si="39"/>
        <v>7.7431926814931426E-2</v>
      </c>
    </row>
    <row r="116" spans="1:77" x14ac:dyDescent="0.3">
      <c r="A116" s="1">
        <v>46190</v>
      </c>
      <c r="B116" s="15">
        <v>72.069999999999993</v>
      </c>
      <c r="C116" s="15">
        <v>83.68</v>
      </c>
      <c r="D116" s="11">
        <v>-1.7468293706830298E-2</v>
      </c>
      <c r="E116" s="11">
        <v>-2.2568453576905401E-2</v>
      </c>
      <c r="F116" s="15">
        <v>0</v>
      </c>
      <c r="G116" s="15">
        <v>0.69499999999999995</v>
      </c>
      <c r="H116" s="15">
        <v>0</v>
      </c>
      <c r="I116" s="15">
        <v>0.45490000000000003</v>
      </c>
      <c r="J116" s="15">
        <v>0</v>
      </c>
      <c r="K116" s="15">
        <v>0</v>
      </c>
      <c r="L116" s="15">
        <v>72.069999999999993</v>
      </c>
      <c r="M116" s="15">
        <v>83.68</v>
      </c>
      <c r="N116" s="16">
        <v>1.16109338143471</v>
      </c>
      <c r="O116" s="16">
        <v>1.16233556709835</v>
      </c>
      <c r="P116" s="16">
        <v>1.1632253353764299</v>
      </c>
      <c r="Q116" s="16">
        <v>1.1655702817117799</v>
      </c>
      <c r="R116" s="15">
        <v>83.769524320778203</v>
      </c>
      <c r="S116" s="15">
        <v>83.877741410847904</v>
      </c>
      <c r="T116" s="15">
        <v>84.0858484835734</v>
      </c>
      <c r="U116" s="11">
        <v>1.06926943711598E-3</v>
      </c>
      <c r="V116" s="11">
        <v>2.36027892215528E-3</v>
      </c>
      <c r="W116" s="11">
        <v>4.8382823911985104E-3</v>
      </c>
      <c r="X116" s="16">
        <v>1.16109338143471</v>
      </c>
      <c r="Y116" s="16">
        <v>1.16233556709835</v>
      </c>
      <c r="Z116" s="16">
        <v>1.1632253353764299</v>
      </c>
      <c r="AA116" s="16">
        <v>1.1655702817117799</v>
      </c>
      <c r="AB116" s="15">
        <v>83.769524320778203</v>
      </c>
      <c r="AC116" s="15">
        <v>83.877741410847904</v>
      </c>
      <c r="AD116" s="15">
        <v>84.0858484835734</v>
      </c>
      <c r="AE116" s="11">
        <v>1.06926943711598E-3</v>
      </c>
      <c r="AF116" s="11">
        <v>2.36027892215528E-3</v>
      </c>
      <c r="AG116" s="11">
        <v>4.8382823911985104E-3</v>
      </c>
      <c r="AZ116" s="11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1</v>
      </c>
      <c r="BF116">
        <f t="shared" si="25"/>
        <v>0</v>
      </c>
      <c r="BG116" s="11">
        <f t="shared" si="26"/>
        <v>0</v>
      </c>
      <c r="BH116" s="11">
        <f t="shared" si="27"/>
        <v>0</v>
      </c>
      <c r="BI116" s="11">
        <f t="shared" si="28"/>
        <v>0</v>
      </c>
      <c r="BJ116" s="6">
        <f t="shared" si="29"/>
        <v>5.0602954855461776E-2</v>
      </c>
      <c r="BL116" s="11"/>
      <c r="BN116">
        <f t="shared" si="30"/>
        <v>1</v>
      </c>
      <c r="BO116">
        <f t="shared" si="31"/>
        <v>0</v>
      </c>
      <c r="BP116">
        <f t="shared" si="32"/>
        <v>0</v>
      </c>
      <c r="BQ116">
        <f t="shared" si="21"/>
        <v>1</v>
      </c>
      <c r="BR116">
        <f t="shared" si="33"/>
        <v>0</v>
      </c>
      <c r="BS116" s="11">
        <f t="shared" si="34"/>
        <v>0</v>
      </c>
      <c r="BT116" s="11">
        <f t="shared" si="35"/>
        <v>0</v>
      </c>
      <c r="BU116" s="11">
        <f t="shared" si="36"/>
        <v>0</v>
      </c>
      <c r="BV116" s="6">
        <f t="shared" si="37"/>
        <v>2.6828971959469657E-2</v>
      </c>
      <c r="BX116" s="6">
        <f t="shared" si="38"/>
        <v>0</v>
      </c>
      <c r="BY116" s="6">
        <f t="shared" si="39"/>
        <v>7.7431926814931426E-2</v>
      </c>
    </row>
    <row r="117" spans="1:77" x14ac:dyDescent="0.3">
      <c r="A117" s="1">
        <v>46191</v>
      </c>
      <c r="B117" s="15">
        <v>71.569999999999993</v>
      </c>
      <c r="C117" s="15">
        <v>83.3</v>
      </c>
      <c r="D117" s="11">
        <v>-6.9618771858435697E-3</v>
      </c>
      <c r="E117" s="11">
        <v>-4.5514511438158297E-3</v>
      </c>
      <c r="F117" s="15">
        <v>0</v>
      </c>
      <c r="G117" s="15">
        <v>0.69499999999999995</v>
      </c>
      <c r="H117" s="15">
        <v>0</v>
      </c>
      <c r="I117" s="15">
        <v>0.45490000000000003</v>
      </c>
      <c r="J117" s="15">
        <v>0</v>
      </c>
      <c r="K117" s="15">
        <v>0</v>
      </c>
      <c r="L117" s="15">
        <v>71.569999999999993</v>
      </c>
      <c r="M117" s="15">
        <v>83.3</v>
      </c>
      <c r="N117" s="16">
        <v>1.16389548693586</v>
      </c>
      <c r="O117" s="16">
        <v>1.16233556709835</v>
      </c>
      <c r="P117" s="16">
        <v>1.1628319659205499</v>
      </c>
      <c r="Q117" s="16">
        <v>1.16474504225595</v>
      </c>
      <c r="R117" s="15">
        <v>83.188356537228998</v>
      </c>
      <c r="S117" s="15">
        <v>83.252037252891199</v>
      </c>
      <c r="T117" s="15">
        <v>83.419865062112294</v>
      </c>
      <c r="U117" s="11">
        <v>-1.3411566049115399E-3</v>
      </c>
      <c r="V117" s="11">
        <v>-5.7594910546542098E-4</v>
      </c>
      <c r="W117" s="11">
        <v>1.4379220223171799E-3</v>
      </c>
      <c r="X117" s="16">
        <v>1.16389548693586</v>
      </c>
      <c r="Y117" s="16">
        <v>1.16233556709835</v>
      </c>
      <c r="Z117" s="16">
        <v>1.1628319659205499</v>
      </c>
      <c r="AA117" s="16">
        <v>1.16474504225595</v>
      </c>
      <c r="AB117" s="15">
        <v>83.188356537228998</v>
      </c>
      <c r="AC117" s="15">
        <v>83.252037252891199</v>
      </c>
      <c r="AD117" s="15">
        <v>83.419865062112294</v>
      </c>
      <c r="AE117" s="11">
        <v>-1.3411566049115399E-3</v>
      </c>
      <c r="AF117" s="11">
        <v>-5.7594910546542098E-4</v>
      </c>
      <c r="AG117" s="11">
        <v>1.4379220223171799E-3</v>
      </c>
      <c r="AZ117" s="11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0</v>
      </c>
      <c r="BF117">
        <f t="shared" si="25"/>
        <v>0</v>
      </c>
      <c r="BG117" s="11">
        <f t="shared" si="26"/>
        <v>0</v>
      </c>
      <c r="BH117" s="11">
        <f t="shared" si="27"/>
        <v>0</v>
      </c>
      <c r="BI117" s="11">
        <f t="shared" si="28"/>
        <v>0</v>
      </c>
      <c r="BJ117" s="6">
        <f t="shared" si="29"/>
        <v>5.0602954855461776E-2</v>
      </c>
      <c r="BL117" s="11"/>
      <c r="BN117">
        <f t="shared" si="30"/>
        <v>0</v>
      </c>
      <c r="BO117">
        <f t="shared" si="31"/>
        <v>0</v>
      </c>
      <c r="BP117">
        <f t="shared" si="32"/>
        <v>1</v>
      </c>
      <c r="BQ117">
        <f t="shared" si="21"/>
        <v>0</v>
      </c>
      <c r="BR117">
        <f t="shared" si="33"/>
        <v>1</v>
      </c>
      <c r="BS117" s="11">
        <f t="shared" si="34"/>
        <v>6.9618771858435697E-3</v>
      </c>
      <c r="BT117" s="11">
        <f t="shared" si="35"/>
        <v>-4.5514511438158297E-3</v>
      </c>
      <c r="BU117" s="11">
        <f t="shared" si="36"/>
        <v>2.41042604202774E-3</v>
      </c>
      <c r="BV117" s="6">
        <f t="shared" si="37"/>
        <v>2.9239398001497396E-2</v>
      </c>
      <c r="BX117" s="6">
        <f t="shared" si="38"/>
        <v>2.41042604202774E-3</v>
      </c>
      <c r="BY117" s="6">
        <f t="shared" si="39"/>
        <v>7.9842352856959162E-2</v>
      </c>
    </row>
    <row r="118" spans="1:77" x14ac:dyDescent="0.3">
      <c r="A118" s="1">
        <v>46195</v>
      </c>
      <c r="B118" s="15">
        <v>71.08</v>
      </c>
      <c r="C118" s="15">
        <v>82.18</v>
      </c>
      <c r="D118" s="11">
        <v>-6.8699884640554699E-3</v>
      </c>
      <c r="E118" s="11">
        <v>-1.3536585717533099E-2</v>
      </c>
      <c r="F118" s="15">
        <v>0</v>
      </c>
      <c r="G118" s="15">
        <v>0.69499999999999995</v>
      </c>
      <c r="H118" s="15">
        <v>0.57420000000000004</v>
      </c>
      <c r="I118" s="15">
        <v>1.0290999999999999</v>
      </c>
      <c r="J118" s="15">
        <v>0</v>
      </c>
      <c r="K118" s="15">
        <v>0</v>
      </c>
      <c r="L118" s="15">
        <v>71.08</v>
      </c>
      <c r="M118" s="15">
        <v>82.18</v>
      </c>
      <c r="N118" s="16">
        <v>1.1561620709060201</v>
      </c>
      <c r="O118" s="16">
        <v>1.16233556709835</v>
      </c>
      <c r="P118" s="16">
        <v>1.16238196074241</v>
      </c>
      <c r="Q118" s="16">
        <v>1.1641669389047</v>
      </c>
      <c r="R118" s="15">
        <v>82.618812109350799</v>
      </c>
      <c r="S118" s="15">
        <v>82.654096137632806</v>
      </c>
      <c r="T118" s="15">
        <v>82.7900776035532</v>
      </c>
      <c r="U118" s="11">
        <v>5.3254406485662197E-3</v>
      </c>
      <c r="V118" s="11">
        <v>5.7524196276655896E-3</v>
      </c>
      <c r="W118" s="11">
        <v>7.3962550491994301E-3</v>
      </c>
      <c r="X118" s="16">
        <v>1.1561620709060201</v>
      </c>
      <c r="Y118" s="16">
        <v>1.16233556709835</v>
      </c>
      <c r="Z118" s="16">
        <v>1.16238196074241</v>
      </c>
      <c r="AA118" s="16">
        <v>1.1641669389047</v>
      </c>
      <c r="AB118" s="15">
        <v>82.618812109350799</v>
      </c>
      <c r="AC118" s="15">
        <v>82.654096137632806</v>
      </c>
      <c r="AD118" s="15">
        <v>82.7900776035532</v>
      </c>
      <c r="AE118" s="11">
        <v>5.3254406485662197E-3</v>
      </c>
      <c r="AF118" s="11">
        <v>5.7524196276655896E-3</v>
      </c>
      <c r="AG118" s="11">
        <v>7.3962550491994301E-3</v>
      </c>
      <c r="AZ118" s="11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11">
        <f t="shared" si="26"/>
        <v>0</v>
      </c>
      <c r="BH118" s="11">
        <f t="shared" si="27"/>
        <v>0</v>
      </c>
      <c r="BI118" s="11">
        <f t="shared" si="28"/>
        <v>0</v>
      </c>
      <c r="BJ118" s="6">
        <f t="shared" si="29"/>
        <v>5.0602954855461776E-2</v>
      </c>
      <c r="BL118" s="11"/>
      <c r="BN118">
        <f t="shared" si="30"/>
        <v>1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11">
        <f t="shared" si="34"/>
        <v>0</v>
      </c>
      <c r="BT118" s="11">
        <f t="shared" si="35"/>
        <v>0</v>
      </c>
      <c r="BU118" s="11">
        <f t="shared" si="36"/>
        <v>0</v>
      </c>
      <c r="BV118" s="6">
        <f t="shared" si="37"/>
        <v>2.9239398001497396E-2</v>
      </c>
      <c r="BX118" s="6">
        <f t="shared" si="38"/>
        <v>0</v>
      </c>
      <c r="BY118" s="6">
        <f t="shared" si="39"/>
        <v>7.9842352856959162E-2</v>
      </c>
    </row>
    <row r="119" spans="1:77" x14ac:dyDescent="0.3">
      <c r="A119" s="1">
        <v>46196</v>
      </c>
      <c r="B119" s="15">
        <v>72.42</v>
      </c>
      <c r="C119" s="15">
        <v>83.72</v>
      </c>
      <c r="D119" s="11">
        <v>1.8676501051044399E-2</v>
      </c>
      <c r="E119" s="11">
        <v>1.8565934122535099E-2</v>
      </c>
      <c r="F119" s="15">
        <v>0</v>
      </c>
      <c r="G119" s="15">
        <v>0.69499999999999995</v>
      </c>
      <c r="H119" s="15">
        <v>0</v>
      </c>
      <c r="I119" s="15">
        <v>1.0290999999999999</v>
      </c>
      <c r="J119" s="15">
        <v>0</v>
      </c>
      <c r="K119" s="15">
        <v>0</v>
      </c>
      <c r="L119" s="15">
        <v>72.42</v>
      </c>
      <c r="M119" s="15">
        <v>83.72</v>
      </c>
      <c r="N119" s="16">
        <v>1.1560342446837799</v>
      </c>
      <c r="O119" s="16">
        <v>1.16233556709835</v>
      </c>
      <c r="P119" s="16">
        <v>1.1615919425878301</v>
      </c>
      <c r="Q119" s="16">
        <v>1.16379082457467</v>
      </c>
      <c r="R119" s="15">
        <v>84.176341769262606</v>
      </c>
      <c r="S119" s="15">
        <v>84.179701596965302</v>
      </c>
      <c r="T119" s="15">
        <v>84.308969715478597</v>
      </c>
      <c r="U119" s="11">
        <v>5.4360075770754201E-3</v>
      </c>
      <c r="V119" s="11">
        <v>5.4759209373086296E-3</v>
      </c>
      <c r="W119" s="11">
        <v>7.0103640885305404E-3</v>
      </c>
      <c r="X119" s="16">
        <v>1.1560342446837799</v>
      </c>
      <c r="Y119" s="16">
        <v>1.16233556709835</v>
      </c>
      <c r="Z119" s="16">
        <v>1.1615919425878301</v>
      </c>
      <c r="AA119" s="16">
        <v>1.16379082457467</v>
      </c>
      <c r="AB119" s="15">
        <v>84.176341769262606</v>
      </c>
      <c r="AC119" s="15">
        <v>84.179701596965302</v>
      </c>
      <c r="AD119" s="15">
        <v>84.308969715478597</v>
      </c>
      <c r="AE119" s="11">
        <v>5.4360075770754201E-3</v>
      </c>
      <c r="AF119" s="11">
        <v>5.4759209373086296E-3</v>
      </c>
      <c r="AG119" s="11">
        <v>7.0103640885305404E-3</v>
      </c>
      <c r="AZ119" s="11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1</v>
      </c>
      <c r="BF119">
        <f t="shared" si="25"/>
        <v>0</v>
      </c>
      <c r="BG119" s="11">
        <f t="shared" si="26"/>
        <v>0</v>
      </c>
      <c r="BH119" s="11">
        <f t="shared" si="27"/>
        <v>0</v>
      </c>
      <c r="BI119" s="11">
        <f t="shared" si="28"/>
        <v>0</v>
      </c>
      <c r="BJ119" s="6">
        <f t="shared" si="29"/>
        <v>5.0602954855461776E-2</v>
      </c>
      <c r="BL119" s="11"/>
      <c r="BN119">
        <f t="shared" si="30"/>
        <v>1</v>
      </c>
      <c r="BO119">
        <f t="shared" si="31"/>
        <v>0</v>
      </c>
      <c r="BP119">
        <f t="shared" si="32"/>
        <v>1</v>
      </c>
      <c r="BQ119">
        <f t="shared" si="21"/>
        <v>1</v>
      </c>
      <c r="BR119">
        <f t="shared" si="33"/>
        <v>1</v>
      </c>
      <c r="BS119" s="11">
        <f t="shared" si="34"/>
        <v>-1.8676501051044399E-2</v>
      </c>
      <c r="BT119" s="11">
        <f t="shared" si="35"/>
        <v>1.8565934122535099E-2</v>
      </c>
      <c r="BU119" s="11">
        <f t="shared" si="36"/>
        <v>-1.1056692850930014E-4</v>
      </c>
      <c r="BV119" s="6">
        <f t="shared" si="37"/>
        <v>2.9128831072988096E-2</v>
      </c>
      <c r="BX119" s="6">
        <f t="shared" si="38"/>
        <v>-1.1056692850930014E-4</v>
      </c>
      <c r="BY119" s="6">
        <f t="shared" si="39"/>
        <v>7.9731785928449858E-2</v>
      </c>
    </row>
    <row r="120" spans="1:77" x14ac:dyDescent="0.3">
      <c r="A120" s="1">
        <v>46197</v>
      </c>
      <c r="B120" s="15">
        <v>72.900000000000006</v>
      </c>
      <c r="C120" s="15">
        <v>84.44</v>
      </c>
      <c r="D120" s="11">
        <v>6.6061346771174902E-3</v>
      </c>
      <c r="E120" s="11">
        <v>8.5633254023208E-3</v>
      </c>
      <c r="F120" s="15">
        <v>0</v>
      </c>
      <c r="G120" s="15">
        <v>0.69499999999999995</v>
      </c>
      <c r="H120" s="15">
        <v>0</v>
      </c>
      <c r="I120" s="15">
        <v>1.0290999999999999</v>
      </c>
      <c r="J120" s="15">
        <v>0</v>
      </c>
      <c r="K120" s="15">
        <v>0</v>
      </c>
      <c r="L120" s="15">
        <v>72.900000000000006</v>
      </c>
      <c r="M120" s="15">
        <v>84.44</v>
      </c>
      <c r="N120" s="16">
        <v>1.15829903978052</v>
      </c>
      <c r="O120" s="16">
        <v>1.16233556709835</v>
      </c>
      <c r="P120" s="16">
        <v>1.1614218465658901</v>
      </c>
      <c r="Q120" s="16">
        <v>1.16340265330659</v>
      </c>
      <c r="R120" s="15">
        <v>84.7342628414698</v>
      </c>
      <c r="S120" s="15">
        <v>84.680052614653405</v>
      </c>
      <c r="T120" s="15">
        <v>84.840351111494002</v>
      </c>
      <c r="U120" s="11">
        <v>3.47881685187219E-3</v>
      </c>
      <c r="V120" s="11">
        <v>2.8388446214180898E-3</v>
      </c>
      <c r="W120" s="11">
        <v>4.7300452214006396E-3</v>
      </c>
      <c r="X120" s="16">
        <v>1.15829903978052</v>
      </c>
      <c r="Y120" s="16">
        <v>1.16233556709835</v>
      </c>
      <c r="Z120" s="16">
        <v>1.1614218465658901</v>
      </c>
      <c r="AA120" s="16">
        <v>1.16340265330659</v>
      </c>
      <c r="AB120" s="15">
        <v>84.7342628414698</v>
      </c>
      <c r="AC120" s="15">
        <v>84.680052614653405</v>
      </c>
      <c r="AD120" s="15">
        <v>84.840351111494002</v>
      </c>
      <c r="AE120" s="11">
        <v>3.47881685187219E-3</v>
      </c>
      <c r="AF120" s="11">
        <v>2.8388446214180898E-3</v>
      </c>
      <c r="AG120" s="11">
        <v>4.7300452214006396E-3</v>
      </c>
      <c r="AZ120" s="11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11">
        <f t="shared" si="26"/>
        <v>0</v>
      </c>
      <c r="BH120" s="11">
        <f t="shared" si="27"/>
        <v>0</v>
      </c>
      <c r="BI120" s="11">
        <f t="shared" si="28"/>
        <v>0</v>
      </c>
      <c r="BJ120" s="6">
        <f t="shared" si="29"/>
        <v>5.0602954855461776E-2</v>
      </c>
      <c r="BL120" s="11"/>
      <c r="BN120">
        <f t="shared" si="30"/>
        <v>1</v>
      </c>
      <c r="BO120">
        <f t="shared" si="31"/>
        <v>0</v>
      </c>
      <c r="BP120">
        <f t="shared" si="32"/>
        <v>1</v>
      </c>
      <c r="BQ120">
        <f t="shared" si="21"/>
        <v>1</v>
      </c>
      <c r="BR120">
        <f t="shared" si="33"/>
        <v>1</v>
      </c>
      <c r="BS120" s="11">
        <f t="shared" si="34"/>
        <v>-6.6061346771174902E-3</v>
      </c>
      <c r="BT120" s="11">
        <f t="shared" si="35"/>
        <v>8.5633254023208E-3</v>
      </c>
      <c r="BU120" s="11">
        <f t="shared" si="36"/>
        <v>1.9571907252033099E-3</v>
      </c>
      <c r="BV120" s="6">
        <f t="shared" si="37"/>
        <v>3.1086021798191407E-2</v>
      </c>
      <c r="BX120" s="6">
        <f t="shared" si="38"/>
        <v>1.9571907252033099E-3</v>
      </c>
      <c r="BY120" s="6">
        <f t="shared" si="39"/>
        <v>8.168897665365317E-2</v>
      </c>
    </row>
    <row r="121" spans="1:77" x14ac:dyDescent="0.3">
      <c r="A121" s="1">
        <v>46198</v>
      </c>
      <c r="B121" s="15">
        <v>72.900000000000006</v>
      </c>
      <c r="C121" s="15">
        <v>83.94</v>
      </c>
      <c r="D121" s="11">
        <v>0</v>
      </c>
      <c r="E121" s="11">
        <v>-5.9389650746751003E-3</v>
      </c>
      <c r="F121" s="15">
        <v>0</v>
      </c>
      <c r="G121" s="15">
        <v>0.69499999999999995</v>
      </c>
      <c r="H121" s="15">
        <v>0</v>
      </c>
      <c r="I121" s="15">
        <v>1.0290999999999999</v>
      </c>
      <c r="J121" s="15">
        <v>0</v>
      </c>
      <c r="K121" s="15">
        <v>0</v>
      </c>
      <c r="L121" s="15">
        <v>72.900000000000006</v>
      </c>
      <c r="M121" s="15">
        <v>83.94</v>
      </c>
      <c r="N121" s="16">
        <v>1.1514403292180999</v>
      </c>
      <c r="O121" s="16">
        <v>1.16233556709835</v>
      </c>
      <c r="P121" s="16">
        <v>1.1606157913282</v>
      </c>
      <c r="Q121" s="16">
        <v>1.1627320034680899</v>
      </c>
      <c r="R121" s="15">
        <v>84.7342628414698</v>
      </c>
      <c r="S121" s="15">
        <v>84.667652614653406</v>
      </c>
      <c r="T121" s="15">
        <v>84.812053426050596</v>
      </c>
      <c r="U121" s="11">
        <v>9.4177819265471498E-3</v>
      </c>
      <c r="V121" s="11">
        <v>8.6313654321406603E-3</v>
      </c>
      <c r="W121" s="11">
        <v>1.0335414249701001E-2</v>
      </c>
      <c r="X121" s="16">
        <v>1.1514403292180999</v>
      </c>
      <c r="Y121" s="16">
        <v>1.16233556709835</v>
      </c>
      <c r="Z121" s="16">
        <v>1.1606157913282</v>
      </c>
      <c r="AA121" s="16">
        <v>1.1627320034680899</v>
      </c>
      <c r="AB121" s="15">
        <v>84.7342628414698</v>
      </c>
      <c r="AC121" s="15">
        <v>84.667652614653406</v>
      </c>
      <c r="AD121" s="15">
        <v>84.812053426050596</v>
      </c>
      <c r="AE121" s="11">
        <v>9.4177819265471498E-3</v>
      </c>
      <c r="AF121" s="11">
        <v>8.6313654321406603E-3</v>
      </c>
      <c r="AG121" s="11">
        <v>1.0335414249701001E-2</v>
      </c>
      <c r="AZ121" s="11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11">
        <f t="shared" si="26"/>
        <v>0</v>
      </c>
      <c r="BH121" s="11">
        <f t="shared" si="27"/>
        <v>0</v>
      </c>
      <c r="BI121" s="11">
        <f t="shared" si="28"/>
        <v>0</v>
      </c>
      <c r="BJ121" s="6">
        <f t="shared" si="29"/>
        <v>5.0602954855461776E-2</v>
      </c>
      <c r="BL121" s="11"/>
      <c r="BN121">
        <f t="shared" si="30"/>
        <v>1</v>
      </c>
      <c r="BO121">
        <f t="shared" si="31"/>
        <v>0</v>
      </c>
      <c r="BP121">
        <f t="shared" si="32"/>
        <v>1</v>
      </c>
      <c r="BQ121">
        <f t="shared" si="21"/>
        <v>1</v>
      </c>
      <c r="BR121">
        <f t="shared" si="33"/>
        <v>1</v>
      </c>
      <c r="BS121" s="11">
        <f t="shared" si="34"/>
        <v>0</v>
      </c>
      <c r="BT121" s="11">
        <f t="shared" si="35"/>
        <v>-5.9389650746751003E-3</v>
      </c>
      <c r="BU121" s="11">
        <f t="shared" si="36"/>
        <v>-5.9389650746751003E-3</v>
      </c>
      <c r="BV121" s="6">
        <f t="shared" si="37"/>
        <v>2.5147056723516307E-2</v>
      </c>
      <c r="BX121" s="6">
        <f t="shared" si="38"/>
        <v>-5.9389650746751003E-3</v>
      </c>
      <c r="BY121" s="6">
        <f t="shared" si="39"/>
        <v>7.5750011578978066E-2</v>
      </c>
    </row>
    <row r="122" spans="1:77" x14ac:dyDescent="0.3">
      <c r="A122" s="1">
        <v>46199</v>
      </c>
      <c r="B122" s="15">
        <v>73.650000000000006</v>
      </c>
      <c r="C122" s="15">
        <v>84.71</v>
      </c>
      <c r="D122" s="11">
        <v>1.02355038940267E-2</v>
      </c>
      <c r="E122" s="11">
        <v>9.1314005380146394E-3</v>
      </c>
      <c r="F122" s="15">
        <v>0</v>
      </c>
      <c r="G122" s="15">
        <v>0.69499999999999995</v>
      </c>
      <c r="H122" s="15">
        <v>0</v>
      </c>
      <c r="I122" s="15">
        <v>1.0290999999999999</v>
      </c>
      <c r="J122" s="15">
        <v>0</v>
      </c>
      <c r="K122" s="15">
        <v>0</v>
      </c>
      <c r="L122" s="15">
        <v>73.650000000000006</v>
      </c>
      <c r="M122" s="15">
        <v>84.71</v>
      </c>
      <c r="N122" s="16">
        <v>1.1501697216564799</v>
      </c>
      <c r="O122" s="16">
        <v>1.16233556709835</v>
      </c>
      <c r="P122" s="16">
        <v>1.1594136003481399</v>
      </c>
      <c r="Q122" s="16">
        <v>1.1617547594317601</v>
      </c>
      <c r="R122" s="15">
        <v>85.606014516793607</v>
      </c>
      <c r="S122" s="15">
        <v>85.479353031321907</v>
      </c>
      <c r="T122" s="15">
        <v>85.635212055424802</v>
      </c>
      <c r="U122" s="11">
        <v>1.0521885282559099E-2</v>
      </c>
      <c r="V122" s="11">
        <v>9.0412033232760997E-3</v>
      </c>
      <c r="W122" s="11">
        <v>1.0862895908313699E-2</v>
      </c>
      <c r="X122" s="16">
        <v>1.1501697216564799</v>
      </c>
      <c r="Y122" s="16">
        <v>1.16233556709835</v>
      </c>
      <c r="Z122" s="16">
        <v>1.1594136003481399</v>
      </c>
      <c r="AA122" s="16">
        <v>1.1617547594317601</v>
      </c>
      <c r="AB122" s="15">
        <v>85.606014516793607</v>
      </c>
      <c r="AC122" s="15">
        <v>85.479353031321907</v>
      </c>
      <c r="AD122" s="15">
        <v>85.635212055424802</v>
      </c>
      <c r="AE122" s="11">
        <v>1.0521885282559099E-2</v>
      </c>
      <c r="AF122" s="11">
        <v>9.0412033232760997E-3</v>
      </c>
      <c r="AG122" s="11">
        <v>1.0862895908313699E-2</v>
      </c>
      <c r="AZ122" s="11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11">
        <f t="shared" si="26"/>
        <v>0</v>
      </c>
      <c r="BH122" s="11">
        <f t="shared" si="27"/>
        <v>0</v>
      </c>
      <c r="BI122" s="11">
        <f t="shared" si="28"/>
        <v>0</v>
      </c>
      <c r="BJ122" s="6">
        <f t="shared" si="29"/>
        <v>5.0602954855461776E-2</v>
      </c>
      <c r="BL122" s="11"/>
      <c r="BN122">
        <f t="shared" si="30"/>
        <v>1</v>
      </c>
      <c r="BO122">
        <f t="shared" si="31"/>
        <v>0</v>
      </c>
      <c r="BP122">
        <f t="shared" si="32"/>
        <v>1</v>
      </c>
      <c r="BQ122">
        <f t="shared" si="21"/>
        <v>1</v>
      </c>
      <c r="BR122">
        <f t="shared" si="33"/>
        <v>1</v>
      </c>
      <c r="BS122" s="11">
        <f t="shared" si="34"/>
        <v>-1.02355038940267E-2</v>
      </c>
      <c r="BT122" s="11">
        <f t="shared" si="35"/>
        <v>9.1314005380146394E-3</v>
      </c>
      <c r="BU122" s="11">
        <f t="shared" si="36"/>
        <v>-1.1041033560120605E-3</v>
      </c>
      <c r="BV122" s="6">
        <f t="shared" si="37"/>
        <v>2.4042953367504248E-2</v>
      </c>
      <c r="BX122" s="6">
        <f t="shared" si="38"/>
        <v>-1.1041033560120605E-3</v>
      </c>
      <c r="BY122" s="6">
        <f t="shared" si="39"/>
        <v>7.4645908222966004E-2</v>
      </c>
    </row>
    <row r="123" spans="1:77" x14ac:dyDescent="0.3">
      <c r="A123" s="1">
        <v>46202</v>
      </c>
      <c r="B123" s="15">
        <v>73.52</v>
      </c>
      <c r="C123" s="15">
        <v>84.37</v>
      </c>
      <c r="D123" s="11">
        <v>-1.7666648612077601E-3</v>
      </c>
      <c r="E123" s="11">
        <v>-4.0217702659240302E-3</v>
      </c>
      <c r="F123" s="15">
        <v>0</v>
      </c>
      <c r="G123" s="15">
        <v>0.69499999999999995</v>
      </c>
      <c r="H123" s="15">
        <v>0</v>
      </c>
      <c r="I123" s="15">
        <v>1.0290999999999999</v>
      </c>
      <c r="J123" s="15">
        <v>0</v>
      </c>
      <c r="K123" s="15">
        <v>0</v>
      </c>
      <c r="L123" s="15">
        <v>73.52</v>
      </c>
      <c r="M123" s="15">
        <v>84.37</v>
      </c>
      <c r="N123" s="16">
        <v>1.14757889009793</v>
      </c>
      <c r="O123" s="16">
        <v>1.16233556709835</v>
      </c>
      <c r="P123" s="16">
        <v>1.1580101466400201</v>
      </c>
      <c r="Q123" s="16">
        <v>1.16083669929596</v>
      </c>
      <c r="R123" s="15">
        <v>85.454910893070803</v>
      </c>
      <c r="S123" s="15">
        <v>85.240087897595899</v>
      </c>
      <c r="T123" s="15">
        <v>85.412209913423496</v>
      </c>
      <c r="U123" s="11">
        <v>1.27769906872756E-2</v>
      </c>
      <c r="V123" s="11">
        <v>1.0259950230152101E-2</v>
      </c>
      <c r="W123" s="11">
        <v>1.2277175622391801E-2</v>
      </c>
      <c r="X123" s="16">
        <v>1.14757889009793</v>
      </c>
      <c r="Y123" s="16">
        <v>1.16233556709835</v>
      </c>
      <c r="Z123" s="16">
        <v>1.1580101466400201</v>
      </c>
      <c r="AA123" s="16">
        <v>1.16083669929596</v>
      </c>
      <c r="AB123" s="15">
        <v>85.454910893070803</v>
      </c>
      <c r="AC123" s="15">
        <v>85.240087897595899</v>
      </c>
      <c r="AD123" s="15">
        <v>85.412209913423496</v>
      </c>
      <c r="AE123" s="11">
        <v>1.27769906872756E-2</v>
      </c>
      <c r="AF123" s="11">
        <v>1.0259950230152101E-2</v>
      </c>
      <c r="AG123" s="11">
        <v>1.2277175622391801E-2</v>
      </c>
      <c r="AZ123" s="11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11">
        <f t="shared" si="26"/>
        <v>0</v>
      </c>
      <c r="BH123" s="11">
        <f t="shared" si="27"/>
        <v>0</v>
      </c>
      <c r="BI123" s="11">
        <f t="shared" si="28"/>
        <v>0</v>
      </c>
      <c r="BJ123" s="6">
        <f t="shared" si="29"/>
        <v>5.0602954855461776E-2</v>
      </c>
      <c r="BL123" s="11"/>
      <c r="BN123">
        <f t="shared" si="30"/>
        <v>1</v>
      </c>
      <c r="BO123">
        <f t="shared" si="31"/>
        <v>0</v>
      </c>
      <c r="BP123">
        <f t="shared" si="32"/>
        <v>1</v>
      </c>
      <c r="BQ123">
        <f t="shared" si="21"/>
        <v>1</v>
      </c>
      <c r="BR123">
        <f t="shared" si="33"/>
        <v>1</v>
      </c>
      <c r="BS123" s="11">
        <f t="shared" si="34"/>
        <v>1.7666648612077601E-3</v>
      </c>
      <c r="BT123" s="11">
        <f t="shared" si="35"/>
        <v>-4.0217702659240302E-3</v>
      </c>
      <c r="BU123" s="11">
        <f t="shared" si="36"/>
        <v>-2.2551054047162703E-3</v>
      </c>
      <c r="BV123" s="6">
        <f t="shared" si="37"/>
        <v>2.1787847962787977E-2</v>
      </c>
      <c r="BX123" s="6">
        <f t="shared" si="38"/>
        <v>-2.2551054047162703E-3</v>
      </c>
      <c r="BY123" s="6">
        <f t="shared" si="39"/>
        <v>7.2390802818249736E-2</v>
      </c>
    </row>
    <row r="124" spans="1:77" x14ac:dyDescent="0.3">
      <c r="A124" s="1">
        <v>46203</v>
      </c>
      <c r="B124" s="15">
        <v>72.66</v>
      </c>
      <c r="C124" s="15">
        <v>83.07</v>
      </c>
      <c r="D124" s="11">
        <v>-1.1766451254375599E-2</v>
      </c>
      <c r="E124" s="11">
        <v>-1.5528262326555299E-2</v>
      </c>
      <c r="F124" s="15">
        <v>0</v>
      </c>
      <c r="G124" s="15">
        <v>0.69499999999999995</v>
      </c>
      <c r="H124" s="15">
        <v>0</v>
      </c>
      <c r="I124" s="15">
        <v>1.0290999999999999</v>
      </c>
      <c r="J124" s="15">
        <v>0</v>
      </c>
      <c r="K124" s="15">
        <v>0</v>
      </c>
      <c r="L124" s="15">
        <v>72.66</v>
      </c>
      <c r="M124" s="15">
        <v>83.07</v>
      </c>
      <c r="N124" s="16">
        <v>1.14327002477291</v>
      </c>
      <c r="O124" s="16">
        <v>1.16233556709835</v>
      </c>
      <c r="P124" s="16">
        <v>1.1554973459461799</v>
      </c>
      <c r="Q124" s="16">
        <v>1.1595825962047399</v>
      </c>
      <c r="R124" s="15">
        <v>84.455302305366203</v>
      </c>
      <c r="S124" s="15">
        <v>84.141017254863897</v>
      </c>
      <c r="T124" s="15">
        <v>84.346394570844893</v>
      </c>
      <c r="U124" s="11">
        <v>1.6538801759454901E-2</v>
      </c>
      <c r="V124" s="11">
        <v>1.28105422652177E-2</v>
      </c>
      <c r="W124" s="11">
        <v>1.52484385504592E-2</v>
      </c>
      <c r="X124" s="16">
        <v>1.14327002477291</v>
      </c>
      <c r="Y124" s="16">
        <v>1.16233556709835</v>
      </c>
      <c r="Z124" s="16">
        <v>1.1554973459461799</v>
      </c>
      <c r="AA124" s="16">
        <v>1.1595825962047399</v>
      </c>
      <c r="AB124" s="15">
        <v>84.455302305366203</v>
      </c>
      <c r="AC124" s="15">
        <v>84.141017254863897</v>
      </c>
      <c r="AD124" s="15">
        <v>84.346394570844893</v>
      </c>
      <c r="AE124" s="11">
        <v>1.6538801759454901E-2</v>
      </c>
      <c r="AF124" s="11">
        <v>1.28105422652177E-2</v>
      </c>
      <c r="AG124" s="11">
        <v>1.52484385504592E-2</v>
      </c>
      <c r="AZ124" s="11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11">
        <f t="shared" si="26"/>
        <v>0</v>
      </c>
      <c r="BH124" s="11">
        <f t="shared" si="27"/>
        <v>0</v>
      </c>
      <c r="BI124" s="11">
        <f t="shared" si="28"/>
        <v>0</v>
      </c>
      <c r="BJ124" s="6">
        <f t="shared" si="29"/>
        <v>5.0602954855461776E-2</v>
      </c>
      <c r="BL124" s="11"/>
      <c r="BN124">
        <f t="shared" si="30"/>
        <v>1</v>
      </c>
      <c r="BO124">
        <f t="shared" si="31"/>
        <v>0</v>
      </c>
      <c r="BP124">
        <f t="shared" si="32"/>
        <v>1</v>
      </c>
      <c r="BQ124">
        <f t="shared" si="21"/>
        <v>1</v>
      </c>
      <c r="BR124">
        <f t="shared" si="33"/>
        <v>1</v>
      </c>
      <c r="BS124" s="11">
        <f t="shared" si="34"/>
        <v>1.1766451254375599E-2</v>
      </c>
      <c r="BT124" s="11">
        <f t="shared" si="35"/>
        <v>-1.5528262326555299E-2</v>
      </c>
      <c r="BU124" s="11">
        <f t="shared" si="36"/>
        <v>-3.7618110721797E-3</v>
      </c>
      <c r="BV124" s="6">
        <f t="shared" si="37"/>
        <v>1.8026036890608277E-2</v>
      </c>
      <c r="BX124" s="6">
        <f t="shared" si="38"/>
        <v>-3.7618110721797E-3</v>
      </c>
      <c r="BY124" s="6">
        <f t="shared" si="39"/>
        <v>6.8628991746070039E-2</v>
      </c>
    </row>
    <row r="125" spans="1:77" x14ac:dyDescent="0.3">
      <c r="A125" s="1">
        <v>46204</v>
      </c>
      <c r="B125" s="15">
        <v>73.290000000000006</v>
      </c>
      <c r="C125" s="15">
        <v>83.3</v>
      </c>
      <c r="D125" s="11">
        <v>8.6331471447030905E-3</v>
      </c>
      <c r="E125" s="11">
        <v>2.76492332181684E-3</v>
      </c>
      <c r="F125" s="15">
        <v>0</v>
      </c>
      <c r="G125" s="15">
        <v>0.69499999999999995</v>
      </c>
      <c r="H125" s="15">
        <v>0</v>
      </c>
      <c r="I125" s="15">
        <v>1.0290999999999999</v>
      </c>
      <c r="J125" s="15">
        <v>0</v>
      </c>
      <c r="K125" s="15">
        <v>0</v>
      </c>
      <c r="L125" s="15">
        <v>73.290000000000006</v>
      </c>
      <c r="M125" s="15">
        <v>83.3</v>
      </c>
      <c r="N125" s="16">
        <v>1.1365807067812701</v>
      </c>
      <c r="O125" s="16">
        <v>1.16233556709835</v>
      </c>
      <c r="P125" s="16">
        <v>1.15245238962676</v>
      </c>
      <c r="Q125" s="16">
        <v>1.15814475600977</v>
      </c>
      <c r="R125" s="15">
        <v>85.187573712638198</v>
      </c>
      <c r="S125" s="15">
        <v>84.686400484395605</v>
      </c>
      <c r="T125" s="15">
        <v>84.985808475845801</v>
      </c>
      <c r="U125" s="11">
        <v>2.2407025582341301E-2</v>
      </c>
      <c r="V125" s="11">
        <v>1.65064786068519E-2</v>
      </c>
      <c r="W125" s="11">
        <v>2.0035734270599601E-2</v>
      </c>
      <c r="X125" s="16">
        <v>1.1365807067812701</v>
      </c>
      <c r="Y125" s="16">
        <v>1.16233556709835</v>
      </c>
      <c r="Z125" s="16">
        <v>1.15245238962676</v>
      </c>
      <c r="AA125" s="16">
        <v>1.15814475600977</v>
      </c>
      <c r="AB125" s="15">
        <v>85.187573712638198</v>
      </c>
      <c r="AC125" s="15">
        <v>84.686400484395605</v>
      </c>
      <c r="AD125" s="15">
        <v>84.985808475845801</v>
      </c>
      <c r="AE125" s="11">
        <v>2.2407025582341301E-2</v>
      </c>
      <c r="AF125" s="11">
        <v>1.65064786068519E-2</v>
      </c>
      <c r="AG125" s="11">
        <v>2.0035734270599601E-2</v>
      </c>
      <c r="AZ125" s="11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11">
        <f t="shared" si="26"/>
        <v>0</v>
      </c>
      <c r="BH125" s="11">
        <f t="shared" si="27"/>
        <v>0</v>
      </c>
      <c r="BI125" s="11">
        <f t="shared" si="28"/>
        <v>0</v>
      </c>
      <c r="BJ125" s="6">
        <f t="shared" si="29"/>
        <v>5.0602954855461776E-2</v>
      </c>
      <c r="BL125" s="11"/>
      <c r="BN125">
        <f t="shared" si="30"/>
        <v>1</v>
      </c>
      <c r="BO125">
        <f t="shared" si="31"/>
        <v>0</v>
      </c>
      <c r="BP125">
        <f t="shared" si="32"/>
        <v>1</v>
      </c>
      <c r="BQ125">
        <f t="shared" si="21"/>
        <v>1</v>
      </c>
      <c r="BR125">
        <f t="shared" si="33"/>
        <v>1</v>
      </c>
      <c r="BS125" s="11">
        <f t="shared" si="34"/>
        <v>-8.6331471447030905E-3</v>
      </c>
      <c r="BT125" s="11">
        <f t="shared" si="35"/>
        <v>2.76492332181684E-3</v>
      </c>
      <c r="BU125" s="11">
        <f t="shared" si="36"/>
        <v>-5.868223822886251E-3</v>
      </c>
      <c r="BV125" s="6">
        <f t="shared" si="37"/>
        <v>1.2157813067722026E-2</v>
      </c>
      <c r="BX125" s="6">
        <f t="shared" si="38"/>
        <v>-5.868223822886251E-3</v>
      </c>
      <c r="BY125" s="6">
        <f t="shared" si="39"/>
        <v>6.2760767923183788E-2</v>
      </c>
    </row>
    <row r="126" spans="1:77" x14ac:dyDescent="0.3">
      <c r="A126" s="1">
        <v>46205</v>
      </c>
      <c r="B126" s="15">
        <v>74.81</v>
      </c>
      <c r="C126" s="15">
        <v>84.99</v>
      </c>
      <c r="D126" s="11">
        <v>2.0527391946554702E-2</v>
      </c>
      <c r="E126" s="11">
        <v>2.0085053337737701E-2</v>
      </c>
      <c r="F126" s="15">
        <v>0</v>
      </c>
      <c r="G126" s="15">
        <v>0.69499999999999995</v>
      </c>
      <c r="H126" s="15">
        <v>0</v>
      </c>
      <c r="I126" s="15">
        <v>1.0290999999999999</v>
      </c>
      <c r="J126" s="15">
        <v>0</v>
      </c>
      <c r="K126" s="15">
        <v>0</v>
      </c>
      <c r="L126" s="15">
        <v>74.81</v>
      </c>
      <c r="M126" s="15">
        <v>84.99</v>
      </c>
      <c r="N126" s="16">
        <v>1.13607806442988</v>
      </c>
      <c r="O126" s="16">
        <v>1.16233556709835</v>
      </c>
      <c r="P126" s="16">
        <v>1.14995085792628</v>
      </c>
      <c r="Q126" s="16">
        <v>1.15658809665135</v>
      </c>
      <c r="R126" s="15">
        <v>86.954323774627696</v>
      </c>
      <c r="S126" s="15">
        <v>86.214963267978106</v>
      </c>
      <c r="T126" s="15">
        <v>86.640809197091102</v>
      </c>
      <c r="U126" s="11">
        <v>2.2849364191158E-2</v>
      </c>
      <c r="V126" s="11">
        <v>1.43101478900647E-2</v>
      </c>
      <c r="W126" s="11">
        <v>1.9237339901871799E-2</v>
      </c>
      <c r="X126" s="16">
        <v>1.13607806442988</v>
      </c>
      <c r="Y126" s="16">
        <v>1.16233556709835</v>
      </c>
      <c r="Z126" s="16">
        <v>1.14995085792628</v>
      </c>
      <c r="AA126" s="16">
        <v>1.15658809665135</v>
      </c>
      <c r="AB126" s="15">
        <v>86.954323774627696</v>
      </c>
      <c r="AC126" s="15">
        <v>86.214963267978106</v>
      </c>
      <c r="AD126" s="15">
        <v>86.640809197091102</v>
      </c>
      <c r="AE126" s="11">
        <v>2.2849364191158E-2</v>
      </c>
      <c r="AF126" s="11">
        <v>1.43101478900647E-2</v>
      </c>
      <c r="AG126" s="11">
        <v>1.9237339901871799E-2</v>
      </c>
      <c r="AZ126" s="11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11">
        <f t="shared" si="26"/>
        <v>0</v>
      </c>
      <c r="BH126" s="11">
        <f t="shared" si="27"/>
        <v>0</v>
      </c>
      <c r="BI126" s="11">
        <f t="shared" si="28"/>
        <v>0</v>
      </c>
      <c r="BJ126" s="6">
        <f t="shared" si="29"/>
        <v>5.0602954855461776E-2</v>
      </c>
      <c r="BL126" s="11"/>
      <c r="BN126">
        <f t="shared" si="30"/>
        <v>1</v>
      </c>
      <c r="BO126">
        <f t="shared" si="31"/>
        <v>0</v>
      </c>
      <c r="BP126">
        <f t="shared" si="32"/>
        <v>1</v>
      </c>
      <c r="BQ126">
        <f t="shared" si="21"/>
        <v>1</v>
      </c>
      <c r="BR126">
        <f t="shared" si="33"/>
        <v>1</v>
      </c>
      <c r="BS126" s="11">
        <f t="shared" si="34"/>
        <v>-2.0527391946554702E-2</v>
      </c>
      <c r="BT126" s="11">
        <f t="shared" si="35"/>
        <v>2.0085053337737701E-2</v>
      </c>
      <c r="BU126" s="11">
        <f t="shared" si="36"/>
        <v>-4.4233860881700074E-4</v>
      </c>
      <c r="BV126" s="6">
        <f t="shared" si="37"/>
        <v>1.1715474458905025E-2</v>
      </c>
      <c r="BX126" s="6">
        <f t="shared" si="38"/>
        <v>-4.4233860881700074E-4</v>
      </c>
      <c r="BY126" s="6">
        <f t="shared" si="39"/>
        <v>6.2318429314366791E-2</v>
      </c>
    </row>
    <row r="127" spans="1:77" x14ac:dyDescent="0.3">
      <c r="A127" s="1">
        <v>46209</v>
      </c>
      <c r="B127" s="15">
        <v>74.14</v>
      </c>
      <c r="C127" s="15">
        <v>84.1</v>
      </c>
      <c r="D127" s="11">
        <v>-8.9963681617273202E-3</v>
      </c>
      <c r="E127" s="11">
        <v>-1.05270355316324E-2</v>
      </c>
      <c r="F127" s="15">
        <v>0</v>
      </c>
      <c r="G127" s="15">
        <v>0.69499999999999995</v>
      </c>
      <c r="H127" s="15">
        <v>0</v>
      </c>
      <c r="I127" s="15">
        <v>1.0290999999999999</v>
      </c>
      <c r="J127" s="15">
        <v>0</v>
      </c>
      <c r="K127" s="15">
        <v>0</v>
      </c>
      <c r="L127" s="15">
        <v>74.14</v>
      </c>
      <c r="M127" s="15">
        <v>84.1</v>
      </c>
      <c r="N127" s="16">
        <v>1.1343404370110599</v>
      </c>
      <c r="O127" s="16">
        <v>1.16233556709835</v>
      </c>
      <c r="P127" s="16">
        <v>1.14699535293379</v>
      </c>
      <c r="Q127" s="16">
        <v>1.1549136594271701</v>
      </c>
      <c r="R127" s="15">
        <v>86.175558944671806</v>
      </c>
      <c r="S127" s="15">
        <v>85.257356606654398</v>
      </c>
      <c r="T127" s="15">
        <v>85.749441485731495</v>
      </c>
      <c r="U127" s="11">
        <v>2.43800315610633E-2</v>
      </c>
      <c r="V127" s="11">
        <v>1.36678399677775E-2</v>
      </c>
      <c r="W127" s="11">
        <v>1.9423005760005701E-2</v>
      </c>
      <c r="X127" s="16">
        <v>1.1343404370110599</v>
      </c>
      <c r="Y127" s="16">
        <v>1.16233556709835</v>
      </c>
      <c r="Z127" s="16">
        <v>1.14699535293379</v>
      </c>
      <c r="AA127" s="16">
        <v>1.1549136594271701</v>
      </c>
      <c r="AB127" s="15">
        <v>86.175558944671806</v>
      </c>
      <c r="AC127" s="15">
        <v>85.257356606654398</v>
      </c>
      <c r="AD127" s="15">
        <v>85.749441485731495</v>
      </c>
      <c r="AE127" s="11">
        <v>2.43800315610633E-2</v>
      </c>
      <c r="AF127" s="11">
        <v>1.36678399677775E-2</v>
      </c>
      <c r="AG127" s="11">
        <v>1.9423005760005701E-2</v>
      </c>
      <c r="AZ127" s="11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11">
        <f t="shared" si="26"/>
        <v>0</v>
      </c>
      <c r="BH127" s="11">
        <f t="shared" si="27"/>
        <v>0</v>
      </c>
      <c r="BI127" s="11">
        <f t="shared" si="28"/>
        <v>0</v>
      </c>
      <c r="BJ127" s="6">
        <f t="shared" si="29"/>
        <v>5.0602954855461776E-2</v>
      </c>
      <c r="BL127" s="11"/>
      <c r="BN127">
        <f t="shared" si="30"/>
        <v>1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11">
        <f t="shared" si="34"/>
        <v>8.9963681617273202E-3</v>
      </c>
      <c r="BT127" s="11">
        <f t="shared" si="35"/>
        <v>-1.05270355316324E-2</v>
      </c>
      <c r="BU127" s="11">
        <f t="shared" si="36"/>
        <v>-1.53066736990508E-3</v>
      </c>
      <c r="BV127" s="6">
        <f t="shared" si="37"/>
        <v>1.0184807088999945E-2</v>
      </c>
      <c r="BX127" s="6">
        <f t="shared" si="38"/>
        <v>-1.53066736990508E-3</v>
      </c>
      <c r="BY127" s="6">
        <f t="shared" si="39"/>
        <v>6.0787761944461713E-2</v>
      </c>
    </row>
    <row r="128" spans="1:77" x14ac:dyDescent="0.3">
      <c r="A128" s="1">
        <v>46210</v>
      </c>
      <c r="B128" s="15">
        <v>75.06</v>
      </c>
      <c r="C128" s="15">
        <v>84.86</v>
      </c>
      <c r="D128" s="11">
        <v>1.23325959842885E-2</v>
      </c>
      <c r="E128" s="11">
        <v>8.9962727952765092E-3</v>
      </c>
      <c r="F128" s="15">
        <v>0</v>
      </c>
      <c r="G128" s="15">
        <v>0.69499999999999995</v>
      </c>
      <c r="H128" s="15">
        <v>0</v>
      </c>
      <c r="I128" s="15">
        <v>1.0290999999999999</v>
      </c>
      <c r="J128" s="15">
        <v>0</v>
      </c>
      <c r="K128" s="15">
        <v>0</v>
      </c>
      <c r="L128" s="15">
        <v>75.06</v>
      </c>
      <c r="M128" s="15">
        <v>84.86</v>
      </c>
      <c r="N128" s="16">
        <v>1.13056221689315</v>
      </c>
      <c r="O128" s="16">
        <v>1.16233556709835</v>
      </c>
      <c r="P128" s="16">
        <v>1.1444353675325101</v>
      </c>
      <c r="Q128" s="16">
        <v>1.1534086641374599</v>
      </c>
      <c r="R128" s="15">
        <v>87.244907666402298</v>
      </c>
      <c r="S128" s="15">
        <v>86.093471191210995</v>
      </c>
      <c r="T128" s="15">
        <v>86.687819276603804</v>
      </c>
      <c r="U128" s="11">
        <v>2.7716354750075198E-2</v>
      </c>
      <c r="V128" s="11">
        <v>1.4430740575470899E-2</v>
      </c>
      <c r="W128" s="11">
        <v>2.1310541369547902E-2</v>
      </c>
      <c r="X128" s="16">
        <v>1.13056221689315</v>
      </c>
      <c r="Y128" s="16">
        <v>1.16233556709835</v>
      </c>
      <c r="Z128" s="16">
        <v>1.1444353675325101</v>
      </c>
      <c r="AA128" s="16">
        <v>1.1534086641374599</v>
      </c>
      <c r="AB128" s="15">
        <v>87.244907666402298</v>
      </c>
      <c r="AC128" s="15">
        <v>86.093471191210995</v>
      </c>
      <c r="AD128" s="15">
        <v>86.687819276603804</v>
      </c>
      <c r="AE128" s="11">
        <v>2.7716354750075198E-2</v>
      </c>
      <c r="AF128" s="11">
        <v>1.4430740575470899E-2</v>
      </c>
      <c r="AG128" s="11">
        <v>2.1310541369547902E-2</v>
      </c>
      <c r="AZ128" s="11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11">
        <f t="shared" si="26"/>
        <v>0</v>
      </c>
      <c r="BH128" s="11">
        <f t="shared" si="27"/>
        <v>0</v>
      </c>
      <c r="BI128" s="11">
        <f t="shared" si="28"/>
        <v>0</v>
      </c>
      <c r="BJ128" s="6">
        <f t="shared" si="29"/>
        <v>5.0602954855461776E-2</v>
      </c>
      <c r="BL128" s="11"/>
      <c r="BN128">
        <f t="shared" si="30"/>
        <v>1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11">
        <f t="shared" si="34"/>
        <v>-1.23325959842885E-2</v>
      </c>
      <c r="BT128" s="11">
        <f t="shared" si="35"/>
        <v>8.9962727952765092E-3</v>
      </c>
      <c r="BU128" s="11">
        <f t="shared" si="36"/>
        <v>-3.3363231890119905E-3</v>
      </c>
      <c r="BV128" s="6">
        <f t="shared" si="37"/>
        <v>6.8484838999879546E-3</v>
      </c>
      <c r="BX128" s="6">
        <f t="shared" si="38"/>
        <v>-3.3363231890119905E-3</v>
      </c>
      <c r="BY128" s="6">
        <f t="shared" si="39"/>
        <v>5.7451438755449724E-2</v>
      </c>
    </row>
    <row r="129" spans="1:77" x14ac:dyDescent="0.3">
      <c r="A129" s="1">
        <v>46211</v>
      </c>
      <c r="B129" s="15">
        <v>74.319999999999993</v>
      </c>
      <c r="C129" s="15">
        <v>84.39</v>
      </c>
      <c r="D129" s="11">
        <v>-9.9076992012918398E-3</v>
      </c>
      <c r="E129" s="11">
        <v>-5.5539286043036198E-3</v>
      </c>
      <c r="F129" s="15">
        <v>0</v>
      </c>
      <c r="G129" s="15">
        <v>0.69499999999999995</v>
      </c>
      <c r="H129" s="15">
        <v>0</v>
      </c>
      <c r="I129" s="15">
        <v>1.0290999999999999</v>
      </c>
      <c r="J129" s="15">
        <v>0</v>
      </c>
      <c r="K129" s="15">
        <v>0</v>
      </c>
      <c r="L129" s="15">
        <v>74.319999999999993</v>
      </c>
      <c r="M129" s="15">
        <v>84.39</v>
      </c>
      <c r="N129" s="16">
        <v>1.1354951560818001</v>
      </c>
      <c r="O129" s="16">
        <v>1.16233556709835</v>
      </c>
      <c r="P129" s="16">
        <v>1.14238145867231</v>
      </c>
      <c r="Q129" s="16">
        <v>1.1519867006300699</v>
      </c>
      <c r="R129" s="15">
        <v>86.384779346749497</v>
      </c>
      <c r="S129" s="15">
        <v>85.054436515016306</v>
      </c>
      <c r="T129" s="15">
        <v>85.721331918696094</v>
      </c>
      <c r="U129" s="11">
        <v>2.3362584153087101E-2</v>
      </c>
      <c r="V129" s="11">
        <v>7.8425699213553694E-3</v>
      </c>
      <c r="W129" s="11">
        <v>1.5652797330374599E-2</v>
      </c>
      <c r="X129" s="16">
        <v>1.1354951560818001</v>
      </c>
      <c r="Y129" s="16">
        <v>1.16233556709835</v>
      </c>
      <c r="Z129" s="16">
        <v>1.14238145867231</v>
      </c>
      <c r="AA129" s="16">
        <v>1.1519867006300699</v>
      </c>
      <c r="AB129" s="15">
        <v>86.384779346749497</v>
      </c>
      <c r="AC129" s="15">
        <v>85.054436515016306</v>
      </c>
      <c r="AD129" s="15">
        <v>85.721331918696094</v>
      </c>
      <c r="AE129" s="11">
        <v>2.3362584153087101E-2</v>
      </c>
      <c r="AF129" s="11">
        <v>7.8425699213553694E-3</v>
      </c>
      <c r="AG129" s="11">
        <v>1.5652797330374599E-2</v>
      </c>
      <c r="AZ129" s="11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11">
        <f t="shared" si="26"/>
        <v>0</v>
      </c>
      <c r="BH129" s="11">
        <f t="shared" si="27"/>
        <v>0</v>
      </c>
      <c r="BI129" s="11">
        <f t="shared" si="28"/>
        <v>0</v>
      </c>
      <c r="BJ129" s="6">
        <f t="shared" si="29"/>
        <v>5.0602954855461776E-2</v>
      </c>
      <c r="BL129" s="11"/>
      <c r="BN129">
        <f t="shared" si="30"/>
        <v>1</v>
      </c>
      <c r="BO129">
        <f t="shared" si="31"/>
        <v>0</v>
      </c>
      <c r="BP129">
        <f t="shared" si="32"/>
        <v>1</v>
      </c>
      <c r="BQ129">
        <f t="shared" si="21"/>
        <v>1</v>
      </c>
      <c r="BR129">
        <f t="shared" si="33"/>
        <v>1</v>
      </c>
      <c r="BS129" s="11">
        <f t="shared" si="34"/>
        <v>9.9076992012918398E-3</v>
      </c>
      <c r="BT129" s="11">
        <f t="shared" si="35"/>
        <v>-5.5539286043036198E-3</v>
      </c>
      <c r="BU129" s="11">
        <f t="shared" si="36"/>
        <v>4.35377059698822E-3</v>
      </c>
      <c r="BV129" s="6">
        <f t="shared" si="37"/>
        <v>1.1202254496976174E-2</v>
      </c>
      <c r="BX129" s="6">
        <f t="shared" si="38"/>
        <v>4.35377059698822E-3</v>
      </c>
      <c r="BY129" s="6">
        <f t="shared" si="39"/>
        <v>6.1805209352437947E-2</v>
      </c>
    </row>
    <row r="130" spans="1:77" x14ac:dyDescent="0.3">
      <c r="A130" s="1">
        <v>46212</v>
      </c>
      <c r="B130" s="15">
        <v>73.150000000000006</v>
      </c>
      <c r="C130" s="15">
        <v>83.2</v>
      </c>
      <c r="D130" s="11">
        <v>-1.5867967039449499E-2</v>
      </c>
      <c r="E130" s="11">
        <v>-1.4201563342712199E-2</v>
      </c>
      <c r="F130" s="15">
        <v>0</v>
      </c>
      <c r="G130" s="15">
        <v>0.69499999999999995</v>
      </c>
      <c r="H130" s="15">
        <v>0</v>
      </c>
      <c r="I130" s="15">
        <v>1.0290999999999999</v>
      </c>
      <c r="J130" s="15">
        <v>0</v>
      </c>
      <c r="K130" s="15">
        <v>0</v>
      </c>
      <c r="L130" s="15">
        <v>73.150000000000006</v>
      </c>
      <c r="M130" s="15">
        <v>83.2</v>
      </c>
      <c r="N130" s="16">
        <v>1.1373889268626101</v>
      </c>
      <c r="O130" s="16">
        <v>1.16233556709835</v>
      </c>
      <c r="P130" s="16">
        <v>1.14029044738052</v>
      </c>
      <c r="Q130" s="16">
        <v>1.1508561469731999</v>
      </c>
      <c r="R130" s="15">
        <v>85.024846733244402</v>
      </c>
      <c r="S130" s="15">
        <v>83.565203701879796</v>
      </c>
      <c r="T130" s="15">
        <v>84.267827151090103</v>
      </c>
      <c r="U130" s="11">
        <v>2.16961804563497E-2</v>
      </c>
      <c r="V130" s="11">
        <v>4.3798619566569E-3</v>
      </c>
      <c r="W130" s="11">
        <v>1.2752797254083501E-2</v>
      </c>
      <c r="X130" s="16">
        <v>1.1373889268626101</v>
      </c>
      <c r="Y130" s="16">
        <v>1.16233556709835</v>
      </c>
      <c r="Z130" s="16">
        <v>1.14029044738052</v>
      </c>
      <c r="AA130" s="16">
        <v>1.1508561469731999</v>
      </c>
      <c r="AB130" s="15">
        <v>85.024846733244402</v>
      </c>
      <c r="AC130" s="15">
        <v>83.565203701879796</v>
      </c>
      <c r="AD130" s="15">
        <v>84.267827151090103</v>
      </c>
      <c r="AE130" s="11">
        <v>2.16961804563497E-2</v>
      </c>
      <c r="AF130" s="11">
        <v>4.3798619566569E-3</v>
      </c>
      <c r="AG130" s="11">
        <v>1.2752797254083501E-2</v>
      </c>
      <c r="AZ130" s="11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11">
        <f t="shared" si="26"/>
        <v>0</v>
      </c>
      <c r="BH130" s="11">
        <f t="shared" si="27"/>
        <v>0</v>
      </c>
      <c r="BI130" s="11">
        <f t="shared" si="28"/>
        <v>0</v>
      </c>
      <c r="BJ130" s="6">
        <f t="shared" si="29"/>
        <v>5.0602954855461776E-2</v>
      </c>
      <c r="BL130" s="11"/>
      <c r="BN130">
        <f t="shared" si="30"/>
        <v>1</v>
      </c>
      <c r="BO130">
        <f t="shared" si="31"/>
        <v>0</v>
      </c>
      <c r="BP130">
        <f t="shared" si="32"/>
        <v>1</v>
      </c>
      <c r="BQ130">
        <f t="shared" si="21"/>
        <v>1</v>
      </c>
      <c r="BR130">
        <f t="shared" si="33"/>
        <v>1</v>
      </c>
      <c r="BS130" s="11">
        <f t="shared" si="34"/>
        <v>1.5867967039449499E-2</v>
      </c>
      <c r="BT130" s="11">
        <f t="shared" si="35"/>
        <v>-1.4201563342712199E-2</v>
      </c>
      <c r="BU130" s="11">
        <f t="shared" si="36"/>
        <v>1.6664036967373001E-3</v>
      </c>
      <c r="BV130" s="6">
        <f t="shared" si="37"/>
        <v>1.2868658193713474E-2</v>
      </c>
      <c r="BX130" s="6">
        <f t="shared" si="38"/>
        <v>1.6664036967373001E-3</v>
      </c>
      <c r="BY130" s="6">
        <f t="shared" si="39"/>
        <v>6.3471613049175243E-2</v>
      </c>
    </row>
    <row r="131" spans="1:77" x14ac:dyDescent="0.3">
      <c r="A131" s="1">
        <v>46213</v>
      </c>
      <c r="B131" s="15">
        <v>73.78</v>
      </c>
      <c r="C131" s="15">
        <v>84.12</v>
      </c>
      <c r="D131" s="11">
        <v>8.5755647023961004E-3</v>
      </c>
      <c r="E131" s="11">
        <v>1.09970030073361E-2</v>
      </c>
      <c r="F131" s="15">
        <v>0</v>
      </c>
      <c r="G131" s="15">
        <v>0.69499999999999995</v>
      </c>
      <c r="H131" s="15">
        <v>0</v>
      </c>
      <c r="I131" s="15">
        <v>1.0290999999999999</v>
      </c>
      <c r="J131" s="15">
        <v>0</v>
      </c>
      <c r="K131" s="15">
        <v>0</v>
      </c>
      <c r="L131" s="15">
        <v>73.78</v>
      </c>
      <c r="M131" s="15">
        <v>84.12</v>
      </c>
      <c r="N131" s="16">
        <v>1.1401463811330901</v>
      </c>
      <c r="O131" s="16">
        <v>1.16233556709835</v>
      </c>
      <c r="P131" s="16">
        <v>1.1391610525720199</v>
      </c>
      <c r="Q131" s="16">
        <v>1.14988842195011</v>
      </c>
      <c r="R131" s="15">
        <v>85.757118140516397</v>
      </c>
      <c r="S131" s="15">
        <v>84.130629207734998</v>
      </c>
      <c r="T131" s="15">
        <v>84.910166523683202</v>
      </c>
      <c r="U131" s="11">
        <v>1.9274742151409899E-2</v>
      </c>
      <c r="V131" s="11">
        <v>1.2634969389695001E-4</v>
      </c>
      <c r="W131" s="11">
        <v>9.3494823535477702E-3</v>
      </c>
      <c r="X131" s="16">
        <v>1.1401463811330901</v>
      </c>
      <c r="Y131" s="16">
        <v>1.16233556709835</v>
      </c>
      <c r="Z131" s="16">
        <v>1.1391610525720199</v>
      </c>
      <c r="AA131" s="16">
        <v>1.14988842195011</v>
      </c>
      <c r="AB131" s="15">
        <v>85.757118140516397</v>
      </c>
      <c r="AC131" s="15">
        <v>84.130629207734998</v>
      </c>
      <c r="AD131" s="15">
        <v>84.910166523683202</v>
      </c>
      <c r="AE131" s="11">
        <v>1.9274742151409899E-2</v>
      </c>
      <c r="AF131" s="11">
        <v>1.2634969389695001E-4</v>
      </c>
      <c r="AG131" s="11">
        <v>9.3494823535477702E-3</v>
      </c>
      <c r="AZ131" s="11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11">
        <f t="shared" si="26"/>
        <v>0</v>
      </c>
      <c r="BH131" s="11">
        <f t="shared" si="27"/>
        <v>0</v>
      </c>
      <c r="BI131" s="11">
        <f t="shared" si="28"/>
        <v>0</v>
      </c>
      <c r="BJ131" s="6">
        <f t="shared" si="29"/>
        <v>5.0602954855461776E-2</v>
      </c>
      <c r="BL131" s="11"/>
      <c r="BN131">
        <f t="shared" si="30"/>
        <v>1</v>
      </c>
      <c r="BO131">
        <f t="shared" si="31"/>
        <v>0</v>
      </c>
      <c r="BP131">
        <f t="shared" si="32"/>
        <v>1</v>
      </c>
      <c r="BQ131">
        <f t="shared" si="21"/>
        <v>1</v>
      </c>
      <c r="BR131">
        <f t="shared" si="33"/>
        <v>1</v>
      </c>
      <c r="BS131" s="11">
        <f t="shared" si="34"/>
        <v>-8.5755647023961004E-3</v>
      </c>
      <c r="BT131" s="11">
        <f t="shared" si="35"/>
        <v>1.09970030073361E-2</v>
      </c>
      <c r="BU131" s="11">
        <f t="shared" si="36"/>
        <v>2.42143830494E-3</v>
      </c>
      <c r="BV131" s="6">
        <f t="shared" si="37"/>
        <v>1.5290096498653474E-2</v>
      </c>
      <c r="BX131" s="6">
        <f t="shared" si="38"/>
        <v>2.42143830494E-3</v>
      </c>
      <c r="BY131" s="6">
        <f t="shared" si="39"/>
        <v>6.5893051354115245E-2</v>
      </c>
    </row>
    <row r="132" spans="1:77" x14ac:dyDescent="0.3">
      <c r="A132" s="1">
        <v>46216</v>
      </c>
      <c r="B132" s="15">
        <v>74.180000000000007</v>
      </c>
      <c r="C132" s="15">
        <v>84.59</v>
      </c>
      <c r="D132" s="11">
        <v>5.4068798929152503E-3</v>
      </c>
      <c r="E132" s="11">
        <v>5.5717054814240904E-3</v>
      </c>
      <c r="F132" s="15">
        <v>0</v>
      </c>
      <c r="G132" s="15">
        <v>0.69499999999999995</v>
      </c>
      <c r="H132" s="15">
        <v>0</v>
      </c>
      <c r="I132" s="15">
        <v>1.0290999999999999</v>
      </c>
      <c r="J132" s="15">
        <v>0</v>
      </c>
      <c r="K132" s="15">
        <v>0</v>
      </c>
      <c r="L132" s="15">
        <v>74.180000000000007</v>
      </c>
      <c r="M132" s="15">
        <v>84.59</v>
      </c>
      <c r="N132" s="16">
        <v>1.14033432191965</v>
      </c>
      <c r="O132" s="16">
        <v>1.16233556709835</v>
      </c>
      <c r="P132" s="16">
        <v>1.13817751259834</v>
      </c>
      <c r="Q132" s="16">
        <v>1.1487955564732399</v>
      </c>
      <c r="R132" s="15">
        <v>86.222052367355701</v>
      </c>
      <c r="S132" s="15">
        <v>84.502966879792595</v>
      </c>
      <c r="T132" s="15">
        <v>85.298723140259298</v>
      </c>
      <c r="U132" s="11">
        <v>1.9109916562901001E-2</v>
      </c>
      <c r="V132" s="11">
        <v>-1.02941156570816E-3</v>
      </c>
      <c r="W132" s="11">
        <v>8.3434290223024492E-3</v>
      </c>
      <c r="X132" s="16">
        <v>1.14033432191965</v>
      </c>
      <c r="Y132" s="16">
        <v>1.16233556709835</v>
      </c>
      <c r="Z132" s="16">
        <v>1.13817751259834</v>
      </c>
      <c r="AA132" s="16">
        <v>1.1487955564732399</v>
      </c>
      <c r="AB132" s="15">
        <v>86.222052367355701</v>
      </c>
      <c r="AC132" s="15">
        <v>84.502966879792595</v>
      </c>
      <c r="AD132" s="15">
        <v>85.298723140259298</v>
      </c>
      <c r="AE132" s="11">
        <v>1.9109916562901001E-2</v>
      </c>
      <c r="AF132" s="11">
        <v>-1.02941156570816E-3</v>
      </c>
      <c r="AG132" s="11">
        <v>8.3434290223024492E-3</v>
      </c>
      <c r="AZ132" s="11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11">
        <f t="shared" si="26"/>
        <v>0</v>
      </c>
      <c r="BH132" s="11">
        <f t="shared" si="27"/>
        <v>0</v>
      </c>
      <c r="BI132" s="11">
        <f t="shared" si="28"/>
        <v>0</v>
      </c>
      <c r="BJ132" s="6">
        <f t="shared" si="29"/>
        <v>5.0602954855461776E-2</v>
      </c>
      <c r="BL132" s="11"/>
      <c r="BN132">
        <f t="shared" si="30"/>
        <v>1</v>
      </c>
      <c r="BO132">
        <f t="shared" si="31"/>
        <v>0</v>
      </c>
      <c r="BP132">
        <f t="shared" si="32"/>
        <v>1</v>
      </c>
      <c r="BQ132">
        <f t="shared" si="21"/>
        <v>1</v>
      </c>
      <c r="BR132">
        <f t="shared" si="33"/>
        <v>1</v>
      </c>
      <c r="BS132" s="11">
        <f t="shared" si="34"/>
        <v>-5.4068798929152503E-3</v>
      </c>
      <c r="BT132" s="11">
        <f t="shared" si="35"/>
        <v>5.5717054814240904E-3</v>
      </c>
      <c r="BU132" s="11">
        <f t="shared" si="36"/>
        <v>1.6482558850884014E-4</v>
      </c>
      <c r="BV132" s="6">
        <f t="shared" si="37"/>
        <v>1.5454922087162315E-2</v>
      </c>
      <c r="BX132" s="6">
        <f t="shared" si="38"/>
        <v>1.6482558850884014E-4</v>
      </c>
      <c r="BY132" s="6">
        <f t="shared" si="39"/>
        <v>6.6057876942624091E-2</v>
      </c>
    </row>
    <row r="133" spans="1:77" x14ac:dyDescent="0.3">
      <c r="A133" s="1">
        <v>46217</v>
      </c>
      <c r="B133" s="15">
        <v>73.09</v>
      </c>
      <c r="C133" s="15">
        <v>83.42</v>
      </c>
      <c r="D133" s="11">
        <v>-1.48030135691444E-2</v>
      </c>
      <c r="E133" s="11">
        <v>-1.3927967547124E-2</v>
      </c>
      <c r="F133" s="15">
        <v>0</v>
      </c>
      <c r="G133" s="15">
        <v>0.69499999999999995</v>
      </c>
      <c r="H133" s="15">
        <v>0</v>
      </c>
      <c r="I133" s="15">
        <v>1.0290999999999999</v>
      </c>
      <c r="J133" s="15">
        <v>0</v>
      </c>
      <c r="K133" s="15">
        <v>0</v>
      </c>
      <c r="L133" s="15">
        <v>73.09</v>
      </c>
      <c r="M133" s="15">
        <v>83.42</v>
      </c>
      <c r="N133" s="16">
        <v>1.1413326036393401</v>
      </c>
      <c r="O133" s="16">
        <v>1.16233556709835</v>
      </c>
      <c r="P133" s="16">
        <v>1.13755288395248</v>
      </c>
      <c r="Q133" s="16">
        <v>1.1477815152962501</v>
      </c>
      <c r="R133" s="15">
        <v>84.955106599218496</v>
      </c>
      <c r="S133" s="15">
        <v>83.189394395812599</v>
      </c>
      <c r="T133" s="15">
        <v>83.9654672226294</v>
      </c>
      <c r="U133" s="11">
        <v>1.82348705408805E-2</v>
      </c>
      <c r="V133" s="11">
        <v>-2.7682202709553802E-3</v>
      </c>
      <c r="W133" s="11">
        <v>6.5175210553889903E-3</v>
      </c>
      <c r="X133" s="16">
        <v>1.1413326036393401</v>
      </c>
      <c r="Y133" s="16">
        <v>1.16233556709835</v>
      </c>
      <c r="Z133" s="16">
        <v>1.13755288395248</v>
      </c>
      <c r="AA133" s="16">
        <v>1.1477815152962501</v>
      </c>
      <c r="AB133" s="15">
        <v>84.955106599218496</v>
      </c>
      <c r="AC133" s="15">
        <v>83.189394395812599</v>
      </c>
      <c r="AD133" s="15">
        <v>83.9654672226294</v>
      </c>
      <c r="AE133" s="11">
        <v>1.82348705408805E-2</v>
      </c>
      <c r="AF133" s="11">
        <v>-2.7682202709553802E-3</v>
      </c>
      <c r="AG133" s="11">
        <v>6.5175210553889903E-3</v>
      </c>
      <c r="AZ133" s="11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11">
        <f t="shared" si="26"/>
        <v>0</v>
      </c>
      <c r="BH133" s="11">
        <f t="shared" si="27"/>
        <v>0</v>
      </c>
      <c r="BI133" s="11">
        <f t="shared" si="28"/>
        <v>0</v>
      </c>
      <c r="BJ133" s="6">
        <f t="shared" si="29"/>
        <v>5.0602954855461776E-2</v>
      </c>
      <c r="BL133" s="11"/>
      <c r="BN133">
        <f t="shared" si="30"/>
        <v>1</v>
      </c>
      <c r="BO133">
        <f t="shared" si="31"/>
        <v>0</v>
      </c>
      <c r="BP133">
        <f t="shared" si="32"/>
        <v>1</v>
      </c>
      <c r="BQ133">
        <f t="shared" si="21"/>
        <v>1</v>
      </c>
      <c r="BR133">
        <f t="shared" si="33"/>
        <v>1</v>
      </c>
      <c r="BS133" s="11">
        <f t="shared" si="34"/>
        <v>1.48030135691444E-2</v>
      </c>
      <c r="BT133" s="11">
        <f t="shared" si="35"/>
        <v>-1.3927967547124E-2</v>
      </c>
      <c r="BU133" s="11">
        <f t="shared" si="36"/>
        <v>8.7504602202040024E-4</v>
      </c>
      <c r="BV133" s="6">
        <f t="shared" si="37"/>
        <v>1.6329968109182715E-2</v>
      </c>
      <c r="BX133" s="6">
        <f t="shared" si="38"/>
        <v>8.7504602202040024E-4</v>
      </c>
      <c r="BY133" s="6">
        <f t="shared" si="39"/>
        <v>6.6932922964644495E-2</v>
      </c>
    </row>
    <row r="134" spans="1:77" x14ac:dyDescent="0.3">
      <c r="A134" s="1">
        <v>46218</v>
      </c>
      <c r="B134" s="15">
        <v>73.11</v>
      </c>
      <c r="C134" s="15">
        <v>83.47</v>
      </c>
      <c r="D134" s="11">
        <v>2.73597812924169E-4</v>
      </c>
      <c r="E134" s="11">
        <v>5.9919709384600897E-4</v>
      </c>
      <c r="F134" s="15">
        <v>0</v>
      </c>
      <c r="G134" s="15">
        <v>0.69499999999999995</v>
      </c>
      <c r="H134" s="15">
        <v>0</v>
      </c>
      <c r="I134" s="15">
        <v>1.0290999999999999</v>
      </c>
      <c r="J134" s="15">
        <v>0</v>
      </c>
      <c r="K134" s="15">
        <v>0</v>
      </c>
      <c r="L134" s="15">
        <v>73.11</v>
      </c>
      <c r="M134" s="15">
        <v>83.47</v>
      </c>
      <c r="N134" s="16">
        <v>1.1417042812200699</v>
      </c>
      <c r="O134" s="16">
        <v>1.16233556709835</v>
      </c>
      <c r="P134" s="16">
        <v>1.13739630959719</v>
      </c>
      <c r="Q134" s="16">
        <v>1.1464468277716799</v>
      </c>
      <c r="R134" s="15">
        <v>84.978353310560493</v>
      </c>
      <c r="S134" s="15">
        <v>83.166491345765905</v>
      </c>
      <c r="T134" s="15">
        <v>83.9143065833089</v>
      </c>
      <c r="U134" s="11">
        <v>1.79092712599585E-2</v>
      </c>
      <c r="V134" s="11">
        <v>-3.6427674083460699E-3</v>
      </c>
      <c r="W134" s="11">
        <v>5.3088325410531002E-3</v>
      </c>
      <c r="X134" s="16">
        <v>1.1417042812200699</v>
      </c>
      <c r="Y134" s="16">
        <v>1.16233556709835</v>
      </c>
      <c r="Z134" s="16">
        <v>1.13739630959719</v>
      </c>
      <c r="AA134" s="16">
        <v>1.1464468277716799</v>
      </c>
      <c r="AB134" s="15">
        <v>84.978353310560493</v>
      </c>
      <c r="AC134" s="15">
        <v>83.166491345765905</v>
      </c>
      <c r="AD134" s="15">
        <v>83.9143065833089</v>
      </c>
      <c r="AE134" s="11">
        <v>1.79092712599585E-2</v>
      </c>
      <c r="AF134" s="11">
        <v>-3.6427674083460699E-3</v>
      </c>
      <c r="AG134" s="11">
        <v>5.3088325410531002E-3</v>
      </c>
      <c r="AZ134" s="11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11">
        <f t="shared" si="26"/>
        <v>0</v>
      </c>
      <c r="BH134" s="11">
        <f t="shared" si="27"/>
        <v>0</v>
      </c>
      <c r="BI134" s="11">
        <f t="shared" si="28"/>
        <v>0</v>
      </c>
      <c r="BJ134" s="6">
        <f t="shared" si="29"/>
        <v>5.0602954855461776E-2</v>
      </c>
      <c r="BL134" s="11"/>
      <c r="BN134">
        <f t="shared" si="30"/>
        <v>1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11">
        <f t="shared" si="34"/>
        <v>-2.73597812924169E-4</v>
      </c>
      <c r="BT134" s="11">
        <f t="shared" si="35"/>
        <v>5.9919709384600897E-4</v>
      </c>
      <c r="BU134" s="11">
        <f t="shared" si="36"/>
        <v>3.2559928092183997E-4</v>
      </c>
      <c r="BV134" s="6">
        <f t="shared" si="37"/>
        <v>1.6655567390104556E-2</v>
      </c>
      <c r="BX134" s="6">
        <f t="shared" si="38"/>
        <v>3.2559928092183997E-4</v>
      </c>
      <c r="BY134" s="6">
        <f t="shared" si="39"/>
        <v>6.7258522245566332E-2</v>
      </c>
    </row>
    <row r="135" spans="1:77" x14ac:dyDescent="0.3">
      <c r="A135" s="1">
        <v>46219</v>
      </c>
      <c r="B135" s="15">
        <v>75.25</v>
      </c>
      <c r="C135" s="15">
        <v>85.81</v>
      </c>
      <c r="D135" s="11">
        <v>2.8850747323760601E-2</v>
      </c>
      <c r="E135" s="11">
        <v>2.76482639563842E-2</v>
      </c>
      <c r="F135" s="15">
        <v>0</v>
      </c>
      <c r="G135" s="15">
        <v>0.69499999999999995</v>
      </c>
      <c r="H135" s="15">
        <v>0</v>
      </c>
      <c r="I135" s="15">
        <v>1.0290999999999999</v>
      </c>
      <c r="J135" s="15">
        <v>0</v>
      </c>
      <c r="K135" s="15">
        <v>0</v>
      </c>
      <c r="L135" s="15">
        <v>75.25</v>
      </c>
      <c r="M135" s="15">
        <v>85.81</v>
      </c>
      <c r="N135" s="16">
        <v>1.1403322259136199</v>
      </c>
      <c r="O135" s="16">
        <v>1.16233556709835</v>
      </c>
      <c r="P135" s="16">
        <v>1.13777146151043</v>
      </c>
      <c r="Q135" s="16">
        <v>1.14511192556859</v>
      </c>
      <c r="R135" s="15">
        <v>87.465751424150895</v>
      </c>
      <c r="S135" s="15">
        <v>85.589072297189105</v>
      </c>
      <c r="T135" s="15">
        <v>86.270123789819607</v>
      </c>
      <c r="U135" s="11">
        <v>1.91117546273347E-2</v>
      </c>
      <c r="V135" s="11">
        <v>-2.5779349001406999E-3</v>
      </c>
      <c r="W135" s="11">
        <v>5.3477981799810196E-3</v>
      </c>
      <c r="X135" s="16">
        <v>1.1403322259136199</v>
      </c>
      <c r="Y135" s="16">
        <v>1.16233556709835</v>
      </c>
      <c r="Z135" s="16">
        <v>1.13777146151043</v>
      </c>
      <c r="AA135" s="16">
        <v>1.14511192556859</v>
      </c>
      <c r="AB135" s="15">
        <v>87.465751424150895</v>
      </c>
      <c r="AC135" s="15">
        <v>85.589072297189105</v>
      </c>
      <c r="AD135" s="15">
        <v>86.270123789819607</v>
      </c>
      <c r="AE135" s="11">
        <v>1.91117546273347E-2</v>
      </c>
      <c r="AF135" s="11">
        <v>-2.5779349001406999E-3</v>
      </c>
      <c r="AG135" s="11">
        <v>5.3477981799810196E-3</v>
      </c>
      <c r="AZ135" s="11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11">
        <f t="shared" si="26"/>
        <v>0</v>
      </c>
      <c r="BH135" s="11">
        <f t="shared" si="27"/>
        <v>0</v>
      </c>
      <c r="BI135" s="11">
        <f t="shared" si="28"/>
        <v>0</v>
      </c>
      <c r="BJ135" s="6">
        <f t="shared" si="29"/>
        <v>5.0602954855461776E-2</v>
      </c>
      <c r="BL135" s="11"/>
      <c r="BN135">
        <f t="shared" si="30"/>
        <v>1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11">
        <f t="shared" si="34"/>
        <v>-2.8850747323760601E-2</v>
      </c>
      <c r="BT135" s="11">
        <f t="shared" si="35"/>
        <v>2.76482639563842E-2</v>
      </c>
      <c r="BU135" s="11">
        <f t="shared" si="36"/>
        <v>-1.2024833673764009E-3</v>
      </c>
      <c r="BV135" s="6">
        <f t="shared" si="37"/>
        <v>1.5453084022728155E-2</v>
      </c>
      <c r="BX135" s="6">
        <f t="shared" si="38"/>
        <v>-1.2024833673764009E-3</v>
      </c>
      <c r="BY135" s="6">
        <f t="shared" si="39"/>
        <v>6.6056038878189935E-2</v>
      </c>
    </row>
    <row r="136" spans="1:77" x14ac:dyDescent="0.3">
      <c r="A136" s="1">
        <v>46220</v>
      </c>
      <c r="B136" s="15">
        <v>74.78</v>
      </c>
      <c r="C136" s="15">
        <v>85.19</v>
      </c>
      <c r="D136" s="11">
        <v>-6.2654340800173897E-3</v>
      </c>
      <c r="E136" s="11">
        <v>-7.2514937642805298E-3</v>
      </c>
      <c r="F136" s="15">
        <v>0</v>
      </c>
      <c r="G136" s="15">
        <v>0.69499999999999995</v>
      </c>
      <c r="H136" s="15">
        <v>0</v>
      </c>
      <c r="I136" s="15">
        <v>1.0290999999999999</v>
      </c>
      <c r="J136" s="15">
        <v>0</v>
      </c>
      <c r="K136" s="15">
        <v>0</v>
      </c>
      <c r="L136" s="15">
        <v>74.78</v>
      </c>
      <c r="M136" s="15">
        <v>85.19</v>
      </c>
      <c r="N136" s="16">
        <v>1.1392083444771299</v>
      </c>
      <c r="O136" s="16">
        <v>1.16233556709835</v>
      </c>
      <c r="P136" s="16">
        <v>1.1380844895151501</v>
      </c>
      <c r="Q136" s="16">
        <v>1.1440176737207099</v>
      </c>
      <c r="R136" s="15">
        <v>86.919453707614693</v>
      </c>
      <c r="S136" s="15">
        <v>85.082549891750105</v>
      </c>
      <c r="T136" s="15">
        <v>85.631469794019694</v>
      </c>
      <c r="U136" s="11">
        <v>2.0097814311597999E-2</v>
      </c>
      <c r="V136" s="11">
        <v>-1.26209565289491E-3</v>
      </c>
      <c r="W136" s="11">
        <v>5.1687973113413903E-3</v>
      </c>
      <c r="X136" s="16">
        <v>1.1392083444771299</v>
      </c>
      <c r="Y136" s="16">
        <v>1.16233556709835</v>
      </c>
      <c r="Z136" s="16">
        <v>1.1380844895151501</v>
      </c>
      <c r="AA136" s="16">
        <v>1.1440176737207099</v>
      </c>
      <c r="AB136" s="15">
        <v>86.919453707614693</v>
      </c>
      <c r="AC136" s="15">
        <v>85.082549891750105</v>
      </c>
      <c r="AD136" s="15">
        <v>85.631469794019694</v>
      </c>
      <c r="AE136" s="11">
        <v>2.0097814311597999E-2</v>
      </c>
      <c r="AF136" s="11">
        <v>-1.26209565289491E-3</v>
      </c>
      <c r="AG136" s="11">
        <v>5.1687973113413903E-3</v>
      </c>
      <c r="AZ136" s="11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11">
        <f t="shared" si="26"/>
        <v>0</v>
      </c>
      <c r="BH136" s="11">
        <f t="shared" si="27"/>
        <v>0</v>
      </c>
      <c r="BI136" s="11">
        <f t="shared" si="28"/>
        <v>0</v>
      </c>
      <c r="BJ136" s="6">
        <f t="shared" si="29"/>
        <v>5.0602954855461776E-2</v>
      </c>
      <c r="BL136" s="11"/>
      <c r="BN136">
        <f t="shared" si="30"/>
        <v>1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11">
        <f t="shared" si="34"/>
        <v>6.2654340800173897E-3</v>
      </c>
      <c r="BT136" s="11">
        <f t="shared" si="35"/>
        <v>-7.2514937642805298E-3</v>
      </c>
      <c r="BU136" s="11">
        <f t="shared" si="36"/>
        <v>-9.8605968426314014E-4</v>
      </c>
      <c r="BV136" s="6">
        <f t="shared" si="37"/>
        <v>1.4467024338465015E-2</v>
      </c>
      <c r="BX136" s="6">
        <f t="shared" si="38"/>
        <v>-9.8605968426314014E-4</v>
      </c>
      <c r="BY136" s="6">
        <f t="shared" si="39"/>
        <v>6.5069979193926791E-2</v>
      </c>
    </row>
    <row r="137" spans="1:77" x14ac:dyDescent="0.3">
      <c r="A137" s="1">
        <v>46223</v>
      </c>
      <c r="B137" s="15">
        <v>74.48</v>
      </c>
      <c r="C137" s="15">
        <v>84.86</v>
      </c>
      <c r="D137" s="11">
        <v>-4.0198365801559803E-3</v>
      </c>
      <c r="E137" s="11">
        <v>-3.8812162805702401E-3</v>
      </c>
      <c r="F137" s="15">
        <v>0</v>
      </c>
      <c r="G137" s="15">
        <v>0.69499999999999995</v>
      </c>
      <c r="H137" s="15">
        <v>0</v>
      </c>
      <c r="I137" s="15">
        <v>1.0290999999999999</v>
      </c>
      <c r="J137" s="15">
        <v>0</v>
      </c>
      <c r="K137" s="15">
        <v>0</v>
      </c>
      <c r="L137" s="15">
        <v>74.48</v>
      </c>
      <c r="M137" s="15">
        <v>84.86</v>
      </c>
      <c r="N137" s="16">
        <v>1.1393662728249101</v>
      </c>
      <c r="O137" s="16">
        <v>1.16233556709835</v>
      </c>
      <c r="P137" s="16">
        <v>1.1385870730965399</v>
      </c>
      <c r="Q137" s="16">
        <v>1.1427912130151701</v>
      </c>
      <c r="R137" s="15">
        <v>86.570753037485204</v>
      </c>
      <c r="S137" s="15">
        <v>84.764532779088796</v>
      </c>
      <c r="T137" s="15">
        <v>85.206436338719101</v>
      </c>
      <c r="U137" s="11">
        <v>1.99591940120122E-2</v>
      </c>
      <c r="V137" s="11">
        <v>-1.1256299949905901E-3</v>
      </c>
      <c r="W137" s="11">
        <v>4.0741350894757996E-3</v>
      </c>
      <c r="X137" s="16">
        <v>1.1393662728249101</v>
      </c>
      <c r="Y137" s="16">
        <v>1.16233556709835</v>
      </c>
      <c r="Z137" s="16">
        <v>1.1385870730965399</v>
      </c>
      <c r="AA137" s="16">
        <v>1.1427912130151701</v>
      </c>
      <c r="AB137" s="15">
        <v>86.570753037485204</v>
      </c>
      <c r="AC137" s="15">
        <v>84.764532779088796</v>
      </c>
      <c r="AD137" s="15">
        <v>85.206436338719101</v>
      </c>
      <c r="AE137" s="11">
        <v>1.99591940120122E-2</v>
      </c>
      <c r="AF137" s="11">
        <v>-1.1256299949905901E-3</v>
      </c>
      <c r="AG137" s="11">
        <v>4.0741350894757996E-3</v>
      </c>
      <c r="AZ137" s="11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11">
        <f t="shared" si="26"/>
        <v>0</v>
      </c>
      <c r="BH137" s="11">
        <f t="shared" si="27"/>
        <v>0</v>
      </c>
      <c r="BI137" s="11">
        <f t="shared" si="28"/>
        <v>0</v>
      </c>
      <c r="BJ137" s="6">
        <f t="shared" si="29"/>
        <v>5.0602954855461776E-2</v>
      </c>
      <c r="BL137" s="11"/>
      <c r="BN137">
        <f t="shared" si="30"/>
        <v>1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11">
        <f t="shared" si="34"/>
        <v>4.0198365801559803E-3</v>
      </c>
      <c r="BT137" s="11">
        <f t="shared" si="35"/>
        <v>-3.8812162805702401E-3</v>
      </c>
      <c r="BU137" s="11">
        <f t="shared" si="36"/>
        <v>1.3862029958574022E-4</v>
      </c>
      <c r="BV137" s="6">
        <f t="shared" si="37"/>
        <v>1.4605644638050756E-2</v>
      </c>
      <c r="BX137" s="6">
        <f t="shared" si="38"/>
        <v>1.3862029958574022E-4</v>
      </c>
      <c r="BY137" s="6">
        <f t="shared" si="39"/>
        <v>6.5208599493512528E-2</v>
      </c>
    </row>
    <row r="138" spans="1:77" x14ac:dyDescent="0.3">
      <c r="A138" s="1">
        <v>46224</v>
      </c>
      <c r="B138" s="15">
        <v>74.08</v>
      </c>
      <c r="C138" s="15">
        <v>84.06</v>
      </c>
      <c r="D138" s="11">
        <v>-5.3850426308877097E-3</v>
      </c>
      <c r="E138" s="11">
        <v>-9.4720101972080896E-3</v>
      </c>
      <c r="F138" s="15">
        <v>0</v>
      </c>
      <c r="G138" s="15">
        <v>0.69499999999999995</v>
      </c>
      <c r="H138" s="15">
        <v>0</v>
      </c>
      <c r="I138" s="15">
        <v>1.0290999999999999</v>
      </c>
      <c r="J138" s="15">
        <v>0</v>
      </c>
      <c r="K138" s="15">
        <v>0</v>
      </c>
      <c r="L138" s="15">
        <v>74.08</v>
      </c>
      <c r="M138" s="15">
        <v>84.06</v>
      </c>
      <c r="N138" s="16">
        <v>1.1347192224622</v>
      </c>
      <c r="O138" s="16">
        <v>1.16233556709835</v>
      </c>
      <c r="P138" s="16">
        <v>1.13900277365344</v>
      </c>
      <c r="Q138" s="16">
        <v>1.1417190705929801</v>
      </c>
      <c r="R138" s="15">
        <v>86.1058188106459</v>
      </c>
      <c r="S138" s="15">
        <v>84.346530374991801</v>
      </c>
      <c r="T138" s="15">
        <v>84.657973060163798</v>
      </c>
      <c r="U138" s="11">
        <v>2.4046161578332701E-2</v>
      </c>
      <c r="V138" s="11">
        <v>3.4028448996622799E-3</v>
      </c>
      <c r="W138" s="11">
        <v>7.08846310969882E-3</v>
      </c>
      <c r="X138" s="16">
        <v>1.1347192224622</v>
      </c>
      <c r="Y138" s="16">
        <v>1.16233556709835</v>
      </c>
      <c r="Z138" s="16">
        <v>1.13900277365344</v>
      </c>
      <c r="AA138" s="16">
        <v>1.1417190705929801</v>
      </c>
      <c r="AB138" s="15">
        <v>86.1058188106459</v>
      </c>
      <c r="AC138" s="15">
        <v>84.346530374991801</v>
      </c>
      <c r="AD138" s="15">
        <v>84.657973060163798</v>
      </c>
      <c r="AE138" s="11">
        <v>2.4046161578332701E-2</v>
      </c>
      <c r="AF138" s="11">
        <v>3.4028448996622799E-3</v>
      </c>
      <c r="AG138" s="11">
        <v>7.08846310969882E-3</v>
      </c>
      <c r="AZ138" s="11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11">
        <f t="shared" si="26"/>
        <v>0</v>
      </c>
      <c r="BH138" s="11">
        <f t="shared" si="27"/>
        <v>0</v>
      </c>
      <c r="BI138" s="11">
        <f t="shared" si="28"/>
        <v>0</v>
      </c>
      <c r="BJ138" s="6">
        <f t="shared" si="29"/>
        <v>5.0602954855461776E-2</v>
      </c>
      <c r="BL138" s="11"/>
      <c r="BN138">
        <f t="shared" si="30"/>
        <v>1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11">
        <f t="shared" si="34"/>
        <v>5.3850426308877097E-3</v>
      </c>
      <c r="BT138" s="11">
        <f t="shared" si="35"/>
        <v>-9.4720101972080896E-3</v>
      </c>
      <c r="BU138" s="11">
        <f t="shared" si="36"/>
        <v>-4.0869675663203799E-3</v>
      </c>
      <c r="BV138" s="6">
        <f t="shared" si="37"/>
        <v>1.0518677071730376E-2</v>
      </c>
      <c r="BX138" s="6">
        <f t="shared" si="38"/>
        <v>-4.0869675663203799E-3</v>
      </c>
      <c r="BY138" s="6">
        <f t="shared" si="39"/>
        <v>6.1121631927192152E-2</v>
      </c>
    </row>
    <row r="139" spans="1:77" x14ac:dyDescent="0.3">
      <c r="A139" s="1">
        <v>46225</v>
      </c>
      <c r="B139" s="15">
        <v>74.48</v>
      </c>
      <c r="C139" s="15">
        <v>84.38</v>
      </c>
      <c r="D139" s="11">
        <v>5.3850426308877696E-3</v>
      </c>
      <c r="E139" s="11">
        <v>3.7995771192219801E-3</v>
      </c>
      <c r="F139" s="15">
        <v>0</v>
      </c>
      <c r="G139" s="15">
        <v>0.69499999999999995</v>
      </c>
      <c r="H139" s="15">
        <v>0</v>
      </c>
      <c r="I139" s="15">
        <v>1.0290999999999999</v>
      </c>
      <c r="J139" s="15">
        <v>0</v>
      </c>
      <c r="K139" s="15">
        <v>0</v>
      </c>
      <c r="L139" s="15">
        <v>74.48</v>
      </c>
      <c r="M139" s="15">
        <v>84.38</v>
      </c>
      <c r="N139" s="16">
        <v>1.1329215896885001</v>
      </c>
      <c r="O139" s="16">
        <v>1.16233556709835</v>
      </c>
      <c r="P139" s="16">
        <v>1.13874541701411</v>
      </c>
      <c r="Q139" s="16">
        <v>1.1405634378432099</v>
      </c>
      <c r="R139" s="15">
        <v>86.570753037485204</v>
      </c>
      <c r="S139" s="15">
        <v>84.832926581708804</v>
      </c>
      <c r="T139" s="15">
        <v>85.035236377765102</v>
      </c>
      <c r="U139" s="11">
        <v>2.5631627089998402E-2</v>
      </c>
      <c r="V139" s="11">
        <v>5.35334590014961E-3</v>
      </c>
      <c r="W139" s="11">
        <v>7.7353095145936699E-3</v>
      </c>
      <c r="X139" s="16">
        <v>1.1329215896885001</v>
      </c>
      <c r="Y139" s="16">
        <v>1.16233556709835</v>
      </c>
      <c r="Z139" s="16">
        <v>1.13874541701411</v>
      </c>
      <c r="AA139" s="16">
        <v>1.1405634378432099</v>
      </c>
      <c r="AB139" s="15">
        <v>86.570753037485204</v>
      </c>
      <c r="AC139" s="15">
        <v>84.832926581708804</v>
      </c>
      <c r="AD139" s="15">
        <v>85.035236377765102</v>
      </c>
      <c r="AE139" s="11">
        <v>2.5631627089998402E-2</v>
      </c>
      <c r="AF139" s="11">
        <v>5.35334590014961E-3</v>
      </c>
      <c r="AG139" s="11">
        <v>7.7353095145936699E-3</v>
      </c>
      <c r="AZ139" s="11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11">
        <f t="shared" si="26"/>
        <v>0</v>
      </c>
      <c r="BH139" s="11">
        <f t="shared" si="27"/>
        <v>0</v>
      </c>
      <c r="BI139" s="11">
        <f t="shared" si="28"/>
        <v>0</v>
      </c>
      <c r="BJ139" s="6">
        <f t="shared" si="29"/>
        <v>5.0602954855461776E-2</v>
      </c>
      <c r="BL139" s="11"/>
      <c r="BN139">
        <f t="shared" si="30"/>
        <v>1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11">
        <f t="shared" si="34"/>
        <v>-5.3850426308877696E-3</v>
      </c>
      <c r="BT139" s="11">
        <f t="shared" si="35"/>
        <v>3.7995771192219801E-3</v>
      </c>
      <c r="BU139" s="11">
        <f t="shared" si="36"/>
        <v>-1.5854655116657895E-3</v>
      </c>
      <c r="BV139" s="6">
        <f t="shared" si="37"/>
        <v>8.9332115600645867E-3</v>
      </c>
      <c r="BX139" s="6">
        <f t="shared" si="38"/>
        <v>-1.5854655116657895E-3</v>
      </c>
      <c r="BY139" s="6">
        <f t="shared" si="39"/>
        <v>5.9536166415526365E-2</v>
      </c>
    </row>
    <row r="140" spans="1:77" x14ac:dyDescent="0.3">
      <c r="A140" s="1">
        <v>46226</v>
      </c>
      <c r="B140" s="15">
        <v>73.69</v>
      </c>
      <c r="C140" s="15">
        <v>83.21</v>
      </c>
      <c r="D140" s="11">
        <v>-1.0663528189903701E-2</v>
      </c>
      <c r="E140" s="11">
        <v>-1.39628737838541E-2</v>
      </c>
      <c r="F140" s="15">
        <v>0</v>
      </c>
      <c r="G140" s="15">
        <v>0.69499999999999995</v>
      </c>
      <c r="H140" s="15">
        <v>0</v>
      </c>
      <c r="I140" s="15">
        <v>1.0290999999999999</v>
      </c>
      <c r="J140" s="15">
        <v>0</v>
      </c>
      <c r="K140" s="15">
        <v>0</v>
      </c>
      <c r="L140" s="15">
        <v>73.69</v>
      </c>
      <c r="M140" s="15">
        <v>83.21</v>
      </c>
      <c r="N140" s="16">
        <v>1.12918984936897</v>
      </c>
      <c r="O140" s="16">
        <v>1.16233556709835</v>
      </c>
      <c r="P140" s="16">
        <v>1.13792550926475</v>
      </c>
      <c r="Q140" s="16">
        <v>1.1391079783226301</v>
      </c>
      <c r="R140" s="15">
        <v>85.652507939477502</v>
      </c>
      <c r="S140" s="15">
        <v>83.914149779770298</v>
      </c>
      <c r="T140" s="15">
        <v>84.048119734666599</v>
      </c>
      <c r="U140" s="11">
        <v>2.89309726839488E-2</v>
      </c>
      <c r="V140" s="11">
        <v>8.4267168745350094E-3</v>
      </c>
      <c r="W140" s="11">
        <v>1.00219558968938E-2</v>
      </c>
      <c r="X140" s="16">
        <v>1.12918984936897</v>
      </c>
      <c r="Y140" s="16">
        <v>1.16233556709835</v>
      </c>
      <c r="Z140" s="16">
        <v>1.13792550926475</v>
      </c>
      <c r="AA140" s="16">
        <v>1.1391079783226301</v>
      </c>
      <c r="AB140" s="15">
        <v>85.652507939477502</v>
      </c>
      <c r="AC140" s="15">
        <v>83.914149779770298</v>
      </c>
      <c r="AD140" s="15">
        <v>84.048119734666599</v>
      </c>
      <c r="AE140" s="11">
        <v>2.89309726839488E-2</v>
      </c>
      <c r="AF140" s="11">
        <v>8.4267168745350094E-3</v>
      </c>
      <c r="AG140" s="11">
        <v>1.00219558968938E-2</v>
      </c>
      <c r="AZ140" s="11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11">
        <f t="shared" si="26"/>
        <v>0</v>
      </c>
      <c r="BH140" s="11">
        <f t="shared" si="27"/>
        <v>0</v>
      </c>
      <c r="BI140" s="11">
        <f t="shared" si="28"/>
        <v>0</v>
      </c>
      <c r="BJ140" s="6">
        <f t="shared" si="29"/>
        <v>5.0602954855461776E-2</v>
      </c>
      <c r="BL140" s="11"/>
      <c r="BN140">
        <f t="shared" si="30"/>
        <v>1</v>
      </c>
      <c r="BO140">
        <f t="shared" si="31"/>
        <v>0</v>
      </c>
      <c r="BP140">
        <f t="shared" si="32"/>
        <v>1</v>
      </c>
      <c r="BQ140">
        <f t="shared" si="21"/>
        <v>1</v>
      </c>
      <c r="BR140">
        <f t="shared" si="33"/>
        <v>1</v>
      </c>
      <c r="BS140" s="11">
        <f t="shared" si="34"/>
        <v>1.0663528189903701E-2</v>
      </c>
      <c r="BT140" s="11">
        <f t="shared" si="35"/>
        <v>-1.39628737838541E-2</v>
      </c>
      <c r="BU140" s="11">
        <f t="shared" si="36"/>
        <v>-3.2993455939503997E-3</v>
      </c>
      <c r="BV140" s="6">
        <f t="shared" si="37"/>
        <v>5.633865966114187E-3</v>
      </c>
      <c r="BX140" s="6">
        <f t="shared" si="38"/>
        <v>-3.2993455939503997E-3</v>
      </c>
      <c r="BY140" s="6">
        <f t="shared" si="39"/>
        <v>5.6236820821575967E-2</v>
      </c>
    </row>
    <row r="141" spans="1:77" x14ac:dyDescent="0.3">
      <c r="A141" s="1">
        <v>46227</v>
      </c>
      <c r="B141" s="15">
        <v>74.48</v>
      </c>
      <c r="C141" s="15">
        <v>84.13</v>
      </c>
      <c r="D141" s="11">
        <v>1.0663528189903701E-2</v>
      </c>
      <c r="E141" s="11">
        <v>1.0995688650383599E-2</v>
      </c>
      <c r="F141" s="15">
        <v>0</v>
      </c>
      <c r="G141" s="15">
        <v>0.69499999999999995</v>
      </c>
      <c r="H141" s="15">
        <v>0</v>
      </c>
      <c r="I141" s="15">
        <v>1.0290999999999999</v>
      </c>
      <c r="J141" s="15">
        <v>0</v>
      </c>
      <c r="K141" s="15">
        <v>0</v>
      </c>
      <c r="L141" s="15">
        <v>74.48</v>
      </c>
      <c r="M141" s="15">
        <v>84.13</v>
      </c>
      <c r="N141" s="16">
        <v>1.12956498388829</v>
      </c>
      <c r="O141" s="16">
        <v>1.16233556709835</v>
      </c>
      <c r="P141" s="16">
        <v>1.13686736954027</v>
      </c>
      <c r="Q141" s="16">
        <v>1.13801421105614</v>
      </c>
      <c r="R141" s="15">
        <v>86.570753037485204</v>
      </c>
      <c r="S141" s="15">
        <v>84.752691930038793</v>
      </c>
      <c r="T141" s="15">
        <v>84.840762225470101</v>
      </c>
      <c r="U141" s="11">
        <v>2.8598812223468901E-2</v>
      </c>
      <c r="V141" s="11">
        <v>7.3742873796978402E-3</v>
      </c>
      <c r="W141" s="11">
        <v>8.4128923634407497E-3</v>
      </c>
      <c r="X141" s="16">
        <v>1.12956498388829</v>
      </c>
      <c r="Y141" s="16">
        <v>1.16233556709835</v>
      </c>
      <c r="Z141" s="16">
        <v>1.13686736954027</v>
      </c>
      <c r="AA141" s="16">
        <v>1.13801421105614</v>
      </c>
      <c r="AB141" s="15">
        <v>86.570753037485204</v>
      </c>
      <c r="AC141" s="15">
        <v>84.752691930038793</v>
      </c>
      <c r="AD141" s="15">
        <v>84.840762225470101</v>
      </c>
      <c r="AE141" s="11">
        <v>2.8598812223468901E-2</v>
      </c>
      <c r="AF141" s="11">
        <v>7.3742873796978402E-3</v>
      </c>
      <c r="AG141" s="11">
        <v>8.4128923634407497E-3</v>
      </c>
      <c r="AZ141" s="11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11">
        <f t="shared" si="26"/>
        <v>0</v>
      </c>
      <c r="BH141" s="11">
        <f t="shared" si="27"/>
        <v>0</v>
      </c>
      <c r="BI141" s="11">
        <f t="shared" si="28"/>
        <v>0</v>
      </c>
      <c r="BJ141" s="6">
        <f t="shared" si="29"/>
        <v>5.0602954855461776E-2</v>
      </c>
      <c r="BL141" s="11"/>
      <c r="BN141">
        <f t="shared" si="30"/>
        <v>1</v>
      </c>
      <c r="BO141">
        <f t="shared" si="31"/>
        <v>0</v>
      </c>
      <c r="BP141">
        <f t="shared" si="32"/>
        <v>1</v>
      </c>
      <c r="BQ141">
        <f t="shared" si="21"/>
        <v>1</v>
      </c>
      <c r="BR141">
        <f t="shared" si="33"/>
        <v>1</v>
      </c>
      <c r="BS141" s="11">
        <f t="shared" si="34"/>
        <v>-1.0663528189903701E-2</v>
      </c>
      <c r="BT141" s="11">
        <f t="shared" si="35"/>
        <v>1.0995688650383599E-2</v>
      </c>
      <c r="BU141" s="11">
        <f t="shared" si="36"/>
        <v>3.3216046047989875E-4</v>
      </c>
      <c r="BV141" s="6">
        <f t="shared" si="37"/>
        <v>5.9660264265940857E-3</v>
      </c>
      <c r="BX141" s="6">
        <f t="shared" si="38"/>
        <v>3.3216046047989875E-4</v>
      </c>
      <c r="BY141" s="6">
        <f t="shared" si="39"/>
        <v>5.6568981282055869E-2</v>
      </c>
    </row>
    <row r="142" spans="1:77" x14ac:dyDescent="0.3">
      <c r="A142" s="1">
        <v>46230</v>
      </c>
      <c r="B142" s="15">
        <v>75.37</v>
      </c>
      <c r="C142" s="15">
        <v>85.36</v>
      </c>
      <c r="D142" s="11">
        <v>1.18786848865669E-2</v>
      </c>
      <c r="E142" s="11">
        <v>1.4514385430775699E-2</v>
      </c>
      <c r="F142" s="15">
        <v>0</v>
      </c>
      <c r="G142" s="15">
        <v>0.69499999999999995</v>
      </c>
      <c r="H142" s="15">
        <v>0</v>
      </c>
      <c r="I142" s="15">
        <v>1.0290999999999999</v>
      </c>
      <c r="J142" s="15">
        <v>0</v>
      </c>
      <c r="K142" s="15">
        <v>0</v>
      </c>
      <c r="L142" s="15">
        <v>75.37</v>
      </c>
      <c r="M142" s="15">
        <v>85.36</v>
      </c>
      <c r="N142" s="16">
        <v>1.13254610587767</v>
      </c>
      <c r="O142" s="16">
        <v>1.16233556709835</v>
      </c>
      <c r="P142" s="16">
        <v>1.1360885479360701</v>
      </c>
      <c r="Q142" s="16">
        <v>1.1371330302672</v>
      </c>
      <c r="R142" s="15">
        <v>87.605231692202693</v>
      </c>
      <c r="S142" s="15">
        <v>85.685693642250399</v>
      </c>
      <c r="T142" s="15">
        <v>85.772131087301901</v>
      </c>
      <c r="U142" s="11">
        <v>2.5963111679259999E-2</v>
      </c>
      <c r="V142" s="11">
        <v>3.80826934534996E-3</v>
      </c>
      <c r="W142" s="11">
        <v>4.8165342351034002E-3</v>
      </c>
      <c r="X142" s="16">
        <v>1.13254610587767</v>
      </c>
      <c r="Y142" s="16">
        <v>1.16233556709835</v>
      </c>
      <c r="Z142" s="16">
        <v>1.1360885479360701</v>
      </c>
      <c r="AA142" s="16">
        <v>1.1371330302672</v>
      </c>
      <c r="AB142" s="15">
        <v>87.605231692202693</v>
      </c>
      <c r="AC142" s="15">
        <v>85.685693642250399</v>
      </c>
      <c r="AD142" s="15">
        <v>85.772131087301901</v>
      </c>
      <c r="AE142" s="11">
        <v>2.5963111679259999E-2</v>
      </c>
      <c r="AF142" s="11">
        <v>3.80826934534996E-3</v>
      </c>
      <c r="AG142" s="11">
        <v>4.8165342351034002E-3</v>
      </c>
      <c r="AZ142" s="11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11">
        <f t="shared" si="26"/>
        <v>0</v>
      </c>
      <c r="BH142" s="11">
        <f t="shared" si="27"/>
        <v>0</v>
      </c>
      <c r="BI142" s="11">
        <f t="shared" si="28"/>
        <v>0</v>
      </c>
      <c r="BJ142" s="6">
        <f t="shared" si="29"/>
        <v>5.0602954855461776E-2</v>
      </c>
      <c r="BL142" s="11"/>
      <c r="BN142">
        <f t="shared" si="30"/>
        <v>1</v>
      </c>
      <c r="BO142">
        <f t="shared" si="31"/>
        <v>0</v>
      </c>
      <c r="BP142">
        <f t="shared" si="32"/>
        <v>1</v>
      </c>
      <c r="BQ142">
        <f t="shared" si="21"/>
        <v>1</v>
      </c>
      <c r="BR142">
        <f t="shared" si="33"/>
        <v>1</v>
      </c>
      <c r="BS142" s="11">
        <f t="shared" si="34"/>
        <v>-1.18786848865669E-2</v>
      </c>
      <c r="BT142" s="11">
        <f t="shared" si="35"/>
        <v>1.4514385430775699E-2</v>
      </c>
      <c r="BU142" s="11">
        <f t="shared" si="36"/>
        <v>2.6357005442087991E-3</v>
      </c>
      <c r="BV142" s="6">
        <f t="shared" si="37"/>
        <v>8.6017269708028848E-3</v>
      </c>
      <c r="BX142" s="6">
        <f t="shared" si="38"/>
        <v>2.6357005442087991E-3</v>
      </c>
      <c r="BY142" s="6">
        <f t="shared" si="39"/>
        <v>5.920468182626467E-2</v>
      </c>
    </row>
    <row r="143" spans="1:77" x14ac:dyDescent="0.3">
      <c r="A143" s="1">
        <v>46231</v>
      </c>
      <c r="B143" s="15">
        <v>77.040000000000006</v>
      </c>
      <c r="C143" s="15">
        <v>87.06</v>
      </c>
      <c r="D143" s="11">
        <v>2.1915449634491602E-2</v>
      </c>
      <c r="E143" s="11">
        <v>1.97199291306536E-2</v>
      </c>
      <c r="F143" s="15">
        <v>0</v>
      </c>
      <c r="G143" s="15">
        <v>0.69499999999999995</v>
      </c>
      <c r="H143" s="15">
        <v>0</v>
      </c>
      <c r="I143" s="15">
        <v>1.0290999999999999</v>
      </c>
      <c r="J143" s="15">
        <v>0</v>
      </c>
      <c r="K143" s="15">
        <v>0</v>
      </c>
      <c r="L143" s="15">
        <v>77.040000000000006</v>
      </c>
      <c r="M143" s="15">
        <v>87.06</v>
      </c>
      <c r="N143" s="16">
        <v>1.13006230529595</v>
      </c>
      <c r="O143" s="16">
        <v>1.16233556709835</v>
      </c>
      <c r="P143" s="16">
        <v>1.1349615181017301</v>
      </c>
      <c r="Q143" s="16">
        <v>1.1362572010270999</v>
      </c>
      <c r="R143" s="15">
        <v>89.546332089257007</v>
      </c>
      <c r="S143" s="15">
        <v>87.5242617329952</v>
      </c>
      <c r="T143" s="15">
        <v>87.604728651785607</v>
      </c>
      <c r="U143" s="11">
        <v>2.8158632183098001E-2</v>
      </c>
      <c r="V143" s="11">
        <v>5.3184957537856896E-3</v>
      </c>
      <c r="W143" s="11">
        <v>6.2374404045396001E-3</v>
      </c>
      <c r="X143" s="16">
        <v>1.13006230529595</v>
      </c>
      <c r="Y143" s="16">
        <v>1.16233556709835</v>
      </c>
      <c r="Z143" s="16">
        <v>1.1349615181017301</v>
      </c>
      <c r="AA143" s="16">
        <v>1.1362572010270999</v>
      </c>
      <c r="AB143" s="15">
        <v>89.546332089257007</v>
      </c>
      <c r="AC143" s="15">
        <v>87.5242617329952</v>
      </c>
      <c r="AD143" s="15">
        <v>87.604728651785607</v>
      </c>
      <c r="AE143" s="11">
        <v>2.8158632183098001E-2</v>
      </c>
      <c r="AF143" s="11">
        <v>5.3184957537856896E-3</v>
      </c>
      <c r="AG143" s="11">
        <v>6.2374404045396001E-3</v>
      </c>
      <c r="AZ143" s="11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11">
        <f t="shared" si="26"/>
        <v>0</v>
      </c>
      <c r="BH143" s="11">
        <f t="shared" si="27"/>
        <v>0</v>
      </c>
      <c r="BI143" s="11">
        <f t="shared" si="28"/>
        <v>0</v>
      </c>
      <c r="BJ143" s="6">
        <f t="shared" si="29"/>
        <v>5.0602954855461776E-2</v>
      </c>
      <c r="BL143" s="11"/>
      <c r="BN143">
        <f t="shared" si="30"/>
        <v>1</v>
      </c>
      <c r="BO143">
        <f t="shared" si="31"/>
        <v>0</v>
      </c>
      <c r="BP143">
        <f t="shared" si="32"/>
        <v>1</v>
      </c>
      <c r="BQ143">
        <f t="shared" si="21"/>
        <v>1</v>
      </c>
      <c r="BR143">
        <f t="shared" si="33"/>
        <v>1</v>
      </c>
      <c r="BS143" s="11">
        <f t="shared" si="34"/>
        <v>-2.1915449634491602E-2</v>
      </c>
      <c r="BT143" s="11">
        <f t="shared" si="35"/>
        <v>1.97199291306536E-2</v>
      </c>
      <c r="BU143" s="11">
        <f t="shared" si="36"/>
        <v>-2.195520503838002E-3</v>
      </c>
      <c r="BV143" s="6">
        <f t="shared" si="37"/>
        <v>6.4062064669648828E-3</v>
      </c>
      <c r="BX143" s="6">
        <f t="shared" si="38"/>
        <v>-2.195520503838002E-3</v>
      </c>
      <c r="BY143" s="6">
        <f t="shared" si="39"/>
        <v>5.7009161322426671E-2</v>
      </c>
    </row>
    <row r="144" spans="1:77" x14ac:dyDescent="0.3">
      <c r="A144" s="1">
        <v>46232</v>
      </c>
      <c r="B144" s="15">
        <v>76.849999999999994</v>
      </c>
      <c r="C144" s="15">
        <v>87.36</v>
      </c>
      <c r="D144" s="11">
        <v>-2.46929750526538E-3</v>
      </c>
      <c r="E144" s="11">
        <v>3.4399758724434799E-3</v>
      </c>
      <c r="F144" s="15">
        <v>0</v>
      </c>
      <c r="G144" s="15">
        <v>0.69499999999999995</v>
      </c>
      <c r="H144" s="15">
        <v>0</v>
      </c>
      <c r="I144" s="15">
        <v>1.0290999999999999</v>
      </c>
      <c r="J144" s="15">
        <v>0</v>
      </c>
      <c r="K144" s="15">
        <v>0</v>
      </c>
      <c r="L144" s="15">
        <v>76.849999999999994</v>
      </c>
      <c r="M144" s="15">
        <v>87.36</v>
      </c>
      <c r="N144" s="16">
        <v>1.13675992192582</v>
      </c>
      <c r="O144" s="16">
        <v>1.16233556709835</v>
      </c>
      <c r="P144" s="16">
        <v>1.13446708217231</v>
      </c>
      <c r="Q144" s="16">
        <v>1.1359316958847501</v>
      </c>
      <c r="R144" s="15">
        <v>89.325488331508296</v>
      </c>
      <c r="S144" s="15">
        <v>87.221792666118304</v>
      </c>
      <c r="T144" s="15">
        <v>87.321365898933294</v>
      </c>
      <c r="U144" s="11">
        <v>2.2249358805389099E-2</v>
      </c>
      <c r="V144" s="11">
        <v>-1.5832964095837E-3</v>
      </c>
      <c r="W144" s="11">
        <v>-4.4233798491126198E-4</v>
      </c>
      <c r="X144" s="16">
        <v>1.13675992192582</v>
      </c>
      <c r="Y144" s="16">
        <v>1.16233556709835</v>
      </c>
      <c r="Z144" s="16">
        <v>1.13446708217231</v>
      </c>
      <c r="AA144" s="16">
        <v>1.1359316958847501</v>
      </c>
      <c r="AB144" s="15">
        <v>89.325488331508296</v>
      </c>
      <c r="AC144" s="15">
        <v>87.221792666118304</v>
      </c>
      <c r="AD144" s="15">
        <v>87.321365898933294</v>
      </c>
      <c r="AE144" s="11">
        <v>2.2249358805389099E-2</v>
      </c>
      <c r="AF144" s="11">
        <v>-1.5832964095837E-3</v>
      </c>
      <c r="AG144" s="11">
        <v>-4.4233798491126198E-4</v>
      </c>
      <c r="AZ144" s="11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11">
        <f t="shared" si="26"/>
        <v>0</v>
      </c>
      <c r="BH144" s="11">
        <f t="shared" si="27"/>
        <v>0</v>
      </c>
      <c r="BI144" s="11">
        <f t="shared" si="28"/>
        <v>0</v>
      </c>
      <c r="BJ144" s="6">
        <f t="shared" si="29"/>
        <v>5.0602954855461776E-2</v>
      </c>
      <c r="BL144" s="11"/>
      <c r="BN144">
        <f t="shared" si="30"/>
        <v>0</v>
      </c>
      <c r="BO144">
        <f t="shared" si="31"/>
        <v>1</v>
      </c>
      <c r="BP144">
        <f t="shared" si="32"/>
        <v>1</v>
      </c>
      <c r="BQ144">
        <f t="shared" si="21"/>
        <v>1</v>
      </c>
      <c r="BR144">
        <f t="shared" si="33"/>
        <v>1</v>
      </c>
      <c r="BS144" s="11">
        <f t="shared" si="34"/>
        <v>2.46929750526538E-3</v>
      </c>
      <c r="BT144" s="11">
        <f t="shared" si="35"/>
        <v>3.4399758724434799E-3</v>
      </c>
      <c r="BU144" s="11">
        <f t="shared" si="36"/>
        <v>5.9092733777088603E-3</v>
      </c>
      <c r="BV144" s="6">
        <f t="shared" si="37"/>
        <v>1.2315479844673743E-2</v>
      </c>
      <c r="BX144" s="6">
        <f t="shared" si="38"/>
        <v>5.9092733777088603E-3</v>
      </c>
      <c r="BY144" s="6">
        <f t="shared" si="39"/>
        <v>6.2918434700135528E-2</v>
      </c>
    </row>
    <row r="145" spans="1:77" x14ac:dyDescent="0.3">
      <c r="A145" s="1">
        <v>46233</v>
      </c>
      <c r="B145" s="15">
        <v>75.34</v>
      </c>
      <c r="C145" s="15">
        <v>85.47</v>
      </c>
      <c r="D145" s="11">
        <v>-1.9844267720709699E-2</v>
      </c>
      <c r="E145" s="11">
        <v>-2.1872074818668302E-2</v>
      </c>
      <c r="F145" s="15">
        <v>0</v>
      </c>
      <c r="G145" s="15">
        <v>0.69499999999999995</v>
      </c>
      <c r="H145" s="15">
        <v>0</v>
      </c>
      <c r="I145" s="15">
        <v>1.0290999999999999</v>
      </c>
      <c r="J145" s="15">
        <v>0</v>
      </c>
      <c r="K145" s="15">
        <v>0</v>
      </c>
      <c r="L145" s="15">
        <v>75.34</v>
      </c>
      <c r="M145" s="15">
        <v>85.47</v>
      </c>
      <c r="N145" s="16">
        <v>1.1344571276878099</v>
      </c>
      <c r="O145" s="16">
        <v>1.16233556709835</v>
      </c>
      <c r="P145" s="16">
        <v>1.1338795723497299</v>
      </c>
      <c r="Q145" s="16">
        <v>1.1358255169300799</v>
      </c>
      <c r="R145" s="15">
        <v>87.570361625189804</v>
      </c>
      <c r="S145" s="15">
        <v>85.470749970861803</v>
      </c>
      <c r="T145" s="15">
        <v>85.581093967957301</v>
      </c>
      <c r="U145" s="11">
        <v>2.4277165903347799E-2</v>
      </c>
      <c r="V145" s="11">
        <v>8.7746293613626003E-6</v>
      </c>
      <c r="W145" s="11">
        <v>1.2989567152236301E-3</v>
      </c>
      <c r="X145" s="16">
        <v>1.1344571276878099</v>
      </c>
      <c r="Y145" s="16">
        <v>1.16233556709835</v>
      </c>
      <c r="Z145" s="16">
        <v>1.1338795723497299</v>
      </c>
      <c r="AA145" s="16">
        <v>1.1358255169300799</v>
      </c>
      <c r="AB145" s="15">
        <v>87.570361625189804</v>
      </c>
      <c r="AC145" s="15">
        <v>85.470749970861803</v>
      </c>
      <c r="AD145" s="15">
        <v>85.581093967957301</v>
      </c>
      <c r="AE145" s="11">
        <v>2.4277165903347799E-2</v>
      </c>
      <c r="AF145" s="11">
        <v>8.7746293613626003E-6</v>
      </c>
      <c r="AG145" s="11">
        <v>1.2989567152236301E-3</v>
      </c>
      <c r="AZ145" s="11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11">
        <f t="shared" si="26"/>
        <v>0</v>
      </c>
      <c r="BH145" s="11">
        <f t="shared" si="27"/>
        <v>0</v>
      </c>
      <c r="BI145" s="11">
        <f t="shared" si="28"/>
        <v>0</v>
      </c>
      <c r="BJ145" s="6">
        <f t="shared" si="29"/>
        <v>5.0602954855461776E-2</v>
      </c>
      <c r="BL145" s="11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11">
        <f t="shared" si="34"/>
        <v>0</v>
      </c>
      <c r="BT145" s="11">
        <f t="shared" si="35"/>
        <v>0</v>
      </c>
      <c r="BU145" s="11">
        <f t="shared" si="36"/>
        <v>0</v>
      </c>
      <c r="BV145" s="6">
        <f t="shared" si="37"/>
        <v>1.2315479844673743E-2</v>
      </c>
      <c r="BX145" s="6">
        <f t="shared" si="38"/>
        <v>0</v>
      </c>
      <c r="BY145" s="6">
        <f t="shared" si="39"/>
        <v>6.2918434700135528E-2</v>
      </c>
    </row>
    <row r="146" spans="1:77" x14ac:dyDescent="0.3">
      <c r="A146" s="1">
        <v>46234</v>
      </c>
      <c r="B146" s="15">
        <v>74.72</v>
      </c>
      <c r="C146" s="15">
        <v>85.05</v>
      </c>
      <c r="D146" s="11">
        <v>-8.2634083433078299E-3</v>
      </c>
      <c r="E146" s="11">
        <v>-4.9261183360558803E-3</v>
      </c>
      <c r="F146" s="15">
        <v>0</v>
      </c>
      <c r="G146" s="15">
        <v>0.69499999999999995</v>
      </c>
      <c r="H146" s="15">
        <v>0</v>
      </c>
      <c r="I146" s="15">
        <v>1.0290999999999999</v>
      </c>
      <c r="J146" s="15">
        <v>0</v>
      </c>
      <c r="K146" s="15">
        <v>0</v>
      </c>
      <c r="L146" s="15">
        <v>74.72</v>
      </c>
      <c r="M146" s="15">
        <v>85.05</v>
      </c>
      <c r="N146" s="16">
        <v>1.1382494646680901</v>
      </c>
      <c r="O146" s="16">
        <v>1.16233556709835</v>
      </c>
      <c r="P146" s="16">
        <v>1.13378368436882</v>
      </c>
      <c r="Q146" s="16">
        <v>1.1359340869419901</v>
      </c>
      <c r="R146" s="15">
        <v>86.849713573588801</v>
      </c>
      <c r="S146" s="15">
        <v>84.723481645971802</v>
      </c>
      <c r="T146" s="15">
        <v>84.868882625015601</v>
      </c>
      <c r="U146" s="11">
        <v>2.0939875896095701E-2</v>
      </c>
      <c r="V146" s="11">
        <v>-3.8465224775079401E-3</v>
      </c>
      <c r="W146" s="11">
        <v>-2.1318106708181702E-3</v>
      </c>
      <c r="X146" s="16">
        <v>1.1382494646680901</v>
      </c>
      <c r="Y146" s="16">
        <v>1.16233556709835</v>
      </c>
      <c r="Z146" s="16">
        <v>1.13378368436882</v>
      </c>
      <c r="AA146" s="16">
        <v>1.1359340869419901</v>
      </c>
      <c r="AB146" s="15">
        <v>86.849713573588801</v>
      </c>
      <c r="AC146" s="15">
        <v>84.723481645971802</v>
      </c>
      <c r="AD146" s="15">
        <v>84.868882625015601</v>
      </c>
      <c r="AE146" s="11">
        <v>2.0939875896095701E-2</v>
      </c>
      <c r="AF146" s="11">
        <v>-3.8465224775079401E-3</v>
      </c>
      <c r="AG146" s="11">
        <v>-2.1318106708181702E-3</v>
      </c>
      <c r="AZ146" s="11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11">
        <f t="shared" si="26"/>
        <v>0</v>
      </c>
      <c r="BH146" s="11">
        <f t="shared" si="27"/>
        <v>0</v>
      </c>
      <c r="BI146" s="11">
        <f t="shared" si="28"/>
        <v>0</v>
      </c>
      <c r="BJ146" s="6">
        <f t="shared" si="29"/>
        <v>5.0602954855461776E-2</v>
      </c>
      <c r="BL146" s="11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11">
        <f t="shared" si="34"/>
        <v>0</v>
      </c>
      <c r="BT146" s="11">
        <f t="shared" si="35"/>
        <v>0</v>
      </c>
      <c r="BU146" s="11">
        <f t="shared" si="36"/>
        <v>0</v>
      </c>
      <c r="BV146" s="6">
        <f t="shared" si="37"/>
        <v>1.2315479844673743E-2</v>
      </c>
      <c r="BX146" s="6">
        <f t="shared" si="38"/>
        <v>0</v>
      </c>
      <c r="BY146" s="6">
        <f t="shared" si="39"/>
        <v>6.2918434700135528E-2</v>
      </c>
    </row>
    <row r="147" spans="1:77" x14ac:dyDescent="0.3">
      <c r="A147" s="1">
        <v>46237</v>
      </c>
      <c r="B147" s="15">
        <v>74.2</v>
      </c>
      <c r="C147" s="15">
        <v>84.86</v>
      </c>
      <c r="D147" s="11">
        <v>-6.9836437472523497E-3</v>
      </c>
      <c r="E147" s="11">
        <v>-2.2364790676919601E-3</v>
      </c>
      <c r="F147" s="15">
        <v>0</v>
      </c>
      <c r="G147" s="15">
        <v>0.69499999999999995</v>
      </c>
      <c r="H147" s="15">
        <v>0</v>
      </c>
      <c r="I147" s="15">
        <v>1.0290999999999999</v>
      </c>
      <c r="J147" s="15">
        <v>0</v>
      </c>
      <c r="K147" s="15">
        <v>0</v>
      </c>
      <c r="L147" s="15">
        <v>74.2</v>
      </c>
      <c r="M147" s="15">
        <v>84.86</v>
      </c>
      <c r="N147" s="16">
        <v>1.1436657681940701</v>
      </c>
      <c r="O147" s="16">
        <v>1.16233556709835</v>
      </c>
      <c r="P147" s="16">
        <v>1.13421363390574</v>
      </c>
      <c r="Q147" s="16">
        <v>1.13640035350114</v>
      </c>
      <c r="R147" s="15">
        <v>86.245299078697698</v>
      </c>
      <c r="S147" s="15">
        <v>84.1267493801668</v>
      </c>
      <c r="T147" s="15">
        <v>84.286309251095702</v>
      </c>
      <c r="U147" s="11">
        <v>1.6192711216535201E-2</v>
      </c>
      <c r="V147" s="11">
        <v>-8.6782570160868992E-3</v>
      </c>
      <c r="W147" s="11">
        <v>-6.7833930433353904E-3</v>
      </c>
      <c r="X147" s="16">
        <v>1.1436657681940701</v>
      </c>
      <c r="Y147" s="16">
        <v>1.16233556709835</v>
      </c>
      <c r="Z147" s="16">
        <v>1.13421363390574</v>
      </c>
      <c r="AA147" s="16">
        <v>1.13640035350114</v>
      </c>
      <c r="AB147" s="15">
        <v>86.245299078697698</v>
      </c>
      <c r="AC147" s="15">
        <v>84.1267493801668</v>
      </c>
      <c r="AD147" s="15">
        <v>84.286309251095702</v>
      </c>
      <c r="AE147" s="11">
        <v>1.6192711216535201E-2</v>
      </c>
      <c r="AF147" s="11">
        <v>-8.6782570160868992E-3</v>
      </c>
      <c r="AG147" s="11">
        <v>-6.7833930433353904E-3</v>
      </c>
      <c r="AZ147" s="11"/>
      <c r="BB147">
        <f t="shared" si="22"/>
        <v>1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11">
        <f t="shared" si="26"/>
        <v>0</v>
      </c>
      <c r="BH147" s="11">
        <f t="shared" si="27"/>
        <v>0</v>
      </c>
      <c r="BI147" s="11">
        <f t="shared" si="28"/>
        <v>0</v>
      </c>
      <c r="BJ147" s="6">
        <f t="shared" si="29"/>
        <v>5.0602954855461776E-2</v>
      </c>
      <c r="BL147" s="11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11">
        <f t="shared" si="34"/>
        <v>0</v>
      </c>
      <c r="BT147" s="11">
        <f t="shared" si="35"/>
        <v>0</v>
      </c>
      <c r="BU147" s="11">
        <f t="shared" si="36"/>
        <v>0</v>
      </c>
      <c r="BV147" s="6">
        <f t="shared" si="37"/>
        <v>1.2315479844673743E-2</v>
      </c>
      <c r="BX147" s="6">
        <f t="shared" si="38"/>
        <v>0</v>
      </c>
      <c r="BY147" s="6">
        <f t="shared" si="39"/>
        <v>6.2918434700135528E-2</v>
      </c>
    </row>
    <row r="148" spans="1:77" x14ac:dyDescent="0.3">
      <c r="A148" s="1">
        <v>46238</v>
      </c>
      <c r="B148" s="15">
        <v>74.61</v>
      </c>
      <c r="C148" s="15">
        <v>85.37</v>
      </c>
      <c r="D148" s="11">
        <v>5.5103963100881E-3</v>
      </c>
      <c r="E148" s="11">
        <v>5.9919112480364004E-3</v>
      </c>
      <c r="F148" s="15">
        <v>0</v>
      </c>
      <c r="G148" s="15">
        <v>0.69499999999999995</v>
      </c>
      <c r="H148" s="15">
        <v>0</v>
      </c>
      <c r="I148" s="15">
        <v>1.0290999999999999</v>
      </c>
      <c r="J148" s="15">
        <v>0</v>
      </c>
      <c r="K148" s="15">
        <v>0</v>
      </c>
      <c r="L148" s="15">
        <v>74.61</v>
      </c>
      <c r="M148" s="15">
        <v>85.37</v>
      </c>
      <c r="N148" s="16">
        <v>1.1442165929500001</v>
      </c>
      <c r="O148" s="16">
        <v>1.16233556709835</v>
      </c>
      <c r="P148" s="16">
        <v>1.1351633709545199</v>
      </c>
      <c r="Q148" s="16">
        <v>1.13708307230398</v>
      </c>
      <c r="R148" s="15">
        <v>86.721856661207994</v>
      </c>
      <c r="S148" s="15">
        <v>84.623679225707306</v>
      </c>
      <c r="T148" s="15">
        <v>84.786830374720097</v>
      </c>
      <c r="U148" s="11">
        <v>1.5711196278587101E-2</v>
      </c>
      <c r="V148" s="11">
        <v>-8.7806272887383397E-3</v>
      </c>
      <c r="W148" s="11">
        <v>-6.85452246989418E-3</v>
      </c>
      <c r="X148" s="16">
        <v>1.1442165929500001</v>
      </c>
      <c r="Y148" s="16">
        <v>1.16233556709835</v>
      </c>
      <c r="Z148" s="16">
        <v>1.1351633709545199</v>
      </c>
      <c r="AA148" s="16">
        <v>1.13708307230398</v>
      </c>
      <c r="AB148" s="15">
        <v>86.721856661207994</v>
      </c>
      <c r="AC148" s="15">
        <v>84.623679225707306</v>
      </c>
      <c r="AD148" s="15">
        <v>84.786830374720097</v>
      </c>
      <c r="AE148" s="11">
        <v>1.5711196278587101E-2</v>
      </c>
      <c r="AF148" s="11">
        <v>-8.7806272887383397E-3</v>
      </c>
      <c r="AG148" s="11">
        <v>-6.85452246989418E-3</v>
      </c>
      <c r="AZ148" s="11"/>
      <c r="BB148">
        <f t="shared" si="22"/>
        <v>1</v>
      </c>
      <c r="BC148">
        <f t="shared" si="23"/>
        <v>0</v>
      </c>
      <c r="BD148">
        <f t="shared" si="24"/>
        <v>1</v>
      </c>
      <c r="BE148">
        <f t="shared" si="20"/>
        <v>1</v>
      </c>
      <c r="BF148">
        <f t="shared" si="25"/>
        <v>1</v>
      </c>
      <c r="BG148" s="11">
        <f t="shared" si="26"/>
        <v>5.5103963100881E-3</v>
      </c>
      <c r="BH148" s="11">
        <f t="shared" si="27"/>
        <v>-5.9919112480364004E-3</v>
      </c>
      <c r="BI148" s="11">
        <f t="shared" si="28"/>
        <v>-4.8151493794830035E-4</v>
      </c>
      <c r="BJ148" s="6">
        <f t="shared" si="29"/>
        <v>5.0121439917513479E-2</v>
      </c>
      <c r="BL148" s="11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11">
        <f t="shared" si="34"/>
        <v>0</v>
      </c>
      <c r="BT148" s="11">
        <f t="shared" si="35"/>
        <v>0</v>
      </c>
      <c r="BU148" s="11">
        <f t="shared" si="36"/>
        <v>0</v>
      </c>
      <c r="BV148" s="6">
        <f t="shared" si="37"/>
        <v>1.2315479844673743E-2</v>
      </c>
      <c r="BX148" s="6">
        <f t="shared" si="38"/>
        <v>-4.8151493794830035E-4</v>
      </c>
      <c r="BY148" s="6">
        <f t="shared" si="39"/>
        <v>6.243691976218723E-2</v>
      </c>
    </row>
    <row r="149" spans="1:77" x14ac:dyDescent="0.3">
      <c r="A149" s="1">
        <v>46239</v>
      </c>
      <c r="B149" s="15">
        <v>74.75</v>
      </c>
      <c r="C149" s="15">
        <v>85.33</v>
      </c>
      <c r="D149" s="11">
        <v>1.87466578737288E-3</v>
      </c>
      <c r="E149" s="11">
        <v>-4.6865847372159499E-4</v>
      </c>
      <c r="F149" s="15">
        <v>0</v>
      </c>
      <c r="G149" s="15">
        <v>0.69499999999999995</v>
      </c>
      <c r="H149" s="15">
        <v>0</v>
      </c>
      <c r="I149" s="15">
        <v>1.0290999999999999</v>
      </c>
      <c r="J149" s="15">
        <v>0</v>
      </c>
      <c r="K149" s="15">
        <v>0</v>
      </c>
      <c r="L149" s="15">
        <v>74.75</v>
      </c>
      <c r="M149" s="15">
        <v>85.33</v>
      </c>
      <c r="N149" s="16">
        <v>1.1415384615384601</v>
      </c>
      <c r="O149" s="16">
        <v>1.16233556709835</v>
      </c>
      <c r="P149" s="16">
        <v>1.1360250581395099</v>
      </c>
      <c r="Q149" s="16">
        <v>1.1373852375768101</v>
      </c>
      <c r="R149" s="15">
        <v>86.884583640601804</v>
      </c>
      <c r="S149" s="15">
        <v>84.853461978850405</v>
      </c>
      <c r="T149" s="15">
        <v>84.996959654722801</v>
      </c>
      <c r="U149" s="11">
        <v>1.80545205396817E-2</v>
      </c>
      <c r="V149" s="11">
        <v>-5.6003005356004797E-3</v>
      </c>
      <c r="W149" s="11">
        <v>-3.91060546586138E-3</v>
      </c>
      <c r="X149" s="16">
        <v>1.1415384615384601</v>
      </c>
      <c r="Y149" s="16">
        <v>1.16233556709835</v>
      </c>
      <c r="Z149" s="16">
        <v>1.1360250581395099</v>
      </c>
      <c r="AA149" s="16">
        <v>1.1373852375768101</v>
      </c>
      <c r="AB149" s="15">
        <v>86.884583640601804</v>
      </c>
      <c r="AC149" s="15">
        <v>84.853461978850405</v>
      </c>
      <c r="AD149" s="15">
        <v>84.996959654722801</v>
      </c>
      <c r="AE149" s="11">
        <v>1.80545205396817E-2</v>
      </c>
      <c r="AF149" s="11">
        <v>-5.6003005356004797E-3</v>
      </c>
      <c r="AG149" s="11">
        <v>-3.91060546586138E-3</v>
      </c>
      <c r="AZ149" s="11"/>
      <c r="BB149">
        <f t="shared" si="22"/>
        <v>1</v>
      </c>
      <c r="BC149">
        <f t="shared" si="23"/>
        <v>0</v>
      </c>
      <c r="BD149">
        <f t="shared" si="24"/>
        <v>1</v>
      </c>
      <c r="BE149">
        <f t="shared" si="20"/>
        <v>1</v>
      </c>
      <c r="BF149">
        <f t="shared" si="25"/>
        <v>1</v>
      </c>
      <c r="BG149" s="11">
        <f t="shared" si="26"/>
        <v>1.87466578737288E-3</v>
      </c>
      <c r="BH149" s="11">
        <f t="shared" si="27"/>
        <v>4.6865847372159499E-4</v>
      </c>
      <c r="BI149" s="11">
        <f t="shared" si="28"/>
        <v>2.343324261094475E-3</v>
      </c>
      <c r="BJ149" s="6">
        <f t="shared" si="29"/>
        <v>5.2464764178607952E-2</v>
      </c>
      <c r="BL149" s="11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11">
        <f t="shared" si="34"/>
        <v>0</v>
      </c>
      <c r="BT149" s="11">
        <f t="shared" si="35"/>
        <v>0</v>
      </c>
      <c r="BU149" s="11">
        <f t="shared" si="36"/>
        <v>0</v>
      </c>
      <c r="BV149" s="6">
        <f t="shared" si="37"/>
        <v>1.2315479844673743E-2</v>
      </c>
      <c r="BX149" s="6">
        <f t="shared" si="38"/>
        <v>2.343324261094475E-3</v>
      </c>
      <c r="BY149" s="6">
        <f t="shared" si="39"/>
        <v>6.4780244023281711E-2</v>
      </c>
    </row>
    <row r="150" spans="1:77" x14ac:dyDescent="0.3">
      <c r="A150" s="1">
        <v>46240</v>
      </c>
      <c r="B150" s="15">
        <v>74.55</v>
      </c>
      <c r="C150" s="15">
        <v>85.11</v>
      </c>
      <c r="D150" s="11">
        <v>-2.6791710600484698E-3</v>
      </c>
      <c r="E150" s="11">
        <v>-2.5815550596238E-3</v>
      </c>
      <c r="F150" s="15">
        <v>0</v>
      </c>
      <c r="G150" s="15">
        <v>0.69499999999999995</v>
      </c>
      <c r="H150" s="15">
        <v>0</v>
      </c>
      <c r="I150" s="15">
        <v>1.0290999999999999</v>
      </c>
      <c r="J150" s="15">
        <v>0</v>
      </c>
      <c r="K150" s="15">
        <v>0</v>
      </c>
      <c r="L150" s="15">
        <v>74.55</v>
      </c>
      <c r="M150" s="15">
        <v>85.11</v>
      </c>
      <c r="N150" s="16">
        <v>1.14164989939637</v>
      </c>
      <c r="O150" s="16">
        <v>1.16233556709835</v>
      </c>
      <c r="P150" s="16">
        <v>1.13727106314225</v>
      </c>
      <c r="Q150" s="16">
        <v>1.1375982862034999</v>
      </c>
      <c r="R150" s="15">
        <v>86.652116527182102</v>
      </c>
      <c r="S150" s="15">
        <v>84.690668084300896</v>
      </c>
      <c r="T150" s="15">
        <v>84.792069461351701</v>
      </c>
      <c r="U150" s="11">
        <v>1.7956904539256999E-2</v>
      </c>
      <c r="V150" s="11">
        <v>-4.93911800103599E-3</v>
      </c>
      <c r="W150" s="11">
        <v>-3.74251956725502E-3</v>
      </c>
      <c r="X150" s="16">
        <v>1.14164989939637</v>
      </c>
      <c r="Y150" s="16">
        <v>1.16233556709835</v>
      </c>
      <c r="Z150" s="16">
        <v>1.13727106314225</v>
      </c>
      <c r="AA150" s="16">
        <v>1.1375982862034999</v>
      </c>
      <c r="AB150" s="15">
        <v>86.652116527182102</v>
      </c>
      <c r="AC150" s="15">
        <v>84.690668084300896</v>
      </c>
      <c r="AD150" s="15">
        <v>84.792069461351701</v>
      </c>
      <c r="AE150" s="11">
        <v>1.7956904539256999E-2</v>
      </c>
      <c r="AF150" s="11">
        <v>-4.93911800103599E-3</v>
      </c>
      <c r="AG150" s="11">
        <v>-3.74251956725502E-3</v>
      </c>
      <c r="AZ150" s="11"/>
      <c r="BB150">
        <f t="shared" si="22"/>
        <v>1</v>
      </c>
      <c r="BC150">
        <f t="shared" si="23"/>
        <v>0</v>
      </c>
      <c r="BD150">
        <f t="shared" si="24"/>
        <v>1</v>
      </c>
      <c r="BE150">
        <f t="shared" ref="BE150:BE167" si="40">IF(F151+H151&gt;0,0,1)</f>
        <v>1</v>
      </c>
      <c r="BF150">
        <f t="shared" si="25"/>
        <v>1</v>
      </c>
      <c r="BG150" s="11">
        <f t="shared" si="26"/>
        <v>-2.6791710600484698E-3</v>
      </c>
      <c r="BH150" s="11">
        <f t="shared" si="27"/>
        <v>2.5815550596238E-3</v>
      </c>
      <c r="BI150" s="11">
        <f t="shared" si="28"/>
        <v>-9.761600042466987E-5</v>
      </c>
      <c r="BJ150" s="6">
        <f t="shared" si="29"/>
        <v>5.2367148178183283E-2</v>
      </c>
      <c r="BL150" s="11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11">
        <f t="shared" si="34"/>
        <v>0</v>
      </c>
      <c r="BT150" s="11">
        <f t="shared" si="35"/>
        <v>0</v>
      </c>
      <c r="BU150" s="11">
        <f t="shared" si="36"/>
        <v>0</v>
      </c>
      <c r="BV150" s="6">
        <f t="shared" si="37"/>
        <v>1.2315479844673743E-2</v>
      </c>
      <c r="BX150" s="6">
        <f t="shared" si="38"/>
        <v>-9.761600042466987E-5</v>
      </c>
      <c r="BY150" s="6">
        <f t="shared" si="39"/>
        <v>6.4682628022857042E-2</v>
      </c>
    </row>
    <row r="151" spans="1:77" x14ac:dyDescent="0.3">
      <c r="A151" s="1">
        <v>46241</v>
      </c>
      <c r="B151" s="15">
        <v>74.45</v>
      </c>
      <c r="C151" s="15">
        <v>85.12</v>
      </c>
      <c r="D151" s="11">
        <v>-1.3422820807293999E-3</v>
      </c>
      <c r="E151" s="11">
        <v>1.17488104464543E-4</v>
      </c>
      <c r="F151" s="15">
        <v>0</v>
      </c>
      <c r="G151" s="15">
        <v>0.69499999999999995</v>
      </c>
      <c r="H151" s="15">
        <v>0</v>
      </c>
      <c r="I151" s="15">
        <v>1.0290999999999999</v>
      </c>
      <c r="J151" s="15">
        <v>0</v>
      </c>
      <c r="K151" s="15">
        <v>0</v>
      </c>
      <c r="L151" s="15">
        <v>74.45</v>
      </c>
      <c r="M151" s="15">
        <v>85.12</v>
      </c>
      <c r="N151" s="16">
        <v>1.14331766286098</v>
      </c>
      <c r="O151" s="16">
        <v>1.16233556709835</v>
      </c>
      <c r="P151" s="16">
        <v>1.1386463310395201</v>
      </c>
      <c r="Q151" s="16">
        <v>1.13775685028989</v>
      </c>
      <c r="R151" s="15">
        <v>86.535882970472301</v>
      </c>
      <c r="S151" s="15">
        <v>84.669830650940995</v>
      </c>
      <c r="T151" s="15">
        <v>84.694192407850906</v>
      </c>
      <c r="U151" s="11">
        <v>1.6497134354063098E-2</v>
      </c>
      <c r="V151" s="11">
        <v>-5.3026780481402304E-3</v>
      </c>
      <c r="W151" s="11">
        <v>-5.0149928994529403E-3</v>
      </c>
      <c r="X151" s="16">
        <v>1.14331766286098</v>
      </c>
      <c r="Y151" s="16">
        <v>1.16233556709835</v>
      </c>
      <c r="Z151" s="16">
        <v>1.1386463310395201</v>
      </c>
      <c r="AA151" s="16">
        <v>1.13775685028989</v>
      </c>
      <c r="AB151" s="15">
        <v>86.535882970472301</v>
      </c>
      <c r="AC151" s="15">
        <v>84.669830650940995</v>
      </c>
      <c r="AD151" s="15">
        <v>84.694192407850906</v>
      </c>
      <c r="AE151" s="11">
        <v>1.6497134354063098E-2</v>
      </c>
      <c r="AF151" s="11">
        <v>-5.3026780481402304E-3</v>
      </c>
      <c r="AG151" s="11">
        <v>-5.0149928994529403E-3</v>
      </c>
      <c r="AZ151" s="11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11">
        <f t="shared" ref="BG151:BG167" si="46">BF151*D151</f>
        <v>-1.3422820807293999E-3</v>
      </c>
      <c r="BH151" s="11">
        <f t="shared" ref="BH151:BH167" si="47">-BF151*$E151</f>
        <v>-1.17488104464543E-4</v>
      </c>
      <c r="BI151" s="11">
        <f t="shared" ref="BI151:BI167" si="48">BG151+BH151</f>
        <v>-1.4597701851939429E-3</v>
      </c>
      <c r="BJ151" s="6">
        <f t="shared" ref="BJ151:BJ167" si="49">BJ150+BI151</f>
        <v>5.090737799298934E-2</v>
      </c>
      <c r="BL151" s="11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11">
        <f t="shared" ref="BS151:BS167" si="54">-BR151*D151</f>
        <v>0</v>
      </c>
      <c r="BT151" s="11">
        <f t="shared" ref="BT151:BT167" si="55">BR151*$E151</f>
        <v>0</v>
      </c>
      <c r="BU151" s="11">
        <f t="shared" ref="BU151:BU167" si="56">BS151+BT151</f>
        <v>0</v>
      </c>
      <c r="BV151" s="6">
        <f t="shared" ref="BV151:BV167" si="57">BV150+BU151</f>
        <v>1.2315479844673743E-2</v>
      </c>
      <c r="BX151" s="6">
        <f t="shared" ref="BX151:BX167" si="58">BI151+BU151</f>
        <v>-1.4597701851939429E-3</v>
      </c>
      <c r="BY151" s="6">
        <f t="shared" ref="BY151:BY167" si="59">BY150+BX151</f>
        <v>6.3222857837663099E-2</v>
      </c>
    </row>
    <row r="152" spans="1:77" x14ac:dyDescent="0.3">
      <c r="A152" s="1">
        <v>46244</v>
      </c>
      <c r="B152" s="15">
        <v>74.19</v>
      </c>
      <c r="C152" s="15">
        <v>84.95</v>
      </c>
      <c r="D152" s="11">
        <v>-3.4983889285834999E-3</v>
      </c>
      <c r="E152" s="11">
        <v>-1.9991774753932399E-3</v>
      </c>
      <c r="F152" s="15">
        <v>0</v>
      </c>
      <c r="G152" s="15">
        <v>0.69499999999999995</v>
      </c>
      <c r="H152" s="15">
        <v>0</v>
      </c>
      <c r="I152" s="15">
        <v>1.0290999999999999</v>
      </c>
      <c r="J152" s="15">
        <v>0</v>
      </c>
      <c r="K152" s="15">
        <v>0</v>
      </c>
      <c r="L152" s="15">
        <v>74.19</v>
      </c>
      <c r="M152" s="15">
        <v>84.95</v>
      </c>
      <c r="N152" s="16">
        <v>1.1450330233185</v>
      </c>
      <c r="O152" s="16">
        <v>1.16233556709835</v>
      </c>
      <c r="P152" s="16">
        <v>1.1398950227836</v>
      </c>
      <c r="Q152" s="16">
        <v>1.13799178535984</v>
      </c>
      <c r="R152" s="15">
        <v>86.233675723026707</v>
      </c>
      <c r="S152" s="15">
        <v>84.476171299822397</v>
      </c>
      <c r="T152" s="15">
        <v>84.410180723007599</v>
      </c>
      <c r="U152" s="11">
        <v>1.49979229008728E-2</v>
      </c>
      <c r="V152" s="11">
        <v>-5.5933499750948296E-3</v>
      </c>
      <c r="W152" s="11">
        <v>-6.3748291104160602E-3</v>
      </c>
      <c r="X152" s="16">
        <v>1.1450330233185</v>
      </c>
      <c r="Y152" s="16">
        <v>1.16233556709835</v>
      </c>
      <c r="Z152" s="16">
        <v>1.1398950227836</v>
      </c>
      <c r="AA152" s="16">
        <v>1.13799178535984</v>
      </c>
      <c r="AB152" s="15">
        <v>86.233675723026707</v>
      </c>
      <c r="AC152" s="15">
        <v>84.476171299822397</v>
      </c>
      <c r="AD152" s="15">
        <v>84.410180723007599</v>
      </c>
      <c r="AE152" s="11">
        <v>1.49979229008728E-2</v>
      </c>
      <c r="AF152" s="11">
        <v>-5.5933499750948296E-3</v>
      </c>
      <c r="AG152" s="11">
        <v>-6.3748291104160602E-3</v>
      </c>
      <c r="AZ152" s="11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11">
        <f t="shared" si="46"/>
        <v>-3.4983889285834999E-3</v>
      </c>
      <c r="BH152" s="11">
        <f t="shared" si="47"/>
        <v>1.9991774753932399E-3</v>
      </c>
      <c r="BI152" s="11">
        <f t="shared" si="48"/>
        <v>-1.4992114531902599E-3</v>
      </c>
      <c r="BJ152" s="6">
        <f t="shared" si="49"/>
        <v>4.9408166539799084E-2</v>
      </c>
      <c r="BL152" s="11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11">
        <f t="shared" si="54"/>
        <v>0</v>
      </c>
      <c r="BT152" s="11">
        <f t="shared" si="55"/>
        <v>0</v>
      </c>
      <c r="BU152" s="11">
        <f t="shared" si="56"/>
        <v>0</v>
      </c>
      <c r="BV152" s="6">
        <f t="shared" si="57"/>
        <v>1.2315479844673743E-2</v>
      </c>
      <c r="BX152" s="6">
        <f t="shared" si="58"/>
        <v>-1.4992114531902599E-3</v>
      </c>
      <c r="BY152" s="6">
        <f t="shared" si="59"/>
        <v>6.1723646384472836E-2</v>
      </c>
    </row>
    <row r="153" spans="1:77" x14ac:dyDescent="0.3">
      <c r="A153" s="1">
        <v>46245</v>
      </c>
      <c r="B153" s="15">
        <v>74.099999999999994</v>
      </c>
      <c r="C153" s="15">
        <v>84.69</v>
      </c>
      <c r="D153" s="11">
        <v>-1.2138378993934199E-3</v>
      </c>
      <c r="E153" s="11">
        <v>-3.06531718443343E-3</v>
      </c>
      <c r="F153" s="15">
        <v>0</v>
      </c>
      <c r="G153" s="15">
        <v>0.69499999999999995</v>
      </c>
      <c r="H153" s="15">
        <v>0</v>
      </c>
      <c r="I153" s="15">
        <v>1.0290999999999999</v>
      </c>
      <c r="J153" s="15">
        <v>0</v>
      </c>
      <c r="K153" s="15">
        <v>0</v>
      </c>
      <c r="L153" s="15">
        <v>74.099999999999994</v>
      </c>
      <c r="M153" s="15">
        <v>84.69</v>
      </c>
      <c r="N153" s="16">
        <v>1.1429149797570799</v>
      </c>
      <c r="O153" s="16">
        <v>1.16233556709835</v>
      </c>
      <c r="P153" s="16">
        <v>1.1411802902297199</v>
      </c>
      <c r="Q153" s="16">
        <v>1.13807090416572</v>
      </c>
      <c r="R153" s="15">
        <v>86.129065521987798</v>
      </c>
      <c r="S153" s="15">
        <v>84.466221188265393</v>
      </c>
      <c r="T153" s="15">
        <v>84.325191295164302</v>
      </c>
      <c r="U153" s="11">
        <v>1.6849402185912798E-2</v>
      </c>
      <c r="V153" s="11">
        <v>-2.6458257427075002E-3</v>
      </c>
      <c r="W153" s="11">
        <v>-4.3168814420958103E-3</v>
      </c>
      <c r="X153" s="16">
        <v>1.1429149797570799</v>
      </c>
      <c r="Y153" s="16">
        <v>1.16233556709835</v>
      </c>
      <c r="Z153" s="16">
        <v>1.1411802902297199</v>
      </c>
      <c r="AA153" s="16">
        <v>1.13807090416572</v>
      </c>
      <c r="AB153" s="15">
        <v>86.129065521987798</v>
      </c>
      <c r="AC153" s="15">
        <v>84.466221188265393</v>
      </c>
      <c r="AD153" s="15">
        <v>84.325191295164302</v>
      </c>
      <c r="AE153" s="11">
        <v>1.6849402185912798E-2</v>
      </c>
      <c r="AF153" s="11">
        <v>-2.6458257427075002E-3</v>
      </c>
      <c r="AG153" s="11">
        <v>-4.3168814420958103E-3</v>
      </c>
      <c r="AZ153" s="11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11">
        <f t="shared" si="46"/>
        <v>-1.2138378993934199E-3</v>
      </c>
      <c r="BH153" s="11">
        <f t="shared" si="47"/>
        <v>3.06531718443343E-3</v>
      </c>
      <c r="BI153" s="11">
        <f t="shared" si="48"/>
        <v>1.8514792850400101E-3</v>
      </c>
      <c r="BJ153" s="6">
        <f t="shared" si="49"/>
        <v>5.1259645824839092E-2</v>
      </c>
      <c r="BL153" s="11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11">
        <f t="shared" si="54"/>
        <v>0</v>
      </c>
      <c r="BT153" s="11">
        <f t="shared" si="55"/>
        <v>0</v>
      </c>
      <c r="BU153" s="11">
        <f t="shared" si="56"/>
        <v>0</v>
      </c>
      <c r="BV153" s="6">
        <f t="shared" si="57"/>
        <v>1.2315479844673743E-2</v>
      </c>
      <c r="BX153" s="6">
        <f t="shared" si="58"/>
        <v>1.8514792850400101E-3</v>
      </c>
      <c r="BY153" s="6">
        <f t="shared" si="59"/>
        <v>6.3575125669512844E-2</v>
      </c>
    </row>
    <row r="154" spans="1:77" x14ac:dyDescent="0.3">
      <c r="A154" s="1">
        <v>46246</v>
      </c>
      <c r="B154" s="15">
        <v>73.87</v>
      </c>
      <c r="C154" s="15">
        <v>85.08</v>
      </c>
      <c r="D154" s="11">
        <v>-3.1087407613947099E-3</v>
      </c>
      <c r="E154" s="11">
        <v>4.5944593985287E-3</v>
      </c>
      <c r="F154" s="15">
        <v>0</v>
      </c>
      <c r="G154" s="15">
        <v>0.69499999999999995</v>
      </c>
      <c r="H154" s="15">
        <v>0</v>
      </c>
      <c r="I154" s="15">
        <v>1.0290999999999999</v>
      </c>
      <c r="J154" s="15">
        <v>0</v>
      </c>
      <c r="K154" s="15">
        <v>0</v>
      </c>
      <c r="L154" s="15">
        <v>73.87</v>
      </c>
      <c r="M154" s="15">
        <v>85.08</v>
      </c>
      <c r="N154" s="16">
        <v>1.15175307973466</v>
      </c>
      <c r="O154" s="16">
        <v>1.16233556709835</v>
      </c>
      <c r="P154" s="16">
        <v>1.1426796060105999</v>
      </c>
      <c r="Q154" s="16">
        <v>1.1385733440914501</v>
      </c>
      <c r="R154" s="15">
        <v>85.861728341555207</v>
      </c>
      <c r="S154" s="15">
        <v>84.298988039269602</v>
      </c>
      <c r="T154" s="15">
        <v>84.069297690722394</v>
      </c>
      <c r="U154" s="11">
        <v>9.1462020259892706E-3</v>
      </c>
      <c r="V154" s="11">
        <v>-9.2221296754051597E-3</v>
      </c>
      <c r="W154" s="11">
        <v>-1.19505590829052E-2</v>
      </c>
      <c r="X154" s="16">
        <v>1.15175307973466</v>
      </c>
      <c r="Y154" s="16">
        <v>1.16233556709835</v>
      </c>
      <c r="Z154" s="16">
        <v>1.1426796060105999</v>
      </c>
      <c r="AA154" s="16">
        <v>1.1385733440914501</v>
      </c>
      <c r="AB154" s="15">
        <v>85.861728341555207</v>
      </c>
      <c r="AC154" s="15">
        <v>84.298988039269602</v>
      </c>
      <c r="AD154" s="15">
        <v>84.069297690722394</v>
      </c>
      <c r="AE154" s="11">
        <v>9.1462020259892706E-3</v>
      </c>
      <c r="AF154" s="11">
        <v>-9.2221296754051597E-3</v>
      </c>
      <c r="AG154" s="11">
        <v>-1.19505590829052E-2</v>
      </c>
      <c r="AZ154" s="11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11">
        <f t="shared" si="46"/>
        <v>-3.1087407613947099E-3</v>
      </c>
      <c r="BH154" s="11">
        <f t="shared" si="47"/>
        <v>-4.5944593985287E-3</v>
      </c>
      <c r="BI154" s="11">
        <f t="shared" si="48"/>
        <v>-7.7032001599234099E-3</v>
      </c>
      <c r="BJ154" s="6">
        <f t="shared" si="49"/>
        <v>4.3556445664915684E-2</v>
      </c>
      <c r="BL154" s="11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11">
        <f t="shared" si="54"/>
        <v>0</v>
      </c>
      <c r="BT154" s="11">
        <f t="shared" si="55"/>
        <v>0</v>
      </c>
      <c r="BU154" s="11">
        <f t="shared" si="56"/>
        <v>0</v>
      </c>
      <c r="BV154" s="6">
        <f t="shared" si="57"/>
        <v>1.2315479844673743E-2</v>
      </c>
      <c r="BX154" s="6">
        <f t="shared" si="58"/>
        <v>-7.7032001599234099E-3</v>
      </c>
      <c r="BY154" s="6">
        <f t="shared" si="59"/>
        <v>5.5871925509589436E-2</v>
      </c>
    </row>
    <row r="155" spans="1:77" x14ac:dyDescent="0.3">
      <c r="A155" s="1">
        <v>46247</v>
      </c>
      <c r="B155" s="15">
        <v>74.430000000000007</v>
      </c>
      <c r="C155" s="15">
        <v>86</v>
      </c>
      <c r="D155" s="11">
        <v>7.5522948311729596E-3</v>
      </c>
      <c r="E155" s="11">
        <v>1.0755305921471199E-2</v>
      </c>
      <c r="F155" s="15">
        <v>0</v>
      </c>
      <c r="G155" s="15">
        <v>0.69499999999999995</v>
      </c>
      <c r="H155" s="15">
        <v>0</v>
      </c>
      <c r="I155" s="15">
        <v>1.0290999999999999</v>
      </c>
      <c r="J155" s="15">
        <v>0</v>
      </c>
      <c r="K155" s="15">
        <v>0</v>
      </c>
      <c r="L155" s="15">
        <v>74.430000000000007</v>
      </c>
      <c r="M155" s="15">
        <v>86</v>
      </c>
      <c r="N155" s="16">
        <v>1.1554480720139699</v>
      </c>
      <c r="O155" s="16">
        <v>1.16233556709835</v>
      </c>
      <c r="P155" s="16">
        <v>1.1447787004432199</v>
      </c>
      <c r="Q155" s="16">
        <v>1.1393291363964699</v>
      </c>
      <c r="R155" s="15">
        <v>86.512636259130304</v>
      </c>
      <c r="S155" s="15">
        <v>85.049643075369403</v>
      </c>
      <c r="T155" s="15">
        <v>84.744014000727205</v>
      </c>
      <c r="U155" s="11">
        <v>5.9431909356909597E-3</v>
      </c>
      <c r="V155" s="11">
        <v>-1.11121740651287E-2</v>
      </c>
      <c r="W155" s="11">
        <v>-1.47121837473082E-2</v>
      </c>
      <c r="X155" s="16">
        <v>1.1554480720139699</v>
      </c>
      <c r="Y155" s="16">
        <v>1.16233556709835</v>
      </c>
      <c r="Z155" s="16">
        <v>1.1447787004432199</v>
      </c>
      <c r="AA155" s="16">
        <v>1.1393291363964699</v>
      </c>
      <c r="AB155" s="15">
        <v>86.512636259130304</v>
      </c>
      <c r="AC155" s="15">
        <v>85.049643075369403</v>
      </c>
      <c r="AD155" s="15">
        <v>84.744014000727205</v>
      </c>
      <c r="AE155" s="11">
        <v>5.9431909356909597E-3</v>
      </c>
      <c r="AF155" s="11">
        <v>-1.11121740651287E-2</v>
      </c>
      <c r="AG155" s="11">
        <v>-1.47121837473082E-2</v>
      </c>
      <c r="AZ155" s="11"/>
      <c r="BB155">
        <f t="shared" si="42"/>
        <v>1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11">
        <f t="shared" si="46"/>
        <v>7.5522948311729596E-3</v>
      </c>
      <c r="BH155" s="11">
        <f t="shared" si="47"/>
        <v>-1.0755305921471199E-2</v>
      </c>
      <c r="BI155" s="11">
        <f t="shared" si="48"/>
        <v>-3.2030110902982398E-3</v>
      </c>
      <c r="BJ155" s="6">
        <f t="shared" si="49"/>
        <v>4.0353434574617444E-2</v>
      </c>
      <c r="BL155" s="11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11">
        <f t="shared" si="54"/>
        <v>0</v>
      </c>
      <c r="BT155" s="11">
        <f t="shared" si="55"/>
        <v>0</v>
      </c>
      <c r="BU155" s="11">
        <f t="shared" si="56"/>
        <v>0</v>
      </c>
      <c r="BV155" s="6">
        <f t="shared" si="57"/>
        <v>1.2315479844673743E-2</v>
      </c>
      <c r="BX155" s="6">
        <f t="shared" si="58"/>
        <v>-3.2030110902982398E-3</v>
      </c>
      <c r="BY155" s="6">
        <f t="shared" si="59"/>
        <v>5.2668914419291196E-2</v>
      </c>
    </row>
    <row r="156" spans="1:77" x14ac:dyDescent="0.3">
      <c r="A156" s="1">
        <v>46248</v>
      </c>
      <c r="B156" s="15">
        <v>74.84</v>
      </c>
      <c r="C156" s="15">
        <v>86.09</v>
      </c>
      <c r="D156" s="11">
        <v>5.4934150340696002E-3</v>
      </c>
      <c r="E156" s="11">
        <v>1.0459644163555799E-3</v>
      </c>
      <c r="F156" s="15">
        <v>0</v>
      </c>
      <c r="G156" s="15">
        <v>0.69499999999999995</v>
      </c>
      <c r="H156" s="15">
        <v>0</v>
      </c>
      <c r="I156" s="15">
        <v>1.0290999999999999</v>
      </c>
      <c r="J156" s="15">
        <v>0</v>
      </c>
      <c r="K156" s="15">
        <v>0</v>
      </c>
      <c r="L156" s="15">
        <v>74.84</v>
      </c>
      <c r="M156" s="15">
        <v>86.09</v>
      </c>
      <c r="N156" s="16">
        <v>1.15032068412613</v>
      </c>
      <c r="O156" s="16">
        <v>1.16233556709835</v>
      </c>
      <c r="P156" s="16">
        <v>1.14598582238902</v>
      </c>
      <c r="Q156" s="16">
        <v>1.13988475337892</v>
      </c>
      <c r="R156" s="15">
        <v>86.989193841640599</v>
      </c>
      <c r="S156" s="15">
        <v>85.675237941170707</v>
      </c>
      <c r="T156" s="15">
        <v>85.267392567912196</v>
      </c>
      <c r="U156" s="11">
        <v>1.0390641553404901E-2</v>
      </c>
      <c r="V156" s="11">
        <v>-4.8294156598138998E-3</v>
      </c>
      <c r="W156" s="11">
        <v>-9.6011469232263006E-3</v>
      </c>
      <c r="X156" s="16">
        <v>1.15032068412613</v>
      </c>
      <c r="Y156" s="16">
        <v>1.16233556709835</v>
      </c>
      <c r="Z156" s="16">
        <v>1.14598582238902</v>
      </c>
      <c r="AA156" s="16">
        <v>1.13988475337892</v>
      </c>
      <c r="AB156" s="15">
        <v>86.989193841640599</v>
      </c>
      <c r="AC156" s="15">
        <v>85.675237941170707</v>
      </c>
      <c r="AD156" s="15">
        <v>85.267392567912196</v>
      </c>
      <c r="AE156" s="11">
        <v>1.0390641553404901E-2</v>
      </c>
      <c r="AF156" s="11">
        <v>-4.8294156598138998E-3</v>
      </c>
      <c r="AG156" s="11">
        <v>-9.6011469232263006E-3</v>
      </c>
      <c r="AZ156" s="11"/>
      <c r="BB156">
        <f t="shared" si="42"/>
        <v>1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11">
        <f t="shared" si="46"/>
        <v>5.4934150340696002E-3</v>
      </c>
      <c r="BH156" s="11">
        <f t="shared" si="47"/>
        <v>-1.0459644163555799E-3</v>
      </c>
      <c r="BI156" s="11">
        <f t="shared" si="48"/>
        <v>4.4474506177140201E-3</v>
      </c>
      <c r="BJ156" s="6">
        <f t="shared" si="49"/>
        <v>4.4800885192331462E-2</v>
      </c>
      <c r="BL156" s="11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11">
        <f t="shared" si="54"/>
        <v>0</v>
      </c>
      <c r="BT156" s="11">
        <f t="shared" si="55"/>
        <v>0</v>
      </c>
      <c r="BU156" s="11">
        <f t="shared" si="56"/>
        <v>0</v>
      </c>
      <c r="BV156" s="6">
        <f t="shared" si="57"/>
        <v>1.2315479844673743E-2</v>
      </c>
      <c r="BX156" s="6">
        <f t="shared" si="58"/>
        <v>4.4474506177140201E-3</v>
      </c>
      <c r="BY156" s="6">
        <f t="shared" si="59"/>
        <v>5.7116365037005214E-2</v>
      </c>
    </row>
    <row r="157" spans="1:77" x14ac:dyDescent="0.3">
      <c r="A157" s="1">
        <v>46251</v>
      </c>
      <c r="B157" s="15">
        <v>73.64</v>
      </c>
      <c r="C157" s="15">
        <v>84.68</v>
      </c>
      <c r="D157" s="11">
        <v>-1.6164145041011799E-2</v>
      </c>
      <c r="E157" s="11">
        <v>-1.6513814403198799E-2</v>
      </c>
      <c r="F157" s="15">
        <v>0</v>
      </c>
      <c r="G157" s="15">
        <v>0.69499999999999995</v>
      </c>
      <c r="H157" s="15">
        <v>0</v>
      </c>
      <c r="I157" s="15">
        <v>1.0290999999999999</v>
      </c>
      <c r="J157" s="15">
        <v>0</v>
      </c>
      <c r="K157" s="15">
        <v>0</v>
      </c>
      <c r="L157" s="15">
        <v>73.64</v>
      </c>
      <c r="M157" s="15">
        <v>84.68</v>
      </c>
      <c r="N157" s="16">
        <v>1.14991852254209</v>
      </c>
      <c r="O157" s="16">
        <v>1.16233556709835</v>
      </c>
      <c r="P157" s="16">
        <v>1.14661109782382</v>
      </c>
      <c r="Q157" s="16">
        <v>1.14041236586478</v>
      </c>
      <c r="R157" s="15">
        <v>85.594391161122601</v>
      </c>
      <c r="S157" s="15">
        <v>84.390395960727901</v>
      </c>
      <c r="T157" s="15">
        <v>83.941113238824101</v>
      </c>
      <c r="U157" s="11">
        <v>1.07403109155921E-2</v>
      </c>
      <c r="V157" s="11">
        <v>-3.4258430740497598E-3</v>
      </c>
      <c r="W157" s="11">
        <v>-8.7639261329360407E-3</v>
      </c>
      <c r="X157" s="16">
        <v>1.14991852254209</v>
      </c>
      <c r="Y157" s="16">
        <v>1.16233556709835</v>
      </c>
      <c r="Z157" s="16">
        <v>1.14661109782382</v>
      </c>
      <c r="AA157" s="16">
        <v>1.14041236586478</v>
      </c>
      <c r="AB157" s="15">
        <v>85.594391161122601</v>
      </c>
      <c r="AC157" s="15">
        <v>84.390395960727901</v>
      </c>
      <c r="AD157" s="15">
        <v>83.941113238824101</v>
      </c>
      <c r="AE157" s="11">
        <v>1.07403109155921E-2</v>
      </c>
      <c r="AF157" s="11">
        <v>-3.4258430740497598E-3</v>
      </c>
      <c r="AG157" s="11">
        <v>-8.7639261329360407E-3</v>
      </c>
      <c r="BB157">
        <f t="shared" si="42"/>
        <v>1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11">
        <f t="shared" si="46"/>
        <v>-1.6164145041011799E-2</v>
      </c>
      <c r="BH157" s="11">
        <f t="shared" si="47"/>
        <v>1.6513814403198799E-2</v>
      </c>
      <c r="BI157" s="11">
        <f t="shared" si="48"/>
        <v>3.4966936218699951E-4</v>
      </c>
      <c r="BJ157" s="6">
        <f t="shared" si="49"/>
        <v>4.5150554554518461E-2</v>
      </c>
      <c r="BL157" s="11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11">
        <f t="shared" si="54"/>
        <v>0</v>
      </c>
      <c r="BT157" s="11">
        <f t="shared" si="55"/>
        <v>0</v>
      </c>
      <c r="BU157" s="11">
        <f t="shared" si="56"/>
        <v>0</v>
      </c>
      <c r="BV157" s="6">
        <f t="shared" si="57"/>
        <v>1.2315479844673743E-2</v>
      </c>
      <c r="BX157" s="6">
        <f t="shared" si="58"/>
        <v>3.4966936218699951E-4</v>
      </c>
      <c r="BY157" s="6">
        <f t="shared" si="59"/>
        <v>5.7466034399192213E-2</v>
      </c>
    </row>
    <row r="158" spans="1:77" x14ac:dyDescent="0.3">
      <c r="A158" s="1">
        <v>46252</v>
      </c>
      <c r="B158" s="15">
        <v>74.44</v>
      </c>
      <c r="C158" s="15">
        <v>85.58</v>
      </c>
      <c r="D158" s="11">
        <v>1.0805075409172899E-2</v>
      </c>
      <c r="E158" s="11">
        <v>1.05721647220062E-2</v>
      </c>
      <c r="F158" s="15">
        <v>0</v>
      </c>
      <c r="G158" s="15">
        <v>0.69499999999999995</v>
      </c>
      <c r="H158" s="15">
        <v>0</v>
      </c>
      <c r="I158" s="15">
        <v>1.0290999999999999</v>
      </c>
      <c r="J158" s="15">
        <v>0</v>
      </c>
      <c r="K158" s="15">
        <v>0</v>
      </c>
      <c r="L158" s="15">
        <v>74.44</v>
      </c>
      <c r="M158" s="15">
        <v>85.58</v>
      </c>
      <c r="N158" s="16">
        <v>1.1496507254164401</v>
      </c>
      <c r="O158" s="16">
        <v>1.16233556709835</v>
      </c>
      <c r="P158" s="16">
        <v>1.14715451107047</v>
      </c>
      <c r="Q158" s="16">
        <v>1.14115894101249</v>
      </c>
      <c r="R158" s="15">
        <v>86.524259614801295</v>
      </c>
      <c r="S158" s="15">
        <v>85.3537301220058</v>
      </c>
      <c r="T158" s="15">
        <v>84.892296514974603</v>
      </c>
      <c r="U158" s="11">
        <v>1.0973221602758499E-2</v>
      </c>
      <c r="V158" s="11">
        <v>-2.64745887185404E-3</v>
      </c>
      <c r="W158" s="11">
        <v>-8.06825777193672E-3</v>
      </c>
      <c r="X158" s="16">
        <v>1.1496507254164401</v>
      </c>
      <c r="Y158" s="16">
        <v>1.16233556709835</v>
      </c>
      <c r="Z158" s="16">
        <v>1.14715451107047</v>
      </c>
      <c r="AA158" s="16">
        <v>1.14115894101249</v>
      </c>
      <c r="AB158" s="15">
        <v>86.524259614801295</v>
      </c>
      <c r="AC158" s="15">
        <v>85.3537301220058</v>
      </c>
      <c r="AD158" s="15">
        <v>84.892296514974603</v>
      </c>
      <c r="AE158" s="11">
        <v>1.0973221602758499E-2</v>
      </c>
      <c r="AF158" s="11">
        <v>-2.64745887185404E-3</v>
      </c>
      <c r="AG158" s="11">
        <v>-8.06825777193672E-3</v>
      </c>
      <c r="BB158">
        <f t="shared" si="42"/>
        <v>1</v>
      </c>
      <c r="BC158">
        <f t="shared" si="43"/>
        <v>0</v>
      </c>
      <c r="BD158">
        <f t="shared" si="44"/>
        <v>1</v>
      </c>
      <c r="BE158">
        <f t="shared" si="40"/>
        <v>1</v>
      </c>
      <c r="BF158">
        <f t="shared" si="45"/>
        <v>1</v>
      </c>
      <c r="BG158" s="11">
        <f t="shared" si="46"/>
        <v>1.0805075409172899E-2</v>
      </c>
      <c r="BH158" s="11">
        <f t="shared" si="47"/>
        <v>-1.05721647220062E-2</v>
      </c>
      <c r="BI158" s="11">
        <f t="shared" si="48"/>
        <v>2.3291068716669965E-4</v>
      </c>
      <c r="BJ158" s="6">
        <f t="shared" si="49"/>
        <v>4.5383465241685163E-2</v>
      </c>
      <c r="BL158" s="11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11">
        <f t="shared" si="54"/>
        <v>0</v>
      </c>
      <c r="BT158" s="11">
        <f t="shared" si="55"/>
        <v>0</v>
      </c>
      <c r="BU158" s="11">
        <f t="shared" si="56"/>
        <v>0</v>
      </c>
      <c r="BV158" s="6">
        <f t="shared" si="57"/>
        <v>1.2315479844673743E-2</v>
      </c>
      <c r="BX158" s="6">
        <f t="shared" si="58"/>
        <v>2.3291068716669965E-4</v>
      </c>
      <c r="BY158" s="6">
        <f t="shared" si="59"/>
        <v>5.7698945086358915E-2</v>
      </c>
    </row>
    <row r="159" spans="1:77" x14ac:dyDescent="0.3">
      <c r="A159" s="1">
        <v>46253</v>
      </c>
      <c r="B159" s="15">
        <v>75.069999999999993</v>
      </c>
      <c r="C159" s="15">
        <v>86.54</v>
      </c>
      <c r="D159" s="11">
        <v>8.4275798108609003E-3</v>
      </c>
      <c r="E159" s="11">
        <v>1.1155123808068001E-2</v>
      </c>
      <c r="F159" s="15">
        <v>0</v>
      </c>
      <c r="G159" s="15">
        <v>0.69499999999999995</v>
      </c>
      <c r="H159" s="15">
        <v>0</v>
      </c>
      <c r="I159" s="15">
        <v>1.0290999999999999</v>
      </c>
      <c r="J159" s="15">
        <v>0</v>
      </c>
      <c r="K159" s="15">
        <v>0</v>
      </c>
      <c r="L159" s="15">
        <v>75.069999999999993</v>
      </c>
      <c r="M159" s="15">
        <v>86.54</v>
      </c>
      <c r="N159" s="16">
        <v>1.1527907286532499</v>
      </c>
      <c r="O159" s="16">
        <v>1.16233556709835</v>
      </c>
      <c r="P159" s="16">
        <v>1.14827973778195</v>
      </c>
      <c r="Q159" s="16">
        <v>1.14215239796073</v>
      </c>
      <c r="R159" s="15">
        <v>87.256531022073204</v>
      </c>
      <c r="S159" s="15">
        <v>86.116889146060302</v>
      </c>
      <c r="T159" s="15">
        <v>85.666801701808097</v>
      </c>
      <c r="U159" s="11">
        <v>8.2456776055515203E-3</v>
      </c>
      <c r="V159" s="11">
        <v>-4.9011852699981798E-3</v>
      </c>
      <c r="W159" s="11">
        <v>-1.01413622851726E-2</v>
      </c>
      <c r="X159" s="16">
        <v>1.1527907286532499</v>
      </c>
      <c r="Y159" s="16">
        <v>1.16233556709835</v>
      </c>
      <c r="Z159" s="16">
        <v>1.14827973778195</v>
      </c>
      <c r="AA159" s="16">
        <v>1.14215239796073</v>
      </c>
      <c r="AB159" s="15">
        <v>87.256531022073204</v>
      </c>
      <c r="AC159" s="15">
        <v>86.116889146060302</v>
      </c>
      <c r="AD159" s="15">
        <v>85.666801701808097</v>
      </c>
      <c r="AE159" s="11">
        <v>8.2456776055515203E-3</v>
      </c>
      <c r="AF159" s="11">
        <v>-4.9011852699981798E-3</v>
      </c>
      <c r="AG159" s="11">
        <v>-1.01413622851726E-2</v>
      </c>
      <c r="BB159">
        <f t="shared" si="42"/>
        <v>1</v>
      </c>
      <c r="BC159">
        <f t="shared" si="43"/>
        <v>0</v>
      </c>
      <c r="BD159">
        <f t="shared" si="44"/>
        <v>1</v>
      </c>
      <c r="BE159">
        <f t="shared" si="40"/>
        <v>1</v>
      </c>
      <c r="BF159">
        <f t="shared" si="45"/>
        <v>1</v>
      </c>
      <c r="BG159" s="11">
        <f t="shared" si="46"/>
        <v>8.4275798108609003E-3</v>
      </c>
      <c r="BH159" s="11">
        <f t="shared" si="47"/>
        <v>-1.1155123808068001E-2</v>
      </c>
      <c r="BI159" s="11">
        <f t="shared" si="48"/>
        <v>-2.7275439972071006E-3</v>
      </c>
      <c r="BJ159" s="6">
        <f t="shared" si="49"/>
        <v>4.2655921244478062E-2</v>
      </c>
      <c r="BL159" s="11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11">
        <f t="shared" si="54"/>
        <v>0</v>
      </c>
      <c r="BT159" s="11">
        <f t="shared" si="55"/>
        <v>0</v>
      </c>
      <c r="BU159" s="11">
        <f t="shared" si="56"/>
        <v>0</v>
      </c>
      <c r="BV159" s="6">
        <f t="shared" si="57"/>
        <v>1.2315479844673743E-2</v>
      </c>
      <c r="BX159" s="6">
        <f t="shared" si="58"/>
        <v>-2.7275439972071006E-3</v>
      </c>
      <c r="BY159" s="6">
        <f t="shared" si="59"/>
        <v>5.4971401089151814E-2</v>
      </c>
    </row>
    <row r="160" spans="1:77" x14ac:dyDescent="0.3">
      <c r="A160" s="1">
        <v>46254</v>
      </c>
      <c r="B160" s="15">
        <v>74.98</v>
      </c>
      <c r="C160" s="15">
        <v>85.32</v>
      </c>
      <c r="D160" s="11">
        <v>-1.1996002771449299E-3</v>
      </c>
      <c r="E160" s="11">
        <v>-1.4197841193589E-2</v>
      </c>
      <c r="F160" s="15">
        <v>0</v>
      </c>
      <c r="G160" s="15">
        <v>0.69499999999999995</v>
      </c>
      <c r="H160" s="15">
        <v>0</v>
      </c>
      <c r="I160" s="15">
        <v>1.0290999999999999</v>
      </c>
      <c r="J160" s="15">
        <v>0</v>
      </c>
      <c r="K160" s="15">
        <v>0</v>
      </c>
      <c r="L160" s="15">
        <v>74.98</v>
      </c>
      <c r="M160" s="15">
        <v>85.32</v>
      </c>
      <c r="N160" s="16">
        <v>1.1379034409175699</v>
      </c>
      <c r="O160" s="16">
        <v>1.16233556709835</v>
      </c>
      <c r="P160" s="16">
        <v>1.1479050919340701</v>
      </c>
      <c r="Q160" s="16">
        <v>1.1425880775381601</v>
      </c>
      <c r="R160" s="15">
        <v>87.151920821034395</v>
      </c>
      <c r="S160" s="15">
        <v>86.098014738890797</v>
      </c>
      <c r="T160" s="15">
        <v>85.638586799095805</v>
      </c>
      <c r="U160" s="11">
        <v>2.1243918521995701E-2</v>
      </c>
      <c r="V160" s="11">
        <v>9.0774599443883604E-3</v>
      </c>
      <c r="W160" s="11">
        <v>3.72706833687131E-3</v>
      </c>
      <c r="X160" s="16">
        <v>1.1379034409175699</v>
      </c>
      <c r="Y160" s="16">
        <v>1.16233556709835</v>
      </c>
      <c r="Z160" s="16">
        <v>1.1479050919340701</v>
      </c>
      <c r="AA160" s="16">
        <v>1.1425880775381601</v>
      </c>
      <c r="AB160" s="15">
        <v>87.151920821034395</v>
      </c>
      <c r="AC160" s="15">
        <v>86.098014738890797</v>
      </c>
      <c r="AD160" s="15">
        <v>85.638586799095805</v>
      </c>
      <c r="AE160" s="11">
        <v>2.1243918521995701E-2</v>
      </c>
      <c r="AF160" s="11">
        <v>9.0774599443883604E-3</v>
      </c>
      <c r="AG160" s="11">
        <v>3.72706833687131E-3</v>
      </c>
      <c r="BB160">
        <f t="shared" si="42"/>
        <v>0</v>
      </c>
      <c r="BC160">
        <f t="shared" si="43"/>
        <v>1</v>
      </c>
      <c r="BD160">
        <f t="shared" si="44"/>
        <v>1</v>
      </c>
      <c r="BE160">
        <f t="shared" si="40"/>
        <v>1</v>
      </c>
      <c r="BF160">
        <f t="shared" si="45"/>
        <v>1</v>
      </c>
      <c r="BG160" s="11">
        <f t="shared" si="46"/>
        <v>-1.1996002771449299E-3</v>
      </c>
      <c r="BH160" s="11">
        <f t="shared" si="47"/>
        <v>1.4197841193589E-2</v>
      </c>
      <c r="BI160" s="11">
        <f t="shared" si="48"/>
        <v>1.2998240916444069E-2</v>
      </c>
      <c r="BJ160" s="6">
        <f t="shared" si="49"/>
        <v>5.565416216092213E-2</v>
      </c>
      <c r="BL160" s="11"/>
      <c r="BN160">
        <f t="shared" si="50"/>
        <v>1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11">
        <f t="shared" si="54"/>
        <v>0</v>
      </c>
      <c r="BT160" s="11">
        <f t="shared" si="55"/>
        <v>0</v>
      </c>
      <c r="BU160" s="11">
        <f t="shared" si="56"/>
        <v>0</v>
      </c>
      <c r="BV160" s="6">
        <f t="shared" si="57"/>
        <v>1.2315479844673743E-2</v>
      </c>
      <c r="BX160" s="6">
        <f t="shared" si="58"/>
        <v>1.2998240916444069E-2</v>
      </c>
      <c r="BY160" s="6">
        <f t="shared" si="59"/>
        <v>6.7969642005595882E-2</v>
      </c>
    </row>
    <row r="161" spans="1:77" x14ac:dyDescent="0.3">
      <c r="A161" s="1">
        <v>46255</v>
      </c>
      <c r="B161" s="15">
        <v>75.319999999999993</v>
      </c>
      <c r="C161" s="15">
        <v>85.99</v>
      </c>
      <c r="D161" s="11">
        <v>4.5242924811854397E-3</v>
      </c>
      <c r="E161" s="11">
        <v>7.8221168196553094E-3</v>
      </c>
      <c r="F161" s="15">
        <v>0</v>
      </c>
      <c r="G161" s="15">
        <v>0.69499999999999995</v>
      </c>
      <c r="H161" s="15">
        <v>0</v>
      </c>
      <c r="I161" s="15">
        <v>1.0290999999999999</v>
      </c>
      <c r="J161" s="15">
        <v>0</v>
      </c>
      <c r="K161" s="15">
        <v>0</v>
      </c>
      <c r="L161" s="15">
        <v>75.319999999999993</v>
      </c>
      <c r="M161" s="15">
        <v>85.99</v>
      </c>
      <c r="N161" s="16">
        <v>1.14166224110462</v>
      </c>
      <c r="O161" s="16">
        <v>1.16233556709835</v>
      </c>
      <c r="P161" s="16">
        <v>1.14773954975843</v>
      </c>
      <c r="Q161" s="16">
        <v>1.14319294039898</v>
      </c>
      <c r="R161" s="15">
        <v>87.547114913847807</v>
      </c>
      <c r="S161" s="15">
        <v>86.460211524474303</v>
      </c>
      <c r="T161" s="15">
        <v>86.059734000174501</v>
      </c>
      <c r="U161" s="11">
        <v>1.7946094183525801E-2</v>
      </c>
      <c r="V161" s="11">
        <v>5.4533153146631803E-3</v>
      </c>
      <c r="W161" s="11">
        <v>8.1062611806297395E-4</v>
      </c>
      <c r="X161" s="16">
        <v>1.14166224110462</v>
      </c>
      <c r="Y161" s="16">
        <v>1.16233556709835</v>
      </c>
      <c r="Z161" s="16">
        <v>1.14773954975843</v>
      </c>
      <c r="AA161" s="16">
        <v>1.14319294039898</v>
      </c>
      <c r="AB161" s="15">
        <v>87.547114913847807</v>
      </c>
      <c r="AC161" s="15">
        <v>86.460211524474303</v>
      </c>
      <c r="AD161" s="15">
        <v>86.059734000174501</v>
      </c>
      <c r="AE161" s="11">
        <v>1.7946094183525801E-2</v>
      </c>
      <c r="AF161" s="11">
        <v>5.4533153146631803E-3</v>
      </c>
      <c r="AG161" s="11">
        <v>8.1062611806297395E-4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11">
        <f t="shared" si="46"/>
        <v>0</v>
      </c>
      <c r="BH161" s="11">
        <f t="shared" si="47"/>
        <v>0</v>
      </c>
      <c r="BI161" s="11">
        <f t="shared" si="48"/>
        <v>0</v>
      </c>
      <c r="BJ161" s="6">
        <f t="shared" si="49"/>
        <v>5.565416216092213E-2</v>
      </c>
      <c r="BL161" s="11"/>
      <c r="BN161">
        <f t="shared" si="50"/>
        <v>0</v>
      </c>
      <c r="BO161">
        <f t="shared" si="51"/>
        <v>0</v>
      </c>
      <c r="BP161">
        <f t="shared" si="52"/>
        <v>1</v>
      </c>
      <c r="BQ161">
        <f t="shared" si="41"/>
        <v>1</v>
      </c>
      <c r="BR161">
        <f t="shared" si="53"/>
        <v>1</v>
      </c>
      <c r="BS161" s="11">
        <f t="shared" si="54"/>
        <v>-4.5242924811854397E-3</v>
      </c>
      <c r="BT161" s="11">
        <f t="shared" si="55"/>
        <v>7.8221168196553094E-3</v>
      </c>
      <c r="BU161" s="11">
        <f t="shared" si="56"/>
        <v>3.2978243384698697E-3</v>
      </c>
      <c r="BV161" s="6">
        <f t="shared" si="57"/>
        <v>1.5613304183143613E-2</v>
      </c>
      <c r="BX161" s="6">
        <f t="shared" si="58"/>
        <v>3.2978243384698697E-3</v>
      </c>
      <c r="BY161" s="6">
        <f t="shared" si="59"/>
        <v>7.126746634406575E-2</v>
      </c>
    </row>
    <row r="162" spans="1:77" x14ac:dyDescent="0.3">
      <c r="A162" s="1">
        <v>46258</v>
      </c>
      <c r="B162" s="15">
        <v>76.23</v>
      </c>
      <c r="C162" s="15">
        <v>87.45</v>
      </c>
      <c r="D162" s="11">
        <v>1.2009382211230799E-2</v>
      </c>
      <c r="E162" s="11">
        <v>1.6836191041806E-2</v>
      </c>
      <c r="F162" s="15">
        <v>0</v>
      </c>
      <c r="G162" s="15">
        <v>0.69499999999999995</v>
      </c>
      <c r="H162" s="15">
        <v>0</v>
      </c>
      <c r="I162" s="15">
        <v>1.0290999999999999</v>
      </c>
      <c r="J162" s="15">
        <v>0</v>
      </c>
      <c r="K162" s="15">
        <v>0</v>
      </c>
      <c r="L162" s="15">
        <v>76.23</v>
      </c>
      <c r="M162" s="15">
        <v>87.45</v>
      </c>
      <c r="N162" s="16">
        <v>1.14718614718614</v>
      </c>
      <c r="O162" s="16">
        <v>1.16233556709835</v>
      </c>
      <c r="P162" s="16">
        <v>1.1479548621452</v>
      </c>
      <c r="Q162" s="16">
        <v>1.1439249424644</v>
      </c>
      <c r="R162" s="15">
        <v>88.604840279907293</v>
      </c>
      <c r="S162" s="15">
        <v>87.492185878085607</v>
      </c>
      <c r="T162" s="15">
        <v>87.145597846614294</v>
      </c>
      <c r="U162" s="11">
        <v>1.31192853529507E-2</v>
      </c>
      <c r="V162" s="11">
        <v>4.8228366064547801E-4</v>
      </c>
      <c r="W162" s="11">
        <v>-3.48694314827741E-3</v>
      </c>
      <c r="X162" s="16">
        <v>1.14718614718614</v>
      </c>
      <c r="Y162" s="16">
        <v>1.16233556709835</v>
      </c>
      <c r="Z162" s="16">
        <v>1.1479548621452</v>
      </c>
      <c r="AA162" s="16">
        <v>1.1439249424644</v>
      </c>
      <c r="AB162" s="15">
        <v>88.604840279907293</v>
      </c>
      <c r="AC162" s="15">
        <v>87.492185878085607</v>
      </c>
      <c r="AD162" s="15">
        <v>87.145597846614294</v>
      </c>
      <c r="AE162" s="11">
        <v>1.31192853529507E-2</v>
      </c>
      <c r="AF162" s="11">
        <v>4.8228366064547801E-4</v>
      </c>
      <c r="AG162" s="11">
        <v>-3.48694314827741E-3</v>
      </c>
      <c r="BB162">
        <f t="shared" si="42"/>
        <v>1</v>
      </c>
      <c r="BC162">
        <f t="shared" si="43"/>
        <v>0</v>
      </c>
      <c r="BD162">
        <f t="shared" si="44"/>
        <v>0</v>
      </c>
      <c r="BE162">
        <f t="shared" si="40"/>
        <v>1</v>
      </c>
      <c r="BF162">
        <f t="shared" si="45"/>
        <v>0</v>
      </c>
      <c r="BG162" s="11">
        <f t="shared" si="46"/>
        <v>0</v>
      </c>
      <c r="BH162" s="11">
        <f t="shared" si="47"/>
        <v>0</v>
      </c>
      <c r="BI162" s="11">
        <f t="shared" si="48"/>
        <v>0</v>
      </c>
      <c r="BJ162" s="6">
        <f t="shared" si="49"/>
        <v>5.565416216092213E-2</v>
      </c>
      <c r="BL162" s="11"/>
      <c r="BN162">
        <f t="shared" si="50"/>
        <v>0</v>
      </c>
      <c r="BO162">
        <f t="shared" si="51"/>
        <v>1</v>
      </c>
      <c r="BP162">
        <f t="shared" si="52"/>
        <v>1</v>
      </c>
      <c r="BQ162">
        <f t="shared" si="41"/>
        <v>1</v>
      </c>
      <c r="BR162">
        <f t="shared" si="53"/>
        <v>1</v>
      </c>
      <c r="BS162" s="11">
        <f t="shared" si="54"/>
        <v>-1.2009382211230799E-2</v>
      </c>
      <c r="BT162" s="11">
        <f t="shared" si="55"/>
        <v>1.6836191041806E-2</v>
      </c>
      <c r="BU162" s="11">
        <f t="shared" si="56"/>
        <v>4.8268088305752008E-3</v>
      </c>
      <c r="BV162" s="6">
        <f t="shared" si="57"/>
        <v>2.0440113013718814E-2</v>
      </c>
      <c r="BX162" s="6">
        <f t="shared" si="58"/>
        <v>4.8268088305752008E-3</v>
      </c>
      <c r="BY162" s="6">
        <f t="shared" si="59"/>
        <v>7.6094275174640957E-2</v>
      </c>
    </row>
    <row r="163" spans="1:77" x14ac:dyDescent="0.3">
      <c r="A163" s="1">
        <v>46259</v>
      </c>
      <c r="B163" s="15">
        <v>76</v>
      </c>
      <c r="C163" s="15">
        <v>86.52</v>
      </c>
      <c r="D163" s="11">
        <v>-3.0217457138514E-3</v>
      </c>
      <c r="E163" s="11">
        <v>-1.06916003797531E-2</v>
      </c>
      <c r="F163" s="15">
        <v>0</v>
      </c>
      <c r="G163" s="15">
        <v>0.69499999999999995</v>
      </c>
      <c r="H163" s="15">
        <v>0</v>
      </c>
      <c r="I163" s="15">
        <v>1.0290999999999999</v>
      </c>
      <c r="J163" s="15">
        <v>0</v>
      </c>
      <c r="K163" s="15">
        <v>0</v>
      </c>
      <c r="L163" s="15">
        <v>76</v>
      </c>
      <c r="M163" s="15">
        <v>86.52</v>
      </c>
      <c r="N163" s="16">
        <v>1.1384210526315699</v>
      </c>
      <c r="O163" s="16">
        <v>1.16233556709835</v>
      </c>
      <c r="P163" s="16">
        <v>1.1475054694326401</v>
      </c>
      <c r="Q163" s="16">
        <v>1.1443428798311801</v>
      </c>
      <c r="R163" s="15">
        <v>88.337503099474702</v>
      </c>
      <c r="S163" s="15">
        <v>87.244569523035196</v>
      </c>
      <c r="T163" s="15">
        <v>86.938295627294707</v>
      </c>
      <c r="U163" s="11">
        <v>2.0789140018852299E-2</v>
      </c>
      <c r="V163" s="11">
        <v>8.3397176369981608E-3</v>
      </c>
      <c r="W163" s="11">
        <v>4.8230202727548403E-3</v>
      </c>
      <c r="X163" s="16">
        <v>1.1384210526315699</v>
      </c>
      <c r="Y163" s="16">
        <v>1.16233556709835</v>
      </c>
      <c r="Z163" s="16">
        <v>1.1475054694326401</v>
      </c>
      <c r="AA163" s="16">
        <v>1.1443428798311801</v>
      </c>
      <c r="AB163" s="15">
        <v>88.337503099474702</v>
      </c>
      <c r="AC163" s="15">
        <v>87.244569523035196</v>
      </c>
      <c r="AD163" s="15">
        <v>86.938295627294707</v>
      </c>
      <c r="AE163" s="11">
        <v>2.0789140018852299E-2</v>
      </c>
      <c r="AF163" s="11">
        <v>8.3397176369981608E-3</v>
      </c>
      <c r="AG163" s="11">
        <v>4.8230202727548403E-3</v>
      </c>
      <c r="BB163">
        <f t="shared" si="42"/>
        <v>0</v>
      </c>
      <c r="BC163">
        <f t="shared" si="43"/>
        <v>1</v>
      </c>
      <c r="BD163">
        <f t="shared" si="44"/>
        <v>1</v>
      </c>
      <c r="BE163">
        <f t="shared" si="40"/>
        <v>1</v>
      </c>
      <c r="BF163">
        <f t="shared" si="45"/>
        <v>1</v>
      </c>
      <c r="BG163" s="11">
        <f t="shared" si="46"/>
        <v>-3.0217457138514E-3</v>
      </c>
      <c r="BH163" s="11">
        <f t="shared" si="47"/>
        <v>1.06916003797531E-2</v>
      </c>
      <c r="BI163" s="11">
        <f t="shared" si="48"/>
        <v>7.6698546659016995E-3</v>
      </c>
      <c r="BJ163" s="6">
        <f t="shared" si="49"/>
        <v>6.3324016826823828E-2</v>
      </c>
      <c r="BL163" s="11"/>
      <c r="BN163">
        <f t="shared" si="50"/>
        <v>1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11">
        <f t="shared" si="54"/>
        <v>0</v>
      </c>
      <c r="BT163" s="11">
        <f t="shared" si="55"/>
        <v>0</v>
      </c>
      <c r="BU163" s="11">
        <f t="shared" si="56"/>
        <v>0</v>
      </c>
      <c r="BV163" s="6">
        <f t="shared" si="57"/>
        <v>2.0440113013718814E-2</v>
      </c>
      <c r="BX163" s="6">
        <f t="shared" si="58"/>
        <v>7.6698546659016995E-3</v>
      </c>
      <c r="BY163" s="6">
        <f t="shared" si="59"/>
        <v>8.3764129840542656E-2</v>
      </c>
    </row>
    <row r="164" spans="1:77" x14ac:dyDescent="0.3">
      <c r="A164" s="1">
        <v>46260</v>
      </c>
      <c r="B164" s="15">
        <v>75.77</v>
      </c>
      <c r="C164" s="15">
        <v>86.27</v>
      </c>
      <c r="D164" s="11">
        <v>-3.0309043430491399E-3</v>
      </c>
      <c r="E164" s="11">
        <v>-2.8936879963705601E-3</v>
      </c>
      <c r="F164" s="15">
        <v>0</v>
      </c>
      <c r="G164" s="15">
        <v>0.69499999999999995</v>
      </c>
      <c r="H164" s="15">
        <v>0</v>
      </c>
      <c r="I164" s="15">
        <v>1.0290999999999999</v>
      </c>
      <c r="J164" s="15">
        <v>0</v>
      </c>
      <c r="K164" s="15">
        <v>0</v>
      </c>
      <c r="L164" s="15">
        <v>75.77</v>
      </c>
      <c r="M164" s="15">
        <v>86.27</v>
      </c>
      <c r="N164" s="16">
        <v>1.13857727332717</v>
      </c>
      <c r="O164" s="16">
        <v>1.16233556709835</v>
      </c>
      <c r="P164" s="16">
        <v>1.1461878887918999</v>
      </c>
      <c r="Q164" s="16">
        <v>1.14443374740125</v>
      </c>
      <c r="R164" s="15">
        <v>88.070165919042097</v>
      </c>
      <c r="S164" s="15">
        <v>86.946489418911796</v>
      </c>
      <c r="T164" s="15">
        <v>86.706860004808902</v>
      </c>
      <c r="U164" s="11">
        <v>2.0651923672173899E-2</v>
      </c>
      <c r="V164" s="11">
        <v>7.8109521861074302E-3</v>
      </c>
      <c r="W164" s="11">
        <v>5.0510910374504401E-3</v>
      </c>
      <c r="X164" s="16">
        <v>1.13857727332717</v>
      </c>
      <c r="Y164" s="16">
        <v>1.16233556709835</v>
      </c>
      <c r="Z164" s="16">
        <v>1.1461878887918999</v>
      </c>
      <c r="AA164" s="16">
        <v>1.14443374740125</v>
      </c>
      <c r="AB164" s="15">
        <v>88.070165919042097</v>
      </c>
      <c r="AC164" s="15">
        <v>86.946489418911796</v>
      </c>
      <c r="AD164" s="15">
        <v>86.706860004808902</v>
      </c>
      <c r="AE164" s="11">
        <v>2.0651923672173899E-2</v>
      </c>
      <c r="AF164" s="11">
        <v>7.8109521861074302E-3</v>
      </c>
      <c r="AG164" s="11">
        <v>5.0510910374504401E-3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11">
        <f t="shared" si="46"/>
        <v>0</v>
      </c>
      <c r="BH164" s="11">
        <f t="shared" si="47"/>
        <v>0</v>
      </c>
      <c r="BI164" s="11">
        <f t="shared" si="48"/>
        <v>0</v>
      </c>
      <c r="BJ164" s="6">
        <f t="shared" si="49"/>
        <v>6.3324016826823828E-2</v>
      </c>
      <c r="BL164" s="11"/>
      <c r="BN164">
        <f t="shared" si="50"/>
        <v>1</v>
      </c>
      <c r="BO164">
        <f t="shared" si="51"/>
        <v>0</v>
      </c>
      <c r="BP164">
        <f t="shared" si="52"/>
        <v>1</v>
      </c>
      <c r="BQ164">
        <f t="shared" si="41"/>
        <v>1</v>
      </c>
      <c r="BR164">
        <f t="shared" si="53"/>
        <v>1</v>
      </c>
      <c r="BS164" s="11">
        <f t="shared" si="54"/>
        <v>3.0309043430491399E-3</v>
      </c>
      <c r="BT164" s="11">
        <f t="shared" si="55"/>
        <v>-2.8936879963705601E-3</v>
      </c>
      <c r="BU164" s="11">
        <f t="shared" si="56"/>
        <v>1.3721634667857984E-4</v>
      </c>
      <c r="BV164" s="6">
        <f t="shared" si="57"/>
        <v>2.0577329360397394E-2</v>
      </c>
      <c r="BX164" s="6">
        <f t="shared" si="58"/>
        <v>1.3721634667857984E-4</v>
      </c>
      <c r="BY164" s="6">
        <f t="shared" si="59"/>
        <v>8.390134618722124E-2</v>
      </c>
    </row>
    <row r="165" spans="1:77" x14ac:dyDescent="0.3">
      <c r="A165" s="1">
        <v>46261</v>
      </c>
      <c r="B165" s="15">
        <v>74.69</v>
      </c>
      <c r="C165" s="15">
        <v>85.08</v>
      </c>
      <c r="D165" s="11">
        <v>-1.4356221574306599E-2</v>
      </c>
      <c r="E165" s="11">
        <v>-1.3889922756450899E-2</v>
      </c>
      <c r="F165" s="15">
        <v>0</v>
      </c>
      <c r="G165" s="15">
        <v>0.69499999999999995</v>
      </c>
      <c r="H165" s="15">
        <v>0</v>
      </c>
      <c r="I165" s="15">
        <v>1.0290999999999999</v>
      </c>
      <c r="J165" s="15">
        <v>0</v>
      </c>
      <c r="K165" s="15">
        <v>0</v>
      </c>
      <c r="L165" s="15">
        <v>74.69</v>
      </c>
      <c r="M165" s="15">
        <v>85.08</v>
      </c>
      <c r="N165" s="16">
        <v>1.1391083143660401</v>
      </c>
      <c r="O165" s="16">
        <v>1.16233556709835</v>
      </c>
      <c r="P165" s="16">
        <v>1.1445539130271001</v>
      </c>
      <c r="Q165" s="16">
        <v>1.1446663067351599</v>
      </c>
      <c r="R165" s="15">
        <v>86.814843506575897</v>
      </c>
      <c r="S165" s="15">
        <v>85.608773413866999</v>
      </c>
      <c r="T165" s="15">
        <v>85.477756593399604</v>
      </c>
      <c r="U165" s="11">
        <v>2.0185624854318299E-2</v>
      </c>
      <c r="V165" s="11">
        <v>6.19578071624811E-3</v>
      </c>
      <c r="W165" s="11">
        <v>4.6641949616833501E-3</v>
      </c>
      <c r="X165" s="16">
        <v>1.1391083143660401</v>
      </c>
      <c r="Y165" s="16">
        <v>1.16233556709835</v>
      </c>
      <c r="Z165" s="16">
        <v>1.1445539130271001</v>
      </c>
      <c r="AA165" s="16">
        <v>1.1446663067351599</v>
      </c>
      <c r="AB165" s="15">
        <v>86.814843506575897</v>
      </c>
      <c r="AC165" s="15">
        <v>85.608773413866999</v>
      </c>
      <c r="AD165" s="15">
        <v>85.477756593399604</v>
      </c>
      <c r="AE165" s="11">
        <v>2.0185624854318299E-2</v>
      </c>
      <c r="AF165" s="11">
        <v>6.19578071624811E-3</v>
      </c>
      <c r="AG165" s="11">
        <v>4.6641949616833501E-3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11">
        <f t="shared" si="46"/>
        <v>0</v>
      </c>
      <c r="BH165" s="11">
        <f t="shared" si="47"/>
        <v>0</v>
      </c>
      <c r="BI165" s="11">
        <f t="shared" si="48"/>
        <v>0</v>
      </c>
      <c r="BJ165" s="6">
        <f t="shared" si="49"/>
        <v>6.3324016826823828E-2</v>
      </c>
      <c r="BL165" s="11"/>
      <c r="BN165">
        <f t="shared" si="50"/>
        <v>1</v>
      </c>
      <c r="BO165">
        <f t="shared" si="51"/>
        <v>0</v>
      </c>
      <c r="BP165">
        <f t="shared" si="52"/>
        <v>1</v>
      </c>
      <c r="BQ165">
        <f t="shared" si="41"/>
        <v>1</v>
      </c>
      <c r="BR165">
        <f t="shared" si="53"/>
        <v>1</v>
      </c>
      <c r="BS165" s="11">
        <f t="shared" si="54"/>
        <v>1.4356221574306599E-2</v>
      </c>
      <c r="BT165" s="11">
        <f t="shared" si="55"/>
        <v>-1.3889922756450899E-2</v>
      </c>
      <c r="BU165" s="11">
        <f t="shared" si="56"/>
        <v>4.6629881785570024E-4</v>
      </c>
      <c r="BV165" s="6">
        <f t="shared" si="57"/>
        <v>2.1043628178253095E-2</v>
      </c>
      <c r="BX165" s="6">
        <f t="shared" si="58"/>
        <v>4.6629881785570024E-4</v>
      </c>
      <c r="BY165" s="6">
        <f t="shared" si="59"/>
        <v>8.4367645005076944E-2</v>
      </c>
    </row>
    <row r="166" spans="1:77" x14ac:dyDescent="0.3">
      <c r="A166" s="1">
        <v>46262</v>
      </c>
      <c r="B166" s="15">
        <v>75.16</v>
      </c>
      <c r="C166" s="15">
        <v>85.45</v>
      </c>
      <c r="D166" s="11">
        <v>6.2729601762892204E-3</v>
      </c>
      <c r="E166" s="11">
        <v>4.3394192295634999E-3</v>
      </c>
      <c r="F166" s="15">
        <v>0</v>
      </c>
      <c r="G166" s="15">
        <v>0.69499999999999995</v>
      </c>
      <c r="H166" s="15">
        <v>0</v>
      </c>
      <c r="I166" s="15">
        <v>1.0290999999999999</v>
      </c>
      <c r="J166" s="15">
        <v>0</v>
      </c>
      <c r="K166" s="15">
        <v>0</v>
      </c>
      <c r="L166" s="15">
        <v>75.16</v>
      </c>
      <c r="M166" s="15">
        <v>85.45</v>
      </c>
      <c r="N166" s="16">
        <v>1.1369079297498601</v>
      </c>
      <c r="O166" s="16">
        <v>1.16233556709835</v>
      </c>
      <c r="P166" s="16">
        <v>1.14321263758948</v>
      </c>
      <c r="Q166" s="16">
        <v>1.14459922998925</v>
      </c>
      <c r="R166" s="15">
        <v>87.361141223112099</v>
      </c>
      <c r="S166" s="15">
        <v>86.024672103117396</v>
      </c>
      <c r="T166" s="15">
        <v>86.033119614214996</v>
      </c>
      <c r="U166" s="11">
        <v>2.21191658010438E-2</v>
      </c>
      <c r="V166" s="11">
        <v>6.7027304682680602E-3</v>
      </c>
      <c r="W166" s="11">
        <v>6.8009243485923198E-3</v>
      </c>
      <c r="X166" s="16">
        <v>1.1369079297498601</v>
      </c>
      <c r="Y166" s="16">
        <v>1.16233556709835</v>
      </c>
      <c r="Z166" s="16">
        <v>1.14321263758948</v>
      </c>
      <c r="AA166" s="16">
        <v>1.14459922998925</v>
      </c>
      <c r="AB166" s="15">
        <v>87.361141223112099</v>
      </c>
      <c r="AC166" s="15">
        <v>86.024672103117396</v>
      </c>
      <c r="AD166" s="15">
        <v>86.033119614214996</v>
      </c>
      <c r="AE166" s="11">
        <v>2.21191658010438E-2</v>
      </c>
      <c r="AF166" s="11">
        <v>6.7027304682680602E-3</v>
      </c>
      <c r="AG166" s="11">
        <v>6.8009243485923198E-3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11">
        <f t="shared" si="46"/>
        <v>0</v>
      </c>
      <c r="BH166" s="11">
        <f t="shared" si="47"/>
        <v>0</v>
      </c>
      <c r="BI166" s="11">
        <f t="shared" si="48"/>
        <v>0</v>
      </c>
      <c r="BJ166" s="6">
        <f t="shared" si="49"/>
        <v>6.3324016826823828E-2</v>
      </c>
      <c r="BL166" s="11"/>
      <c r="BN166">
        <f t="shared" si="50"/>
        <v>1</v>
      </c>
      <c r="BO166">
        <f t="shared" si="51"/>
        <v>0</v>
      </c>
      <c r="BP166">
        <f t="shared" si="52"/>
        <v>1</v>
      </c>
      <c r="BQ166">
        <f t="shared" si="41"/>
        <v>1</v>
      </c>
      <c r="BR166">
        <f t="shared" si="53"/>
        <v>1</v>
      </c>
      <c r="BS166" s="11">
        <f t="shared" si="54"/>
        <v>-6.2729601762892204E-3</v>
      </c>
      <c r="BT166" s="11">
        <f t="shared" si="55"/>
        <v>4.3394192295634999E-3</v>
      </c>
      <c r="BU166" s="11">
        <f t="shared" si="56"/>
        <v>-1.9335409467257205E-3</v>
      </c>
      <c r="BV166" s="6">
        <f t="shared" si="57"/>
        <v>1.9110087231527375E-2</v>
      </c>
      <c r="BX166" s="6">
        <f t="shared" si="58"/>
        <v>-1.9335409467257205E-3</v>
      </c>
      <c r="BY166" s="6">
        <f t="shared" si="59"/>
        <v>8.2434104058351221E-2</v>
      </c>
    </row>
    <row r="167" spans="1:77" x14ac:dyDescent="0.3">
      <c r="A167" s="1">
        <v>46265</v>
      </c>
      <c r="B167" s="15">
        <v>74.66</v>
      </c>
      <c r="C167" s="15">
        <v>84.98</v>
      </c>
      <c r="D167" s="11">
        <v>-6.6747010588267602E-3</v>
      </c>
      <c r="E167" s="11">
        <v>-5.5154748749343396E-3</v>
      </c>
      <c r="F167" s="15">
        <v>0</v>
      </c>
      <c r="G167" s="15">
        <v>0.69499999999999995</v>
      </c>
      <c r="H167" s="15">
        <v>0</v>
      </c>
      <c r="I167" s="15">
        <v>1.0290999999999999</v>
      </c>
      <c r="J167" s="15">
        <v>0</v>
      </c>
      <c r="K167" s="15">
        <v>0</v>
      </c>
      <c r="L167" s="15">
        <v>74.66</v>
      </c>
      <c r="M167" s="15">
        <v>84.98</v>
      </c>
      <c r="N167" s="16">
        <v>1.13822662737744</v>
      </c>
      <c r="O167" s="16">
        <v>1.16233556709835</v>
      </c>
      <c r="P167" s="16">
        <v>1.1420434480730099</v>
      </c>
      <c r="Q167" s="16">
        <v>1.14432727294842</v>
      </c>
      <c r="R167" s="15">
        <v>86.779973439562895</v>
      </c>
      <c r="S167" s="15">
        <v>85.352255522430596</v>
      </c>
      <c r="T167" s="15">
        <v>85.455778510997604</v>
      </c>
      <c r="U167" s="11">
        <v>2.09599396171514E-2</v>
      </c>
      <c r="V167" s="11">
        <v>4.3709409466148597E-3</v>
      </c>
      <c r="W167" s="11">
        <v>5.5830970589263703E-3</v>
      </c>
      <c r="X167" s="16">
        <v>1.13822662737744</v>
      </c>
      <c r="Y167" s="16">
        <v>1.16233556709835</v>
      </c>
      <c r="Z167" s="16">
        <v>1.1420434480730099</v>
      </c>
      <c r="AA167" s="16">
        <v>1.14432727294842</v>
      </c>
      <c r="AB167" s="15">
        <v>86.779973439562895</v>
      </c>
      <c r="AC167" s="15">
        <v>85.352255522430596</v>
      </c>
      <c r="AD167" s="15">
        <v>85.455778510997604</v>
      </c>
      <c r="AE167" s="11">
        <v>2.09599396171514E-2</v>
      </c>
      <c r="AF167" s="11">
        <v>4.3709409466148597E-3</v>
      </c>
      <c r="AG167" s="11">
        <v>5.5830970589263703E-3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11">
        <f t="shared" si="46"/>
        <v>0</v>
      </c>
      <c r="BH167" s="11">
        <f t="shared" si="47"/>
        <v>0</v>
      </c>
      <c r="BI167" s="11">
        <f t="shared" si="48"/>
        <v>0</v>
      </c>
      <c r="BJ167" s="6">
        <f t="shared" si="49"/>
        <v>6.3324016826823828E-2</v>
      </c>
      <c r="BL167" s="11"/>
      <c r="BN167">
        <f t="shared" si="50"/>
        <v>1</v>
      </c>
      <c r="BO167">
        <f t="shared" si="51"/>
        <v>0</v>
      </c>
      <c r="BP167">
        <f t="shared" si="52"/>
        <v>1</v>
      </c>
      <c r="BQ167">
        <f t="shared" si="41"/>
        <v>1</v>
      </c>
      <c r="BR167">
        <f t="shared" si="53"/>
        <v>1</v>
      </c>
      <c r="BS167" s="11">
        <f t="shared" si="54"/>
        <v>6.6747010588267602E-3</v>
      </c>
      <c r="BT167" s="11">
        <f t="shared" si="55"/>
        <v>-5.5154748749343396E-3</v>
      </c>
      <c r="BU167" s="11">
        <f t="shared" si="56"/>
        <v>1.1592261838924206E-3</v>
      </c>
      <c r="BV167" s="6">
        <f t="shared" si="57"/>
        <v>2.0269313415419796E-2</v>
      </c>
      <c r="BX167" s="6">
        <f t="shared" si="58"/>
        <v>1.1592261838924206E-3</v>
      </c>
      <c r="BY167" s="6">
        <f t="shared" si="59"/>
        <v>8.3593330242243635E-2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IYK_XLP_0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2026-09-03T18:31:59Z</dcterms:created>
  <dcterms:modified xsi:type="dcterms:W3CDTF">2026-09-03T20:03:58Z</dcterms:modified>
</cp:coreProperties>
</file>