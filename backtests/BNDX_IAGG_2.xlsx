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AE762F8A-8D66-461D-874E-011EE1A03C5B}" xr6:coauthVersionLast="47" xr6:coauthVersionMax="47" xr10:uidLastSave="{00000000-0000-0000-0000-000000000000}"/>
  <bookViews>
    <workbookView xWindow="-120" yWindow="-120" windowWidth="29040" windowHeight="15720" xr2:uid="{F02B1CF7-B121-4E0C-AC9B-DD503EB45B4D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X174" i="1"/>
  <c r="AV174" i="1"/>
  <c r="AU174" i="1"/>
  <c r="AY175" i="1" s="1"/>
  <c r="AM174" i="1"/>
  <c r="AK174" i="1"/>
  <c r="AJ174" i="1"/>
  <c r="AX173" i="1"/>
  <c r="AV173" i="1"/>
  <c r="AU173" i="1"/>
  <c r="AM173" i="1"/>
  <c r="AK173" i="1"/>
  <c r="AJ173" i="1"/>
  <c r="AX172" i="1"/>
  <c r="AV172" i="1"/>
  <c r="AU172" i="1"/>
  <c r="AY173" i="1" s="1"/>
  <c r="AM172" i="1"/>
  <c r="AK172" i="1"/>
  <c r="AJ172" i="1"/>
  <c r="AN173" i="1" s="1"/>
  <c r="AX171" i="1"/>
  <c r="AV171" i="1"/>
  <c r="AU171" i="1"/>
  <c r="AY172" i="1" s="1"/>
  <c r="AM171" i="1"/>
  <c r="AK171" i="1"/>
  <c r="AJ171" i="1"/>
  <c r="AX170" i="1"/>
  <c r="AV170" i="1"/>
  <c r="AU170" i="1"/>
  <c r="AY171" i="1" s="1"/>
  <c r="AM170" i="1"/>
  <c r="AK170" i="1"/>
  <c r="AJ170" i="1"/>
  <c r="AN171" i="1" s="1"/>
  <c r="AX169" i="1"/>
  <c r="AV169" i="1"/>
  <c r="AU169" i="1"/>
  <c r="AY170" i="1" s="1"/>
  <c r="AM169" i="1"/>
  <c r="AK169" i="1"/>
  <c r="AJ169" i="1"/>
  <c r="AX168" i="1"/>
  <c r="AV168" i="1"/>
  <c r="AU168" i="1"/>
  <c r="AY169" i="1" s="1"/>
  <c r="AM168" i="1"/>
  <c r="AK168" i="1"/>
  <c r="AJ168" i="1"/>
  <c r="AX167" i="1"/>
  <c r="AV167" i="1"/>
  <c r="AU167" i="1"/>
  <c r="AY168" i="1" s="1"/>
  <c r="AM167" i="1"/>
  <c r="AK167" i="1"/>
  <c r="AJ167" i="1"/>
  <c r="AX166" i="1"/>
  <c r="AV166" i="1"/>
  <c r="AU166" i="1"/>
  <c r="AM166" i="1"/>
  <c r="AK166" i="1"/>
  <c r="AJ166" i="1"/>
  <c r="AN167" i="1" s="1"/>
  <c r="AX165" i="1"/>
  <c r="AV165" i="1"/>
  <c r="AU165" i="1"/>
  <c r="AM165" i="1"/>
  <c r="AK165" i="1"/>
  <c r="AJ165" i="1"/>
  <c r="AN166" i="1" s="1"/>
  <c r="AX164" i="1"/>
  <c r="AV164" i="1"/>
  <c r="AU164" i="1"/>
  <c r="AM164" i="1"/>
  <c r="AK164" i="1"/>
  <c r="AJ164" i="1"/>
  <c r="AX163" i="1"/>
  <c r="AV163" i="1"/>
  <c r="AU163" i="1"/>
  <c r="AM163" i="1"/>
  <c r="AK163" i="1"/>
  <c r="AJ163" i="1"/>
  <c r="AX162" i="1"/>
  <c r="AV162" i="1"/>
  <c r="AU162" i="1"/>
  <c r="AM162" i="1"/>
  <c r="AK162" i="1"/>
  <c r="AJ162" i="1"/>
  <c r="AX161" i="1"/>
  <c r="AV161" i="1"/>
  <c r="AU161" i="1"/>
  <c r="AY162" i="1" s="1"/>
  <c r="AM161" i="1"/>
  <c r="AK161" i="1"/>
  <c r="AJ161" i="1"/>
  <c r="AN162" i="1" s="1"/>
  <c r="AX160" i="1"/>
  <c r="AV160" i="1"/>
  <c r="AU160" i="1"/>
  <c r="AY161" i="1" s="1"/>
  <c r="AM160" i="1"/>
  <c r="AK160" i="1"/>
  <c r="AJ160" i="1"/>
  <c r="AX159" i="1"/>
  <c r="AV159" i="1"/>
  <c r="AU159" i="1"/>
  <c r="AY160" i="1" s="1"/>
  <c r="AM159" i="1"/>
  <c r="AK159" i="1"/>
  <c r="AJ159" i="1"/>
  <c r="AX158" i="1"/>
  <c r="AV158" i="1"/>
  <c r="AU158" i="1"/>
  <c r="AY159" i="1" s="1"/>
  <c r="AM158" i="1"/>
  <c r="AK158" i="1"/>
  <c r="AJ158" i="1"/>
  <c r="AX157" i="1"/>
  <c r="AV157" i="1"/>
  <c r="AU157" i="1"/>
  <c r="AY158" i="1" s="1"/>
  <c r="AM157" i="1"/>
  <c r="AK157" i="1"/>
  <c r="AJ157" i="1"/>
  <c r="AX156" i="1"/>
  <c r="AV156" i="1"/>
  <c r="AU156" i="1"/>
  <c r="AY157" i="1" s="1"/>
  <c r="AM156" i="1"/>
  <c r="AK156" i="1"/>
  <c r="AJ156" i="1"/>
  <c r="AX155" i="1"/>
  <c r="AV155" i="1"/>
  <c r="AU155" i="1"/>
  <c r="AY156" i="1" s="1"/>
  <c r="AM155" i="1"/>
  <c r="AK155" i="1"/>
  <c r="AJ155" i="1"/>
  <c r="AX154" i="1"/>
  <c r="AV154" i="1"/>
  <c r="AU154" i="1"/>
  <c r="AY155" i="1" s="1"/>
  <c r="AM154" i="1"/>
  <c r="AK154" i="1"/>
  <c r="AJ154" i="1"/>
  <c r="AN155" i="1" s="1"/>
  <c r="AX153" i="1"/>
  <c r="AV153" i="1"/>
  <c r="AU153" i="1"/>
  <c r="AY154" i="1" s="1"/>
  <c r="AM153" i="1"/>
  <c r="AK153" i="1"/>
  <c r="AJ153" i="1"/>
  <c r="AX152" i="1"/>
  <c r="AV152" i="1"/>
  <c r="AU152" i="1"/>
  <c r="AY153" i="1" s="1"/>
  <c r="AM152" i="1"/>
  <c r="AK152" i="1"/>
  <c r="AJ152" i="1"/>
  <c r="AX151" i="1"/>
  <c r="AV151" i="1"/>
  <c r="AU151" i="1"/>
  <c r="AY152" i="1" s="1"/>
  <c r="AM151" i="1"/>
  <c r="AK151" i="1"/>
  <c r="AJ151" i="1"/>
  <c r="AX150" i="1"/>
  <c r="AV150" i="1"/>
  <c r="AU150" i="1"/>
  <c r="AY151" i="1" s="1"/>
  <c r="AM150" i="1"/>
  <c r="AK150" i="1"/>
  <c r="AJ150" i="1"/>
  <c r="AN151" i="1" s="1"/>
  <c r="AX149" i="1"/>
  <c r="AV149" i="1"/>
  <c r="AU149" i="1"/>
  <c r="AM149" i="1"/>
  <c r="AK149" i="1"/>
  <c r="AJ149" i="1"/>
  <c r="AX148" i="1"/>
  <c r="AV148" i="1"/>
  <c r="AU148" i="1"/>
  <c r="AM148" i="1"/>
  <c r="AK148" i="1"/>
  <c r="AJ148" i="1"/>
  <c r="AN149" i="1" s="1"/>
  <c r="AX147" i="1"/>
  <c r="AV147" i="1"/>
  <c r="AU147" i="1"/>
  <c r="AM147" i="1"/>
  <c r="AK147" i="1"/>
  <c r="AJ147" i="1"/>
  <c r="AN148" i="1" s="1"/>
  <c r="AX146" i="1"/>
  <c r="AV146" i="1"/>
  <c r="AU146" i="1"/>
  <c r="AY147" i="1" s="1"/>
  <c r="AM146" i="1"/>
  <c r="AK146" i="1"/>
  <c r="AJ146" i="1"/>
  <c r="AX145" i="1"/>
  <c r="AV145" i="1"/>
  <c r="AU145" i="1"/>
  <c r="AY146" i="1" s="1"/>
  <c r="AM145" i="1"/>
  <c r="AK145" i="1"/>
  <c r="AJ145" i="1"/>
  <c r="AN146" i="1" s="1"/>
  <c r="AX144" i="1"/>
  <c r="AV144" i="1"/>
  <c r="AU144" i="1"/>
  <c r="AY145" i="1" s="1"/>
  <c r="AM144" i="1"/>
  <c r="AK144" i="1"/>
  <c r="AJ144" i="1"/>
  <c r="AX143" i="1"/>
  <c r="AV143" i="1"/>
  <c r="AU143" i="1"/>
  <c r="AM143" i="1"/>
  <c r="AK143" i="1"/>
  <c r="AJ143" i="1"/>
  <c r="AN144" i="1" s="1"/>
  <c r="AX142" i="1"/>
  <c r="AV142" i="1"/>
  <c r="AU142" i="1"/>
  <c r="AM142" i="1"/>
  <c r="AK142" i="1"/>
  <c r="AJ142" i="1"/>
  <c r="AN143" i="1" s="1"/>
  <c r="AX141" i="1"/>
  <c r="AV141" i="1"/>
  <c r="AU141" i="1"/>
  <c r="AY142" i="1" s="1"/>
  <c r="AM141" i="1"/>
  <c r="AK141" i="1"/>
  <c r="AJ141" i="1"/>
  <c r="AX140" i="1"/>
  <c r="AV140" i="1"/>
  <c r="AU140" i="1"/>
  <c r="AY141" i="1" s="1"/>
  <c r="AM140" i="1"/>
  <c r="AK140" i="1"/>
  <c r="AJ140" i="1"/>
  <c r="AX139" i="1"/>
  <c r="AV139" i="1"/>
  <c r="AU139" i="1"/>
  <c r="AY140" i="1" s="1"/>
  <c r="AM139" i="1"/>
  <c r="AK139" i="1"/>
  <c r="AJ139" i="1"/>
  <c r="AX138" i="1"/>
  <c r="AV138" i="1"/>
  <c r="AU138" i="1"/>
  <c r="AM138" i="1"/>
  <c r="AK138" i="1"/>
  <c r="AJ138" i="1"/>
  <c r="AX137" i="1"/>
  <c r="AV137" i="1"/>
  <c r="AU137" i="1"/>
  <c r="AY138" i="1" s="1"/>
  <c r="AM137" i="1"/>
  <c r="AK137" i="1"/>
  <c r="AJ137" i="1"/>
  <c r="AX136" i="1"/>
  <c r="AV136" i="1"/>
  <c r="AU136" i="1"/>
  <c r="AY137" i="1" s="1"/>
  <c r="AM136" i="1"/>
  <c r="AK136" i="1"/>
  <c r="AJ136" i="1"/>
  <c r="AX135" i="1"/>
  <c r="AV135" i="1"/>
  <c r="AU135" i="1"/>
  <c r="AY136" i="1" s="1"/>
  <c r="AM135" i="1"/>
  <c r="AK135" i="1"/>
  <c r="AJ135" i="1"/>
  <c r="AX134" i="1"/>
  <c r="AV134" i="1"/>
  <c r="AU134" i="1"/>
  <c r="AY135" i="1" s="1"/>
  <c r="AM134" i="1"/>
  <c r="AK134" i="1"/>
  <c r="AJ134" i="1"/>
  <c r="AX133" i="1"/>
  <c r="AV133" i="1"/>
  <c r="AU133" i="1"/>
  <c r="AY134" i="1" s="1"/>
  <c r="AM133" i="1"/>
  <c r="AK133" i="1"/>
  <c r="AJ133" i="1"/>
  <c r="AX132" i="1"/>
  <c r="AV132" i="1"/>
  <c r="AU132" i="1"/>
  <c r="AY133" i="1" s="1"/>
  <c r="AM132" i="1"/>
  <c r="AK132" i="1"/>
  <c r="AJ132" i="1"/>
  <c r="AX131" i="1"/>
  <c r="AV131" i="1"/>
  <c r="AU131" i="1"/>
  <c r="AY132" i="1" s="1"/>
  <c r="AM131" i="1"/>
  <c r="AK131" i="1"/>
  <c r="AJ131" i="1"/>
  <c r="AX130" i="1"/>
  <c r="AV130" i="1"/>
  <c r="AU130" i="1"/>
  <c r="AY131" i="1" s="1"/>
  <c r="AM130" i="1"/>
  <c r="AK130" i="1"/>
  <c r="AJ130" i="1"/>
  <c r="AX129" i="1"/>
  <c r="AV129" i="1"/>
  <c r="AU129" i="1"/>
  <c r="AY130" i="1" s="1"/>
  <c r="AM129" i="1"/>
  <c r="AK129" i="1"/>
  <c r="AJ129" i="1"/>
  <c r="AX128" i="1"/>
  <c r="AV128" i="1"/>
  <c r="AU128" i="1"/>
  <c r="AY129" i="1" s="1"/>
  <c r="AM128" i="1"/>
  <c r="AK128" i="1"/>
  <c r="AJ128" i="1"/>
  <c r="AX127" i="1"/>
  <c r="AV127" i="1"/>
  <c r="AU127" i="1"/>
  <c r="AY128" i="1" s="1"/>
  <c r="AM127" i="1"/>
  <c r="AK127" i="1"/>
  <c r="AJ127" i="1"/>
  <c r="AX126" i="1"/>
  <c r="AV126" i="1"/>
  <c r="AU126" i="1"/>
  <c r="AY127" i="1" s="1"/>
  <c r="AM126" i="1"/>
  <c r="AK126" i="1"/>
  <c r="AJ126" i="1"/>
  <c r="AX125" i="1"/>
  <c r="AV125" i="1"/>
  <c r="AU125" i="1"/>
  <c r="AY126" i="1" s="1"/>
  <c r="AM125" i="1"/>
  <c r="AK125" i="1"/>
  <c r="AJ125" i="1"/>
  <c r="AX124" i="1"/>
  <c r="AV124" i="1"/>
  <c r="AU124" i="1"/>
  <c r="AM124" i="1"/>
  <c r="AK124" i="1"/>
  <c r="AJ124" i="1"/>
  <c r="AX123" i="1"/>
  <c r="AV123" i="1"/>
  <c r="AU123" i="1"/>
  <c r="AM123" i="1"/>
  <c r="AK123" i="1"/>
  <c r="AJ123" i="1"/>
  <c r="AN124" i="1" s="1"/>
  <c r="AX122" i="1"/>
  <c r="AV122" i="1"/>
  <c r="AU122" i="1"/>
  <c r="AM122" i="1"/>
  <c r="AK122" i="1"/>
  <c r="AJ122" i="1"/>
  <c r="AX121" i="1"/>
  <c r="AV121" i="1"/>
  <c r="AU121" i="1"/>
  <c r="AM121" i="1"/>
  <c r="AK121" i="1"/>
  <c r="AJ121" i="1"/>
  <c r="AX120" i="1"/>
  <c r="AV120" i="1"/>
  <c r="AU120" i="1"/>
  <c r="AM120" i="1"/>
  <c r="AK120" i="1"/>
  <c r="AJ120" i="1"/>
  <c r="AX119" i="1"/>
  <c r="AV119" i="1"/>
  <c r="AU119" i="1"/>
  <c r="AM119" i="1"/>
  <c r="AK119" i="1"/>
  <c r="AJ119" i="1"/>
  <c r="AX118" i="1"/>
  <c r="AV118" i="1"/>
  <c r="AU118" i="1"/>
  <c r="AY119" i="1" s="1"/>
  <c r="AM118" i="1"/>
  <c r="AK118" i="1"/>
  <c r="AJ118" i="1"/>
  <c r="AX117" i="1"/>
  <c r="AV117" i="1"/>
  <c r="AU117" i="1"/>
  <c r="AM117" i="1"/>
  <c r="AK117" i="1"/>
  <c r="AJ117" i="1"/>
  <c r="AX116" i="1"/>
  <c r="AV116" i="1"/>
  <c r="AU116" i="1"/>
  <c r="AM116" i="1"/>
  <c r="AK116" i="1"/>
  <c r="AJ116" i="1"/>
  <c r="AN117" i="1" s="1"/>
  <c r="AX115" i="1"/>
  <c r="AV115" i="1"/>
  <c r="AU115" i="1"/>
  <c r="AM115" i="1"/>
  <c r="AK115" i="1"/>
  <c r="AJ115" i="1"/>
  <c r="AX114" i="1"/>
  <c r="AV114" i="1"/>
  <c r="AU114" i="1"/>
  <c r="AM114" i="1"/>
  <c r="AK114" i="1"/>
  <c r="AJ114" i="1"/>
  <c r="AX113" i="1"/>
  <c r="AV113" i="1"/>
  <c r="AU113" i="1"/>
  <c r="AM113" i="1"/>
  <c r="AK113" i="1"/>
  <c r="AJ113" i="1"/>
  <c r="AX112" i="1"/>
  <c r="AV112" i="1"/>
  <c r="AU112" i="1"/>
  <c r="AM112" i="1"/>
  <c r="AK112" i="1"/>
  <c r="AJ112" i="1"/>
  <c r="AN113" i="1" s="1"/>
  <c r="AX111" i="1"/>
  <c r="AV111" i="1"/>
  <c r="AU111" i="1"/>
  <c r="AY112" i="1" s="1"/>
  <c r="AM111" i="1"/>
  <c r="AK111" i="1"/>
  <c r="AJ111" i="1"/>
  <c r="AX110" i="1"/>
  <c r="AV110" i="1"/>
  <c r="AU110" i="1"/>
  <c r="AM110" i="1"/>
  <c r="AK110" i="1"/>
  <c r="AJ110" i="1"/>
  <c r="AX109" i="1"/>
  <c r="AV109" i="1"/>
  <c r="AU109" i="1"/>
  <c r="AM109" i="1"/>
  <c r="AK109" i="1"/>
  <c r="AJ109" i="1"/>
  <c r="AX108" i="1"/>
  <c r="AV108" i="1"/>
  <c r="AU108" i="1"/>
  <c r="AM108" i="1"/>
  <c r="AK108" i="1"/>
  <c r="AJ108" i="1"/>
  <c r="AN109" i="1" s="1"/>
  <c r="AX107" i="1"/>
  <c r="AV107" i="1"/>
  <c r="AU107" i="1"/>
  <c r="AY108" i="1" s="1"/>
  <c r="AM107" i="1"/>
  <c r="AK107" i="1"/>
  <c r="AJ107" i="1"/>
  <c r="AX106" i="1"/>
  <c r="AV106" i="1"/>
  <c r="AU106" i="1"/>
  <c r="AY107" i="1" s="1"/>
  <c r="AM106" i="1"/>
  <c r="AK106" i="1"/>
  <c r="AJ106" i="1"/>
  <c r="AX105" i="1"/>
  <c r="AV105" i="1"/>
  <c r="AU105" i="1"/>
  <c r="AM105" i="1"/>
  <c r="AK105" i="1"/>
  <c r="AJ105" i="1"/>
  <c r="AN106" i="1" s="1"/>
  <c r="AX104" i="1"/>
  <c r="AV104" i="1"/>
  <c r="AU104" i="1"/>
  <c r="AM104" i="1"/>
  <c r="AK104" i="1"/>
  <c r="AJ104" i="1"/>
  <c r="AN105" i="1" s="1"/>
  <c r="AX103" i="1"/>
  <c r="AV103" i="1"/>
  <c r="AU103" i="1"/>
  <c r="AM103" i="1"/>
  <c r="AK103" i="1"/>
  <c r="AJ103" i="1"/>
  <c r="AN104" i="1" s="1"/>
  <c r="AX102" i="1"/>
  <c r="AV102" i="1"/>
  <c r="AU102" i="1"/>
  <c r="AM102" i="1"/>
  <c r="AK102" i="1"/>
  <c r="AJ102" i="1"/>
  <c r="AX101" i="1"/>
  <c r="AV101" i="1"/>
  <c r="AU101" i="1"/>
  <c r="AM101" i="1"/>
  <c r="AK101" i="1"/>
  <c r="AJ101" i="1"/>
  <c r="AN102" i="1" s="1"/>
  <c r="AX100" i="1"/>
  <c r="AV100" i="1"/>
  <c r="AU100" i="1"/>
  <c r="AM100" i="1"/>
  <c r="AK100" i="1"/>
  <c r="AJ100" i="1"/>
  <c r="AN101" i="1" s="1"/>
  <c r="AX99" i="1"/>
  <c r="AV99" i="1"/>
  <c r="AU99" i="1"/>
  <c r="AM99" i="1"/>
  <c r="AK99" i="1"/>
  <c r="AJ99" i="1"/>
  <c r="AX98" i="1"/>
  <c r="AV98" i="1"/>
  <c r="AU98" i="1"/>
  <c r="AM98" i="1"/>
  <c r="AK98" i="1"/>
  <c r="AJ98" i="1"/>
  <c r="AX97" i="1"/>
  <c r="AV97" i="1"/>
  <c r="AU97" i="1"/>
  <c r="AY98" i="1" s="1"/>
  <c r="AM97" i="1"/>
  <c r="AK97" i="1"/>
  <c r="AJ97" i="1"/>
  <c r="AX96" i="1"/>
  <c r="AV96" i="1"/>
  <c r="AU96" i="1"/>
  <c r="AY97" i="1" s="1"/>
  <c r="AM96" i="1"/>
  <c r="AK96" i="1"/>
  <c r="AJ96" i="1"/>
  <c r="AX95" i="1"/>
  <c r="AV95" i="1"/>
  <c r="AU95" i="1"/>
  <c r="AM95" i="1"/>
  <c r="AK95" i="1"/>
  <c r="AJ95" i="1"/>
  <c r="AX94" i="1"/>
  <c r="AV94" i="1"/>
  <c r="AU94" i="1"/>
  <c r="AY95" i="1" s="1"/>
  <c r="AM94" i="1"/>
  <c r="AK94" i="1"/>
  <c r="AJ94" i="1"/>
  <c r="AX93" i="1"/>
  <c r="AV93" i="1"/>
  <c r="AU93" i="1"/>
  <c r="AM93" i="1"/>
  <c r="AK93" i="1"/>
  <c r="AJ93" i="1"/>
  <c r="AX92" i="1"/>
  <c r="AV92" i="1"/>
  <c r="AU92" i="1"/>
  <c r="AY93" i="1" s="1"/>
  <c r="AM92" i="1"/>
  <c r="AK92" i="1"/>
  <c r="AJ92" i="1"/>
  <c r="AX91" i="1"/>
  <c r="AV91" i="1"/>
  <c r="AU91" i="1"/>
  <c r="AM91" i="1"/>
  <c r="AK91" i="1"/>
  <c r="AJ91" i="1"/>
  <c r="AX90" i="1"/>
  <c r="AV90" i="1"/>
  <c r="AU90" i="1"/>
  <c r="AM90" i="1"/>
  <c r="AK90" i="1"/>
  <c r="AJ90" i="1"/>
  <c r="AN91" i="1" s="1"/>
  <c r="AX89" i="1"/>
  <c r="AV89" i="1"/>
  <c r="AU89" i="1"/>
  <c r="AM89" i="1"/>
  <c r="AK89" i="1"/>
  <c r="AJ89" i="1"/>
  <c r="AX88" i="1"/>
  <c r="AV88" i="1"/>
  <c r="AU88" i="1"/>
  <c r="AM88" i="1"/>
  <c r="AK88" i="1"/>
  <c r="AJ88" i="1"/>
  <c r="AN89" i="1" s="1"/>
  <c r="AX87" i="1"/>
  <c r="AV87" i="1"/>
  <c r="AU87" i="1"/>
  <c r="AM87" i="1"/>
  <c r="AK87" i="1"/>
  <c r="AJ87" i="1"/>
  <c r="AX86" i="1"/>
  <c r="AV86" i="1"/>
  <c r="AU86" i="1"/>
  <c r="AM86" i="1"/>
  <c r="AK86" i="1"/>
  <c r="AJ86" i="1"/>
  <c r="AN87" i="1" s="1"/>
  <c r="AX85" i="1"/>
  <c r="AV85" i="1"/>
  <c r="AU85" i="1"/>
  <c r="AY86" i="1" s="1"/>
  <c r="AM85" i="1"/>
  <c r="AK85" i="1"/>
  <c r="AJ85" i="1"/>
  <c r="AX84" i="1"/>
  <c r="AV84" i="1"/>
  <c r="AU84" i="1"/>
  <c r="AM84" i="1"/>
  <c r="AK84" i="1"/>
  <c r="AJ84" i="1"/>
  <c r="AN85" i="1" s="1"/>
  <c r="AX83" i="1"/>
  <c r="AV83" i="1"/>
  <c r="AU83" i="1"/>
  <c r="AM83" i="1"/>
  <c r="AK83" i="1"/>
  <c r="AJ83" i="1"/>
  <c r="AX82" i="1"/>
  <c r="AV82" i="1"/>
  <c r="AU82" i="1"/>
  <c r="AY83" i="1" s="1"/>
  <c r="AM82" i="1"/>
  <c r="AK82" i="1"/>
  <c r="AJ82" i="1"/>
  <c r="AX81" i="1"/>
  <c r="AV81" i="1"/>
  <c r="AU81" i="1"/>
  <c r="AM81" i="1"/>
  <c r="AK81" i="1"/>
  <c r="AJ81" i="1"/>
  <c r="AN82" i="1" s="1"/>
  <c r="AX80" i="1"/>
  <c r="AV80" i="1"/>
  <c r="AU80" i="1"/>
  <c r="AM80" i="1"/>
  <c r="AK80" i="1"/>
  <c r="AJ80" i="1"/>
  <c r="AN81" i="1" s="1"/>
  <c r="AX79" i="1"/>
  <c r="AV79" i="1"/>
  <c r="AU79" i="1"/>
  <c r="AY80" i="1" s="1"/>
  <c r="AM79" i="1"/>
  <c r="AK79" i="1"/>
  <c r="AJ79" i="1"/>
  <c r="AN80" i="1" s="1"/>
  <c r="AX78" i="1"/>
  <c r="AV78" i="1"/>
  <c r="AU78" i="1"/>
  <c r="AM78" i="1"/>
  <c r="AK78" i="1"/>
  <c r="AJ78" i="1"/>
  <c r="AN79" i="1" s="1"/>
  <c r="AX77" i="1"/>
  <c r="AV77" i="1"/>
  <c r="AU77" i="1"/>
  <c r="AM77" i="1"/>
  <c r="AK77" i="1"/>
  <c r="AJ77" i="1"/>
  <c r="AN78" i="1" s="1"/>
  <c r="AX76" i="1"/>
  <c r="AV76" i="1"/>
  <c r="AU76" i="1"/>
  <c r="AM76" i="1"/>
  <c r="AK76" i="1"/>
  <c r="AJ76" i="1"/>
  <c r="AX75" i="1"/>
  <c r="AV75" i="1"/>
  <c r="AU75" i="1"/>
  <c r="AM75" i="1"/>
  <c r="AK75" i="1"/>
  <c r="AJ75" i="1"/>
  <c r="AN76" i="1" s="1"/>
  <c r="AX74" i="1"/>
  <c r="AV74" i="1"/>
  <c r="AU74" i="1"/>
  <c r="AM74" i="1"/>
  <c r="AK74" i="1"/>
  <c r="AJ74" i="1"/>
  <c r="AN75" i="1" s="1"/>
  <c r="AX73" i="1"/>
  <c r="AV73" i="1"/>
  <c r="AU73" i="1"/>
  <c r="AM73" i="1"/>
  <c r="AK73" i="1"/>
  <c r="AJ73" i="1"/>
  <c r="AX72" i="1"/>
  <c r="AV72" i="1"/>
  <c r="AU72" i="1"/>
  <c r="AM72" i="1"/>
  <c r="AK72" i="1"/>
  <c r="AJ72" i="1"/>
  <c r="AN73" i="1" s="1"/>
  <c r="AX71" i="1"/>
  <c r="AV71" i="1"/>
  <c r="AU71" i="1"/>
  <c r="AM71" i="1"/>
  <c r="AK71" i="1"/>
  <c r="AJ71" i="1"/>
  <c r="AX70" i="1"/>
  <c r="AV70" i="1"/>
  <c r="AU70" i="1"/>
  <c r="AM70" i="1"/>
  <c r="AK70" i="1"/>
  <c r="AJ70" i="1"/>
  <c r="AN71" i="1" s="1"/>
  <c r="AX69" i="1"/>
  <c r="AV69" i="1"/>
  <c r="AU69" i="1"/>
  <c r="AY70" i="1" s="1"/>
  <c r="AM69" i="1"/>
  <c r="AK69" i="1"/>
  <c r="AJ69" i="1"/>
  <c r="AX68" i="1"/>
  <c r="AV68" i="1"/>
  <c r="AU68" i="1"/>
  <c r="AY69" i="1" s="1"/>
  <c r="AM68" i="1"/>
  <c r="AK68" i="1"/>
  <c r="AJ68" i="1"/>
  <c r="AX67" i="1"/>
  <c r="AV67" i="1"/>
  <c r="AU67" i="1"/>
  <c r="AM67" i="1"/>
  <c r="AK67" i="1"/>
  <c r="AJ67" i="1"/>
  <c r="AX66" i="1"/>
  <c r="AV66" i="1"/>
  <c r="AU66" i="1"/>
  <c r="AY67" i="1" s="1"/>
  <c r="AM66" i="1"/>
  <c r="AK66" i="1"/>
  <c r="AJ66" i="1"/>
  <c r="AX65" i="1"/>
  <c r="AV65" i="1"/>
  <c r="AU65" i="1"/>
  <c r="AM65" i="1"/>
  <c r="AK65" i="1"/>
  <c r="AJ65" i="1"/>
  <c r="AX64" i="1"/>
  <c r="AV64" i="1"/>
  <c r="AU64" i="1"/>
  <c r="AY65" i="1" s="1"/>
  <c r="AM64" i="1"/>
  <c r="AK64" i="1"/>
  <c r="AJ64" i="1"/>
  <c r="AX63" i="1"/>
  <c r="AV63" i="1"/>
  <c r="AU63" i="1"/>
  <c r="AM63" i="1"/>
  <c r="AK63" i="1"/>
  <c r="AJ63" i="1"/>
  <c r="AX62" i="1"/>
  <c r="AV62" i="1"/>
  <c r="AU62" i="1"/>
  <c r="AY63" i="1" s="1"/>
  <c r="AM62" i="1"/>
  <c r="AK62" i="1"/>
  <c r="AJ62" i="1"/>
  <c r="AX61" i="1"/>
  <c r="AV61" i="1"/>
  <c r="AU61" i="1"/>
  <c r="AY62" i="1" s="1"/>
  <c r="AM61" i="1"/>
  <c r="AK61" i="1"/>
  <c r="AJ61" i="1"/>
  <c r="AX60" i="1"/>
  <c r="AV60" i="1"/>
  <c r="AU60" i="1"/>
  <c r="AY61" i="1" s="1"/>
  <c r="AM60" i="1"/>
  <c r="AK60" i="1"/>
  <c r="AJ60" i="1"/>
  <c r="AX59" i="1"/>
  <c r="AV59" i="1"/>
  <c r="AU59" i="1"/>
  <c r="AY60" i="1" s="1"/>
  <c r="AM59" i="1"/>
  <c r="AK59" i="1"/>
  <c r="AJ59" i="1"/>
  <c r="AX58" i="1"/>
  <c r="AV58" i="1"/>
  <c r="AU58" i="1"/>
  <c r="AY59" i="1" s="1"/>
  <c r="AM58" i="1"/>
  <c r="AK58" i="1"/>
  <c r="AJ58" i="1"/>
  <c r="AX57" i="1"/>
  <c r="AV57" i="1"/>
  <c r="AU57" i="1"/>
  <c r="AY58" i="1" s="1"/>
  <c r="AM57" i="1"/>
  <c r="AK57" i="1"/>
  <c r="AJ57" i="1"/>
  <c r="AX56" i="1"/>
  <c r="AV56" i="1"/>
  <c r="AU56" i="1"/>
  <c r="AY57" i="1" s="1"/>
  <c r="AM56" i="1"/>
  <c r="AK56" i="1"/>
  <c r="AJ56" i="1"/>
  <c r="AX55" i="1"/>
  <c r="AV55" i="1"/>
  <c r="AU55" i="1"/>
  <c r="AM55" i="1"/>
  <c r="AK55" i="1"/>
  <c r="AJ55" i="1"/>
  <c r="AX54" i="1"/>
  <c r="AV54" i="1"/>
  <c r="AU54" i="1"/>
  <c r="AY55" i="1" s="1"/>
  <c r="AM54" i="1"/>
  <c r="AK54" i="1"/>
  <c r="AJ54" i="1"/>
  <c r="AX53" i="1"/>
  <c r="AV53" i="1"/>
  <c r="AU53" i="1"/>
  <c r="AY54" i="1" s="1"/>
  <c r="AM53" i="1"/>
  <c r="AK53" i="1"/>
  <c r="AJ53" i="1"/>
  <c r="AX52" i="1"/>
  <c r="AV52" i="1"/>
  <c r="AU52" i="1"/>
  <c r="AY53" i="1" s="1"/>
  <c r="AM52" i="1"/>
  <c r="AK52" i="1"/>
  <c r="AJ52" i="1"/>
  <c r="AX51" i="1"/>
  <c r="AV51" i="1"/>
  <c r="AU51" i="1"/>
  <c r="AY52" i="1" s="1"/>
  <c r="AM51" i="1"/>
  <c r="AK51" i="1"/>
  <c r="AJ51" i="1"/>
  <c r="AX50" i="1"/>
  <c r="AV50" i="1"/>
  <c r="AU50" i="1"/>
  <c r="AY51" i="1" s="1"/>
  <c r="AM50" i="1"/>
  <c r="AK50" i="1"/>
  <c r="AJ50" i="1"/>
  <c r="AX49" i="1"/>
  <c r="AV49" i="1"/>
  <c r="AU49" i="1"/>
  <c r="AM49" i="1"/>
  <c r="AK49" i="1"/>
  <c r="AJ49" i="1"/>
  <c r="AX48" i="1"/>
  <c r="AV48" i="1"/>
  <c r="AU48" i="1"/>
  <c r="AY49" i="1" s="1"/>
  <c r="AM48" i="1"/>
  <c r="AK48" i="1"/>
  <c r="AJ48" i="1"/>
  <c r="AX47" i="1"/>
  <c r="AV47" i="1"/>
  <c r="AU47" i="1"/>
  <c r="AY48" i="1" s="1"/>
  <c r="AM47" i="1"/>
  <c r="AK47" i="1"/>
  <c r="AJ47" i="1"/>
  <c r="AX46" i="1"/>
  <c r="AV46" i="1"/>
  <c r="AU46" i="1"/>
  <c r="AM46" i="1"/>
  <c r="AK46" i="1"/>
  <c r="AJ46" i="1"/>
  <c r="AX45" i="1"/>
  <c r="AV45" i="1"/>
  <c r="AU45" i="1"/>
  <c r="AM45" i="1"/>
  <c r="AK45" i="1"/>
  <c r="AJ45" i="1"/>
  <c r="AX44" i="1"/>
  <c r="AV44" i="1"/>
  <c r="AU44" i="1"/>
  <c r="AY45" i="1" s="1"/>
  <c r="AM44" i="1"/>
  <c r="AK44" i="1"/>
  <c r="AJ44" i="1"/>
  <c r="AX43" i="1"/>
  <c r="AV43" i="1"/>
  <c r="AU43" i="1"/>
  <c r="AY44" i="1" s="1"/>
  <c r="AM43" i="1"/>
  <c r="AK43" i="1"/>
  <c r="AJ43" i="1"/>
  <c r="AX42" i="1"/>
  <c r="AV42" i="1"/>
  <c r="AU42" i="1"/>
  <c r="AM42" i="1"/>
  <c r="AK42" i="1"/>
  <c r="AJ42" i="1"/>
  <c r="AX41" i="1"/>
  <c r="AV41" i="1"/>
  <c r="AU41" i="1"/>
  <c r="AM41" i="1"/>
  <c r="AK41" i="1"/>
  <c r="AJ41" i="1"/>
  <c r="AX40" i="1"/>
  <c r="AV40" i="1"/>
  <c r="AU40" i="1"/>
  <c r="AM40" i="1"/>
  <c r="AK40" i="1"/>
  <c r="AJ40" i="1"/>
  <c r="AX39" i="1"/>
  <c r="AV39" i="1"/>
  <c r="AU39" i="1"/>
  <c r="AM39" i="1"/>
  <c r="AK39" i="1"/>
  <c r="AJ39" i="1"/>
  <c r="AX38" i="1"/>
  <c r="AV38" i="1"/>
  <c r="AU38" i="1"/>
  <c r="AM38" i="1"/>
  <c r="AK38" i="1"/>
  <c r="AJ38" i="1"/>
  <c r="AX37" i="1"/>
  <c r="AV37" i="1"/>
  <c r="AU37" i="1"/>
  <c r="AM37" i="1"/>
  <c r="AK37" i="1"/>
  <c r="AJ37" i="1"/>
  <c r="AX36" i="1"/>
  <c r="AV36" i="1"/>
  <c r="AU36" i="1"/>
  <c r="AM36" i="1"/>
  <c r="AK36" i="1"/>
  <c r="AJ36" i="1"/>
  <c r="AX35" i="1"/>
  <c r="AV35" i="1"/>
  <c r="AU35" i="1"/>
  <c r="AM35" i="1"/>
  <c r="AK35" i="1"/>
  <c r="AJ35" i="1"/>
  <c r="AN36" i="1" s="1"/>
  <c r="AX34" i="1"/>
  <c r="AV34" i="1"/>
  <c r="AU34" i="1"/>
  <c r="AM34" i="1"/>
  <c r="AK34" i="1"/>
  <c r="AJ34" i="1"/>
  <c r="AX33" i="1"/>
  <c r="AV33" i="1"/>
  <c r="AU33" i="1"/>
  <c r="AM33" i="1"/>
  <c r="AK33" i="1"/>
  <c r="AJ33" i="1"/>
  <c r="AX32" i="1"/>
  <c r="AV32" i="1"/>
  <c r="AU32" i="1"/>
  <c r="AM32" i="1"/>
  <c r="AK32" i="1"/>
  <c r="AJ32" i="1"/>
  <c r="AX31" i="1"/>
  <c r="AV31" i="1"/>
  <c r="AU31" i="1"/>
  <c r="AM31" i="1"/>
  <c r="AK31" i="1"/>
  <c r="AJ31" i="1"/>
  <c r="AX30" i="1"/>
  <c r="AV30" i="1"/>
  <c r="AU30" i="1"/>
  <c r="AM30" i="1"/>
  <c r="AK30" i="1"/>
  <c r="AJ30" i="1"/>
  <c r="AX29" i="1"/>
  <c r="AV29" i="1"/>
  <c r="AU29" i="1"/>
  <c r="AM29" i="1"/>
  <c r="AK29" i="1"/>
  <c r="AJ29" i="1"/>
  <c r="AX28" i="1"/>
  <c r="AV28" i="1"/>
  <c r="AU28" i="1"/>
  <c r="AM28" i="1"/>
  <c r="AK28" i="1"/>
  <c r="AJ28" i="1"/>
  <c r="AN29" i="1" s="1"/>
  <c r="AX27" i="1"/>
  <c r="AV27" i="1"/>
  <c r="AU27" i="1"/>
  <c r="AM27" i="1"/>
  <c r="AK27" i="1"/>
  <c r="AJ27" i="1"/>
  <c r="AX26" i="1"/>
  <c r="AV26" i="1"/>
  <c r="AU26" i="1"/>
  <c r="AM26" i="1"/>
  <c r="AK26" i="1"/>
  <c r="AJ26" i="1"/>
  <c r="AN27" i="1" s="1"/>
  <c r="AX25" i="1"/>
  <c r="AV25" i="1"/>
  <c r="AU25" i="1"/>
  <c r="AM25" i="1"/>
  <c r="AK25" i="1"/>
  <c r="AJ25" i="1"/>
  <c r="AN26" i="1" s="1"/>
  <c r="AX24" i="1"/>
  <c r="AV24" i="1"/>
  <c r="AU24" i="1"/>
  <c r="AM24" i="1"/>
  <c r="AK24" i="1"/>
  <c r="AJ24" i="1"/>
  <c r="AN25" i="1" s="1"/>
  <c r="AX23" i="1"/>
  <c r="AV23" i="1"/>
  <c r="AU23" i="1"/>
  <c r="AY24" i="1" s="1"/>
  <c r="AM23" i="1"/>
  <c r="AK23" i="1"/>
  <c r="AJ23" i="1"/>
  <c r="AX22" i="1"/>
  <c r="AW22" i="1"/>
  <c r="AV22" i="1"/>
  <c r="AU22" i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174" i="1" l="1"/>
  <c r="AY66" i="1"/>
  <c r="AY56" i="1"/>
  <c r="AY46" i="1"/>
  <c r="AY90" i="1"/>
  <c r="AY50" i="1"/>
  <c r="AY23" i="1"/>
  <c r="AY96" i="1"/>
  <c r="AY64" i="1"/>
  <c r="AY47" i="1"/>
  <c r="AY167" i="1"/>
  <c r="AY163" i="1"/>
  <c r="AY144" i="1"/>
  <c r="AY139" i="1"/>
  <c r="AY118" i="1"/>
  <c r="AY111" i="1"/>
  <c r="AY92" i="1"/>
  <c r="AY91" i="1"/>
  <c r="AY125" i="1"/>
  <c r="AN145" i="1"/>
  <c r="AN164" i="1"/>
  <c r="AN160" i="1"/>
  <c r="AN156" i="1"/>
  <c r="AN154" i="1"/>
  <c r="AN125" i="1"/>
  <c r="AN123" i="1"/>
  <c r="AN120" i="1"/>
  <c r="AN90" i="1"/>
  <c r="AN88" i="1"/>
  <c r="AN70" i="1"/>
  <c r="AN37" i="1"/>
  <c r="AN64" i="1"/>
  <c r="AN30" i="1"/>
  <c r="AN110" i="1"/>
  <c r="AN99" i="1"/>
  <c r="AN94" i="1"/>
  <c r="AN77" i="1"/>
  <c r="AN67" i="1"/>
  <c r="AN43" i="1"/>
  <c r="AN39" i="1"/>
  <c r="AN35" i="1"/>
  <c r="AN28" i="1"/>
  <c r="AN114" i="1"/>
  <c r="AN107" i="1"/>
  <c r="AN68" i="1"/>
  <c r="AN42" i="1"/>
  <c r="AN31" i="1"/>
  <c r="AN115" i="1"/>
  <c r="AN103" i="1"/>
  <c r="AN24" i="1"/>
  <c r="AN131" i="1"/>
  <c r="AN111" i="1"/>
  <c r="AN108" i="1"/>
  <c r="AN98" i="1"/>
  <c r="AN53" i="1"/>
  <c r="AN34" i="1"/>
  <c r="AN165" i="1"/>
  <c r="AN163" i="1"/>
  <c r="AN153" i="1"/>
  <c r="AN152" i="1"/>
  <c r="AN147" i="1"/>
  <c r="AN121" i="1"/>
  <c r="AL121" i="1" s="1"/>
  <c r="AN116" i="1"/>
  <c r="AN100" i="1"/>
  <c r="AN93" i="1"/>
  <c r="AN86" i="1"/>
  <c r="AN84" i="1"/>
  <c r="AN72" i="1"/>
  <c r="AN69" i="1"/>
  <c r="AN65" i="1"/>
  <c r="AN40" i="1"/>
  <c r="AN38" i="1"/>
  <c r="AN32" i="1"/>
  <c r="AN172" i="1"/>
  <c r="AN74" i="1"/>
  <c r="AN41" i="1"/>
  <c r="AY99" i="1"/>
  <c r="AN122" i="1"/>
  <c r="AN33" i="1"/>
  <c r="AN150" i="1"/>
  <c r="BA176" i="1"/>
  <c r="AZ176" i="1"/>
  <c r="AW176" i="1"/>
  <c r="BA175" i="1"/>
  <c r="AW175" i="1"/>
  <c r="AZ175" i="1"/>
  <c r="BB175" i="1" s="1"/>
  <c r="BA174" i="1"/>
  <c r="AZ174" i="1"/>
  <c r="AW174" i="1"/>
  <c r="BA173" i="1"/>
  <c r="AZ173" i="1"/>
  <c r="BB173" i="1" s="1"/>
  <c r="AW173" i="1"/>
  <c r="AP173" i="1"/>
  <c r="AO173" i="1"/>
  <c r="AQ173" i="1" s="1"/>
  <c r="BE173" i="1" s="1"/>
  <c r="AL173" i="1"/>
  <c r="AN174" i="1" s="1"/>
  <c r="BA172" i="1"/>
  <c r="AZ172" i="1"/>
  <c r="AW172" i="1"/>
  <c r="AP172" i="1"/>
  <c r="AL172" i="1"/>
  <c r="AO172" i="1"/>
  <c r="AQ172" i="1" s="1"/>
  <c r="BA171" i="1"/>
  <c r="AW171" i="1"/>
  <c r="AZ171" i="1"/>
  <c r="BB171" i="1" s="1"/>
  <c r="AP171" i="1"/>
  <c r="AL171" i="1"/>
  <c r="AO171" i="1"/>
  <c r="AQ171" i="1" s="1"/>
  <c r="AW170" i="1"/>
  <c r="AZ170" i="1"/>
  <c r="BA170" i="1"/>
  <c r="BA169" i="1"/>
  <c r="AZ169" i="1"/>
  <c r="BB169" i="1" s="1"/>
  <c r="AW169" i="1"/>
  <c r="BA168" i="1"/>
  <c r="AZ168" i="1"/>
  <c r="BB168" i="1" s="1"/>
  <c r="AW168" i="1"/>
  <c r="BA167" i="1"/>
  <c r="AW167" i="1"/>
  <c r="AZ167" i="1"/>
  <c r="BB167" i="1" s="1"/>
  <c r="AP167" i="1"/>
  <c r="AL167" i="1"/>
  <c r="AN168" i="1" s="1"/>
  <c r="AO167" i="1"/>
  <c r="AQ167" i="1" s="1"/>
  <c r="AP166" i="1"/>
  <c r="AL166" i="1"/>
  <c r="AO166" i="1"/>
  <c r="AO165" i="1"/>
  <c r="AP165" i="1"/>
  <c r="AL165" i="1"/>
  <c r="AL164" i="1"/>
  <c r="AO164" i="1"/>
  <c r="AP164" i="1"/>
  <c r="AZ163" i="1"/>
  <c r="AW163" i="1"/>
  <c r="AY164" i="1" s="1"/>
  <c r="BA163" i="1"/>
  <c r="AO163" i="1"/>
  <c r="AL163" i="1"/>
  <c r="AP163" i="1"/>
  <c r="AW162" i="1"/>
  <c r="AZ162" i="1"/>
  <c r="BA162" i="1"/>
  <c r="AL162" i="1"/>
  <c r="AO162" i="1"/>
  <c r="AP162" i="1"/>
  <c r="AZ161" i="1"/>
  <c r="AW161" i="1"/>
  <c r="BA161" i="1"/>
  <c r="BA160" i="1"/>
  <c r="AW160" i="1"/>
  <c r="AZ160" i="1"/>
  <c r="BB160" i="1" s="1"/>
  <c r="AP160" i="1"/>
  <c r="AL160" i="1"/>
  <c r="AN161" i="1" s="1"/>
  <c r="AO160" i="1"/>
  <c r="AQ160" i="1" s="1"/>
  <c r="BA159" i="1"/>
  <c r="AZ159" i="1"/>
  <c r="BB159" i="1" s="1"/>
  <c r="AW159" i="1"/>
  <c r="AZ158" i="1"/>
  <c r="AW158" i="1"/>
  <c r="BA158" i="1"/>
  <c r="AZ157" i="1"/>
  <c r="BA157" i="1"/>
  <c r="AW157" i="1"/>
  <c r="AW156" i="1"/>
  <c r="AZ156" i="1"/>
  <c r="BA156" i="1"/>
  <c r="AP156" i="1"/>
  <c r="AL156" i="1"/>
  <c r="AN157" i="1" s="1"/>
  <c r="AO156" i="1"/>
  <c r="AQ156" i="1" s="1"/>
  <c r="BA155" i="1"/>
  <c r="AW155" i="1"/>
  <c r="AZ155" i="1"/>
  <c r="BB155" i="1" s="1"/>
  <c r="AL155" i="1"/>
  <c r="AP155" i="1"/>
  <c r="AO155" i="1"/>
  <c r="AQ155" i="1" s="1"/>
  <c r="BE155" i="1" s="1"/>
  <c r="BA154" i="1"/>
  <c r="AW154" i="1"/>
  <c r="AZ154" i="1"/>
  <c r="BB154" i="1" s="1"/>
  <c r="AP154" i="1"/>
  <c r="AL154" i="1"/>
  <c r="AO154" i="1"/>
  <c r="AQ154" i="1" s="1"/>
  <c r="AZ153" i="1"/>
  <c r="BA153" i="1"/>
  <c r="AW153" i="1"/>
  <c r="AO153" i="1"/>
  <c r="AL153" i="1"/>
  <c r="AP153" i="1"/>
  <c r="AZ152" i="1"/>
  <c r="BA152" i="1"/>
  <c r="AW152" i="1"/>
  <c r="AP152" i="1"/>
  <c r="AO152" i="1"/>
  <c r="AQ152" i="1" s="1"/>
  <c r="AL152" i="1"/>
  <c r="AZ151" i="1"/>
  <c r="AW151" i="1"/>
  <c r="BA151" i="1"/>
  <c r="AO151" i="1"/>
  <c r="AL151" i="1"/>
  <c r="AP151" i="1"/>
  <c r="AL150" i="1"/>
  <c r="AO150" i="1"/>
  <c r="AP150" i="1"/>
  <c r="AP149" i="1"/>
  <c r="AO149" i="1"/>
  <c r="AQ149" i="1" s="1"/>
  <c r="AL149" i="1"/>
  <c r="AO148" i="1"/>
  <c r="AP148" i="1"/>
  <c r="AL148" i="1"/>
  <c r="BA147" i="1"/>
  <c r="AW147" i="1"/>
  <c r="AY148" i="1" s="1"/>
  <c r="AZ147" i="1"/>
  <c r="BB147" i="1" s="1"/>
  <c r="AO147" i="1"/>
  <c r="AP147" i="1"/>
  <c r="AL147" i="1"/>
  <c r="BA146" i="1"/>
  <c r="AZ146" i="1"/>
  <c r="BB146" i="1" s="1"/>
  <c r="AW146" i="1"/>
  <c r="AL146" i="1"/>
  <c r="AO146" i="1"/>
  <c r="AP146" i="1"/>
  <c r="AZ145" i="1"/>
  <c r="AW145" i="1"/>
  <c r="BA145" i="1"/>
  <c r="AL145" i="1"/>
  <c r="AP145" i="1"/>
  <c r="AO145" i="1"/>
  <c r="AQ145" i="1" s="1"/>
  <c r="AZ144" i="1"/>
  <c r="AW144" i="1"/>
  <c r="BA144" i="1"/>
  <c r="AO144" i="1"/>
  <c r="AL144" i="1"/>
  <c r="AP144" i="1"/>
  <c r="AO143" i="1"/>
  <c r="AL143" i="1"/>
  <c r="AP143" i="1"/>
  <c r="AZ142" i="1"/>
  <c r="BA142" i="1"/>
  <c r="AW142" i="1"/>
  <c r="AY143" i="1" s="1"/>
  <c r="AW141" i="1"/>
  <c r="BA141" i="1"/>
  <c r="AZ141" i="1"/>
  <c r="BB141" i="1" s="1"/>
  <c r="BA140" i="1"/>
  <c r="AW140" i="1"/>
  <c r="AZ140" i="1"/>
  <c r="BB140" i="1" s="1"/>
  <c r="AW139" i="1"/>
  <c r="AZ139" i="1"/>
  <c r="BA139" i="1"/>
  <c r="AW138" i="1"/>
  <c r="BA138" i="1"/>
  <c r="AZ138" i="1"/>
  <c r="BB138" i="1" s="1"/>
  <c r="BA137" i="1"/>
  <c r="AZ137" i="1"/>
  <c r="BB137" i="1" s="1"/>
  <c r="AW137" i="1"/>
  <c r="AW136" i="1"/>
  <c r="AZ136" i="1"/>
  <c r="BA136" i="1"/>
  <c r="BA135" i="1"/>
  <c r="AZ135" i="1"/>
  <c r="BB135" i="1" s="1"/>
  <c r="AW135" i="1"/>
  <c r="AW134" i="1"/>
  <c r="AZ134" i="1"/>
  <c r="BA134" i="1"/>
  <c r="AW133" i="1"/>
  <c r="BA133" i="1"/>
  <c r="AZ133" i="1"/>
  <c r="BB133" i="1" s="1"/>
  <c r="AW132" i="1"/>
  <c r="BA132" i="1"/>
  <c r="AZ132" i="1"/>
  <c r="BB132" i="1" s="1"/>
  <c r="BA131" i="1"/>
  <c r="AW131" i="1"/>
  <c r="AZ131" i="1"/>
  <c r="BB131" i="1" s="1"/>
  <c r="AL131" i="1"/>
  <c r="AN132" i="1" s="1"/>
  <c r="AP131" i="1"/>
  <c r="AO131" i="1"/>
  <c r="BA130" i="1"/>
  <c r="AZ130" i="1"/>
  <c r="BB130" i="1" s="1"/>
  <c r="AW130" i="1"/>
  <c r="AZ129" i="1"/>
  <c r="AW129" i="1"/>
  <c r="BA129" i="1"/>
  <c r="AW128" i="1"/>
  <c r="BA128" i="1"/>
  <c r="AZ128" i="1"/>
  <c r="BB128" i="1" s="1"/>
  <c r="AZ127" i="1"/>
  <c r="BA127" i="1"/>
  <c r="AW127" i="1"/>
  <c r="AW126" i="1"/>
  <c r="BA126" i="1"/>
  <c r="AZ126" i="1"/>
  <c r="AW125" i="1"/>
  <c r="BA125" i="1"/>
  <c r="AZ125" i="1"/>
  <c r="BB125" i="1" s="1"/>
  <c r="AP125" i="1"/>
  <c r="AO125" i="1"/>
  <c r="AL125" i="1"/>
  <c r="AN126" i="1" s="1"/>
  <c r="AL124" i="1"/>
  <c r="AP124" i="1"/>
  <c r="AO124" i="1"/>
  <c r="AQ124" i="1" s="1"/>
  <c r="AL123" i="1"/>
  <c r="AO123" i="1"/>
  <c r="AP123" i="1"/>
  <c r="AP122" i="1"/>
  <c r="AO122" i="1"/>
  <c r="AQ122" i="1" s="1"/>
  <c r="AL122" i="1"/>
  <c r="AP121" i="1"/>
  <c r="AO121" i="1"/>
  <c r="AQ121" i="1" s="1"/>
  <c r="AW119" i="1"/>
  <c r="AY120" i="1" s="1"/>
  <c r="AZ119" i="1"/>
  <c r="BA119" i="1"/>
  <c r="AZ118" i="1"/>
  <c r="AW118" i="1"/>
  <c r="BA118" i="1"/>
  <c r="AP117" i="1"/>
  <c r="AO117" i="1"/>
  <c r="AQ117" i="1" s="1"/>
  <c r="AL117" i="1"/>
  <c r="AN118" i="1" s="1"/>
  <c r="AP113" i="1"/>
  <c r="AL113" i="1"/>
  <c r="AO113" i="1"/>
  <c r="AQ113" i="1" s="1"/>
  <c r="BA112" i="1"/>
  <c r="AW112" i="1"/>
  <c r="AY113" i="1" s="1"/>
  <c r="AZ112" i="1"/>
  <c r="BB112" i="1" s="1"/>
  <c r="AW111" i="1"/>
  <c r="AZ111" i="1"/>
  <c r="BA111" i="1"/>
  <c r="AL110" i="1"/>
  <c r="AP110" i="1"/>
  <c r="AO110" i="1"/>
  <c r="AQ110" i="1" s="1"/>
  <c r="AO109" i="1"/>
  <c r="AP109" i="1"/>
  <c r="AL109" i="1"/>
  <c r="AW108" i="1"/>
  <c r="AY109" i="1" s="1"/>
  <c r="BA108" i="1"/>
  <c r="AZ108" i="1"/>
  <c r="BB108" i="1" s="1"/>
  <c r="BA107" i="1"/>
  <c r="AZ107" i="1"/>
  <c r="BB107" i="1" s="1"/>
  <c r="AW107" i="1"/>
  <c r="AL107" i="1"/>
  <c r="AO107" i="1"/>
  <c r="AP107" i="1"/>
  <c r="AO106" i="1"/>
  <c r="AL106" i="1"/>
  <c r="AP106" i="1"/>
  <c r="AP105" i="1"/>
  <c r="AL105" i="1"/>
  <c r="AO105" i="1"/>
  <c r="AQ105" i="1" s="1"/>
  <c r="AL104" i="1"/>
  <c r="AO104" i="1"/>
  <c r="AP104" i="1"/>
  <c r="AL103" i="1"/>
  <c r="AP103" i="1"/>
  <c r="AO103" i="1"/>
  <c r="AO102" i="1"/>
  <c r="AP102" i="1"/>
  <c r="AL102" i="1"/>
  <c r="AO101" i="1"/>
  <c r="AP101" i="1"/>
  <c r="AL101" i="1"/>
  <c r="AO100" i="1"/>
  <c r="AW99" i="1"/>
  <c r="AY100" i="1" s="1"/>
  <c r="AZ99" i="1"/>
  <c r="BA99" i="1"/>
  <c r="AL99" i="1"/>
  <c r="AO99" i="1"/>
  <c r="AP99" i="1"/>
  <c r="BA98" i="1"/>
  <c r="AW98" i="1"/>
  <c r="AZ98" i="1"/>
  <c r="BB98" i="1" s="1"/>
  <c r="AL98" i="1"/>
  <c r="AO98" i="1"/>
  <c r="AP98" i="1"/>
  <c r="BA97" i="1"/>
  <c r="AW97" i="1"/>
  <c r="AZ97" i="1"/>
  <c r="BB97" i="1" s="1"/>
  <c r="AW96" i="1"/>
  <c r="AZ96" i="1"/>
  <c r="BA96" i="1"/>
  <c r="AZ95" i="1"/>
  <c r="AW95" i="1"/>
  <c r="BA95" i="1"/>
  <c r="AO94" i="1"/>
  <c r="AL94" i="1"/>
  <c r="AN95" i="1" s="1"/>
  <c r="AP94" i="1"/>
  <c r="AZ93" i="1"/>
  <c r="BA93" i="1"/>
  <c r="AW93" i="1"/>
  <c r="AY94" i="1" s="1"/>
  <c r="AL93" i="1"/>
  <c r="AO93" i="1"/>
  <c r="AP93" i="1"/>
  <c r="AW92" i="1"/>
  <c r="BA92" i="1"/>
  <c r="AZ92" i="1"/>
  <c r="AW91" i="1"/>
  <c r="AZ91" i="1"/>
  <c r="BA91" i="1"/>
  <c r="AP91" i="1"/>
  <c r="AL91" i="1"/>
  <c r="AN92" i="1" s="1"/>
  <c r="AO91" i="1"/>
  <c r="AQ91" i="1" s="1"/>
  <c r="AZ90" i="1"/>
  <c r="AW90" i="1"/>
  <c r="BA90" i="1"/>
  <c r="AL90" i="1"/>
  <c r="AP90" i="1"/>
  <c r="AO90" i="1"/>
  <c r="AQ90" i="1" s="1"/>
  <c r="AO89" i="1"/>
  <c r="AL89" i="1"/>
  <c r="AP89" i="1"/>
  <c r="AO88" i="1"/>
  <c r="AP88" i="1"/>
  <c r="AL88" i="1"/>
  <c r="AO87" i="1"/>
  <c r="AL87" i="1"/>
  <c r="AP87" i="1"/>
  <c r="AW86" i="1"/>
  <c r="AY87" i="1" s="1"/>
  <c r="BA86" i="1"/>
  <c r="AZ86" i="1"/>
  <c r="AO86" i="1"/>
  <c r="AL86" i="1"/>
  <c r="AP86" i="1"/>
  <c r="AP85" i="1"/>
  <c r="AL85" i="1"/>
  <c r="AO85" i="1"/>
  <c r="AQ85" i="1" s="1"/>
  <c r="AP84" i="1"/>
  <c r="AO84" i="1"/>
  <c r="AQ84" i="1" s="1"/>
  <c r="AL84" i="1"/>
  <c r="AW83" i="1"/>
  <c r="AY84" i="1" s="1"/>
  <c r="BA83" i="1"/>
  <c r="AZ83" i="1"/>
  <c r="BB83" i="1" s="1"/>
  <c r="AO82" i="1"/>
  <c r="AL82" i="1"/>
  <c r="AN83" i="1" s="1"/>
  <c r="AP82" i="1"/>
  <c r="AL81" i="1"/>
  <c r="AO81" i="1"/>
  <c r="AP81" i="1"/>
  <c r="AZ80" i="1"/>
  <c r="BA80" i="1"/>
  <c r="AW80" i="1"/>
  <c r="AY81" i="1" s="1"/>
  <c r="AP80" i="1"/>
  <c r="AL80" i="1"/>
  <c r="AO80" i="1"/>
  <c r="AQ80" i="1" s="1"/>
  <c r="AP79" i="1"/>
  <c r="AL79" i="1"/>
  <c r="AO79" i="1"/>
  <c r="AQ79" i="1" s="1"/>
  <c r="AL78" i="1"/>
  <c r="AP78" i="1"/>
  <c r="AO78" i="1"/>
  <c r="AQ78" i="1" s="1"/>
  <c r="AO77" i="1"/>
  <c r="AL77" i="1"/>
  <c r="AP77" i="1"/>
  <c r="AP76" i="1"/>
  <c r="AL76" i="1"/>
  <c r="AO76" i="1"/>
  <c r="AQ76" i="1" s="1"/>
  <c r="AL75" i="1"/>
  <c r="AO75" i="1"/>
  <c r="AP75" i="1"/>
  <c r="AL73" i="1"/>
  <c r="AP73" i="1"/>
  <c r="AO73" i="1"/>
  <c r="AQ73" i="1" s="1"/>
  <c r="AL71" i="1"/>
  <c r="AP71" i="1"/>
  <c r="AO71" i="1"/>
  <c r="AZ70" i="1"/>
  <c r="AW70" i="1"/>
  <c r="AY71" i="1" s="1"/>
  <c r="BA70" i="1"/>
  <c r="AO70" i="1"/>
  <c r="AP70" i="1"/>
  <c r="AL70" i="1"/>
  <c r="BA69" i="1"/>
  <c r="AW69" i="1"/>
  <c r="AZ69" i="1"/>
  <c r="BB69" i="1" s="1"/>
  <c r="AO68" i="1"/>
  <c r="AL68" i="1"/>
  <c r="AP68" i="1"/>
  <c r="BA67" i="1"/>
  <c r="AZ67" i="1"/>
  <c r="BB67" i="1" s="1"/>
  <c r="AW67" i="1"/>
  <c r="AY68" i="1" s="1"/>
  <c r="AP67" i="1"/>
  <c r="AO67" i="1"/>
  <c r="AQ67" i="1" s="1"/>
  <c r="AL67" i="1"/>
  <c r="AW66" i="1"/>
  <c r="AZ66" i="1"/>
  <c r="BA66" i="1"/>
  <c r="AZ65" i="1"/>
  <c r="AW65" i="1"/>
  <c r="BA65" i="1"/>
  <c r="BA64" i="1"/>
  <c r="AW64" i="1"/>
  <c r="AZ64" i="1"/>
  <c r="BB64" i="1" s="1"/>
  <c r="AO64" i="1"/>
  <c r="AL64" i="1"/>
  <c r="AP64" i="1"/>
  <c r="AW63" i="1"/>
  <c r="AZ63" i="1"/>
  <c r="BA63" i="1"/>
  <c r="AZ62" i="1"/>
  <c r="AW62" i="1"/>
  <c r="BA62" i="1"/>
  <c r="BA61" i="1"/>
  <c r="AZ61" i="1"/>
  <c r="BB61" i="1" s="1"/>
  <c r="AW61" i="1"/>
  <c r="BA60" i="1"/>
  <c r="AW60" i="1"/>
  <c r="AZ60" i="1"/>
  <c r="BB60" i="1" s="1"/>
  <c r="AW59" i="1"/>
  <c r="BA59" i="1"/>
  <c r="AZ59" i="1"/>
  <c r="BB59" i="1" s="1"/>
  <c r="AW58" i="1"/>
  <c r="BA58" i="1"/>
  <c r="AZ58" i="1"/>
  <c r="BB58" i="1" s="1"/>
  <c r="AW57" i="1"/>
  <c r="BA57" i="1"/>
  <c r="AZ57" i="1"/>
  <c r="AW56" i="1"/>
  <c r="BA56" i="1"/>
  <c r="AZ56" i="1"/>
  <c r="BB56" i="1" s="1"/>
  <c r="BA55" i="1"/>
  <c r="AW55" i="1"/>
  <c r="AZ55" i="1"/>
  <c r="BB55" i="1" s="1"/>
  <c r="BA54" i="1"/>
  <c r="AZ54" i="1"/>
  <c r="BB54" i="1" s="1"/>
  <c r="AW54" i="1"/>
  <c r="AW53" i="1"/>
  <c r="BA53" i="1"/>
  <c r="AZ53" i="1"/>
  <c r="BB53" i="1" s="1"/>
  <c r="AL53" i="1"/>
  <c r="AN54" i="1" s="1"/>
  <c r="AP53" i="1"/>
  <c r="AO53" i="1"/>
  <c r="AQ53" i="1" s="1"/>
  <c r="AW52" i="1"/>
  <c r="AZ52" i="1"/>
  <c r="BA52" i="1"/>
  <c r="AW51" i="1"/>
  <c r="BA51" i="1"/>
  <c r="AZ51" i="1"/>
  <c r="AZ50" i="1"/>
  <c r="BA50" i="1"/>
  <c r="AW50" i="1"/>
  <c r="AW49" i="1"/>
  <c r="BA49" i="1"/>
  <c r="AZ49" i="1"/>
  <c r="BB49" i="1" s="1"/>
  <c r="AW48" i="1"/>
  <c r="BA48" i="1"/>
  <c r="AZ48" i="1"/>
  <c r="BB48" i="1" s="1"/>
  <c r="BA47" i="1"/>
  <c r="AW47" i="1"/>
  <c r="AZ47" i="1"/>
  <c r="BB47" i="1" s="1"/>
  <c r="AZ46" i="1"/>
  <c r="AW46" i="1"/>
  <c r="BA46" i="1"/>
  <c r="AW45" i="1"/>
  <c r="AZ45" i="1"/>
  <c r="BA45" i="1"/>
  <c r="AZ44" i="1"/>
  <c r="AW44" i="1"/>
  <c r="BA44" i="1"/>
  <c r="AP43" i="1"/>
  <c r="AO43" i="1"/>
  <c r="AQ43" i="1" s="1"/>
  <c r="AL43" i="1"/>
  <c r="AN44" i="1" s="1"/>
  <c r="AL42" i="1"/>
  <c r="AP42" i="1"/>
  <c r="AO42" i="1"/>
  <c r="AQ42" i="1" s="1"/>
  <c r="AO41" i="1"/>
  <c r="AL41" i="1"/>
  <c r="AP41" i="1"/>
  <c r="AO40" i="1"/>
  <c r="AP40" i="1"/>
  <c r="AL40" i="1"/>
  <c r="AP39" i="1"/>
  <c r="AO39" i="1"/>
  <c r="AQ39" i="1" s="1"/>
  <c r="AL39" i="1"/>
  <c r="AL38" i="1"/>
  <c r="AP38" i="1"/>
  <c r="AO38" i="1"/>
  <c r="AQ38" i="1" s="1"/>
  <c r="AO37" i="1"/>
  <c r="AL37" i="1"/>
  <c r="AP37" i="1"/>
  <c r="AO36" i="1"/>
  <c r="AL36" i="1"/>
  <c r="AP36" i="1"/>
  <c r="AL35" i="1"/>
  <c r="AP35" i="1"/>
  <c r="AO35" i="1"/>
  <c r="AQ35" i="1" s="1"/>
  <c r="AP34" i="1"/>
  <c r="AL34" i="1"/>
  <c r="AO34" i="1"/>
  <c r="AQ34" i="1" s="1"/>
  <c r="AO33" i="1"/>
  <c r="AL33" i="1"/>
  <c r="AP33" i="1"/>
  <c r="AL32" i="1"/>
  <c r="AP32" i="1"/>
  <c r="AO32" i="1"/>
  <c r="AQ32" i="1" s="1"/>
  <c r="AL31" i="1"/>
  <c r="AP31" i="1"/>
  <c r="AO31" i="1"/>
  <c r="AQ31" i="1" s="1"/>
  <c r="AO30" i="1"/>
  <c r="AP30" i="1"/>
  <c r="AL30" i="1"/>
  <c r="AO29" i="1"/>
  <c r="AL29" i="1"/>
  <c r="AP29" i="1"/>
  <c r="AO28" i="1"/>
  <c r="AL28" i="1"/>
  <c r="AP28" i="1"/>
  <c r="AO27" i="1"/>
  <c r="AL27" i="1"/>
  <c r="AP27" i="1"/>
  <c r="AO26" i="1"/>
  <c r="AL26" i="1"/>
  <c r="AP26" i="1"/>
  <c r="AL25" i="1"/>
  <c r="AO25" i="1"/>
  <c r="AP25" i="1"/>
  <c r="AW24" i="1"/>
  <c r="AY25" i="1" s="1"/>
  <c r="AZ24" i="1"/>
  <c r="BA24" i="1"/>
  <c r="AO24" i="1"/>
  <c r="AL24" i="1"/>
  <c r="AP24" i="1"/>
  <c r="AW23" i="1"/>
  <c r="BA23" i="1"/>
  <c r="AZ23" i="1"/>
  <c r="BB23" i="1" s="1"/>
  <c r="AP23" i="1"/>
  <c r="AO23" i="1"/>
  <c r="AQ23" i="1" s="1"/>
  <c r="AL23" i="1"/>
  <c r="BA22" i="1"/>
  <c r="AZ22" i="1"/>
  <c r="BB22" i="1" s="1"/>
  <c r="AO22" i="1"/>
  <c r="AP22" i="1"/>
  <c r="BE23" i="1" l="1"/>
  <c r="BB86" i="1"/>
  <c r="BA164" i="1"/>
  <c r="AW164" i="1"/>
  <c r="AY165" i="1" s="1"/>
  <c r="AZ164" i="1"/>
  <c r="BA148" i="1"/>
  <c r="AZ148" i="1"/>
  <c r="AW148" i="1"/>
  <c r="AY149" i="1" s="1"/>
  <c r="AZ143" i="1"/>
  <c r="BA143" i="1"/>
  <c r="AW143" i="1"/>
  <c r="BA120" i="1"/>
  <c r="AZ120" i="1"/>
  <c r="AW120" i="1"/>
  <c r="AY121" i="1" s="1"/>
  <c r="BA113" i="1"/>
  <c r="AZ113" i="1"/>
  <c r="BB113" i="1" s="1"/>
  <c r="BE113" i="1" s="1"/>
  <c r="AW113" i="1"/>
  <c r="AY114" i="1" s="1"/>
  <c r="AW109" i="1"/>
  <c r="AY110" i="1" s="1"/>
  <c r="BA109" i="1"/>
  <c r="AZ109" i="1"/>
  <c r="AW100" i="1"/>
  <c r="AY101" i="1" s="1"/>
  <c r="AZ100" i="1"/>
  <c r="BA100" i="1"/>
  <c r="BA94" i="1"/>
  <c r="AZ94" i="1"/>
  <c r="BB94" i="1" s="1"/>
  <c r="AW94" i="1"/>
  <c r="AW87" i="1"/>
  <c r="AY88" i="1" s="1"/>
  <c r="AZ87" i="1"/>
  <c r="BA87" i="1"/>
  <c r="AZ84" i="1"/>
  <c r="AW84" i="1"/>
  <c r="AY85" i="1" s="1"/>
  <c r="BA84" i="1"/>
  <c r="BA81" i="1"/>
  <c r="AZ81" i="1"/>
  <c r="AW81" i="1"/>
  <c r="AY82" i="1" s="1"/>
  <c r="BA71" i="1"/>
  <c r="AW71" i="1"/>
  <c r="AY72" i="1" s="1"/>
  <c r="AZ71" i="1"/>
  <c r="BA68" i="1"/>
  <c r="AW68" i="1"/>
  <c r="AZ68" i="1"/>
  <c r="BB71" i="1"/>
  <c r="BB51" i="1"/>
  <c r="BB57" i="1"/>
  <c r="BB143" i="1"/>
  <c r="BB70" i="1"/>
  <c r="BE67" i="1"/>
  <c r="BB126" i="1"/>
  <c r="AP120" i="1"/>
  <c r="AL120" i="1"/>
  <c r="AO120" i="1"/>
  <c r="AQ120" i="1" s="1"/>
  <c r="AO114" i="1"/>
  <c r="AP114" i="1"/>
  <c r="AL114" i="1"/>
  <c r="AP115" i="1"/>
  <c r="AL115" i="1"/>
  <c r="AO115" i="1"/>
  <c r="AQ115" i="1" s="1"/>
  <c r="AO111" i="1"/>
  <c r="AL111" i="1"/>
  <c r="AN112" i="1" s="1"/>
  <c r="AP111" i="1"/>
  <c r="AO108" i="1"/>
  <c r="AP108" i="1"/>
  <c r="AL108" i="1"/>
  <c r="AL116" i="1"/>
  <c r="AO116" i="1"/>
  <c r="AP116" i="1"/>
  <c r="AP100" i="1"/>
  <c r="AQ100" i="1" s="1"/>
  <c r="AL100" i="1"/>
  <c r="AQ166" i="1"/>
  <c r="AO72" i="1"/>
  <c r="AP72" i="1"/>
  <c r="AL72" i="1"/>
  <c r="AL69" i="1"/>
  <c r="AO69" i="1"/>
  <c r="AP69" i="1"/>
  <c r="AO65" i="1"/>
  <c r="AL65" i="1"/>
  <c r="AN66" i="1" s="1"/>
  <c r="AP65" i="1"/>
  <c r="AO74" i="1"/>
  <c r="AL74" i="1"/>
  <c r="AP74" i="1"/>
  <c r="AP174" i="1"/>
  <c r="AO174" i="1"/>
  <c r="AL174" i="1"/>
  <c r="AN175" i="1" s="1"/>
  <c r="AL168" i="1"/>
  <c r="AN169" i="1" s="1"/>
  <c r="AO168" i="1"/>
  <c r="AQ168" i="1" s="1"/>
  <c r="BE168" i="1" s="1"/>
  <c r="AP168" i="1"/>
  <c r="AL161" i="1"/>
  <c r="AP161" i="1"/>
  <c r="AO161" i="1"/>
  <c r="AQ161" i="1" s="1"/>
  <c r="AO157" i="1"/>
  <c r="AL157" i="1"/>
  <c r="AN158" i="1" s="1"/>
  <c r="AP157" i="1"/>
  <c r="AL132" i="1"/>
  <c r="AN133" i="1" s="1"/>
  <c r="AO132" i="1"/>
  <c r="AP132" i="1"/>
  <c r="AP126" i="1"/>
  <c r="AL126" i="1"/>
  <c r="AN127" i="1" s="1"/>
  <c r="AO126" i="1"/>
  <c r="AO118" i="1"/>
  <c r="AP118" i="1"/>
  <c r="AL118" i="1"/>
  <c r="AN119" i="1" s="1"/>
  <c r="AP112" i="1"/>
  <c r="AL112" i="1"/>
  <c r="AO112" i="1"/>
  <c r="AP95" i="1"/>
  <c r="AO95" i="1"/>
  <c r="AL95" i="1"/>
  <c r="AN96" i="1" s="1"/>
  <c r="AO92" i="1"/>
  <c r="AL92" i="1"/>
  <c r="AP92" i="1"/>
  <c r="AO83" i="1"/>
  <c r="AP83" i="1"/>
  <c r="AL83" i="1"/>
  <c r="AP54" i="1"/>
  <c r="AO54" i="1"/>
  <c r="AL54" i="1"/>
  <c r="AN55" i="1" s="1"/>
  <c r="AO44" i="1"/>
  <c r="AP44" i="1"/>
  <c r="AL44" i="1"/>
  <c r="AN45" i="1" s="1"/>
  <c r="AQ101" i="1"/>
  <c r="AQ95" i="1"/>
  <c r="BB120" i="1"/>
  <c r="BE120" i="1" s="1"/>
  <c r="BB65" i="1"/>
  <c r="BB63" i="1"/>
  <c r="BB176" i="1"/>
  <c r="BE171" i="1"/>
  <c r="BE167" i="1"/>
  <c r="BE160" i="1"/>
  <c r="BE154" i="1"/>
  <c r="BB93" i="1"/>
  <c r="BB92" i="1"/>
  <c r="BB100" i="1"/>
  <c r="BE100" i="1" s="1"/>
  <c r="AQ74" i="1"/>
  <c r="AQ69" i="1"/>
  <c r="BE69" i="1" s="1"/>
  <c r="AQ98" i="1"/>
  <c r="BE98" i="1" s="1"/>
  <c r="AQ83" i="1"/>
  <c r="BE83" i="1" s="1"/>
  <c r="AQ70" i="1"/>
  <c r="BE70" i="1" s="1"/>
  <c r="AQ131" i="1"/>
  <c r="BE131" i="1" s="1"/>
  <c r="BB170" i="1"/>
  <c r="AQ165" i="1"/>
  <c r="BB158" i="1"/>
  <c r="BB157" i="1"/>
  <c r="BB156" i="1"/>
  <c r="BE156" i="1" s="1"/>
  <c r="AQ125" i="1"/>
  <c r="BE125" i="1" s="1"/>
  <c r="BB119" i="1"/>
  <c r="AQ102" i="1"/>
  <c r="BB80" i="1"/>
  <c r="BE80" i="1" s="1"/>
  <c r="BB153" i="1"/>
  <c r="BB152" i="1"/>
  <c r="BE152" i="1" s="1"/>
  <c r="BB151" i="1"/>
  <c r="BB148" i="1"/>
  <c r="AQ146" i="1"/>
  <c r="BE146" i="1" s="1"/>
  <c r="BB145" i="1"/>
  <c r="BE145" i="1" s="1"/>
  <c r="BB142" i="1"/>
  <c r="BB136" i="1"/>
  <c r="BB118" i="1"/>
  <c r="AQ71" i="1"/>
  <c r="BE71" i="1" s="1"/>
  <c r="BE53" i="1"/>
  <c r="AW114" i="1"/>
  <c r="AY115" i="1" s="1"/>
  <c r="AZ114" i="1"/>
  <c r="BA114" i="1"/>
  <c r="BA101" i="1"/>
  <c r="AW101" i="1"/>
  <c r="AY102" i="1" s="1"/>
  <c r="AZ101" i="1"/>
  <c r="BB101" i="1" s="1"/>
  <c r="BE101" i="1" s="1"/>
  <c r="BA72" i="1"/>
  <c r="AZ72" i="1"/>
  <c r="BB72" i="1" s="1"/>
  <c r="AW72" i="1"/>
  <c r="AY73" i="1" s="1"/>
  <c r="BA25" i="1"/>
  <c r="AZ25" i="1"/>
  <c r="BB25" i="1" s="1"/>
  <c r="AW25" i="1"/>
  <c r="AY26" i="1" s="1"/>
  <c r="BC22" i="1"/>
  <c r="BC23" i="1" s="1"/>
  <c r="BB163" i="1"/>
  <c r="AQ151" i="1"/>
  <c r="BE151" i="1" s="1"/>
  <c r="AQ150" i="1"/>
  <c r="AQ144" i="1"/>
  <c r="BB129" i="1"/>
  <c r="BB127" i="1"/>
  <c r="AQ116" i="1"/>
  <c r="AQ114" i="1"/>
  <c r="AQ112" i="1"/>
  <c r="BE112" i="1" s="1"/>
  <c r="BB109" i="1"/>
  <c r="AQ106" i="1"/>
  <c r="AQ82" i="1"/>
  <c r="BB99" i="1"/>
  <c r="AQ94" i="1"/>
  <c r="BE94" i="1" s="1"/>
  <c r="BB68" i="1"/>
  <c r="AQ54" i="1"/>
  <c r="BE54" i="1" s="1"/>
  <c r="BB52" i="1"/>
  <c r="BB50" i="1"/>
  <c r="BB46" i="1"/>
  <c r="BB45" i="1"/>
  <c r="BB44" i="1"/>
  <c r="AQ41" i="1"/>
  <c r="AQ40" i="1"/>
  <c r="AQ37" i="1"/>
  <c r="AQ36" i="1"/>
  <c r="AQ33" i="1"/>
  <c r="AQ30" i="1"/>
  <c r="AQ29" i="1"/>
  <c r="AQ28" i="1"/>
  <c r="AQ27" i="1"/>
  <c r="AQ26" i="1"/>
  <c r="AQ25" i="1"/>
  <c r="BE25" i="1" s="1"/>
  <c r="BB24" i="1"/>
  <c r="AQ24" i="1"/>
  <c r="BE24" i="1" s="1"/>
  <c r="AQ22" i="1"/>
  <c r="AQ99" i="1"/>
  <c r="BE99" i="1" s="1"/>
  <c r="BB96" i="1"/>
  <c r="AQ93" i="1"/>
  <c r="BE93" i="1" s="1"/>
  <c r="BB91" i="1"/>
  <c r="BE91" i="1" s="1"/>
  <c r="BB90" i="1"/>
  <c r="BE90" i="1" s="1"/>
  <c r="BB87" i="1"/>
  <c r="AQ81" i="1"/>
  <c r="AQ77" i="1"/>
  <c r="AQ72" i="1"/>
  <c r="BE72" i="1" s="1"/>
  <c r="BB164" i="1"/>
  <c r="AQ163" i="1"/>
  <c r="BE163" i="1" s="1"/>
  <c r="AQ162" i="1"/>
  <c r="AQ148" i="1"/>
  <c r="BE148" i="1" s="1"/>
  <c r="BB134" i="1"/>
  <c r="AQ107" i="1"/>
  <c r="BE107" i="1" s="1"/>
  <c r="AQ104" i="1"/>
  <c r="AQ103" i="1"/>
  <c r="BB66" i="1"/>
  <c r="BB174" i="1"/>
  <c r="AQ174" i="1"/>
  <c r="BB172" i="1"/>
  <c r="BE172" i="1" s="1"/>
  <c r="AQ164" i="1"/>
  <c r="BE164" i="1" s="1"/>
  <c r="BB139" i="1"/>
  <c r="AQ86" i="1"/>
  <c r="BE86" i="1" s="1"/>
  <c r="BB84" i="1"/>
  <c r="BE84" i="1" s="1"/>
  <c r="AQ65" i="1"/>
  <c r="BE65" i="1" s="1"/>
  <c r="BB162" i="1"/>
  <c r="BB161" i="1"/>
  <c r="BE161" i="1" s="1"/>
  <c r="AQ147" i="1"/>
  <c r="BE147" i="1" s="1"/>
  <c r="AQ143" i="1"/>
  <c r="BE143" i="1" s="1"/>
  <c r="AQ123" i="1"/>
  <c r="BB111" i="1"/>
  <c r="BB95" i="1"/>
  <c r="BE95" i="1" s="1"/>
  <c r="AQ89" i="1"/>
  <c r="AQ87" i="1"/>
  <c r="BE87" i="1" s="1"/>
  <c r="BB81" i="1"/>
  <c r="AQ75" i="1"/>
  <c r="AQ68" i="1"/>
  <c r="BE68" i="1" s="1"/>
  <c r="BB62" i="1"/>
  <c r="AQ153" i="1"/>
  <c r="BE153" i="1" s="1"/>
  <c r="BB144" i="1"/>
  <c r="AQ126" i="1"/>
  <c r="BE126" i="1" s="1"/>
  <c r="AQ111" i="1"/>
  <c r="BE111" i="1" s="1"/>
  <c r="AQ109" i="1"/>
  <c r="BE109" i="1" s="1"/>
  <c r="AQ108" i="1"/>
  <c r="BE108" i="1" s="1"/>
  <c r="AQ88" i="1"/>
  <c r="AQ64" i="1"/>
  <c r="BE64" i="1" s="1"/>
  <c r="BA165" i="1" l="1"/>
  <c r="AW165" i="1"/>
  <c r="AY166" i="1" s="1"/>
  <c r="AZ165" i="1"/>
  <c r="BB165" i="1" s="1"/>
  <c r="BE165" i="1" s="1"/>
  <c r="AZ149" i="1"/>
  <c r="AW149" i="1"/>
  <c r="AY150" i="1" s="1"/>
  <c r="BA149" i="1"/>
  <c r="BA121" i="1"/>
  <c r="AZ121" i="1"/>
  <c r="BB121" i="1" s="1"/>
  <c r="BE121" i="1" s="1"/>
  <c r="AW121" i="1"/>
  <c r="AY122" i="1" s="1"/>
  <c r="AZ110" i="1"/>
  <c r="BB110" i="1" s="1"/>
  <c r="BE110" i="1" s="1"/>
  <c r="BA110" i="1"/>
  <c r="AW110" i="1"/>
  <c r="BA88" i="1"/>
  <c r="AW88" i="1"/>
  <c r="AY89" i="1" s="1"/>
  <c r="AZ88" i="1"/>
  <c r="BB88" i="1" s="1"/>
  <c r="BE88" i="1" s="1"/>
  <c r="AZ85" i="1"/>
  <c r="BA85" i="1"/>
  <c r="AW85" i="1"/>
  <c r="AZ82" i="1"/>
  <c r="AW82" i="1"/>
  <c r="BA82" i="1"/>
  <c r="AW115" i="1"/>
  <c r="AY116" i="1" s="1"/>
  <c r="AZ115" i="1"/>
  <c r="BB115" i="1" s="1"/>
  <c r="BE115" i="1" s="1"/>
  <c r="BA115" i="1"/>
  <c r="AW102" i="1"/>
  <c r="AY103" i="1" s="1"/>
  <c r="BA102" i="1"/>
  <c r="AZ102" i="1"/>
  <c r="BB102" i="1" s="1"/>
  <c r="BE102" i="1" s="1"/>
  <c r="BA73" i="1"/>
  <c r="AW73" i="1"/>
  <c r="AY74" i="1" s="1"/>
  <c r="AZ73" i="1"/>
  <c r="AW26" i="1"/>
  <c r="AY27" i="1" s="1"/>
  <c r="AZ26" i="1"/>
  <c r="BA26" i="1"/>
  <c r="BE174" i="1"/>
  <c r="AQ132" i="1"/>
  <c r="BE132" i="1" s="1"/>
  <c r="AP66" i="1"/>
  <c r="AL66" i="1"/>
  <c r="AO66" i="1"/>
  <c r="AQ66" i="1" s="1"/>
  <c r="BE66" i="1" s="1"/>
  <c r="AL175" i="1"/>
  <c r="AN176" i="1" s="1"/>
  <c r="AO175" i="1"/>
  <c r="AP175" i="1"/>
  <c r="AL169" i="1"/>
  <c r="AN170" i="1" s="1"/>
  <c r="AO169" i="1"/>
  <c r="AP169" i="1"/>
  <c r="AL158" i="1"/>
  <c r="AN159" i="1" s="1"/>
  <c r="AP158" i="1"/>
  <c r="AO158" i="1"/>
  <c r="AQ158" i="1" s="1"/>
  <c r="BE158" i="1" s="1"/>
  <c r="AO133" i="1"/>
  <c r="AP133" i="1"/>
  <c r="AL133" i="1"/>
  <c r="AN134" i="1" s="1"/>
  <c r="AO127" i="1"/>
  <c r="AL127" i="1"/>
  <c r="AN128" i="1" s="1"/>
  <c r="AP127" i="1"/>
  <c r="AO119" i="1"/>
  <c r="AL119" i="1"/>
  <c r="AP119" i="1"/>
  <c r="AP96" i="1"/>
  <c r="AO96" i="1"/>
  <c r="AQ96" i="1" s="1"/>
  <c r="BE96" i="1" s="1"/>
  <c r="AL96" i="1"/>
  <c r="AN97" i="1" s="1"/>
  <c r="AL55" i="1"/>
  <c r="AN56" i="1" s="1"/>
  <c r="AP55" i="1"/>
  <c r="AO55" i="1"/>
  <c r="AQ55" i="1" s="1"/>
  <c r="BE55" i="1" s="1"/>
  <c r="AO45" i="1"/>
  <c r="AP45" i="1"/>
  <c r="AL45" i="1"/>
  <c r="AN46" i="1" s="1"/>
  <c r="AQ118" i="1"/>
  <c r="BE118" i="1" s="1"/>
  <c r="AQ92" i="1"/>
  <c r="BE92" i="1" s="1"/>
  <c r="AQ44" i="1"/>
  <c r="BE44" i="1" s="1"/>
  <c r="AQ157" i="1"/>
  <c r="BE157" i="1" s="1"/>
  <c r="AR22" i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BE22" i="1"/>
  <c r="BB114" i="1"/>
  <c r="BE114" i="1" s="1"/>
  <c r="BC24" i="1"/>
  <c r="BC25" i="1" s="1"/>
  <c r="BE144" i="1"/>
  <c r="BE81" i="1"/>
  <c r="BE162" i="1"/>
  <c r="BB73" i="1" l="1"/>
  <c r="BE73" i="1" s="1"/>
  <c r="BB82" i="1"/>
  <c r="BE82" i="1" s="1"/>
  <c r="BB26" i="1"/>
  <c r="BE26" i="1" s="1"/>
  <c r="AZ166" i="1"/>
  <c r="AW166" i="1"/>
  <c r="BA166" i="1"/>
  <c r="BA150" i="1"/>
  <c r="AW150" i="1"/>
  <c r="AZ150" i="1"/>
  <c r="BB150" i="1" s="1"/>
  <c r="BE150" i="1" s="1"/>
  <c r="AZ122" i="1"/>
  <c r="BA122" i="1"/>
  <c r="AW122" i="1"/>
  <c r="AY123" i="1" s="1"/>
  <c r="AW89" i="1"/>
  <c r="BA89" i="1"/>
  <c r="AZ89" i="1"/>
  <c r="BB89" i="1" s="1"/>
  <c r="BE89" i="1" s="1"/>
  <c r="BA116" i="1"/>
  <c r="AZ116" i="1"/>
  <c r="BB116" i="1" s="1"/>
  <c r="BE116" i="1" s="1"/>
  <c r="AW116" i="1"/>
  <c r="AY117" i="1" s="1"/>
  <c r="BA103" i="1"/>
  <c r="AW103" i="1"/>
  <c r="AY104" i="1" s="1"/>
  <c r="AZ103" i="1"/>
  <c r="BB103" i="1" s="1"/>
  <c r="BE103" i="1" s="1"/>
  <c r="AW74" i="1"/>
  <c r="AY75" i="1" s="1"/>
  <c r="AZ74" i="1"/>
  <c r="BA74" i="1"/>
  <c r="BA27" i="1"/>
  <c r="AW27" i="1"/>
  <c r="AY28" i="1" s="1"/>
  <c r="AZ27" i="1"/>
  <c r="BC26" i="1"/>
  <c r="BB149" i="1"/>
  <c r="BE149" i="1" s="1"/>
  <c r="BB85" i="1"/>
  <c r="BE85" i="1" s="1"/>
  <c r="AQ45" i="1"/>
  <c r="AO176" i="1"/>
  <c r="AP176" i="1"/>
  <c r="AL176" i="1"/>
  <c r="AO170" i="1"/>
  <c r="AP170" i="1"/>
  <c r="AL170" i="1"/>
  <c r="AO159" i="1"/>
  <c r="AP159" i="1"/>
  <c r="AL159" i="1"/>
  <c r="AL134" i="1"/>
  <c r="AN135" i="1" s="1"/>
  <c r="AO134" i="1"/>
  <c r="AP134" i="1"/>
  <c r="AO128" i="1"/>
  <c r="AL128" i="1"/>
  <c r="AN129" i="1" s="1"/>
  <c r="AP128" i="1"/>
  <c r="AP97" i="1"/>
  <c r="AO97" i="1"/>
  <c r="AQ97" i="1" s="1"/>
  <c r="BE97" i="1" s="1"/>
  <c r="AL97" i="1"/>
  <c r="AP56" i="1"/>
  <c r="AL56" i="1"/>
  <c r="AN57" i="1" s="1"/>
  <c r="AO56" i="1"/>
  <c r="AQ56" i="1" s="1"/>
  <c r="BE56" i="1" s="1"/>
  <c r="AP46" i="1"/>
  <c r="AL46" i="1"/>
  <c r="AN47" i="1" s="1"/>
  <c r="AO46" i="1"/>
  <c r="AQ169" i="1"/>
  <c r="BE169" i="1" s="1"/>
  <c r="AQ127" i="1"/>
  <c r="BE127" i="1" s="1"/>
  <c r="AQ119" i="1"/>
  <c r="BE119" i="1" s="1"/>
  <c r="AQ175" i="1"/>
  <c r="BE175" i="1" s="1"/>
  <c r="AQ133" i="1"/>
  <c r="BE133" i="1" s="1"/>
  <c r="BF22" i="1"/>
  <c r="BF23" i="1" s="1"/>
  <c r="BF24" i="1" s="1"/>
  <c r="BF25" i="1" s="1"/>
  <c r="BF26" i="1" s="1"/>
  <c r="BB27" i="1" l="1"/>
  <c r="BA123" i="1"/>
  <c r="AZ123" i="1"/>
  <c r="BB123" i="1" s="1"/>
  <c r="BE123" i="1" s="1"/>
  <c r="AW123" i="1"/>
  <c r="AY124" i="1" s="1"/>
  <c r="AW117" i="1"/>
  <c r="AZ117" i="1"/>
  <c r="BA117" i="1"/>
  <c r="AZ104" i="1"/>
  <c r="BA104" i="1"/>
  <c r="AW104" i="1"/>
  <c r="AY105" i="1" s="1"/>
  <c r="AW75" i="1"/>
  <c r="AY76" i="1" s="1"/>
  <c r="BA75" i="1"/>
  <c r="AZ75" i="1"/>
  <c r="BB75" i="1" s="1"/>
  <c r="BE75" i="1" s="1"/>
  <c r="BA28" i="1"/>
  <c r="AW28" i="1"/>
  <c r="AY29" i="1" s="1"/>
  <c r="AZ28" i="1"/>
  <c r="BB28" i="1" s="1"/>
  <c r="BB166" i="1"/>
  <c r="BE166" i="1" s="1"/>
  <c r="BB122" i="1"/>
  <c r="BE122" i="1" s="1"/>
  <c r="BB74" i="1"/>
  <c r="BE74" i="1" s="1"/>
  <c r="AR45" i="1"/>
  <c r="BE45" i="1"/>
  <c r="AP135" i="1"/>
  <c r="AL135" i="1"/>
  <c r="AN136" i="1" s="1"/>
  <c r="AO135" i="1"/>
  <c r="AQ135" i="1" s="1"/>
  <c r="BE135" i="1" s="1"/>
  <c r="AP129" i="1"/>
  <c r="AL129" i="1"/>
  <c r="AN130" i="1" s="1"/>
  <c r="AO129" i="1"/>
  <c r="AQ129" i="1" s="1"/>
  <c r="BE129" i="1" s="1"/>
  <c r="AO57" i="1"/>
  <c r="AP57" i="1"/>
  <c r="AL57" i="1"/>
  <c r="AN58" i="1" s="1"/>
  <c r="AO47" i="1"/>
  <c r="AL47" i="1"/>
  <c r="AN48" i="1" s="1"/>
  <c r="AP47" i="1"/>
  <c r="AQ176" i="1"/>
  <c r="BE176" i="1" s="1"/>
  <c r="AQ170" i="1"/>
  <c r="BE170" i="1" s="1"/>
  <c r="AQ159" i="1"/>
  <c r="BE159" i="1" s="1"/>
  <c r="AQ134" i="1"/>
  <c r="BE134" i="1" s="1"/>
  <c r="AQ128" i="1"/>
  <c r="BE128" i="1" s="1"/>
  <c r="AQ46" i="1"/>
  <c r="BC27" i="1" l="1"/>
  <c r="BE27" i="1"/>
  <c r="BF27" i="1" s="1"/>
  <c r="BA124" i="1"/>
  <c r="AZ124" i="1"/>
  <c r="BB124" i="1" s="1"/>
  <c r="BE124" i="1" s="1"/>
  <c r="AW124" i="1"/>
  <c r="AZ105" i="1"/>
  <c r="AW105" i="1"/>
  <c r="AY106" i="1" s="1"/>
  <c r="BA105" i="1"/>
  <c r="AW76" i="1"/>
  <c r="AY77" i="1" s="1"/>
  <c r="BA76" i="1"/>
  <c r="AZ76" i="1"/>
  <c r="BB76" i="1" s="1"/>
  <c r="BE76" i="1" s="1"/>
  <c r="BA29" i="1"/>
  <c r="AW29" i="1"/>
  <c r="AY30" i="1" s="1"/>
  <c r="AZ29" i="1"/>
  <c r="BB29" i="1" s="1"/>
  <c r="BC28" i="1"/>
  <c r="BC29" i="1" s="1"/>
  <c r="BE28" i="1"/>
  <c r="BF28" i="1" s="1"/>
  <c r="BB117" i="1"/>
  <c r="BE117" i="1" s="1"/>
  <c r="BB104" i="1"/>
  <c r="BE104" i="1" s="1"/>
  <c r="AO136" i="1"/>
  <c r="AP136" i="1"/>
  <c r="AL136" i="1"/>
  <c r="AN137" i="1" s="1"/>
  <c r="AO130" i="1"/>
  <c r="AL130" i="1"/>
  <c r="AP130" i="1"/>
  <c r="AL58" i="1"/>
  <c r="AN59" i="1" s="1"/>
  <c r="AP58" i="1"/>
  <c r="AO58" i="1"/>
  <c r="AQ58" i="1" s="1"/>
  <c r="BE58" i="1" s="1"/>
  <c r="AO48" i="1"/>
  <c r="AL48" i="1"/>
  <c r="AN49" i="1" s="1"/>
  <c r="AP48" i="1"/>
  <c r="BE46" i="1"/>
  <c r="AR46" i="1"/>
  <c r="AQ57" i="1"/>
  <c r="BE57" i="1" s="1"/>
  <c r="AQ47" i="1"/>
  <c r="BA106" i="1" l="1"/>
  <c r="AW106" i="1"/>
  <c r="AZ106" i="1"/>
  <c r="BB106" i="1" s="1"/>
  <c r="BE106" i="1" s="1"/>
  <c r="AW77" i="1"/>
  <c r="AY78" i="1" s="1"/>
  <c r="BA77" i="1"/>
  <c r="AZ77" i="1"/>
  <c r="AW30" i="1"/>
  <c r="AY31" i="1" s="1"/>
  <c r="BA30" i="1"/>
  <c r="AZ30" i="1"/>
  <c r="BB30" i="1" s="1"/>
  <c r="BE29" i="1"/>
  <c r="BF29" i="1" s="1"/>
  <c r="BB105" i="1"/>
  <c r="BE105" i="1" s="1"/>
  <c r="AL137" i="1"/>
  <c r="AN138" i="1" s="1"/>
  <c r="AO137" i="1"/>
  <c r="AP137" i="1"/>
  <c r="AL59" i="1"/>
  <c r="AN60" i="1" s="1"/>
  <c r="AP59" i="1"/>
  <c r="AO59" i="1"/>
  <c r="AQ59" i="1" s="1"/>
  <c r="BE59" i="1" s="1"/>
  <c r="AP49" i="1"/>
  <c r="AL49" i="1"/>
  <c r="AN50" i="1" s="1"/>
  <c r="AO49" i="1"/>
  <c r="BE47" i="1"/>
  <c r="AQ136" i="1"/>
  <c r="BE136" i="1" s="1"/>
  <c r="AQ130" i="1"/>
  <c r="BE130" i="1" s="1"/>
  <c r="AQ48" i="1"/>
  <c r="AR47" i="1"/>
  <c r="AR48" i="1" s="1"/>
  <c r="BA78" i="1" l="1"/>
  <c r="AZ78" i="1"/>
  <c r="BB78" i="1" s="1"/>
  <c r="BE78" i="1" s="1"/>
  <c r="AW78" i="1"/>
  <c r="AY79" i="1" s="1"/>
  <c r="AW31" i="1"/>
  <c r="AY32" i="1" s="1"/>
  <c r="AZ31" i="1"/>
  <c r="BA31" i="1"/>
  <c r="BC30" i="1"/>
  <c r="BE30" i="1"/>
  <c r="BF30" i="1" s="1"/>
  <c r="BB77" i="1"/>
  <c r="BE77" i="1" s="1"/>
  <c r="AQ49" i="1"/>
  <c r="AO138" i="1"/>
  <c r="AP138" i="1"/>
  <c r="AL138" i="1"/>
  <c r="AN139" i="1" s="1"/>
  <c r="AO60" i="1"/>
  <c r="AL60" i="1"/>
  <c r="AN61" i="1" s="1"/>
  <c r="AP60" i="1"/>
  <c r="AL50" i="1"/>
  <c r="AN51" i="1" s="1"/>
  <c r="AO50" i="1"/>
  <c r="AP50" i="1"/>
  <c r="AQ137" i="1"/>
  <c r="BE137" i="1" s="1"/>
  <c r="BE48" i="1"/>
  <c r="BA79" i="1" l="1"/>
  <c r="AW79" i="1"/>
  <c r="AZ79" i="1"/>
  <c r="BB79" i="1" s="1"/>
  <c r="BE79" i="1" s="1"/>
  <c r="BA32" i="1"/>
  <c r="AZ32" i="1"/>
  <c r="BB32" i="1" s="1"/>
  <c r="BE32" i="1" s="1"/>
  <c r="AW32" i="1"/>
  <c r="AY33" i="1" s="1"/>
  <c r="BB31" i="1"/>
  <c r="AR49" i="1"/>
  <c r="BE49" i="1"/>
  <c r="AL139" i="1"/>
  <c r="AN140" i="1" s="1"/>
  <c r="AO139" i="1"/>
  <c r="AP139" i="1"/>
  <c r="AL61" i="1"/>
  <c r="AN62" i="1" s="1"/>
  <c r="AP61" i="1"/>
  <c r="AO61" i="1"/>
  <c r="AQ61" i="1" s="1"/>
  <c r="BE61" i="1" s="1"/>
  <c r="AL51" i="1"/>
  <c r="AN52" i="1" s="1"/>
  <c r="AP51" i="1"/>
  <c r="AO51" i="1"/>
  <c r="AQ51" i="1" s="1"/>
  <c r="BE51" i="1" s="1"/>
  <c r="AQ138" i="1"/>
  <c r="BE138" i="1" s="1"/>
  <c r="AQ60" i="1"/>
  <c r="BE60" i="1" s="1"/>
  <c r="AQ50" i="1"/>
  <c r="BA33" i="1" l="1"/>
  <c r="AW33" i="1"/>
  <c r="AY34" i="1" s="1"/>
  <c r="AZ33" i="1"/>
  <c r="BB33" i="1" s="1"/>
  <c r="BE33" i="1" s="1"/>
  <c r="BE31" i="1"/>
  <c r="BF31" i="1" s="1"/>
  <c r="BF32" i="1" s="1"/>
  <c r="BF33" i="1" s="1"/>
  <c r="BC31" i="1"/>
  <c r="BC32" i="1" s="1"/>
  <c r="BC33" i="1" s="1"/>
  <c r="AL140" i="1"/>
  <c r="AN141" i="1" s="1"/>
  <c r="AO140" i="1"/>
  <c r="AP140" i="1"/>
  <c r="AP62" i="1"/>
  <c r="AL62" i="1"/>
  <c r="AN63" i="1" s="1"/>
  <c r="AO62" i="1"/>
  <c r="AQ62" i="1" s="1"/>
  <c r="BE62" i="1" s="1"/>
  <c r="AP52" i="1"/>
  <c r="AL52" i="1"/>
  <c r="AO52" i="1"/>
  <c r="BE50" i="1"/>
  <c r="AR50" i="1"/>
  <c r="AR51" i="1" s="1"/>
  <c r="AQ139" i="1"/>
  <c r="BE139" i="1" s="1"/>
  <c r="AW34" i="1" l="1"/>
  <c r="AY35" i="1" s="1"/>
  <c r="BA34" i="1"/>
  <c r="AZ34" i="1"/>
  <c r="BB34" i="1" s="1"/>
  <c r="AQ52" i="1"/>
  <c r="AO141" i="1"/>
  <c r="AP141" i="1"/>
  <c r="AL141" i="1"/>
  <c r="AN142" i="1" s="1"/>
  <c r="AP63" i="1"/>
  <c r="AL63" i="1"/>
  <c r="AO63" i="1"/>
  <c r="AQ63" i="1" s="1"/>
  <c r="AQ140" i="1"/>
  <c r="BE140" i="1" s="1"/>
  <c r="BA35" i="1" l="1"/>
  <c r="AZ35" i="1"/>
  <c r="BB35" i="1" s="1"/>
  <c r="AW35" i="1"/>
  <c r="AY36" i="1" s="1"/>
  <c r="BC34" i="1"/>
  <c r="BC35" i="1" s="1"/>
  <c r="BE34" i="1"/>
  <c r="BF34" i="1" s="1"/>
  <c r="AR52" i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BE52" i="1"/>
  <c r="AO142" i="1"/>
  <c r="AL142" i="1"/>
  <c r="AP142" i="1"/>
  <c r="AR63" i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BE63" i="1"/>
  <c r="AQ141" i="1"/>
  <c r="BE141" i="1" s="1"/>
  <c r="BA36" i="1" l="1"/>
  <c r="AZ36" i="1"/>
  <c r="BB36" i="1" s="1"/>
  <c r="AW36" i="1"/>
  <c r="AY37" i="1" s="1"/>
  <c r="BE35" i="1"/>
  <c r="BF35" i="1" s="1"/>
  <c r="AQ142" i="1"/>
  <c r="BC36" i="1" l="1"/>
  <c r="BE36" i="1"/>
  <c r="BF36" i="1" s="1"/>
  <c r="AW37" i="1"/>
  <c r="AY38" i="1" s="1"/>
  <c r="BA37" i="1"/>
  <c r="AZ37" i="1"/>
  <c r="BB37" i="1" s="1"/>
  <c r="BE37" i="1" s="1"/>
  <c r="AQ15" i="1"/>
  <c r="AQ19" i="1"/>
  <c r="AR142" i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AQ14" i="1"/>
  <c r="BE142" i="1"/>
  <c r="BA38" i="1" l="1"/>
  <c r="AW38" i="1"/>
  <c r="AY39" i="1" s="1"/>
  <c r="AZ38" i="1"/>
  <c r="BC37" i="1"/>
  <c r="BF37" i="1"/>
  <c r="AQ16" i="1"/>
  <c r="AI1" i="1" s="1"/>
  <c r="BB38" i="1" l="1"/>
  <c r="BA39" i="1"/>
  <c r="AW39" i="1"/>
  <c r="AY40" i="1" s="1"/>
  <c r="AZ39" i="1"/>
  <c r="BB39" i="1" s="1"/>
  <c r="BC38" i="1" l="1"/>
  <c r="BE38" i="1"/>
  <c r="BF38" i="1" s="1"/>
  <c r="AZ40" i="1"/>
  <c r="BA40" i="1"/>
  <c r="AW40" i="1"/>
  <c r="AY41" i="1" s="1"/>
  <c r="BC39" i="1"/>
  <c r="BE39" i="1"/>
  <c r="AW41" i="1" l="1"/>
  <c r="AY42" i="1" s="1"/>
  <c r="AZ41" i="1"/>
  <c r="BA41" i="1"/>
  <c r="BF39" i="1"/>
  <c r="BB40" i="1"/>
  <c r="AZ42" i="1" l="1"/>
  <c r="BA42" i="1"/>
  <c r="AW42" i="1"/>
  <c r="AY43" i="1" s="1"/>
  <c r="BC40" i="1"/>
  <c r="BE40" i="1"/>
  <c r="BB41" i="1"/>
  <c r="BE41" i="1" s="1"/>
  <c r="BA43" i="1" l="1"/>
  <c r="AZ43" i="1"/>
  <c r="AW43" i="1"/>
  <c r="BF40" i="1"/>
  <c r="BF41" i="1" s="1"/>
  <c r="BB42" i="1"/>
  <c r="BE42" i="1" s="1"/>
  <c r="BC41" i="1"/>
  <c r="BC42" i="1" s="1"/>
  <c r="BF42" i="1" l="1"/>
  <c r="BB43" i="1"/>
  <c r="BC43" i="1" l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43" i="1"/>
  <c r="BB19" i="1"/>
  <c r="BB14" i="1"/>
  <c r="BB15" i="1"/>
  <c r="BE15" i="1" l="1"/>
  <c r="BE18" i="1"/>
  <c r="BE14" i="1"/>
  <c r="BE16" i="1" s="1"/>
  <c r="BF43" i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B16" i="1"/>
  <c r="AT1" i="1" s="1"/>
</calcChain>
</file>

<file path=xl/sharedStrings.xml><?xml version="1.0" encoding="utf-8"?>
<sst xmlns="http://schemas.openxmlformats.org/spreadsheetml/2006/main" count="74" uniqueCount="53">
  <si>
    <t>date</t>
  </si>
  <si>
    <t>BNDX</t>
  </si>
  <si>
    <t>IAGG</t>
  </si>
  <si>
    <t>BNDX log rtn</t>
  </si>
  <si>
    <t>IAGG log rtn</t>
  </si>
  <si>
    <t>BNDX div</t>
  </si>
  <si>
    <t>BNDX div cumsum</t>
  </si>
  <si>
    <t>IAGG div</t>
  </si>
  <si>
    <t>IAGG div cumsum</t>
  </si>
  <si>
    <t>BNDX div adjustment</t>
  </si>
  <si>
    <t>IAGG div adjustment</t>
  </si>
  <si>
    <t>BNDX*</t>
  </si>
  <si>
    <t>IAGG*</t>
  </si>
  <si>
    <t>IAGG/BNDX</t>
  </si>
  <si>
    <t>IAGG/BNDX avg</t>
  </si>
  <si>
    <t>IAGG/BNDX 10 dma</t>
  </si>
  <si>
    <t>IAGG/BNDX 20 dma</t>
  </si>
  <si>
    <t>BNDX x avg</t>
  </si>
  <si>
    <t>BNDX x 10 dma</t>
  </si>
  <si>
    <t>BNDX x 20 dma</t>
  </si>
  <si>
    <t>log diff BNDX x avg / IAGG</t>
  </si>
  <si>
    <t>log diff BNDX x 10 dma / IAGG</t>
  </si>
  <si>
    <t>log diff BNDX x 20 dma / IAGG</t>
  </si>
  <si>
    <t>IAGG*/BNDX*</t>
  </si>
  <si>
    <t>IAGG*/BNDX* avg</t>
  </si>
  <si>
    <t>IAGG*/BNDX* 10 dma</t>
  </si>
  <si>
    <t>IAGG*/BNDX* 20 dma</t>
  </si>
  <si>
    <t>BNDX* x avg</t>
  </si>
  <si>
    <t>BNDX* x 10 dma</t>
  </si>
  <si>
    <t>BNDX* x 20 dma</t>
  </si>
  <si>
    <t>log diff BNDX* x avg / IAGG*</t>
  </si>
  <si>
    <t>log diff BNDX* x 10 dma / IAGG*</t>
  </si>
  <si>
    <t>log diff BNDX* x 20 dma / IAGG*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</si>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</sst>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IAGG/BNDX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1.0403907452411401</c:v>
                </c:pt>
                <c:pt idx="1">
                  <c:v>1.0403907452411401</c:v>
                </c:pt>
                <c:pt idx="2">
                  <c:v>1.0403907452411401</c:v>
                </c:pt>
                <c:pt idx="3">
                  <c:v>1.0403907452411401</c:v>
                </c:pt>
                <c:pt idx="4">
                  <c:v>1.0403907452411401</c:v>
                </c:pt>
                <c:pt idx="5">
                  <c:v>1.0403907452411401</c:v>
                </c:pt>
                <c:pt idx="6">
                  <c:v>1.0403907452411401</c:v>
                </c:pt>
                <c:pt idx="7">
                  <c:v>1.0403907452411401</c:v>
                </c:pt>
                <c:pt idx="8">
                  <c:v>1.0403907452411401</c:v>
                </c:pt>
                <c:pt idx="9">
                  <c:v>1.0403907452411401</c:v>
                </c:pt>
                <c:pt idx="10">
                  <c:v>1.0403907452411401</c:v>
                </c:pt>
                <c:pt idx="11">
                  <c:v>1.0403907452411401</c:v>
                </c:pt>
                <c:pt idx="12">
                  <c:v>1.0403907452411401</c:v>
                </c:pt>
                <c:pt idx="13">
                  <c:v>1.0403907452411401</c:v>
                </c:pt>
                <c:pt idx="14">
                  <c:v>1.0403907452411401</c:v>
                </c:pt>
                <c:pt idx="15">
                  <c:v>1.0403907452411401</c:v>
                </c:pt>
                <c:pt idx="16">
                  <c:v>1.0403907452411401</c:v>
                </c:pt>
                <c:pt idx="17">
                  <c:v>1.0403907452411401</c:v>
                </c:pt>
                <c:pt idx="18">
                  <c:v>1.0403907452411401</c:v>
                </c:pt>
                <c:pt idx="19">
                  <c:v>1.0403907452411401</c:v>
                </c:pt>
                <c:pt idx="20">
                  <c:v>1.0403907452411401</c:v>
                </c:pt>
                <c:pt idx="21">
                  <c:v>1.0403907452411401</c:v>
                </c:pt>
                <c:pt idx="22">
                  <c:v>1.0403907452411401</c:v>
                </c:pt>
                <c:pt idx="23">
                  <c:v>1.0403907452411401</c:v>
                </c:pt>
                <c:pt idx="24">
                  <c:v>1.0403907452411401</c:v>
                </c:pt>
                <c:pt idx="25">
                  <c:v>1.0403907452411401</c:v>
                </c:pt>
                <c:pt idx="26">
                  <c:v>1.0403907452411401</c:v>
                </c:pt>
                <c:pt idx="27">
                  <c:v>1.0403907452411401</c:v>
                </c:pt>
                <c:pt idx="28">
                  <c:v>1.0403907452411401</c:v>
                </c:pt>
                <c:pt idx="29">
                  <c:v>1.0403907452411401</c:v>
                </c:pt>
                <c:pt idx="30">
                  <c:v>1.0403907452411401</c:v>
                </c:pt>
                <c:pt idx="31">
                  <c:v>1.0403907452411401</c:v>
                </c:pt>
                <c:pt idx="32">
                  <c:v>1.0403907452411401</c:v>
                </c:pt>
                <c:pt idx="33">
                  <c:v>1.0403907452411401</c:v>
                </c:pt>
                <c:pt idx="34">
                  <c:v>1.0403907452411401</c:v>
                </c:pt>
                <c:pt idx="35">
                  <c:v>1.0403907452411401</c:v>
                </c:pt>
                <c:pt idx="36">
                  <c:v>1.0403907452411401</c:v>
                </c:pt>
                <c:pt idx="37">
                  <c:v>1.0403907452411401</c:v>
                </c:pt>
                <c:pt idx="38">
                  <c:v>1.0403907452411401</c:v>
                </c:pt>
                <c:pt idx="39">
                  <c:v>1.0403907452411401</c:v>
                </c:pt>
                <c:pt idx="40">
                  <c:v>1.0403907452411401</c:v>
                </c:pt>
                <c:pt idx="41">
                  <c:v>1.0403907452411401</c:v>
                </c:pt>
                <c:pt idx="42">
                  <c:v>1.0403907452411401</c:v>
                </c:pt>
                <c:pt idx="43">
                  <c:v>1.0403907452411401</c:v>
                </c:pt>
                <c:pt idx="44">
                  <c:v>1.0403907452411401</c:v>
                </c:pt>
                <c:pt idx="45">
                  <c:v>1.0403907452411401</c:v>
                </c:pt>
                <c:pt idx="46">
                  <c:v>1.0403907452411401</c:v>
                </c:pt>
                <c:pt idx="47">
                  <c:v>1.0403907452411401</c:v>
                </c:pt>
                <c:pt idx="48">
                  <c:v>1.0403907452411401</c:v>
                </c:pt>
                <c:pt idx="49">
                  <c:v>1.0403907452411401</c:v>
                </c:pt>
                <c:pt idx="50">
                  <c:v>1.0403907452411401</c:v>
                </c:pt>
                <c:pt idx="51">
                  <c:v>1.0403907452411401</c:v>
                </c:pt>
                <c:pt idx="52">
                  <c:v>1.0403907452411401</c:v>
                </c:pt>
                <c:pt idx="53">
                  <c:v>1.0403907452411401</c:v>
                </c:pt>
                <c:pt idx="54">
                  <c:v>1.0403907452411401</c:v>
                </c:pt>
                <c:pt idx="55">
                  <c:v>1.0403907452411401</c:v>
                </c:pt>
                <c:pt idx="56">
                  <c:v>1.0403907452411401</c:v>
                </c:pt>
                <c:pt idx="57">
                  <c:v>1.0403907452411401</c:v>
                </c:pt>
                <c:pt idx="58">
                  <c:v>1.0403907452411401</c:v>
                </c:pt>
                <c:pt idx="59">
                  <c:v>1.0403907452411401</c:v>
                </c:pt>
                <c:pt idx="60">
                  <c:v>1.0403907452411401</c:v>
                </c:pt>
                <c:pt idx="61">
                  <c:v>1.0403907452411401</c:v>
                </c:pt>
                <c:pt idx="62">
                  <c:v>1.0403907452411401</c:v>
                </c:pt>
                <c:pt idx="63">
                  <c:v>1.0403907452411401</c:v>
                </c:pt>
                <c:pt idx="64">
                  <c:v>1.0403907452411401</c:v>
                </c:pt>
                <c:pt idx="65">
                  <c:v>1.0403907452411401</c:v>
                </c:pt>
                <c:pt idx="66">
                  <c:v>1.0403907452411401</c:v>
                </c:pt>
                <c:pt idx="67">
                  <c:v>1.0403907452411401</c:v>
                </c:pt>
                <c:pt idx="68">
                  <c:v>1.0403907452411401</c:v>
                </c:pt>
                <c:pt idx="69">
                  <c:v>1.0403907452411401</c:v>
                </c:pt>
                <c:pt idx="70">
                  <c:v>1.0403907452411401</c:v>
                </c:pt>
                <c:pt idx="71">
                  <c:v>1.0403907452411401</c:v>
                </c:pt>
                <c:pt idx="72">
                  <c:v>1.0403907452411401</c:v>
                </c:pt>
                <c:pt idx="73">
                  <c:v>1.0403907452411401</c:v>
                </c:pt>
                <c:pt idx="74">
                  <c:v>1.0403907452411401</c:v>
                </c:pt>
                <c:pt idx="75">
                  <c:v>1.0403907452411401</c:v>
                </c:pt>
                <c:pt idx="76">
                  <c:v>1.0403907452411401</c:v>
                </c:pt>
                <c:pt idx="77">
                  <c:v>1.0403907452411401</c:v>
                </c:pt>
                <c:pt idx="78">
                  <c:v>1.0403907452411401</c:v>
                </c:pt>
                <c:pt idx="79">
                  <c:v>1.0403907452411401</c:v>
                </c:pt>
                <c:pt idx="80">
                  <c:v>1.0403907452411401</c:v>
                </c:pt>
                <c:pt idx="81">
                  <c:v>1.0403907452411401</c:v>
                </c:pt>
                <c:pt idx="82">
                  <c:v>1.0403907452411401</c:v>
                </c:pt>
                <c:pt idx="83">
                  <c:v>1.0403907452411401</c:v>
                </c:pt>
                <c:pt idx="84">
                  <c:v>1.0403907452411401</c:v>
                </c:pt>
                <c:pt idx="85">
                  <c:v>1.0403907452411401</c:v>
                </c:pt>
                <c:pt idx="86">
                  <c:v>1.0403907452411401</c:v>
                </c:pt>
                <c:pt idx="87">
                  <c:v>1.0403907452411401</c:v>
                </c:pt>
                <c:pt idx="88">
                  <c:v>1.0403907452411401</c:v>
                </c:pt>
                <c:pt idx="89">
                  <c:v>1.0403907452411401</c:v>
                </c:pt>
                <c:pt idx="90">
                  <c:v>1.0403907452411401</c:v>
                </c:pt>
                <c:pt idx="91">
                  <c:v>1.0403907452411401</c:v>
                </c:pt>
                <c:pt idx="92">
                  <c:v>1.0403907452411401</c:v>
                </c:pt>
                <c:pt idx="93">
                  <c:v>1.0403907452411401</c:v>
                </c:pt>
                <c:pt idx="94">
                  <c:v>1.0403907452411401</c:v>
                </c:pt>
                <c:pt idx="95">
                  <c:v>1.0403907452411401</c:v>
                </c:pt>
                <c:pt idx="96">
                  <c:v>1.0403907452411401</c:v>
                </c:pt>
                <c:pt idx="97">
                  <c:v>1.0403907452411401</c:v>
                </c:pt>
                <c:pt idx="98">
                  <c:v>1.0403907452411401</c:v>
                </c:pt>
                <c:pt idx="99">
                  <c:v>1.0403907452411401</c:v>
                </c:pt>
                <c:pt idx="100">
                  <c:v>1.0403907452411401</c:v>
                </c:pt>
                <c:pt idx="101">
                  <c:v>1.0403907452411401</c:v>
                </c:pt>
                <c:pt idx="102">
                  <c:v>1.0403907452411401</c:v>
                </c:pt>
                <c:pt idx="103">
                  <c:v>1.0403907452411401</c:v>
                </c:pt>
                <c:pt idx="104">
                  <c:v>1.0403907452411401</c:v>
                </c:pt>
                <c:pt idx="105">
                  <c:v>1.0403907452411401</c:v>
                </c:pt>
                <c:pt idx="106">
                  <c:v>1.0403907452411401</c:v>
                </c:pt>
                <c:pt idx="107">
                  <c:v>1.0403907452411401</c:v>
                </c:pt>
                <c:pt idx="108">
                  <c:v>1.0403907452411401</c:v>
                </c:pt>
                <c:pt idx="109">
                  <c:v>1.0403907452411401</c:v>
                </c:pt>
                <c:pt idx="110">
                  <c:v>1.0403907452411401</c:v>
                </c:pt>
                <c:pt idx="111">
                  <c:v>1.0403907452411401</c:v>
                </c:pt>
                <c:pt idx="112">
                  <c:v>1.0403907452411401</c:v>
                </c:pt>
                <c:pt idx="113">
                  <c:v>1.0403907452411401</c:v>
                </c:pt>
                <c:pt idx="114">
                  <c:v>1.0403907452411401</c:v>
                </c:pt>
                <c:pt idx="115">
                  <c:v>1.0403907452411401</c:v>
                </c:pt>
                <c:pt idx="116">
                  <c:v>1.0403907452411401</c:v>
                </c:pt>
                <c:pt idx="117">
                  <c:v>1.0403907452411401</c:v>
                </c:pt>
                <c:pt idx="118">
                  <c:v>1.0403907452411401</c:v>
                </c:pt>
                <c:pt idx="119">
                  <c:v>1.0403907452411401</c:v>
                </c:pt>
                <c:pt idx="120">
                  <c:v>1.0403907452411401</c:v>
                </c:pt>
                <c:pt idx="121">
                  <c:v>1.0403907452411401</c:v>
                </c:pt>
                <c:pt idx="122">
                  <c:v>1.0403907452411401</c:v>
                </c:pt>
                <c:pt idx="123">
                  <c:v>1.0403907452411401</c:v>
                </c:pt>
                <c:pt idx="124">
                  <c:v>1.0403907452411401</c:v>
                </c:pt>
                <c:pt idx="125">
                  <c:v>1.0403907452411401</c:v>
                </c:pt>
                <c:pt idx="126">
                  <c:v>1.0403907452411401</c:v>
                </c:pt>
                <c:pt idx="127">
                  <c:v>1.0403907452411401</c:v>
                </c:pt>
                <c:pt idx="128">
                  <c:v>1.0403907452411401</c:v>
                </c:pt>
                <c:pt idx="129">
                  <c:v>1.0403907452411401</c:v>
                </c:pt>
                <c:pt idx="130">
                  <c:v>1.0403907452411401</c:v>
                </c:pt>
                <c:pt idx="131">
                  <c:v>1.0403907452411401</c:v>
                </c:pt>
                <c:pt idx="132">
                  <c:v>1.0403907452411401</c:v>
                </c:pt>
                <c:pt idx="133">
                  <c:v>1.0403907452411401</c:v>
                </c:pt>
                <c:pt idx="134">
                  <c:v>1.0403907452411401</c:v>
                </c:pt>
                <c:pt idx="135">
                  <c:v>1.0403907452411401</c:v>
                </c:pt>
                <c:pt idx="136">
                  <c:v>1.0403907452411401</c:v>
                </c:pt>
                <c:pt idx="137">
                  <c:v>1.0403907452411401</c:v>
                </c:pt>
                <c:pt idx="138">
                  <c:v>1.0403907452411401</c:v>
                </c:pt>
                <c:pt idx="139">
                  <c:v>1.0403907452411401</c:v>
                </c:pt>
                <c:pt idx="140">
                  <c:v>1.0403907452411401</c:v>
                </c:pt>
                <c:pt idx="141">
                  <c:v>1.0403907452411401</c:v>
                </c:pt>
                <c:pt idx="142">
                  <c:v>1.0403907452411401</c:v>
                </c:pt>
                <c:pt idx="143">
                  <c:v>1.0403907452411401</c:v>
                </c:pt>
                <c:pt idx="144">
                  <c:v>1.0403907452411401</c:v>
                </c:pt>
                <c:pt idx="145">
                  <c:v>1.0403907452411401</c:v>
                </c:pt>
                <c:pt idx="146">
                  <c:v>1.0403907452411401</c:v>
                </c:pt>
                <c:pt idx="147">
                  <c:v>1.0403907452411401</c:v>
                </c:pt>
                <c:pt idx="148">
                  <c:v>1.0403907452411401</c:v>
                </c:pt>
                <c:pt idx="149">
                  <c:v>1.0403907452411401</c:v>
                </c:pt>
                <c:pt idx="150">
                  <c:v>1.0403907452411401</c:v>
                </c:pt>
                <c:pt idx="151">
                  <c:v>1.0403907452411401</c:v>
                </c:pt>
                <c:pt idx="152">
                  <c:v>1.0403907452411401</c:v>
                </c:pt>
                <c:pt idx="153">
                  <c:v>1.0403907452411401</c:v>
                </c:pt>
                <c:pt idx="154">
                  <c:v>1.0403907452411401</c:v>
                </c:pt>
                <c:pt idx="155">
                  <c:v>1.0403907452411401</c:v>
                </c:pt>
                <c:pt idx="156">
                  <c:v>1.0403907452411401</c:v>
                </c:pt>
                <c:pt idx="157">
                  <c:v>1.0403907452411401</c:v>
                </c:pt>
                <c:pt idx="158">
                  <c:v>1.0403907452411401</c:v>
                </c:pt>
                <c:pt idx="159">
                  <c:v>1.0403907452411401</c:v>
                </c:pt>
                <c:pt idx="160">
                  <c:v>1.0403907452411401</c:v>
                </c:pt>
                <c:pt idx="161">
                  <c:v>1.0403907452411401</c:v>
                </c:pt>
                <c:pt idx="162">
                  <c:v>1.0403907452411401</c:v>
                </c:pt>
                <c:pt idx="163">
                  <c:v>1.0403907452411401</c:v>
                </c:pt>
                <c:pt idx="164">
                  <c:v>1.0403907452411401</c:v>
                </c:pt>
                <c:pt idx="165">
                  <c:v>1.0403907452411401</c:v>
                </c:pt>
                <c:pt idx="166">
                  <c:v>1.0403907452411401</c:v>
                </c:pt>
                <c:pt idx="167">
                  <c:v>1.0403907452411401</c:v>
                </c:pt>
                <c:pt idx="168">
                  <c:v>1.0403907452411401</c:v>
                </c:pt>
                <c:pt idx="169">
                  <c:v>1.0403907452411401</c:v>
                </c:pt>
                <c:pt idx="170">
                  <c:v>1.0403907452411401</c:v>
                </c:pt>
                <c:pt idx="171">
                  <c:v>1.0403907452411401</c:v>
                </c:pt>
                <c:pt idx="172">
                  <c:v>1.0403907452411401</c:v>
                </c:pt>
                <c:pt idx="173">
                  <c:v>1.0403907452411401</c:v>
                </c:pt>
                <c:pt idx="174">
                  <c:v>1.0403907452411401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1-4796-BE61-6B41EB06A266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IAGG/BNDX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1.0349663907105</c:v>
                </c:pt>
                <c:pt idx="10">
                  <c:v>1.03484631654657</c:v>
                </c:pt>
                <c:pt idx="11">
                  <c:v>1.0348869169767401</c:v>
                </c:pt>
                <c:pt idx="12">
                  <c:v>1.0349289468723599</c:v>
                </c:pt>
                <c:pt idx="13">
                  <c:v>1.03499515159532</c:v>
                </c:pt>
                <c:pt idx="14">
                  <c:v>1.03506278713913</c:v>
                </c:pt>
                <c:pt idx="15">
                  <c:v>1.0350429072437499</c:v>
                </c:pt>
                <c:pt idx="16">
                  <c:v>1.0350472345922199</c:v>
                </c:pt>
                <c:pt idx="17">
                  <c:v>1.03519368789954</c:v>
                </c:pt>
                <c:pt idx="18">
                  <c:v>1.0351689314559001</c:v>
                </c:pt>
                <c:pt idx="19">
                  <c:v>1.0353144601117901</c:v>
                </c:pt>
                <c:pt idx="20">
                  <c:v>1.0354462582349899</c:v>
                </c:pt>
                <c:pt idx="21">
                  <c:v>1.0354860949964699</c:v>
                </c:pt>
                <c:pt idx="22">
                  <c:v>1.03531737303446</c:v>
                </c:pt>
                <c:pt idx="23">
                  <c:v>1.0352298493205501</c:v>
                </c:pt>
                <c:pt idx="24">
                  <c:v>1.0351607877103299</c:v>
                </c:pt>
                <c:pt idx="25">
                  <c:v>1.03511672513026</c:v>
                </c:pt>
                <c:pt idx="26">
                  <c:v>1.03496141301914</c:v>
                </c:pt>
                <c:pt idx="27">
                  <c:v>1.0348042336963901</c:v>
                </c:pt>
                <c:pt idx="28">
                  <c:v>1.03483618608905</c:v>
                </c:pt>
                <c:pt idx="29">
                  <c:v>1.0347776970771301</c:v>
                </c:pt>
                <c:pt idx="30">
                  <c:v>1.0345998171694999</c:v>
                </c:pt>
                <c:pt idx="31">
                  <c:v>1.0343795446084001</c:v>
                </c:pt>
                <c:pt idx="32">
                  <c:v>1.0343684912345099</c:v>
                </c:pt>
                <c:pt idx="33">
                  <c:v>1.03433739961063</c:v>
                </c:pt>
                <c:pt idx="34">
                  <c:v>1.0342395927616299</c:v>
                </c:pt>
                <c:pt idx="35">
                  <c:v>1.0341010993589701</c:v>
                </c:pt>
                <c:pt idx="36">
                  <c:v>1.0341383838950799</c:v>
                </c:pt>
                <c:pt idx="37">
                  <c:v>1.0339865249211799</c:v>
                </c:pt>
                <c:pt idx="38">
                  <c:v>1.0339383775134701</c:v>
                </c:pt>
                <c:pt idx="39">
                  <c:v>1.03397066025096</c:v>
                </c:pt>
                <c:pt idx="40">
                  <c:v>1.03415989823576</c:v>
                </c:pt>
                <c:pt idx="41">
                  <c:v>1.0345175219551199</c:v>
                </c:pt>
                <c:pt idx="42">
                  <c:v>1.0348714652170099</c:v>
                </c:pt>
                <c:pt idx="43">
                  <c:v>1.0353638719999401</c:v>
                </c:pt>
                <c:pt idx="44">
                  <c:v>1.0358355896715801</c:v>
                </c:pt>
                <c:pt idx="45">
                  <c:v>1.03631132038651</c:v>
                </c:pt>
                <c:pt idx="46">
                  <c:v>1.0368634619853501</c:v>
                </c:pt>
                <c:pt idx="47">
                  <c:v>1.03757932413189</c:v>
                </c:pt>
                <c:pt idx="48">
                  <c:v>1.03828867372538</c:v>
                </c:pt>
                <c:pt idx="49">
                  <c:v>1.0387140225612701</c:v>
                </c:pt>
                <c:pt idx="50">
                  <c:v>1.0388987255639099</c:v>
                </c:pt>
                <c:pt idx="51">
                  <c:v>1.0391580588096501</c:v>
                </c:pt>
                <c:pt idx="52">
                  <c:v>1.0394426036264699</c:v>
                </c:pt>
                <c:pt idx="53">
                  <c:v>1.03955703780899</c:v>
                </c:pt>
                <c:pt idx="54">
                  <c:v>1.03976360166003</c:v>
                </c:pt>
                <c:pt idx="55">
                  <c:v>1.0400025634841501</c:v>
                </c:pt>
                <c:pt idx="56">
                  <c:v>1.0400788827448</c:v>
                </c:pt>
                <c:pt idx="57">
                  <c:v>1.0402751935994199</c:v>
                </c:pt>
                <c:pt idx="58">
                  <c:v>1.0404302152807701</c:v>
                </c:pt>
                <c:pt idx="59">
                  <c:v>1.04069602894832</c:v>
                </c:pt>
                <c:pt idx="60">
                  <c:v>1.04102802438958</c:v>
                </c:pt>
                <c:pt idx="61">
                  <c:v>1.0408697482804199</c:v>
                </c:pt>
                <c:pt idx="62">
                  <c:v>1.04071730373516</c:v>
                </c:pt>
                <c:pt idx="63">
                  <c:v>1.0406696308682699</c:v>
                </c:pt>
                <c:pt idx="64">
                  <c:v>1.0405945751906001</c:v>
                </c:pt>
                <c:pt idx="65">
                  <c:v>1.04039126520759</c:v>
                </c:pt>
                <c:pt idx="66">
                  <c:v>1.0403247639162001</c:v>
                </c:pt>
                <c:pt idx="67">
                  <c:v>1.04009351129785</c:v>
                </c:pt>
                <c:pt idx="68">
                  <c:v>1.0397477457919</c:v>
                </c:pt>
                <c:pt idx="69">
                  <c:v>1.03931602586139</c:v>
                </c:pt>
                <c:pt idx="70">
                  <c:v>1.0389982805092</c:v>
                </c:pt>
                <c:pt idx="71">
                  <c:v>1.0390542532871001</c:v>
                </c:pt>
                <c:pt idx="72">
                  <c:v>1.0390450941612901</c:v>
                </c:pt>
                <c:pt idx="73">
                  <c:v>1.0389507132950999</c:v>
                </c:pt>
                <c:pt idx="74">
                  <c:v>1.0388726780323501</c:v>
                </c:pt>
                <c:pt idx="75">
                  <c:v>1.0389636531556701</c:v>
                </c:pt>
                <c:pt idx="76">
                  <c:v>1.03890455366871</c:v>
                </c:pt>
                <c:pt idx="77">
                  <c:v>1.0388904369985801</c:v>
                </c:pt>
                <c:pt idx="78">
                  <c:v>1.0389104385408301</c:v>
                </c:pt>
                <c:pt idx="79">
                  <c:v>1.0390111661089201</c:v>
                </c:pt>
                <c:pt idx="80">
                  <c:v>1.03921998727928</c:v>
                </c:pt>
                <c:pt idx="81">
                  <c:v>1.03918161836079</c:v>
                </c:pt>
                <c:pt idx="82">
                  <c:v>1.0393984282928199</c:v>
                </c:pt>
                <c:pt idx="83">
                  <c:v>1.0396842716502399</c:v>
                </c:pt>
                <c:pt idx="84">
                  <c:v>1.03993101260068</c:v>
                </c:pt>
                <c:pt idx="85">
                  <c:v>1.04007799050331</c:v>
                </c:pt>
                <c:pt idx="86">
                  <c:v>1.04026598728832</c:v>
                </c:pt>
                <c:pt idx="87">
                  <c:v>1.04047619868217</c:v>
                </c:pt>
                <c:pt idx="88">
                  <c:v>1.0407736951676501</c:v>
                </c:pt>
                <c:pt idx="89">
                  <c:v>1.04120749998534</c:v>
                </c:pt>
                <c:pt idx="90">
                  <c:v>1.04141290074102</c:v>
                </c:pt>
                <c:pt idx="91">
                  <c:v>1.04160697364949</c:v>
                </c:pt>
                <c:pt idx="92">
                  <c:v>1.04193580891016</c:v>
                </c:pt>
                <c:pt idx="93">
                  <c:v>1.04213675826615</c:v>
                </c:pt>
                <c:pt idx="94">
                  <c:v>1.0423939623521301</c:v>
                </c:pt>
                <c:pt idx="95">
                  <c:v>1.0426021581823901</c:v>
                </c:pt>
                <c:pt idx="96">
                  <c:v>1.04275654863487</c:v>
                </c:pt>
                <c:pt idx="97">
                  <c:v>1.0426803040984101</c:v>
                </c:pt>
                <c:pt idx="98">
                  <c:v>1.0425340772295699</c:v>
                </c:pt>
                <c:pt idx="99">
                  <c:v>1.0423106190868501</c:v>
                </c:pt>
                <c:pt idx="100">
                  <c:v>1.04215467879475</c:v>
                </c:pt>
                <c:pt idx="101">
                  <c:v>1.0421037080802</c:v>
                </c:pt>
                <c:pt idx="102">
                  <c:v>1.0420747077255299</c:v>
                </c:pt>
                <c:pt idx="103">
                  <c:v>1.04198776217198</c:v>
                </c:pt>
                <c:pt idx="104">
                  <c:v>1.04205163186328</c:v>
                </c:pt>
                <c:pt idx="105">
                  <c:v>1.0422245837325901</c:v>
                </c:pt>
                <c:pt idx="106">
                  <c:v>1.0424302298920001</c:v>
                </c:pt>
                <c:pt idx="107">
                  <c:v>1.0427316518632399</c:v>
                </c:pt>
                <c:pt idx="108">
                  <c:v>1.04314789121644</c:v>
                </c:pt>
                <c:pt idx="109">
                  <c:v>1.0435928594336099</c:v>
                </c:pt>
                <c:pt idx="110">
                  <c:v>1.04393172544529</c:v>
                </c:pt>
                <c:pt idx="111">
                  <c:v>1.04418620088863</c:v>
                </c:pt>
                <c:pt idx="112">
                  <c:v>1.04417159448869</c:v>
                </c:pt>
                <c:pt idx="113">
                  <c:v>1.0442841891761501</c:v>
                </c:pt>
                <c:pt idx="114">
                  <c:v>1.04421696595917</c:v>
                </c:pt>
                <c:pt idx="115">
                  <c:v>1.0442748408901299</c:v>
                </c:pt>
                <c:pt idx="116">
                  <c:v>1.04435452786578</c:v>
                </c:pt>
                <c:pt idx="117">
                  <c:v>1.04423255293754</c:v>
                </c:pt>
                <c:pt idx="118">
                  <c:v>1.04404111271051</c:v>
                </c:pt>
                <c:pt idx="119">
                  <c:v>1.04384137714745</c:v>
                </c:pt>
                <c:pt idx="120">
                  <c:v>1.0437288456259199</c:v>
                </c:pt>
                <c:pt idx="121">
                  <c:v>1.0437678023077299</c:v>
                </c:pt>
                <c:pt idx="122">
                  <c:v>1.0438565342114801</c:v>
                </c:pt>
                <c:pt idx="123">
                  <c:v>1.0433648091654899</c:v>
                </c:pt>
                <c:pt idx="124">
                  <c:v>1.0428943942147799</c:v>
                </c:pt>
                <c:pt idx="125">
                  <c:v>1.0423051396048599</c:v>
                </c:pt>
                <c:pt idx="126">
                  <c:v>1.0417872109433</c:v>
                </c:pt>
                <c:pt idx="127">
                  <c:v>1.04162757501348</c:v>
                </c:pt>
                <c:pt idx="128">
                  <c:v>1.0412539506215801</c:v>
                </c:pt>
                <c:pt idx="129">
                  <c:v>1.0408750837162499</c:v>
                </c:pt>
                <c:pt idx="130">
                  <c:v>1.04059676260149</c:v>
                </c:pt>
                <c:pt idx="131">
                  <c:v>1.0403551487806799</c:v>
                </c:pt>
                <c:pt idx="132">
                  <c:v>1.039892776878</c:v>
                </c:pt>
                <c:pt idx="133">
                  <c:v>1.0400014882497599</c:v>
                </c:pt>
                <c:pt idx="134">
                  <c:v>1.0400894196546999</c:v>
                </c:pt>
                <c:pt idx="135">
                  <c:v>1.0403104111684001</c:v>
                </c:pt>
                <c:pt idx="136">
                  <c:v>1.0403890163004299</c:v>
                </c:pt>
                <c:pt idx="137">
                  <c:v>1.04032885290794</c:v>
                </c:pt>
                <c:pt idx="138">
                  <c:v>1.0406267707653001</c:v>
                </c:pt>
                <c:pt idx="139">
                  <c:v>1.0407337229161799</c:v>
                </c:pt>
                <c:pt idx="140">
                  <c:v>1.04068946369107</c:v>
                </c:pt>
                <c:pt idx="141">
                  <c:v>1.04066608430688</c:v>
                </c:pt>
                <c:pt idx="142">
                  <c:v>1.04074732318607</c:v>
                </c:pt>
                <c:pt idx="143">
                  <c:v>1.0407958180679799</c:v>
                </c:pt>
                <c:pt idx="144">
                  <c:v>1.0409348370065701</c:v>
                </c:pt>
                <c:pt idx="145">
                  <c:v>1.0411003300973001</c:v>
                </c:pt>
                <c:pt idx="146">
                  <c:v>1.0413177415735899</c:v>
                </c:pt>
                <c:pt idx="147">
                  <c:v>1.04153080461584</c:v>
                </c:pt>
                <c:pt idx="148">
                  <c:v>1.0416402568692</c:v>
                </c:pt>
                <c:pt idx="149">
                  <c:v>1.0418986108903401</c:v>
                </c:pt>
                <c:pt idx="150">
                  <c:v>1.04232795082042</c:v>
                </c:pt>
                <c:pt idx="151">
                  <c:v>1.04265599821703</c:v>
                </c:pt>
                <c:pt idx="152">
                  <c:v>1.0429269937082899</c:v>
                </c:pt>
                <c:pt idx="153">
                  <c:v>1.04319578560036</c:v>
                </c:pt>
                <c:pt idx="154">
                  <c:v>1.0435563732583499</c:v>
                </c:pt>
                <c:pt idx="155">
                  <c:v>1.0437204476300801</c:v>
                </c:pt>
                <c:pt idx="156">
                  <c:v>1.0440279040966001</c:v>
                </c:pt>
                <c:pt idx="157">
                  <c:v>1.04413417012587</c:v>
                </c:pt>
                <c:pt idx="158">
                  <c:v>1.0443028454107199</c:v>
                </c:pt>
                <c:pt idx="159">
                  <c:v>1.0444141015613799</c:v>
                </c:pt>
                <c:pt idx="160">
                  <c:v>1.04446623382768</c:v>
                </c:pt>
                <c:pt idx="161">
                  <c:v>1.04441627870218</c:v>
                </c:pt>
                <c:pt idx="162">
                  <c:v>1.0443780790841399</c:v>
                </c:pt>
                <c:pt idx="163">
                  <c:v>1.04439719248991</c:v>
                </c:pt>
                <c:pt idx="164">
                  <c:v>1.04438754235995</c:v>
                </c:pt>
                <c:pt idx="165">
                  <c:v>1.0444810651663401</c:v>
                </c:pt>
                <c:pt idx="166">
                  <c:v>1.0447660784574899</c:v>
                </c:pt>
                <c:pt idx="167">
                  <c:v>1.0453196324303999</c:v>
                </c:pt>
                <c:pt idx="168">
                  <c:v>1.0456386782152001</c:v>
                </c:pt>
                <c:pt idx="169">
                  <c:v>1.04601570290679</c:v>
                </c:pt>
                <c:pt idx="170">
                  <c:v>1.04638066411685</c:v>
                </c:pt>
                <c:pt idx="171">
                  <c:v>1.04697219510916</c:v>
                </c:pt>
                <c:pt idx="172">
                  <c:v>1.0477069025580401</c:v>
                </c:pt>
                <c:pt idx="173">
                  <c:v>1.0484963474776301</c:v>
                </c:pt>
                <c:pt idx="174">
                  <c:v>1.04922109038992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51-4796-BE61-6B41EB06A266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IAGG/BNDX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1.03514042541114</c:v>
                </c:pt>
                <c:pt idx="20">
                  <c:v>1.03514628739078</c:v>
                </c:pt>
                <c:pt idx="21">
                  <c:v>1.0351865059866101</c:v>
                </c:pt>
                <c:pt idx="22">
                  <c:v>1.0351231599534101</c:v>
                </c:pt>
                <c:pt idx="23">
                  <c:v>1.03511250045794</c:v>
                </c:pt>
                <c:pt idx="24">
                  <c:v>1.03511178742473</c:v>
                </c:pt>
                <c:pt idx="25">
                  <c:v>1.0350798161870101</c:v>
                </c:pt>
                <c:pt idx="26">
                  <c:v>1.0350043238056801</c:v>
                </c:pt>
                <c:pt idx="27">
                  <c:v>1.0349989607979699</c:v>
                </c:pt>
                <c:pt idx="28">
                  <c:v>1.03500255877248</c:v>
                </c:pt>
                <c:pt idx="29">
                  <c:v>1.03504607859446</c:v>
                </c:pt>
                <c:pt idx="30">
                  <c:v>1.03502303770225</c:v>
                </c:pt>
                <c:pt idx="31">
                  <c:v>1.0349328198024399</c:v>
                </c:pt>
                <c:pt idx="32">
                  <c:v>1.0348429321344901</c:v>
                </c:pt>
                <c:pt idx="33">
                  <c:v>1.0347836244655899</c:v>
                </c:pt>
                <c:pt idx="34">
                  <c:v>1.03470019023598</c:v>
                </c:pt>
                <c:pt idx="35">
                  <c:v>1.03460891224462</c:v>
                </c:pt>
                <c:pt idx="36">
                  <c:v>1.03454989845711</c:v>
                </c:pt>
                <c:pt idx="37">
                  <c:v>1.0343953793087799</c:v>
                </c:pt>
                <c:pt idx="38">
                  <c:v>1.0343872818012601</c:v>
                </c:pt>
                <c:pt idx="39">
                  <c:v>1.0343741786640499</c:v>
                </c:pt>
                <c:pt idx="40">
                  <c:v>1.03437985770263</c:v>
                </c:pt>
                <c:pt idx="41">
                  <c:v>1.0344485332817599</c:v>
                </c:pt>
                <c:pt idx="42">
                  <c:v>1.0346199782257599</c:v>
                </c:pt>
                <c:pt idx="43">
                  <c:v>1.03485063580528</c:v>
                </c:pt>
                <c:pt idx="44">
                  <c:v>1.0350375912166001</c:v>
                </c:pt>
                <c:pt idx="45">
                  <c:v>1.0352062098727399</c:v>
                </c:pt>
                <c:pt idx="46">
                  <c:v>1.0355009229402099</c:v>
                </c:pt>
                <c:pt idx="47">
                  <c:v>1.03578292452653</c:v>
                </c:pt>
                <c:pt idx="48">
                  <c:v>1.03611352561943</c:v>
                </c:pt>
                <c:pt idx="49">
                  <c:v>1.0363423414061199</c:v>
                </c:pt>
                <c:pt idx="50">
                  <c:v>1.03652931189984</c:v>
                </c:pt>
                <c:pt idx="51">
                  <c:v>1.03683779038239</c:v>
                </c:pt>
                <c:pt idx="52">
                  <c:v>1.03715703442174</c:v>
                </c:pt>
                <c:pt idx="53">
                  <c:v>1.0374604549044599</c:v>
                </c:pt>
                <c:pt idx="54">
                  <c:v>1.0377995956657999</c:v>
                </c:pt>
                <c:pt idx="55">
                  <c:v>1.03815694193533</c:v>
                </c:pt>
                <c:pt idx="56">
                  <c:v>1.0384711723650699</c:v>
                </c:pt>
                <c:pt idx="57">
                  <c:v>1.03892725886565</c:v>
                </c:pt>
                <c:pt idx="58">
                  <c:v>1.03935944450308</c:v>
                </c:pt>
                <c:pt idx="59">
                  <c:v>1.0397050257547999</c:v>
                </c:pt>
                <c:pt idx="60">
                  <c:v>1.0399633749767501</c:v>
                </c:pt>
                <c:pt idx="61">
                  <c:v>1.04001390354503</c:v>
                </c:pt>
                <c:pt idx="62">
                  <c:v>1.0400799536808201</c:v>
                </c:pt>
                <c:pt idx="63">
                  <c:v>1.04011333433863</c:v>
                </c:pt>
                <c:pt idx="64">
                  <c:v>1.0401790884253099</c:v>
                </c:pt>
                <c:pt idx="65">
                  <c:v>1.04019691434587</c:v>
                </c:pt>
                <c:pt idx="66">
                  <c:v>1.0402018233304999</c:v>
                </c:pt>
                <c:pt idx="67">
                  <c:v>1.0401843524486301</c:v>
                </c:pt>
                <c:pt idx="68">
                  <c:v>1.04008898053634</c:v>
                </c:pt>
                <c:pt idx="69">
                  <c:v>1.0400060274048599</c:v>
                </c:pt>
                <c:pt idx="70">
                  <c:v>1.0400131524493901</c:v>
                </c:pt>
                <c:pt idx="71">
                  <c:v>1.03996200078376</c:v>
                </c:pt>
                <c:pt idx="72">
                  <c:v>1.0398811989482299</c:v>
                </c:pt>
                <c:pt idx="73">
                  <c:v>1.0398101720816899</c:v>
                </c:pt>
                <c:pt idx="74">
                  <c:v>1.0397336266114701</c:v>
                </c:pt>
                <c:pt idx="75">
                  <c:v>1.03967745918163</c:v>
                </c:pt>
                <c:pt idx="76">
                  <c:v>1.03961465879245</c:v>
                </c:pt>
                <c:pt idx="77">
                  <c:v>1.03949197414822</c:v>
                </c:pt>
                <c:pt idx="78">
                  <c:v>1.03932909216637</c:v>
                </c:pt>
                <c:pt idx="79">
                  <c:v>1.0391635959851599</c:v>
                </c:pt>
                <c:pt idx="80">
                  <c:v>1.03910913389424</c:v>
                </c:pt>
                <c:pt idx="81">
                  <c:v>1.03911793582395</c:v>
                </c:pt>
                <c:pt idx="82">
                  <c:v>1.03922176122706</c:v>
                </c:pt>
                <c:pt idx="83">
                  <c:v>1.03931749247267</c:v>
                </c:pt>
                <c:pt idx="84">
                  <c:v>1.0394018453165099</c:v>
                </c:pt>
                <c:pt idx="85">
                  <c:v>1.03952082182949</c:v>
                </c:pt>
                <c:pt idx="86">
                  <c:v>1.03958527047851</c:v>
                </c:pt>
                <c:pt idx="87">
                  <c:v>1.0396833178403799</c:v>
                </c:pt>
                <c:pt idx="88">
                  <c:v>1.0398420668542401</c:v>
                </c:pt>
                <c:pt idx="89">
                  <c:v>1.04010933304713</c:v>
                </c:pt>
                <c:pt idx="90">
                  <c:v>1.04031644401015</c:v>
                </c:pt>
                <c:pt idx="91">
                  <c:v>1.04039429600514</c:v>
                </c:pt>
                <c:pt idx="92">
                  <c:v>1.04066711860149</c:v>
                </c:pt>
                <c:pt idx="93">
                  <c:v>1.0409105149582001</c:v>
                </c:pt>
                <c:pt idx="94">
                  <c:v>1.0411624874764001</c:v>
                </c:pt>
                <c:pt idx="95">
                  <c:v>1.04134007434285</c:v>
                </c:pt>
                <c:pt idx="96">
                  <c:v>1.0415112679616001</c:v>
                </c:pt>
                <c:pt idx="97">
                  <c:v>1.04157825139029</c:v>
                </c:pt>
                <c:pt idx="98">
                  <c:v>1.04165388619861</c:v>
                </c:pt>
                <c:pt idx="99">
                  <c:v>1.0417590595360999</c:v>
                </c:pt>
                <c:pt idx="100">
                  <c:v>1.0417837897678901</c:v>
                </c:pt>
                <c:pt idx="101">
                  <c:v>1.0418553408648501</c:v>
                </c:pt>
                <c:pt idx="102">
                  <c:v>1.0420052583178501</c:v>
                </c:pt>
                <c:pt idx="103">
                  <c:v>1.0420622602190699</c:v>
                </c:pt>
                <c:pt idx="104">
                  <c:v>1.0422227971077</c:v>
                </c:pt>
                <c:pt idx="105">
                  <c:v>1.0424133709574901</c:v>
                </c:pt>
                <c:pt idx="106">
                  <c:v>1.04259338926344</c:v>
                </c:pt>
                <c:pt idx="107">
                  <c:v>1.0427059779808201</c:v>
                </c:pt>
                <c:pt idx="108">
                  <c:v>1.04284098422301</c:v>
                </c:pt>
                <c:pt idx="109">
                  <c:v>1.0429517392602301</c:v>
                </c:pt>
                <c:pt idx="110">
                  <c:v>1.04304320212002</c:v>
                </c:pt>
                <c:pt idx="111">
                  <c:v>1.04314495448442</c:v>
                </c:pt>
                <c:pt idx="112">
                  <c:v>1.04312315110711</c:v>
                </c:pt>
                <c:pt idx="113">
                  <c:v>1.0431359756740599</c:v>
                </c:pt>
                <c:pt idx="114">
                  <c:v>1.04313429891123</c:v>
                </c:pt>
                <c:pt idx="115">
                  <c:v>1.04324971231136</c:v>
                </c:pt>
                <c:pt idx="116">
                  <c:v>1.0433923788788899</c:v>
                </c:pt>
                <c:pt idx="117">
                  <c:v>1.04348210240039</c:v>
                </c:pt>
                <c:pt idx="118">
                  <c:v>1.04359450196348</c:v>
                </c:pt>
                <c:pt idx="119">
                  <c:v>1.04371711829053</c:v>
                </c:pt>
                <c:pt idx="120">
                  <c:v>1.0438302855356001</c:v>
                </c:pt>
                <c:pt idx="121">
                  <c:v>1.04397700159818</c:v>
                </c:pt>
                <c:pt idx="122">
                  <c:v>1.0440140643500899</c:v>
                </c:pt>
                <c:pt idx="123">
                  <c:v>1.0438244991708201</c:v>
                </c:pt>
                <c:pt idx="124">
                  <c:v>1.0435556800869801</c:v>
                </c:pt>
                <c:pt idx="125">
                  <c:v>1.0432899902474899</c:v>
                </c:pt>
                <c:pt idx="126">
                  <c:v>1.0430708694045401</c:v>
                </c:pt>
                <c:pt idx="127">
                  <c:v>1.0429300639755099</c:v>
                </c:pt>
                <c:pt idx="128">
                  <c:v>1.04264753166605</c:v>
                </c:pt>
                <c:pt idx="129">
                  <c:v>1.0423582304318499</c:v>
                </c:pt>
                <c:pt idx="130">
                  <c:v>1.0421628041137001</c:v>
                </c:pt>
                <c:pt idx="131">
                  <c:v>1.0420614755441999</c:v>
                </c:pt>
                <c:pt idx="132">
                  <c:v>1.04187465554474</c:v>
                </c:pt>
                <c:pt idx="133">
                  <c:v>1.0416831487076199</c:v>
                </c:pt>
                <c:pt idx="134">
                  <c:v>1.0414919069347399</c:v>
                </c:pt>
                <c:pt idx="135">
                  <c:v>1.04130777538663</c:v>
                </c:pt>
                <c:pt idx="136">
                  <c:v>1.0410881136218699</c:v>
                </c:pt>
                <c:pt idx="137">
                  <c:v>1.04097821396071</c:v>
                </c:pt>
                <c:pt idx="138">
                  <c:v>1.04094036069344</c:v>
                </c:pt>
                <c:pt idx="139">
                  <c:v>1.04080440331621</c:v>
                </c:pt>
                <c:pt idx="140">
                  <c:v>1.0406431131462801</c:v>
                </c:pt>
                <c:pt idx="141">
                  <c:v>1.0405106165437801</c:v>
                </c:pt>
                <c:pt idx="142">
                  <c:v>1.04032005003203</c:v>
                </c:pt>
                <c:pt idx="143">
                  <c:v>1.04039865315887</c:v>
                </c:pt>
                <c:pt idx="144">
                  <c:v>1.04051212833063</c:v>
                </c:pt>
                <c:pt idx="145">
                  <c:v>1.04070537063285</c:v>
                </c:pt>
                <c:pt idx="146">
                  <c:v>1.04085337893701</c:v>
                </c:pt>
                <c:pt idx="147">
                  <c:v>1.04092982876189</c:v>
                </c:pt>
                <c:pt idx="148">
                  <c:v>1.0411335138172499</c:v>
                </c:pt>
                <c:pt idx="149">
                  <c:v>1.04131616690326</c:v>
                </c:pt>
                <c:pt idx="150">
                  <c:v>1.0415087072557501</c:v>
                </c:pt>
                <c:pt idx="151">
                  <c:v>1.04166104126195</c:v>
                </c:pt>
                <c:pt idx="152">
                  <c:v>1.0418371584471799</c:v>
                </c:pt>
                <c:pt idx="153">
                  <c:v>1.04199580183417</c:v>
                </c:pt>
                <c:pt idx="154">
                  <c:v>1.04224560513246</c:v>
                </c:pt>
                <c:pt idx="155">
                  <c:v>1.04241038886369</c:v>
                </c:pt>
                <c:pt idx="156">
                  <c:v>1.0426728228350901</c:v>
                </c:pt>
                <c:pt idx="157">
                  <c:v>1.0428324873708501</c:v>
                </c:pt>
                <c:pt idx="158">
                  <c:v>1.04297155113996</c:v>
                </c:pt>
                <c:pt idx="159">
                  <c:v>1.0431563562258599</c:v>
                </c:pt>
                <c:pt idx="160">
                  <c:v>1.0433970923240501</c:v>
                </c:pt>
                <c:pt idx="161">
                  <c:v>1.0435361384596</c:v>
                </c:pt>
                <c:pt idx="162">
                  <c:v>1.0436525363962199</c:v>
                </c:pt>
                <c:pt idx="163">
                  <c:v>1.0437964890451299</c:v>
                </c:pt>
                <c:pt idx="164">
                  <c:v>1.04397195780915</c:v>
                </c:pt>
                <c:pt idx="165">
                  <c:v>1.0441007563982101</c:v>
                </c:pt>
                <c:pt idx="166">
                  <c:v>1.0443969912770501</c:v>
                </c:pt>
                <c:pt idx="167">
                  <c:v>1.0447269012781399</c:v>
                </c:pt>
                <c:pt idx="168">
                  <c:v>1.04497076181296</c:v>
                </c:pt>
                <c:pt idx="169">
                  <c:v>1.04521490223408</c:v>
                </c:pt>
                <c:pt idx="170">
                  <c:v>1.04542344897227</c:v>
                </c:pt>
                <c:pt idx="171">
                  <c:v>1.0456942369056701</c:v>
                </c:pt>
                <c:pt idx="172">
                  <c:v>1.0460424908210899</c:v>
                </c:pt>
                <c:pt idx="173">
                  <c:v>1.0464467699837701</c:v>
                </c:pt>
                <c:pt idx="174">
                  <c:v>1.0468043163749401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51-4796-BE61-6B41EB06A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BNDX* x 10 dma / IAGG*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1.4469598310673E-4</c:v>
                </c:pt>
                <c:pt idx="11">
                  <c:v>-8.7401995894311499E-4</c:v>
                </c:pt>
                <c:pt idx="12">
                  <c:v>-1.0056202925549499E-3</c:v>
                </c:pt>
                <c:pt idx="13">
                  <c:v>-5.3797981363850299E-4</c:v>
                </c:pt>
                <c:pt idx="14">
                  <c:v>-2.8881573049472801E-4</c:v>
                </c:pt>
                <c:pt idx="15">
                  <c:v>3.17944350675648E-5</c:v>
                </c:pt>
                <c:pt idx="16">
                  <c:v>5.61247861593768E-6</c:v>
                </c:pt>
                <c:pt idx="17">
                  <c:v>-1.1914524842016E-3</c:v>
                </c:pt>
                <c:pt idx="18">
                  <c:v>1.24875872956199E-3</c:v>
                </c:pt>
                <c:pt idx="19">
                  <c:v>-4.3438855146738002E-4</c:v>
                </c:pt>
                <c:pt idx="20">
                  <c:v>-6.0334708021226701E-4</c:v>
                </c:pt>
                <c:pt idx="21">
                  <c:v>-5.0921614974418E-4</c:v>
                </c:pt>
                <c:pt idx="22">
                  <c:v>1.3499298897645499E-3</c:v>
                </c:pt>
                <c:pt idx="23">
                  <c:v>8.1167598813633099E-4</c:v>
                </c:pt>
                <c:pt idx="24">
                  <c:v>7.1548114541488805E-4</c:v>
                </c:pt>
                <c:pt idx="25">
                  <c:v>6.43947366291783E-4</c:v>
                </c:pt>
                <c:pt idx="26">
                  <c:v>1.64911442073626E-3</c:v>
                </c:pt>
                <c:pt idx="27">
                  <c:v>2.98325945994013E-4</c:v>
                </c:pt>
                <c:pt idx="28">
                  <c:v>5.9836491494151295E-4</c:v>
                </c:pt>
                <c:pt idx="29">
                  <c:v>-1.72740905343128E-4</c:v>
                </c:pt>
                <c:pt idx="30">
                  <c:v>4.0576068710803E-4</c:v>
                </c:pt>
                <c:pt idx="31">
                  <c:v>6.2904446419319499E-4</c:v>
                </c:pt>
                <c:pt idx="32">
                  <c:v>2.39499235594772E-4</c:v>
                </c:pt>
                <c:pt idx="33">
                  <c:v>6.5442011021505893E-5</c:v>
                </c:pt>
                <c:pt idx="34">
                  <c:v>6.8603869807472902E-4</c:v>
                </c:pt>
                <c:pt idx="35">
                  <c:v>9.9843560744680899E-4</c:v>
                </c:pt>
                <c:pt idx="36">
                  <c:v>2.3521023985247501E-4</c:v>
                </c:pt>
                <c:pt idx="37">
                  <c:v>9.1409049009119603E-4</c:v>
                </c:pt>
                <c:pt idx="38">
                  <c:v>2.37224669421539E-4</c:v>
                </c:pt>
                <c:pt idx="39">
                  <c:v>6.6529932014824705E-4</c:v>
                </c:pt>
                <c:pt idx="40">
                  <c:v>-3.6128972143222401E-4</c:v>
                </c:pt>
                <c:pt idx="41">
                  <c:v>-1.6068174675371201E-3</c:v>
                </c:pt>
                <c:pt idx="42">
                  <c:v>-1.59859491519643E-3</c:v>
                </c:pt>
                <c:pt idx="43">
                  <c:v>-2.9492100134592999E-3</c:v>
                </c:pt>
                <c:pt idx="44">
                  <c:v>-1.83717668934474E-3</c:v>
                </c:pt>
                <c:pt idx="45">
                  <c:v>-1.2198975374585301E-3</c:v>
                </c:pt>
                <c:pt idx="46">
                  <c:v>-2.31774308555665E-3</c:v>
                </c:pt>
                <c:pt idx="47">
                  <c:v>-2.91650648587077E-3</c:v>
                </c:pt>
                <c:pt idx="48">
                  <c:v>-2.8949158651114699E-3</c:v>
                </c:pt>
                <c:pt idx="49">
                  <c:v>-1.2569791960027399E-3</c:v>
                </c:pt>
                <c:pt idx="50">
                  <c:v>5.9987175207753304E-4</c:v>
                </c:pt>
                <c:pt idx="51">
                  <c:v>-1.15720890266103E-3</c:v>
                </c:pt>
                <c:pt idx="52">
                  <c:v>-1.29473113490263E-3</c:v>
                </c:pt>
                <c:pt idx="53">
                  <c:v>-8.6737872167481499E-4</c:v>
                </c:pt>
                <c:pt idx="54">
                  <c:v>-8.0843526947500897E-4</c:v>
                </c:pt>
                <c:pt idx="55">
                  <c:v>-5.49311514260889E-4</c:v>
                </c:pt>
                <c:pt idx="56">
                  <c:v>-1.3354542616602101E-4</c:v>
                </c:pt>
                <c:pt idx="57">
                  <c:v>-2.1256790203142101E-3</c:v>
                </c:pt>
                <c:pt idx="58">
                  <c:v>-2.0031338333541802E-3</c:v>
                </c:pt>
                <c:pt idx="59">
                  <c:v>-1.75190288862928E-3</c:v>
                </c:pt>
                <c:pt idx="60">
                  <c:v>-6.9429134376875401E-4</c:v>
                </c:pt>
                <c:pt idx="61">
                  <c:v>8.9301202368221298E-4</c:v>
                </c:pt>
                <c:pt idx="62">
                  <c:v>4.5352567046956998E-4</c:v>
                </c:pt>
                <c:pt idx="63">
                  <c:v>-4.0389346857483801E-4</c:v>
                </c:pt>
                <c:pt idx="64">
                  <c:v>-7.6805213773632497E-5</c:v>
                </c:pt>
                <c:pt idx="65">
                  <c:v>1.27598807856913E-3</c:v>
                </c:pt>
                <c:pt idx="66">
                  <c:v>1.2591215240261201E-4</c:v>
                </c:pt>
                <c:pt idx="67">
                  <c:v>-2.8728384657480098E-4</c:v>
                </c:pt>
                <c:pt idx="68">
                  <c:v>6.6797683972465095E-4</c:v>
                </c:pt>
                <c:pt idx="69">
                  <c:v>1.4179378372140899E-3</c:v>
                </c:pt>
                <c:pt idx="70">
                  <c:v>8.8204319591426701E-4</c:v>
                </c:pt>
                <c:pt idx="71">
                  <c:v>-9.1542713416962901E-5</c:v>
                </c:pt>
                <c:pt idx="72">
                  <c:v>1.4406985391011301E-4</c:v>
                </c:pt>
                <c:pt idx="73">
                  <c:v>9.0577341247597397E-5</c:v>
                </c:pt>
                <c:pt idx="74">
                  <c:v>7.0816824194850194E-5</c:v>
                </c:pt>
                <c:pt idx="75">
                  <c:v>-3.4020315386417397E-4</c:v>
                </c:pt>
                <c:pt idx="76">
                  <c:v>7.5770406699542697E-5</c:v>
                </c:pt>
                <c:pt idx="77">
                  <c:v>-9.1311412681050396E-4</c:v>
                </c:pt>
                <c:pt idx="78">
                  <c:v>-2.2352480721536401E-4</c:v>
                </c:pt>
                <c:pt idx="79">
                  <c:v>-4.32468817385617E-5</c:v>
                </c:pt>
                <c:pt idx="80">
                  <c:v>-1.2526181647220501E-3</c:v>
                </c:pt>
                <c:pt idx="81">
                  <c:v>4.8927265583227999E-4</c:v>
                </c:pt>
                <c:pt idx="82">
                  <c:v>5.2885713903417402E-4</c:v>
                </c:pt>
                <c:pt idx="83">
                  <c:v>-1.9403446309245901E-4</c:v>
                </c:pt>
                <c:pt idx="84">
                  <c:v>2.81874204824796E-4</c:v>
                </c:pt>
                <c:pt idx="85">
                  <c:v>8.8462332316243005E-4</c:v>
                </c:pt>
                <c:pt idx="86">
                  <c:v>7.33586425860899E-4</c:v>
                </c:pt>
                <c:pt idx="87">
                  <c:v>-4.64167786497143E-4</c:v>
                </c:pt>
                <c:pt idx="88">
                  <c:v>-6.1874820087705102E-4</c:v>
                </c:pt>
                <c:pt idx="89">
                  <c:v>-1.6962223035176601E-3</c:v>
                </c:pt>
                <c:pt idx="90">
                  <c:v>-6.4814574751186202E-4</c:v>
                </c:pt>
                <c:pt idx="91">
                  <c:v>9.6098587199530097E-4</c:v>
                </c:pt>
                <c:pt idx="92">
                  <c:v>-2.5934731037907002E-3</c:v>
                </c:pt>
                <c:pt idx="93">
                  <c:v>-1.7765680145525101E-3</c:v>
                </c:pt>
                <c:pt idx="94">
                  <c:v>-1.67500823161575E-3</c:v>
                </c:pt>
                <c:pt idx="95">
                  <c:v>-3.6976938439415501E-4</c:v>
                </c:pt>
                <c:pt idx="96">
                  <c:v>2.7181104384935498E-4</c:v>
                </c:pt>
                <c:pt idx="97">
                  <c:v>1.4731794151449399E-3</c:v>
                </c:pt>
                <c:pt idx="98">
                  <c:v>1.9238130173081999E-3</c:v>
                </c:pt>
                <c:pt idx="99">
                  <c:v>1.3824386727966001E-3</c:v>
                </c:pt>
                <c:pt idx="100">
                  <c:v>1.3998241511844101E-3</c:v>
                </c:pt>
                <c:pt idx="101">
                  <c:v>1.8985065967621899E-3</c:v>
                </c:pt>
                <c:pt idx="102">
                  <c:v>4.6957760320919998E-4</c:v>
                </c:pt>
                <c:pt idx="103">
                  <c:v>1.26699031909E-3</c:v>
                </c:pt>
                <c:pt idx="104">
                  <c:v>-5.6080346069726605E-4</c:v>
                </c:pt>
                <c:pt idx="105">
                  <c:v>-6.9408672091196999E-4</c:v>
                </c:pt>
                <c:pt idx="106">
                  <c:v>-6.1889024134946296E-4</c:v>
                </c:pt>
                <c:pt idx="107">
                  <c:v>-5.0555000026878305E-4</c:v>
                </c:pt>
                <c:pt idx="108">
                  <c:v>-1.01883442250409E-3</c:v>
                </c:pt>
                <c:pt idx="109">
                  <c:v>-1.5244056977307299E-3</c:v>
                </c:pt>
                <c:pt idx="110">
                  <c:v>-1.3083293740919901E-4</c:v>
                </c:pt>
                <c:pt idx="111">
                  <c:v>1.40009256854167E-3</c:v>
                </c:pt>
                <c:pt idx="112">
                  <c:v>2.3141199178557199E-4</c:v>
                </c:pt>
                <c:pt idx="113">
                  <c:v>6.7485458216670196E-5</c:v>
                </c:pt>
                <c:pt idx="114">
                  <c:v>3.5810795809166002E-4</c:v>
                </c:pt>
                <c:pt idx="115">
                  <c:v>-8.5378689899761001E-4</c:v>
                </c:pt>
                <c:pt idx="116">
                  <c:v>-8.5778291534648803E-4</c:v>
                </c:pt>
                <c:pt idx="117">
                  <c:v>1.2745824376290201E-3</c:v>
                </c:pt>
                <c:pt idx="118">
                  <c:v>1.25136826336175E-3</c:v>
                </c:pt>
                <c:pt idx="119">
                  <c:v>4.7789774384610702E-4</c:v>
                </c:pt>
                <c:pt idx="120">
                  <c:v>7.0207330897296397E-4</c:v>
                </c:pt>
                <c:pt idx="121">
                  <c:v>6.0593218114706501E-4</c:v>
                </c:pt>
                <c:pt idx="122">
                  <c:v>-9.9339454603922998E-4</c:v>
                </c:pt>
                <c:pt idx="123">
                  <c:v>-1.4194864813632099E-3</c:v>
                </c:pt>
                <c:pt idx="124">
                  <c:v>-1.3204965934121599E-3</c:v>
                </c:pt>
                <c:pt idx="125">
                  <c:v>-1.19319583973417E-3</c:v>
                </c:pt>
                <c:pt idx="126">
                  <c:v>-1.91321348446755E-3</c:v>
                </c:pt>
                <c:pt idx="127">
                  <c:v>-3.1558078983401801E-3</c:v>
                </c:pt>
                <c:pt idx="128">
                  <c:v>-5.8726710083056995E-4</c:v>
                </c:pt>
                <c:pt idx="129">
                  <c:v>-8.9912065314130699E-4</c:v>
                </c:pt>
                <c:pt idx="130">
                  <c:v>-1.2184353632902301E-3</c:v>
                </c:pt>
                <c:pt idx="131">
                  <c:v>-1.2338386564138E-3</c:v>
                </c:pt>
                <c:pt idx="132">
                  <c:v>-4.2456722604955499E-4</c:v>
                </c:pt>
                <c:pt idx="133">
                  <c:v>-3.3190092701050801E-4</c:v>
                </c:pt>
                <c:pt idx="134">
                  <c:v>-5.4940480583653899E-5</c:v>
                </c:pt>
                <c:pt idx="135">
                  <c:v>-1.2482387310773001E-3</c:v>
                </c:pt>
                <c:pt idx="136">
                  <c:v>-4.3612180791699202E-4</c:v>
                </c:pt>
                <c:pt idx="137">
                  <c:v>-3.8597616833800299E-4</c:v>
                </c:pt>
                <c:pt idx="138">
                  <c:v>-1.70714752773594E-3</c:v>
                </c:pt>
                <c:pt idx="139">
                  <c:v>-1.6036430802497499E-4</c:v>
                </c:pt>
                <c:pt idx="140">
                  <c:v>8.3029358281289198E-4</c:v>
                </c:pt>
                <c:pt idx="141">
                  <c:v>2.5161141256904501E-4</c:v>
                </c:pt>
                <c:pt idx="142">
                  <c:v>-3.1282207761051701E-4</c:v>
                </c:pt>
                <c:pt idx="143">
                  <c:v>1.9642900715739501E-5</c:v>
                </c:pt>
                <c:pt idx="144">
                  <c:v>-6.1893662899831095E-4</c:v>
                </c:pt>
                <c:pt idx="145">
                  <c:v>4.2935303096470502E-4</c:v>
                </c:pt>
                <c:pt idx="146">
                  <c:v>4.4685344748368399E-4</c:v>
                </c:pt>
                <c:pt idx="147">
                  <c:v>4.2519916982161903E-4</c:v>
                </c:pt>
                <c:pt idx="148">
                  <c:v>1.0535734440683699E-4</c:v>
                </c:pt>
                <c:pt idx="149">
                  <c:v>-1.83611246245026E-4</c:v>
                </c:pt>
                <c:pt idx="150">
                  <c:v>-9.0636631806928296E-4</c:v>
                </c:pt>
                <c:pt idx="151">
                  <c:v>-3.2437689324389999E-4</c:v>
                </c:pt>
                <c:pt idx="152">
                  <c:v>-2.5796915647568602E-4</c:v>
                </c:pt>
                <c:pt idx="153">
                  <c:v>2.5286567438705901E-5</c:v>
                </c:pt>
                <c:pt idx="154">
                  <c:v>-1.5044304809520199E-3</c:v>
                </c:pt>
                <c:pt idx="155">
                  <c:v>-1.0716541231495899E-3</c:v>
                </c:pt>
                <c:pt idx="156">
                  <c:v>-2.15710706098694E-3</c:v>
                </c:pt>
                <c:pt idx="157">
                  <c:v>4.0399890204300903E-5</c:v>
                </c:pt>
                <c:pt idx="158">
                  <c:v>-7.2734486698906701E-4</c:v>
                </c:pt>
                <c:pt idx="159">
                  <c:v>-1.7298780331983301E-4</c:v>
                </c:pt>
                <c:pt idx="160">
                  <c:v>-2.4197102983936701E-4</c:v>
                </c:pt>
                <c:pt idx="161">
                  <c:v>1.1825574671331101E-3</c:v>
                </c:pt>
                <c:pt idx="162">
                  <c:v>1.03000878942124E-3</c:v>
                </c:pt>
                <c:pt idx="163">
                  <c:v>7.3035721066070096E-4</c:v>
                </c:pt>
                <c:pt idx="164">
                  <c:v>-5.2478498060527703E-4</c:v>
                </c:pt>
                <c:pt idx="165">
                  <c:v>-1.1719229522615001E-3</c:v>
                </c:pt>
                <c:pt idx="166">
                  <c:v>-1.60783845709826E-3</c:v>
                </c:pt>
                <c:pt idx="167">
                  <c:v>-2.20569514649664E-3</c:v>
                </c:pt>
                <c:pt idx="168">
                  <c:v>-6.1420396416433595E-4</c:v>
                </c:pt>
                <c:pt idx="169">
                  <c:v>-7.1997683859829702E-4</c:v>
                </c:pt>
                <c:pt idx="170">
                  <c:v>-6.6709120970875804E-4</c:v>
                </c:pt>
                <c:pt idx="171">
                  <c:v>-1.3102415570802599E-3</c:v>
                </c:pt>
                <c:pt idx="172">
                  <c:v>-2.4362429380763002E-3</c:v>
                </c:pt>
                <c:pt idx="173">
                  <c:v>-2.7802268495877901E-3</c:v>
                </c:pt>
                <c:pt idx="174">
                  <c:v>-2.94737534949986E-3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2F-4F0B-B3E3-E7A31C24A19F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BNDX* x 20 dma / IAGG*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-7.7145960685724203E-4</c:v>
                </c:pt>
                <c:pt idx="21">
                  <c:v>-7.8953080236986801E-4</c:v>
                </c:pt>
                <c:pt idx="22">
                  <c:v>1.0794296574870501E-3</c:v>
                </c:pt>
                <c:pt idx="23">
                  <c:v>6.5214990036872595E-4</c:v>
                </c:pt>
                <c:pt idx="24">
                  <c:v>6.3944564755395305E-4</c:v>
                </c:pt>
                <c:pt idx="25">
                  <c:v>6.4318273140280698E-4</c:v>
                </c:pt>
                <c:pt idx="26">
                  <c:v>1.66926844268216E-3</c:v>
                </c:pt>
                <c:pt idx="27">
                  <c:v>4.0470547241108301E-4</c:v>
                </c:pt>
                <c:pt idx="28">
                  <c:v>8.6069599655959502E-4</c:v>
                </c:pt>
                <c:pt idx="29">
                  <c:v>7.1342192564200394E-5</c:v>
                </c:pt>
                <c:pt idx="30">
                  <c:v>7.5767284463784603E-4</c:v>
                </c:pt>
                <c:pt idx="31">
                  <c:v>1.12091720114188E-3</c:v>
                </c:pt>
                <c:pt idx="32">
                  <c:v>8.4738017007188204E-4</c:v>
                </c:pt>
                <c:pt idx="33">
                  <c:v>5.8782990402316297E-4</c:v>
                </c:pt>
                <c:pt idx="34">
                  <c:v>1.1718067750372001E-3</c:v>
                </c:pt>
                <c:pt idx="35">
                  <c:v>1.48869036214995E-3</c:v>
                </c:pt>
                <c:pt idx="36">
                  <c:v>7.6168185585714595E-4</c:v>
                </c:pt>
                <c:pt idx="37">
                  <c:v>1.33832984599654E-3</c:v>
                </c:pt>
                <c:pt idx="38">
                  <c:v>6.4947356242114397E-4</c:v>
                </c:pt>
                <c:pt idx="39">
                  <c:v>1.10700639736785E-3</c:v>
                </c:pt>
                <c:pt idx="40">
                  <c:v>1.29017533205028E-4</c:v>
                </c:pt>
                <c:pt idx="41">
                  <c:v>-1.19155924188186E-3</c:v>
                </c:pt>
                <c:pt idx="42">
                  <c:v>-1.35987422186052E-3</c:v>
                </c:pt>
                <c:pt idx="43">
                  <c:v>-2.7838446354949199E-3</c:v>
                </c:pt>
                <c:pt idx="44">
                  <c:v>-1.82113504457584E-3</c:v>
                </c:pt>
                <c:pt idx="45">
                  <c:v>-1.3755437193893199E-3</c:v>
                </c:pt>
                <c:pt idx="46">
                  <c:v>-2.6665216242348702E-3</c:v>
                </c:pt>
                <c:pt idx="47">
                  <c:v>-3.4097878908992498E-3</c:v>
                </c:pt>
                <c:pt idx="48">
                  <c:v>-3.7021228260350801E-3</c:v>
                </c:pt>
                <c:pt idx="49">
                  <c:v>-2.3245295015815802E-3</c:v>
                </c:pt>
                <c:pt idx="50">
                  <c:v>-7.5614393805353104E-4</c:v>
                </c:pt>
                <c:pt idx="51">
                  <c:v>-2.6112565003497002E-3</c:v>
                </c:pt>
                <c:pt idx="52">
                  <c:v>-2.80137229462724E-3</c:v>
                </c:pt>
                <c:pt idx="53">
                  <c:v>-2.4413805018002198E-3</c:v>
                </c:pt>
                <c:pt idx="54">
                  <c:v>-2.3016136453812498E-3</c:v>
                </c:pt>
                <c:pt idx="55">
                  <c:v>-2.0158805525348801E-3</c:v>
                </c:pt>
                <c:pt idx="56">
                  <c:v>-1.58682957647011E-3</c:v>
                </c:pt>
                <c:pt idx="57">
                  <c:v>-3.4527358992449101E-3</c:v>
                </c:pt>
                <c:pt idx="58">
                  <c:v>-3.1827962314451802E-3</c:v>
                </c:pt>
                <c:pt idx="59">
                  <c:v>-2.7678520057121598E-3</c:v>
                </c:pt>
                <c:pt idx="60">
                  <c:v>-1.6340252105854899E-3</c:v>
                </c:pt>
                <c:pt idx="61">
                  <c:v>-1.17712857398997E-4</c:v>
                </c:pt>
                <c:pt idx="62">
                  <c:v>-4.3292494769432802E-4</c:v>
                </c:pt>
                <c:pt idx="63">
                  <c:v>-1.15616713909925E-3</c:v>
                </c:pt>
                <c:pt idx="64">
                  <c:v>-8.2770491383804003E-4</c:v>
                </c:pt>
                <c:pt idx="65">
                  <c:v>5.8448821120216001E-4</c:v>
                </c:pt>
                <c:pt idx="66">
                  <c:v>-4.3044733385457998E-4</c:v>
                </c:pt>
                <c:pt idx="67">
                  <c:v>-8.5007819093125105E-4</c:v>
                </c:pt>
                <c:pt idx="68">
                  <c:v>2.3412199051823E-4</c:v>
                </c:pt>
                <c:pt idx="69">
                  <c:v>1.1477498266716801E-3</c:v>
                </c:pt>
                <c:pt idx="70">
                  <c:v>8.6973057749468205E-4</c:v>
                </c:pt>
                <c:pt idx="71">
                  <c:v>1.32311875678637E-4</c:v>
                </c:pt>
                <c:pt idx="72">
                  <c:v>3.3969299830536101E-4</c:v>
                </c:pt>
                <c:pt idx="73">
                  <c:v>2.9155970537284102E-4</c:v>
                </c:pt>
                <c:pt idx="74">
                  <c:v>3.6873378341009699E-4</c:v>
                </c:pt>
                <c:pt idx="75">
                  <c:v>3.3443458891507501E-5</c:v>
                </c:pt>
                <c:pt idx="76">
                  <c:v>3.8388053739931002E-4</c:v>
                </c:pt>
                <c:pt idx="77">
                  <c:v>-5.34020616423316E-4</c:v>
                </c:pt>
                <c:pt idx="78">
                  <c:v>1.2652661266044301E-4</c:v>
                </c:pt>
                <c:pt idx="79">
                  <c:v>2.0700755479486499E-4</c:v>
                </c:pt>
                <c:pt idx="80">
                  <c:v>-1.18187949139193E-3</c:v>
                </c:pt>
                <c:pt idx="81">
                  <c:v>3.8275620485432002E-4</c:v>
                </c:pt>
                <c:pt idx="82">
                  <c:v>4.67559487011662E-4</c:v>
                </c:pt>
                <c:pt idx="83">
                  <c:v>-2.4631546315494201E-4</c:v>
                </c:pt>
                <c:pt idx="84">
                  <c:v>1.65302394916373E-4</c:v>
                </c:pt>
                <c:pt idx="85">
                  <c:v>7.2977111372560504E-4</c:v>
                </c:pt>
                <c:pt idx="86">
                  <c:v>6.6790773668588799E-4</c:v>
                </c:pt>
                <c:pt idx="87">
                  <c:v>-5.3184115902096298E-4</c:v>
                </c:pt>
                <c:pt idx="88">
                  <c:v>-6.7734958404530999E-4</c:v>
                </c:pt>
                <c:pt idx="89">
                  <c:v>-1.7708755336332501E-3</c:v>
                </c:pt>
                <c:pt idx="90">
                  <c:v>-7.6495924391098999E-4</c:v>
                </c:pt>
                <c:pt idx="91">
                  <c:v>9.6239799849831499E-4</c:v>
                </c:pt>
                <c:pt idx="92">
                  <c:v>-2.58673396445113E-3</c:v>
                </c:pt>
                <c:pt idx="93">
                  <c:v>-1.9385002059095001E-3</c:v>
                </c:pt>
                <c:pt idx="94">
                  <c:v>-1.9128574437725799E-3</c:v>
                </c:pt>
                <c:pt idx="95">
                  <c:v>-7.2815088198794405E-4</c:v>
                </c:pt>
                <c:pt idx="96">
                  <c:v>-2.3073965322065E-4</c:v>
                </c:pt>
                <c:pt idx="97">
                  <c:v>8.7109531113942196E-4</c:v>
                </c:pt>
                <c:pt idx="98">
                  <c:v>1.3426284242488999E-3</c:v>
                </c:pt>
                <c:pt idx="99">
                  <c:v>8.9574608021354403E-4</c:v>
                </c:pt>
                <c:pt idx="100">
                  <c:v>1.1084617664509301E-3</c:v>
                </c:pt>
                <c:pt idx="101">
                  <c:v>1.6617868956367999E-3</c:v>
                </c:pt>
                <c:pt idx="102">
                  <c:v>2.3231092915915801E-4</c:v>
                </c:pt>
                <c:pt idx="103">
                  <c:v>1.3148233288309899E-3</c:v>
                </c:pt>
                <c:pt idx="104">
                  <c:v>-2.6050254851281402E-4</c:v>
                </c:pt>
                <c:pt idx="105">
                  <c:v>-1.8616417897159099E-4</c:v>
                </c:pt>
                <c:pt idx="106">
                  <c:v>2.2203229066852401E-5</c:v>
                </c:pt>
                <c:pt idx="107">
                  <c:v>2.28454741894971E-4</c:v>
                </c:pt>
                <c:pt idx="108">
                  <c:v>-3.4704363865993999E-4</c:v>
                </c:pt>
                <c:pt idx="109">
                  <c:v>-1.00160318112123E-3</c:v>
                </c:pt>
                <c:pt idx="110">
                  <c:v>1.9353502886099399E-4</c:v>
                </c:pt>
                <c:pt idx="111">
                  <c:v>1.60712916220062E-3</c:v>
                </c:pt>
                <c:pt idx="112">
                  <c:v>4.1106703887540299E-4</c:v>
                </c:pt>
                <c:pt idx="113">
                  <c:v>1.23633916552175E-4</c:v>
                </c:pt>
                <c:pt idx="114">
                  <c:v>2.02909156743615E-4</c:v>
                </c:pt>
                <c:pt idx="115">
                  <c:v>-1.06441666327224E-3</c:v>
                </c:pt>
                <c:pt idx="116">
                  <c:v>-1.1320636168608901E-3</c:v>
                </c:pt>
                <c:pt idx="117">
                  <c:v>9.4135639736479403E-4</c:v>
                </c:pt>
                <c:pt idx="118">
                  <c:v>9.9932871697606496E-4</c:v>
                </c:pt>
                <c:pt idx="119">
                  <c:v>3.94095203134223E-4</c:v>
                </c:pt>
                <c:pt idx="120">
                  <c:v>8.03177929585711E-4</c:v>
                </c:pt>
                <c:pt idx="121">
                  <c:v>8.0288517444352401E-4</c:v>
                </c:pt>
                <c:pt idx="122">
                  <c:v>-8.1222958307672897E-4</c:v>
                </c:pt>
                <c:pt idx="123">
                  <c:v>-1.2875316939019599E-3</c:v>
                </c:pt>
                <c:pt idx="124">
                  <c:v>-1.19541796842278E-3</c:v>
                </c:pt>
                <c:pt idx="125">
                  <c:v>-1.17000990174864E-3</c:v>
                </c:pt>
                <c:pt idx="126">
                  <c:v>-1.8756283900682601E-3</c:v>
                </c:pt>
                <c:pt idx="127">
                  <c:v>-3.1279104119046898E-3</c:v>
                </c:pt>
                <c:pt idx="128">
                  <c:v>-8.3387520414326998E-4</c:v>
                </c:pt>
                <c:pt idx="129">
                  <c:v>-1.35045018058066E-3</c:v>
                </c:pt>
                <c:pt idx="130">
                  <c:v>-1.8753878271772599E-3</c:v>
                </c:pt>
                <c:pt idx="131">
                  <c:v>-2.1040281948185402E-3</c:v>
                </c:pt>
                <c:pt idx="132">
                  <c:v>-1.4535214980517101E-3</c:v>
                </c:pt>
                <c:pt idx="133">
                  <c:v>-1.3921522313392E-3</c:v>
                </c:pt>
                <c:pt idx="134">
                  <c:v>-1.10569203087231E-3</c:v>
                </c:pt>
                <c:pt idx="135">
                  <c:v>-2.26939527544832E-3</c:v>
                </c:pt>
                <c:pt idx="136">
                  <c:v>-1.54744493390656E-3</c:v>
                </c:pt>
                <c:pt idx="137">
                  <c:v>-1.4855722958169899E-3</c:v>
                </c:pt>
                <c:pt idx="138">
                  <c:v>-2.55959985875514E-3</c:v>
                </c:pt>
                <c:pt idx="139">
                  <c:v>-1.0375778760694199E-3</c:v>
                </c:pt>
                <c:pt idx="140">
                  <c:v>1.6178444401513801E-5</c:v>
                </c:pt>
                <c:pt idx="141">
                  <c:v>-3.8000491344875297E-4</c:v>
                </c:pt>
                <c:pt idx="142">
                  <c:v>-7.5453708608253195E-4</c:v>
                </c:pt>
                <c:pt idx="143">
                  <c:v>-3.8619937597340399E-4</c:v>
                </c:pt>
                <c:pt idx="144">
                  <c:v>-9.9610925491399791E-4</c:v>
                </c:pt>
                <c:pt idx="145">
                  <c:v>2.8108239601375601E-5</c:v>
                </c:pt>
                <c:pt idx="146">
                  <c:v>1.9423925024337601E-4</c:v>
                </c:pt>
                <c:pt idx="147">
                  <c:v>2.2879248371956599E-4</c:v>
                </c:pt>
                <c:pt idx="148">
                  <c:v>-9.8627101476528206E-5</c:v>
                </c:pt>
                <c:pt idx="149">
                  <c:v>-1.7604758607063799E-4</c:v>
                </c:pt>
                <c:pt idx="150">
                  <c:v>-8.4840526924328695E-4</c:v>
                </c:pt>
                <c:pt idx="151">
                  <c:v>-3.6843402134311098E-4</c:v>
                </c:pt>
                <c:pt idx="152">
                  <c:v>-3.4631669440022802E-4</c:v>
                </c:pt>
                <c:pt idx="153">
                  <c:v>-3.0567281788594798E-5</c:v>
                </c:pt>
                <c:pt idx="154">
                  <c:v>-1.5425790791155399E-3</c:v>
                </c:pt>
                <c:pt idx="155">
                  <c:v>-1.09202260984046E-3</c:v>
                </c:pt>
                <c:pt idx="156">
                  <c:v>-2.2983195888256402E-3</c:v>
                </c:pt>
                <c:pt idx="157">
                  <c:v>-2.6405842345100198E-4</c:v>
                </c:pt>
                <c:pt idx="158">
                  <c:v>-1.1023525643536101E-3</c:v>
                </c:pt>
                <c:pt idx="159">
                  <c:v>-6.9733148181922496E-4</c:v>
                </c:pt>
                <c:pt idx="160">
                  <c:v>-8.1777660972581605E-4</c:v>
                </c:pt>
                <c:pt idx="161">
                  <c:v>6.6338239332059095E-4</c:v>
                </c:pt>
                <c:pt idx="162">
                  <c:v>5.6740387081924296E-4</c:v>
                </c:pt>
                <c:pt idx="163">
                  <c:v>2.9194769544940301E-4</c:v>
                </c:pt>
                <c:pt idx="164">
                  <c:v>-9.6648007972853695E-4</c:v>
                </c:pt>
                <c:pt idx="165">
                  <c:v>-1.5606977018781799E-3</c:v>
                </c:pt>
                <c:pt idx="166">
                  <c:v>-1.9634498124544201E-3</c:v>
                </c:pt>
                <c:pt idx="167">
                  <c:v>-2.4250594967082902E-3</c:v>
                </c:pt>
                <c:pt idx="168">
                  <c:v>-9.18226397193095E-4</c:v>
                </c:pt>
                <c:pt idx="169">
                  <c:v>-9.6964102354981404E-4</c:v>
                </c:pt>
                <c:pt idx="170">
                  <c:v>-9.1718554655655896E-4</c:v>
                </c:pt>
                <c:pt idx="171">
                  <c:v>-1.5822293232767501E-3</c:v>
                </c:pt>
                <c:pt idx="172">
                  <c:v>-2.8833496196217201E-3</c:v>
                </c:pt>
                <c:pt idx="173">
                  <c:v>-3.4633543684152099E-3</c:v>
                </c:pt>
                <c:pt idx="174">
                  <c:v>-3.8656138125326501E-3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2F-4F0B-B3E3-E7A31C24A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IAGG*/BNDX*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1.0384904608674399</c:v>
                </c:pt>
                <c:pt idx="1">
                  <c:v>1.0384904608674399</c:v>
                </c:pt>
                <c:pt idx="2">
                  <c:v>1.0384904608674399</c:v>
                </c:pt>
                <c:pt idx="3">
                  <c:v>1.0384904608674399</c:v>
                </c:pt>
                <c:pt idx="4">
                  <c:v>1.0384904608674399</c:v>
                </c:pt>
                <c:pt idx="5">
                  <c:v>1.0384904608674399</c:v>
                </c:pt>
                <c:pt idx="6">
                  <c:v>1.0384904608674399</c:v>
                </c:pt>
                <c:pt idx="7">
                  <c:v>1.0384904608674399</c:v>
                </c:pt>
                <c:pt idx="8">
                  <c:v>1.0384904608674399</c:v>
                </c:pt>
                <c:pt idx="9">
                  <c:v>1.0384904608674399</c:v>
                </c:pt>
                <c:pt idx="10">
                  <c:v>1.0384904608674399</c:v>
                </c:pt>
                <c:pt idx="11">
                  <c:v>1.0384904608674399</c:v>
                </c:pt>
                <c:pt idx="12">
                  <c:v>1.0384904608674399</c:v>
                </c:pt>
                <c:pt idx="13">
                  <c:v>1.0384904608674399</c:v>
                </c:pt>
                <c:pt idx="14">
                  <c:v>1.0384904608674399</c:v>
                </c:pt>
                <c:pt idx="15">
                  <c:v>1.0384904608674399</c:v>
                </c:pt>
                <c:pt idx="16">
                  <c:v>1.0384904608674399</c:v>
                </c:pt>
                <c:pt idx="17">
                  <c:v>1.0384904608674399</c:v>
                </c:pt>
                <c:pt idx="18">
                  <c:v>1.0384904608674399</c:v>
                </c:pt>
                <c:pt idx="19">
                  <c:v>1.0384904608674399</c:v>
                </c:pt>
                <c:pt idx="20">
                  <c:v>1.0384904608674399</c:v>
                </c:pt>
                <c:pt idx="21">
                  <c:v>1.0384904608674399</c:v>
                </c:pt>
                <c:pt idx="22">
                  <c:v>1.0384904608674399</c:v>
                </c:pt>
                <c:pt idx="23">
                  <c:v>1.0384904608674399</c:v>
                </c:pt>
                <c:pt idx="24">
                  <c:v>1.0384904608674399</c:v>
                </c:pt>
                <c:pt idx="25">
                  <c:v>1.0384904608674399</c:v>
                </c:pt>
                <c:pt idx="26">
                  <c:v>1.0384904608674399</c:v>
                </c:pt>
                <c:pt idx="27">
                  <c:v>1.0384904608674399</c:v>
                </c:pt>
                <c:pt idx="28">
                  <c:v>1.0384904608674399</c:v>
                </c:pt>
                <c:pt idx="29">
                  <c:v>1.0384904608674399</c:v>
                </c:pt>
                <c:pt idx="30">
                  <c:v>1.0384904608674399</c:v>
                </c:pt>
                <c:pt idx="31">
                  <c:v>1.0384904608674399</c:v>
                </c:pt>
                <c:pt idx="32">
                  <c:v>1.0384904608674399</c:v>
                </c:pt>
                <c:pt idx="33">
                  <c:v>1.0384904608674399</c:v>
                </c:pt>
                <c:pt idx="34">
                  <c:v>1.0384904608674399</c:v>
                </c:pt>
                <c:pt idx="35">
                  <c:v>1.0384904608674399</c:v>
                </c:pt>
                <c:pt idx="36">
                  <c:v>1.0384904608674399</c:v>
                </c:pt>
                <c:pt idx="37">
                  <c:v>1.0384904608674399</c:v>
                </c:pt>
                <c:pt idx="38">
                  <c:v>1.0384904608674399</c:v>
                </c:pt>
                <c:pt idx="39">
                  <c:v>1.0384904608674399</c:v>
                </c:pt>
                <c:pt idx="40">
                  <c:v>1.0384904608674399</c:v>
                </c:pt>
                <c:pt idx="41">
                  <c:v>1.0384904608674399</c:v>
                </c:pt>
                <c:pt idx="42">
                  <c:v>1.0384904608674399</c:v>
                </c:pt>
                <c:pt idx="43">
                  <c:v>1.0384904608674399</c:v>
                </c:pt>
                <c:pt idx="44">
                  <c:v>1.0384904608674399</c:v>
                </c:pt>
                <c:pt idx="45">
                  <c:v>1.0384904608674399</c:v>
                </c:pt>
                <c:pt idx="46">
                  <c:v>1.0384904608674399</c:v>
                </c:pt>
                <c:pt idx="47">
                  <c:v>1.0384904608674399</c:v>
                </c:pt>
                <c:pt idx="48">
                  <c:v>1.0384904608674399</c:v>
                </c:pt>
                <c:pt idx="49">
                  <c:v>1.0384904608674399</c:v>
                </c:pt>
                <c:pt idx="50">
                  <c:v>1.0384904608674399</c:v>
                </c:pt>
                <c:pt idx="51">
                  <c:v>1.0384904608674399</c:v>
                </c:pt>
                <c:pt idx="52">
                  <c:v>1.0384904608674399</c:v>
                </c:pt>
                <c:pt idx="53">
                  <c:v>1.0384904608674399</c:v>
                </c:pt>
                <c:pt idx="54">
                  <c:v>1.0384904608674399</c:v>
                </c:pt>
                <c:pt idx="55">
                  <c:v>1.0384904608674399</c:v>
                </c:pt>
                <c:pt idx="56">
                  <c:v>1.0384904608674399</c:v>
                </c:pt>
                <c:pt idx="57">
                  <c:v>1.0384904608674399</c:v>
                </c:pt>
                <c:pt idx="58">
                  <c:v>1.0384904608674399</c:v>
                </c:pt>
                <c:pt idx="59">
                  <c:v>1.0384904608674399</c:v>
                </c:pt>
                <c:pt idx="60">
                  <c:v>1.0384904608674399</c:v>
                </c:pt>
                <c:pt idx="61">
                  <c:v>1.0384904608674399</c:v>
                </c:pt>
                <c:pt idx="62">
                  <c:v>1.0384904608674399</c:v>
                </c:pt>
                <c:pt idx="63">
                  <c:v>1.0384904608674399</c:v>
                </c:pt>
                <c:pt idx="64">
                  <c:v>1.0384904608674399</c:v>
                </c:pt>
                <c:pt idx="65">
                  <c:v>1.0384904608674399</c:v>
                </c:pt>
                <c:pt idx="66">
                  <c:v>1.0384904608674399</c:v>
                </c:pt>
                <c:pt idx="67">
                  <c:v>1.0384904608674399</c:v>
                </c:pt>
                <c:pt idx="68">
                  <c:v>1.0384904608674399</c:v>
                </c:pt>
                <c:pt idx="69">
                  <c:v>1.0384904608674399</c:v>
                </c:pt>
                <c:pt idx="70">
                  <c:v>1.0384904608674399</c:v>
                </c:pt>
                <c:pt idx="71">
                  <c:v>1.0384904608674399</c:v>
                </c:pt>
                <c:pt idx="72">
                  <c:v>1.0384904608674399</c:v>
                </c:pt>
                <c:pt idx="73">
                  <c:v>1.0384904608674399</c:v>
                </c:pt>
                <c:pt idx="74">
                  <c:v>1.0384904608674399</c:v>
                </c:pt>
                <c:pt idx="75">
                  <c:v>1.0384904608674399</c:v>
                </c:pt>
                <c:pt idx="76">
                  <c:v>1.0384904608674399</c:v>
                </c:pt>
                <c:pt idx="77">
                  <c:v>1.0384904608674399</c:v>
                </c:pt>
                <c:pt idx="78">
                  <c:v>1.0384904608674399</c:v>
                </c:pt>
                <c:pt idx="79">
                  <c:v>1.0384904608674399</c:v>
                </c:pt>
                <c:pt idx="80">
                  <c:v>1.0384904608674399</c:v>
                </c:pt>
                <c:pt idx="81">
                  <c:v>1.0384904608674399</c:v>
                </c:pt>
                <c:pt idx="82">
                  <c:v>1.0384904608674399</c:v>
                </c:pt>
                <c:pt idx="83">
                  <c:v>1.0384904608674399</c:v>
                </c:pt>
                <c:pt idx="84">
                  <c:v>1.0384904608674399</c:v>
                </c:pt>
                <c:pt idx="85">
                  <c:v>1.0384904608674399</c:v>
                </c:pt>
                <c:pt idx="86">
                  <c:v>1.0384904608674399</c:v>
                </c:pt>
                <c:pt idx="87">
                  <c:v>1.0384904608674399</c:v>
                </c:pt>
                <c:pt idx="88">
                  <c:v>1.0384904608674399</c:v>
                </c:pt>
                <c:pt idx="89">
                  <c:v>1.0384904608674399</c:v>
                </c:pt>
                <c:pt idx="90">
                  <c:v>1.0384904608674399</c:v>
                </c:pt>
                <c:pt idx="91">
                  <c:v>1.0384904608674399</c:v>
                </c:pt>
                <c:pt idx="92">
                  <c:v>1.0384904608674399</c:v>
                </c:pt>
                <c:pt idx="93">
                  <c:v>1.0384904608674399</c:v>
                </c:pt>
                <c:pt idx="94">
                  <c:v>1.0384904608674399</c:v>
                </c:pt>
                <c:pt idx="95">
                  <c:v>1.0384904608674399</c:v>
                </c:pt>
                <c:pt idx="96">
                  <c:v>1.0384904608674399</c:v>
                </c:pt>
                <c:pt idx="97">
                  <c:v>1.0384904608674399</c:v>
                </c:pt>
                <c:pt idx="98">
                  <c:v>1.0384904608674399</c:v>
                </c:pt>
                <c:pt idx="99">
                  <c:v>1.0384904608674399</c:v>
                </c:pt>
                <c:pt idx="100">
                  <c:v>1.0384904608674399</c:v>
                </c:pt>
                <c:pt idx="101">
                  <c:v>1.0384904608674399</c:v>
                </c:pt>
                <c:pt idx="102">
                  <c:v>1.0384904608674399</c:v>
                </c:pt>
                <c:pt idx="103">
                  <c:v>1.0384904608674399</c:v>
                </c:pt>
                <c:pt idx="104">
                  <c:v>1.0384904608674399</c:v>
                </c:pt>
                <c:pt idx="105">
                  <c:v>1.0384904608674399</c:v>
                </c:pt>
                <c:pt idx="106">
                  <c:v>1.0384904608674399</c:v>
                </c:pt>
                <c:pt idx="107">
                  <c:v>1.0384904608674399</c:v>
                </c:pt>
                <c:pt idx="108">
                  <c:v>1.0384904608674399</c:v>
                </c:pt>
                <c:pt idx="109">
                  <c:v>1.0384904608674399</c:v>
                </c:pt>
                <c:pt idx="110">
                  <c:v>1.0384904608674399</c:v>
                </c:pt>
                <c:pt idx="111">
                  <c:v>1.0384904608674399</c:v>
                </c:pt>
                <c:pt idx="112">
                  <c:v>1.0384904608674399</c:v>
                </c:pt>
                <c:pt idx="113">
                  <c:v>1.0384904608674399</c:v>
                </c:pt>
                <c:pt idx="114">
                  <c:v>1.0384904608674399</c:v>
                </c:pt>
                <c:pt idx="115">
                  <c:v>1.0384904608674399</c:v>
                </c:pt>
                <c:pt idx="116">
                  <c:v>1.0384904608674399</c:v>
                </c:pt>
                <c:pt idx="117">
                  <c:v>1.0384904608674399</c:v>
                </c:pt>
                <c:pt idx="118">
                  <c:v>1.0384904608674399</c:v>
                </c:pt>
                <c:pt idx="119">
                  <c:v>1.0384904608674399</c:v>
                </c:pt>
                <c:pt idx="120">
                  <c:v>1.0384904608674399</c:v>
                </c:pt>
                <c:pt idx="121">
                  <c:v>1.0384904608674399</c:v>
                </c:pt>
                <c:pt idx="122">
                  <c:v>1.0384904608674399</c:v>
                </c:pt>
                <c:pt idx="123">
                  <c:v>1.0384904608674399</c:v>
                </c:pt>
                <c:pt idx="124">
                  <c:v>1.0384904608674399</c:v>
                </c:pt>
                <c:pt idx="125">
                  <c:v>1.0384904608674399</c:v>
                </c:pt>
                <c:pt idx="126">
                  <c:v>1.0384904608674399</c:v>
                </c:pt>
                <c:pt idx="127">
                  <c:v>1.0384904608674399</c:v>
                </c:pt>
                <c:pt idx="128">
                  <c:v>1.0384904608674399</c:v>
                </c:pt>
                <c:pt idx="129">
                  <c:v>1.0384904608674399</c:v>
                </c:pt>
                <c:pt idx="130">
                  <c:v>1.0384904608674399</c:v>
                </c:pt>
                <c:pt idx="131">
                  <c:v>1.0384904608674399</c:v>
                </c:pt>
                <c:pt idx="132">
                  <c:v>1.0384904608674399</c:v>
                </c:pt>
                <c:pt idx="133">
                  <c:v>1.0384904608674399</c:v>
                </c:pt>
                <c:pt idx="134">
                  <c:v>1.0384904608674399</c:v>
                </c:pt>
                <c:pt idx="135">
                  <c:v>1.0384904608674399</c:v>
                </c:pt>
                <c:pt idx="136">
                  <c:v>1.0384904608674399</c:v>
                </c:pt>
                <c:pt idx="137">
                  <c:v>1.0384904608674399</c:v>
                </c:pt>
                <c:pt idx="138">
                  <c:v>1.0384904608674399</c:v>
                </c:pt>
                <c:pt idx="139">
                  <c:v>1.0384904608674399</c:v>
                </c:pt>
                <c:pt idx="140">
                  <c:v>1.0384904608674399</c:v>
                </c:pt>
                <c:pt idx="141">
                  <c:v>1.0384904608674399</c:v>
                </c:pt>
                <c:pt idx="142">
                  <c:v>1.0384904608674399</c:v>
                </c:pt>
                <c:pt idx="143">
                  <c:v>1.0384904608674399</c:v>
                </c:pt>
                <c:pt idx="144">
                  <c:v>1.0384904608674399</c:v>
                </c:pt>
                <c:pt idx="145">
                  <c:v>1.0384904608674399</c:v>
                </c:pt>
                <c:pt idx="146">
                  <c:v>1.0384904608674399</c:v>
                </c:pt>
                <c:pt idx="147">
                  <c:v>1.0384904608674399</c:v>
                </c:pt>
                <c:pt idx="148">
                  <c:v>1.0384904608674399</c:v>
                </c:pt>
                <c:pt idx="149">
                  <c:v>1.0384904608674399</c:v>
                </c:pt>
                <c:pt idx="150">
                  <c:v>1.0384904608674399</c:v>
                </c:pt>
                <c:pt idx="151">
                  <c:v>1.0384904608674399</c:v>
                </c:pt>
                <c:pt idx="152">
                  <c:v>1.0384904608674399</c:v>
                </c:pt>
                <c:pt idx="153">
                  <c:v>1.0384904608674399</c:v>
                </c:pt>
                <c:pt idx="154">
                  <c:v>1.0384904608674399</c:v>
                </c:pt>
                <c:pt idx="155">
                  <c:v>1.0384904608674399</c:v>
                </c:pt>
                <c:pt idx="156">
                  <c:v>1.0384904608674399</c:v>
                </c:pt>
                <c:pt idx="157">
                  <c:v>1.0384904608674399</c:v>
                </c:pt>
                <c:pt idx="158">
                  <c:v>1.0384904608674399</c:v>
                </c:pt>
                <c:pt idx="159">
                  <c:v>1.0384904608674399</c:v>
                </c:pt>
                <c:pt idx="160">
                  <c:v>1.0384904608674399</c:v>
                </c:pt>
                <c:pt idx="161">
                  <c:v>1.0384904608674399</c:v>
                </c:pt>
                <c:pt idx="162">
                  <c:v>1.0384904608674399</c:v>
                </c:pt>
                <c:pt idx="163">
                  <c:v>1.0384904608674399</c:v>
                </c:pt>
                <c:pt idx="164">
                  <c:v>1.0384904608674399</c:v>
                </c:pt>
                <c:pt idx="165">
                  <c:v>1.0384904608674399</c:v>
                </c:pt>
                <c:pt idx="166">
                  <c:v>1.0384904608674399</c:v>
                </c:pt>
                <c:pt idx="167">
                  <c:v>1.0384904608674399</c:v>
                </c:pt>
                <c:pt idx="168">
                  <c:v>1.0384904608674399</c:v>
                </c:pt>
                <c:pt idx="169">
                  <c:v>1.0384904608674399</c:v>
                </c:pt>
                <c:pt idx="170">
                  <c:v>1.0384904608674399</c:v>
                </c:pt>
                <c:pt idx="171">
                  <c:v>1.0384904608674399</c:v>
                </c:pt>
                <c:pt idx="172">
                  <c:v>1.0384904608674399</c:v>
                </c:pt>
                <c:pt idx="173">
                  <c:v>1.0384904608674399</c:v>
                </c:pt>
                <c:pt idx="174">
                  <c:v>1.0384904608674399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DD-4805-9D4C-2DC994A6C726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IAGG*/BNDX*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1.0349663907105</c:v>
                </c:pt>
                <c:pt idx="10">
                  <c:v>1.03484631654657</c:v>
                </c:pt>
                <c:pt idx="11">
                  <c:v>1.0348869169767401</c:v>
                </c:pt>
                <c:pt idx="12">
                  <c:v>1.0349289468723599</c:v>
                </c:pt>
                <c:pt idx="13">
                  <c:v>1.03499515159532</c:v>
                </c:pt>
                <c:pt idx="14">
                  <c:v>1.03506278713913</c:v>
                </c:pt>
                <c:pt idx="15">
                  <c:v>1.0350429072437499</c:v>
                </c:pt>
                <c:pt idx="16">
                  <c:v>1.0350472345922199</c:v>
                </c:pt>
                <c:pt idx="17">
                  <c:v>1.03519368789954</c:v>
                </c:pt>
                <c:pt idx="18">
                  <c:v>1.0351689314559001</c:v>
                </c:pt>
                <c:pt idx="19">
                  <c:v>1.0353144601117901</c:v>
                </c:pt>
                <c:pt idx="20">
                  <c:v>1.03542672576006</c:v>
                </c:pt>
                <c:pt idx="21">
                  <c:v>1.0354470185375699</c:v>
                </c:pt>
                <c:pt idx="22">
                  <c:v>1.0352592222349799</c:v>
                </c:pt>
                <c:pt idx="23">
                  <c:v>1.0351525622917099</c:v>
                </c:pt>
                <c:pt idx="24">
                  <c:v>1.0350643700311799</c:v>
                </c:pt>
                <c:pt idx="25">
                  <c:v>1.03500118795004</c:v>
                </c:pt>
                <c:pt idx="26">
                  <c:v>1.03482705405721</c:v>
                </c:pt>
                <c:pt idx="27">
                  <c:v>1.0346507745775499</c:v>
                </c:pt>
                <c:pt idx="28">
                  <c:v>1.0346637819268101</c:v>
                </c:pt>
                <c:pt idx="29">
                  <c:v>1.03458616507236</c:v>
                </c:pt>
                <c:pt idx="30">
                  <c:v>1.03440888040114</c:v>
                </c:pt>
                <c:pt idx="31">
                  <c:v>1.03418930838088</c:v>
                </c:pt>
                <c:pt idx="32">
                  <c:v>1.0341784553612301</c:v>
                </c:pt>
                <c:pt idx="33">
                  <c:v>1.0341476064355899</c:v>
                </c:pt>
                <c:pt idx="34">
                  <c:v>1.03405022537769</c:v>
                </c:pt>
                <c:pt idx="35">
                  <c:v>1.0339122504212599</c:v>
                </c:pt>
                <c:pt idx="36">
                  <c:v>1.0339495837307699</c:v>
                </c:pt>
                <c:pt idx="37">
                  <c:v>1.03379823450476</c:v>
                </c:pt>
                <c:pt idx="38">
                  <c:v>1.0337503505153001</c:v>
                </c:pt>
                <c:pt idx="39">
                  <c:v>1.0335723804870101</c:v>
                </c:pt>
                <c:pt idx="40">
                  <c:v>1.03355032160632</c:v>
                </c:pt>
                <c:pt idx="41">
                  <c:v>1.0336957203502599</c:v>
                </c:pt>
                <c:pt idx="42">
                  <c:v>1.0338365055596901</c:v>
                </c:pt>
                <c:pt idx="43">
                  <c:v>1.03411442837685</c:v>
                </c:pt>
                <c:pt idx="44">
                  <c:v>1.0343721924854701</c:v>
                </c:pt>
                <c:pt idx="45">
                  <c:v>1.03463384073442</c:v>
                </c:pt>
                <c:pt idx="46">
                  <c:v>1.0349703952378499</c:v>
                </c:pt>
                <c:pt idx="47">
                  <c:v>1.03546923594218</c:v>
                </c:pt>
                <c:pt idx="48">
                  <c:v>1.0359610513620601</c:v>
                </c:pt>
                <c:pt idx="49">
                  <c:v>1.03638117393825</c:v>
                </c:pt>
                <c:pt idx="50">
                  <c:v>1.0365625536932901</c:v>
                </c:pt>
                <c:pt idx="51">
                  <c:v>1.0368175921082701</c:v>
                </c:pt>
                <c:pt idx="52">
                  <c:v>1.0370987280023001</c:v>
                </c:pt>
                <c:pt idx="53">
                  <c:v>1.0372095948605999</c:v>
                </c:pt>
                <c:pt idx="54">
                  <c:v>1.0374128373770699</c:v>
                </c:pt>
                <c:pt idx="55">
                  <c:v>1.03764764399697</c:v>
                </c:pt>
                <c:pt idx="56">
                  <c:v>1.03772280290118</c:v>
                </c:pt>
                <c:pt idx="57">
                  <c:v>1.0379165744522301</c:v>
                </c:pt>
                <c:pt idx="58">
                  <c:v>1.0380692313169999</c:v>
                </c:pt>
                <c:pt idx="59">
                  <c:v>1.03833176833028</c:v>
                </c:pt>
                <c:pt idx="60">
                  <c:v>1.0386610942129499</c:v>
                </c:pt>
                <c:pt idx="61">
                  <c:v>1.03865821461007</c:v>
                </c:pt>
                <c:pt idx="62">
                  <c:v>1.03866085478252</c:v>
                </c:pt>
                <c:pt idx="63">
                  <c:v>1.0387690320060201</c:v>
                </c:pt>
                <c:pt idx="64">
                  <c:v>1.0388490687294201</c:v>
                </c:pt>
                <c:pt idx="65">
                  <c:v>1.03880321855972</c:v>
                </c:pt>
                <c:pt idx="66">
                  <c:v>1.0388918388094901</c:v>
                </c:pt>
                <c:pt idx="67">
                  <c:v>1.0388177711987601</c:v>
                </c:pt>
                <c:pt idx="68">
                  <c:v>1.03863040646862</c:v>
                </c:pt>
                <c:pt idx="69">
                  <c:v>1.03835733796824</c:v>
                </c:pt>
                <c:pt idx="70">
                  <c:v>1.03819623220223</c:v>
                </c:pt>
                <c:pt idx="71">
                  <c:v>1.038251962648</c:v>
                </c:pt>
                <c:pt idx="72">
                  <c:v>1.0382434755844701</c:v>
                </c:pt>
                <c:pt idx="73">
                  <c:v>1.0381503746506899</c:v>
                </c:pt>
                <c:pt idx="74">
                  <c:v>1.0380731787300601</c:v>
                </c:pt>
                <c:pt idx="75">
                  <c:v>1.03816338268377</c:v>
                </c:pt>
                <c:pt idx="76">
                  <c:v>1.0381046121595101</c:v>
                </c:pt>
                <c:pt idx="77">
                  <c:v>1.0380908736118799</c:v>
                </c:pt>
                <c:pt idx="78">
                  <c:v>1.0381107578036299</c:v>
                </c:pt>
                <c:pt idx="79">
                  <c:v>1.03821044951328</c:v>
                </c:pt>
                <c:pt idx="80">
                  <c:v>1.0384174375011701</c:v>
                </c:pt>
                <c:pt idx="81">
                  <c:v>1.0383792591674701</c:v>
                </c:pt>
                <c:pt idx="82">
                  <c:v>1.0383520449130399</c:v>
                </c:pt>
                <c:pt idx="83">
                  <c:v>1.0383924551163199</c:v>
                </c:pt>
                <c:pt idx="84">
                  <c:v>1.0383947492738499</c:v>
                </c:pt>
                <c:pt idx="85">
                  <c:v>1.03829976654024</c:v>
                </c:pt>
                <c:pt idx="86">
                  <c:v>1.0382451305037601</c:v>
                </c:pt>
                <c:pt idx="87">
                  <c:v>1.0382125514296701</c:v>
                </c:pt>
                <c:pt idx="88">
                  <c:v>1.03826577180458</c:v>
                </c:pt>
                <c:pt idx="89">
                  <c:v>1.0384530460060399</c:v>
                </c:pt>
                <c:pt idx="90">
                  <c:v>1.03841450475381</c:v>
                </c:pt>
                <c:pt idx="91">
                  <c:v>1.03836526374391</c:v>
                </c:pt>
                <c:pt idx="92">
                  <c:v>1.03868841185933</c:v>
                </c:pt>
                <c:pt idx="93">
                  <c:v>1.03888659306419</c:v>
                </c:pt>
                <c:pt idx="94">
                  <c:v>1.0391394325176</c:v>
                </c:pt>
                <c:pt idx="95">
                  <c:v>1.0393441503448599</c:v>
                </c:pt>
                <c:pt idx="96">
                  <c:v>1.0394964823728301</c:v>
                </c:pt>
                <c:pt idx="97">
                  <c:v>1.03942039064041</c:v>
                </c:pt>
                <c:pt idx="98">
                  <c:v>1.0392771426452001</c:v>
                </c:pt>
                <c:pt idx="99">
                  <c:v>1.03905844289841</c:v>
                </c:pt>
                <c:pt idx="100">
                  <c:v>1.0389063057223999</c:v>
                </c:pt>
                <c:pt idx="101">
                  <c:v>1.0388581781149799</c:v>
                </c:pt>
                <c:pt idx="102">
                  <c:v>1.03858905180254</c:v>
                </c:pt>
                <c:pt idx="103">
                  <c:v>1.03826291682158</c:v>
                </c:pt>
                <c:pt idx="104">
                  <c:v>1.0380846314921199</c:v>
                </c:pt>
                <c:pt idx="105">
                  <c:v>1.03801279717659</c:v>
                </c:pt>
                <c:pt idx="106">
                  <c:v>1.03797217002496</c:v>
                </c:pt>
                <c:pt idx="107">
                  <c:v>1.03802525047839</c:v>
                </c:pt>
                <c:pt idx="108">
                  <c:v>1.0381913207642901</c:v>
                </c:pt>
                <c:pt idx="109">
                  <c:v>1.03838469616919</c:v>
                </c:pt>
                <c:pt idx="110">
                  <c:v>1.0384762560326399</c:v>
                </c:pt>
                <c:pt idx="111">
                  <c:v>1.03848500644943</c:v>
                </c:pt>
                <c:pt idx="112">
                  <c:v>1.0384724312764599</c:v>
                </c:pt>
                <c:pt idx="113">
                  <c:v>1.0385852661836401</c:v>
                </c:pt>
                <c:pt idx="114">
                  <c:v>1.03852207274018</c:v>
                </c:pt>
                <c:pt idx="115">
                  <c:v>1.03858244529463</c:v>
                </c:pt>
                <c:pt idx="116">
                  <c:v>1.0386642746717401</c:v>
                </c:pt>
                <c:pt idx="117">
                  <c:v>1.03854869519531</c:v>
                </c:pt>
                <c:pt idx="118">
                  <c:v>1.03836534878102</c:v>
                </c:pt>
                <c:pt idx="119">
                  <c:v>1.03817475702658</c:v>
                </c:pt>
                <c:pt idx="120">
                  <c:v>1.0380673148330599</c:v>
                </c:pt>
                <c:pt idx="121">
                  <c:v>1.0381088344787699</c:v>
                </c:pt>
                <c:pt idx="122">
                  <c:v>1.0381984226940699</c:v>
                </c:pt>
                <c:pt idx="123">
                  <c:v>1.0383255052857201</c:v>
                </c:pt>
                <c:pt idx="124">
                  <c:v>1.0384739161982599</c:v>
                </c:pt>
                <c:pt idx="125">
                  <c:v>1.0385043792573201</c:v>
                </c:pt>
                <c:pt idx="126">
                  <c:v>1.0386063248516899</c:v>
                </c:pt>
                <c:pt idx="127">
                  <c:v>1.03906111379042</c:v>
                </c:pt>
                <c:pt idx="128">
                  <c:v>1.03930327361921</c:v>
                </c:pt>
                <c:pt idx="129">
                  <c:v>1.03954016541923</c:v>
                </c:pt>
                <c:pt idx="130">
                  <c:v>1.0398763066025301</c:v>
                </c:pt>
                <c:pt idx="131">
                  <c:v>1.0402484697102901</c:v>
                </c:pt>
                <c:pt idx="132">
                  <c:v>1.0404034317467199</c:v>
                </c:pt>
                <c:pt idx="133">
                  <c:v>1.04051099396183</c:v>
                </c:pt>
                <c:pt idx="134">
                  <c:v>1.0405980585077801</c:v>
                </c:pt>
                <c:pt idx="135">
                  <c:v>1.0408164610906001</c:v>
                </c:pt>
                <c:pt idx="136">
                  <c:v>1.0408941932035001</c:v>
                </c:pt>
                <c:pt idx="137">
                  <c:v>1.0408348818991899</c:v>
                </c:pt>
                <c:pt idx="138">
                  <c:v>1.0411290577719401</c:v>
                </c:pt>
                <c:pt idx="139">
                  <c:v>1.0412348455941201</c:v>
                </c:pt>
                <c:pt idx="140">
                  <c:v>1.0411911579858</c:v>
                </c:pt>
                <c:pt idx="141">
                  <c:v>1.0411680657175999</c:v>
                </c:pt>
                <c:pt idx="142">
                  <c:v>1.04124842553125</c:v>
                </c:pt>
                <c:pt idx="143">
                  <c:v>1.0412963427984201</c:v>
                </c:pt>
                <c:pt idx="144">
                  <c:v>1.04143363050169</c:v>
                </c:pt>
                <c:pt idx="145">
                  <c:v>1.04134251044869</c:v>
                </c:pt>
                <c:pt idx="146">
                  <c:v>1.04130319085514</c:v>
                </c:pt>
                <c:pt idx="147">
                  <c:v>1.0412596401170999</c:v>
                </c:pt>
                <c:pt idx="148">
                  <c:v>1.0411133084578399</c:v>
                </c:pt>
                <c:pt idx="149">
                  <c:v>1.0411141539598201</c:v>
                </c:pt>
                <c:pt idx="150">
                  <c:v>1.0412829078335799</c:v>
                </c:pt>
                <c:pt idx="151">
                  <c:v>1.0413520593709</c:v>
                </c:pt>
                <c:pt idx="152">
                  <c:v>1.0413647507421699</c:v>
                </c:pt>
                <c:pt idx="153">
                  <c:v>1.04137579533642</c:v>
                </c:pt>
                <c:pt idx="154">
                  <c:v>1.04147605665201</c:v>
                </c:pt>
                <c:pt idx="155">
                  <c:v>1.0416366739740599</c:v>
                </c:pt>
                <c:pt idx="156">
                  <c:v>1.0419375473799</c:v>
                </c:pt>
                <c:pt idx="157">
                  <c:v>1.0420410404146301</c:v>
                </c:pt>
                <c:pt idx="158">
                  <c:v>1.0422059701919999</c:v>
                </c:pt>
                <c:pt idx="159">
                  <c:v>1.0423141490507699</c:v>
                </c:pt>
                <c:pt idx="160">
                  <c:v>1.04236496673736</c:v>
                </c:pt>
                <c:pt idx="161">
                  <c:v>1.0423161975456201</c:v>
                </c:pt>
                <c:pt idx="162">
                  <c:v>1.04227844001371</c:v>
                </c:pt>
                <c:pt idx="163">
                  <c:v>1.0422963463960799</c:v>
                </c:pt>
                <c:pt idx="164">
                  <c:v>1.04228632834788</c:v>
                </c:pt>
                <c:pt idx="165">
                  <c:v>1.0423779050103501</c:v>
                </c:pt>
                <c:pt idx="166">
                  <c:v>1.04239482575001</c:v>
                </c:pt>
                <c:pt idx="167">
                  <c:v>1.0426749371928501</c:v>
                </c:pt>
                <c:pt idx="168">
                  <c:v>1.0427265681594999</c:v>
                </c:pt>
                <c:pt idx="169">
                  <c:v>1.0428356984346601</c:v>
                </c:pt>
                <c:pt idx="170">
                  <c:v>1.04293221920019</c:v>
                </c:pt>
                <c:pt idx="171">
                  <c:v>1.0432488761127301</c:v>
                </c:pt>
                <c:pt idx="172">
                  <c:v>1.04370391880326</c:v>
                </c:pt>
                <c:pt idx="173">
                  <c:v>1.04421313956149</c:v>
                </c:pt>
                <c:pt idx="174">
                  <c:v>1.0446583291840901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DD-4805-9D4C-2DC994A6C726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IAGG*/BNDX*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1.03514042541114</c:v>
                </c:pt>
                <c:pt idx="20">
                  <c:v>1.0351365211533099</c:v>
                </c:pt>
                <c:pt idx="21">
                  <c:v>1.03516696775716</c:v>
                </c:pt>
                <c:pt idx="22">
                  <c:v>1.03509408455367</c:v>
                </c:pt>
                <c:pt idx="23">
                  <c:v>1.0350738569435101</c:v>
                </c:pt>
                <c:pt idx="24">
                  <c:v>1.0350635785851501</c:v>
                </c:pt>
                <c:pt idx="25">
                  <c:v>1.0350220475968901</c:v>
                </c:pt>
                <c:pt idx="26">
                  <c:v>1.03493714432471</c:v>
                </c:pt>
                <c:pt idx="27">
                  <c:v>1.03492223123855</c:v>
                </c:pt>
                <c:pt idx="28">
                  <c:v>1.03491635669136</c:v>
                </c:pt>
                <c:pt idx="29">
                  <c:v>1.03495031259207</c:v>
                </c:pt>
                <c:pt idx="30">
                  <c:v>1.0349178030806001</c:v>
                </c:pt>
                <c:pt idx="31">
                  <c:v>1.0348181634592299</c:v>
                </c:pt>
                <c:pt idx="32">
                  <c:v>1.0347188387981101</c:v>
                </c:pt>
                <c:pt idx="33">
                  <c:v>1.0346500843636499</c:v>
                </c:pt>
                <c:pt idx="34">
                  <c:v>1.0345572977044299</c:v>
                </c:pt>
                <c:pt idx="35">
                  <c:v>1.03445671918565</c:v>
                </c:pt>
                <c:pt idx="36">
                  <c:v>1.03438831889399</c:v>
                </c:pt>
                <c:pt idx="37">
                  <c:v>1.03422450454115</c:v>
                </c:pt>
                <c:pt idx="38">
                  <c:v>1.0342070662210501</c:v>
                </c:pt>
                <c:pt idx="39">
                  <c:v>1.0340792727796899</c:v>
                </c:pt>
                <c:pt idx="40">
                  <c:v>1.0339796010037301</c:v>
                </c:pt>
                <c:pt idx="41">
                  <c:v>1.0339425143655701</c:v>
                </c:pt>
                <c:pt idx="42">
                  <c:v>1.03400748046046</c:v>
                </c:pt>
                <c:pt idx="43">
                  <c:v>1.0341310174062199</c:v>
                </c:pt>
                <c:pt idx="44">
                  <c:v>1.03421120893158</c:v>
                </c:pt>
                <c:pt idx="45">
                  <c:v>1.0342730455778399</c:v>
                </c:pt>
                <c:pt idx="46">
                  <c:v>1.0344599894843101</c:v>
                </c:pt>
                <c:pt idx="47">
                  <c:v>1.03463373522347</c:v>
                </c:pt>
                <c:pt idx="48">
                  <c:v>1.0348557009386801</c:v>
                </c:pt>
                <c:pt idx="49">
                  <c:v>1.0349767772126299</c:v>
                </c:pt>
                <c:pt idx="50">
                  <c:v>1.0350564376498099</c:v>
                </c:pt>
                <c:pt idx="51">
                  <c:v>1.03525665622927</c:v>
                </c:pt>
                <c:pt idx="52">
                  <c:v>1.03546761678099</c:v>
                </c:pt>
                <c:pt idx="53">
                  <c:v>1.0356620116187301</c:v>
                </c:pt>
                <c:pt idx="54">
                  <c:v>1.0358925149312701</c:v>
                </c:pt>
                <c:pt idx="55">
                  <c:v>1.0361407423656901</c:v>
                </c:pt>
                <c:pt idx="56">
                  <c:v>1.03634659906952</c:v>
                </c:pt>
                <c:pt idx="57">
                  <c:v>1.0366929051972</c:v>
                </c:pt>
                <c:pt idx="58">
                  <c:v>1.0370151413395301</c:v>
                </c:pt>
                <c:pt idx="59">
                  <c:v>1.03735647113427</c:v>
                </c:pt>
                <c:pt idx="60">
                  <c:v>1.03761182395312</c:v>
                </c:pt>
                <c:pt idx="61">
                  <c:v>1.03773790335917</c:v>
                </c:pt>
                <c:pt idx="62">
                  <c:v>1.03787979139241</c:v>
                </c:pt>
                <c:pt idx="63">
                  <c:v>1.03798931343331</c:v>
                </c:pt>
                <c:pt idx="64">
                  <c:v>1.0381309530532401</c:v>
                </c:pt>
                <c:pt idx="65">
                  <c:v>1.0382254312783401</c:v>
                </c:pt>
                <c:pt idx="66">
                  <c:v>1.03830732085533</c:v>
                </c:pt>
                <c:pt idx="67">
                  <c:v>1.0383671728255</c:v>
                </c:pt>
                <c:pt idx="68">
                  <c:v>1.03834981889281</c:v>
                </c:pt>
                <c:pt idx="69">
                  <c:v>1.0383445531492601</c:v>
                </c:pt>
                <c:pt idx="70">
                  <c:v>1.0384286632075901</c:v>
                </c:pt>
                <c:pt idx="71">
                  <c:v>1.03845508862903</c:v>
                </c:pt>
                <c:pt idx="72">
                  <c:v>1.0384521651834999</c:v>
                </c:pt>
                <c:pt idx="73">
                  <c:v>1.03845970332836</c:v>
                </c:pt>
                <c:pt idx="74">
                  <c:v>1.0384611237297401</c:v>
                </c:pt>
                <c:pt idx="75">
                  <c:v>1.03848330062175</c:v>
                </c:pt>
                <c:pt idx="76">
                  <c:v>1.0384982254845001</c:v>
                </c:pt>
                <c:pt idx="77">
                  <c:v>1.03845432240532</c:v>
                </c:pt>
                <c:pt idx="78">
                  <c:v>1.03837058213612</c:v>
                </c:pt>
                <c:pt idx="79">
                  <c:v>1.0382838937407599</c:v>
                </c:pt>
                <c:pt idx="80">
                  <c:v>1.0383068348516999</c:v>
                </c:pt>
                <c:pt idx="81">
                  <c:v>1.0383156109077301</c:v>
                </c:pt>
                <c:pt idx="82">
                  <c:v>1.03829776024876</c:v>
                </c:pt>
                <c:pt idx="83">
                  <c:v>1.0382714148834999</c:v>
                </c:pt>
                <c:pt idx="84">
                  <c:v>1.03823396400196</c:v>
                </c:pt>
                <c:pt idx="85">
                  <c:v>1.0382315746120101</c:v>
                </c:pt>
                <c:pt idx="86">
                  <c:v>1.0381748713316299</c:v>
                </c:pt>
                <c:pt idx="87">
                  <c:v>1.03815171252078</c:v>
                </c:pt>
                <c:pt idx="88">
                  <c:v>1.0381882648041001</c:v>
                </c:pt>
                <c:pt idx="89">
                  <c:v>1.0383317477596601</c:v>
                </c:pt>
                <c:pt idx="90">
                  <c:v>1.0384159711274901</c:v>
                </c:pt>
                <c:pt idx="91">
                  <c:v>1.0383722614556901</c:v>
                </c:pt>
                <c:pt idx="92">
                  <c:v>1.0385202283861901</c:v>
                </c:pt>
                <c:pt idx="93">
                  <c:v>1.03863952409025</c:v>
                </c:pt>
                <c:pt idx="94">
                  <c:v>1.03876709089573</c:v>
                </c:pt>
                <c:pt idx="95">
                  <c:v>1.03882195844255</c:v>
                </c:pt>
                <c:pt idx="96">
                  <c:v>1.0388708064383001</c:v>
                </c:pt>
                <c:pt idx="97">
                  <c:v>1.03881647103504</c:v>
                </c:pt>
                <c:pt idx="98">
                  <c:v>1.0387714572248901</c:v>
                </c:pt>
                <c:pt idx="99">
                  <c:v>1.03875574445222</c:v>
                </c:pt>
                <c:pt idx="100">
                  <c:v>1.0386604052381001</c:v>
                </c:pt>
                <c:pt idx="101">
                  <c:v>1.0386117209294501</c:v>
                </c:pt>
                <c:pt idx="102">
                  <c:v>1.03863873183093</c:v>
                </c:pt>
                <c:pt idx="103">
                  <c:v>1.0385747549428801</c:v>
                </c:pt>
                <c:pt idx="104">
                  <c:v>1.03861203200486</c:v>
                </c:pt>
                <c:pt idx="105">
                  <c:v>1.03867847376073</c:v>
                </c:pt>
                <c:pt idx="106">
                  <c:v>1.0387343261988999</c:v>
                </c:pt>
                <c:pt idx="107">
                  <c:v>1.0387228205593999</c:v>
                </c:pt>
                <c:pt idx="108">
                  <c:v>1.0387342317047401</c:v>
                </c:pt>
                <c:pt idx="109">
                  <c:v>1.0387215695337999</c:v>
                </c:pt>
                <c:pt idx="110">
                  <c:v>1.0386912808775199</c:v>
                </c:pt>
                <c:pt idx="111">
                  <c:v>1.0386715922822101</c:v>
                </c:pt>
                <c:pt idx="112">
                  <c:v>1.0385307415395</c:v>
                </c:pt>
                <c:pt idx="113">
                  <c:v>1.0384240915026099</c:v>
                </c:pt>
                <c:pt idx="114">
                  <c:v>1.03830335211615</c:v>
                </c:pt>
                <c:pt idx="115">
                  <c:v>1.0382976212356101</c:v>
                </c:pt>
                <c:pt idx="116">
                  <c:v>1.03831822234835</c:v>
                </c:pt>
                <c:pt idx="117">
                  <c:v>1.03828697283685</c:v>
                </c:pt>
                <c:pt idx="118">
                  <c:v>1.0382783347726501</c:v>
                </c:pt>
                <c:pt idx="119">
                  <c:v>1.03827972659788</c:v>
                </c:pt>
                <c:pt idx="120">
                  <c:v>1.03827178543285</c:v>
                </c:pt>
                <c:pt idx="121">
                  <c:v>1.0382969204640999</c:v>
                </c:pt>
                <c:pt idx="122">
                  <c:v>1.03833542698526</c:v>
                </c:pt>
                <c:pt idx="123">
                  <c:v>1.0384553857346801</c:v>
                </c:pt>
                <c:pt idx="124">
                  <c:v>1.0384979944692201</c:v>
                </c:pt>
                <c:pt idx="125">
                  <c:v>1.03854341227598</c:v>
                </c:pt>
                <c:pt idx="126">
                  <c:v>1.0386352997617201</c:v>
                </c:pt>
                <c:pt idx="127">
                  <c:v>1.03880490449286</c:v>
                </c:pt>
                <c:pt idx="128">
                  <c:v>1.0388343112001199</c:v>
                </c:pt>
                <c:pt idx="129">
                  <c:v>1.0388574612229</c:v>
                </c:pt>
                <c:pt idx="130">
                  <c:v>1.0389718107178001</c:v>
                </c:pt>
                <c:pt idx="131">
                  <c:v>1.0391786520945301</c:v>
                </c:pt>
                <c:pt idx="132">
                  <c:v>1.0393009272203899</c:v>
                </c:pt>
                <c:pt idx="133">
                  <c:v>1.03941824962378</c:v>
                </c:pt>
                <c:pt idx="134">
                  <c:v>1.0395359873530201</c:v>
                </c:pt>
                <c:pt idx="135">
                  <c:v>1.0396604201739601</c:v>
                </c:pt>
                <c:pt idx="136">
                  <c:v>1.0397502590276</c:v>
                </c:pt>
                <c:pt idx="137">
                  <c:v>1.0399479978448001</c:v>
                </c:pt>
                <c:pt idx="138">
                  <c:v>1.04021616569558</c:v>
                </c:pt>
                <c:pt idx="139">
                  <c:v>1.04038750550667</c:v>
                </c:pt>
                <c:pt idx="140">
                  <c:v>1.0405337322941699</c:v>
                </c:pt>
                <c:pt idx="141">
                  <c:v>1.0407082677139401</c:v>
                </c:pt>
                <c:pt idx="142">
                  <c:v>1.04082592863899</c:v>
                </c:pt>
                <c:pt idx="143">
                  <c:v>1.04090366838013</c:v>
                </c:pt>
                <c:pt idx="144">
                  <c:v>1.0410158445047399</c:v>
                </c:pt>
                <c:pt idx="145">
                  <c:v>1.0410794857696499</c:v>
                </c:pt>
                <c:pt idx="146">
                  <c:v>1.0410986920293199</c:v>
                </c:pt>
                <c:pt idx="147">
                  <c:v>1.04104726100814</c:v>
                </c:pt>
                <c:pt idx="148">
                  <c:v>1.0411211831148901</c:v>
                </c:pt>
                <c:pt idx="149">
                  <c:v>1.0411744997769701</c:v>
                </c:pt>
                <c:pt idx="150">
                  <c:v>1.0412370329096901</c:v>
                </c:pt>
                <c:pt idx="151">
                  <c:v>1.0412600625442501</c:v>
                </c:pt>
                <c:pt idx="152">
                  <c:v>1.0413065881367101</c:v>
                </c:pt>
                <c:pt idx="153">
                  <c:v>1.04133606906742</c:v>
                </c:pt>
                <c:pt idx="154">
                  <c:v>1.04145484357685</c:v>
                </c:pt>
                <c:pt idx="155">
                  <c:v>1.04148959221138</c:v>
                </c:pt>
                <c:pt idx="156">
                  <c:v>1.0416203691175201</c:v>
                </c:pt>
                <c:pt idx="157">
                  <c:v>1.0416503402658599</c:v>
                </c:pt>
                <c:pt idx="158">
                  <c:v>1.04165963932492</c:v>
                </c:pt>
                <c:pt idx="159">
                  <c:v>1.0417141515052899</c:v>
                </c:pt>
                <c:pt idx="160">
                  <c:v>1.0418239372854701</c:v>
                </c:pt>
                <c:pt idx="161">
                  <c:v>1.04183412845826</c:v>
                </c:pt>
                <c:pt idx="162">
                  <c:v>1.0418215953779399</c:v>
                </c:pt>
                <c:pt idx="163">
                  <c:v>1.04183607086625</c:v>
                </c:pt>
                <c:pt idx="164">
                  <c:v>1.04188119249994</c:v>
                </c:pt>
                <c:pt idx="165">
                  <c:v>1.0420072894921999</c:v>
                </c:pt>
                <c:pt idx="166">
                  <c:v>1.0421661865649501</c:v>
                </c:pt>
                <c:pt idx="167">
                  <c:v>1.04235798880374</c:v>
                </c:pt>
                <c:pt idx="168">
                  <c:v>1.04246626917575</c:v>
                </c:pt>
                <c:pt idx="169">
                  <c:v>1.04257492374271</c:v>
                </c:pt>
                <c:pt idx="170">
                  <c:v>1.0426485929687801</c:v>
                </c:pt>
                <c:pt idx="171">
                  <c:v>1.0427825368291701</c:v>
                </c:pt>
                <c:pt idx="172">
                  <c:v>1.0429911794084901</c:v>
                </c:pt>
                <c:pt idx="173">
                  <c:v>1.04325474297879</c:v>
                </c:pt>
                <c:pt idx="174">
                  <c:v>1.04347232876598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DD-4805-9D4C-2DC994A6C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BNDX x avg / IAGG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4.86147697985912E-3</c:v>
                </c:pt>
                <c:pt idx="2">
                  <c:v>4.7043815277295602E-3</c:v>
                </c:pt>
                <c:pt idx="3">
                  <c:v>5.3651688551891704E-3</c:v>
                </c:pt>
                <c:pt idx="4">
                  <c:v>5.5643125380141299E-3</c:v>
                </c:pt>
                <c:pt idx="5">
                  <c:v>4.9740125267734104E-3</c:v>
                </c:pt>
                <c:pt idx="6">
                  <c:v>5.2008990194830004E-3</c:v>
                </c:pt>
                <c:pt idx="7">
                  <c:v>5.3721017040053503E-3</c:v>
                </c:pt>
                <c:pt idx="8">
                  <c:v>6.0171525203835301E-3</c:v>
                </c:pt>
                <c:pt idx="9">
                  <c:v>6.0035606461299297E-3</c:v>
                </c:pt>
                <c:pt idx="10">
                  <c:v>5.3721017040053503E-3</c:v>
                </c:pt>
                <c:pt idx="11">
                  <c:v>4.4694099448630504E-3</c:v>
                </c:pt>
                <c:pt idx="12">
                  <c:v>4.29857708647941E-3</c:v>
                </c:pt>
                <c:pt idx="13">
                  <c:v>4.72560535794549E-3</c:v>
                </c:pt>
                <c:pt idx="14">
                  <c:v>4.9108011796135101E-3</c:v>
                </c:pt>
                <c:pt idx="15">
                  <c:v>5.1660648226748603E-3</c:v>
                </c:pt>
                <c:pt idx="16">
                  <c:v>5.1590895139138303E-3</c:v>
                </c:pt>
                <c:pt idx="17">
                  <c:v>3.9578437201444501E-3</c:v>
                </c:pt>
                <c:pt idx="18">
                  <c:v>6.2565706206810798E-3</c:v>
                </c:pt>
                <c:pt idx="19">
                  <c:v>4.5973384194632899E-3</c:v>
                </c:pt>
                <c:pt idx="20">
                  <c:v>4.0992746443648696E-3</c:v>
                </c:pt>
                <c:pt idx="21">
                  <c:v>4.0848667944410697E-3</c:v>
                </c:pt>
                <c:pt idx="22">
                  <c:v>5.9286081984148697E-3</c:v>
                </c:pt>
                <c:pt idx="23">
                  <c:v>5.5712057365195798E-3</c:v>
                </c:pt>
                <c:pt idx="24">
                  <c:v>5.5780961428839298E-3</c:v>
                </c:pt>
                <c:pt idx="25">
                  <c:v>5.5918685859715402E-3</c:v>
                </c:pt>
                <c:pt idx="26">
                  <c:v>6.6607627836025403E-3</c:v>
                </c:pt>
                <c:pt idx="27">
                  <c:v>5.4757584376485501E-3</c:v>
                </c:pt>
                <c:pt idx="28">
                  <c:v>5.9475716744337003E-3</c:v>
                </c:pt>
                <c:pt idx="29">
                  <c:v>5.1622715842692202E-3</c:v>
                </c:pt>
                <c:pt idx="30">
                  <c:v>5.81751440651065E-3</c:v>
                </c:pt>
                <c:pt idx="31">
                  <c:v>6.21300580972769E-3</c:v>
                </c:pt>
                <c:pt idx="32">
                  <c:v>6.0354881751156601E-3</c:v>
                </c:pt>
                <c:pt idx="33">
                  <c:v>5.8717661179958896E-3</c:v>
                </c:pt>
                <c:pt idx="34">
                  <c:v>6.5238991403447797E-3</c:v>
                </c:pt>
                <c:pt idx="35">
                  <c:v>6.9313971084939401E-3</c:v>
                </c:pt>
                <c:pt idx="36">
                  <c:v>6.3000623463872196E-3</c:v>
                </c:pt>
                <c:pt idx="37">
                  <c:v>6.9444850475207697E-3</c:v>
                </c:pt>
                <c:pt idx="38">
                  <c:v>6.41322267179208E-3</c:v>
                </c:pt>
                <c:pt idx="39">
                  <c:v>4.8504198950064196E-3</c:v>
                </c:pt>
                <c:pt idx="40">
                  <c:v>3.9896609476521398E-3</c:v>
                </c:pt>
                <c:pt idx="41">
                  <c:v>2.7601525960446599E-3</c:v>
                </c:pt>
                <c:pt idx="42">
                  <c:v>2.6187146469902698E-3</c:v>
                </c:pt>
                <c:pt idx="43">
                  <c:v>1.1222881452249301E-3</c:v>
                </c:pt>
                <c:pt idx="44">
                  <c:v>1.9705616670693802E-3</c:v>
                </c:pt>
                <c:pt idx="45">
                  <c:v>2.33754452156055E-3</c:v>
                </c:pt>
                <c:pt idx="46">
                  <c:v>9.7367254455376501E-4</c:v>
                </c:pt>
                <c:pt idx="47">
                  <c:v>3.97239449823719E-5</c:v>
                </c:pt>
                <c:pt idx="48">
                  <c:v>-4.2531518198259599E-4</c:v>
                </c:pt>
                <c:pt idx="49">
                  <c:v>7.5060064511617004E-4</c:v>
                </c:pt>
                <c:pt idx="50">
                  <c:v>2.2088270958828498E-3</c:v>
                </c:pt>
                <c:pt idx="51">
                  <c:v>2.6372928015533999E-4</c:v>
                </c:pt>
                <c:pt idx="52">
                  <c:v>-1.19684309321768E-4</c:v>
                </c:pt>
                <c:pt idx="53">
                  <c:v>2.17434302566633E-5</c:v>
                </c:pt>
                <c:pt idx="54">
                  <c:v>-1.6823384210251001E-5</c:v>
                </c:pt>
                <c:pt idx="55">
                  <c:v>3.7968428784948201E-5</c:v>
                </c:pt>
                <c:pt idx="56">
                  <c:v>2.3966396364319699E-4</c:v>
                </c:pt>
                <c:pt idx="57">
                  <c:v>-1.84546835273651E-3</c:v>
                </c:pt>
                <c:pt idx="58">
                  <c:v>-1.9136067871240599E-3</c:v>
                </c:pt>
                <c:pt idx="59">
                  <c:v>-1.8029953276219701E-3</c:v>
                </c:pt>
                <c:pt idx="60">
                  <c:v>-9.8419101490567493E-4</c:v>
                </c:pt>
                <c:pt idx="61">
                  <c:v>1.7866036149405201E-3</c:v>
                </c:pt>
                <c:pt idx="62">
                  <c:v>1.3464770335036599E-3</c:v>
                </c:pt>
                <c:pt idx="63">
                  <c:v>4.8007920318441499E-4</c:v>
                </c:pt>
                <c:pt idx="64">
                  <c:v>7.0484297734199901E-4</c:v>
                </c:pt>
                <c:pt idx="65">
                  <c:v>1.9941241214220299E-3</c:v>
                </c:pt>
                <c:pt idx="66">
                  <c:v>8.7921698240764595E-4</c:v>
                </c:pt>
                <c:pt idx="67">
                  <c:v>3.7564601422198501E-4</c:v>
                </c:pt>
                <c:pt idx="68">
                  <c:v>1.4089728977682201E-3</c:v>
                </c:pt>
                <c:pt idx="69">
                  <c:v>2.34772615929876E-3</c:v>
                </c:pt>
                <c:pt idx="70">
                  <c:v>2.0715650166044301E-3</c:v>
                </c:pt>
                <c:pt idx="71">
                  <c:v>1.24778910096099E-3</c:v>
                </c:pt>
                <c:pt idx="72">
                  <c:v>1.43463497788171E-3</c:v>
                </c:pt>
                <c:pt idx="73">
                  <c:v>1.38809443196035E-3</c:v>
                </c:pt>
                <c:pt idx="74">
                  <c:v>1.4557109231052E-3</c:v>
                </c:pt>
                <c:pt idx="75">
                  <c:v>1.1183300123750999E-3</c:v>
                </c:pt>
                <c:pt idx="76">
                  <c:v>1.4479291996976501E-3</c:v>
                </c:pt>
                <c:pt idx="77">
                  <c:v>5.1139244010738895E-4</c:v>
                </c:pt>
                <c:pt idx="78">
                  <c:v>1.2164700712868201E-3</c:v>
                </c:pt>
                <c:pt idx="79">
                  <c:v>1.37775051736323E-3</c:v>
                </c:pt>
                <c:pt idx="80">
                  <c:v>6.2280993639129506E-5</c:v>
                </c:pt>
                <c:pt idx="81">
                  <c:v>1.61711110228696E-3</c:v>
                </c:pt>
                <c:pt idx="82">
                  <c:v>-6.50110170151319E-4</c:v>
                </c:pt>
                <c:pt idx="83">
                  <c:v>-1.3594056693180801E-3</c:v>
                </c:pt>
                <c:pt idx="84">
                  <c:v>-9.1654603600982497E-4</c:v>
                </c:pt>
                <c:pt idx="85">
                  <c:v>-2.9496985979856602E-4</c:v>
                </c:pt>
                <c:pt idx="86">
                  <c:v>-3.6003620425488898E-4</c:v>
                </c:pt>
                <c:pt idx="87">
                  <c:v>-1.5081048022359601E-3</c:v>
                </c:pt>
                <c:pt idx="88">
                  <c:v>-1.6423888490942301E-3</c:v>
                </c:pt>
                <c:pt idx="89">
                  <c:v>-2.7889390063204201E-3</c:v>
                </c:pt>
                <c:pt idx="90">
                  <c:v>-1.91016092814501E-3</c:v>
                </c:pt>
                <c:pt idx="91">
                  <c:v>-2.4954937969649002E-4</c:v>
                </c:pt>
                <c:pt idx="92">
                  <c:v>-3.8037680135299002E-3</c:v>
                </c:pt>
                <c:pt idx="93">
                  <c:v>-3.2864035922924801E-3</c:v>
                </c:pt>
                <c:pt idx="94">
                  <c:v>-3.3834233247008001E-3</c:v>
                </c:pt>
                <c:pt idx="95">
                  <c:v>-2.2935123814164702E-3</c:v>
                </c:pt>
                <c:pt idx="96">
                  <c:v>-1.8423688517604799E-3</c:v>
                </c:pt>
                <c:pt idx="97">
                  <c:v>-7.7609612288408604E-4</c:v>
                </c:pt>
                <c:pt idx="98">
                  <c:v>-2.3821041845850199E-4</c:v>
                </c:pt>
                <c:pt idx="99">
                  <c:v>-6.4479477715530796E-4</c:v>
                </c:pt>
                <c:pt idx="100">
                  <c:v>-4.13038397564435E-4</c:v>
                </c:pt>
                <c:pt idx="101">
                  <c:v>2.40367320012053E-4</c:v>
                </c:pt>
                <c:pt idx="102">
                  <c:v>-3.5260428830875502E-3</c:v>
                </c:pt>
                <c:pt idx="103">
                  <c:v>-2.4530974804260002E-3</c:v>
                </c:pt>
                <c:pt idx="104">
                  <c:v>-3.9950636519251797E-3</c:v>
                </c:pt>
                <c:pt idx="105">
                  <c:v>-3.9507043349834596E-3</c:v>
                </c:pt>
                <c:pt idx="106">
                  <c:v>-3.8134110197951001E-3</c:v>
                </c:pt>
                <c:pt idx="107">
                  <c:v>-3.6668658449027901E-3</c:v>
                </c:pt>
                <c:pt idx="108">
                  <c:v>-4.2300776924898698E-3</c:v>
                </c:pt>
                <c:pt idx="109">
                  <c:v>-4.9098632074701803E-3</c:v>
                </c:pt>
                <c:pt idx="110">
                  <c:v>-3.66350814899864E-3</c:v>
                </c:pt>
                <c:pt idx="111">
                  <c:v>-2.2031930277961499E-3</c:v>
                </c:pt>
                <c:pt idx="112">
                  <c:v>-3.3861338526018098E-3</c:v>
                </c:pt>
                <c:pt idx="113">
                  <c:v>-3.5320981884157799E-3</c:v>
                </c:pt>
                <c:pt idx="114">
                  <c:v>-3.3512983548153602E-3</c:v>
                </c:pt>
                <c:pt idx="115">
                  <c:v>-4.5046382370105302E-3</c:v>
                </c:pt>
                <c:pt idx="116">
                  <c:v>-4.57613795971304E-3</c:v>
                </c:pt>
                <c:pt idx="117">
                  <c:v>-2.49807886352712E-3</c:v>
                </c:pt>
                <c:pt idx="118">
                  <c:v>-2.3960841308781101E-3</c:v>
                </c:pt>
                <c:pt idx="119">
                  <c:v>-2.9976260086556602E-3</c:v>
                </c:pt>
                <c:pt idx="120">
                  <c:v>-2.5852548687914198E-3</c:v>
                </c:pt>
                <c:pt idx="121">
                  <c:v>-2.57674198263391E-3</c:v>
                </c:pt>
                <c:pt idx="122">
                  <c:v>-4.2357607107788402E-3</c:v>
                </c:pt>
                <c:pt idx="123">
                  <c:v>1.1887125152397001E-3</c:v>
                </c:pt>
                <c:pt idx="124">
                  <c:v>1.16528031102136E-3</c:v>
                </c:pt>
                <c:pt idx="125">
                  <c:v>1.14964294889513E-3</c:v>
                </c:pt>
                <c:pt idx="126">
                  <c:v>3.9166510898329599E-4</c:v>
                </c:pt>
                <c:pt idx="127">
                  <c:v>-9.6635022548324301E-4</c:v>
                </c:pt>
                <c:pt idx="128">
                  <c:v>1.1929472031375001E-3</c:v>
                </c:pt>
                <c:pt idx="129">
                  <c:v>6.3966396897643604E-4</c:v>
                </c:pt>
                <c:pt idx="130">
                  <c:v>8.6563687986861902E-5</c:v>
                </c:pt>
                <c:pt idx="131">
                  <c:v>-2.5769415470093402E-4</c:v>
                </c:pt>
                <c:pt idx="132">
                  <c:v>1.99489586859526E-4</c:v>
                </c:pt>
                <c:pt idx="133">
                  <c:v>1.4310745387086999E-4</c:v>
                </c:pt>
                <c:pt idx="134">
                  <c:v>3.1947593119583301E-4</c:v>
                </c:pt>
                <c:pt idx="135">
                  <c:v>-9.7466283292518005E-4</c:v>
                </c:pt>
                <c:pt idx="136">
                  <c:v>-3.6388007973713098E-4</c:v>
                </c:pt>
                <c:pt idx="137">
                  <c:v>-3.8846493968816001E-4</c:v>
                </c:pt>
                <c:pt idx="138">
                  <c:v>-1.6698879469914201E-3</c:v>
                </c:pt>
                <c:pt idx="139">
                  <c:v>-3.8846493968816001E-4</c:v>
                </c:pt>
                <c:pt idx="140">
                  <c:v>5.1210068138400405E-4</c:v>
                </c:pt>
                <c:pt idx="141">
                  <c:v>-3.3009474860366898E-5</c:v>
                </c:pt>
                <c:pt idx="142">
                  <c:v>-5.8121106494757205E-4</c:v>
                </c:pt>
                <c:pt idx="143">
                  <c:v>-3.2297243603736099E-4</c:v>
                </c:pt>
                <c:pt idx="144">
                  <c:v>-1.0162770352278301E-3</c:v>
                </c:pt>
                <c:pt idx="145">
                  <c:v>-2.56253394759326E-3</c:v>
                </c:pt>
                <c:pt idx="146">
                  <c:v>-2.4506508186379001E-3</c:v>
                </c:pt>
                <c:pt idx="147">
                  <c:v>-2.43349072357199E-3</c:v>
                </c:pt>
                <c:pt idx="148">
                  <c:v>-2.7196117353556399E-3</c:v>
                </c:pt>
                <c:pt idx="149">
                  <c:v>-2.86766500316298E-3</c:v>
                </c:pt>
                <c:pt idx="150">
                  <c:v>-3.6082309999028099E-3</c:v>
                </c:pt>
                <c:pt idx="151">
                  <c:v>-3.1810622838357701E-3</c:v>
                </c:pt>
                <c:pt idx="152">
                  <c:v>-3.1810622838357701E-3</c:v>
                </c:pt>
                <c:pt idx="153">
                  <c:v>-2.9023753629450399E-3</c:v>
                </c:pt>
                <c:pt idx="154">
                  <c:v>-4.4726631608124501E-3</c:v>
                </c:pt>
                <c:pt idx="155">
                  <c:v>-4.13430767173153E-3</c:v>
                </c:pt>
                <c:pt idx="156">
                  <c:v>-5.39428263892345E-3</c:v>
                </c:pt>
                <c:pt idx="157">
                  <c:v>-3.45189440101034E-3</c:v>
                </c:pt>
                <c:pt idx="158">
                  <c:v>-4.3351713863769396E-3</c:v>
                </c:pt>
                <c:pt idx="159">
                  <c:v>-3.9334036027484504E-3</c:v>
                </c:pt>
                <c:pt idx="160">
                  <c:v>-4.1073851605945002E-3</c:v>
                </c:pt>
                <c:pt idx="161">
                  <c:v>-2.7023153442723002E-3</c:v>
                </c:pt>
                <c:pt idx="162">
                  <c:v>-2.81499534268054E-3</c:v>
                </c:pt>
                <c:pt idx="163">
                  <c:v>-3.0855398776470601E-3</c:v>
                </c:pt>
                <c:pt idx="164">
                  <c:v>-4.3803179703810202E-3</c:v>
                </c:pt>
                <c:pt idx="165">
                  <c:v>-5.0291184836077796E-3</c:v>
                </c:pt>
                <c:pt idx="166">
                  <c:v>-8.1153226343959207E-3</c:v>
                </c:pt>
                <c:pt idx="167">
                  <c:v>-8.7401873937874002E-3</c:v>
                </c:pt>
                <c:pt idx="168">
                  <c:v>-7.3838497566891302E-3</c:v>
                </c:pt>
                <c:pt idx="169">
                  <c:v>-7.5365541518184198E-3</c:v>
                </c:pt>
                <c:pt idx="170">
                  <c:v>-7.5948424782230697E-3</c:v>
                </c:pt>
                <c:pt idx="171">
                  <c:v>-8.3566177004679807E-3</c:v>
                </c:pt>
                <c:pt idx="172">
                  <c:v>-9.8323066730835497E-3</c:v>
                </c:pt>
                <c:pt idx="173">
                  <c:v>-1.06216605754308E-2</c:v>
                </c:pt>
                <c:pt idx="174">
                  <c:v>-1.1291994943203799E-2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0-480F-9C64-6288D37655CF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BNDX x 10 dma / IAGG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1.4469598310673E-4</c:v>
                </c:pt>
                <c:pt idx="11">
                  <c:v>-8.7401995894311499E-4</c:v>
                </c:pt>
                <c:pt idx="12">
                  <c:v>-1.0056202925549499E-3</c:v>
                </c:pt>
                <c:pt idx="13">
                  <c:v>-5.3797981363850299E-4</c:v>
                </c:pt>
                <c:pt idx="14">
                  <c:v>-2.8881573049472801E-4</c:v>
                </c:pt>
                <c:pt idx="15">
                  <c:v>3.17944350675648E-5</c:v>
                </c:pt>
                <c:pt idx="16">
                  <c:v>5.61247861593768E-6</c:v>
                </c:pt>
                <c:pt idx="17">
                  <c:v>-1.1914524842016E-3</c:v>
                </c:pt>
                <c:pt idx="18">
                  <c:v>1.24875872956199E-3</c:v>
                </c:pt>
                <c:pt idx="19">
                  <c:v>-4.3438855146738002E-4</c:v>
                </c:pt>
                <c:pt idx="20">
                  <c:v>-7.9187775667062304E-4</c:v>
                </c:pt>
                <c:pt idx="21">
                  <c:v>-6.7899120486750099E-4</c:v>
                </c:pt>
                <c:pt idx="22">
                  <c:v>1.2032224953427699E-3</c:v>
                </c:pt>
                <c:pt idx="23">
                  <c:v>6.82866894731393E-4</c:v>
                </c:pt>
                <c:pt idx="24">
                  <c:v>6.0521567556810903E-4</c:v>
                </c:pt>
                <c:pt idx="25">
                  <c:v>5.5227451493645595E-4</c:v>
                </c:pt>
                <c:pt idx="26">
                  <c:v>1.57860187812432E-3</c:v>
                </c:pt>
                <c:pt idx="27">
                  <c:v>2.43543185374391E-4</c:v>
                </c:pt>
                <c:pt idx="28">
                  <c:v>5.6347514681077504E-4</c:v>
                </c:pt>
                <c:pt idx="29">
                  <c:v>-1.90947702691153E-4</c:v>
                </c:pt>
                <c:pt idx="30">
                  <c:v>4.0777345392417798E-4</c:v>
                </c:pt>
                <c:pt idx="31">
                  <c:v>6.3134851337080496E-4</c:v>
                </c:pt>
                <c:pt idx="32">
                  <c:v>2.4090216037221101E-4</c:v>
                </c:pt>
                <c:pt idx="33">
                  <c:v>6.64940518890566E-5</c:v>
                </c:pt>
                <c:pt idx="34">
                  <c:v>6.8856806582521103E-4</c:v>
                </c:pt>
                <c:pt idx="35">
                  <c:v>1.0015016552427801E-3</c:v>
                </c:pt>
                <c:pt idx="36">
                  <c:v>2.3624949413785201E-4</c:v>
                </c:pt>
                <c:pt idx="37">
                  <c:v>9.1672656558135701E-4</c:v>
                </c:pt>
                <c:pt idx="38">
                  <c:v>2.38607514488554E-4</c:v>
                </c:pt>
                <c:pt idx="39">
                  <c:v>-1.37076117738997E-3</c:v>
                </c:pt>
                <c:pt idx="40">
                  <c:v>-2.2002975352550199E-3</c:v>
                </c:pt>
                <c:pt idx="41">
                  <c:v>-3.2468019807051101E-3</c:v>
                </c:pt>
                <c:pt idx="42">
                  <c:v>-3.0424888528273199E-3</c:v>
                </c:pt>
                <c:pt idx="43">
                  <c:v>-4.1968402130604402E-3</c:v>
                </c:pt>
                <c:pt idx="44">
                  <c:v>-2.8728654186467501E-3</c:v>
                </c:pt>
                <c:pt idx="45">
                  <c:v>-2.0503806305933701E-3</c:v>
                </c:pt>
                <c:pt idx="46">
                  <c:v>-2.9550856238419998E-3</c:v>
                </c:pt>
                <c:pt idx="47">
                  <c:v>-3.3563810032603099E-3</c:v>
                </c:pt>
                <c:pt idx="48">
                  <c:v>-3.13124715486242E-3</c:v>
                </c:pt>
                <c:pt idx="49">
                  <c:v>-1.2719067344485601E-3</c:v>
                </c:pt>
                <c:pt idx="50">
                  <c:v>5.9589919601275995E-4</c:v>
                </c:pt>
                <c:pt idx="51">
                  <c:v>-1.1713955105493101E-3</c:v>
                </c:pt>
                <c:pt idx="52">
                  <c:v>-1.3052170301351301E-3</c:v>
                </c:pt>
                <c:pt idx="53">
                  <c:v>-8.9000431228354496E-4</c:v>
                </c:pt>
                <c:pt idx="54">
                  <c:v>-8.1848531399071004E-4</c:v>
                </c:pt>
                <c:pt idx="55">
                  <c:v>-5.6500951950531203E-4</c:v>
                </c:pt>
                <c:pt idx="56">
                  <c:v>-1.33517165003762E-4</c:v>
                </c:pt>
                <c:pt idx="57">
                  <c:v>-2.14526845025366E-3</c:v>
                </c:pt>
                <c:pt idx="58">
                  <c:v>-2.0246785739777401E-3</c:v>
                </c:pt>
                <c:pt idx="59">
                  <c:v>-1.7650583398750501E-3</c:v>
                </c:pt>
                <c:pt idx="60">
                  <c:v>-6.9080227863499801E-4</c:v>
                </c:pt>
                <c:pt idx="61">
                  <c:v>2.39895436112676E-3</c:v>
                </c:pt>
                <c:pt idx="62">
                  <c:v>1.80677794175492E-3</c:v>
                </c:pt>
                <c:pt idx="63">
                  <c:v>7.9391057475787399E-4</c:v>
                </c:pt>
                <c:pt idx="64">
                  <c:v>9.7286559888714902E-4</c:v>
                </c:pt>
                <c:pt idx="65">
                  <c:v>2.19002165910314E-3</c:v>
                </c:pt>
                <c:pt idx="66">
                  <c:v>8.7971676225136403E-4</c:v>
                </c:pt>
                <c:pt idx="67">
                  <c:v>3.1222424928504399E-4</c:v>
                </c:pt>
                <c:pt idx="68">
                  <c:v>1.1232375509359501E-3</c:v>
                </c:pt>
                <c:pt idx="69">
                  <c:v>1.7294986013886399E-3</c:v>
                </c:pt>
                <c:pt idx="70">
                  <c:v>1.0380352033228001E-3</c:v>
                </c:pt>
                <c:pt idx="71">
                  <c:v>-9.1512898650036195E-5</c:v>
                </c:pt>
                <c:pt idx="72">
                  <c:v>1.4920339492964599E-4</c:v>
                </c:pt>
                <c:pt idx="73">
                  <c:v>9.3847942422877094E-5</c:v>
                </c:pt>
                <c:pt idx="74">
                  <c:v>7.0626072953964495E-5</c:v>
                </c:pt>
                <c:pt idx="75">
                  <c:v>-3.4186734552703899E-4</c:v>
                </c:pt>
                <c:pt idx="76">
                  <c:v>7.5299011560919701E-5</c:v>
                </c:pt>
                <c:pt idx="77">
                  <c:v>-9.1812247900640697E-4</c:v>
                </c:pt>
                <c:pt idx="78">
                  <c:v>-2.2663297388337501E-4</c:v>
                </c:pt>
                <c:pt idx="79">
                  <c:v>-4.6099920416469698E-5</c:v>
                </c:pt>
                <c:pt idx="80">
                  <c:v>-1.2646191376954701E-3</c:v>
                </c:pt>
                <c:pt idx="81">
                  <c:v>4.9117145672553E-4</c:v>
                </c:pt>
                <c:pt idx="82">
                  <c:v>-1.8129713792768799E-3</c:v>
                </c:pt>
                <c:pt idx="83">
                  <c:v>-2.3136533750424599E-3</c:v>
                </c:pt>
                <c:pt idx="84">
                  <c:v>-1.59582309315566E-3</c:v>
                </c:pt>
                <c:pt idx="85">
                  <c:v>-7.36952112022564E-4</c:v>
                </c:pt>
                <c:pt idx="86">
                  <c:v>-6.6069416157645705E-4</c:v>
                </c:pt>
                <c:pt idx="87">
                  <c:v>-1.6280265087007899E-3</c:v>
                </c:pt>
                <c:pt idx="88">
                  <c:v>-1.56025631166323E-3</c:v>
                </c:pt>
                <c:pt idx="89">
                  <c:v>-2.42092394378722E-3</c:v>
                </c:pt>
                <c:pt idx="90">
                  <c:v>-1.12542277035164E-3</c:v>
                </c:pt>
                <c:pt idx="91">
                  <c:v>7.3244100541407795E-4</c:v>
                </c:pt>
                <c:pt idx="92">
                  <c:v>-2.6354395992735698E-3</c:v>
                </c:pt>
                <c:pt idx="93">
                  <c:v>-1.8024250592564199E-3</c:v>
                </c:pt>
                <c:pt idx="94">
                  <c:v>-1.7066018362110701E-3</c:v>
                </c:pt>
                <c:pt idx="95">
                  <c:v>-3.6991680153605099E-4</c:v>
                </c:pt>
                <c:pt idx="96">
                  <c:v>2.8093533083751603E-4</c:v>
                </c:pt>
                <c:pt idx="97">
                  <c:v>1.4952789429251499E-3</c:v>
                </c:pt>
                <c:pt idx="98">
                  <c:v>1.9600437217366599E-3</c:v>
                </c:pt>
                <c:pt idx="99">
                  <c:v>1.4132082019235599E-3</c:v>
                </c:pt>
                <c:pt idx="100">
                  <c:v>1.43060027517602E-3</c:v>
                </c:pt>
                <c:pt idx="101">
                  <c:v>1.9343846077844501E-3</c:v>
                </c:pt>
                <c:pt idx="102">
                  <c:v>-1.8809357639200999E-3</c:v>
                </c:pt>
                <c:pt idx="103">
                  <c:v>-8.3581941318030498E-4</c:v>
                </c:pt>
                <c:pt idx="104">
                  <c:v>-2.4612241138610999E-3</c:v>
                </c:pt>
                <c:pt idx="105">
                  <c:v>-2.3555706663880198E-3</c:v>
                </c:pt>
                <c:pt idx="106">
                  <c:v>-2.0523186664405499E-3</c:v>
                </c:pt>
                <c:pt idx="107">
                  <c:v>-1.7084783242759501E-3</c:v>
                </c:pt>
                <c:pt idx="108">
                  <c:v>-1.9825788314251501E-3</c:v>
                </c:pt>
                <c:pt idx="109">
                  <c:v>-2.26326233679112E-3</c:v>
                </c:pt>
                <c:pt idx="110">
                  <c:v>-5.9043530399312E-4</c:v>
                </c:pt>
                <c:pt idx="111">
                  <c:v>1.19453804361594E-3</c:v>
                </c:pt>
                <c:pt idx="112">
                  <c:v>2.5533387887996702E-4</c:v>
                </c:pt>
                <c:pt idx="113">
                  <c:v>9.53811355531749E-5</c:v>
                </c:pt>
                <c:pt idx="114">
                  <c:v>3.840067497587E-4</c:v>
                </c:pt>
                <c:pt idx="115">
                  <c:v>-8.3370773604962397E-4</c:v>
                </c:pt>
                <c:pt idx="116">
                  <c:v>-8.4978475536138002E-4</c:v>
                </c:pt>
                <c:pt idx="117">
                  <c:v>1.3045798614481599E-3</c:v>
                </c:pt>
                <c:pt idx="118">
                  <c:v>1.2897732124378899E-3</c:v>
                </c:pt>
                <c:pt idx="119">
                  <c:v>5.0488349983536496E-4</c:v>
                </c:pt>
                <c:pt idx="120">
                  <c:v>7.2592628224180502E-4</c:v>
                </c:pt>
                <c:pt idx="121">
                  <c:v>6.2662816361037498E-4</c:v>
                </c:pt>
                <c:pt idx="122">
                  <c:v>-9.950667375929049E-4</c:v>
                </c:pt>
                <c:pt idx="123">
                  <c:v>4.5144140276268301E-3</c:v>
                </c:pt>
                <c:pt idx="124">
                  <c:v>4.0198051016362198E-3</c:v>
                </c:pt>
                <c:pt idx="125">
                  <c:v>3.55320272239474E-3</c:v>
                </c:pt>
                <c:pt idx="126">
                  <c:v>2.2300467150672102E-3</c:v>
                </c:pt>
                <c:pt idx="127">
                  <c:v>3.7500093751240501E-4</c:v>
                </c:pt>
                <c:pt idx="128">
                  <c:v>2.3810538646447301E-3</c:v>
                </c:pt>
                <c:pt idx="129">
                  <c:v>1.4690134075622499E-3</c:v>
                </c:pt>
                <c:pt idx="130">
                  <c:v>5.51990523058351E-4</c:v>
                </c:pt>
                <c:pt idx="131">
                  <c:v>-5.9694541297605298E-5</c:v>
                </c:pt>
                <c:pt idx="132">
                  <c:v>1.6527449066778199E-4</c:v>
                </c:pt>
                <c:pt idx="133">
                  <c:v>-3.3564303120217501E-4</c:v>
                </c:pt>
                <c:pt idx="134">
                  <c:v>-5.4739074662458499E-5</c:v>
                </c:pt>
                <c:pt idx="135">
                  <c:v>-1.26433210603806E-3</c:v>
                </c:pt>
                <c:pt idx="136">
                  <c:v>-4.4109835063994401E-4</c:v>
                </c:pt>
                <c:pt idx="137">
                  <c:v>-3.9012675968388798E-4</c:v>
                </c:pt>
                <c:pt idx="138">
                  <c:v>-1.72937922421052E-3</c:v>
                </c:pt>
                <c:pt idx="139">
                  <c:v>-1.6162828563854001E-4</c:v>
                </c:pt>
                <c:pt idx="140">
                  <c:v>8.4170872107020803E-4</c:v>
                </c:pt>
                <c:pt idx="141">
                  <c:v>2.5407071618766198E-4</c:v>
                </c:pt>
                <c:pt idx="142">
                  <c:v>-3.1659641008528798E-4</c:v>
                </c:pt>
                <c:pt idx="143">
                  <c:v>1.9703481367676901E-5</c:v>
                </c:pt>
                <c:pt idx="144">
                  <c:v>-6.27005992354188E-4</c:v>
                </c:pt>
                <c:pt idx="145">
                  <c:v>-2.0397019769813601E-3</c:v>
                </c:pt>
                <c:pt idx="146">
                  <c:v>-1.76884642172651E-3</c:v>
                </c:pt>
                <c:pt idx="147">
                  <c:v>-1.54287957451196E-3</c:v>
                </c:pt>
                <c:pt idx="148">
                  <c:v>-1.6244124578106999E-3</c:v>
                </c:pt>
                <c:pt idx="149">
                  <c:v>-1.66738337738205E-3</c:v>
                </c:pt>
                <c:pt idx="150">
                  <c:v>-2.15995397891752E-3</c:v>
                </c:pt>
                <c:pt idx="151">
                  <c:v>-1.32079556456577E-3</c:v>
                </c:pt>
                <c:pt idx="152">
                  <c:v>-1.0061193777675E-3</c:v>
                </c:pt>
                <c:pt idx="153">
                  <c:v>-4.6755740626383199E-4</c:v>
                </c:pt>
                <c:pt idx="154">
                  <c:v>-1.78015002317722E-3</c:v>
                </c:pt>
                <c:pt idx="155">
                  <c:v>-1.0961975162096301E-3</c:v>
                </c:pt>
                <c:pt idx="156">
                  <c:v>-2.1989586721609302E-3</c:v>
                </c:pt>
                <c:pt idx="157">
                  <c:v>3.7963596624995199E-5</c:v>
                </c:pt>
                <c:pt idx="158">
                  <c:v>-7.43533904593354E-4</c:v>
                </c:pt>
                <c:pt idx="159">
                  <c:v>-1.8023356435879E-4</c:v>
                </c:pt>
                <c:pt idx="160">
                  <c:v>-2.4768450691789999E-4</c:v>
                </c:pt>
                <c:pt idx="161">
                  <c:v>1.2072993857950101E-3</c:v>
                </c:pt>
                <c:pt idx="162">
                  <c:v>1.04678986589811E-3</c:v>
                </c:pt>
                <c:pt idx="163">
                  <c:v>7.3966957334128003E-4</c:v>
                </c:pt>
                <c:pt idx="164">
                  <c:v>-5.3680745461979205E-4</c:v>
                </c:pt>
                <c:pt idx="165">
                  <c:v>-1.1948479146911999E-3</c:v>
                </c:pt>
                <c:pt idx="166">
                  <c:v>-4.1915080835210599E-3</c:v>
                </c:pt>
                <c:pt idx="167">
                  <c:v>-4.5435345683312598E-3</c:v>
                </c:pt>
                <c:pt idx="168">
                  <c:v>-2.6575019211501701E-3</c:v>
                </c:pt>
                <c:pt idx="169">
                  <c:v>-2.5050392685687099E-3</c:v>
                </c:pt>
                <c:pt idx="170">
                  <c:v>-2.2028237764875999E-3</c:v>
                </c:pt>
                <c:pt idx="171">
                  <c:v>-2.6157537994981701E-3</c:v>
                </c:pt>
                <c:pt idx="172">
                  <c:v>-3.5262910295972699E-3</c:v>
                </c:pt>
                <c:pt idx="173">
                  <c:v>-3.6141460915448298E-3</c:v>
                </c:pt>
                <c:pt idx="174">
                  <c:v>-3.5312663261953198E-3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10-480F-9C64-6288D37655CF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BNDX x 20 dma / IAGG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-9.5999028331563005E-4</c:v>
                </c:pt>
                <c:pt idx="21">
                  <c:v>-9.6873516916783596E-4</c:v>
                </c:pt>
                <c:pt idx="22">
                  <c:v>9.1385853523061301E-4</c:v>
                </c:pt>
                <c:pt idx="23">
                  <c:v>4.9526133105946802E-4</c:v>
                </c:pt>
                <c:pt idx="24">
                  <c:v>4.9185388034868804E-4</c:v>
                </c:pt>
                <c:pt idx="25">
                  <c:v>5.0493747710120198E-4</c:v>
                </c:pt>
                <c:pt idx="26">
                  <c:v>1.54294444896321E-3</c:v>
                </c:pt>
                <c:pt idx="27">
                  <c:v>2.8500356878421502E-4</c:v>
                </c:pt>
                <c:pt idx="28">
                  <c:v>7.5163516382852102E-4</c:v>
                </c:pt>
                <c:pt idx="29">
                  <c:v>-3.0188625012482798E-5</c:v>
                </c:pt>
                <c:pt idx="30">
                  <c:v>6.6710134645994604E-4</c:v>
                </c:pt>
                <c:pt idx="31">
                  <c:v>1.0403317613540001E-3</c:v>
                </c:pt>
                <c:pt idx="32">
                  <c:v>7.7564521486435704E-4</c:v>
                </c:pt>
                <c:pt idx="33">
                  <c:v>5.2506575986176001E-4</c:v>
                </c:pt>
                <c:pt idx="34">
                  <c:v>1.11988634705552E-3</c:v>
                </c:pt>
                <c:pt idx="35">
                  <c:v>1.4467514259164801E-3</c:v>
                </c:pt>
                <c:pt idx="36">
                  <c:v>7.2719592258667603E-4</c:v>
                </c:pt>
                <c:pt idx="37">
                  <c:v>1.3145772915405E-3</c:v>
                </c:pt>
                <c:pt idx="38">
                  <c:v>6.3394494428989899E-4</c:v>
                </c:pt>
                <c:pt idx="39">
                  <c:v>-9.3668611496712495E-4</c:v>
                </c:pt>
                <c:pt idx="40">
                  <c:v>-1.8101126776719999E-3</c:v>
                </c:pt>
                <c:pt idx="41">
                  <c:v>-3.0341307307869001E-3</c:v>
                </c:pt>
                <c:pt idx="42">
                  <c:v>-3.1091778864284301E-3</c:v>
                </c:pt>
                <c:pt idx="43">
                  <c:v>-4.4398825250081802E-3</c:v>
                </c:pt>
                <c:pt idx="44">
                  <c:v>-3.3686944288633699E-3</c:v>
                </c:pt>
                <c:pt idx="45">
                  <c:v>-2.8210685721202101E-3</c:v>
                </c:pt>
                <c:pt idx="46">
                  <c:v>-4.0220431585641604E-3</c:v>
                </c:pt>
                <c:pt idx="47">
                  <c:v>-4.6713420703183E-3</c:v>
                </c:pt>
                <c:pt idx="48">
                  <c:v>-4.8640847774491401E-3</c:v>
                </c:pt>
                <c:pt idx="49">
                  <c:v>-3.3690399748856799E-3</c:v>
                </c:pt>
                <c:pt idx="50">
                  <c:v>-1.68999744667194E-3</c:v>
                </c:pt>
                <c:pt idx="51">
                  <c:v>-3.4546977023980699E-3</c:v>
                </c:pt>
                <c:pt idx="52">
                  <c:v>-3.5405484681118801E-3</c:v>
                </c:pt>
                <c:pt idx="53">
                  <c:v>-3.0912664966345101E-3</c:v>
                </c:pt>
                <c:pt idx="54">
                  <c:v>-2.8373259101512E-3</c:v>
                </c:pt>
                <c:pt idx="55">
                  <c:v>-2.4556923943389098E-3</c:v>
                </c:pt>
                <c:pt idx="56">
                  <c:v>-1.9097254196997599E-3</c:v>
                </c:pt>
                <c:pt idx="57">
                  <c:v>-3.69222248812904E-3</c:v>
                </c:pt>
                <c:pt idx="58">
                  <c:v>-3.3212670048036802E-3</c:v>
                </c:pt>
                <c:pt idx="59">
                  <c:v>-2.7947498447511701E-3</c:v>
                </c:pt>
                <c:pt idx="60">
                  <c:v>-1.64350634138447E-3</c:v>
                </c:pt>
                <c:pt idx="61">
                  <c:v>1.3757406120994101E-3</c:v>
                </c:pt>
                <c:pt idx="62">
                  <c:v>9.84199723226214E-4</c:v>
                </c:pt>
                <c:pt idx="63">
                  <c:v>1.81308773210048E-4</c:v>
                </c:pt>
                <c:pt idx="64">
                  <c:v>4.3816635134740698E-4</c:v>
                </c:pt>
                <c:pt idx="65">
                  <c:v>1.7906636913705501E-3</c:v>
                </c:pt>
                <c:pt idx="66">
                  <c:v>6.9289376268343798E-4</c:v>
                </c:pt>
                <c:pt idx="67">
                  <c:v>1.9404206733449099E-4</c:v>
                </c:pt>
                <c:pt idx="68">
                  <c:v>1.2105731443451599E-3</c:v>
                </c:pt>
                <c:pt idx="69">
                  <c:v>2.05763469320496E-3</c:v>
                </c:pt>
                <c:pt idx="70">
                  <c:v>1.70171456718735E-3</c:v>
                </c:pt>
                <c:pt idx="71">
                  <c:v>8.8478959272842198E-4</c:v>
                </c:pt>
                <c:pt idx="72">
                  <c:v>1.02245058822449E-3</c:v>
                </c:pt>
                <c:pt idx="73">
                  <c:v>8.9821011224467805E-4</c:v>
                </c:pt>
                <c:pt idx="74">
                  <c:v>8.9752140430250096E-4</c:v>
                </c:pt>
                <c:pt idx="75">
                  <c:v>4.8652293351331198E-4</c:v>
                </c:pt>
                <c:pt idx="76">
                  <c:v>7.6209968127138004E-4</c:v>
                </c:pt>
                <c:pt idx="77">
                  <c:v>-2.3484262562265199E-4</c:v>
                </c:pt>
                <c:pt idx="78">
                  <c:v>3.5221831277506502E-4</c:v>
                </c:pt>
                <c:pt idx="79">
                  <c:v>3.5679264804428402E-4</c:v>
                </c:pt>
                <c:pt idx="80">
                  <c:v>-1.1179232204011401E-3</c:v>
                </c:pt>
                <c:pt idx="81">
                  <c:v>3.8449597013723497E-4</c:v>
                </c:pt>
                <c:pt idx="82">
                  <c:v>-1.87425468825285E-3</c:v>
                </c:pt>
                <c:pt idx="83">
                  <c:v>-2.4836383170523898E-3</c:v>
                </c:pt>
                <c:pt idx="84">
                  <c:v>-1.9486647190796499E-3</c:v>
                </c:pt>
                <c:pt idx="85">
                  <c:v>-1.24593006961716E-3</c:v>
                </c:pt>
                <c:pt idx="86">
                  <c:v>-1.19653663643295E-3</c:v>
                </c:pt>
                <c:pt idx="87">
                  <c:v>-2.28260873574239E-3</c:v>
                </c:pt>
                <c:pt idx="88">
                  <c:v>-2.3225833100443301E-3</c:v>
                </c:pt>
                <c:pt idx="89">
                  <c:v>-3.31645534625097E-3</c:v>
                </c:pt>
                <c:pt idx="90">
                  <c:v>-2.1806845379862098E-3</c:v>
                </c:pt>
                <c:pt idx="91">
                  <c:v>-3.2096858889796401E-4</c:v>
                </c:pt>
                <c:pt idx="92">
                  <c:v>-3.8003551054859698E-3</c:v>
                </c:pt>
                <c:pt idx="93">
                  <c:v>-3.0207950604215499E-3</c:v>
                </c:pt>
                <c:pt idx="94">
                  <c:v>-2.8839572091448602E-3</c:v>
                </c:pt>
                <c:pt idx="95">
                  <c:v>-1.55200622294132E-3</c:v>
                </c:pt>
                <c:pt idx="96">
                  <c:v>-9.3031129024502904E-4</c:v>
                </c:pt>
                <c:pt idx="97">
                  <c:v>3.0034534414944E-4</c:v>
                </c:pt>
                <c:pt idx="98">
                  <c:v>9.0254266657983603E-4</c:v>
                </c:pt>
                <c:pt idx="99">
                  <c:v>5.68571251003013E-4</c:v>
                </c:pt>
                <c:pt idx="100">
                  <c:v>9.0129017648363002E-4</c:v>
                </c:pt>
                <c:pt idx="101">
                  <c:v>1.5784345292409101E-3</c:v>
                </c:pt>
                <c:pt idx="102">
                  <c:v>-2.1192967016343302E-3</c:v>
                </c:pt>
                <c:pt idx="103">
                  <c:v>-9.02466959189328E-4</c:v>
                </c:pt>
                <c:pt idx="104">
                  <c:v>-2.3897305831683201E-3</c:v>
                </c:pt>
                <c:pt idx="105">
                  <c:v>-2.1913262248422702E-3</c:v>
                </c:pt>
                <c:pt idx="106">
                  <c:v>-1.8711963521425999E-3</c:v>
                </c:pt>
                <c:pt idx="107">
                  <c:v>-1.5519723065344901E-3</c:v>
                </c:pt>
                <c:pt idx="108">
                  <c:v>-2.0072008887296201E-3</c:v>
                </c:pt>
                <c:pt idx="109">
                  <c:v>-2.5575179766570998E-3</c:v>
                </c:pt>
                <c:pt idx="110">
                  <c:v>-1.2049634515895701E-3</c:v>
                </c:pt>
                <c:pt idx="111">
                  <c:v>3.4304398183425199E-4</c:v>
                </c:pt>
                <c:pt idx="112">
                  <c:v>-7.4234824539827504E-4</c:v>
                </c:pt>
                <c:pt idx="113">
                  <c:v>-9.0921437925699797E-4</c:v>
                </c:pt>
                <c:pt idx="114">
                  <c:v>-7.1612022728852296E-4</c:v>
                </c:pt>
                <c:pt idx="115">
                  <c:v>-1.871067535768E-3</c:v>
                </c:pt>
                <c:pt idx="116">
                  <c:v>-1.8319323996610899E-3</c:v>
                </c:pt>
                <c:pt idx="117">
                  <c:v>3.8286942624789498E-4</c:v>
                </c:pt>
                <c:pt idx="118">
                  <c:v>5.7085258068034295E-4</c:v>
                </c:pt>
                <c:pt idx="119">
                  <c:v>7.7020753376051394E-5</c:v>
                </c:pt>
                <c:pt idx="120">
                  <c:v>6.0687921617367895E-4</c:v>
                </c:pt>
                <c:pt idx="121">
                  <c:v>7.2381334821566498E-4</c:v>
                </c:pt>
                <c:pt idx="122">
                  <c:v>-7.9465978099452098E-4</c:v>
                </c:pt>
                <c:pt idx="123">
                  <c:v>4.6653143171485802E-3</c:v>
                </c:pt>
                <c:pt idx="124">
                  <c:v>4.4602922303575597E-3</c:v>
                </c:pt>
                <c:pt idx="125">
                  <c:v>4.1870888646818099E-3</c:v>
                </c:pt>
                <c:pt idx="126">
                  <c:v>3.1744780687293301E-3</c:v>
                </c:pt>
                <c:pt idx="127">
                  <c:v>1.6064119726755699E-3</c:v>
                </c:pt>
                <c:pt idx="128">
                  <c:v>3.6307090501553601E-3</c:v>
                </c:pt>
                <c:pt idx="129">
                  <c:v>2.8064866653437701E-3</c:v>
                </c:pt>
                <c:pt idx="130">
                  <c:v>1.9758799704012102E-3</c:v>
                </c:pt>
                <c:pt idx="131">
                  <c:v>1.44411975620289E-3</c:v>
                </c:pt>
                <c:pt idx="132">
                  <c:v>1.80406965343399E-3</c:v>
                </c:pt>
                <c:pt idx="133">
                  <c:v>1.56839219831189E-3</c:v>
                </c:pt>
                <c:pt idx="134">
                  <c:v>1.5609339180922301E-3</c:v>
                </c:pt>
                <c:pt idx="135">
                  <c:v>8.3189102331450895E-5</c:v>
                </c:pt>
                <c:pt idx="136">
                  <c:v>5.17160278144243E-4</c:v>
                </c:pt>
                <c:pt idx="137">
                  <c:v>2.81605192279161E-4</c:v>
                </c:pt>
                <c:pt idx="138">
                  <c:v>-1.1053856922828701E-3</c:v>
                </c:pt>
                <c:pt idx="139">
                  <c:v>1.3967348433588999E-4</c:v>
                </c:pt>
                <c:pt idx="140">
                  <c:v>9.0962042460598805E-4</c:v>
                </c:pt>
                <c:pt idx="141">
                  <c:v>2.0953141928393499E-4</c:v>
                </c:pt>
                <c:pt idx="142">
                  <c:v>-4.66000123209847E-4</c:v>
                </c:pt>
                <c:pt idx="143">
                  <c:v>-3.9092537720694599E-4</c:v>
                </c:pt>
                <c:pt idx="144">
                  <c:v>-1.0086761528537999E-3</c:v>
                </c:pt>
                <c:pt idx="145">
                  <c:v>-2.44587007906225E-3</c:v>
                </c:pt>
                <c:pt idx="146">
                  <c:v>-2.1482857412091E-3</c:v>
                </c:pt>
                <c:pt idx="147">
                  <c:v>-1.9889165401616401E-3</c:v>
                </c:pt>
                <c:pt idx="148">
                  <c:v>-2.2015910714174801E-3</c:v>
                </c:pt>
                <c:pt idx="149">
                  <c:v>-2.15398741386328E-3</c:v>
                </c:pt>
                <c:pt idx="150">
                  <c:v>-2.71913204203895E-3</c:v>
                </c:pt>
                <c:pt idx="151">
                  <c:v>-2.1070794642272599E-3</c:v>
                </c:pt>
                <c:pt idx="152">
                  <c:v>-1.9608273341867699E-3</c:v>
                </c:pt>
                <c:pt idx="153">
                  <c:v>-1.5130812937123701E-3</c:v>
                </c:pt>
                <c:pt idx="154">
                  <c:v>-2.9311079551861698E-3</c:v>
                </c:pt>
                <c:pt idx="155">
                  <c:v>-2.3530457808298702E-3</c:v>
                </c:pt>
                <c:pt idx="156">
                  <c:v>-3.45492873471592E-3</c:v>
                </c:pt>
                <c:pt idx="157">
                  <c:v>-1.26081531737806E-3</c:v>
                </c:pt>
                <c:pt idx="158">
                  <c:v>-1.99097398145149E-3</c:v>
                </c:pt>
                <c:pt idx="159">
                  <c:v>-1.45586311597839E-3</c:v>
                </c:pt>
                <c:pt idx="160">
                  <c:v>-1.4526694529473499E-3</c:v>
                </c:pt>
                <c:pt idx="161">
                  <c:v>1.83150358713098E-4</c:v>
                </c:pt>
                <c:pt idx="162">
                  <c:v>2.0372439421978999E-4</c:v>
                </c:pt>
                <c:pt idx="163">
                  <c:v>4.4715474731711002E-5</c:v>
                </c:pt>
                <c:pt idx="164">
                  <c:v>-1.11214054432121E-3</c:v>
                </c:pt>
                <c:pt idx="165">
                  <c:v>-1.5928488874651799E-3</c:v>
                </c:pt>
                <c:pt idx="166">
                  <c:v>-4.5556870382619796E-3</c:v>
                </c:pt>
                <c:pt idx="167">
                  <c:v>-4.8968695373770004E-3</c:v>
                </c:pt>
                <c:pt idx="168">
                  <c:v>-3.2246961520882101E-3</c:v>
                </c:pt>
                <c:pt idx="169">
                  <c:v>-3.1440074203196501E-3</c:v>
                </c:pt>
                <c:pt idx="170">
                  <c:v>-2.9686893007208502E-3</c:v>
                </c:pt>
                <c:pt idx="171">
                  <c:v>-3.5309592008172502E-3</c:v>
                </c:pt>
                <c:pt idx="172">
                  <c:v>-4.7476594644345199E-3</c:v>
                </c:pt>
                <c:pt idx="173">
                  <c:v>-5.2040327253625599E-3</c:v>
                </c:pt>
                <c:pt idx="174">
                  <c:v>-5.4879573033387698E-3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10-480F-9C64-6288D3765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-4.6503912696509988E-4</c:v>
                </c:pt>
                <c:pt idx="29">
                  <c:v>7.108767001339205E-4</c:v>
                </c:pt>
                <c:pt idx="30">
                  <c:v>2.1691031509007306E-3</c:v>
                </c:pt>
                <c:pt idx="31">
                  <c:v>2.1691031509007306E-3</c:v>
                </c:pt>
                <c:pt idx="32">
                  <c:v>2.1691031509007306E-3</c:v>
                </c:pt>
                <c:pt idx="33">
                  <c:v>2.1691031509007306E-3</c:v>
                </c:pt>
                <c:pt idx="34">
                  <c:v>2.1691031509007306E-3</c:v>
                </c:pt>
                <c:pt idx="35">
                  <c:v>2.1691031509007306E-3</c:v>
                </c:pt>
                <c:pt idx="36">
                  <c:v>2.1691031509007306E-3</c:v>
                </c:pt>
                <c:pt idx="37">
                  <c:v>2.1691031509007306E-3</c:v>
                </c:pt>
                <c:pt idx="38">
                  <c:v>2.1009647165133307E-3</c:v>
                </c:pt>
                <c:pt idx="39">
                  <c:v>2.2115761760153306E-3</c:v>
                </c:pt>
                <c:pt idx="40">
                  <c:v>3.0303804887317105E-3</c:v>
                </c:pt>
                <c:pt idx="41">
                  <c:v>3.0303804887317105E-3</c:v>
                </c:pt>
                <c:pt idx="42">
                  <c:v>3.0303804887317105E-3</c:v>
                </c:pt>
                <c:pt idx="43">
                  <c:v>3.0303804887317105E-3</c:v>
                </c:pt>
                <c:pt idx="44">
                  <c:v>3.0303804887317105E-3</c:v>
                </c:pt>
                <c:pt idx="45">
                  <c:v>3.0303804887317105E-3</c:v>
                </c:pt>
                <c:pt idx="46">
                  <c:v>3.0303804887317105E-3</c:v>
                </c:pt>
                <c:pt idx="47">
                  <c:v>3.0303804887317105E-3</c:v>
                </c:pt>
                <c:pt idx="48">
                  <c:v>3.0303804887317105E-3</c:v>
                </c:pt>
                <c:pt idx="49">
                  <c:v>3.0303804887317105E-3</c:v>
                </c:pt>
                <c:pt idx="50">
                  <c:v>3.0303804887317105E-3</c:v>
                </c:pt>
                <c:pt idx="51">
                  <c:v>3.0303804887317105E-3</c:v>
                </c:pt>
                <c:pt idx="52">
                  <c:v>3.0303804887317105E-3</c:v>
                </c:pt>
                <c:pt idx="53">
                  <c:v>3.0303804887317105E-3</c:v>
                </c:pt>
                <c:pt idx="54">
                  <c:v>3.0303804887317105E-3</c:v>
                </c:pt>
                <c:pt idx="55">
                  <c:v>3.0303804887317105E-3</c:v>
                </c:pt>
                <c:pt idx="56">
                  <c:v>3.0303804887317105E-3</c:v>
                </c:pt>
                <c:pt idx="57">
                  <c:v>3.0303804887317105E-3</c:v>
                </c:pt>
                <c:pt idx="58">
                  <c:v>3.0303804887317105E-3</c:v>
                </c:pt>
                <c:pt idx="59">
                  <c:v>3.0303804887317105E-3</c:v>
                </c:pt>
                <c:pt idx="60">
                  <c:v>3.0303804887317105E-3</c:v>
                </c:pt>
                <c:pt idx="61">
                  <c:v>3.0303804887317105E-3</c:v>
                </c:pt>
                <c:pt idx="62">
                  <c:v>3.0303804887317105E-3</c:v>
                </c:pt>
                <c:pt idx="63">
                  <c:v>3.0303804887317105E-3</c:v>
                </c:pt>
                <c:pt idx="64">
                  <c:v>3.0303804887317105E-3</c:v>
                </c:pt>
                <c:pt idx="65">
                  <c:v>3.0303804887317105E-3</c:v>
                </c:pt>
                <c:pt idx="66">
                  <c:v>3.0303804887317105E-3</c:v>
                </c:pt>
                <c:pt idx="67">
                  <c:v>3.0303804887317105E-3</c:v>
                </c:pt>
                <c:pt idx="68">
                  <c:v>3.0303804887317105E-3</c:v>
                </c:pt>
                <c:pt idx="69">
                  <c:v>3.0303804887317105E-3</c:v>
                </c:pt>
                <c:pt idx="70">
                  <c:v>3.0303804887317105E-3</c:v>
                </c:pt>
                <c:pt idx="71">
                  <c:v>3.0303804887317105E-3</c:v>
                </c:pt>
                <c:pt idx="72">
                  <c:v>3.0303804887317105E-3</c:v>
                </c:pt>
                <c:pt idx="73">
                  <c:v>3.0303804887317105E-3</c:v>
                </c:pt>
                <c:pt idx="74">
                  <c:v>3.0303804887317105E-3</c:v>
                </c:pt>
                <c:pt idx="75">
                  <c:v>3.0303804887317105E-3</c:v>
                </c:pt>
                <c:pt idx="76">
                  <c:v>3.0303804887317105E-3</c:v>
                </c:pt>
                <c:pt idx="77">
                  <c:v>3.0303804887317105E-3</c:v>
                </c:pt>
                <c:pt idx="78">
                  <c:v>3.0303804887317105E-3</c:v>
                </c:pt>
                <c:pt idx="79">
                  <c:v>3.0303804887317105E-3</c:v>
                </c:pt>
                <c:pt idx="80">
                  <c:v>3.0303804887317105E-3</c:v>
                </c:pt>
                <c:pt idx="81">
                  <c:v>3.0303804887317105E-3</c:v>
                </c:pt>
                <c:pt idx="82">
                  <c:v>3.0303804887317105E-3</c:v>
                </c:pt>
                <c:pt idx="83">
                  <c:v>3.0303804887317105E-3</c:v>
                </c:pt>
                <c:pt idx="84">
                  <c:v>3.0303804887317105E-3</c:v>
                </c:pt>
                <c:pt idx="85">
                  <c:v>3.0303804887317105E-3</c:v>
                </c:pt>
                <c:pt idx="86">
                  <c:v>3.0303804887317105E-3</c:v>
                </c:pt>
                <c:pt idx="87">
                  <c:v>3.0303804887317105E-3</c:v>
                </c:pt>
                <c:pt idx="88">
                  <c:v>3.0303804887317105E-3</c:v>
                </c:pt>
                <c:pt idx="89">
                  <c:v>3.0303804887317105E-3</c:v>
                </c:pt>
                <c:pt idx="90">
                  <c:v>3.0303804887317105E-3</c:v>
                </c:pt>
                <c:pt idx="91">
                  <c:v>3.0303804887317105E-3</c:v>
                </c:pt>
                <c:pt idx="92">
                  <c:v>3.0303804887317105E-3</c:v>
                </c:pt>
                <c:pt idx="93">
                  <c:v>3.0303804887317105E-3</c:v>
                </c:pt>
                <c:pt idx="94">
                  <c:v>3.0303804887317105E-3</c:v>
                </c:pt>
                <c:pt idx="95">
                  <c:v>3.0303804887317105E-3</c:v>
                </c:pt>
                <c:pt idx="96">
                  <c:v>3.0303804887317105E-3</c:v>
                </c:pt>
                <c:pt idx="97">
                  <c:v>3.0303804887317105E-3</c:v>
                </c:pt>
                <c:pt idx="98">
                  <c:v>3.0303804887317105E-3</c:v>
                </c:pt>
                <c:pt idx="99">
                  <c:v>3.0303804887317105E-3</c:v>
                </c:pt>
                <c:pt idx="100">
                  <c:v>3.0303804887317105E-3</c:v>
                </c:pt>
                <c:pt idx="101">
                  <c:v>3.0303804887317105E-3</c:v>
                </c:pt>
                <c:pt idx="102">
                  <c:v>3.0303804887317105E-3</c:v>
                </c:pt>
                <c:pt idx="103">
                  <c:v>3.0303804887317105E-3</c:v>
                </c:pt>
                <c:pt idx="104">
                  <c:v>3.0303804887317105E-3</c:v>
                </c:pt>
                <c:pt idx="105">
                  <c:v>3.0303804887317105E-3</c:v>
                </c:pt>
                <c:pt idx="106">
                  <c:v>3.0303804887317105E-3</c:v>
                </c:pt>
                <c:pt idx="107">
                  <c:v>3.0303804887317105E-3</c:v>
                </c:pt>
                <c:pt idx="108">
                  <c:v>5.1896779173525604E-3</c:v>
                </c:pt>
                <c:pt idx="109">
                  <c:v>5.1896779173525604E-3</c:v>
                </c:pt>
                <c:pt idx="110">
                  <c:v>5.1896779173525604E-3</c:v>
                </c:pt>
                <c:pt idx="111">
                  <c:v>5.1896779173525604E-3</c:v>
                </c:pt>
                <c:pt idx="112">
                  <c:v>5.1896779173525604E-3</c:v>
                </c:pt>
                <c:pt idx="113">
                  <c:v>5.1896779173525604E-3</c:v>
                </c:pt>
                <c:pt idx="114">
                  <c:v>5.1896779173525604E-3</c:v>
                </c:pt>
                <c:pt idx="115">
                  <c:v>5.1896779173525604E-3</c:v>
                </c:pt>
                <c:pt idx="116">
                  <c:v>5.1896779173525604E-3</c:v>
                </c:pt>
                <c:pt idx="117">
                  <c:v>5.1896779173525604E-3</c:v>
                </c:pt>
                <c:pt idx="118">
                  <c:v>5.1896779173525604E-3</c:v>
                </c:pt>
                <c:pt idx="119">
                  <c:v>5.1896779173525604E-3</c:v>
                </c:pt>
                <c:pt idx="120">
                  <c:v>5.1896779173525604E-3</c:v>
                </c:pt>
                <c:pt idx="121">
                  <c:v>5.1896779173525604E-3</c:v>
                </c:pt>
                <c:pt idx="122">
                  <c:v>5.1896779173525604E-3</c:v>
                </c:pt>
                <c:pt idx="123">
                  <c:v>5.1896779173525604E-3</c:v>
                </c:pt>
                <c:pt idx="124">
                  <c:v>5.1896779173525604E-3</c:v>
                </c:pt>
                <c:pt idx="125">
                  <c:v>5.1896779173525604E-3</c:v>
                </c:pt>
                <c:pt idx="126">
                  <c:v>5.1896779173525604E-3</c:v>
                </c:pt>
                <c:pt idx="127">
                  <c:v>5.1896779173525604E-3</c:v>
                </c:pt>
                <c:pt idx="128">
                  <c:v>5.1896779173525604E-3</c:v>
                </c:pt>
                <c:pt idx="129">
                  <c:v>5.1896779173525604E-3</c:v>
                </c:pt>
                <c:pt idx="130">
                  <c:v>5.1896779173525604E-3</c:v>
                </c:pt>
                <c:pt idx="131">
                  <c:v>5.1896779173525604E-3</c:v>
                </c:pt>
                <c:pt idx="132">
                  <c:v>5.1896779173525604E-3</c:v>
                </c:pt>
                <c:pt idx="133">
                  <c:v>5.1896779173525604E-3</c:v>
                </c:pt>
                <c:pt idx="134">
                  <c:v>5.1896779173525604E-3</c:v>
                </c:pt>
                <c:pt idx="135">
                  <c:v>5.1896779173525604E-3</c:v>
                </c:pt>
                <c:pt idx="136">
                  <c:v>5.1896779173525604E-3</c:v>
                </c:pt>
                <c:pt idx="137">
                  <c:v>5.1896779173525604E-3</c:v>
                </c:pt>
                <c:pt idx="138">
                  <c:v>5.1896779173525604E-3</c:v>
                </c:pt>
                <c:pt idx="139">
                  <c:v>5.1896779173525604E-3</c:v>
                </c:pt>
                <c:pt idx="140">
                  <c:v>5.1896779173525604E-3</c:v>
                </c:pt>
                <c:pt idx="141">
                  <c:v>5.1896779173525604E-3</c:v>
                </c:pt>
                <c:pt idx="142">
                  <c:v>5.1896779173525604E-3</c:v>
                </c:pt>
                <c:pt idx="143">
                  <c:v>5.1896779173525604E-3</c:v>
                </c:pt>
                <c:pt idx="144">
                  <c:v>5.1896779173525604E-3</c:v>
                </c:pt>
                <c:pt idx="145">
                  <c:v>5.1896779173525604E-3</c:v>
                </c:pt>
                <c:pt idx="146">
                  <c:v>5.1896779173525604E-3</c:v>
                </c:pt>
                <c:pt idx="147">
                  <c:v>5.1896779173525604E-3</c:v>
                </c:pt>
                <c:pt idx="148">
                  <c:v>5.1896779173525604E-3</c:v>
                </c:pt>
                <c:pt idx="149">
                  <c:v>5.1896779173525604E-3</c:v>
                </c:pt>
                <c:pt idx="150">
                  <c:v>5.1896779173525604E-3</c:v>
                </c:pt>
                <c:pt idx="151">
                  <c:v>5.1896779173525604E-3</c:v>
                </c:pt>
                <c:pt idx="152">
                  <c:v>5.1896779173525604E-3</c:v>
                </c:pt>
                <c:pt idx="153">
                  <c:v>5.1896779173525604E-3</c:v>
                </c:pt>
                <c:pt idx="154">
                  <c:v>4.5193435495794491E-3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16-40A6-8FCE-F2ED0222B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3.5740246189524985E-4</c:v>
                </c:pt>
                <c:pt idx="4">
                  <c:v>3.5051205553108384E-4</c:v>
                </c:pt>
                <c:pt idx="5">
                  <c:v>3.3673961244337186E-4</c:v>
                </c:pt>
                <c:pt idx="6">
                  <c:v>-7.3215458518765793E-4</c:v>
                </c:pt>
                <c:pt idx="7">
                  <c:v>4.5284976076621604E-4</c:v>
                </c:pt>
                <c:pt idx="8">
                  <c:v>-1.8963476018983875E-5</c:v>
                </c:pt>
                <c:pt idx="9">
                  <c:v>7.6633661414565702E-4</c:v>
                </c:pt>
                <c:pt idx="10">
                  <c:v>1.1109379190407719E-4</c:v>
                </c:pt>
                <c:pt idx="11">
                  <c:v>-2.843976113129538E-4</c:v>
                </c:pt>
                <c:pt idx="12">
                  <c:v>-1.0687997670103178E-4</c:v>
                </c:pt>
                <c:pt idx="13">
                  <c:v>5.6842080418808151E-5</c:v>
                </c:pt>
                <c:pt idx="14">
                  <c:v>-5.9529094193034172E-4</c:v>
                </c:pt>
                <c:pt idx="15">
                  <c:v>-1.0027889100795728E-3</c:v>
                </c:pt>
                <c:pt idx="16">
                  <c:v>-3.7145414797288678E-4</c:v>
                </c:pt>
                <c:pt idx="17">
                  <c:v>-1.0158768491062538E-3</c:v>
                </c:pt>
                <c:pt idx="18">
                  <c:v>-4.846144733779039E-4</c:v>
                </c:pt>
                <c:pt idx="19">
                  <c:v>-4.846144733779039E-4</c:v>
                </c:pt>
                <c:pt idx="20">
                  <c:v>3.7614447397619588E-4</c:v>
                </c:pt>
                <c:pt idx="21">
                  <c:v>1.6056528255837259E-3</c:v>
                </c:pt>
                <c:pt idx="22">
                  <c:v>1.6056528255837259E-3</c:v>
                </c:pt>
                <c:pt idx="23">
                  <c:v>1.6056528255837259E-3</c:v>
                </c:pt>
                <c:pt idx="24">
                  <c:v>1.6056528255837259E-3</c:v>
                </c:pt>
                <c:pt idx="25">
                  <c:v>1.6056528255837259E-3</c:v>
                </c:pt>
                <c:pt idx="26">
                  <c:v>1.6056528255837259E-3</c:v>
                </c:pt>
                <c:pt idx="27">
                  <c:v>1.6056528255837259E-3</c:v>
                </c:pt>
                <c:pt idx="28">
                  <c:v>1.6056528255837259E-3</c:v>
                </c:pt>
                <c:pt idx="29">
                  <c:v>1.6056528255837259E-3</c:v>
                </c:pt>
                <c:pt idx="30">
                  <c:v>1.6056528255837259E-3</c:v>
                </c:pt>
                <c:pt idx="31">
                  <c:v>1.6056528255837259E-3</c:v>
                </c:pt>
                <c:pt idx="32">
                  <c:v>1.6056528255837259E-3</c:v>
                </c:pt>
                <c:pt idx="33">
                  <c:v>1.6056528255837259E-3</c:v>
                </c:pt>
                <c:pt idx="34">
                  <c:v>1.6056528255837259E-3</c:v>
                </c:pt>
                <c:pt idx="35">
                  <c:v>1.6056528255837259E-3</c:v>
                </c:pt>
                <c:pt idx="36">
                  <c:v>1.6056528255837259E-3</c:v>
                </c:pt>
                <c:pt idx="37">
                  <c:v>1.6056528255837259E-3</c:v>
                </c:pt>
                <c:pt idx="38">
                  <c:v>1.6056528255837259E-3</c:v>
                </c:pt>
                <c:pt idx="39">
                  <c:v>1.6056528255837259E-3</c:v>
                </c:pt>
                <c:pt idx="40">
                  <c:v>1.6056528255837259E-3</c:v>
                </c:pt>
                <c:pt idx="41">
                  <c:v>1.6056528255837259E-3</c:v>
                </c:pt>
                <c:pt idx="42">
                  <c:v>1.6056528255837259E-3</c:v>
                </c:pt>
                <c:pt idx="43">
                  <c:v>1.6056528255837259E-3</c:v>
                </c:pt>
                <c:pt idx="44">
                  <c:v>1.6056528255837259E-3</c:v>
                </c:pt>
                <c:pt idx="45">
                  <c:v>1.6056528255837259E-3</c:v>
                </c:pt>
                <c:pt idx="46">
                  <c:v>1.6056528255837259E-3</c:v>
                </c:pt>
                <c:pt idx="47">
                  <c:v>1.6056528255837259E-3</c:v>
                </c:pt>
                <c:pt idx="48">
                  <c:v>1.6056528255837259E-3</c:v>
                </c:pt>
                <c:pt idx="49">
                  <c:v>1.6056528255837259E-3</c:v>
                </c:pt>
                <c:pt idx="50">
                  <c:v>1.881813968278076E-3</c:v>
                </c:pt>
                <c:pt idx="51">
                  <c:v>2.7055898839215731E-3</c:v>
                </c:pt>
                <c:pt idx="52">
                  <c:v>2.5187440070009227E-3</c:v>
                </c:pt>
                <c:pt idx="53">
                  <c:v>2.565284552922373E-3</c:v>
                </c:pt>
                <c:pt idx="54">
                  <c:v>2.497668061777523E-3</c:v>
                </c:pt>
                <c:pt idx="55">
                  <c:v>2.8350489725074129E-3</c:v>
                </c:pt>
                <c:pt idx="56">
                  <c:v>2.5054497851848827E-3</c:v>
                </c:pt>
                <c:pt idx="57">
                  <c:v>3.4419865447752229E-3</c:v>
                </c:pt>
                <c:pt idx="58">
                  <c:v>3.4419865447752229E-3</c:v>
                </c:pt>
                <c:pt idx="59">
                  <c:v>3.4419865447752229E-3</c:v>
                </c:pt>
                <c:pt idx="60">
                  <c:v>3.4419865447752229E-3</c:v>
                </c:pt>
                <c:pt idx="61">
                  <c:v>3.4419865447752229E-3</c:v>
                </c:pt>
                <c:pt idx="62">
                  <c:v>3.4419865447752229E-3</c:v>
                </c:pt>
                <c:pt idx="63">
                  <c:v>3.4419865447752229E-3</c:v>
                </c:pt>
                <c:pt idx="64">
                  <c:v>3.4419865447752229E-3</c:v>
                </c:pt>
                <c:pt idx="65">
                  <c:v>3.4419865447752229E-3</c:v>
                </c:pt>
                <c:pt idx="66">
                  <c:v>3.4419865447752229E-3</c:v>
                </c:pt>
                <c:pt idx="67">
                  <c:v>3.4419865447752229E-3</c:v>
                </c:pt>
                <c:pt idx="68">
                  <c:v>3.4419865447752229E-3</c:v>
                </c:pt>
                <c:pt idx="69">
                  <c:v>3.4419865447752229E-3</c:v>
                </c:pt>
                <c:pt idx="70">
                  <c:v>3.4419865447752229E-3</c:v>
                </c:pt>
                <c:pt idx="71">
                  <c:v>3.4419865447752229E-3</c:v>
                </c:pt>
                <c:pt idx="72">
                  <c:v>3.4419865447752229E-3</c:v>
                </c:pt>
                <c:pt idx="73">
                  <c:v>3.4419865447752229E-3</c:v>
                </c:pt>
                <c:pt idx="74">
                  <c:v>3.4419865447752229E-3</c:v>
                </c:pt>
                <c:pt idx="75">
                  <c:v>3.4419865447752229E-3</c:v>
                </c:pt>
                <c:pt idx="76">
                  <c:v>3.4419865447752229E-3</c:v>
                </c:pt>
                <c:pt idx="77">
                  <c:v>3.4419865447752229E-3</c:v>
                </c:pt>
                <c:pt idx="78">
                  <c:v>3.4419865447752229E-3</c:v>
                </c:pt>
                <c:pt idx="79">
                  <c:v>3.8485709034719899E-3</c:v>
                </c:pt>
                <c:pt idx="80">
                  <c:v>3.6168145238810877E-3</c:v>
                </c:pt>
                <c:pt idx="81">
                  <c:v>2.9634088063047676E-3</c:v>
                </c:pt>
                <c:pt idx="82">
                  <c:v>2.9634088063047676E-3</c:v>
                </c:pt>
                <c:pt idx="83">
                  <c:v>2.9634088063047676E-3</c:v>
                </c:pt>
                <c:pt idx="84">
                  <c:v>4.5053749778040377E-3</c:v>
                </c:pt>
                <c:pt idx="85">
                  <c:v>4.5053749778040377E-3</c:v>
                </c:pt>
                <c:pt idx="86">
                  <c:v>4.5053749778040377E-3</c:v>
                </c:pt>
                <c:pt idx="87">
                  <c:v>4.5053749778040377E-3</c:v>
                </c:pt>
                <c:pt idx="88">
                  <c:v>4.5053749778040377E-3</c:v>
                </c:pt>
                <c:pt idx="89">
                  <c:v>4.5053749778040377E-3</c:v>
                </c:pt>
                <c:pt idx="90">
                  <c:v>4.5053749778040377E-3</c:v>
                </c:pt>
                <c:pt idx="91">
                  <c:v>4.5053749778040377E-3</c:v>
                </c:pt>
                <c:pt idx="92">
                  <c:v>5.6883158026096369E-3</c:v>
                </c:pt>
                <c:pt idx="93">
                  <c:v>5.834280138423467E-3</c:v>
                </c:pt>
                <c:pt idx="94">
                  <c:v>5.6534803048230182E-3</c:v>
                </c:pt>
                <c:pt idx="95">
                  <c:v>6.8068201870182827E-3</c:v>
                </c:pt>
                <c:pt idx="96">
                  <c:v>6.8068201870182827E-3</c:v>
                </c:pt>
                <c:pt idx="97">
                  <c:v>6.8068201870182827E-3</c:v>
                </c:pt>
                <c:pt idx="98">
                  <c:v>6.8068201870182827E-3</c:v>
                </c:pt>
                <c:pt idx="99">
                  <c:v>6.8068201870182827E-3</c:v>
                </c:pt>
                <c:pt idx="100">
                  <c:v>6.8068201870182827E-3</c:v>
                </c:pt>
                <c:pt idx="101">
                  <c:v>6.8068201870182827E-3</c:v>
                </c:pt>
                <c:pt idx="102">
                  <c:v>6.8068201870182827E-3</c:v>
                </c:pt>
                <c:pt idx="103">
                  <c:v>6.8068201870182827E-3</c:v>
                </c:pt>
                <c:pt idx="104">
                  <c:v>6.8068201870182827E-3</c:v>
                </c:pt>
                <c:pt idx="105">
                  <c:v>6.8068201870182827E-3</c:v>
                </c:pt>
                <c:pt idx="106">
                  <c:v>6.8068201870182827E-3</c:v>
                </c:pt>
                <c:pt idx="107">
                  <c:v>6.8068201870182827E-3</c:v>
                </c:pt>
                <c:pt idx="108">
                  <c:v>6.8068201870182827E-3</c:v>
                </c:pt>
                <c:pt idx="109">
                  <c:v>6.8068201870182827E-3</c:v>
                </c:pt>
                <c:pt idx="110">
                  <c:v>6.8068201870182827E-3</c:v>
                </c:pt>
                <c:pt idx="111">
                  <c:v>6.8068201870182827E-3</c:v>
                </c:pt>
                <c:pt idx="112">
                  <c:v>6.8068201870182827E-3</c:v>
                </c:pt>
                <c:pt idx="113">
                  <c:v>6.8068201870182827E-3</c:v>
                </c:pt>
                <c:pt idx="114">
                  <c:v>6.8068201870182827E-3</c:v>
                </c:pt>
                <c:pt idx="115">
                  <c:v>6.8068201870182827E-3</c:v>
                </c:pt>
                <c:pt idx="116">
                  <c:v>6.8068201870182827E-3</c:v>
                </c:pt>
                <c:pt idx="117">
                  <c:v>6.8068201870182827E-3</c:v>
                </c:pt>
                <c:pt idx="118">
                  <c:v>6.8068201870182827E-3</c:v>
                </c:pt>
                <c:pt idx="119">
                  <c:v>6.8068201870182827E-3</c:v>
                </c:pt>
                <c:pt idx="120">
                  <c:v>6.8068201870182827E-3</c:v>
                </c:pt>
                <c:pt idx="121">
                  <c:v>6.8068201870182827E-3</c:v>
                </c:pt>
                <c:pt idx="122">
                  <c:v>6.8068201870182827E-3</c:v>
                </c:pt>
                <c:pt idx="123">
                  <c:v>6.8068201870182827E-3</c:v>
                </c:pt>
                <c:pt idx="124">
                  <c:v>6.8068201870182827E-3</c:v>
                </c:pt>
                <c:pt idx="125">
                  <c:v>6.8068201870182827E-3</c:v>
                </c:pt>
                <c:pt idx="126">
                  <c:v>6.8068201870182827E-3</c:v>
                </c:pt>
                <c:pt idx="127">
                  <c:v>6.8068201870182827E-3</c:v>
                </c:pt>
                <c:pt idx="128">
                  <c:v>6.8068201870182827E-3</c:v>
                </c:pt>
                <c:pt idx="129">
                  <c:v>6.8068201870182827E-3</c:v>
                </c:pt>
                <c:pt idx="130">
                  <c:v>6.8068201870182827E-3</c:v>
                </c:pt>
                <c:pt idx="131">
                  <c:v>6.8068201870182827E-3</c:v>
                </c:pt>
                <c:pt idx="132">
                  <c:v>6.8068201870182827E-3</c:v>
                </c:pt>
                <c:pt idx="133">
                  <c:v>6.8068201870182827E-3</c:v>
                </c:pt>
                <c:pt idx="134">
                  <c:v>6.8068201870182827E-3</c:v>
                </c:pt>
                <c:pt idx="135">
                  <c:v>6.8068201870182827E-3</c:v>
                </c:pt>
                <c:pt idx="136">
                  <c:v>6.8068201870182827E-3</c:v>
                </c:pt>
                <c:pt idx="137">
                  <c:v>6.8068201870182827E-3</c:v>
                </c:pt>
                <c:pt idx="138">
                  <c:v>6.8068201870182827E-3</c:v>
                </c:pt>
                <c:pt idx="139">
                  <c:v>6.8068201870182827E-3</c:v>
                </c:pt>
                <c:pt idx="140">
                  <c:v>6.8068201870182827E-3</c:v>
                </c:pt>
                <c:pt idx="141">
                  <c:v>6.8068201870182827E-3</c:v>
                </c:pt>
                <c:pt idx="142">
                  <c:v>6.8068201870182827E-3</c:v>
                </c:pt>
                <c:pt idx="143">
                  <c:v>6.8068201870182827E-3</c:v>
                </c:pt>
                <c:pt idx="144">
                  <c:v>6.8068201870182827E-3</c:v>
                </c:pt>
                <c:pt idx="145">
                  <c:v>6.8068201870182827E-3</c:v>
                </c:pt>
                <c:pt idx="146">
                  <c:v>6.8068201870182827E-3</c:v>
                </c:pt>
                <c:pt idx="147">
                  <c:v>6.8068201870182827E-3</c:v>
                </c:pt>
                <c:pt idx="148">
                  <c:v>6.8068201870182827E-3</c:v>
                </c:pt>
                <c:pt idx="149">
                  <c:v>6.8068201870182827E-3</c:v>
                </c:pt>
                <c:pt idx="150">
                  <c:v>6.8068201870182827E-3</c:v>
                </c:pt>
                <c:pt idx="151">
                  <c:v>6.8068201870182827E-3</c:v>
                </c:pt>
                <c:pt idx="152">
                  <c:v>6.8068201870182827E-3</c:v>
                </c:pt>
                <c:pt idx="153">
                  <c:v>6.8068201870182827E-3</c:v>
                </c:pt>
                <c:pt idx="154">
                  <c:v>6.8068201870182827E-3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CA-4759-AA57-CC2B9F7F0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3.5740246189524985E-4</c:v>
                </c:pt>
                <c:pt idx="4">
                  <c:v>3.5051205553108384E-4</c:v>
                </c:pt>
                <c:pt idx="5">
                  <c:v>3.3673961244337186E-4</c:v>
                </c:pt>
                <c:pt idx="6">
                  <c:v>-7.3215458518765793E-4</c:v>
                </c:pt>
                <c:pt idx="7">
                  <c:v>4.5284976076621604E-4</c:v>
                </c:pt>
                <c:pt idx="8">
                  <c:v>-1.8963476018983875E-5</c:v>
                </c:pt>
                <c:pt idx="9">
                  <c:v>7.6633661414565702E-4</c:v>
                </c:pt>
                <c:pt idx="10">
                  <c:v>1.1109379190407719E-4</c:v>
                </c:pt>
                <c:pt idx="11">
                  <c:v>-2.843976113129538E-4</c:v>
                </c:pt>
                <c:pt idx="12">
                  <c:v>-1.0687997670103178E-4</c:v>
                </c:pt>
                <c:pt idx="13">
                  <c:v>5.6842080418808151E-5</c:v>
                </c:pt>
                <c:pt idx="14">
                  <c:v>-5.9529094193034172E-4</c:v>
                </c:pt>
                <c:pt idx="15">
                  <c:v>-1.0027889100795728E-3</c:v>
                </c:pt>
                <c:pt idx="16">
                  <c:v>-3.7145414797288678E-4</c:v>
                </c:pt>
                <c:pt idx="17">
                  <c:v>-1.0158768491062538E-3</c:v>
                </c:pt>
                <c:pt idx="18">
                  <c:v>-4.846144733779039E-4</c:v>
                </c:pt>
                <c:pt idx="19">
                  <c:v>-4.846144733779039E-4</c:v>
                </c:pt>
                <c:pt idx="20">
                  <c:v>3.7614447397619588E-4</c:v>
                </c:pt>
                <c:pt idx="21">
                  <c:v>1.6056528255837259E-3</c:v>
                </c:pt>
                <c:pt idx="22">
                  <c:v>1.6056528255837259E-3</c:v>
                </c:pt>
                <c:pt idx="23">
                  <c:v>1.6056528255837259E-3</c:v>
                </c:pt>
                <c:pt idx="24">
                  <c:v>1.6056528255837259E-3</c:v>
                </c:pt>
                <c:pt idx="25">
                  <c:v>1.6056528255837259E-3</c:v>
                </c:pt>
                <c:pt idx="26">
                  <c:v>1.6056528255837259E-3</c:v>
                </c:pt>
                <c:pt idx="27">
                  <c:v>1.6056528255837259E-3</c:v>
                </c:pt>
                <c:pt idx="28">
                  <c:v>1.140613698618626E-3</c:v>
                </c:pt>
                <c:pt idx="29">
                  <c:v>2.3165295257176464E-3</c:v>
                </c:pt>
                <c:pt idx="30">
                  <c:v>3.7747559764844561E-3</c:v>
                </c:pt>
                <c:pt idx="31">
                  <c:v>3.7747559764844561E-3</c:v>
                </c:pt>
                <c:pt idx="32">
                  <c:v>3.7747559764844561E-3</c:v>
                </c:pt>
                <c:pt idx="33">
                  <c:v>3.7747559764844561E-3</c:v>
                </c:pt>
                <c:pt idx="34">
                  <c:v>3.7747559764844561E-3</c:v>
                </c:pt>
                <c:pt idx="35">
                  <c:v>3.7747559764844561E-3</c:v>
                </c:pt>
                <c:pt idx="36">
                  <c:v>3.7747559764844561E-3</c:v>
                </c:pt>
                <c:pt idx="37">
                  <c:v>3.7747559764844561E-3</c:v>
                </c:pt>
                <c:pt idx="38">
                  <c:v>3.7066175420970562E-3</c:v>
                </c:pt>
                <c:pt idx="39">
                  <c:v>3.8172290015990561E-3</c:v>
                </c:pt>
                <c:pt idx="40">
                  <c:v>4.636033314315436E-3</c:v>
                </c:pt>
                <c:pt idx="41">
                  <c:v>4.636033314315436E-3</c:v>
                </c:pt>
                <c:pt idx="42">
                  <c:v>4.636033314315436E-3</c:v>
                </c:pt>
                <c:pt idx="43">
                  <c:v>4.636033314315436E-3</c:v>
                </c:pt>
                <c:pt idx="44">
                  <c:v>4.636033314315436E-3</c:v>
                </c:pt>
                <c:pt idx="45">
                  <c:v>4.636033314315436E-3</c:v>
                </c:pt>
                <c:pt idx="46">
                  <c:v>4.636033314315436E-3</c:v>
                </c:pt>
                <c:pt idx="47">
                  <c:v>4.636033314315436E-3</c:v>
                </c:pt>
                <c:pt idx="48">
                  <c:v>4.636033314315436E-3</c:v>
                </c:pt>
                <c:pt idx="49">
                  <c:v>4.636033314315436E-3</c:v>
                </c:pt>
                <c:pt idx="50">
                  <c:v>4.9121944570097859E-3</c:v>
                </c:pt>
                <c:pt idx="51">
                  <c:v>5.7359703726532832E-3</c:v>
                </c:pt>
                <c:pt idx="52">
                  <c:v>5.5491244957326328E-3</c:v>
                </c:pt>
                <c:pt idx="53">
                  <c:v>5.5956650416540826E-3</c:v>
                </c:pt>
                <c:pt idx="54">
                  <c:v>5.5280485505092326E-3</c:v>
                </c:pt>
                <c:pt idx="55">
                  <c:v>5.8654294612391225E-3</c:v>
                </c:pt>
                <c:pt idx="56">
                  <c:v>5.5358302739165928E-3</c:v>
                </c:pt>
                <c:pt idx="57">
                  <c:v>6.472367033506933E-3</c:v>
                </c:pt>
                <c:pt idx="58">
                  <c:v>6.472367033506933E-3</c:v>
                </c:pt>
                <c:pt idx="59">
                  <c:v>6.472367033506933E-3</c:v>
                </c:pt>
                <c:pt idx="60">
                  <c:v>6.472367033506933E-3</c:v>
                </c:pt>
                <c:pt idx="61">
                  <c:v>6.472367033506933E-3</c:v>
                </c:pt>
                <c:pt idx="62">
                  <c:v>6.472367033506933E-3</c:v>
                </c:pt>
                <c:pt idx="63">
                  <c:v>6.472367033506933E-3</c:v>
                </c:pt>
                <c:pt idx="64">
                  <c:v>6.472367033506933E-3</c:v>
                </c:pt>
                <c:pt idx="65">
                  <c:v>6.472367033506933E-3</c:v>
                </c:pt>
                <c:pt idx="66">
                  <c:v>6.472367033506933E-3</c:v>
                </c:pt>
                <c:pt idx="67">
                  <c:v>6.472367033506933E-3</c:v>
                </c:pt>
                <c:pt idx="68">
                  <c:v>6.472367033506933E-3</c:v>
                </c:pt>
                <c:pt idx="69">
                  <c:v>6.472367033506933E-3</c:v>
                </c:pt>
                <c:pt idx="70">
                  <c:v>6.472367033506933E-3</c:v>
                </c:pt>
                <c:pt idx="71">
                  <c:v>6.472367033506933E-3</c:v>
                </c:pt>
                <c:pt idx="72">
                  <c:v>6.472367033506933E-3</c:v>
                </c:pt>
                <c:pt idx="73">
                  <c:v>6.472367033506933E-3</c:v>
                </c:pt>
                <c:pt idx="74">
                  <c:v>6.472367033506933E-3</c:v>
                </c:pt>
                <c:pt idx="75">
                  <c:v>6.472367033506933E-3</c:v>
                </c:pt>
                <c:pt idx="76">
                  <c:v>6.472367033506933E-3</c:v>
                </c:pt>
                <c:pt idx="77">
                  <c:v>6.472367033506933E-3</c:v>
                </c:pt>
                <c:pt idx="78">
                  <c:v>6.472367033506933E-3</c:v>
                </c:pt>
                <c:pt idx="79">
                  <c:v>6.8789513922037004E-3</c:v>
                </c:pt>
                <c:pt idx="80">
                  <c:v>6.6471950126127987E-3</c:v>
                </c:pt>
                <c:pt idx="81">
                  <c:v>5.993789295036479E-3</c:v>
                </c:pt>
                <c:pt idx="82">
                  <c:v>5.993789295036479E-3</c:v>
                </c:pt>
                <c:pt idx="83">
                  <c:v>5.993789295036479E-3</c:v>
                </c:pt>
                <c:pt idx="84">
                  <c:v>7.5357554665357492E-3</c:v>
                </c:pt>
                <c:pt idx="85">
                  <c:v>7.5357554665357492E-3</c:v>
                </c:pt>
                <c:pt idx="86">
                  <c:v>7.5357554665357492E-3</c:v>
                </c:pt>
                <c:pt idx="87">
                  <c:v>7.5357554665357492E-3</c:v>
                </c:pt>
                <c:pt idx="88">
                  <c:v>7.5357554665357492E-3</c:v>
                </c:pt>
                <c:pt idx="89">
                  <c:v>7.5357554665357492E-3</c:v>
                </c:pt>
                <c:pt idx="90">
                  <c:v>7.5357554665357492E-3</c:v>
                </c:pt>
                <c:pt idx="91">
                  <c:v>7.5357554665357492E-3</c:v>
                </c:pt>
                <c:pt idx="92">
                  <c:v>8.7186962913413484E-3</c:v>
                </c:pt>
                <c:pt idx="93">
                  <c:v>8.8646606271551784E-3</c:v>
                </c:pt>
                <c:pt idx="94">
                  <c:v>8.6838607935547287E-3</c:v>
                </c:pt>
                <c:pt idx="95">
                  <c:v>9.8372006757499932E-3</c:v>
                </c:pt>
                <c:pt idx="96">
                  <c:v>9.8372006757499932E-3</c:v>
                </c:pt>
                <c:pt idx="97">
                  <c:v>9.8372006757499932E-3</c:v>
                </c:pt>
                <c:pt idx="98">
                  <c:v>9.8372006757499932E-3</c:v>
                </c:pt>
                <c:pt idx="99">
                  <c:v>9.8372006757499932E-3</c:v>
                </c:pt>
                <c:pt idx="100">
                  <c:v>9.8372006757499932E-3</c:v>
                </c:pt>
                <c:pt idx="101">
                  <c:v>9.8372006757499932E-3</c:v>
                </c:pt>
                <c:pt idx="102">
                  <c:v>9.8372006757499932E-3</c:v>
                </c:pt>
                <c:pt idx="103">
                  <c:v>9.8372006757499932E-3</c:v>
                </c:pt>
                <c:pt idx="104">
                  <c:v>9.8372006757499932E-3</c:v>
                </c:pt>
                <c:pt idx="105">
                  <c:v>9.8372006757499932E-3</c:v>
                </c:pt>
                <c:pt idx="106">
                  <c:v>9.8372006757499932E-3</c:v>
                </c:pt>
                <c:pt idx="107">
                  <c:v>9.8372006757499932E-3</c:v>
                </c:pt>
                <c:pt idx="108">
                  <c:v>1.1996498104370843E-2</c:v>
                </c:pt>
                <c:pt idx="109">
                  <c:v>1.1996498104370843E-2</c:v>
                </c:pt>
                <c:pt idx="110">
                  <c:v>1.1996498104370843E-2</c:v>
                </c:pt>
                <c:pt idx="111">
                  <c:v>1.1996498104370843E-2</c:v>
                </c:pt>
                <c:pt idx="112">
                  <c:v>1.1996498104370843E-2</c:v>
                </c:pt>
                <c:pt idx="113">
                  <c:v>1.1996498104370843E-2</c:v>
                </c:pt>
                <c:pt idx="114">
                  <c:v>1.1996498104370843E-2</c:v>
                </c:pt>
                <c:pt idx="115">
                  <c:v>1.1996498104370843E-2</c:v>
                </c:pt>
                <c:pt idx="116">
                  <c:v>1.1996498104370843E-2</c:v>
                </c:pt>
                <c:pt idx="117">
                  <c:v>1.1996498104370843E-2</c:v>
                </c:pt>
                <c:pt idx="118">
                  <c:v>1.1996498104370843E-2</c:v>
                </c:pt>
                <c:pt idx="119">
                  <c:v>1.1996498104370843E-2</c:v>
                </c:pt>
                <c:pt idx="120">
                  <c:v>1.1996498104370843E-2</c:v>
                </c:pt>
                <c:pt idx="121">
                  <c:v>1.1996498104370843E-2</c:v>
                </c:pt>
                <c:pt idx="122">
                  <c:v>1.1996498104370843E-2</c:v>
                </c:pt>
                <c:pt idx="123">
                  <c:v>1.1996498104370843E-2</c:v>
                </c:pt>
                <c:pt idx="124">
                  <c:v>1.1996498104370843E-2</c:v>
                </c:pt>
                <c:pt idx="125">
                  <c:v>1.1996498104370843E-2</c:v>
                </c:pt>
                <c:pt idx="126">
                  <c:v>1.1996498104370843E-2</c:v>
                </c:pt>
                <c:pt idx="127">
                  <c:v>1.1996498104370843E-2</c:v>
                </c:pt>
                <c:pt idx="128">
                  <c:v>1.1996498104370843E-2</c:v>
                </c:pt>
                <c:pt idx="129">
                  <c:v>1.1996498104370843E-2</c:v>
                </c:pt>
                <c:pt idx="130">
                  <c:v>1.1996498104370843E-2</c:v>
                </c:pt>
                <c:pt idx="131">
                  <c:v>1.1996498104370843E-2</c:v>
                </c:pt>
                <c:pt idx="132">
                  <c:v>1.1996498104370843E-2</c:v>
                </c:pt>
                <c:pt idx="133">
                  <c:v>1.1996498104370843E-2</c:v>
                </c:pt>
                <c:pt idx="134">
                  <c:v>1.1996498104370843E-2</c:v>
                </c:pt>
                <c:pt idx="135">
                  <c:v>1.1996498104370843E-2</c:v>
                </c:pt>
                <c:pt idx="136">
                  <c:v>1.1996498104370843E-2</c:v>
                </c:pt>
                <c:pt idx="137">
                  <c:v>1.1996498104370843E-2</c:v>
                </c:pt>
                <c:pt idx="138">
                  <c:v>1.1996498104370843E-2</c:v>
                </c:pt>
                <c:pt idx="139">
                  <c:v>1.1996498104370843E-2</c:v>
                </c:pt>
                <c:pt idx="140">
                  <c:v>1.1996498104370843E-2</c:v>
                </c:pt>
                <c:pt idx="141">
                  <c:v>1.1996498104370843E-2</c:v>
                </c:pt>
                <c:pt idx="142">
                  <c:v>1.1996498104370843E-2</c:v>
                </c:pt>
                <c:pt idx="143">
                  <c:v>1.1996498104370843E-2</c:v>
                </c:pt>
                <c:pt idx="144">
                  <c:v>1.1996498104370843E-2</c:v>
                </c:pt>
                <c:pt idx="145">
                  <c:v>1.1996498104370843E-2</c:v>
                </c:pt>
                <c:pt idx="146">
                  <c:v>1.1996498104370843E-2</c:v>
                </c:pt>
                <c:pt idx="147">
                  <c:v>1.1996498104370843E-2</c:v>
                </c:pt>
                <c:pt idx="148">
                  <c:v>1.1996498104370843E-2</c:v>
                </c:pt>
                <c:pt idx="149">
                  <c:v>1.1996498104370843E-2</c:v>
                </c:pt>
                <c:pt idx="150">
                  <c:v>1.1996498104370843E-2</c:v>
                </c:pt>
                <c:pt idx="151">
                  <c:v>1.1996498104370843E-2</c:v>
                </c:pt>
                <c:pt idx="152">
                  <c:v>1.1996498104370843E-2</c:v>
                </c:pt>
                <c:pt idx="153">
                  <c:v>1.1996498104370843E-2</c:v>
                </c:pt>
                <c:pt idx="154">
                  <c:v>1.1326163736597733E-2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D2-4839-9E9A-5004B4618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309FFF-6EEB-4629-B9F7-C6FACCC33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C27F8F-D12E-4EE1-8C73-B24A41B44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07A52A-428B-43A5-8D66-7D2EEA8F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636897-68BE-4642-B5EC-DDCDA3D29F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01C3B-E553-48AA-BA9C-047DABFBF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896E00F-C05F-4341-A407-ABE9CF68A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B405E83-22AB-4C4D-9D69-9DA46BAEC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CWB_ICVT_2.xlsx" TargetMode="External"/><Relationship Id="rId1" Type="http://schemas.openxmlformats.org/officeDocument/2006/relationships/externalLinkPath" Target="CWB_ICVT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ICVT/CWB avg</v>
          </cell>
          <cell r="P1" t="str">
            <v>ICVT/CWB 10 dma</v>
          </cell>
          <cell r="Q1" t="str">
            <v>ICVT/CWB 20 dma</v>
          </cell>
          <cell r="U1" t="str">
            <v>log diff CWB x avg / ICVT</v>
          </cell>
          <cell r="V1" t="str">
            <v>log diff CWB x 10 dma / ICVT</v>
          </cell>
          <cell r="W1" t="str">
            <v>log diff CWB x 20 dma / ICVT</v>
          </cell>
          <cell r="Y1" t="str">
            <v>ICVT*/CWB* avg</v>
          </cell>
          <cell r="Z1" t="str">
            <v>ICVT*/CWB* 10 dma</v>
          </cell>
          <cell r="AA1" t="str">
            <v>ICVT*/CWB* 20 dma</v>
          </cell>
          <cell r="AF1" t="str">
            <v>log diff CWB* x 10 dma / ICVT*</v>
          </cell>
          <cell r="AG1" t="str">
            <v>log diff CWB* x 20 dma / ICVT*</v>
          </cell>
        </row>
        <row r="2">
          <cell r="O2">
            <v>1.1144210713463301</v>
          </cell>
          <cell r="Y2">
            <v>1.1139962285470999</v>
          </cell>
        </row>
        <row r="3">
          <cell r="O3">
            <v>1.1144210713463301</v>
          </cell>
          <cell r="U3">
            <v>1.05746316939213E-2</v>
          </cell>
          <cell r="Y3">
            <v>1.1139962285470999</v>
          </cell>
        </row>
        <row r="4">
          <cell r="O4">
            <v>1.1144210713463301</v>
          </cell>
          <cell r="U4">
            <v>1.08596795330909E-2</v>
          </cell>
          <cell r="Y4">
            <v>1.1139962285470999</v>
          </cell>
        </row>
        <row r="5">
          <cell r="O5">
            <v>1.1144210713463301</v>
          </cell>
          <cell r="U5">
            <v>9.96962864367687E-3</v>
          </cell>
          <cell r="Y5">
            <v>1.1139962285470999</v>
          </cell>
        </row>
        <row r="6">
          <cell r="O6">
            <v>1.1144210713463301</v>
          </cell>
          <cell r="U6">
            <v>1.1175336320067101E-2</v>
          </cell>
          <cell r="Y6">
            <v>1.1139962285470999</v>
          </cell>
        </row>
        <row r="7">
          <cell r="O7">
            <v>1.1144210713463301</v>
          </cell>
          <cell r="U7">
            <v>1.18436529824524E-2</v>
          </cell>
          <cell r="Y7">
            <v>1.1139962285470999</v>
          </cell>
        </row>
        <row r="8">
          <cell r="O8">
            <v>1.1144210713463301</v>
          </cell>
          <cell r="U8">
            <v>1.1201130423945001E-2</v>
          </cell>
          <cell r="Y8">
            <v>1.1139962285470999</v>
          </cell>
        </row>
        <row r="9">
          <cell r="O9">
            <v>1.1144210713463301</v>
          </cell>
          <cell r="U9">
            <v>1.1020531580362E-2</v>
          </cell>
          <cell r="Y9">
            <v>1.1139962285470999</v>
          </cell>
        </row>
        <row r="10">
          <cell r="O10">
            <v>1.1144210713463301</v>
          </cell>
          <cell r="U10">
            <v>1.33363193937911E-2</v>
          </cell>
          <cell r="Y10">
            <v>1.1139962285470999</v>
          </cell>
        </row>
        <row r="11">
          <cell r="O11">
            <v>1.1144210713463301</v>
          </cell>
          <cell r="P11">
            <v>1.10218252225373</v>
          </cell>
          <cell r="U11">
            <v>1.16857287889941E-2</v>
          </cell>
          <cell r="Y11">
            <v>1.1139962285470999</v>
          </cell>
          <cell r="Z11">
            <v>1.10218252225373</v>
          </cell>
        </row>
        <row r="12">
          <cell r="O12">
            <v>1.1144210713463301</v>
          </cell>
          <cell r="P12">
            <v>1.1019698516584899</v>
          </cell>
          <cell r="U12">
            <v>1.06941050658673E-2</v>
          </cell>
          <cell r="V12">
            <v>-3.4862128681375598E-4</v>
          </cell>
          <cell r="Y12">
            <v>1.1139962285470999</v>
          </cell>
          <cell r="Z12">
            <v>1.1019698516584899</v>
          </cell>
          <cell r="AF12">
            <v>-3.4862128681375598E-4</v>
          </cell>
        </row>
        <row r="13">
          <cell r="O13">
            <v>1.1144210713463301</v>
          </cell>
          <cell r="P13">
            <v>1.10211778019607</v>
          </cell>
          <cell r="U13">
            <v>9.2340168938129501E-3</v>
          </cell>
          <cell r="V13">
            <v>-2.0016821393526799E-3</v>
          </cell>
          <cell r="Y13">
            <v>1.1139962285470999</v>
          </cell>
          <cell r="Z13">
            <v>1.10211778019607</v>
          </cell>
          <cell r="AF13">
            <v>-2.0016821393526799E-3</v>
          </cell>
        </row>
        <row r="14">
          <cell r="O14">
            <v>1.1144210713463301</v>
          </cell>
          <cell r="P14">
            <v>1.1022267508530501</v>
          </cell>
          <cell r="U14">
            <v>9.8716680516285401E-3</v>
          </cell>
          <cell r="V14">
            <v>-1.22979989593216E-3</v>
          </cell>
          <cell r="Y14">
            <v>1.1139962285470999</v>
          </cell>
          <cell r="Z14">
            <v>1.1022267508530501</v>
          </cell>
          <cell r="AF14">
            <v>-1.22979989593216E-3</v>
          </cell>
        </row>
        <row r="15">
          <cell r="O15">
            <v>1.1144210713463301</v>
          </cell>
          <cell r="P15">
            <v>1.1021958277772299</v>
          </cell>
          <cell r="U15">
            <v>1.02499292195662E-2</v>
          </cell>
          <cell r="V15">
            <v>-7.52669739467281E-4</v>
          </cell>
          <cell r="Y15">
            <v>1.1139962285470999</v>
          </cell>
          <cell r="Z15">
            <v>1.1021958277772299</v>
          </cell>
          <cell r="AF15">
            <v>-7.52669739467281E-4</v>
          </cell>
        </row>
        <row r="16">
          <cell r="O16">
            <v>1.1144210713463301</v>
          </cell>
          <cell r="P16">
            <v>1.1025257937742401</v>
          </cell>
          <cell r="U16">
            <v>8.1856618788641294E-3</v>
          </cell>
          <cell r="V16">
            <v>-2.84499256837346E-3</v>
          </cell>
          <cell r="Y16">
            <v>1.1139962285470999</v>
          </cell>
          <cell r="Z16">
            <v>1.1025257937742401</v>
          </cell>
          <cell r="AF16">
            <v>-2.84499256837346E-3</v>
          </cell>
        </row>
        <row r="17">
          <cell r="O17">
            <v>1.1144210713463301</v>
          </cell>
          <cell r="P17">
            <v>1.1030041073797101</v>
          </cell>
          <cell r="U17">
            <v>7.5098850984687696E-3</v>
          </cell>
          <cell r="V17">
            <v>-3.22144267074281E-3</v>
          </cell>
          <cell r="Y17">
            <v>1.1139962285470999</v>
          </cell>
          <cell r="Z17">
            <v>1.1030041073797101</v>
          </cell>
          <cell r="AF17">
            <v>-3.22144267074281E-3</v>
          </cell>
        </row>
        <row r="18">
          <cell r="O18">
            <v>1.1144210713463301</v>
          </cell>
          <cell r="P18">
            <v>1.10343443701444</v>
          </cell>
          <cell r="U18">
            <v>7.3037755328790198E-3</v>
          </cell>
          <cell r="V18">
            <v>-2.9938119250238499E-3</v>
          </cell>
          <cell r="Y18">
            <v>1.1139962285470999</v>
          </cell>
          <cell r="Z18">
            <v>1.10343443701444</v>
          </cell>
          <cell r="AF18">
            <v>-2.9938119250238499E-3</v>
          </cell>
        </row>
        <row r="19">
          <cell r="O19">
            <v>1.1144210713463301</v>
          </cell>
          <cell r="P19">
            <v>1.1038478134955201</v>
          </cell>
          <cell r="U19">
            <v>7.2771036506855697E-3</v>
          </cell>
          <cell r="V19">
            <v>-2.63041661836424E-3</v>
          </cell>
          <cell r="Y19">
            <v>1.1139962285470999</v>
          </cell>
          <cell r="Z19">
            <v>1.1038478134955201</v>
          </cell>
          <cell r="AF19">
            <v>-2.63041661836424E-3</v>
          </cell>
        </row>
        <row r="20">
          <cell r="O20">
            <v>1.1144210713463301</v>
          </cell>
          <cell r="P20">
            <v>1.1047025694064001</v>
          </cell>
          <cell r="U20">
            <v>5.5934442046346898E-3</v>
          </cell>
          <cell r="V20">
            <v>-3.93951908529347E-3</v>
          </cell>
          <cell r="Y20">
            <v>1.1139962285470999</v>
          </cell>
          <cell r="Z20">
            <v>1.1047025694064001</v>
          </cell>
          <cell r="AF20">
            <v>-3.93951908529347E-3</v>
          </cell>
        </row>
        <row r="21">
          <cell r="O21">
            <v>1.1144210713463301</v>
          </cell>
          <cell r="P21">
            <v>1.1053902827786499</v>
          </cell>
          <cell r="Q21">
            <v>1.1037864025161901</v>
          </cell>
          <cell r="U21">
            <v>5.46156603020831E-3</v>
          </cell>
          <cell r="V21">
            <v>-3.2973547382751998E-3</v>
          </cell>
          <cell r="Y21">
            <v>1.1139962285470999</v>
          </cell>
          <cell r="Z21">
            <v>1.1053902827786499</v>
          </cell>
          <cell r="AA21">
            <v>1.1037864025161901</v>
          </cell>
          <cell r="AF21">
            <v>-3.2973547382751998E-3</v>
          </cell>
        </row>
        <row r="22">
          <cell r="O22">
            <v>1.1144210713463301</v>
          </cell>
          <cell r="P22">
            <v>1.1059628469210001</v>
          </cell>
          <cell r="Q22">
            <v>1.10396634928975</v>
          </cell>
          <cell r="U22">
            <v>5.5145314927438497E-3</v>
          </cell>
          <cell r="V22">
            <v>-2.6220503601897798E-3</v>
          </cell>
          <cell r="W22">
            <v>-4.0740669009533999E-3</v>
          </cell>
          <cell r="Y22">
            <v>1.1139962285470999</v>
          </cell>
          <cell r="Z22">
            <v>1.10597542518287</v>
          </cell>
          <cell r="AA22">
            <v>1.1039726384206801</v>
          </cell>
          <cell r="AF22">
            <v>-2.73553618129315E-3</v>
          </cell>
          <cell r="AG22">
            <v>-4.1875527220567397E-3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1.1144210713463301</v>
          </cell>
          <cell r="P23">
            <v>1.1066905063647099</v>
          </cell>
          <cell r="Q23">
            <v>1.1044041432803899</v>
          </cell>
          <cell r="U23">
            <v>2.66557989263968E-3</v>
          </cell>
          <cell r="V23">
            <v>-4.9531614151102797E-3</v>
          </cell>
          <cell r="W23">
            <v>-6.7600049808109602E-3</v>
          </cell>
          <cell r="Y23">
            <v>1.1139962285470999</v>
          </cell>
          <cell r="Z23">
            <v>1.10671536854659</v>
          </cell>
          <cell r="AA23">
            <v>1.1044165743713299</v>
          </cell>
          <cell r="AF23">
            <v>-5.0523033690297496E-3</v>
          </cell>
          <cell r="AG23">
            <v>-6.86482316845171E-3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1.1144210713463301</v>
          </cell>
          <cell r="P24">
            <v>1.10710703283626</v>
          </cell>
          <cell r="Q24">
            <v>1.10466689184466</v>
          </cell>
          <cell r="U24">
            <v>6.1040911342382601E-3</v>
          </cell>
          <cell r="V24">
            <v>-8.5692448966800797E-4</v>
          </cell>
          <cell r="W24">
            <v>-2.9250077348453498E-3</v>
          </cell>
          <cell r="Y24">
            <v>1.1139962285470999</v>
          </cell>
          <cell r="Z24">
            <v>1.1071446706829999</v>
          </cell>
          <cell r="AA24">
            <v>1.1046857107680199</v>
          </cell>
          <cell r="AF24">
            <v>-9.4979413436858896E-4</v>
          </cell>
          <cell r="AG24">
            <v>-3.0290866079398199E-3</v>
          </cell>
          <cell r="AR24">
            <v>3.4385112415986994E-3</v>
          </cell>
          <cell r="BC24">
            <v>0</v>
          </cell>
          <cell r="BF24">
            <v>3.4385112415986994E-3</v>
          </cell>
        </row>
        <row r="25">
          <cell r="O25">
            <v>1.1144210713463301</v>
          </cell>
          <cell r="P25">
            <v>1.10779194162496</v>
          </cell>
          <cell r="Q25">
            <v>1.1049938847010901</v>
          </cell>
          <cell r="U25">
            <v>4.0599373485521303E-3</v>
          </cell>
          <cell r="V25">
            <v>-2.52477785122995E-3</v>
          </cell>
          <cell r="W25">
            <v>-4.7312800207258802E-3</v>
          </cell>
          <cell r="Y25">
            <v>1.1139962285470999</v>
          </cell>
          <cell r="Z25">
            <v>1.10784235791402</v>
          </cell>
          <cell r="AA25">
            <v>1.1050190928456201</v>
          </cell>
          <cell r="AF25">
            <v>-2.6059061039310901E-3</v>
          </cell>
          <cell r="AG25">
            <v>-4.8293685797532399E-3</v>
          </cell>
          <cell r="AR25">
            <v>1.3943574559126988E-3</v>
          </cell>
          <cell r="BC25">
            <v>0</v>
          </cell>
          <cell r="BF25">
            <v>1.3943574559126988E-3</v>
          </cell>
        </row>
        <row r="26">
          <cell r="O26">
            <v>1.1144210713463301</v>
          </cell>
          <cell r="P26">
            <v>1.1083919201647201</v>
          </cell>
          <cell r="Q26">
            <v>1.1054588569694801</v>
          </cell>
          <cell r="U26">
            <v>2.7723211054568502E-3</v>
          </cell>
          <cell r="V26">
            <v>-3.1939380668311798E-3</v>
          </cell>
          <cell r="W26">
            <v>-5.7229296952945596E-3</v>
          </cell>
          <cell r="Y26">
            <v>1.1139962285470999</v>
          </cell>
          <cell r="Z26">
            <v>1.1084546181917201</v>
          </cell>
          <cell r="AA26">
            <v>1.1054902059829801</v>
          </cell>
          <cell r="AF26">
            <v>-3.25893567616277E-3</v>
          </cell>
          <cell r="AG26">
            <v>-5.81062421437581E-3</v>
          </cell>
          <cell r="AR26">
            <v>1.0674121281739959E-4</v>
          </cell>
          <cell r="BC26">
            <v>0</v>
          </cell>
          <cell r="BF26">
            <v>1.0674121281739959E-4</v>
          </cell>
        </row>
        <row r="27">
          <cell r="O27">
            <v>1.1144210713463301</v>
          </cell>
          <cell r="P27">
            <v>1.1084655574172899</v>
          </cell>
          <cell r="Q27">
            <v>1.1057348323984999</v>
          </cell>
          <cell r="U27">
            <v>6.8443587748397896E-3</v>
          </cell>
          <cell r="V27">
            <v>1.4195515684884601E-3</v>
          </cell>
          <cell r="W27">
            <v>-1.2301888220109501E-3</v>
          </cell>
          <cell r="Y27">
            <v>1.1139962285470999</v>
          </cell>
          <cell r="Z27">
            <v>1.10854080857097</v>
          </cell>
          <cell r="AA27">
            <v>1.1057724579753401</v>
          </cell>
          <cell r="AF27">
            <v>1.36270686554398E-3</v>
          </cell>
          <cell r="AG27">
            <v>-1.3152406135010599E-3</v>
          </cell>
          <cell r="AR27">
            <v>4.1787788822000996E-3</v>
          </cell>
          <cell r="BC27">
            <v>0</v>
          </cell>
          <cell r="BF27">
            <v>4.1787788822000996E-3</v>
          </cell>
        </row>
        <row r="28">
          <cell r="O28">
            <v>1.1144210713463301</v>
          </cell>
          <cell r="P28">
            <v>1.1085015227386901</v>
          </cell>
          <cell r="Q28">
            <v>1.10596797987657</v>
          </cell>
          <cell r="U28">
            <v>6.9787361111354604E-3</v>
          </cell>
          <cell r="V28">
            <v>1.6203628125535301E-3</v>
          </cell>
          <cell r="W28">
            <v>-8.46194790642671E-4</v>
          </cell>
          <cell r="Y28">
            <v>1.1139962285470999</v>
          </cell>
          <cell r="Z28">
            <v>1.1085893975812799</v>
          </cell>
          <cell r="AA28">
            <v>1.10601191729786</v>
          </cell>
          <cell r="AF28">
            <v>1.5741856502383101E-3</v>
          </cell>
          <cell r="AG28">
            <v>-9.26230239225705E-4</v>
          </cell>
          <cell r="AR28">
            <v>4.1787788822000996E-3</v>
          </cell>
          <cell r="BC28">
            <v>0</v>
          </cell>
          <cell r="BF28">
            <v>4.1787788822000996E-3</v>
          </cell>
        </row>
        <row r="29">
          <cell r="O29">
            <v>1.1144210713463301</v>
          </cell>
          <cell r="P29">
            <v>1.10834363821227</v>
          </cell>
          <cell r="Q29">
            <v>1.1060957258538999</v>
          </cell>
          <cell r="U29">
            <v>8.7052105991603096E-3</v>
          </cell>
          <cell r="V29">
            <v>3.3792828174521502E-3</v>
          </cell>
          <cell r="W29">
            <v>1.0911104452012599E-3</v>
          </cell>
          <cell r="Y29">
            <v>1.1139962285470999</v>
          </cell>
          <cell r="Z29">
            <v>1.10844432282976</v>
          </cell>
          <cell r="AA29">
            <v>1.1061460681626401</v>
          </cell>
          <cell r="AF29">
            <v>3.3426093910330201E-3</v>
          </cell>
          <cell r="AG29">
            <v>1.0148933999981301E-3</v>
          </cell>
          <cell r="AR29">
            <v>4.1787788822000996E-3</v>
          </cell>
          <cell r="BC29">
            <v>0</v>
          </cell>
          <cell r="BF29">
            <v>4.1787788822000996E-3</v>
          </cell>
        </row>
        <row r="30">
          <cell r="O30">
            <v>1.1144210713463301</v>
          </cell>
          <cell r="P30">
            <v>1.1080970899940199</v>
          </cell>
          <cell r="Q30">
            <v>1.10639982970021</v>
          </cell>
          <cell r="U30">
            <v>7.8206754087438799E-3</v>
          </cell>
          <cell r="V30">
            <v>2.3523068923657201E-3</v>
          </cell>
          <cell r="W30">
            <v>3.2207462050344598E-4</v>
          </cell>
          <cell r="Y30">
            <v>1.1139962285470999</v>
          </cell>
          <cell r="Z30">
            <v>1.1082105750847799</v>
          </cell>
          <cell r="AA30">
            <v>1.1064565722455899</v>
          </cell>
          <cell r="AF30">
            <v>2.3273879754857701E-3</v>
          </cell>
          <cell r="AG30">
            <v>2.5182989347688901E-4</v>
          </cell>
          <cell r="AR30">
            <v>4.1787788822000996E-3</v>
          </cell>
          <cell r="BC30">
            <v>0</v>
          </cell>
          <cell r="BF30">
            <v>4.1787788822000996E-3</v>
          </cell>
        </row>
        <row r="31">
          <cell r="O31">
            <v>1.1144210713463301</v>
          </cell>
          <cell r="P31">
            <v>1.1080756427320499</v>
          </cell>
          <cell r="Q31">
            <v>1.1067329627553499</v>
          </cell>
          <cell r="U31">
            <v>5.6550907699120696E-3</v>
          </cell>
          <cell r="V31">
            <v>-3.5749943567257801E-5</v>
          </cell>
          <cell r="W31">
            <v>-1.5686133321277801E-3</v>
          </cell>
          <cell r="Y31">
            <v>1.1139962285470999</v>
          </cell>
          <cell r="Z31">
            <v>1.10820162853948</v>
          </cell>
          <cell r="AA31">
            <v>1.1067959556590601</v>
          </cell>
          <cell r="AF31">
            <v>-4.6142866479113401E-5</v>
          </cell>
          <cell r="AG31">
            <v>-1.6301309687418301E-3</v>
          </cell>
          <cell r="AR31">
            <v>4.1787788822000996E-3</v>
          </cell>
          <cell r="BC31">
            <v>0</v>
          </cell>
          <cell r="BF31">
            <v>4.1787788822000996E-3</v>
          </cell>
        </row>
        <row r="32">
          <cell r="O32">
            <v>1.1144210713463301</v>
          </cell>
          <cell r="P32">
            <v>1.1078287965873499</v>
          </cell>
          <cell r="Q32">
            <v>1.10689582175417</v>
          </cell>
          <cell r="U32">
            <v>7.7442809053578903E-3</v>
          </cell>
          <cell r="V32">
            <v>2.0340849659554899E-3</v>
          </cell>
          <cell r="W32">
            <v>8.2162792758470405E-4</v>
          </cell>
          <cell r="Y32">
            <v>1.1139962285470999</v>
          </cell>
          <cell r="Z32">
            <v>1.1079548795352001</v>
          </cell>
          <cell r="AA32">
            <v>1.10696515235903</v>
          </cell>
          <cell r="AF32">
            <v>2.0331588655624002E-3</v>
          </cell>
          <cell r="AG32">
            <v>7.6392671908580897E-4</v>
          </cell>
          <cell r="AR32">
            <v>4.1787788822000996E-3</v>
          </cell>
          <cell r="BC32">
            <v>0</v>
          </cell>
          <cell r="BF32">
            <v>4.1787788822000996E-3</v>
          </cell>
        </row>
        <row r="33">
          <cell r="O33">
            <v>1.1144210713463301</v>
          </cell>
          <cell r="P33">
            <v>1.1074198389269301</v>
          </cell>
          <cell r="Q33">
            <v>1.10705517264582</v>
          </cell>
          <cell r="U33">
            <v>6.3518478074971602E-3</v>
          </cell>
          <cell r="V33">
            <v>4.18856930417296E-4</v>
          </cell>
          <cell r="W33">
            <v>-4.2366306564551502E-4</v>
          </cell>
          <cell r="Y33">
            <v>1.1139962285470999</v>
          </cell>
          <cell r="Z33">
            <v>1.10754615611185</v>
          </cell>
          <cell r="AA33">
            <v>1.1071307623292199</v>
          </cell>
          <cell r="AF33">
            <v>4.1962314687948898E-4</v>
          </cell>
          <cell r="AG33">
            <v>-4.7406802732875901E-4</v>
          </cell>
          <cell r="AR33">
            <v>4.1787788822000996E-3</v>
          </cell>
          <cell r="BC33">
            <v>0</v>
          </cell>
          <cell r="BF33">
            <v>4.1787788822000996E-3</v>
          </cell>
        </row>
        <row r="34">
          <cell r="O34">
            <v>1.1144210713463301</v>
          </cell>
          <cell r="P34">
            <v>1.1074792438535099</v>
          </cell>
          <cell r="Q34">
            <v>1.1072931383448901</v>
          </cell>
          <cell r="U34">
            <v>5.5679147433445502E-3</v>
          </cell>
          <cell r="V34">
            <v>-7.3429668849226597E-4</v>
          </cell>
          <cell r="W34">
            <v>-1.06364453165758E-3</v>
          </cell>
          <cell r="Y34">
            <v>1.1139962285470999</v>
          </cell>
          <cell r="Z34">
            <v>1.1076052155228799</v>
          </cell>
          <cell r="AA34">
            <v>1.10737494310294</v>
          </cell>
          <cell r="AF34">
            <v>-7.3239434382719396E-4</v>
          </cell>
          <cell r="AG34">
            <v>-1.10752245758602E-3</v>
          </cell>
          <cell r="AR34">
            <v>4.1787788822000996E-3</v>
          </cell>
          <cell r="BC34">
            <v>0</v>
          </cell>
          <cell r="BF34">
            <v>4.1787788822000996E-3</v>
          </cell>
        </row>
        <row r="35">
          <cell r="O35">
            <v>1.1144210713463301</v>
          </cell>
          <cell r="P35">
            <v>1.1074882448240499</v>
          </cell>
          <cell r="Q35">
            <v>1.1076400932245001</v>
          </cell>
          <cell r="U35">
            <v>3.9788439271234198E-3</v>
          </cell>
          <cell r="V35">
            <v>-2.2697263008695399E-3</v>
          </cell>
          <cell r="W35">
            <v>-2.4377846625839202E-3</v>
          </cell>
          <cell r="Y35">
            <v>1.1139962285470999</v>
          </cell>
          <cell r="Z35">
            <v>1.1076137523404701</v>
          </cell>
          <cell r="AA35">
            <v>1.1077280551272399</v>
          </cell>
          <cell r="AF35">
            <v>-2.2669202796935998E-3</v>
          </cell>
          <cell r="AG35">
            <v>-2.4748430638997202E-3</v>
          </cell>
          <cell r="AR35">
            <v>4.1787788822000996E-3</v>
          </cell>
          <cell r="BC35">
            <v>0</v>
          </cell>
          <cell r="BF35">
            <v>4.1787788822000996E-3</v>
          </cell>
        </row>
        <row r="36">
          <cell r="O36">
            <v>1.1144210713463301</v>
          </cell>
          <cell r="P36">
            <v>1.1072332353190599</v>
          </cell>
          <cell r="Q36">
            <v>1.1078125777418899</v>
          </cell>
          <cell r="U36">
            <v>5.0695792751700598E-3</v>
          </cell>
          <cell r="V36">
            <v>-1.1708635463621401E-3</v>
          </cell>
          <cell r="W36">
            <v>-1.03376232465588E-3</v>
          </cell>
          <cell r="Y36">
            <v>1.1139962285470999</v>
          </cell>
          <cell r="Z36">
            <v>1.10735895281897</v>
          </cell>
          <cell r="AA36">
            <v>1.1079067855053399</v>
          </cell>
          <cell r="AF36">
            <v>-1.17019862339824E-3</v>
          </cell>
          <cell r="AG36">
            <v>-1.0670066134858701E-3</v>
          </cell>
          <cell r="AR36">
            <v>4.1787788822000996E-3</v>
          </cell>
          <cell r="BC36">
            <v>0</v>
          </cell>
          <cell r="BF36">
            <v>4.1787788822000996E-3</v>
          </cell>
        </row>
        <row r="37">
          <cell r="O37">
            <v>1.1144210713463301</v>
          </cell>
          <cell r="P37">
            <v>1.10707703487428</v>
          </cell>
          <cell r="Q37">
            <v>1.10777129614579</v>
          </cell>
          <cell r="U37">
            <v>8.2566102881507994E-3</v>
          </cell>
          <cell r="V37">
            <v>1.7858816194796601E-3</v>
          </cell>
          <cell r="W37">
            <v>2.3089790945967099E-3</v>
          </cell>
          <cell r="Y37">
            <v>1.1139962285470999</v>
          </cell>
          <cell r="Z37">
            <v>1.10720290872912</v>
          </cell>
          <cell r="AA37">
            <v>1.10787185865005</v>
          </cell>
          <cell r="AF37">
            <v>1.78443268178854E-3</v>
          </cell>
          <cell r="AG37">
            <v>2.2790304070788299E-3</v>
          </cell>
          <cell r="AR37">
            <v>4.1787788822000996E-3</v>
          </cell>
          <cell r="BC37">
            <v>0</v>
          </cell>
          <cell r="BF37">
            <v>4.1787788822000996E-3</v>
          </cell>
        </row>
        <row r="38">
          <cell r="O38">
            <v>1.1144210713463301</v>
          </cell>
          <cell r="P38">
            <v>1.1069412149388</v>
          </cell>
          <cell r="Q38">
            <v>1.1077213688387499</v>
          </cell>
          <cell r="U38">
            <v>8.2067737247030394E-3</v>
          </cell>
          <cell r="V38">
            <v>1.5949623476692501E-3</v>
          </cell>
          <cell r="W38">
            <v>2.2218777752593499E-3</v>
          </cell>
          <cell r="Y38">
            <v>1.1139962285470999</v>
          </cell>
          <cell r="Z38">
            <v>1.1070670753365199</v>
          </cell>
          <cell r="AA38">
            <v>1.1078282364589001</v>
          </cell>
          <cell r="AF38">
            <v>1.59457420571143E-3</v>
          </cell>
          <cell r="AG38">
            <v>2.1985718234104798E-3</v>
          </cell>
          <cell r="AR38">
            <v>4.1787788822000996E-3</v>
          </cell>
          <cell r="BC38">
            <v>0</v>
          </cell>
          <cell r="BF38">
            <v>4.1787788822000996E-3</v>
          </cell>
        </row>
        <row r="39">
          <cell r="O39">
            <v>1.1144210713463301</v>
          </cell>
          <cell r="P39">
            <v>1.10732018381887</v>
          </cell>
          <cell r="Q39">
            <v>1.1078319110155701</v>
          </cell>
          <cell r="U39">
            <v>5.2807589730952797E-3</v>
          </cell>
          <cell r="V39">
            <v>-1.4537432947317301E-3</v>
          </cell>
          <cell r="W39">
            <v>-7.4920804143233002E-4</v>
          </cell>
          <cell r="Y39">
            <v>1.1139962285470999</v>
          </cell>
          <cell r="Z39">
            <v>1.1074456239852699</v>
          </cell>
          <cell r="AA39">
            <v>1.10794497340751</v>
          </cell>
          <cell r="AF39">
            <v>-1.4518057920873499E-3</v>
          </cell>
          <cell r="AG39">
            <v>-7.6449461463612802E-4</v>
          </cell>
          <cell r="AR39">
            <v>4.1787788822000996E-3</v>
          </cell>
          <cell r="BC39">
            <v>0</v>
          </cell>
          <cell r="BF39">
            <v>4.1787788822000996E-3</v>
          </cell>
        </row>
        <row r="40">
          <cell r="O40">
            <v>1.1144210713463301</v>
          </cell>
          <cell r="P40">
            <v>1.1077655137798901</v>
          </cell>
          <cell r="Q40">
            <v>1.1079313018869501</v>
          </cell>
          <cell r="U40">
            <v>3.8013238661691899E-3</v>
          </cell>
          <cell r="V40">
            <v>-2.5908801671436698E-3</v>
          </cell>
          <cell r="W40">
            <v>-2.1288557246723198E-3</v>
          </cell>
          <cell r="Y40">
            <v>1.1139962285470999</v>
          </cell>
          <cell r="Z40">
            <v>1.10789048366265</v>
          </cell>
          <cell r="AA40">
            <v>1.10805052937371</v>
          </cell>
          <cell r="AF40">
            <v>-2.5886612593775298E-3</v>
          </cell>
          <cell r="AG40">
            <v>-2.1378609072493998E-3</v>
          </cell>
          <cell r="AR40">
            <v>4.1787788822000996E-3</v>
          </cell>
          <cell r="BC40">
            <v>0</v>
          </cell>
          <cell r="BF40">
            <v>4.1787788822000996E-3</v>
          </cell>
        </row>
        <row r="41">
          <cell r="O41">
            <v>1.1144210713463301</v>
          </cell>
          <cell r="P41">
            <v>1.1084253497075101</v>
          </cell>
          <cell r="Q41">
            <v>1.1082504962197799</v>
          </cell>
          <cell r="U41">
            <v>-2.8171471477579299E-4</v>
          </cell>
          <cell r="V41">
            <v>-6.27183049705688E-3</v>
          </cell>
          <cell r="W41">
            <v>-6.1221817669601299E-3</v>
          </cell>
          <cell r="Y41">
            <v>1.1139962285470999</v>
          </cell>
          <cell r="Z41">
            <v>1.10851427827775</v>
          </cell>
          <cell r="AA41">
            <v>1.1083579534086101</v>
          </cell>
          <cell r="AF41">
            <v>-5.9478253836574803E-3</v>
          </cell>
          <cell r="AG41">
            <v>-5.8033759507517303E-3</v>
          </cell>
          <cell r="AR41">
            <v>4.1787788822000996E-3</v>
          </cell>
          <cell r="BC41">
            <v>0</v>
          </cell>
          <cell r="BF41">
            <v>4.1787788822000996E-3</v>
          </cell>
        </row>
        <row r="42">
          <cell r="O42">
            <v>1.1144210713463301</v>
          </cell>
          <cell r="P42">
            <v>1.10883349412409</v>
          </cell>
          <cell r="Q42">
            <v>1.1083311453557201</v>
          </cell>
          <cell r="U42">
            <v>4.0602131207383603E-3</v>
          </cell>
          <cell r="V42">
            <v>-1.3344341412216301E-3</v>
          </cell>
          <cell r="W42">
            <v>-1.4921960335717199E-3</v>
          </cell>
          <cell r="Y42">
            <v>1.1139962285470999</v>
          </cell>
          <cell r="Z42">
            <v>1.10888699241134</v>
          </cell>
          <cell r="AA42">
            <v>1.10842093597327</v>
          </cell>
          <cell r="AF42">
            <v>-1.04917031048892E-3</v>
          </cell>
          <cell r="AG42">
            <v>-1.1902022266847901E-3</v>
          </cell>
          <cell r="AR42">
            <v>8.5207067177144012E-3</v>
          </cell>
          <cell r="BC42">
            <v>0</v>
          </cell>
          <cell r="BF42">
            <v>8.5207067177144012E-3</v>
          </cell>
        </row>
        <row r="43">
          <cell r="O43">
            <v>1.1144210713463301</v>
          </cell>
          <cell r="P43">
            <v>1.10919393213051</v>
          </cell>
          <cell r="Q43">
            <v>1.1083068855287199</v>
          </cell>
          <cell r="U43">
            <v>3.1022171978052101E-3</v>
          </cell>
          <cell r="V43">
            <v>-1.9242778095531099E-3</v>
          </cell>
          <cell r="W43">
            <v>-2.3774230275721299E-3</v>
          </cell>
          <cell r="Y43">
            <v>1.1139962285470999</v>
          </cell>
          <cell r="Z43">
            <v>1.1092121144000999</v>
          </cell>
          <cell r="AA43">
            <v>1.10837913525598</v>
          </cell>
          <cell r="AF43">
            <v>-1.6708036123632801E-3</v>
          </cell>
          <cell r="AG43">
            <v>-2.0911840556645002E-3</v>
          </cell>
          <cell r="AR43">
            <v>8.5207067177144012E-3</v>
          </cell>
          <cell r="BC43">
            <v>0</v>
          </cell>
          <cell r="BF43">
            <v>8.5207067177144012E-3</v>
          </cell>
        </row>
        <row r="44">
          <cell r="O44">
            <v>1.1144210713463301</v>
          </cell>
          <cell r="P44">
            <v>1.10940886401552</v>
          </cell>
          <cell r="Q44">
            <v>1.10844405393451</v>
          </cell>
          <cell r="U44">
            <v>3.6303828970565498E-3</v>
          </cell>
          <cell r="V44">
            <v>-1.0711043982089699E-3</v>
          </cell>
          <cell r="W44">
            <v>-1.8711461768084899E-3</v>
          </cell>
          <cell r="Y44">
            <v>1.1139962285470999</v>
          </cell>
          <cell r="Z44">
            <v>1.1093917324395699</v>
          </cell>
          <cell r="AA44">
            <v>1.10849847398123</v>
          </cell>
          <cell r="AF44">
            <v>-8.4860258221382604E-4</v>
          </cell>
          <cell r="AG44">
            <v>-1.59984939871474E-3</v>
          </cell>
          <cell r="AR44">
            <v>8.5207067177144012E-3</v>
          </cell>
          <cell r="BC44">
            <v>0</v>
          </cell>
          <cell r="BF44">
            <v>8.5207067177144012E-3</v>
          </cell>
        </row>
        <row r="45">
          <cell r="O45">
            <v>1.1144210713463301</v>
          </cell>
          <cell r="P45">
            <v>1.1092917040115899</v>
          </cell>
          <cell r="Q45">
            <v>1.1083899744178201</v>
          </cell>
          <cell r="U45">
            <v>5.0349009089885001E-3</v>
          </cell>
          <cell r="V45">
            <v>5.2716788650975302E-4</v>
          </cell>
          <cell r="W45">
            <v>-3.4287190202318799E-4</v>
          </cell>
          <cell r="Y45">
            <v>1.1139962285470999</v>
          </cell>
          <cell r="Z45">
            <v>1.10923934568758</v>
          </cell>
          <cell r="AA45">
            <v>1.1084265490140199</v>
          </cell>
          <cell r="AF45">
            <v>7.1838448220650495E-4</v>
          </cell>
          <cell r="AG45">
            <v>-8.7118426871101294E-5</v>
          </cell>
          <cell r="AR45">
            <v>8.5207067177144012E-3</v>
          </cell>
          <cell r="BC45">
            <v>0</v>
          </cell>
          <cell r="BF45">
            <v>8.5207067177144012E-3</v>
          </cell>
        </row>
        <row r="46">
          <cell r="O46">
            <v>1.1144210713463301</v>
          </cell>
          <cell r="P46">
            <v>1.10951467161099</v>
          </cell>
          <cell r="Q46">
            <v>1.1083739534650201</v>
          </cell>
          <cell r="U46">
            <v>3.0606815194148202E-3</v>
          </cell>
          <cell r="V46">
            <v>-1.5526628737270801E-3</v>
          </cell>
          <cell r="W46">
            <v>-2.3658811567965599E-3</v>
          </cell>
          <cell r="Y46">
            <v>1.1139962285470999</v>
          </cell>
          <cell r="Z46">
            <v>1.10942673791838</v>
          </cell>
          <cell r="AA46">
            <v>1.10839284536867</v>
          </cell>
          <cell r="AF46">
            <v>-1.3920714576932699E-3</v>
          </cell>
          <cell r="AG46">
            <v>-2.12509144225667E-3</v>
          </cell>
          <cell r="AR46">
            <v>8.5207067177144012E-3</v>
          </cell>
          <cell r="BC46">
            <v>0</v>
          </cell>
          <cell r="BF46">
            <v>8.5207067177144012E-3</v>
          </cell>
        </row>
        <row r="47">
          <cell r="O47">
            <v>1.1144210713463301</v>
          </cell>
          <cell r="P47">
            <v>1.1102672675293801</v>
          </cell>
          <cell r="Q47">
            <v>1.10867215120183</v>
          </cell>
          <cell r="U47">
            <v>1.47045309695348E-3</v>
          </cell>
          <cell r="V47">
            <v>-2.9419115238217999E-3</v>
          </cell>
          <cell r="W47">
            <v>-3.9705639400440798E-3</v>
          </cell>
          <cell r="Y47">
            <v>1.1139962285470999</v>
          </cell>
          <cell r="Z47">
            <v>1.1101431340571599</v>
          </cell>
          <cell r="AA47">
            <v>1.1086730213931399</v>
          </cell>
          <cell r="AF47">
            <v>-2.8100516374613802E-3</v>
          </cell>
          <cell r="AG47">
            <v>-3.7424021608242698E-3</v>
          </cell>
          <cell r="AR47">
            <v>8.5207067177144012E-3</v>
          </cell>
          <cell r="BC47">
            <v>0</v>
          </cell>
          <cell r="BF47">
            <v>8.5207067177144012E-3</v>
          </cell>
        </row>
        <row r="48">
          <cell r="O48">
            <v>1.1144210713463301</v>
          </cell>
          <cell r="P48">
            <v>1.1111324666203499</v>
          </cell>
          <cell r="Q48">
            <v>1.1090368407795801</v>
          </cell>
          <cell r="U48">
            <v>4.0960982865027298E-4</v>
          </cell>
          <cell r="V48">
            <v>-3.3246738203276298E-3</v>
          </cell>
          <cell r="W48">
            <v>-4.7624026639844202E-3</v>
          </cell>
          <cell r="Y48">
            <v>1.1139962285470999</v>
          </cell>
          <cell r="Z48">
            <v>1.1109720495409801</v>
          </cell>
          <cell r="AA48">
            <v>1.10901956243875</v>
          </cell>
          <cell r="AF48">
            <v>-3.2239479284966802E-3</v>
          </cell>
          <cell r="AG48">
            <v>-4.5490805903732603E-3</v>
          </cell>
          <cell r="AR48">
            <v>8.5207067177144012E-3</v>
          </cell>
          <cell r="BC48">
            <v>0</v>
          </cell>
          <cell r="BF48">
            <v>8.5207067177144012E-3</v>
          </cell>
        </row>
        <row r="49">
          <cell r="O49">
            <v>1.1144210713463301</v>
          </cell>
          <cell r="P49">
            <v>1.11114332921346</v>
          </cell>
          <cell r="Q49">
            <v>1.10923175651616</v>
          </cell>
          <cell r="U49">
            <v>5.1827747115534102E-3</v>
          </cell>
          <cell r="V49">
            <v>2.2274585950007499E-3</v>
          </cell>
          <cell r="W49">
            <v>3.39650799296794E-4</v>
          </cell>
          <cell r="Y49">
            <v>1.1139962285470999</v>
          </cell>
          <cell r="Z49">
            <v>1.1109478228410501</v>
          </cell>
          <cell r="AA49">
            <v>1.1091967234131599</v>
          </cell>
          <cell r="AF49">
            <v>2.2878459214723998E-3</v>
          </cell>
          <cell r="AG49">
            <v>5.2884143233621799E-4</v>
          </cell>
          <cell r="AR49">
            <v>8.5207067177144012E-3</v>
          </cell>
          <cell r="BC49">
            <v>0</v>
          </cell>
          <cell r="BF49">
            <v>8.5207067177144012E-3</v>
          </cell>
        </row>
        <row r="50">
          <cell r="O50">
            <v>1.1144210713463301</v>
          </cell>
          <cell r="P50">
            <v>1.11136793465756</v>
          </cell>
          <cell r="Q50">
            <v>1.1095667242187199</v>
          </cell>
          <cell r="U50">
            <v>1.7802466216809E-3</v>
          </cell>
          <cell r="V50">
            <v>-1.1652933967645101E-3</v>
          </cell>
          <cell r="W50">
            <v>-2.8871404683295E-3</v>
          </cell>
          <cell r="Y50">
            <v>1.1139962285470999</v>
          </cell>
          <cell r="Z50">
            <v>1.1111364503541801</v>
          </cell>
          <cell r="AA50">
            <v>1.1095134670084099</v>
          </cell>
          <cell r="AF50">
            <v>-1.1286612701735101E-3</v>
          </cell>
          <cell r="AG50">
            <v>-2.7061259392781901E-3</v>
          </cell>
          <cell r="AR50">
            <v>8.5207067177144012E-3</v>
          </cell>
          <cell r="BC50">
            <v>0</v>
          </cell>
          <cell r="BF50">
            <v>8.5207067177144012E-3</v>
          </cell>
        </row>
        <row r="51">
          <cell r="O51">
            <v>1.1144210713463301</v>
          </cell>
          <cell r="P51">
            <v>1.11120101478829</v>
          </cell>
          <cell r="Q51">
            <v>1.1098131822479</v>
          </cell>
          <cell r="U51">
            <v>1.2168024844079401E-3</v>
          </cell>
          <cell r="V51">
            <v>-1.5266189229718699E-3</v>
          </cell>
          <cell r="W51">
            <v>-3.1486484829557002E-3</v>
          </cell>
          <cell r="Y51">
            <v>1.1139962285470999</v>
          </cell>
          <cell r="Z51">
            <v>1.11096956327032</v>
          </cell>
          <cell r="AA51">
            <v>1.10974192077404</v>
          </cell>
          <cell r="AF51">
            <v>-1.5237073050567099E-3</v>
          </cell>
          <cell r="AG51">
            <v>-2.9854267972204401E-3</v>
          </cell>
          <cell r="AR51">
            <v>8.5207067177144012E-3</v>
          </cell>
          <cell r="BC51">
            <v>0</v>
          </cell>
          <cell r="BF51">
            <v>8.5207067177144012E-3</v>
          </cell>
        </row>
        <row r="52">
          <cell r="O52">
            <v>1.1144210713463301</v>
          </cell>
          <cell r="P52">
            <v>1.11140203541456</v>
          </cell>
          <cell r="Q52">
            <v>1.1101177647693301</v>
          </cell>
          <cell r="U52">
            <v>2.2507003821174202E-3</v>
          </cell>
          <cell r="V52">
            <v>-6.4292547190009802E-4</v>
          </cell>
          <cell r="W52">
            <v>-1.8926542875647499E-3</v>
          </cell>
          <cell r="Y52">
            <v>1.1139962285470999</v>
          </cell>
          <cell r="Z52">
            <v>1.1111702875914899</v>
          </cell>
          <cell r="AA52">
            <v>1.1100286400014101</v>
          </cell>
          <cell r="AF52">
            <v>-6.4390462894852102E-4</v>
          </cell>
          <cell r="AG52">
            <v>-1.7495346310118099E-3</v>
          </cell>
          <cell r="AR52">
            <v>8.5207067177144012E-3</v>
          </cell>
          <cell r="BC52">
            <v>0</v>
          </cell>
          <cell r="BF52">
            <v>8.5207067177144012E-3</v>
          </cell>
        </row>
        <row r="53">
          <cell r="O53">
            <v>1.1144210713463301</v>
          </cell>
          <cell r="P53">
            <v>1.11162626795834</v>
          </cell>
          <cell r="Q53">
            <v>1.11041010004442</v>
          </cell>
          <cell r="U53">
            <v>1.08590074756842E-3</v>
          </cell>
          <cell r="V53">
            <v>-1.6268375414806599E-3</v>
          </cell>
          <cell r="W53">
            <v>-2.7830467170157601E-3</v>
          </cell>
          <cell r="Y53">
            <v>1.1139962285470999</v>
          </cell>
          <cell r="Z53">
            <v>1.1113938767421501</v>
          </cell>
          <cell r="AA53">
            <v>1.1103029955711301</v>
          </cell>
          <cell r="AF53">
            <v>-1.62478234338922E-3</v>
          </cell>
          <cell r="AG53">
            <v>-2.6527386208934E-3</v>
          </cell>
          <cell r="AR53">
            <v>8.5207067177144012E-3</v>
          </cell>
          <cell r="BC53">
            <v>0</v>
          </cell>
          <cell r="BF53">
            <v>8.5207067177144012E-3</v>
          </cell>
        </row>
        <row r="54">
          <cell r="O54">
            <v>1.1144210713463301</v>
          </cell>
          <cell r="P54">
            <v>1.1119364269049901</v>
          </cell>
          <cell r="Q54">
            <v>1.11067264546025</v>
          </cell>
          <cell r="U54">
            <v>8.4101493184777598E-4</v>
          </cell>
          <cell r="V54">
            <v>-1.6699872441735999E-3</v>
          </cell>
          <cell r="W54">
            <v>-2.7646300257833899E-3</v>
          </cell>
          <cell r="Y54">
            <v>1.1139962285470999</v>
          </cell>
          <cell r="Z54">
            <v>1.11170353014227</v>
          </cell>
          <cell r="AA54">
            <v>1.1105476312909199</v>
          </cell>
          <cell r="AF54">
            <v>-1.6689876519639601E-3</v>
          </cell>
          <cell r="AG54">
            <v>-2.6510129428911301E-3</v>
          </cell>
          <cell r="AR54">
            <v>8.5207067177144012E-3</v>
          </cell>
          <cell r="BC54">
            <v>0</v>
          </cell>
          <cell r="BF54">
            <v>8.5207067177144012E-3</v>
          </cell>
        </row>
        <row r="55">
          <cell r="O55">
            <v>1.1144210713463301</v>
          </cell>
          <cell r="P55">
            <v>1.1124477908199799</v>
          </cell>
          <cell r="Q55">
            <v>1.11086974741579</v>
          </cell>
          <cell r="U55">
            <v>4.33735148723212E-4</v>
          </cell>
          <cell r="V55">
            <v>-1.7982922546230999E-3</v>
          </cell>
          <cell r="W55">
            <v>-2.9354977098206099E-3</v>
          </cell>
          <cell r="Y55">
            <v>1.1139962285470999</v>
          </cell>
          <cell r="Z55">
            <v>1.1122137625361801</v>
          </cell>
          <cell r="AA55">
            <v>1.11072655411188</v>
          </cell>
          <cell r="AF55">
            <v>-1.79189570641502E-3</v>
          </cell>
          <cell r="AG55">
            <v>-2.8321912190499799E-3</v>
          </cell>
          <cell r="AR55">
            <v>8.5207067177144012E-3</v>
          </cell>
          <cell r="BC55">
            <v>0</v>
          </cell>
          <cell r="BF55">
            <v>8.5207067177144012E-3</v>
          </cell>
        </row>
        <row r="56">
          <cell r="O56">
            <v>1.1144210713463301</v>
          </cell>
          <cell r="P56">
            <v>1.1126059576768399</v>
          </cell>
          <cell r="Q56">
            <v>1.11106031464391</v>
          </cell>
          <cell r="U56">
            <v>1.63806956635382E-3</v>
          </cell>
          <cell r="V56">
            <v>-1.3417762462734599E-4</v>
          </cell>
          <cell r="W56">
            <v>-1.5537172468830501E-3</v>
          </cell>
          <cell r="Y56">
            <v>1.1139962285470999</v>
          </cell>
          <cell r="Z56">
            <v>1.1123714961497999</v>
          </cell>
          <cell r="AA56">
            <v>1.1108991170340901</v>
          </cell>
          <cell r="AF56">
            <v>-1.3318045244656399E-4</v>
          </cell>
          <cell r="AG56">
            <v>-1.47123585146399E-3</v>
          </cell>
          <cell r="AR56">
            <v>8.5207067177144012E-3</v>
          </cell>
          <cell r="BC56">
            <v>0</v>
          </cell>
          <cell r="BF56">
            <v>8.5207067177144012E-3</v>
          </cell>
        </row>
        <row r="57">
          <cell r="O57">
            <v>1.1144210713463301</v>
          </cell>
          <cell r="P57">
            <v>1.1128259333064701</v>
          </cell>
          <cell r="Q57">
            <v>1.11154660041793</v>
          </cell>
          <cell r="U57">
            <v>-5.0440074579227397E-4</v>
          </cell>
          <cell r="V57">
            <v>-2.1344789152540201E-3</v>
          </cell>
          <cell r="W57">
            <v>-3.5246545014858302E-3</v>
          </cell>
          <cell r="Y57">
            <v>1.1139962285470999</v>
          </cell>
          <cell r="Z57">
            <v>1.1125909124358699</v>
          </cell>
          <cell r="AA57">
            <v>1.11136702324652</v>
          </cell>
          <cell r="AF57">
            <v>-2.1295146428090901E-3</v>
          </cell>
          <cell r="AG57">
            <v>-3.45403116565872E-3</v>
          </cell>
          <cell r="AR57">
            <v>8.5207067177144012E-3</v>
          </cell>
          <cell r="BC57">
            <v>0</v>
          </cell>
          <cell r="BF57">
            <v>8.5207067177144012E-3</v>
          </cell>
        </row>
        <row r="58">
          <cell r="O58">
            <v>1.1144210713463301</v>
          </cell>
          <cell r="P58">
            <v>1.11301359125119</v>
          </cell>
          <cell r="Q58">
            <v>1.1120730289357701</v>
          </cell>
          <cell r="U58">
            <v>-1.27356792711696E-3</v>
          </cell>
          <cell r="V58">
            <v>-2.7059535666596698E-3</v>
          </cell>
          <cell r="W58">
            <v>-3.85624022971772E-3</v>
          </cell>
          <cell r="Y58">
            <v>1.1139962285470999</v>
          </cell>
          <cell r="Z58">
            <v>1.1127781145165101</v>
          </cell>
          <cell r="AA58">
            <v>1.11187508202875</v>
          </cell>
          <cell r="AF58">
            <v>-2.7009027482448799E-3</v>
          </cell>
          <cell r="AG58">
            <v>-3.8015434512657501E-3</v>
          </cell>
          <cell r="AR58">
            <v>8.5207067177144012E-3</v>
          </cell>
          <cell r="BC58">
            <v>0</v>
          </cell>
          <cell r="BF58">
            <v>8.5207067177144012E-3</v>
          </cell>
        </row>
        <row r="59">
          <cell r="O59">
            <v>1.1144210713463301</v>
          </cell>
          <cell r="P59">
            <v>1.113708326165</v>
          </cell>
          <cell r="Q59">
            <v>1.11242582768923</v>
          </cell>
          <cell r="U59">
            <v>-1.0641095599341699E-3</v>
          </cell>
          <cell r="V59">
            <v>-2.32787752232996E-3</v>
          </cell>
          <cell r="W59">
            <v>-3.1732939325564199E-3</v>
          </cell>
          <cell r="Y59">
            <v>1.1139962285470999</v>
          </cell>
          <cell r="Z59">
            <v>1.1134709370000699</v>
          </cell>
          <cell r="AA59">
            <v>1.1122093799205599</v>
          </cell>
          <cell r="AF59">
            <v>-2.3188255533781099E-3</v>
          </cell>
          <cell r="AG59">
            <v>-3.13066673272923E-3</v>
          </cell>
          <cell r="AR59">
            <v>8.5207067177144012E-3</v>
          </cell>
          <cell r="BC59">
            <v>0</v>
          </cell>
          <cell r="BF59">
            <v>8.5207067177144012E-3</v>
          </cell>
        </row>
        <row r="60">
          <cell r="O60">
            <v>1.1144210713463301</v>
          </cell>
          <cell r="P60">
            <v>1.1147459201054</v>
          </cell>
          <cell r="Q60">
            <v>1.1130569273814801</v>
          </cell>
          <cell r="U60">
            <v>-7.5037230888590403E-3</v>
          </cell>
          <cell r="V60">
            <v>-8.14349311876204E-3</v>
          </cell>
          <cell r="W60">
            <v>-9.2957135412755597E-3</v>
          </cell>
          <cell r="Y60">
            <v>1.1139962285470999</v>
          </cell>
          <cell r="Z60">
            <v>1.11450526093927</v>
          </cell>
          <cell r="AA60">
            <v>1.1128208556467201</v>
          </cell>
          <cell r="AF60">
            <v>-8.1169046288552295E-3</v>
          </cell>
          <cell r="AG60">
            <v>-9.2505420205541405E-3</v>
          </cell>
          <cell r="AR60">
            <v>8.5207067177144012E-3</v>
          </cell>
          <cell r="BC60">
            <v>0</v>
          </cell>
          <cell r="BF60">
            <v>8.5207067177144012E-3</v>
          </cell>
        </row>
        <row r="61">
          <cell r="O61">
            <v>1.1144210713463301</v>
          </cell>
          <cell r="P61">
            <v>1.1147937809753501</v>
          </cell>
          <cell r="Q61">
            <v>1.1129973978818199</v>
          </cell>
          <cell r="U61">
            <v>7.8690354948596903E-4</v>
          </cell>
          <cell r="V61">
            <v>1.0783566013357899E-3</v>
          </cell>
          <cell r="W61">
            <v>-4.3792932084794602E-4</v>
          </cell>
          <cell r="Y61">
            <v>1.1139962285470999</v>
          </cell>
          <cell r="Z61">
            <v>1.1145518963415799</v>
          </cell>
          <cell r="AA61">
            <v>1.1127607298059501</v>
          </cell>
          <cell r="AF61">
            <v>1.08458402191663E-3</v>
          </cell>
          <cell r="AG61">
            <v>-4.2790721240205601E-4</v>
          </cell>
          <cell r="AR61">
            <v>1.6811333356059461E-2</v>
          </cell>
          <cell r="BC61">
            <v>0</v>
          </cell>
          <cell r="BF61">
            <v>1.6811333356059461E-2</v>
          </cell>
        </row>
        <row r="62">
          <cell r="O62">
            <v>1.1144210713463301</v>
          </cell>
          <cell r="P62">
            <v>1.11482380549108</v>
          </cell>
          <cell r="Q62">
            <v>1.1131129204528201</v>
          </cell>
          <cell r="U62">
            <v>1.9807117152407898E-3</v>
          </cell>
          <cell r="V62">
            <v>2.3150981761094502E-3</v>
          </cell>
          <cell r="W62">
            <v>7.0239452603889296E-4</v>
          </cell>
          <cell r="Y62">
            <v>1.1139962285470999</v>
          </cell>
          <cell r="Z62">
            <v>1.11458124426005</v>
          </cell>
          <cell r="AA62">
            <v>1.11287576592577</v>
          </cell>
          <cell r="AF62">
            <v>2.3114582936968201E-3</v>
          </cell>
          <cell r="AG62">
            <v>7.0309231873588805E-4</v>
          </cell>
          <cell r="AR62">
            <v>1.6811333356059461E-2</v>
          </cell>
          <cell r="BC62">
            <v>0</v>
          </cell>
          <cell r="BF62">
            <v>1.6811333356059461E-2</v>
          </cell>
        </row>
        <row r="63">
          <cell r="O63">
            <v>1.1144210713463301</v>
          </cell>
          <cell r="P63">
            <v>1.11469546703524</v>
          </cell>
          <cell r="Q63">
            <v>1.1131608674967901</v>
          </cell>
          <cell r="U63">
            <v>2.2394325101902802E-3</v>
          </cell>
          <cell r="V63">
            <v>2.60075140639646E-3</v>
          </cell>
          <cell r="W63">
            <v>1.064904041751E-3</v>
          </cell>
          <cell r="Y63">
            <v>1.1139962285470999</v>
          </cell>
          <cell r="Z63">
            <v>1.11447491139119</v>
          </cell>
          <cell r="AA63">
            <v>1.1129343940666701</v>
          </cell>
          <cell r="AF63">
            <v>2.3960612346266299E-3</v>
          </cell>
          <cell r="AG63">
            <v>8.64737703124867E-4</v>
          </cell>
          <cell r="AR63">
            <v>1.6811333356059461E-2</v>
          </cell>
          <cell r="BC63">
            <v>0</v>
          </cell>
          <cell r="BF63">
            <v>1.6811333356059461E-2</v>
          </cell>
        </row>
        <row r="64">
          <cell r="O64">
            <v>1.1144210713463301</v>
          </cell>
          <cell r="P64">
            <v>1.11469752729106</v>
          </cell>
          <cell r="Q64">
            <v>1.11331697709803</v>
          </cell>
          <cell r="U64">
            <v>8.2251231885944001E-4</v>
          </cell>
          <cell r="V64">
            <v>1.0687046426561099E-3</v>
          </cell>
          <cell r="W64">
            <v>-3.0894234236536E-4</v>
          </cell>
          <cell r="Y64">
            <v>1.1139962285470999</v>
          </cell>
          <cell r="Z64">
            <v>1.1144983743780399</v>
          </cell>
          <cell r="AA64">
            <v>1.11310095226016</v>
          </cell>
          <cell r="AF64">
            <v>8.8866360315820896E-4</v>
          </cell>
          <cell r="AG64">
            <v>-4.9457347533929798E-4</v>
          </cell>
          <cell r="AR64">
            <v>1.6811333356059461E-2</v>
          </cell>
          <cell r="BC64">
            <v>0</v>
          </cell>
          <cell r="BF64">
            <v>1.6811333356059461E-2</v>
          </cell>
        </row>
        <row r="65">
          <cell r="O65">
            <v>1.1144210713463301</v>
          </cell>
          <cell r="P65">
            <v>1.1148034242149201</v>
          </cell>
          <cell r="Q65">
            <v>1.11362560751745</v>
          </cell>
          <cell r="U65">
            <v>-5.1646708769930902E-4</v>
          </cell>
          <cell r="V65">
            <v>-2.6842649773713899E-4</v>
          </cell>
          <cell r="W65">
            <v>-1.5076916524320099E-3</v>
          </cell>
          <cell r="Y65">
            <v>1.1139962285470999</v>
          </cell>
          <cell r="Z65">
            <v>1.11462579331017</v>
          </cell>
          <cell r="AA65">
            <v>1.11341977792317</v>
          </cell>
          <cell r="AF65">
            <v>-4.2448450440957599E-4</v>
          </cell>
          <cell r="AG65">
            <v>-1.6791287166669001E-3</v>
          </cell>
          <cell r="AR65">
            <v>1.6811333356059461E-2</v>
          </cell>
          <cell r="BC65">
            <v>0</v>
          </cell>
          <cell r="BF65">
            <v>1.6811333356059461E-2</v>
          </cell>
        </row>
        <row r="66">
          <cell r="O66">
            <v>1.1144210713463301</v>
          </cell>
          <cell r="P66">
            <v>1.1149354481765399</v>
          </cell>
          <cell r="Q66">
            <v>1.1137707029266899</v>
          </cell>
          <cell r="U66">
            <v>4.5214434860591798E-4</v>
          </cell>
          <cell r="V66">
            <v>7.9518101727428904E-4</v>
          </cell>
          <cell r="W66">
            <v>-2.6190160942911198E-4</v>
          </cell>
          <cell r="Y66">
            <v>1.1139962285470999</v>
          </cell>
          <cell r="Z66">
            <v>1.11477921244339</v>
          </cell>
          <cell r="AA66">
            <v>1.11357535429659</v>
          </cell>
          <cell r="AF66">
            <v>6.5487754682075697E-4</v>
          </cell>
          <cell r="AG66">
            <v>-4.2769950667161598E-4</v>
          </cell>
          <cell r="AR66">
            <v>1.6811333356059461E-2</v>
          </cell>
          <cell r="BC66">
            <v>0</v>
          </cell>
          <cell r="BF66">
            <v>1.6811333356059461E-2</v>
          </cell>
        </row>
        <row r="67">
          <cell r="O67">
            <v>1.1144210713463301</v>
          </cell>
          <cell r="P67">
            <v>1.1148490875773001</v>
          </cell>
          <cell r="Q67">
            <v>1.1138375104418901</v>
          </cell>
          <cell r="U67">
            <v>2.7044547375317597E-4</v>
          </cell>
          <cell r="V67">
            <v>7.3190314984659304E-4</v>
          </cell>
          <cell r="W67">
            <v>-3.1331795775653301E-4</v>
          </cell>
          <cell r="Y67">
            <v>1.1139962285470999</v>
          </cell>
          <cell r="Z67">
            <v>1.11471476566007</v>
          </cell>
          <cell r="AA67">
            <v>1.1136528390479701</v>
          </cell>
          <cell r="AF67">
            <v>6.1093418981368998E-4</v>
          </cell>
          <cell r="AG67">
            <v>-4.6955657398513702E-4</v>
          </cell>
          <cell r="AR67">
            <v>1.6811333356059461E-2</v>
          </cell>
          <cell r="BC67">
            <v>0</v>
          </cell>
          <cell r="BF67">
            <v>1.6811333356059461E-2</v>
          </cell>
        </row>
        <row r="68">
          <cell r="O68">
            <v>1.1144210713463301</v>
          </cell>
          <cell r="P68">
            <v>1.11471455164873</v>
          </cell>
          <cell r="Q68">
            <v>1.1138640714499599</v>
          </cell>
          <cell r="U68">
            <v>-6.7149933617641195E-5</v>
          </cell>
          <cell r="V68">
            <v>3.1684680587147201E-4</v>
          </cell>
          <cell r="W68">
            <v>-5.9093197808254697E-4</v>
          </cell>
          <cell r="Y68">
            <v>1.1139962285470999</v>
          </cell>
          <cell r="Z68">
            <v>1.11460209578036</v>
          </cell>
          <cell r="AA68">
            <v>1.11369010514844</v>
          </cell>
          <cell r="AF68">
            <v>2.1666221286922499E-4</v>
          </cell>
          <cell r="AG68">
            <v>-7.3643609123412196E-4</v>
          </cell>
          <cell r="AR68">
            <v>1.6811333356059461E-2</v>
          </cell>
          <cell r="BC68">
            <v>0</v>
          </cell>
          <cell r="BF68">
            <v>1.6811333356059461E-2</v>
          </cell>
        </row>
        <row r="69">
          <cell r="O69">
            <v>1.1144210713463301</v>
          </cell>
          <cell r="P69">
            <v>1.11469783623633</v>
          </cell>
          <cell r="Q69">
            <v>1.11420308120067</v>
          </cell>
          <cell r="U69">
            <v>-9.1426596576321597E-4</v>
          </cell>
          <cell r="V69">
            <v>-6.5095286711700905E-4</v>
          </cell>
          <cell r="W69">
            <v>-1.41420190059557E-3</v>
          </cell>
          <cell r="Y69">
            <v>1.1139962285470999</v>
          </cell>
          <cell r="Z69">
            <v>1.1146074026633299</v>
          </cell>
          <cell r="AA69">
            <v>1.1140391698317</v>
          </cell>
          <cell r="AF69">
            <v>-7.2862230328411002E-4</v>
          </cell>
          <cell r="AG69">
            <v>-1.5471780406937901E-3</v>
          </cell>
          <cell r="AR69">
            <v>1.6811333356059461E-2</v>
          </cell>
          <cell r="BC69">
            <v>0</v>
          </cell>
          <cell r="BF69">
            <v>1.6811333356059461E-2</v>
          </cell>
        </row>
        <row r="70">
          <cell r="O70">
            <v>1.1144210713463301</v>
          </cell>
          <cell r="P70">
            <v>1.1133583228641699</v>
          </cell>
          <cell r="Q70">
            <v>1.1140521214847801</v>
          </cell>
          <cell r="U70">
            <v>4.4979678936632904E-3</v>
          </cell>
          <cell r="V70">
            <v>4.7462856397332501E-3</v>
          </cell>
          <cell r="W70">
            <v>4.3023403392307199E-3</v>
          </cell>
          <cell r="Y70">
            <v>1.1139962285470999</v>
          </cell>
          <cell r="Z70">
            <v>1.11329430530353</v>
          </cell>
          <cell r="AA70">
            <v>1.1138997831213999</v>
          </cell>
          <cell r="AF70">
            <v>4.6696764856448397E-3</v>
          </cell>
          <cell r="AG70">
            <v>4.1597411276055596E-3</v>
          </cell>
          <cell r="AR70">
            <v>1.6811333356059461E-2</v>
          </cell>
          <cell r="BC70">
            <v>0</v>
          </cell>
          <cell r="BF70">
            <v>1.6811333356059461E-2</v>
          </cell>
        </row>
        <row r="71">
          <cell r="O71">
            <v>1.1144210713463301</v>
          </cell>
          <cell r="P71">
            <v>1.1130925035106101</v>
          </cell>
          <cell r="Q71">
            <v>1.11394314224298</v>
          </cell>
          <cell r="U71">
            <v>3.1769035929806498E-3</v>
          </cell>
          <cell r="V71">
            <v>2.22281579996073E-3</v>
          </cell>
          <cell r="W71">
            <v>2.8457801438828501E-3</v>
          </cell>
          <cell r="Y71">
            <v>1.1139962285470999</v>
          </cell>
          <cell r="Z71">
            <v>1.11305222740432</v>
          </cell>
          <cell r="AA71">
            <v>1.1138020618729501</v>
          </cell>
          <cell r="AF71">
            <v>2.1742428944237901E-3</v>
          </cell>
          <cell r="AG71">
            <v>2.71795647190841E-3</v>
          </cell>
          <cell r="AR71">
            <v>1.6811333356059461E-2</v>
          </cell>
          <cell r="BC71">
            <v>1.3210643006825607E-3</v>
          </cell>
          <cell r="BF71">
            <v>1.8132397656742023E-2</v>
          </cell>
        </row>
        <row r="72">
          <cell r="O72">
            <v>1.1144210713463301</v>
          </cell>
          <cell r="P72">
            <v>1.1132614003325101</v>
          </cell>
          <cell r="Q72">
            <v>1.1140426029118</v>
          </cell>
          <cell r="U72">
            <v>4.6330209992246902E-4</v>
          </cell>
          <cell r="V72">
            <v>-7.2956873889535201E-4</v>
          </cell>
          <cell r="W72">
            <v>3.4351475276990097E-5</v>
          </cell>
          <cell r="Y72">
            <v>1.1139962285470999</v>
          </cell>
          <cell r="Z72">
            <v>1.1132428452982199</v>
          </cell>
          <cell r="AA72">
            <v>1.11391204477913</v>
          </cell>
          <cell r="AF72">
            <v>-7.4773809910577802E-4</v>
          </cell>
          <cell r="AG72">
            <v>-7.4290805694479797E-5</v>
          </cell>
          <cell r="AR72">
            <v>1.6811333356059461E-2</v>
          </cell>
          <cell r="BC72">
            <v>4.034665793740711E-3</v>
          </cell>
          <cell r="BF72">
            <v>2.0845999149800173E-2</v>
          </cell>
        </row>
        <row r="73">
          <cell r="O73">
            <v>1.1144210713463301</v>
          </cell>
          <cell r="P73">
            <v>1.11311311868706</v>
          </cell>
          <cell r="Q73">
            <v>1.11390429286115</v>
          </cell>
          <cell r="U73">
            <v>3.5738766333183402E-3</v>
          </cell>
          <cell r="V73">
            <v>2.5327308386922198E-3</v>
          </cell>
          <cell r="W73">
            <v>3.2342090474891802E-3</v>
          </cell>
          <cell r="Y73">
            <v>1.1139962285470999</v>
          </cell>
          <cell r="Z73">
            <v>1.11309516720202</v>
          </cell>
          <cell r="AA73">
            <v>1.11378503929661</v>
          </cell>
          <cell r="AF73">
            <v>2.5235569993613698E-3</v>
          </cell>
          <cell r="AG73">
            <v>3.1245026309694199E-3</v>
          </cell>
          <cell r="AR73">
            <v>1.6811333356059461E-2</v>
          </cell>
          <cell r="BC73">
            <v>4.034665793740711E-3</v>
          </cell>
          <cell r="BF73">
            <v>2.0845999149800173E-2</v>
          </cell>
        </row>
        <row r="74">
          <cell r="O74">
            <v>1.1144210713463301</v>
          </cell>
          <cell r="P74">
            <v>1.1132540302631</v>
          </cell>
          <cell r="Q74">
            <v>1.1139757787770801</v>
          </cell>
          <cell r="U74">
            <v>-4.4216555248836198E-4</v>
          </cell>
          <cell r="V74">
            <v>-1.61651593098132E-3</v>
          </cell>
          <cell r="W74">
            <v>-9.0599233716158998E-4</v>
          </cell>
          <cell r="Y74">
            <v>1.1139962285470999</v>
          </cell>
          <cell r="Z74">
            <v>1.1132357531253101</v>
          </cell>
          <cell r="AA74">
            <v>1.1138670637516801</v>
          </cell>
          <cell r="AF74">
            <v>-1.6119046222291399E-3</v>
          </cell>
          <cell r="AG74">
            <v>-9.9231842747933389E-4</v>
          </cell>
          <cell r="AR74">
            <v>1.6811333356059461E-2</v>
          </cell>
          <cell r="BC74">
            <v>8.0507079795472322E-3</v>
          </cell>
          <cell r="BF74">
            <v>2.4862041335606693E-2</v>
          </cell>
        </row>
        <row r="75">
          <cell r="O75">
            <v>1.1144210713463301</v>
          </cell>
          <cell r="P75">
            <v>1.11311325782138</v>
          </cell>
          <cell r="Q75">
            <v>1.1139583410181499</v>
          </cell>
          <cell r="U75">
            <v>7.4686733695136104E-4</v>
          </cell>
          <cell r="V75">
            <v>-3.00898730147365E-4</v>
          </cell>
          <cell r="W75">
            <v>3.4721448772983199E-4</v>
          </cell>
          <cell r="Y75">
            <v>1.1139962285470999</v>
          </cell>
          <cell r="Z75">
            <v>1.1130956372432701</v>
          </cell>
          <cell r="AA75">
            <v>1.1138607152767199</v>
          </cell>
          <cell r="AF75">
            <v>-3.0056513664994497E-4</v>
          </cell>
          <cell r="AG75">
            <v>2.6636930256252199E-4</v>
          </cell>
          <cell r="AR75">
            <v>1.6811333356059461E-2</v>
          </cell>
          <cell r="BC75">
            <v>8.0507079795472322E-3</v>
          </cell>
          <cell r="BF75">
            <v>2.4862041335606693E-2</v>
          </cell>
        </row>
        <row r="76">
          <cell r="O76">
            <v>1.1144210713463301</v>
          </cell>
          <cell r="P76">
            <v>1.11315295864752</v>
          </cell>
          <cell r="Q76">
            <v>1.1140442034120299</v>
          </cell>
          <cell r="U76">
            <v>9.5800544819486398E-5</v>
          </cell>
          <cell r="V76">
            <v>-1.07842483801312E-3</v>
          </cell>
          <cell r="W76">
            <v>-3.1950605177353799E-4</v>
          </cell>
          <cell r="Y76">
            <v>1.1139962285470999</v>
          </cell>
          <cell r="Z76">
            <v>1.11313533377699</v>
          </cell>
          <cell r="AA76">
            <v>1.1139572731101901</v>
          </cell>
          <cell r="AF76">
            <v>-1.07517567855175E-3</v>
          </cell>
          <cell r="AG76">
            <v>-3.8806920456939902E-4</v>
          </cell>
          <cell r="AR76">
            <v>1.6811333356059461E-2</v>
          </cell>
          <cell r="BC76">
            <v>8.0507079795472322E-3</v>
          </cell>
          <cell r="BF76">
            <v>2.4862041335606693E-2</v>
          </cell>
        </row>
        <row r="77">
          <cell r="O77">
            <v>1.1144210713463301</v>
          </cell>
          <cell r="P77">
            <v>1.1129588082334201</v>
          </cell>
          <cell r="Q77">
            <v>1.1139039479053601</v>
          </cell>
          <cell r="U77">
            <v>2.0146007357832599E-3</v>
          </cell>
          <cell r="V77">
            <v>8.7604119188422697E-4</v>
          </cell>
          <cell r="W77">
            <v>1.67636980873425E-3</v>
          </cell>
          <cell r="Y77">
            <v>1.1139962285470999</v>
          </cell>
          <cell r="Z77">
            <v>1.11294192179009</v>
          </cell>
          <cell r="AA77">
            <v>1.11382834372508</v>
          </cell>
          <cell r="AF77">
            <v>8.7277237717047602E-4</v>
          </cell>
          <cell r="AG77">
            <v>1.6109000760141799E-3</v>
          </cell>
          <cell r="AR77">
            <v>1.6811333356059461E-2</v>
          </cell>
          <cell r="BC77">
            <v>8.0507079795472322E-3</v>
          </cell>
          <cell r="BF77">
            <v>2.4862041335606693E-2</v>
          </cell>
        </row>
        <row r="78">
          <cell r="O78">
            <v>1.1144210713463301</v>
          </cell>
          <cell r="P78">
            <v>1.1124981196181001</v>
          </cell>
          <cell r="Q78">
            <v>1.11360633563342</v>
          </cell>
          <cell r="U78">
            <v>4.0750222972104899E-3</v>
          </cell>
          <cell r="V78">
            <v>2.7620326842660099E-3</v>
          </cell>
          <cell r="W78">
            <v>3.6108858307744101E-3</v>
          </cell>
          <cell r="Y78">
            <v>1.1139962285470999</v>
          </cell>
          <cell r="Z78">
            <v>1.1124828545627199</v>
          </cell>
          <cell r="AA78">
            <v>1.1135424751715399</v>
          </cell>
          <cell r="AF78">
            <v>2.7526426016217199E-3</v>
          </cell>
          <cell r="AG78">
            <v>3.5487929683987699E-3</v>
          </cell>
          <cell r="AR78">
            <v>1.6811333356059461E-2</v>
          </cell>
          <cell r="BC78">
            <v>8.0507079795472322E-3</v>
          </cell>
          <cell r="BF78">
            <v>2.4862041335606693E-2</v>
          </cell>
        </row>
        <row r="79">
          <cell r="O79">
            <v>1.1144210713463301</v>
          </cell>
          <cell r="P79">
            <v>1.1122757689789899</v>
          </cell>
          <cell r="Q79">
            <v>1.1134868026076601</v>
          </cell>
          <cell r="U79">
            <v>1.0811122435804099E-3</v>
          </cell>
          <cell r="V79">
            <v>-6.4589447850609796E-4</v>
          </cell>
          <cell r="W79">
            <v>3.4976060340202302E-4</v>
          </cell>
          <cell r="Y79">
            <v>1.1139962285470999</v>
          </cell>
          <cell r="Z79">
            <v>1.1122613495520299</v>
          </cell>
          <cell r="AA79">
            <v>1.1134343761076799</v>
          </cell>
          <cell r="AF79">
            <v>-6.43947263262835E-4</v>
          </cell>
          <cell r="AG79">
            <v>3.0808205527152899E-4</v>
          </cell>
          <cell r="AR79">
            <v>1.6811333356059461E-2</v>
          </cell>
          <cell r="BC79">
            <v>1.1044618033177373E-2</v>
          </cell>
          <cell r="BF79">
            <v>2.7855951389236834E-2</v>
          </cell>
        </row>
        <row r="80">
          <cell r="O80">
            <v>1.1144210713463301</v>
          </cell>
          <cell r="P80">
            <v>1.11249455783395</v>
          </cell>
          <cell r="Q80">
            <v>1.11292644034906</v>
          </cell>
          <cell r="U80">
            <v>2.5278081632910299E-3</v>
          </cell>
          <cell r="V80">
            <v>6.0091538447900803E-4</v>
          </cell>
          <cell r="W80">
            <v>1.68911208940676E-3</v>
          </cell>
          <cell r="Y80">
            <v>1.1139962285470999</v>
          </cell>
          <cell r="Z80">
            <v>1.11247942774395</v>
          </cell>
          <cell r="AA80">
            <v>1.1128868665237399</v>
          </cell>
          <cell r="AF80">
            <v>5.9885812979308597E-4</v>
          </cell>
          <cell r="AG80">
            <v>1.65293452553282E-3</v>
          </cell>
          <cell r="AR80">
            <v>1.6811333356059461E-2</v>
          </cell>
          <cell r="BC80">
            <v>1.1044618033177373E-2</v>
          </cell>
          <cell r="BF80">
            <v>2.7855951389236834E-2</v>
          </cell>
        </row>
        <row r="81">
          <cell r="O81">
            <v>1.1144210713463301</v>
          </cell>
          <cell r="P81">
            <v>1.1124274080177901</v>
          </cell>
          <cell r="Q81">
            <v>1.1127599557642001</v>
          </cell>
          <cell r="U81">
            <v>3.7815570174011401E-3</v>
          </cell>
          <cell r="V81">
            <v>2.0513486810430702E-3</v>
          </cell>
          <cell r="W81">
            <v>2.4394842480976501E-3</v>
          </cell>
          <cell r="Y81">
            <v>1.1139962285470999</v>
          </cell>
          <cell r="Z81">
            <v>1.11241250708627</v>
          </cell>
          <cell r="AA81">
            <v>1.11273236724529</v>
          </cell>
          <cell r="AF81">
            <v>2.0446179935928702E-3</v>
          </cell>
          <cell r="AG81">
            <v>2.4107948206543799E-3</v>
          </cell>
          <cell r="AR81">
            <v>1.6811333356059461E-2</v>
          </cell>
          <cell r="BC81">
            <v>1.1044618033177373E-2</v>
          </cell>
          <cell r="BF81">
            <v>2.7855951389236834E-2</v>
          </cell>
        </row>
        <row r="82">
          <cell r="O82">
            <v>1.1144210713463301</v>
          </cell>
          <cell r="P82">
            <v>1.1124955669033401</v>
          </cell>
          <cell r="Q82">
            <v>1.11287848361793</v>
          </cell>
          <cell r="U82">
            <v>-1.4840220734905701E-4</v>
          </cell>
          <cell r="V82">
            <v>-1.9389720460053501E-3</v>
          </cell>
          <cell r="W82">
            <v>-1.64007789057519E-3</v>
          </cell>
          <cell r="Y82">
            <v>1.1139962285470999</v>
          </cell>
          <cell r="Z82">
            <v>1.1124804524731799</v>
          </cell>
          <cell r="AA82">
            <v>1.1128616488856999</v>
          </cell>
          <cell r="AF82">
            <v>-1.9324473245982601E-3</v>
          </cell>
          <cell r="AG82">
            <v>-1.64495129239017E-3</v>
          </cell>
          <cell r="AR82">
            <v>1.6811333356059461E-2</v>
          </cell>
          <cell r="BC82">
            <v>1.1044618033177373E-2</v>
          </cell>
          <cell r="BF82">
            <v>2.7855951389236834E-2</v>
          </cell>
        </row>
        <row r="83">
          <cell r="O83">
            <v>1.1144210713463301</v>
          </cell>
          <cell r="P83">
            <v>1.1130009104912</v>
          </cell>
          <cell r="Q83">
            <v>1.1130570145891301</v>
          </cell>
          <cell r="U83">
            <v>-9.6661866374981003E-4</v>
          </cell>
          <cell r="V83">
            <v>-2.69591996741359E-3</v>
          </cell>
          <cell r="W83">
            <v>-2.3517830181454999E-3</v>
          </cell>
          <cell r="Y83">
            <v>1.1139962285470999</v>
          </cell>
          <cell r="Z83">
            <v>1.11298413499972</v>
          </cell>
          <cell r="AA83">
            <v>1.11303965110087</v>
          </cell>
          <cell r="AF83">
            <v>-2.6871555198062099E-3</v>
          </cell>
          <cell r="AG83">
            <v>-2.3445597310374098E-3</v>
          </cell>
          <cell r="AR83">
            <v>1.6811333356059461E-2</v>
          </cell>
          <cell r="BC83">
            <v>1.1044618033177373E-2</v>
          </cell>
          <cell r="BF83">
            <v>2.7855951389236834E-2</v>
          </cell>
        </row>
        <row r="84">
          <cell r="O84">
            <v>1.1144210713463301</v>
          </cell>
          <cell r="P84">
            <v>1.1130143757342399</v>
          </cell>
          <cell r="Q84">
            <v>1.1131342029986699</v>
          </cell>
          <cell r="U84">
            <v>-5.6293209335356298E-4</v>
          </cell>
          <cell r="V84">
            <v>-1.83809329688336E-3</v>
          </cell>
          <cell r="W84">
            <v>-1.78768661401225E-3</v>
          </cell>
          <cell r="Y84">
            <v>1.1139962285470999</v>
          </cell>
          <cell r="Z84">
            <v>1.11298051550991</v>
          </cell>
          <cell r="AA84">
            <v>1.1131081343176099</v>
          </cell>
          <cell r="AF84">
            <v>-1.6791949614890899E-3</v>
          </cell>
          <cell r="AG84">
            <v>-1.629315798912E-3</v>
          </cell>
          <cell r="AR84">
            <v>1.6811333356059461E-2</v>
          </cell>
          <cell r="BC84">
            <v>1.1044618033177373E-2</v>
          </cell>
          <cell r="BF84">
            <v>2.7855951389236834E-2</v>
          </cell>
        </row>
        <row r="85">
          <cell r="O85">
            <v>1.1144210713463301</v>
          </cell>
          <cell r="P85">
            <v>1.11356720598438</v>
          </cell>
          <cell r="Q85">
            <v>1.11334023190288</v>
          </cell>
          <cell r="U85">
            <v>-4.2052515411856199E-3</v>
          </cell>
          <cell r="V85">
            <v>-5.46831467592045E-3</v>
          </cell>
          <cell r="W85">
            <v>-5.3606603479990304E-3</v>
          </cell>
          <cell r="Y85">
            <v>1.1139962285470999</v>
          </cell>
          <cell r="Z85">
            <v>1.113514101252</v>
          </cell>
          <cell r="AA85">
            <v>1.1133048692476399</v>
          </cell>
          <cell r="AF85">
            <v>-5.3100893552906004E-3</v>
          </cell>
          <cell r="AG85">
            <v>-5.1954319198366699E-3</v>
          </cell>
          <cell r="AR85">
            <v>1.6811333356059461E-2</v>
          </cell>
          <cell r="BC85">
            <v>1.1044618033177373E-2</v>
          </cell>
          <cell r="BF85">
            <v>2.7855951389236834E-2</v>
          </cell>
        </row>
        <row r="86">
          <cell r="O86">
            <v>1.1144210713463301</v>
          </cell>
          <cell r="P86">
            <v>1.11369496608326</v>
          </cell>
          <cell r="Q86">
            <v>1.1134239623653901</v>
          </cell>
          <cell r="U86">
            <v>-1.05007824747027E-3</v>
          </cell>
          <cell r="V86">
            <v>-1.81656828015479E-3</v>
          </cell>
          <cell r="W86">
            <v>-2.02041517421459E-3</v>
          </cell>
          <cell r="Y86">
            <v>1.1139962285470999</v>
          </cell>
          <cell r="Z86">
            <v>1.1136247286179199</v>
          </cell>
          <cell r="AA86">
            <v>1.11338003119746</v>
          </cell>
          <cell r="AF86">
            <v>-1.6916108395077199E-3</v>
          </cell>
          <cell r="AG86">
            <v>-1.87953092439436E-3</v>
          </cell>
          <cell r="AR86">
            <v>1.996650664977466E-2</v>
          </cell>
          <cell r="BC86">
            <v>1.1044618033177373E-2</v>
          </cell>
          <cell r="BF86">
            <v>3.1011124682952033E-2</v>
          </cell>
        </row>
        <row r="87">
          <cell r="O87">
            <v>1.1144210713463301</v>
          </cell>
          <cell r="P87">
            <v>1.1144411764828199</v>
          </cell>
          <cell r="Q87">
            <v>1.1136999923581199</v>
          </cell>
          <cell r="U87">
            <v>-4.6724409475781799E-3</v>
          </cell>
          <cell r="V87">
            <v>-5.3242070823503601E-3</v>
          </cell>
          <cell r="W87">
            <v>-5.5675741659360596E-3</v>
          </cell>
          <cell r="Y87">
            <v>1.1139962285470999</v>
          </cell>
          <cell r="Z87">
            <v>1.1143516426917801</v>
          </cell>
          <cell r="AA87">
            <v>1.1136467822409299</v>
          </cell>
          <cell r="AF87">
            <v>-5.2024342984234298E-3</v>
          </cell>
          <cell r="AG87">
            <v>-5.4221890343509899E-3</v>
          </cell>
          <cell r="AR87">
            <v>1.996650664977466E-2</v>
          </cell>
          <cell r="BC87">
            <v>1.1044618033177373E-2</v>
          </cell>
          <cell r="BF87">
            <v>3.1011124682952033E-2</v>
          </cell>
        </row>
        <row r="88">
          <cell r="O88">
            <v>1.1144210713463301</v>
          </cell>
          <cell r="P88">
            <v>1.1151227768754299</v>
          </cell>
          <cell r="Q88">
            <v>1.1138104482467699</v>
          </cell>
          <cell r="U88">
            <v>-2.0473557170474E-3</v>
          </cell>
          <cell r="V88">
            <v>-2.0293150000776101E-3</v>
          </cell>
          <cell r="W88">
            <v>-2.69460870983364E-3</v>
          </cell>
          <cell r="Y88">
            <v>1.1139962285470999</v>
          </cell>
          <cell r="Z88">
            <v>1.1150142078331899</v>
          </cell>
          <cell r="AA88">
            <v>1.11374853119796</v>
          </cell>
          <cell r="AF88">
            <v>-1.93343596106321E-3</v>
          </cell>
          <cell r="AG88">
            <v>-2.56616573903017E-3</v>
          </cell>
          <cell r="AR88">
            <v>2.2591591880305462E-2</v>
          </cell>
          <cell r="BC88">
            <v>1.1044618033177373E-2</v>
          </cell>
          <cell r="BF88">
            <v>3.3636209913482831E-2</v>
          </cell>
        </row>
        <row r="89">
          <cell r="O89">
            <v>1.1144210713463301</v>
          </cell>
          <cell r="P89">
            <v>1.1153410172827201</v>
          </cell>
          <cell r="Q89">
            <v>1.11380839313086</v>
          </cell>
          <cell r="U89">
            <v>-8.7741677596738996E-4</v>
          </cell>
          <cell r="V89">
            <v>-2.4795568433561401E-4</v>
          </cell>
          <cell r="W89">
            <v>-1.4254954737857599E-3</v>
          </cell>
          <cell r="Y89">
            <v>1.1139962285470999</v>
          </cell>
          <cell r="Z89">
            <v>1.1152151607769301</v>
          </cell>
          <cell r="AA89">
            <v>1.1137382551644801</v>
          </cell>
          <cell r="AF89">
            <v>-1.7467952255727199E-4</v>
          </cell>
          <cell r="AG89">
            <v>-1.3104457924481799E-3</v>
          </cell>
          <cell r="AR89">
            <v>2.2591591880305462E-2</v>
          </cell>
          <cell r="BC89">
            <v>1.1044618033177373E-2</v>
          </cell>
          <cell r="BF89">
            <v>3.3636209913482831E-2</v>
          </cell>
        </row>
        <row r="90">
          <cell r="O90">
            <v>1.1144210713463301</v>
          </cell>
          <cell r="P90">
            <v>1.1159444096122699</v>
          </cell>
          <cell r="Q90">
            <v>1.1142194837231101</v>
          </cell>
          <cell r="U90">
            <v>-2.88561830659903E-3</v>
          </cell>
          <cell r="V90">
            <v>-2.0604666069854302E-3</v>
          </cell>
          <cell r="W90">
            <v>-3.4355421278953599E-3</v>
          </cell>
          <cell r="Y90">
            <v>1.1139962285470999</v>
          </cell>
          <cell r="Z90">
            <v>1.1158000022738299</v>
          </cell>
          <cell r="AA90">
            <v>1.1141397150088901</v>
          </cell>
          <cell r="AF90">
            <v>-1.9964688747845798E-3</v>
          </cell>
          <cell r="AG90">
            <v>-3.3216700369316601E-3</v>
          </cell>
          <cell r="AR90">
            <v>2.2591591880305462E-2</v>
          </cell>
          <cell r="BC90">
            <v>1.1044618033177373E-2</v>
          </cell>
          <cell r="BF90">
            <v>3.3636209913482831E-2</v>
          </cell>
        </row>
        <row r="91">
          <cell r="O91">
            <v>1.1144210713463301</v>
          </cell>
          <cell r="P91">
            <v>1.11651533664747</v>
          </cell>
          <cell r="Q91">
            <v>1.1144713723326301</v>
          </cell>
          <cell r="U91">
            <v>-1.34775727138071E-3</v>
          </cell>
          <cell r="V91">
            <v>1.8241723688572298E-5</v>
          </cell>
          <cell r="W91">
            <v>-1.5286636300237101E-3</v>
          </cell>
          <cell r="Y91">
            <v>1.1139962285470999</v>
          </cell>
          <cell r="Z91">
            <v>1.1163524547783701</v>
          </cell>
          <cell r="AA91">
            <v>1.11438248093232</v>
          </cell>
          <cell r="AF91">
            <v>6.1232547144415494E-5</v>
          </cell>
          <cell r="AG91">
            <v>-1.4278548563056599E-3</v>
          </cell>
          <cell r="AR91">
            <v>2.2591591880305462E-2</v>
          </cell>
          <cell r="BC91">
            <v>1.1044618033177373E-2</v>
          </cell>
          <cell r="BF91">
            <v>3.3636209913482831E-2</v>
          </cell>
        </row>
        <row r="92">
          <cell r="O92">
            <v>1.1144210713463301</v>
          </cell>
          <cell r="P92">
            <v>1.1169201377864899</v>
          </cell>
          <cell r="Q92">
            <v>1.1147078523449201</v>
          </cell>
          <cell r="U92">
            <v>-3.7736734417541402E-3</v>
          </cell>
          <cell r="V92">
            <v>-1.89619642464856E-3</v>
          </cell>
          <cell r="W92">
            <v>-3.72853803250534E-3</v>
          </cell>
          <cell r="Y92">
            <v>1.1139962285470999</v>
          </cell>
          <cell r="Z92">
            <v>1.1167392920305901</v>
          </cell>
          <cell r="AA92">
            <v>1.11460987225189</v>
          </cell>
          <cell r="AF92">
            <v>-1.86163977997017E-3</v>
          </cell>
          <cell r="AG92">
            <v>-3.6278508403950502E-3</v>
          </cell>
          <cell r="AR92">
            <v>2.2591591880305462E-2</v>
          </cell>
          <cell r="BC92">
            <v>1.1044618033177373E-2</v>
          </cell>
          <cell r="BF92">
            <v>3.3636209913482831E-2</v>
          </cell>
        </row>
        <row r="93">
          <cell r="O93">
            <v>1.1144210713463301</v>
          </cell>
          <cell r="P93">
            <v>1.11720285484354</v>
          </cell>
          <cell r="Q93">
            <v>1.11510188266737</v>
          </cell>
          <cell r="U93">
            <v>-3.4978575379665E-3</v>
          </cell>
          <cell r="V93">
            <v>-1.25788861268746E-3</v>
          </cell>
          <cell r="W93">
            <v>-3.24055434018313E-3</v>
          </cell>
          <cell r="Y93">
            <v>1.1139962285470999</v>
          </cell>
          <cell r="Z93">
            <v>1.1170045505227699</v>
          </cell>
          <cell r="AA93">
            <v>1.1149943427612501</v>
          </cell>
          <cell r="AF93">
            <v>-1.24139325023498E-3</v>
          </cell>
          <cell r="AG93">
            <v>-3.1500326144627399E-3</v>
          </cell>
          <cell r="AR93">
            <v>2.2591591880305462E-2</v>
          </cell>
          <cell r="BC93">
            <v>1.1044618033177373E-2</v>
          </cell>
          <cell r="BF93">
            <v>3.3636209913482831E-2</v>
          </cell>
        </row>
        <row r="94">
          <cell r="O94">
            <v>1.1144210713463301</v>
          </cell>
          <cell r="P94">
            <v>1.11784153637921</v>
          </cell>
          <cell r="Q94">
            <v>1.11542795605672</v>
          </cell>
          <cell r="U94">
            <v>-6.2744263176436601E-3</v>
          </cell>
          <cell r="V94">
            <v>-3.7813674241849999E-3</v>
          </cell>
          <cell r="W94">
            <v>-5.6637025383919296E-3</v>
          </cell>
          <cell r="Y94">
            <v>1.1139962285470999</v>
          </cell>
          <cell r="Z94">
            <v>1.1176409228702899</v>
          </cell>
          <cell r="AA94">
            <v>1.1153107191900999</v>
          </cell>
          <cell r="AF94">
            <v>-3.76530890294695E-3</v>
          </cell>
          <cell r="AG94">
            <v>-5.56657171816925E-3</v>
          </cell>
          <cell r="AR94">
            <v>2.2591591880305462E-2</v>
          </cell>
          <cell r="BC94">
            <v>1.1044618033177373E-2</v>
          </cell>
          <cell r="BF94">
            <v>3.3636209913482831E-2</v>
          </cell>
        </row>
        <row r="95">
          <cell r="O95">
            <v>1.1144210713463301</v>
          </cell>
          <cell r="P95">
            <v>1.1180822406001401</v>
          </cell>
          <cell r="Q95">
            <v>1.11582472329226</v>
          </cell>
          <cell r="U95">
            <v>-6.3537816418672496E-3</v>
          </cell>
          <cell r="V95">
            <v>-3.2892069829422799E-3</v>
          </cell>
          <cell r="W95">
            <v>-5.4506848254899098E-3</v>
          </cell>
          <cell r="Y95">
            <v>1.1139962285470999</v>
          </cell>
          <cell r="Z95">
            <v>1.1178806468148601</v>
          </cell>
          <cell r="AA95">
            <v>1.1156973740334299</v>
          </cell>
          <cell r="AF95">
            <v>-3.2717029479802599E-3</v>
          </cell>
          <cell r="AG95">
            <v>-5.3588099700650899E-3</v>
          </cell>
          <cell r="AR95">
            <v>2.2512236556081963E-2</v>
          </cell>
          <cell r="BC95">
            <v>1.1044618033177373E-2</v>
          </cell>
          <cell r="BF95">
            <v>3.3556854589259333E-2</v>
          </cell>
        </row>
        <row r="96">
          <cell r="O96">
            <v>1.1144210713463301</v>
          </cell>
          <cell r="P96">
            <v>1.1184324594563899</v>
          </cell>
          <cell r="Q96">
            <v>1.1160637127698201</v>
          </cell>
          <cell r="U96">
            <v>-4.1844706405904496E-3</v>
          </cell>
          <cell r="V96">
            <v>-9.0458969588090403E-4</v>
          </cell>
          <cell r="W96">
            <v>-2.92572854621334E-3</v>
          </cell>
          <cell r="Y96">
            <v>1.1139962285470999</v>
          </cell>
          <cell r="Z96">
            <v>1.11822902898038</v>
          </cell>
          <cell r="AA96">
            <v>1.1159268787991501</v>
          </cell>
          <cell r="AF96">
            <v>-8.9638679783159104E-4</v>
          </cell>
          <cell r="AG96">
            <v>-2.8513428874726299E-3</v>
          </cell>
          <cell r="AR96">
            <v>2.4681547557358845E-2</v>
          </cell>
          <cell r="BC96">
            <v>1.1044618033177373E-2</v>
          </cell>
          <cell r="BF96">
            <v>3.5726165590536214E-2</v>
          </cell>
        </row>
        <row r="97">
          <cell r="O97">
            <v>1.1144210713463301</v>
          </cell>
          <cell r="P97">
            <v>1.1185526092162701</v>
          </cell>
          <cell r="Q97">
            <v>1.11649689284954</v>
          </cell>
          <cell r="U97">
            <v>-5.7449759094961696E-3</v>
          </cell>
          <cell r="V97">
            <v>-2.1519122621612599E-3</v>
          </cell>
          <cell r="W97">
            <v>-4.2720748324209298E-3</v>
          </cell>
          <cell r="Y97">
            <v>1.1139962285470999</v>
          </cell>
          <cell r="Z97">
            <v>1.11834813833553</v>
          </cell>
          <cell r="AA97">
            <v>1.11634989051365</v>
          </cell>
          <cell r="AF97">
            <v>-2.1398899513564102E-3</v>
          </cell>
          <cell r="AG97">
            <v>-4.2007586561925098E-3</v>
          </cell>
          <cell r="AR97">
            <v>2.4681547557358845E-2</v>
          </cell>
          <cell r="BC97">
            <v>1.1044618033177373E-2</v>
          </cell>
          <cell r="BF97">
            <v>3.5726165590536214E-2</v>
          </cell>
        </row>
        <row r="98">
          <cell r="O98">
            <v>1.1144210713463301</v>
          </cell>
          <cell r="P98">
            <v>1.11885895022683</v>
          </cell>
          <cell r="Q98">
            <v>1.1169908635511301</v>
          </cell>
          <cell r="U98">
            <v>-4.78685795238984E-3</v>
          </cell>
          <cell r="V98">
            <v>-1.08637314996378E-3</v>
          </cell>
          <cell r="W98">
            <v>-2.9259001443445801E-3</v>
          </cell>
          <cell r="Y98">
            <v>1.1139962285470999</v>
          </cell>
          <cell r="Z98">
            <v>1.1186533523165101</v>
          </cell>
          <cell r="AA98">
            <v>1.11683378007485</v>
          </cell>
          <cell r="AF98">
            <v>-1.0833829620987799E-3</v>
          </cell>
          <cell r="AG98">
            <v>-2.87176629502623E-3</v>
          </cell>
          <cell r="AR98">
            <v>2.4681547557358845E-2</v>
          </cell>
          <cell r="BC98">
            <v>1.1044618033177373E-2</v>
          </cell>
          <cell r="BF98">
            <v>3.5726165590536214E-2</v>
          </cell>
        </row>
        <row r="99">
          <cell r="O99">
            <v>1.1144210713463301</v>
          </cell>
          <cell r="P99">
            <v>1.11936823812761</v>
          </cell>
          <cell r="Q99">
            <v>1.11735462770516</v>
          </cell>
          <cell r="U99">
            <v>-5.4329936525115497E-3</v>
          </cell>
          <cell r="V99">
            <v>-1.4586736576485499E-3</v>
          </cell>
          <cell r="W99">
            <v>-3.1297045997808999E-3</v>
          </cell>
          <cell r="Y99">
            <v>1.1139962285470999</v>
          </cell>
          <cell r="Z99">
            <v>1.11916060942829</v>
          </cell>
          <cell r="AA99">
            <v>1.11718788510261</v>
          </cell>
          <cell r="AF99">
            <v>-1.45445414215173E-3</v>
          </cell>
          <cell r="AG99">
            <v>-3.082352256283E-3</v>
          </cell>
          <cell r="AR99">
            <v>2.4681547557358845E-2</v>
          </cell>
          <cell r="BC99">
            <v>1.1044618033177373E-2</v>
          </cell>
          <cell r="BF99">
            <v>3.5726165590536214E-2</v>
          </cell>
        </row>
        <row r="100">
          <cell r="O100">
            <v>1.1144210713463301</v>
          </cell>
          <cell r="P100">
            <v>1.11992258835517</v>
          </cell>
          <cell r="Q100">
            <v>1.11793349898372</v>
          </cell>
          <cell r="U100">
            <v>-7.83335837673306E-3</v>
          </cell>
          <cell r="V100">
            <v>-3.4039568671593401E-3</v>
          </cell>
          <cell r="W100">
            <v>-5.2044579459316603E-3</v>
          </cell>
          <cell r="Y100">
            <v>1.1139962285470999</v>
          </cell>
          <cell r="Z100">
            <v>1.11971272268791</v>
          </cell>
          <cell r="AA100">
            <v>1.11775636248087</v>
          </cell>
          <cell r="AF100">
            <v>-3.3935689969551599E-3</v>
          </cell>
          <cell r="AG100">
            <v>-5.1578064064492597E-3</v>
          </cell>
          <cell r="AR100">
            <v>2.4681547557358845E-2</v>
          </cell>
          <cell r="BC100">
            <v>1.1044618033177373E-2</v>
          </cell>
          <cell r="BF100">
            <v>3.5726165590536214E-2</v>
          </cell>
        </row>
        <row r="101">
          <cell r="O101">
            <v>1.1144210713463301</v>
          </cell>
          <cell r="P101">
            <v>1.1205180045824601</v>
          </cell>
          <cell r="Q101">
            <v>1.1185166706149701</v>
          </cell>
          <cell r="U101">
            <v>-6.66920716695366E-3</v>
          </cell>
          <cell r="V101">
            <v>-1.7446933367003001E-3</v>
          </cell>
          <cell r="W101">
            <v>-3.5223678766484298E-3</v>
          </cell>
          <cell r="Y101">
            <v>1.1139962285470999</v>
          </cell>
          <cell r="Z101">
            <v>1.12030596779034</v>
          </cell>
          <cell r="AA101">
            <v>1.1183292112843599</v>
          </cell>
          <cell r="AF101">
            <v>-1.74125998903405E-3</v>
          </cell>
          <cell r="AG101">
            <v>-3.48998645731283E-3</v>
          </cell>
          <cell r="AR101">
            <v>2.5845698767138228E-2</v>
          </cell>
          <cell r="BC101">
            <v>1.1044618033177373E-2</v>
          </cell>
          <cell r="BF101">
            <v>3.6890316800315598E-2</v>
          </cell>
        </row>
        <row r="102">
          <cell r="O102">
            <v>1.1144210713463301</v>
          </cell>
          <cell r="P102">
            <v>1.1204350989732099</v>
          </cell>
          <cell r="Q102">
            <v>1.1186776183798499</v>
          </cell>
          <cell r="U102">
            <v>-3.0322664127279001E-3</v>
          </cell>
          <cell r="V102">
            <v>2.4237645157130202E-3</v>
          </cell>
          <cell r="W102">
            <v>6.3608831520336302E-4</v>
          </cell>
          <cell r="Y102">
            <v>1.1139962285470999</v>
          </cell>
          <cell r="Z102">
            <v>1.1202237276758999</v>
          </cell>
          <cell r="AA102">
            <v>1.1184815098532399</v>
          </cell>
          <cell r="AF102">
            <v>2.4091461907814801E-3</v>
          </cell>
          <cell r="AG102">
            <v>6.4310852798098801E-4</v>
          </cell>
          <cell r="AR102">
            <v>2.9482639521364058E-2</v>
          </cell>
          <cell r="BC102">
            <v>1.1044618033177373E-2</v>
          </cell>
          <cell r="BF102">
            <v>4.0527257554541424E-2</v>
          </cell>
        </row>
        <row r="103">
          <cell r="O103">
            <v>1.1144210713463301</v>
          </cell>
          <cell r="P103">
            <v>1.12023987348396</v>
          </cell>
          <cell r="Q103">
            <v>1.1187213641637499</v>
          </cell>
          <cell r="U103">
            <v>-1.75063809769628E-3</v>
          </cell>
          <cell r="V103">
            <v>3.6314014480915298E-3</v>
          </cell>
          <cell r="W103">
            <v>2.0616002133025798E-3</v>
          </cell>
          <cell r="Y103">
            <v>1.1139962285470999</v>
          </cell>
          <cell r="Z103">
            <v>1.1200296094605799</v>
          </cell>
          <cell r="AA103">
            <v>1.1185170799916799</v>
          </cell>
          <cell r="AF103">
            <v>3.6115475416333398E-3</v>
          </cell>
          <cell r="AG103">
            <v>2.0550959416967001E-3</v>
          </cell>
          <cell r="AR103">
            <v>2.9482639521364058E-2</v>
          </cell>
          <cell r="BC103">
            <v>1.1044618033177373E-2</v>
          </cell>
          <cell r="BF103">
            <v>4.0527257554541424E-2</v>
          </cell>
        </row>
        <row r="104">
          <cell r="O104">
            <v>1.1144210713463301</v>
          </cell>
          <cell r="P104">
            <v>1.1201588385255199</v>
          </cell>
          <cell r="Q104">
            <v>1.1190001874523601</v>
          </cell>
          <cell r="U104">
            <v>-5.5515647955813102E-3</v>
          </cell>
          <cell r="V104">
            <v>-3.43781214746613E-4</v>
          </cell>
          <cell r="W104">
            <v>-1.7002223424516299E-3</v>
          </cell>
          <cell r="Y104">
            <v>1.1139962285470999</v>
          </cell>
          <cell r="Z104">
            <v>1.11990953343609</v>
          </cell>
          <cell r="AA104">
            <v>1.11877522815319</v>
          </cell>
          <cell r="AF104">
            <v>1.07353647708127E-5</v>
          </cell>
          <cell r="AG104">
            <v>-1.3406143356426499E-3</v>
          </cell>
          <cell r="AR104">
            <v>2.9482639521364058E-2</v>
          </cell>
          <cell r="BC104">
            <v>1.1044618033177373E-2</v>
          </cell>
          <cell r="BF104">
            <v>4.0527257554541424E-2</v>
          </cell>
        </row>
        <row r="105">
          <cell r="O105">
            <v>1.1144210713463301</v>
          </cell>
          <cell r="P105">
            <v>1.11989008984524</v>
          </cell>
          <cell r="Q105">
            <v>1.11898616522269</v>
          </cell>
          <cell r="U105">
            <v>-3.9546256922740703E-3</v>
          </cell>
          <cell r="V105">
            <v>1.18081812328241E-3</v>
          </cell>
          <cell r="W105">
            <v>1.4591960725389799E-4</v>
          </cell>
          <cell r="Y105">
            <v>1.1139962285470999</v>
          </cell>
          <cell r="Z105">
            <v>1.11960382935742</v>
          </cell>
          <cell r="AA105">
            <v>1.11874223808614</v>
          </cell>
          <cell r="AF105">
            <v>1.48611124191028E-3</v>
          </cell>
          <cell r="AG105">
            <v>4.7274357225754102E-4</v>
          </cell>
          <cell r="AR105">
            <v>2.9482639521364058E-2</v>
          </cell>
          <cell r="BC105">
            <v>1.1044618033177373E-2</v>
          </cell>
          <cell r="BF105">
            <v>4.0527257554541424E-2</v>
          </cell>
        </row>
        <row r="106">
          <cell r="O106">
            <v>1.1144210713463301</v>
          </cell>
          <cell r="P106">
            <v>1.12007642219574</v>
          </cell>
          <cell r="Q106">
            <v>1.1192544408260601</v>
          </cell>
          <cell r="U106">
            <v>-5.8481144530921304E-3</v>
          </cell>
          <cell r="V106">
            <v>-9.5261957630285595E-4</v>
          </cell>
          <cell r="W106">
            <v>-1.76010026633105E-3</v>
          </cell>
          <cell r="Y106">
            <v>1.1139962285470999</v>
          </cell>
          <cell r="Z106">
            <v>1.11975034097205</v>
          </cell>
          <cell r="AA106">
            <v>1.11898968497621</v>
          </cell>
          <cell r="AF106">
            <v>-6.6468951192008899E-4</v>
          </cell>
          <cell r="AG106">
            <v>-1.43453589659367E-3</v>
          </cell>
          <cell r="AR106">
            <v>2.9482639521364058E-2</v>
          </cell>
          <cell r="BC106">
            <v>1.1044618033177373E-2</v>
          </cell>
          <cell r="BF106">
            <v>4.0527257554541424E-2</v>
          </cell>
        </row>
        <row r="107">
          <cell r="O107">
            <v>1.1144210713463301</v>
          </cell>
          <cell r="P107">
            <v>1.11997473159098</v>
          </cell>
          <cell r="Q107">
            <v>1.1192636704036301</v>
          </cell>
          <cell r="U107">
            <v>-4.8372941891380097E-3</v>
          </cell>
          <cell r="V107">
            <v>2.2457134536705401E-4</v>
          </cell>
          <cell r="W107">
            <v>-5.0955992586930801E-4</v>
          </cell>
          <cell r="Y107">
            <v>1.1139962285470999</v>
          </cell>
          <cell r="Z107">
            <v>1.11961020998677</v>
          </cell>
          <cell r="AA107">
            <v>1.1189791741611499</v>
          </cell>
          <cell r="AF107">
            <v>4.7090571179754401E-4</v>
          </cell>
          <cell r="AG107">
            <v>-2.0863368651230399E-4</v>
          </cell>
          <cell r="AR107">
            <v>2.9482639521364058E-2</v>
          </cell>
          <cell r="BC107">
            <v>1.1044618033177373E-2</v>
          </cell>
          <cell r="BF107">
            <v>4.0527257554541424E-2</v>
          </cell>
        </row>
        <row r="108">
          <cell r="O108">
            <v>1.1144210713463301</v>
          </cell>
          <cell r="P108">
            <v>1.1198006059432699</v>
          </cell>
          <cell r="Q108">
            <v>1.11932977808505</v>
          </cell>
          <cell r="U108">
            <v>-3.2306328726491298E-3</v>
          </cell>
          <cell r="V108">
            <v>1.7404395523735799E-3</v>
          </cell>
          <cell r="W108">
            <v>1.10534754017491E-3</v>
          </cell>
          <cell r="Y108">
            <v>1.1139962285470999</v>
          </cell>
          <cell r="Z108">
            <v>1.1193952392406901</v>
          </cell>
          <cell r="AA108">
            <v>1.1190242957786001</v>
          </cell>
          <cell r="AF108">
            <v>1.9664759995248701E-3</v>
          </cell>
          <cell r="AG108">
            <v>1.40269610598543E-3</v>
          </cell>
          <cell r="AR108">
            <v>2.9482639521364058E-2</v>
          </cell>
          <cell r="BC108">
            <v>1.1044618033177373E-2</v>
          </cell>
          <cell r="BF108">
            <v>4.0527257554541424E-2</v>
          </cell>
        </row>
        <row r="109">
          <cell r="O109">
            <v>1.1144210713463301</v>
          </cell>
          <cell r="P109">
            <v>1.1197729859140999</v>
          </cell>
          <cell r="Q109">
            <v>1.11957061202085</v>
          </cell>
          <cell r="U109">
            <v>-5.1864641889174104E-3</v>
          </cell>
          <cell r="V109">
            <v>-3.7087668700434698E-4</v>
          </cell>
          <cell r="W109">
            <v>-7.9142197415466497E-4</v>
          </cell>
          <cell r="Y109">
            <v>1.1139962285470999</v>
          </cell>
          <cell r="Z109">
            <v>1.11932595715865</v>
          </cell>
          <cell r="AA109">
            <v>1.11924328329347</v>
          </cell>
          <cell r="AF109">
            <v>-1.7285166235152499E-4</v>
          </cell>
          <cell r="AG109">
            <v>-5.0428503280088195E-4</v>
          </cell>
          <cell r="AR109">
            <v>2.9482639521364058E-2</v>
          </cell>
          <cell r="BC109">
            <v>1.1044618033177373E-2</v>
          </cell>
          <cell r="BF109">
            <v>4.0527257554541424E-2</v>
          </cell>
        </row>
        <row r="110">
          <cell r="O110">
            <v>1.1144210713463301</v>
          </cell>
          <cell r="P110">
            <v>1.11957714427695</v>
          </cell>
          <cell r="Q110">
            <v>1.1197498663160601</v>
          </cell>
          <cell r="U110">
            <v>-6.0882089020859098E-3</v>
          </cell>
          <cell r="V110">
            <v>-1.2972868358360401E-3</v>
          </cell>
          <cell r="W110">
            <v>-1.47803077703523E-3</v>
          </cell>
          <cell r="Y110">
            <v>1.1139962285470999</v>
          </cell>
          <cell r="Z110">
            <v>1.1190882770572901</v>
          </cell>
          <cell r="AA110">
            <v>1.1194004998725999</v>
          </cell>
          <cell r="AF110">
            <v>-1.12705366312064E-3</v>
          </cell>
          <cell r="AG110">
            <v>-1.2009167929487299E-3</v>
          </cell>
          <cell r="AR110">
            <v>2.9482639521364058E-2</v>
          </cell>
          <cell r="BC110">
            <v>1.1044618033177373E-2</v>
          </cell>
          <cell r="BF110">
            <v>4.0527257554541424E-2</v>
          </cell>
        </row>
        <row r="111">
          <cell r="O111">
            <v>1.1144210713463301</v>
          </cell>
          <cell r="P111">
            <v>1.11918305339498</v>
          </cell>
          <cell r="Q111">
            <v>1.11985052898872</v>
          </cell>
          <cell r="U111">
            <v>-3.1502451380963801E-3</v>
          </cell>
          <cell r="V111">
            <v>1.46576757833608E-3</v>
          </cell>
          <cell r="W111">
            <v>1.62003003186371E-3</v>
          </cell>
          <cell r="Y111">
            <v>1.1139962285470999</v>
          </cell>
          <cell r="Z111">
            <v>1.11865288966675</v>
          </cell>
          <cell r="AA111">
            <v>1.1194794287285399</v>
          </cell>
          <cell r="AF111">
            <v>1.59007367925974E-3</v>
          </cell>
          <cell r="AG111">
            <v>1.86903225216376E-3</v>
          </cell>
          <cell r="AR111">
            <v>2.9482639521364058E-2</v>
          </cell>
          <cell r="BC111">
            <v>1.1044618033177373E-2</v>
          </cell>
          <cell r="BF111">
            <v>4.0527257554541424E-2</v>
          </cell>
        </row>
        <row r="112">
          <cell r="O112">
            <v>1.1144210713463301</v>
          </cell>
          <cell r="P112">
            <v>1.11926579471771</v>
          </cell>
          <cell r="Q112">
            <v>1.11985044684546</v>
          </cell>
          <cell r="U112">
            <v>-3.77220480612809E-3</v>
          </cell>
          <cell r="V112">
            <v>4.9174618752121496E-4</v>
          </cell>
          <cell r="W112">
            <v>1.0879637867278599E-3</v>
          </cell>
          <cell r="Y112">
            <v>1.1139962285470999</v>
          </cell>
          <cell r="Z112">
            <v>1.1186933763458899</v>
          </cell>
          <cell r="AA112">
            <v>1.11945855201089</v>
          </cell>
          <cell r="AF112">
            <v>5.7030140273921399E-4</v>
          </cell>
          <cell r="AG112">
            <v>1.30889857376331E-3</v>
          </cell>
          <cell r="AR112">
            <v>2.9482639521364058E-2</v>
          </cell>
          <cell r="BC112">
            <v>1.1044618033177373E-2</v>
          </cell>
          <cell r="BF112">
            <v>4.0527257554541424E-2</v>
          </cell>
        </row>
        <row r="113">
          <cell r="O113">
            <v>1.1144210713463301</v>
          </cell>
          <cell r="P113">
            <v>1.11966996383092</v>
          </cell>
          <cell r="Q113">
            <v>1.11995491865744</v>
          </cell>
          <cell r="U113">
            <v>-5.3644749546874699E-3</v>
          </cell>
          <cell r="V113">
            <v>-1.0265965868726001E-3</v>
          </cell>
          <cell r="W113">
            <v>-5.04379713821646E-4</v>
          </cell>
          <cell r="Y113">
            <v>1.1139962285470999</v>
          </cell>
          <cell r="Z113">
            <v>1.1190543215842801</v>
          </cell>
          <cell r="AA113">
            <v>1.1195419655224299</v>
          </cell>
          <cell r="AF113">
            <v>-9.840208250478761E-4</v>
          </cell>
          <cell r="AG113">
            <v>-3.0026411923972601E-4</v>
          </cell>
          <cell r="AR113">
            <v>2.9482639521364058E-2</v>
          </cell>
          <cell r="BC113">
            <v>1.1044618033177373E-2</v>
          </cell>
          <cell r="BF113">
            <v>4.0527257554541424E-2</v>
          </cell>
        </row>
        <row r="114">
          <cell r="O114">
            <v>1.1144210713463301</v>
          </cell>
          <cell r="P114">
            <v>1.1198239107021799</v>
          </cell>
          <cell r="Q114">
            <v>1.1199913746138499</v>
          </cell>
          <cell r="U114">
            <v>-6.9243810116705598E-3</v>
          </cell>
          <cell r="V114">
            <v>-2.2254658288826698E-3</v>
          </cell>
          <cell r="W114">
            <v>-1.9709992614788899E-3</v>
          </cell>
          <cell r="Y114">
            <v>1.1139962285470999</v>
          </cell>
          <cell r="Z114">
            <v>1.11920759843288</v>
          </cell>
          <cell r="AA114">
            <v>1.11955856593449</v>
          </cell>
          <cell r="AF114">
            <v>-2.22799993242316E-3</v>
          </cell>
          <cell r="AG114">
            <v>-1.79233053667645E-3</v>
          </cell>
          <cell r="AR114">
            <v>2.9482639521364058E-2</v>
          </cell>
          <cell r="BC114">
            <v>1.1044618033177373E-2</v>
          </cell>
          <cell r="BF114">
            <v>4.0527257554541424E-2</v>
          </cell>
        </row>
        <row r="115">
          <cell r="O115">
            <v>1.1144210713463301</v>
          </cell>
          <cell r="P115">
            <v>1.1200702885915399</v>
          </cell>
          <cell r="Q115">
            <v>1.11998018921839</v>
          </cell>
          <cell r="U115">
            <v>-6.1542940310555299E-3</v>
          </cell>
          <cell r="V115">
            <v>-1.3178952201567901E-3</v>
          </cell>
          <cell r="W115">
            <v>-1.1683615393386501E-3</v>
          </cell>
          <cell r="Y115">
            <v>1.1139962285470999</v>
          </cell>
          <cell r="Z115">
            <v>1.1194519251875199</v>
          </cell>
          <cell r="AA115">
            <v>1.1195278772724699</v>
          </cell>
          <cell r="AF115">
            <v>-1.32338983955512E-3</v>
          </cell>
          <cell r="AG115">
            <v>-1.0098532942338599E-3</v>
          </cell>
          <cell r="AR115">
            <v>2.9482639521364058E-2</v>
          </cell>
          <cell r="BC115">
            <v>1.1044618033177373E-2</v>
          </cell>
          <cell r="BF115">
            <v>4.0527257554541424E-2</v>
          </cell>
        </row>
        <row r="116">
          <cell r="O116">
            <v>1.1144210713463301</v>
          </cell>
          <cell r="P116">
            <v>1.1202349073662401</v>
          </cell>
          <cell r="Q116">
            <v>1.12015566478099</v>
          </cell>
          <cell r="U116">
            <v>-7.31559228077898E-3</v>
          </cell>
          <cell r="V116">
            <v>-2.2592028199341502E-3</v>
          </cell>
          <cell r="W116">
            <v>-2.3396468760785299E-3</v>
          </cell>
          <cell r="Y116">
            <v>1.1139962285470999</v>
          </cell>
          <cell r="Z116">
            <v>1.11961566973847</v>
          </cell>
          <cell r="AA116">
            <v>1.11968300535526</v>
          </cell>
          <cell r="AF116">
            <v>-2.2608588546577301E-3</v>
          </cell>
          <cell r="AG116">
            <v>-2.1930135932616201E-3</v>
          </cell>
          <cell r="AR116">
            <v>2.9482639521364058E-2</v>
          </cell>
          <cell r="BC116">
            <v>1.1044618033177373E-2</v>
          </cell>
          <cell r="BF116">
            <v>4.0527257554541424E-2</v>
          </cell>
        </row>
        <row r="117">
          <cell r="O117">
            <v>1.1144210713463301</v>
          </cell>
          <cell r="P117">
            <v>1.1206145068233799</v>
          </cell>
          <cell r="Q117">
            <v>1.1202946192071801</v>
          </cell>
          <cell r="U117">
            <v>-8.2213725189496396E-3</v>
          </cell>
          <cell r="V117">
            <v>-3.0180220321723702E-3</v>
          </cell>
          <cell r="W117">
            <v>-3.0887620060595501E-3</v>
          </cell>
          <cell r="Y117">
            <v>1.1139962285470999</v>
          </cell>
          <cell r="Z117">
            <v>1.1199936689605501</v>
          </cell>
          <cell r="AA117">
            <v>1.11980193947366</v>
          </cell>
          <cell r="AF117">
            <v>-3.02101568726492E-3</v>
          </cell>
          <cell r="AG117">
            <v>-2.9608757715362099E-3</v>
          </cell>
          <cell r="AR117">
            <v>2.9482639521364058E-2</v>
          </cell>
          <cell r="BC117">
            <v>1.1044618033177373E-2</v>
          </cell>
          <cell r="BF117">
            <v>4.0527257554541424E-2</v>
          </cell>
        </row>
        <row r="118">
          <cell r="O118">
            <v>1.1144210713463301</v>
          </cell>
          <cell r="P118">
            <v>1.12135480653654</v>
          </cell>
          <cell r="Q118">
            <v>1.1205777062399001</v>
          </cell>
          <cell r="U118">
            <v>-9.8302894140029906E-3</v>
          </cell>
          <cell r="V118">
            <v>-4.2881393110059101E-3</v>
          </cell>
          <cell r="W118">
            <v>-4.5736373837792898E-3</v>
          </cell>
          <cell r="Y118">
            <v>1.1139962285470999</v>
          </cell>
          <cell r="Z118">
            <v>1.1207327526423101</v>
          </cell>
          <cell r="AA118">
            <v>1.1200639959415</v>
          </cell>
          <cell r="AF118">
            <v>-4.283564013592E-3</v>
          </cell>
          <cell r="AG118">
            <v>-4.4547666774729698E-3</v>
          </cell>
          <cell r="AR118">
            <v>2.9482639521364058E-2</v>
          </cell>
          <cell r="BC118">
            <v>1.1044618033177373E-2</v>
          </cell>
          <cell r="BF118">
            <v>4.0527257554541424E-2</v>
          </cell>
        </row>
        <row r="119">
          <cell r="O119">
            <v>1.1144210713463301</v>
          </cell>
          <cell r="P119">
            <v>1.12190711727598</v>
          </cell>
          <cell r="Q119">
            <v>1.1208400515950401</v>
          </cell>
          <cell r="U119">
            <v>-1.0104744660681101E-2</v>
          </cell>
          <cell r="V119">
            <v>-3.9021932438477098E-3</v>
          </cell>
          <cell r="W119">
            <v>-4.5954347427144904E-3</v>
          </cell>
          <cell r="Y119">
            <v>1.1139962285470999</v>
          </cell>
          <cell r="Z119">
            <v>1.12128348932931</v>
          </cell>
          <cell r="AA119">
            <v>1.12030472324398</v>
          </cell>
          <cell r="AF119">
            <v>-3.8857502264647999E-3</v>
          </cell>
          <cell r="AG119">
            <v>-4.4826421320648098E-3</v>
          </cell>
          <cell r="AR119">
            <v>2.9482639521364058E-2</v>
          </cell>
          <cell r="BC119">
            <v>1.1044618033177373E-2</v>
          </cell>
          <cell r="BF119">
            <v>4.0527257554541424E-2</v>
          </cell>
        </row>
        <row r="120">
          <cell r="O120">
            <v>1.1144210713463301</v>
          </cell>
          <cell r="P120">
            <v>1.1223206287493499</v>
          </cell>
          <cell r="Q120">
            <v>1.1209488865131501</v>
          </cell>
          <cell r="U120">
            <v>-9.7694524957717896E-3</v>
          </cell>
          <cell r="V120">
            <v>-3.0744835464691501E-3</v>
          </cell>
          <cell r="W120">
            <v>-4.0260538137475502E-3</v>
          </cell>
          <cell r="Y120">
            <v>1.1139962285470999</v>
          </cell>
          <cell r="Z120">
            <v>1.1216960937009499</v>
          </cell>
          <cell r="AA120">
            <v>1.1203921853791201</v>
          </cell>
          <cell r="AF120">
            <v>-3.0550037957899198E-3</v>
          </cell>
          <cell r="AG120">
            <v>-3.92828296637479E-3</v>
          </cell>
          <cell r="AR120">
            <v>2.9482639521364058E-2</v>
          </cell>
          <cell r="BC120">
            <v>1.1044618033177373E-2</v>
          </cell>
          <cell r="BF120">
            <v>4.0527257554541424E-2</v>
          </cell>
        </row>
        <row r="121">
          <cell r="O121">
            <v>1.1144210713463301</v>
          </cell>
          <cell r="P121">
            <v>1.1231013028611001</v>
          </cell>
          <cell r="Q121">
            <v>1.12114217812804</v>
          </cell>
          <cell r="U121">
            <v>-1.0109141157259499E-2</v>
          </cell>
          <cell r="V121">
            <v>-3.0456610541474702E-3</v>
          </cell>
          <cell r="W121">
            <v>-4.2686459855978296E-3</v>
          </cell>
          <cell r="Y121">
            <v>1.1139962285470999</v>
          </cell>
          <cell r="Z121">
            <v>1.12247474309136</v>
          </cell>
          <cell r="AA121">
            <v>1.1205638163790499</v>
          </cell>
          <cell r="AF121">
            <v>-3.0271246541926301E-3</v>
          </cell>
          <cell r="AG121">
            <v>-4.1902443056327197E-3</v>
          </cell>
          <cell r="AR121">
            <v>2.9482639521364058E-2</v>
          </cell>
          <cell r="BC121">
            <v>1.1044618033177373E-2</v>
          </cell>
          <cell r="BF121">
            <v>4.0527257554541424E-2</v>
          </cell>
        </row>
        <row r="122">
          <cell r="O122">
            <v>1.1144210713463301</v>
          </cell>
          <cell r="P122">
            <v>1.12385413313614</v>
          </cell>
          <cell r="Q122">
            <v>1.12155996392692</v>
          </cell>
          <cell r="U122">
            <v>-1.0479574006073199E-2</v>
          </cell>
          <cell r="V122">
            <v>-2.72074650992559E-3</v>
          </cell>
          <cell r="W122">
            <v>-4.4666579917309697E-3</v>
          </cell>
          <cell r="Y122">
            <v>1.1139962285470999</v>
          </cell>
          <cell r="Z122">
            <v>1.12322314329935</v>
          </cell>
          <cell r="AA122">
            <v>1.12095825982262</v>
          </cell>
          <cell r="AF122">
            <v>-2.6907457612769699E-3</v>
          </cell>
          <cell r="AG122">
            <v>-4.3946194343806302E-3</v>
          </cell>
          <cell r="AR122">
            <v>2.9482639521364058E-2</v>
          </cell>
          <cell r="BC122">
            <v>1.1044618033177373E-2</v>
          </cell>
          <cell r="BF122">
            <v>4.0527257554541424E-2</v>
          </cell>
        </row>
        <row r="123">
          <cell r="O123">
            <v>1.1144210713463301</v>
          </cell>
          <cell r="P123">
            <v>1.1245715981268201</v>
          </cell>
          <cell r="Q123">
            <v>1.12212078097887</v>
          </cell>
          <cell r="U123">
            <v>-1.1747621530656701E-2</v>
          </cell>
          <cell r="V123">
            <v>-3.3187048185459702E-3</v>
          </cell>
          <cell r="W123">
            <v>-5.3621319178108499E-3</v>
          </cell>
          <cell r="Y123">
            <v>1.1139962285470999</v>
          </cell>
          <cell r="Z123">
            <v>1.1239366659146801</v>
          </cell>
          <cell r="AA123">
            <v>1.1214954937494801</v>
          </cell>
          <cell r="AF123">
            <v>-3.2947286255047602E-3</v>
          </cell>
          <cell r="AG123">
            <v>-5.3131788653417696E-3</v>
          </cell>
          <cell r="AR123">
            <v>2.9482639521364058E-2</v>
          </cell>
          <cell r="BC123">
            <v>1.1044618033177373E-2</v>
          </cell>
          <cell r="BF123">
            <v>4.0527257554541424E-2</v>
          </cell>
        </row>
        <row r="124">
          <cell r="O124">
            <v>1.1144210713463301</v>
          </cell>
          <cell r="P124">
            <v>1.12526555177676</v>
          </cell>
          <cell r="Q124">
            <v>1.1225447312394701</v>
          </cell>
          <cell r="U124">
            <v>-1.30894014942541E-2</v>
          </cell>
          <cell r="V124">
            <v>-4.0222915742837897E-3</v>
          </cell>
          <cell r="W124">
            <v>-6.2040038041137301E-3</v>
          </cell>
          <cell r="Y124">
            <v>1.1139962285470999</v>
          </cell>
          <cell r="Z124">
            <v>1.1246255818689599</v>
          </cell>
          <cell r="AA124">
            <v>1.12191659015092</v>
          </cell>
          <cell r="AF124">
            <v>-3.9983140937728803E-3</v>
          </cell>
          <cell r="AG124">
            <v>-6.1726600133078201E-3</v>
          </cell>
          <cell r="AR124">
            <v>2.8140859557766358E-2</v>
          </cell>
          <cell r="BC124">
            <v>1.1044618033177373E-2</v>
          </cell>
          <cell r="BF124">
            <v>3.9185477590943721E-2</v>
          </cell>
        </row>
        <row r="125">
          <cell r="O125">
            <v>1.1144210713463301</v>
          </cell>
          <cell r="P125">
            <v>1.12596495803081</v>
          </cell>
          <cell r="Q125">
            <v>1.1230176233111699</v>
          </cell>
          <cell r="U125">
            <v>-1.23723765514597E-2</v>
          </cell>
          <cell r="V125">
            <v>-2.6883742737697299E-3</v>
          </cell>
          <cell r="W125">
            <v>-5.1092386026201199E-3</v>
          </cell>
          <cell r="Y125">
            <v>1.1139962285470999</v>
          </cell>
          <cell r="Z125">
            <v>1.1253352345058401</v>
          </cell>
          <cell r="AA125">
            <v>1.12239357984668</v>
          </cell>
          <cell r="AF125">
            <v>-2.8064791905622602E-3</v>
          </cell>
          <cell r="AG125">
            <v>-5.2181793267131599E-3</v>
          </cell>
          <cell r="AR125">
            <v>2.8140859557766358E-2</v>
          </cell>
          <cell r="BC125">
            <v>1.1044618033177373E-2</v>
          </cell>
          <cell r="BF125">
            <v>3.9185477590943721E-2</v>
          </cell>
        </row>
        <row r="126">
          <cell r="O126">
            <v>1.1144210713463301</v>
          </cell>
          <cell r="P126">
            <v>1.1262069916138799</v>
          </cell>
          <cell r="Q126">
            <v>1.12322094949006</v>
          </cell>
          <cell r="U126">
            <v>-9.4692736137211402E-3</v>
          </cell>
          <cell r="V126">
            <v>8.3608331735108004E-4</v>
          </cell>
          <cell r="W126">
            <v>-1.7849564642782099E-3</v>
          </cell>
          <cell r="Y126">
            <v>1.1139962285470999</v>
          </cell>
          <cell r="Z126">
            <v>1.1255896931270599</v>
          </cell>
          <cell r="AA126">
            <v>1.1226026814327701</v>
          </cell>
          <cell r="AF126">
            <v>7.1554245768569197E-4</v>
          </cell>
          <cell r="AG126">
            <v>-1.9019052698360801E-3</v>
          </cell>
          <cell r="AR126">
            <v>3.1043962495505159E-2</v>
          </cell>
          <cell r="BC126">
            <v>1.1044618033177373E-2</v>
          </cell>
          <cell r="BF126">
            <v>4.2088580528682522E-2</v>
          </cell>
        </row>
        <row r="127">
          <cell r="O127">
            <v>1.1144210713463301</v>
          </cell>
          <cell r="P127">
            <v>1.12605414794795</v>
          </cell>
          <cell r="Q127">
            <v>1.12333432738567</v>
          </cell>
          <cell r="U127">
            <v>-6.8601686276970504E-3</v>
          </cell>
          <cell r="V127">
            <v>3.6601217892836299E-3</v>
          </cell>
          <cell r="W127">
            <v>1.00518555129727E-3</v>
          </cell>
          <cell r="Y127">
            <v>1.1139962285470999</v>
          </cell>
          <cell r="Z127">
            <v>1.1254516519503801</v>
          </cell>
          <cell r="AA127">
            <v>1.1227226604554601</v>
          </cell>
          <cell r="AF127">
            <v>3.5305505123926001E-3</v>
          </cell>
          <cell r="AG127">
            <v>8.7329263205597495E-4</v>
          </cell>
          <cell r="AR127">
            <v>3.1043962495505159E-2</v>
          </cell>
          <cell r="BC127">
            <v>1.1044618033177373E-2</v>
          </cell>
          <cell r="BF127">
            <v>4.2088580528682522E-2</v>
          </cell>
        </row>
        <row r="128">
          <cell r="O128">
            <v>1.1144210713463301</v>
          </cell>
          <cell r="P128">
            <v>1.1254995752510899</v>
          </cell>
          <cell r="Q128">
            <v>1.12342719089381</v>
          </cell>
          <cell r="U128">
            <v>-4.8904576544958698E-3</v>
          </cell>
          <cell r="V128">
            <v>5.4941081225028396E-3</v>
          </cell>
          <cell r="W128">
            <v>3.0758314063332802E-3</v>
          </cell>
          <cell r="Y128">
            <v>1.1139962285470999</v>
          </cell>
          <cell r="Z128">
            <v>1.1249137974942001</v>
          </cell>
          <cell r="AA128">
            <v>1.1228232750682501</v>
          </cell>
          <cell r="AF128">
            <v>5.3710682644530399E-3</v>
          </cell>
          <cell r="AG128">
            <v>2.9433269454384701E-3</v>
          </cell>
          <cell r="AR128">
            <v>3.1043962495505159E-2</v>
          </cell>
          <cell r="BC128">
            <v>1.1044618033177373E-2</v>
          </cell>
          <cell r="BF128">
            <v>4.2088580528682522E-2</v>
          </cell>
        </row>
        <row r="129">
          <cell r="O129">
            <v>1.1144210713463301</v>
          </cell>
          <cell r="P129">
            <v>1.12480335295094</v>
          </cell>
          <cell r="Q129">
            <v>1.1233552351134599</v>
          </cell>
          <cell r="U129">
            <v>-3.90096138367476E-3</v>
          </cell>
          <cell r="V129">
            <v>5.9909910460433802E-3</v>
          </cell>
          <cell r="W129">
            <v>4.1479919986152696E-3</v>
          </cell>
          <cell r="Y129">
            <v>1.1139962285470999</v>
          </cell>
          <cell r="Z129">
            <v>1.1242368190634799</v>
          </cell>
          <cell r="AA129">
            <v>1.1227601541964001</v>
          </cell>
          <cell r="AF129">
            <v>5.8731907482988399E-3</v>
          </cell>
          <cell r="AG129">
            <v>4.0130772552788296E-3</v>
          </cell>
          <cell r="AR129">
            <v>3.1043962495505159E-2</v>
          </cell>
          <cell r="BC129">
            <v>1.1044618033177373E-2</v>
          </cell>
          <cell r="BF129">
            <v>4.2088580528682522E-2</v>
          </cell>
        </row>
        <row r="130">
          <cell r="O130">
            <v>1.1144210713463301</v>
          </cell>
          <cell r="P130">
            <v>1.1245186494688399</v>
          </cell>
          <cell r="Q130">
            <v>1.1234196391091</v>
          </cell>
          <cell r="U130">
            <v>-7.2363627209880103E-3</v>
          </cell>
          <cell r="V130">
            <v>2.0368087316134601E-3</v>
          </cell>
          <cell r="W130">
            <v>7.4853837075224399E-4</v>
          </cell>
          <cell r="Y130">
            <v>1.1139962285470999</v>
          </cell>
          <cell r="Z130">
            <v>1.1239697370017601</v>
          </cell>
          <cell r="AA130">
            <v>1.1228329153513501</v>
          </cell>
          <cell r="AF130">
            <v>1.95290672444918E-3</v>
          </cell>
          <cell r="AG130">
            <v>6.3856131389957804E-4</v>
          </cell>
          <cell r="AR130">
            <v>3.1043962495505159E-2</v>
          </cell>
          <cell r="BC130">
            <v>1.4380019370490554E-2</v>
          </cell>
          <cell r="BF130">
            <v>4.5423981865995701E-2</v>
          </cell>
        </row>
        <row r="131">
          <cell r="O131">
            <v>1.1144210713463301</v>
          </cell>
          <cell r="P131">
            <v>1.12399289541009</v>
          </cell>
          <cell r="Q131">
            <v>1.1235470991356</v>
          </cell>
          <cell r="U131">
            <v>-5.4279207209329298E-3</v>
          </cell>
          <cell r="V131">
            <v>3.5921046873833599E-3</v>
          </cell>
          <cell r="W131">
            <v>2.6143105433966301E-3</v>
          </cell>
          <cell r="Y131">
            <v>1.1139962285470999</v>
          </cell>
          <cell r="Z131">
            <v>1.12346276997181</v>
          </cell>
          <cell r="AA131">
            <v>1.12296875653158</v>
          </cell>
          <cell r="AF131">
            <v>3.51396152861764E-3</v>
          </cell>
          <cell r="AG131">
            <v>2.5020152891701798E-3</v>
          </cell>
          <cell r="AR131">
            <v>3.1043962495505159E-2</v>
          </cell>
          <cell r="BC131">
            <v>1.4380019370490554E-2</v>
          </cell>
          <cell r="BF131">
            <v>4.5423981865995701E-2</v>
          </cell>
        </row>
        <row r="132">
          <cell r="O132">
            <v>1.1144210713463301</v>
          </cell>
          <cell r="P132">
            <v>1.12343147067044</v>
          </cell>
          <cell r="Q132">
            <v>1.12364280190329</v>
          </cell>
          <cell r="U132">
            <v>-5.48180926434932E-3</v>
          </cell>
          <cell r="V132">
            <v>3.0705698296491302E-3</v>
          </cell>
          <cell r="W132">
            <v>2.6738727462393501E-3</v>
          </cell>
          <cell r="Y132">
            <v>1.1139962285470999</v>
          </cell>
          <cell r="Z132">
            <v>1.1229209589501701</v>
          </cell>
          <cell r="AA132">
            <v>1.1230720511247601</v>
          </cell>
          <cell r="AF132">
            <v>3.01467569855106E-3</v>
          </cell>
          <cell r="AG132">
            <v>2.5748550831770898E-3</v>
          </cell>
          <cell r="AR132">
            <v>3.1043962495505159E-2</v>
          </cell>
          <cell r="BC132">
            <v>1.4380019370490554E-2</v>
          </cell>
          <cell r="BF132">
            <v>4.5423981865995701E-2</v>
          </cell>
        </row>
        <row r="133">
          <cell r="O133">
            <v>1.1144210713463301</v>
          </cell>
          <cell r="P133">
            <v>1.12260831934262</v>
          </cell>
          <cell r="Q133">
            <v>1.12358995873472</v>
          </cell>
          <cell r="U133">
            <v>-4.4207516489862897E-3</v>
          </cell>
          <cell r="V133">
            <v>3.6320112979255801E-3</v>
          </cell>
          <cell r="W133">
            <v>3.8201058669818798E-3</v>
          </cell>
          <cell r="Y133">
            <v>1.1139962285470999</v>
          </cell>
          <cell r="Z133">
            <v>1.12211815295135</v>
          </cell>
          <cell r="AA133">
            <v>1.1230274094330199</v>
          </cell>
          <cell r="AF133">
            <v>3.5855298333258702E-3</v>
          </cell>
          <cell r="AG133">
            <v>3.7200735956064101E-3</v>
          </cell>
          <cell r="AR133">
            <v>3.1043962495505159E-2</v>
          </cell>
          <cell r="BC133">
            <v>1.4380019370490554E-2</v>
          </cell>
          <cell r="BF133">
            <v>4.5423981865995701E-2</v>
          </cell>
        </row>
        <row r="134">
          <cell r="O134">
            <v>1.1144210713463301</v>
          </cell>
          <cell r="P134">
            <v>1.1216778339517901</v>
          </cell>
          <cell r="Q134">
            <v>1.1234716928642701</v>
          </cell>
          <cell r="U134">
            <v>-4.81433948835229E-3</v>
          </cell>
          <cell r="V134">
            <v>2.5054432430383E-3</v>
          </cell>
          <cell r="W134">
            <v>3.3794884813179802E-3</v>
          </cell>
          <cell r="Y134">
            <v>1.1139962285470999</v>
          </cell>
          <cell r="Z134">
            <v>1.1212079180891199</v>
          </cell>
          <cell r="AA134">
            <v>1.12291674997904</v>
          </cell>
          <cell r="AF134">
            <v>2.4814140624471299E-3</v>
          </cell>
          <cell r="AG134">
            <v>3.2913896351756599E-3</v>
          </cell>
          <cell r="AR134">
            <v>3.1043962495505159E-2</v>
          </cell>
          <cell r="BC134">
            <v>1.4773607209856605E-2</v>
          </cell>
          <cell r="BF134">
            <v>4.5817569705361751E-2</v>
          </cell>
        </row>
        <row r="135">
          <cell r="O135">
            <v>1.1144210713463301</v>
          </cell>
          <cell r="P135">
            <v>1.1207746927281499</v>
          </cell>
          <cell r="Q135">
            <v>1.1233698253794799</v>
          </cell>
          <cell r="U135">
            <v>-4.3356892313023403E-3</v>
          </cell>
          <cell r="V135">
            <v>2.1548895745733699E-3</v>
          </cell>
          <cell r="W135">
            <v>3.7528760541227701E-3</v>
          </cell>
          <cell r="Y135">
            <v>1.1139962285470999</v>
          </cell>
          <cell r="Z135">
            <v>1.1203088663071299</v>
          </cell>
          <cell r="AA135">
            <v>1.1228220504064901</v>
          </cell>
          <cell r="AF135">
            <v>2.15373182201628E-3</v>
          </cell>
          <cell r="AG135">
            <v>3.67667058252001E-3</v>
          </cell>
          <cell r="AR135">
            <v>3.1043962495505159E-2</v>
          </cell>
          <cell r="BC135">
            <v>1.4294956952806605E-2</v>
          </cell>
          <cell r="BF135">
            <v>4.5338919448311754E-2</v>
          </cell>
        </row>
        <row r="136">
          <cell r="O136">
            <v>1.1144210713463301</v>
          </cell>
          <cell r="P136">
            <v>1.1203424523283501</v>
          </cell>
          <cell r="Q136">
            <v>1.1232747219711099</v>
          </cell>
          <cell r="U136">
            <v>-5.6198188699252798E-3</v>
          </cell>
          <cell r="V136">
            <v>6.5265717696166595E-5</v>
          </cell>
          <cell r="W136">
            <v>2.37807025161417E-3</v>
          </cell>
          <cell r="Y136">
            <v>1.1139962285470999</v>
          </cell>
          <cell r="Z136">
            <v>1.1198782144314201</v>
          </cell>
          <cell r="AA136">
            <v>1.12273395377924</v>
          </cell>
          <cell r="AF136">
            <v>7.5953082332459504E-5</v>
          </cell>
          <cell r="AG136">
            <v>2.3167363841083799E-3</v>
          </cell>
          <cell r="AR136">
            <v>3.1043962495505159E-2</v>
          </cell>
          <cell r="BC136">
            <v>1.5579086591429467E-2</v>
          </cell>
          <cell r="BF136">
            <v>4.6623049086934612E-2</v>
          </cell>
        </row>
        <row r="137">
          <cell r="O137">
            <v>1.1144210713463301</v>
          </cell>
          <cell r="P137">
            <v>1.1202526316390899</v>
          </cell>
          <cell r="Q137">
            <v>1.12315338979352</v>
          </cell>
          <cell r="U137">
            <v>-6.0593731463894698E-3</v>
          </cell>
          <cell r="V137">
            <v>-7.6002511530191504E-4</v>
          </cell>
          <cell r="W137">
            <v>1.85385335369948E-3</v>
          </cell>
          <cell r="Y137">
            <v>1.1139962285470999</v>
          </cell>
          <cell r="Z137">
            <v>1.1197874038283699</v>
          </cell>
          <cell r="AA137">
            <v>1.12261952788937</v>
          </cell>
          <cell r="AF137">
            <v>-7.4661338219321797E-4</v>
          </cell>
          <cell r="AG137">
            <v>1.8001853303732801E-3</v>
          </cell>
          <cell r="AR137">
            <v>3.1043962495505159E-2</v>
          </cell>
          <cell r="BC137">
            <v>1.6018640867893646E-2</v>
          </cell>
          <cell r="BF137">
            <v>4.7062603363398792E-2</v>
          </cell>
        </row>
        <row r="138">
          <cell r="O138">
            <v>1.1144210713463301</v>
          </cell>
          <cell r="P138">
            <v>1.12083049017105</v>
          </cell>
          <cell r="Q138">
            <v>1.12316503271107</v>
          </cell>
          <cell r="U138">
            <v>-1.00371740963418E-2</v>
          </cell>
          <cell r="V138">
            <v>-4.8180018095920199E-3</v>
          </cell>
          <cell r="W138">
            <v>-2.2319699069367799E-3</v>
          </cell>
          <cell r="Y138">
            <v>1.1139962285470999</v>
          </cell>
          <cell r="Z138">
            <v>1.1203612857228999</v>
          </cell>
          <cell r="AA138">
            <v>1.1226375416085499</v>
          </cell>
          <cell r="AF138">
            <v>-4.7879964317108599E-3</v>
          </cell>
          <cell r="AG138">
            <v>-2.26202710222568E-3</v>
          </cell>
          <cell r="AR138">
            <v>3.1043962495505159E-2</v>
          </cell>
          <cell r="BC138">
            <v>1.9996441817846045E-2</v>
          </cell>
          <cell r="BF138">
            <v>5.104040431335119E-2</v>
          </cell>
        </row>
        <row r="139">
          <cell r="O139">
            <v>1.1144210713463301</v>
          </cell>
          <cell r="P139">
            <v>1.1209816487950399</v>
          </cell>
          <cell r="Q139">
            <v>1.12289250087299</v>
          </cell>
          <cell r="U139">
            <v>-5.2511555424755501E-3</v>
          </cell>
          <cell r="V139">
            <v>4.8371251579582702E-4</v>
          </cell>
          <cell r="W139">
            <v>2.5644148687723402E-3</v>
          </cell>
          <cell r="Y139">
            <v>1.1139962285470999</v>
          </cell>
          <cell r="Z139">
            <v>1.1205111459530701</v>
          </cell>
          <cell r="AA139">
            <v>1.1223739825082799</v>
          </cell>
          <cell r="AF139">
            <v>4.7884909993021498E-4</v>
          </cell>
          <cell r="AG139">
            <v>2.5085038989722001E-3</v>
          </cell>
          <cell r="AR139">
            <v>3.1043962495505159E-2</v>
          </cell>
          <cell r="BC139">
            <v>1.9996441817846045E-2</v>
          </cell>
          <cell r="BF139">
            <v>5.104040431335119E-2</v>
          </cell>
        </row>
        <row r="140">
          <cell r="O140">
            <v>1.1144210713463301</v>
          </cell>
          <cell r="P140">
            <v>1.1210690394651599</v>
          </cell>
          <cell r="Q140">
            <v>1.122793844467</v>
          </cell>
          <cell r="U140">
            <v>-8.0145856854199199E-3</v>
          </cell>
          <cell r="V140">
            <v>-2.14486366540368E-3</v>
          </cell>
          <cell r="W140">
            <v>-4.4169101630489301E-4</v>
          </cell>
          <cell r="Y140">
            <v>1.1139962285470999</v>
          </cell>
          <cell r="Z140">
            <v>1.12059683149787</v>
          </cell>
          <cell r="AA140">
            <v>1.1222832842498101</v>
          </cell>
          <cell r="AF140">
            <v>-2.12991894380073E-3</v>
          </cell>
          <cell r="AG140">
            <v>-4.6881115017830498E-4</v>
          </cell>
          <cell r="AR140">
            <v>3.1043962495505159E-2</v>
          </cell>
          <cell r="BC140">
            <v>1.9996441817846045E-2</v>
          </cell>
          <cell r="BF140">
            <v>5.104040431335119E-2</v>
          </cell>
        </row>
        <row r="141">
          <cell r="O141">
            <v>1.1144210713463301</v>
          </cell>
          <cell r="P141">
            <v>1.12111144118613</v>
          </cell>
          <cell r="Q141">
            <v>1.1225521682981101</v>
          </cell>
          <cell r="U141">
            <v>-5.8062715519770196E-3</v>
          </cell>
          <cell r="V141">
            <v>1.4140648448772699E-4</v>
          </cell>
          <cell r="W141">
            <v>1.6787600847459601E-3</v>
          </cell>
          <cell r="Y141">
            <v>1.1139962285470999</v>
          </cell>
          <cell r="Z141">
            <v>1.1206372499242001</v>
          </cell>
          <cell r="AA141">
            <v>1.122050009948</v>
          </cell>
          <cell r="AF141">
            <v>1.4775845267194599E-4</v>
          </cell>
          <cell r="AG141">
            <v>1.65158655112988E-3</v>
          </cell>
          <cell r="AR141">
            <v>3.1043962495505159E-2</v>
          </cell>
          <cell r="BC141">
            <v>1.9996441817846045E-2</v>
          </cell>
          <cell r="BF141">
            <v>5.104040431335119E-2</v>
          </cell>
        </row>
        <row r="142">
          <cell r="O142">
            <v>1.1144210713463301</v>
          </cell>
          <cell r="P142">
            <v>1.1209967561288099</v>
          </cell>
          <cell r="Q142">
            <v>1.12221411339963</v>
          </cell>
          <cell r="U142">
            <v>-4.45781118805204E-3</v>
          </cell>
          <cell r="V142">
            <v>1.5276887109603799E-3</v>
          </cell>
          <cell r="W142">
            <v>2.8119519168274699E-3</v>
          </cell>
          <cell r="Y142">
            <v>1.1139962285470999</v>
          </cell>
          <cell r="Z142">
            <v>1.1205222073855201</v>
          </cell>
          <cell r="AA142">
            <v>1.12172158316785</v>
          </cell>
          <cell r="AF142">
            <v>1.5241168641716501E-3</v>
          </cell>
          <cell r="AG142">
            <v>2.7839984677802102E-3</v>
          </cell>
          <cell r="AR142">
            <v>3.1043962495505159E-2</v>
          </cell>
          <cell r="BC142">
            <v>1.9996441817846045E-2</v>
          </cell>
          <cell r="BF142">
            <v>5.104040431335119E-2</v>
          </cell>
        </row>
        <row r="143">
          <cell r="O143">
            <v>1.1144210713463301</v>
          </cell>
          <cell r="P143">
            <v>1.12057520620226</v>
          </cell>
          <cell r="Q143">
            <v>1.1215917627724401</v>
          </cell>
          <cell r="U143">
            <v>-6.4764695004649404E-4</v>
          </cell>
          <cell r="V143">
            <v>5.2355518579143999E-3</v>
          </cell>
          <cell r="W143">
            <v>6.3209223033436502E-3</v>
          </cell>
          <cell r="Y143">
            <v>1.1139962285470999</v>
          </cell>
          <cell r="Z143">
            <v>1.1201018707764601</v>
          </cell>
          <cell r="AA143">
            <v>1.1211100118639099</v>
          </cell>
          <cell r="AF143">
            <v>5.2108363700795997E-3</v>
          </cell>
          <cell r="AG143">
            <v>6.2806360963775596E-3</v>
          </cell>
          <cell r="AR143">
            <v>3.1043962495505159E-2</v>
          </cell>
          <cell r="BC143">
            <v>1.9996441817846045E-2</v>
          </cell>
          <cell r="BF143">
            <v>5.104040431335119E-2</v>
          </cell>
        </row>
        <row r="144">
          <cell r="O144">
            <v>1.1144210713463301</v>
          </cell>
          <cell r="P144">
            <v>1.1200700287287</v>
          </cell>
          <cell r="Q144">
            <v>1.12087393134025</v>
          </cell>
          <cell r="U144">
            <v>-2.9281082838339601E-4</v>
          </cell>
          <cell r="V144">
            <v>5.2142680614091202E-3</v>
          </cell>
          <cell r="W144">
            <v>6.1210307190541404E-3</v>
          </cell>
          <cell r="Y144">
            <v>1.1139962285470999</v>
          </cell>
          <cell r="Z144">
            <v>1.11959786601705</v>
          </cell>
          <cell r="AA144">
            <v>1.12040289205308</v>
          </cell>
          <cell r="AF144">
            <v>5.1958190593087497E-3</v>
          </cell>
          <cell r="AG144">
            <v>6.0954583689602701E-3</v>
          </cell>
          <cell r="AR144">
            <v>3.1043962495505159E-2</v>
          </cell>
          <cell r="BC144">
            <v>1.9641605696182843E-2</v>
          </cell>
          <cell r="BF144">
            <v>5.0685568191687985E-2</v>
          </cell>
        </row>
        <row r="145">
          <cell r="O145">
            <v>1.1144210713463301</v>
          </cell>
          <cell r="P145">
            <v>1.11985913422405</v>
          </cell>
          <cell r="Q145">
            <v>1.1203169134761</v>
          </cell>
          <cell r="U145">
            <v>-2.4496858874293102E-3</v>
          </cell>
          <cell r="V145">
            <v>2.6064715675588501E-3</v>
          </cell>
          <cell r="W145">
            <v>3.3239394385571599E-3</v>
          </cell>
          <cell r="Y145">
            <v>1.1139962285470999</v>
          </cell>
          <cell r="Z145">
            <v>1.1193884048177001</v>
          </cell>
          <cell r="AA145">
            <v>1.11984863556242</v>
          </cell>
          <cell r="AF145">
            <v>2.59065911830458E-3</v>
          </cell>
          <cell r="AG145">
            <v>3.3094321524604702E-3</v>
          </cell>
          <cell r="AR145">
            <v>3.1043962495505159E-2</v>
          </cell>
          <cell r="BC145">
            <v>2.1798480755228743E-2</v>
          </cell>
          <cell r="BF145">
            <v>5.2842443250733881E-2</v>
          </cell>
        </row>
        <row r="146">
          <cell r="O146">
            <v>1.1144210713463301</v>
          </cell>
          <cell r="P146">
            <v>1.1189622735889</v>
          </cell>
          <cell r="Q146">
            <v>1.1196523629586199</v>
          </cell>
          <cell r="U146">
            <v>2.4150458948681099E-3</v>
          </cell>
          <cell r="V146">
            <v>7.2828987295430704E-3</v>
          </cell>
          <cell r="W146">
            <v>7.6915980894811898E-3</v>
          </cell>
          <cell r="Y146">
            <v>1.1139962285470999</v>
          </cell>
          <cell r="Z146">
            <v>1.1184978827944301</v>
          </cell>
          <cell r="AA146">
            <v>1.11918804861292</v>
          </cell>
          <cell r="AF146">
            <v>7.2352682450966101E-3</v>
          </cell>
          <cell r="AG146">
            <v>7.6463285686799399E-3</v>
          </cell>
          <cell r="AR146">
            <v>3.1043962495505159E-2</v>
          </cell>
          <cell r="BC146">
            <v>1.6933748972931394E-2</v>
          </cell>
          <cell r="BF146">
            <v>4.7977711468436532E-2</v>
          </cell>
        </row>
        <row r="147">
          <cell r="O147">
            <v>1.1144210713463301</v>
          </cell>
          <cell r="P147">
            <v>1.1182755673824201</v>
          </cell>
          <cell r="Q147">
            <v>1.1192640995107499</v>
          </cell>
          <cell r="U147">
            <v>8.4234746623799102E-5</v>
          </cell>
          <cell r="V147">
            <v>4.1508975623030398E-3</v>
          </cell>
          <cell r="W147">
            <v>4.7674301090998997E-3</v>
          </cell>
          <cell r="Y147">
            <v>1.1139962285470999</v>
          </cell>
          <cell r="Z147">
            <v>1.1177248234363999</v>
          </cell>
          <cell r="AA147">
            <v>1.11875611363239</v>
          </cell>
          <cell r="AF147">
            <v>4.9418682887562198E-3</v>
          </cell>
          <cell r="AG147">
            <v>5.5587250430425301E-3</v>
          </cell>
          <cell r="AR147">
            <v>3.1043962495505159E-2</v>
          </cell>
          <cell r="BC147">
            <v>1.6933748972931394E-2</v>
          </cell>
          <cell r="BF147">
            <v>4.7977711468436532E-2</v>
          </cell>
        </row>
        <row r="148">
          <cell r="O148">
            <v>1.1144210713463301</v>
          </cell>
          <cell r="P148">
            <v>1.11688154684467</v>
          </cell>
          <cell r="Q148">
            <v>1.11885601850786</v>
          </cell>
          <cell r="U148">
            <v>2.4241415851981602E-3</v>
          </cell>
          <cell r="V148">
            <v>5.8769168512653597E-3</v>
          </cell>
          <cell r="W148">
            <v>6.7605053813601301E-3</v>
          </cell>
          <cell r="Y148">
            <v>1.1139962285470999</v>
          </cell>
          <cell r="Z148">
            <v>1.1162514476648</v>
          </cell>
          <cell r="AA148">
            <v>1.11830636669385</v>
          </cell>
          <cell r="AF148">
            <v>6.5496487348849202E-3</v>
          </cell>
          <cell r="AG148">
            <v>7.4718924723451404E-3</v>
          </cell>
          <cell r="AR148">
            <v>3.1043962495505159E-2</v>
          </cell>
          <cell r="BC148">
            <v>1.4593842134356994E-2</v>
          </cell>
          <cell r="BF148">
            <v>4.5637804629862132E-2</v>
          </cell>
        </row>
        <row r="149">
          <cell r="O149">
            <v>1.1144210713463301</v>
          </cell>
          <cell r="P149">
            <v>1.1161139619520899</v>
          </cell>
          <cell r="Q149">
            <v>1.11854780537356</v>
          </cell>
          <cell r="U149">
            <v>1.62409679230381E-3</v>
          </cell>
          <cell r="V149">
            <v>3.8295139110472499E-3</v>
          </cell>
          <cell r="W149">
            <v>5.59579650799478E-3</v>
          </cell>
          <cell r="Y149">
            <v>1.1139962285470999</v>
          </cell>
          <cell r="Z149">
            <v>1.11539872014129</v>
          </cell>
          <cell r="AA149">
            <v>1.1179549330471801</v>
          </cell>
          <cell r="AF149">
            <v>4.44775911252658E-3</v>
          </cell>
          <cell r="AG149">
            <v>6.2869772299687801E-3</v>
          </cell>
          <cell r="AR149">
            <v>3.1043962495505159E-2</v>
          </cell>
          <cell r="BC149">
            <v>1.5393886927251193E-2</v>
          </cell>
          <cell r="BF149">
            <v>4.6437849422756333E-2</v>
          </cell>
        </row>
        <row r="150">
          <cell r="O150">
            <v>1.1144210713463301</v>
          </cell>
          <cell r="P150">
            <v>1.1151184163540799</v>
          </cell>
          <cell r="Q150">
            <v>1.1180937279096199</v>
          </cell>
          <cell r="U150">
            <v>8.8690313780619005E-4</v>
          </cell>
          <cell r="V150">
            <v>2.4048267799222098E-3</v>
          </cell>
          <cell r="W150">
            <v>4.58309323564462E-3</v>
          </cell>
          <cell r="Y150">
            <v>1.1139962285470999</v>
          </cell>
          <cell r="Z150">
            <v>1.1143179343713601</v>
          </cell>
          <cell r="AA150">
            <v>1.1174573829346199</v>
          </cell>
          <cell r="AF150">
            <v>2.9686250057651001E-3</v>
          </cell>
          <cell r="AG150">
            <v>5.2577510637657901E-3</v>
          </cell>
          <cell r="AR150">
            <v>3.1043962495505159E-2</v>
          </cell>
          <cell r="BC150">
            <v>1.6131080581748693E-2</v>
          </cell>
          <cell r="BF150">
            <v>4.7175043077253835E-2</v>
          </cell>
        </row>
        <row r="151">
          <cell r="O151">
            <v>1.1144210713463301</v>
          </cell>
          <cell r="P151">
            <v>1.1144369537624199</v>
          </cell>
          <cell r="Q151">
            <v>1.1177741974742701</v>
          </cell>
          <cell r="U151">
            <v>2.9182907592849999E-4</v>
          </cell>
          <cell r="V151">
            <v>9.17379809013546E-4</v>
          </cell>
          <cell r="W151">
            <v>3.5819840864037699E-3</v>
          </cell>
          <cell r="Y151">
            <v>1.1139962285470999</v>
          </cell>
          <cell r="Z151">
            <v>1.1135510024102799</v>
          </cell>
          <cell r="AA151">
            <v>1.11709412616724</v>
          </cell>
          <cell r="AF151">
            <v>1.3973348442715399E-3</v>
          </cell>
          <cell r="AG151">
            <v>4.2107458625862898E-3</v>
          </cell>
          <cell r="AR151">
            <v>3.1043962495505159E-2</v>
          </cell>
          <cell r="BC151">
            <v>1.6726154643626603E-2</v>
          </cell>
          <cell r="BF151">
            <v>4.7770117139131749E-2</v>
          </cell>
        </row>
        <row r="152">
          <cell r="O152">
            <v>1.1144210713463301</v>
          </cell>
          <cell r="P152">
            <v>1.1136252192873699</v>
          </cell>
          <cell r="Q152">
            <v>1.11731098770809</v>
          </cell>
          <cell r="U152">
            <v>2.8201225639984898E-3</v>
          </cell>
          <cell r="V152">
            <v>2.8343741815639598E-3</v>
          </cell>
          <cell r="W152">
            <v>5.82445529142059E-3</v>
          </cell>
          <cell r="Y152">
            <v>1.1139962285470999</v>
          </cell>
          <cell r="Z152">
            <v>1.11265496657226</v>
          </cell>
          <cell r="AA152">
            <v>1.1165885869788901</v>
          </cell>
          <cell r="AF152">
            <v>3.2208329305602598E-3</v>
          </cell>
          <cell r="AG152">
            <v>6.3976060454751203E-3</v>
          </cell>
          <cell r="AR152">
            <v>3.1043962495505159E-2</v>
          </cell>
          <cell r="BC152">
            <v>1.4197861155556513E-2</v>
          </cell>
          <cell r="BF152">
            <v>4.5241823651061656E-2</v>
          </cell>
        </row>
        <row r="153">
          <cell r="O153">
            <v>1.1144210713463301</v>
          </cell>
          <cell r="P153">
            <v>1.1134353083488899</v>
          </cell>
          <cell r="Q153">
            <v>1.11700525727557</v>
          </cell>
          <cell r="U153">
            <v>1.0568234507090199E-3</v>
          </cell>
          <cell r="V153">
            <v>3.4242887448058602E-4</v>
          </cell>
          <cell r="W153">
            <v>3.6466665865147398E-3</v>
          </cell>
          <cell r="Y153">
            <v>1.1139962285470999</v>
          </cell>
          <cell r="Z153">
            <v>1.11237661649772</v>
          </cell>
          <cell r="AA153">
            <v>1.11623924363709</v>
          </cell>
          <cell r="AF153">
            <v>6.6523557655864005E-4</v>
          </cell>
          <cell r="AG153">
            <v>4.1943470395139201E-3</v>
          </cell>
          <cell r="AR153">
            <v>3.1043962495505159E-2</v>
          </cell>
          <cell r="BC153">
            <v>1.5961160268846E-2</v>
          </cell>
          <cell r="BF153">
            <v>4.7005122764351141E-2</v>
          </cell>
        </row>
        <row r="154">
          <cell r="O154">
            <v>1.1144210713463301</v>
          </cell>
          <cell r="P154">
            <v>1.1136697245651701</v>
          </cell>
          <cell r="Q154">
            <v>1.11686987664694</v>
          </cell>
          <cell r="U154">
            <v>-2.3934668289786799E-3</v>
          </cell>
          <cell r="V154">
            <v>-3.2784099256307001E-3</v>
          </cell>
          <cell r="W154">
            <v>-7.7291697968843396E-5</v>
          </cell>
          <cell r="Y154">
            <v>1.1139962285470999</v>
          </cell>
          <cell r="Z154">
            <v>1.1125226473079799</v>
          </cell>
          <cell r="AA154">
            <v>1.11606025666252</v>
          </cell>
          <cell r="AF154">
            <v>-3.0346572932168901E-3</v>
          </cell>
          <cell r="AG154">
            <v>4.3173732077280601E-4</v>
          </cell>
          <cell r="AR154">
            <v>3.1043962495505159E-2</v>
          </cell>
          <cell r="BC154">
            <v>1.94114505485335E-2</v>
          </cell>
          <cell r="BF154">
            <v>5.0455413044038638E-2</v>
          </cell>
        </row>
        <row r="155">
          <cell r="O155">
            <v>1.1144210713463301</v>
          </cell>
          <cell r="P155">
            <v>1.1133546605602</v>
          </cell>
          <cell r="Q155">
            <v>1.1166068973921299</v>
          </cell>
          <cell r="U155">
            <v>3.7453536413647797E-4</v>
          </cell>
          <cell r="V155">
            <v>-2.99895687787888E-4</v>
          </cell>
          <cell r="W155">
            <v>2.5695035156308899E-3</v>
          </cell>
          <cell r="Y155">
            <v>1.1139962285470999</v>
          </cell>
          <cell r="Z155">
            <v>1.1121227516252601</v>
          </cell>
          <cell r="AA155">
            <v>1.1157555782214801</v>
          </cell>
          <cell r="AF155">
            <v>-1.61349376509316E-4</v>
          </cell>
          <cell r="AG155">
            <v>3.01341456838393E-3</v>
          </cell>
          <cell r="AR155">
            <v>3.1043962495505159E-2</v>
          </cell>
          <cell r="BC155">
            <v>1.94114505485335E-2</v>
          </cell>
          <cell r="BF155">
            <v>5.0455413044038638E-2</v>
          </cell>
        </row>
        <row r="156">
          <cell r="O156">
            <v>1.1144210713463301</v>
          </cell>
          <cell r="P156">
            <v>1.1138323983952401</v>
          </cell>
          <cell r="Q156">
            <v>1.11639733599207</v>
          </cell>
          <cell r="U156">
            <v>-1.8729829369602199E-3</v>
          </cell>
          <cell r="V156">
            <v>-2.8303601561370999E-3</v>
          </cell>
          <cell r="W156">
            <v>8.6496527938938802E-5</v>
          </cell>
          <cell r="Y156">
            <v>1.1139962285470999</v>
          </cell>
          <cell r="Z156">
            <v>1.1125098746037201</v>
          </cell>
          <cell r="AA156">
            <v>1.1155038786990701</v>
          </cell>
          <cell r="AF156">
            <v>-2.7540261524328698E-3</v>
          </cell>
          <cell r="AG156">
            <v>5.0722000034165396E-4</v>
          </cell>
          <cell r="AR156">
            <v>3.1043962495505159E-2</v>
          </cell>
          <cell r="BC156">
            <v>2.165896884963019E-2</v>
          </cell>
          <cell r="BF156">
            <v>5.2702931345135332E-2</v>
          </cell>
        </row>
        <row r="157">
          <cell r="O157">
            <v>1.1144210713463301</v>
          </cell>
          <cell r="P157">
            <v>1.1142494434211301</v>
          </cell>
          <cell r="Q157">
            <v>1.1162625054017701</v>
          </cell>
          <cell r="U157">
            <v>-3.6513516782721799E-3</v>
          </cell>
          <cell r="V157">
            <v>-4.1797233135235602E-3</v>
          </cell>
          <cell r="W157">
            <v>-1.8795667976795199E-3</v>
          </cell>
          <cell r="Y157">
            <v>1.1139962285470999</v>
          </cell>
          <cell r="Z157">
            <v>1.11292736388962</v>
          </cell>
          <cell r="AA157">
            <v>1.1153260936630101</v>
          </cell>
          <cell r="AF157">
            <v>-4.1701925201354899E-3</v>
          </cell>
          <cell r="AG157">
            <v>-1.48259160824169E-3</v>
          </cell>
          <cell r="AR157">
            <v>3.1043962495505159E-2</v>
          </cell>
          <cell r="BC157">
            <v>2.165896884963019E-2</v>
          </cell>
          <cell r="BF157">
            <v>5.2702931345135332E-2</v>
          </cell>
        </row>
        <row r="158">
          <cell r="O158">
            <v>1.1144210713463301</v>
          </cell>
          <cell r="P158">
            <v>1.11453718927637</v>
          </cell>
          <cell r="Q158">
            <v>1.1157093680605199</v>
          </cell>
          <cell r="U158">
            <v>-1.6080229301315899E-4</v>
          </cell>
          <cell r="V158">
            <v>-3.1482050647684999E-4</v>
          </cell>
          <cell r="W158">
            <v>1.49020235230782E-3</v>
          </cell>
          <cell r="Y158">
            <v>1.1139962285470999</v>
          </cell>
          <cell r="Z158">
            <v>1.1132115017754201</v>
          </cell>
          <cell r="AA158">
            <v>1.11473147472011</v>
          </cell>
          <cell r="AF158">
            <v>-3.0730005768584399E-4</v>
          </cell>
          <cell r="AG158">
            <v>1.8457141713412099E-3</v>
          </cell>
          <cell r="AR158">
            <v>3.1043962495505159E-2</v>
          </cell>
          <cell r="BC158">
            <v>2.165896884963019E-2</v>
          </cell>
          <cell r="BF158">
            <v>5.2702931345135332E-2</v>
          </cell>
        </row>
        <row r="159">
          <cell r="O159">
            <v>1.1144210713463301</v>
          </cell>
          <cell r="P159">
            <v>1.1149504676854101</v>
          </cell>
          <cell r="Q159">
            <v>1.1155322148187501</v>
          </cell>
          <cell r="U159">
            <v>-2.0835076456679302E-3</v>
          </cell>
          <cell r="V159">
            <v>-1.9793173320176599E-3</v>
          </cell>
          <cell r="W159">
            <v>-9.2815203531192701E-4</v>
          </cell>
          <cell r="Y159">
            <v>1.1139962285470999</v>
          </cell>
          <cell r="Z159">
            <v>1.1136203954106301</v>
          </cell>
          <cell r="AA159">
            <v>1.1145095577759601</v>
          </cell>
          <cell r="AF159">
            <v>-1.9519806604463301E-3</v>
          </cell>
          <cell r="AG159">
            <v>-5.8751738958058596E-4</v>
          </cell>
          <cell r="AR159">
            <v>3.1043962495505159E-2</v>
          </cell>
          <cell r="BC159">
            <v>2.165896884963019E-2</v>
          </cell>
          <cell r="BF159">
            <v>5.2702931345135332E-2</v>
          </cell>
        </row>
        <row r="160">
          <cell r="O160">
            <v>1.1144210713463301</v>
          </cell>
          <cell r="P160">
            <v>1.1152417983246601</v>
          </cell>
          <cell r="Q160">
            <v>1.1151801073393699</v>
          </cell>
          <cell r="U160">
            <v>-1.7261875055411601E-3</v>
          </cell>
          <cell r="V160">
            <v>-1.25125872874679E-3</v>
          </cell>
          <cell r="W160">
            <v>-7.2962531630588298E-4</v>
          </cell>
          <cell r="Y160">
            <v>1.1139962285470999</v>
          </cell>
          <cell r="Z160">
            <v>1.1139100568984599</v>
          </cell>
          <cell r="AA160">
            <v>1.11411399563491</v>
          </cell>
          <cell r="AF160">
            <v>-1.22825401444752E-3</v>
          </cell>
          <cell r="AG160">
            <v>-4.3012964000253899E-4</v>
          </cell>
          <cell r="AR160">
            <v>3.1043962495505159E-2</v>
          </cell>
          <cell r="BC160">
            <v>2.165896884963019E-2</v>
          </cell>
          <cell r="BF160">
            <v>5.2702931345135332E-2</v>
          </cell>
        </row>
        <row r="161">
          <cell r="O161">
            <v>1.1144210713463301</v>
          </cell>
          <cell r="P161">
            <v>1.1155691165836199</v>
          </cell>
          <cell r="Q161">
            <v>1.11500303517302</v>
          </cell>
          <cell r="U161">
            <v>-2.6418355502896501E-3</v>
          </cell>
          <cell r="V161">
            <v>-1.90564621282064E-3</v>
          </cell>
          <cell r="W161">
            <v>-1.96096398490022E-3</v>
          </cell>
          <cell r="Y161">
            <v>1.1139962285470999</v>
          </cell>
          <cell r="Z161">
            <v>1.1142342915955901</v>
          </cell>
          <cell r="AA161">
            <v>1.11389264700294</v>
          </cell>
          <cell r="AF161">
            <v>-1.8783117418978801E-3</v>
          </cell>
          <cell r="AG161">
            <v>-1.69524483399014E-3</v>
          </cell>
          <cell r="AR161">
            <v>3.1043962495505159E-2</v>
          </cell>
          <cell r="BC161">
            <v>2.165896884963019E-2</v>
          </cell>
          <cell r="BF161">
            <v>5.2702931345135332E-2</v>
          </cell>
        </row>
        <row r="162">
          <cell r="O162">
            <v>1.1144210713463301</v>
          </cell>
          <cell r="P162">
            <v>1.1161883631840399</v>
          </cell>
          <cell r="Q162">
            <v>1.1149067912357</v>
          </cell>
          <cell r="U162">
            <v>-2.7367681711515401E-3</v>
          </cell>
          <cell r="V162">
            <v>-1.7071265656119401E-3</v>
          </cell>
          <cell r="W162">
            <v>-2.21469268250102E-3</v>
          </cell>
          <cell r="Y162">
            <v>1.1139962285470999</v>
          </cell>
          <cell r="Z162">
            <v>1.11484685685897</v>
          </cell>
          <cell r="AA162">
            <v>1.1137509117156099</v>
          </cell>
          <cell r="AF162">
            <v>-1.6693239793331199E-3</v>
          </cell>
          <cell r="AG162">
            <v>-1.9759892679326999E-3</v>
          </cell>
          <cell r="AR162">
            <v>3.1043962495505159E-2</v>
          </cell>
          <cell r="BC162">
            <v>2.165896884963019E-2</v>
          </cell>
          <cell r="BF162">
            <v>5.2702931345135332E-2</v>
          </cell>
        </row>
        <row r="163">
          <cell r="O163">
            <v>1.1144210713463301</v>
          </cell>
          <cell r="P163">
            <v>1.11659236353177</v>
          </cell>
          <cell r="Q163">
            <v>1.1150138359403301</v>
          </cell>
          <cell r="U163">
            <v>-2.5656444854400299E-3</v>
          </cell>
          <cell r="V163">
            <v>-9.8106210168460105E-4</v>
          </cell>
          <cell r="W163">
            <v>-2.1298899199392002E-3</v>
          </cell>
          <cell r="Y163">
            <v>1.1139962285470999</v>
          </cell>
          <cell r="Z163">
            <v>1.1152473311876201</v>
          </cell>
          <cell r="AA163">
            <v>1.1138119738426699</v>
          </cell>
          <cell r="AF163">
            <v>-9.6193079014146598E-4</v>
          </cell>
          <cell r="AG163">
            <v>-1.94545975813668E-3</v>
          </cell>
          <cell r="AR163">
            <v>3.1043962495505159E-2</v>
          </cell>
          <cell r="BC163">
            <v>2.165896884963019E-2</v>
          </cell>
          <cell r="BF163">
            <v>5.2702931345135332E-2</v>
          </cell>
        </row>
        <row r="164">
          <cell r="O164">
            <v>1.1144210713463301</v>
          </cell>
          <cell r="P164">
            <v>1.11620850515207</v>
          </cell>
          <cell r="Q164">
            <v>1.1149391148586201</v>
          </cell>
          <cell r="U164">
            <v>1.0486806969610199E-3</v>
          </cell>
          <cell r="V164">
            <v>2.9951439831327302E-3</v>
          </cell>
          <cell r="W164">
            <v>1.5804428991491801E-3</v>
          </cell>
          <cell r="Y164">
            <v>1.1139962285470999</v>
          </cell>
          <cell r="Z164">
            <v>1.11486409227019</v>
          </cell>
          <cell r="AA164">
            <v>1.1136933697890901</v>
          </cell>
          <cell r="AF164">
            <v>2.9834218141211E-3</v>
          </cell>
          <cell r="AG164">
            <v>1.6955623658788999E-3</v>
          </cell>
          <cell r="AR164">
            <v>3.1043962495505159E-2</v>
          </cell>
          <cell r="BC164">
            <v>2.165896884963019E-2</v>
          </cell>
          <cell r="BF164">
            <v>5.2702931345135332E-2</v>
          </cell>
        </row>
        <row r="165">
          <cell r="O165">
            <v>1.1144210713463301</v>
          </cell>
          <cell r="P165">
            <v>1.11646710652864</v>
          </cell>
          <cell r="Q165">
            <v>1.1149108835444199</v>
          </cell>
          <cell r="U165">
            <v>-1.9441433969309E-3</v>
          </cell>
          <cell r="V165">
            <v>-3.4151586329743199E-4</v>
          </cell>
          <cell r="W165">
            <v>-1.4793970317412101E-3</v>
          </cell>
          <cell r="Y165">
            <v>1.1139962285470999</v>
          </cell>
          <cell r="Z165">
            <v>1.1151175095660899</v>
          </cell>
          <cell r="AA165">
            <v>1.1136201305956801</v>
          </cell>
          <cell r="AF165">
            <v>-3.3383906187321998E-4</v>
          </cell>
          <cell r="AG165">
            <v>-1.38449412348194E-3</v>
          </cell>
          <cell r="AR165">
            <v>3.1043962495505159E-2</v>
          </cell>
          <cell r="BC165">
            <v>2.165896884963019E-2</v>
          </cell>
          <cell r="BF165">
            <v>5.2702931345135332E-2</v>
          </cell>
        </row>
        <row r="166">
          <cell r="O166">
            <v>1.1144210713463301</v>
          </cell>
          <cell r="P166">
            <v>1.1163230041671801</v>
          </cell>
          <cell r="Q166">
            <v>1.1150777012812101</v>
          </cell>
          <cell r="U166">
            <v>-5.8149971525639802E-4</v>
          </cell>
          <cell r="V166">
            <v>1.2527793636086799E-3</v>
          </cell>
          <cell r="W166">
            <v>-1.4207461761778901E-4</v>
          </cell>
          <cell r="Y166">
            <v>1.1139962285470999</v>
          </cell>
          <cell r="Z166">
            <v>1.1149693958739999</v>
          </cell>
          <cell r="AA166">
            <v>1.11373963523886</v>
          </cell>
          <cell r="AF166">
            <v>1.26421568495955E-3</v>
          </cell>
          <cell r="AG166">
            <v>-7.9485941228025697E-5</v>
          </cell>
          <cell r="AR166">
            <v>3.1043962495505159E-2</v>
          </cell>
          <cell r="BC166">
            <v>2.165896884963019E-2</v>
          </cell>
          <cell r="BF166">
            <v>5.2702931345135332E-2</v>
          </cell>
        </row>
        <row r="167">
          <cell r="O167">
            <v>1.1144210713463301</v>
          </cell>
          <cell r="P167">
            <v>1.1158735716225401</v>
          </cell>
          <cell r="Q167">
            <v>1.11506150752183</v>
          </cell>
          <cell r="U167">
            <v>3.7492339052236698E-4</v>
          </cell>
          <cell r="V167">
            <v>2.0801241821203501E-3</v>
          </cell>
          <cell r="W167">
            <v>9.6396157428912499E-4</v>
          </cell>
          <cell r="Y167">
            <v>1.1139962285470999</v>
          </cell>
          <cell r="Z167">
            <v>1.1145183608729201</v>
          </cell>
          <cell r="AA167">
            <v>1.1137228623812701</v>
          </cell>
          <cell r="AF167">
            <v>2.0836649374242899E-3</v>
          </cell>
          <cell r="AG167">
            <v>9.8010162540751195E-4</v>
          </cell>
          <cell r="AR167">
            <v>3.1043962495505159E-2</v>
          </cell>
          <cell r="BC167">
            <v>2.165896884963019E-2</v>
          </cell>
          <cell r="BF167">
            <v>5.2702931345135332E-2</v>
          </cell>
        </row>
        <row r="168">
          <cell r="O168">
            <v>1.1144210713463301</v>
          </cell>
          <cell r="P168">
            <v>1.1157458856446001</v>
          </cell>
          <cell r="Q168">
            <v>1.1151415374604801</v>
          </cell>
          <cell r="U168">
            <v>9.854307766724189E-4</v>
          </cell>
          <cell r="V168">
            <v>2.28794969375197E-3</v>
          </cell>
          <cell r="W168">
            <v>1.55994631600831E-3</v>
          </cell>
          <cell r="Y168">
            <v>1.1139962285470999</v>
          </cell>
          <cell r="Z168">
            <v>1.1143503190442801</v>
          </cell>
          <cell r="AA168">
            <v>1.1137809104098499</v>
          </cell>
          <cell r="AF168">
            <v>2.6318243349959698E-3</v>
          </cell>
          <cell r="AG168">
            <v>1.9178096070155901E-3</v>
          </cell>
          <cell r="AR168">
            <v>3.1043962495505159E-2</v>
          </cell>
          <cell r="BC168">
            <v>2.165896884963019E-2</v>
          </cell>
          <cell r="BF168">
            <v>5.2702931345135332E-2</v>
          </cell>
        </row>
        <row r="169">
          <cell r="O169">
            <v>1.1144210713463301</v>
          </cell>
          <cell r="P169">
            <v>1.1154325146644599</v>
          </cell>
          <cell r="Q169">
            <v>1.1151914911749301</v>
          </cell>
          <cell r="U169">
            <v>7.26546301757664E-4</v>
          </cell>
          <cell r="V169">
            <v>1.91463174975502E-3</v>
          </cell>
          <cell r="W169">
            <v>1.3728310361571399E-3</v>
          </cell>
          <cell r="Y169">
            <v>1.1139962285470999</v>
          </cell>
          <cell r="Z169">
            <v>1.1139996942733399</v>
          </cell>
          <cell r="AA169">
            <v>1.1138100448419801</v>
          </cell>
          <cell r="AF169">
            <v>2.2189762589011701E-3</v>
          </cell>
          <cell r="AG169">
            <v>1.7078675420582E-3</v>
          </cell>
          <cell r="AR169">
            <v>3.1043962495505159E-2</v>
          </cell>
          <cell r="BC169">
            <v>2.165896884963019E-2</v>
          </cell>
          <cell r="BF169">
            <v>5.2702931345135332E-2</v>
          </cell>
        </row>
        <row r="170">
          <cell r="O170">
            <v>1.1144210713463301</v>
          </cell>
          <cell r="P170">
            <v>1.1150900830227699</v>
          </cell>
          <cell r="Q170">
            <v>1.11516594067372</v>
          </cell>
          <cell r="U170">
            <v>1.3459583897905501E-3</v>
          </cell>
          <cell r="V170">
            <v>2.2531420666380099E-3</v>
          </cell>
          <cell r="W170">
            <v>2.0370379721486001E-3</v>
          </cell>
          <cell r="Y170">
            <v>1.1139962285470999</v>
          </cell>
          <cell r="Z170">
            <v>1.1136225035588001</v>
          </cell>
          <cell r="AA170">
            <v>1.1137662802286299</v>
          </cell>
          <cell r="AF170">
            <v>2.5009323544087901E-3</v>
          </cell>
          <cell r="AG170">
            <v>2.3306759555034701E-3</v>
          </cell>
          <cell r="AR170">
            <v>3.1043962495505159E-2</v>
          </cell>
          <cell r="BC170">
            <v>2.165896884963019E-2</v>
          </cell>
          <cell r="BF170">
            <v>5.2702931345135332E-2</v>
          </cell>
        </row>
        <row r="171">
          <cell r="O171">
            <v>1.1144210713463301</v>
          </cell>
          <cell r="P171">
            <v>1.1148441899871899</v>
          </cell>
          <cell r="Q171">
            <v>1.1152066532854099</v>
          </cell>
          <cell r="U171">
            <v>-4.38767658416457E-4</v>
          </cell>
          <cell r="V171">
            <v>1.61374390845239E-4</v>
          </cell>
          <cell r="W171">
            <v>2.29400348557013E-4</v>
          </cell>
          <cell r="Y171">
            <v>1.1139962285470999</v>
          </cell>
          <cell r="Z171">
            <v>1.11334134769983</v>
          </cell>
          <cell r="AA171">
            <v>1.11378781964771</v>
          </cell>
          <cell r="AF171">
            <v>3.8599405093579E-4</v>
          </cell>
          <cell r="AG171">
            <v>5.15092905232453E-4</v>
          </cell>
          <cell r="AR171">
            <v>3.1043962495505159E-2</v>
          </cell>
          <cell r="BC171">
            <v>2.165896884963019E-2</v>
          </cell>
          <cell r="BF171">
            <v>5.2702931345135332E-2</v>
          </cell>
        </row>
        <row r="172">
          <cell r="O172">
            <v>1.1144210713463301</v>
          </cell>
          <cell r="P172">
            <v>1.11458231686104</v>
          </cell>
          <cell r="Q172">
            <v>1.11538534002254</v>
          </cell>
          <cell r="U172">
            <v>-3.9058226013829198E-4</v>
          </cell>
          <cell r="V172">
            <v>-1.09785823853674E-5</v>
          </cell>
          <cell r="W172">
            <v>3.1409320017069902E-4</v>
          </cell>
          <cell r="Y172">
            <v>1.1139962285470999</v>
          </cell>
          <cell r="Z172">
            <v>1.1130476438291399</v>
          </cell>
          <cell r="AA172">
            <v>1.1139472503440599</v>
          </cell>
          <cell r="AF172">
            <v>1.63955468497787E-4</v>
          </cell>
          <cell r="AG172">
            <v>5.6489490246202398E-4</v>
          </cell>
          <cell r="AR172">
            <v>3.1043962495505159E-2</v>
          </cell>
          <cell r="BC172">
            <v>2.165896884963019E-2</v>
          </cell>
          <cell r="BF172">
            <v>5.2702931345135332E-2</v>
          </cell>
        </row>
        <row r="173">
          <cell r="O173">
            <v>1.1144210713463301</v>
          </cell>
          <cell r="P173">
            <v>1.11463569777145</v>
          </cell>
          <cell r="Q173">
            <v>1.11561403065161</v>
          </cell>
          <cell r="U173">
            <v>-3.04330428213961E-3</v>
          </cell>
          <cell r="V173">
            <v>-2.8986248116258701E-3</v>
          </cell>
          <cell r="W173">
            <v>-2.1784141899775498E-3</v>
          </cell>
          <cell r="Y173">
            <v>1.1139962285470999</v>
          </cell>
          <cell r="Z173">
            <v>1.11306342610258</v>
          </cell>
          <cell r="AA173">
            <v>1.1141553786450999</v>
          </cell>
          <cell r="AF173">
            <v>-2.7185184954863599E-3</v>
          </cell>
          <cell r="AG173">
            <v>-1.9106077398745201E-3</v>
          </cell>
          <cell r="AR173">
            <v>3.1043962495505159E-2</v>
          </cell>
          <cell r="BC173">
            <v>2.165896884963019E-2</v>
          </cell>
          <cell r="BF173">
            <v>5.2702931345135332E-2</v>
          </cell>
        </row>
        <row r="174">
          <cell r="O174">
            <v>1.1144210713463301</v>
          </cell>
          <cell r="P174">
            <v>1.1150381863293299</v>
          </cell>
          <cell r="Q174">
            <v>1.1156233457407001</v>
          </cell>
          <cell r="U174">
            <v>-2.5602268772381902E-3</v>
          </cell>
          <cell r="V174">
            <v>-2.3676553566214899E-3</v>
          </cell>
          <cell r="W174">
            <v>-1.4903249568524E-3</v>
          </cell>
          <cell r="Y174">
            <v>1.1139962285470999</v>
          </cell>
          <cell r="Z174">
            <v>1.1134228933391399</v>
          </cell>
          <cell r="AA174">
            <v>1.1141434928046701</v>
          </cell>
          <cell r="AF174">
            <v>-2.2043454952566399E-3</v>
          </cell>
          <cell r="AG174">
            <v>-1.2237928637097099E-3</v>
          </cell>
          <cell r="AR174">
            <v>3.1043962495505159E-2</v>
          </cell>
          <cell r="BC174">
            <v>2.165896884963019E-2</v>
          </cell>
          <cell r="BF174">
            <v>5.2702931345135332E-2</v>
          </cell>
        </row>
        <row r="175">
          <cell r="O175">
            <v>1.1144210713463301</v>
          </cell>
          <cell r="P175">
            <v>1.1145920682433099</v>
          </cell>
          <cell r="Q175">
            <v>1.1155295873859701</v>
          </cell>
          <cell r="U175">
            <v>2.0592218443631401E-3</v>
          </cell>
          <cell r="V175">
            <v>2.6128224510010298E-3</v>
          </cell>
          <cell r="W175">
            <v>3.13747347167923E-3</v>
          </cell>
          <cell r="Y175">
            <v>1.1139962285470999</v>
          </cell>
          <cell r="Z175">
            <v>1.1129427524396001</v>
          </cell>
          <cell r="AA175">
            <v>1.11403013100284</v>
          </cell>
          <cell r="AF175">
            <v>2.6871902652111702E-3</v>
          </cell>
          <cell r="AG175">
            <v>3.33417389285525E-3</v>
          </cell>
          <cell r="AR175">
            <v>3.1043962495505159E-2</v>
          </cell>
          <cell r="BC175">
            <v>2.165896884963019E-2</v>
          </cell>
          <cell r="BF175">
            <v>5.2702931345135332E-2</v>
          </cell>
        </row>
        <row r="176">
          <cell r="O176">
            <v>1.1144210713463301</v>
          </cell>
          <cell r="P176">
            <v>1.1143850201796099</v>
          </cell>
          <cell r="Q176">
            <v>1.1153540121734</v>
          </cell>
          <cell r="U176">
            <v>1.27704421675285E-3</v>
          </cell>
          <cell r="V176">
            <v>1.4304725606931301E-3</v>
          </cell>
          <cell r="W176">
            <v>2.2712510855131501E-3</v>
          </cell>
          <cell r="Y176">
            <v>1.1139962285470999</v>
          </cell>
          <cell r="Z176">
            <v>1.11269915754529</v>
          </cell>
          <cell r="AA176">
            <v>1.1138342767096501</v>
          </cell>
          <cell r="AF176">
            <v>1.5016984392596201E-3</v>
          </cell>
          <cell r="AG176">
            <v>2.47825155110914E-3</v>
          </cell>
          <cell r="AR176">
            <v>3.1043962495505159E-2</v>
          </cell>
          <cell r="BC176">
            <v>2.2441146477240492E-2</v>
          </cell>
          <cell r="BF176">
            <v>5.3485108972745631E-2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EAA81-FF39-4CE3-814E-9B43EA970565}">
  <dimension ref="A1:DZ179"/>
  <sheetViews>
    <sheetView tabSelected="1" topLeftCell="BJ19" workbookViewId="0">
      <selection activeCell="CK36" sqref="CK36"/>
    </sheetView>
  </sheetViews>
  <sheetFormatPr defaultRowHeight="15" x14ac:dyDescent="0.25"/>
  <cols>
    <col min="1" max="1" width="9.42578125" bestFit="1" customWidth="1"/>
    <col min="2" max="3" width="10" style="33" bestFit="1" customWidth="1"/>
    <col min="4" max="4" width="12.28515625" style="15" bestFit="1" customWidth="1"/>
    <col min="5" max="5" width="11.7109375" style="15" bestFit="1" customWidth="1"/>
    <col min="6" max="6" width="10.7109375" style="33" bestFit="1" customWidth="1"/>
    <col min="7" max="7" width="19.140625" style="33" bestFit="1" customWidth="1"/>
    <col min="8" max="8" width="10.140625" style="33" bestFit="1" customWidth="1"/>
    <col min="9" max="9" width="18.5703125" style="33" bestFit="1" customWidth="1"/>
    <col min="10" max="10" width="21.85546875" style="33" bestFit="1" customWidth="1"/>
    <col min="11" max="11" width="21.140625" style="33" bestFit="1" customWidth="1"/>
    <col min="12" max="13" width="10" style="33" bestFit="1" customWidth="1"/>
    <col min="14" max="14" width="12.85546875" style="34" bestFit="1" customWidth="1"/>
    <col min="15" max="15" width="16.42578125" style="34" bestFit="1" customWidth="1"/>
    <col min="16" max="17" width="19.85546875" style="34" bestFit="1" customWidth="1"/>
    <col min="18" max="18" width="12.42578125" style="33" bestFit="1" customWidth="1"/>
    <col min="19" max="20" width="15.85546875" style="33" bestFit="1" customWidth="1"/>
    <col min="21" max="21" width="24.28515625" style="15" bestFit="1" customWidth="1"/>
    <col min="22" max="23" width="27.7109375" style="15" bestFit="1" customWidth="1"/>
    <col min="24" max="24" width="15" style="34" bestFit="1" customWidth="1"/>
    <col min="25" max="25" width="18.5703125" style="34" bestFit="1" customWidth="1"/>
    <col min="26" max="27" width="22" style="34" bestFit="1" customWidth="1"/>
    <col min="28" max="28" width="13.5703125" style="33" bestFit="1" customWidth="1"/>
    <col min="29" max="30" width="16.85546875" style="33" bestFit="1" customWidth="1"/>
    <col min="31" max="31" width="26.42578125" style="15" bestFit="1" customWidth="1"/>
    <col min="32" max="33" width="29.85546875" style="15" bestFit="1" customWidth="1"/>
    <col min="34" max="34" width="1.7109375" style="9" customWidth="1"/>
    <col min="35" max="35" width="7.7109375" style="15" bestFit="1" customWidth="1"/>
    <col min="36" max="36" width="6.2851562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2.28515625" style="15" bestFit="1" customWidth="1"/>
    <col min="42" max="42" width="11.7109375" style="15" bestFit="1" customWidth="1"/>
    <col min="43" max="43" width="7.570312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2.28515625" style="15" bestFit="1" customWidth="1"/>
    <col min="53" max="53" width="11.7109375" style="15" bestFit="1" customWidth="1"/>
    <col min="54" max="54" width="7.5703125" style="15" bestFit="1" customWidth="1"/>
    <col min="55" max="55" width="8.7109375" style="15" bestFit="1" customWidth="1"/>
    <col min="56" max="56" width="1.7109375" style="9" customWidth="1"/>
    <col min="57" max="57" width="7.570312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1.8741479207613496</v>
      </c>
      <c r="AJ1" s="4">
        <v>0</v>
      </c>
      <c r="AK1" s="4">
        <f t="shared" ref="AK1:AQ1" si="0">AJ1-$AK12</f>
        <v>-5.0000000000000001E-4</v>
      </c>
      <c r="AL1" s="4">
        <f t="shared" si="0"/>
        <v>-1E-3</v>
      </c>
      <c r="AM1" s="4">
        <f t="shared" si="0"/>
        <v>-1.5E-3</v>
      </c>
      <c r="AN1" s="4">
        <f t="shared" si="0"/>
        <v>-2E-3</v>
      </c>
      <c r="AO1" s="4">
        <f t="shared" si="0"/>
        <v>-2.5000000000000001E-3</v>
      </c>
      <c r="AP1" s="4">
        <f t="shared" si="0"/>
        <v>-3.0000000000000001E-3</v>
      </c>
      <c r="AQ1" s="4">
        <f t="shared" si="0"/>
        <v>-3.5000000000000001E-3</v>
      </c>
      <c r="AR1" s="5" t="s">
        <v>33</v>
      </c>
      <c r="AS1" s="2"/>
      <c r="AT1" s="3">
        <f>BB16</f>
        <v>2.197215788932696</v>
      </c>
      <c r="AU1" s="4">
        <v>0</v>
      </c>
      <c r="AV1" s="6">
        <f>AU1+$AV12</f>
        <v>5.0000000000000001E-4</v>
      </c>
      <c r="AW1" s="6">
        <f t="shared" ref="AW1:BB1" si="1">AV1+$AV12</f>
        <v>1E-3</v>
      </c>
      <c r="AX1" s="6">
        <f t="shared" si="1"/>
        <v>1.5E-3</v>
      </c>
      <c r="AY1" s="6">
        <f t="shared" si="1"/>
        <v>2E-3</v>
      </c>
      <c r="AZ1" s="6">
        <f t="shared" si="1"/>
        <v>2.5000000000000001E-3</v>
      </c>
      <c r="BA1" s="6">
        <f t="shared" si="1"/>
        <v>3.0000000000000001E-3</v>
      </c>
      <c r="BB1" s="6">
        <f t="shared" si="1"/>
        <v>3.5000000000000001E-3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48.31</v>
      </c>
      <c r="C2" s="33">
        <v>50.05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48.31</v>
      </c>
      <c r="M2" s="33">
        <v>50.05</v>
      </c>
      <c r="N2" s="34">
        <v>1.0360173877044001</v>
      </c>
      <c r="O2" s="34">
        <v>1.0403907452411401</v>
      </c>
      <c r="X2" s="34">
        <v>1.0360173877044001</v>
      </c>
      <c r="Y2" s="34">
        <v>1.0384904608674399</v>
      </c>
      <c r="AI2" s="4">
        <v>0</v>
      </c>
      <c r="AJ2" s="10">
        <f t="dataTable" ref="AJ2:AQ9" dt2D="1" dtr="1" r1="AI21" r2="AI22"/>
        <v>0.450673677014717</v>
      </c>
      <c r="AK2" s="10">
        <v>0.94958548715079216</v>
      </c>
      <c r="AL2" s="10">
        <v>0.96742541919024272</v>
      </c>
      <c r="AM2" s="10">
        <v>0.38786503489120583</v>
      </c>
      <c r="AN2" s="10">
        <v>0.49053883944816751</v>
      </c>
      <c r="AO2" s="10">
        <v>0.21120071094278076</v>
      </c>
      <c r="AP2" s="10">
        <v>-5.4870129073062116E-2</v>
      </c>
      <c r="AQ2" s="10">
        <v>-0.20060070103395969</v>
      </c>
      <c r="AR2"/>
      <c r="AT2" s="4">
        <v>0</v>
      </c>
      <c r="AU2" s="10">
        <f t="dataTable" ref="AU2:BB9" dt2D="1" dtr="1" r1="AT21" r2="AT22"/>
        <v>2.8169114102688324</v>
      </c>
      <c r="AV2" s="11">
        <v>3.3546888611035182</v>
      </c>
      <c r="AW2" s="11">
        <v>2.197215788932696</v>
      </c>
      <c r="AX2" s="11">
        <v>1.1976767523103515</v>
      </c>
      <c r="AY2" s="11" t="e">
        <v>#DIV/0!</v>
      </c>
      <c r="AZ2" s="11" t="e">
        <v>#DIV/0!</v>
      </c>
      <c r="BA2" s="11" t="e">
        <v>#DIV/0!</v>
      </c>
      <c r="BB2" s="11" t="e">
        <v>#DIV/0!</v>
      </c>
      <c r="BC2"/>
    </row>
    <row r="3" spans="1:130" x14ac:dyDescent="0.25">
      <c r="A3" s="1">
        <v>46027</v>
      </c>
      <c r="B3" s="33">
        <v>48.38</v>
      </c>
      <c r="C3" s="33">
        <v>50.09</v>
      </c>
      <c r="D3" s="15">
        <v>1.44792661556586E-3</v>
      </c>
      <c r="E3" s="15">
        <v>7.9888160829585703E-4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48.38</v>
      </c>
      <c r="M3" s="33">
        <v>50.09</v>
      </c>
      <c r="N3" s="34">
        <v>1.0353451839603101</v>
      </c>
      <c r="O3" s="34">
        <v>1.0403907452411401</v>
      </c>
      <c r="R3" s="33">
        <v>50.334104254766402</v>
      </c>
      <c r="U3" s="15">
        <v>4.86147697985912E-3</v>
      </c>
      <c r="X3" s="34">
        <v>1.0353451839603101</v>
      </c>
      <c r="Y3" s="34">
        <v>1.0384904608674399</v>
      </c>
      <c r="AB3" s="33">
        <v>50.242168496767</v>
      </c>
      <c r="AE3" s="15">
        <v>3.03329661305381E-3</v>
      </c>
      <c r="AI3" s="4">
        <f t="shared" ref="AI3:AI9" si="2">AI2-AK$12</f>
        <v>-5.0000000000000001E-4</v>
      </c>
      <c r="AJ3" s="10">
        <v>0.450673677014717</v>
      </c>
      <c r="AK3" s="10">
        <v>1.2616640445200558</v>
      </c>
      <c r="AL3" s="10">
        <v>0.952621769944485</v>
      </c>
      <c r="AM3" s="10">
        <v>6.6718984455265168E-2</v>
      </c>
      <c r="AN3" s="10">
        <v>0.14685100254652708</v>
      </c>
      <c r="AO3" s="11">
        <v>-2.8898050545523881E-2</v>
      </c>
      <c r="AP3" s="10">
        <v>-5.4870129073062116E-2</v>
      </c>
      <c r="AQ3" s="10">
        <v>-0.20060070103395969</v>
      </c>
      <c r="AR3"/>
      <c r="AT3" s="4">
        <f>AT2+AV$12</f>
        <v>5.0000000000000001E-4</v>
      </c>
      <c r="AU3" s="10">
        <v>2.8169114102688324</v>
      </c>
      <c r="AV3" s="11">
        <v>3.0159693806389023</v>
      </c>
      <c r="AW3" s="11">
        <v>1.7737721348074631</v>
      </c>
      <c r="AX3" s="11">
        <v>1.8091055130141718</v>
      </c>
      <c r="AY3" s="11" t="e">
        <v>#DIV/0!</v>
      </c>
      <c r="AZ3" s="11" t="e">
        <v>#DIV/0!</v>
      </c>
      <c r="BA3" s="11" t="e">
        <v>#DIV/0!</v>
      </c>
      <c r="BB3" s="11" t="e">
        <v>#DIV/0!</v>
      </c>
      <c r="BC3"/>
    </row>
    <row r="4" spans="1:130" x14ac:dyDescent="0.25">
      <c r="A4" s="1">
        <v>46028</v>
      </c>
      <c r="B4" s="33">
        <v>48.44</v>
      </c>
      <c r="C4" s="33">
        <v>50.16</v>
      </c>
      <c r="D4" s="15">
        <v>1.23941350301024E-3</v>
      </c>
      <c r="E4" s="15">
        <v>1.3965089551396599E-3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48.44</v>
      </c>
      <c r="M4" s="33">
        <v>50.16</v>
      </c>
      <c r="N4" s="34">
        <v>1.0355078447563899</v>
      </c>
      <c r="O4" s="34">
        <v>1.0403907452411401</v>
      </c>
      <c r="R4" s="33">
        <v>50.396527699480899</v>
      </c>
      <c r="U4" s="15">
        <v>4.7043815277295602E-3</v>
      </c>
      <c r="X4" s="34">
        <v>1.0355078447563899</v>
      </c>
      <c r="Y4" s="34">
        <v>1.0384904608674399</v>
      </c>
      <c r="AB4" s="33">
        <v>50.304477924418997</v>
      </c>
      <c r="AE4" s="15">
        <v>2.8762011609242701E-3</v>
      </c>
      <c r="AG4"/>
      <c r="AI4" s="4">
        <f t="shared" si="2"/>
        <v>-1E-3</v>
      </c>
      <c r="AJ4" s="10">
        <v>0.450673677014717</v>
      </c>
      <c r="AK4" s="11">
        <v>1.2616640445200558</v>
      </c>
      <c r="AL4" s="11">
        <v>0.84568407314312666</v>
      </c>
      <c r="AM4" s="11">
        <v>0.46385613561261613</v>
      </c>
      <c r="AN4" s="10">
        <v>1.384818504876473</v>
      </c>
      <c r="AO4" s="11">
        <v>1.1438035619696723</v>
      </c>
      <c r="AP4" s="11">
        <v>1.8741479207613496</v>
      </c>
      <c r="AQ4" s="11">
        <v>1.7986715035796537</v>
      </c>
      <c r="AR4"/>
      <c r="AT4" s="4">
        <f t="shared" ref="AT4:AT9" si="3">AT3+AV$12</f>
        <v>1E-3</v>
      </c>
      <c r="AU4" s="10">
        <v>2.8169114102688324</v>
      </c>
      <c r="AV4" s="11">
        <v>3.0159693806389023</v>
      </c>
      <c r="AW4" s="11">
        <v>2.8535326607443943</v>
      </c>
      <c r="AX4" s="11">
        <v>1.8091055130141718</v>
      </c>
      <c r="AY4" s="11" t="e">
        <v>#DIV/0!</v>
      </c>
      <c r="AZ4" s="11" t="e">
        <v>#DIV/0!</v>
      </c>
      <c r="BA4" s="11" t="e">
        <v>#DIV/0!</v>
      </c>
      <c r="BB4" s="11" t="e">
        <v>#DIV/0!</v>
      </c>
      <c r="BC4"/>
      <c r="BE4" s="8"/>
      <c r="BF4" s="8"/>
    </row>
    <row r="5" spans="1:130" x14ac:dyDescent="0.25">
      <c r="A5" s="1">
        <v>46029</v>
      </c>
      <c r="B5" s="33">
        <v>48.53</v>
      </c>
      <c r="C5" s="33">
        <v>50.22</v>
      </c>
      <c r="D5" s="15">
        <v>1.85624473223345E-3</v>
      </c>
      <c r="E5" s="15">
        <v>1.19545740477373E-3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48.53</v>
      </c>
      <c r="M5" s="33">
        <v>50.22</v>
      </c>
      <c r="N5" s="34">
        <v>1.0348238203173199</v>
      </c>
      <c r="O5" s="34">
        <v>1.0403907452411401</v>
      </c>
      <c r="R5" s="33">
        <v>50.490162866552602</v>
      </c>
      <c r="U5" s="15">
        <v>5.3651688551891704E-3</v>
      </c>
      <c r="X5" s="34">
        <v>1.0348238203173199</v>
      </c>
      <c r="Y5" s="34">
        <v>1.0384904608674399</v>
      </c>
      <c r="AB5" s="33">
        <v>50.397942065897098</v>
      </c>
      <c r="AE5" s="15">
        <v>3.5369884883838698E-3</v>
      </c>
      <c r="AG5" s="29"/>
      <c r="AI5" s="4">
        <f t="shared" si="2"/>
        <v>-1.5E-3</v>
      </c>
      <c r="AJ5" s="10">
        <v>0.450673677014717</v>
      </c>
      <c r="AK5" s="11">
        <v>1.2616640445200558</v>
      </c>
      <c r="AL5" s="11">
        <v>0.84568407314312666</v>
      </c>
      <c r="AM5" s="11">
        <v>1.4751068978463084</v>
      </c>
      <c r="AN5" s="11">
        <v>2.2872611773638716</v>
      </c>
      <c r="AO5" s="11">
        <v>1.3544420992023767</v>
      </c>
      <c r="AP5" s="10">
        <v>1.8741479207613496</v>
      </c>
      <c r="AQ5" s="11">
        <v>1.7986715035796537</v>
      </c>
      <c r="AR5"/>
      <c r="AT5" s="4">
        <f t="shared" si="3"/>
        <v>1.5E-3</v>
      </c>
      <c r="AU5" s="10">
        <v>2.8169114102688324</v>
      </c>
      <c r="AV5" s="11">
        <v>3.0159693806389023</v>
      </c>
      <c r="AW5" s="11">
        <v>2.8535326607443943</v>
      </c>
      <c r="AX5" s="11">
        <v>1.8091055130141718</v>
      </c>
      <c r="AY5" s="11" t="e">
        <v>#DIV/0!</v>
      </c>
      <c r="AZ5" s="11" t="e">
        <v>#DIV/0!</v>
      </c>
      <c r="BA5" s="11" t="e">
        <v>#DIV/0!</v>
      </c>
      <c r="BB5" s="11" t="e">
        <v>#DIV/0!</v>
      </c>
      <c r="BC5"/>
    </row>
    <row r="6" spans="1:130" x14ac:dyDescent="0.25">
      <c r="A6" s="1">
        <v>46030</v>
      </c>
      <c r="B6" s="33">
        <v>48.53</v>
      </c>
      <c r="C6" s="33">
        <v>50.21</v>
      </c>
      <c r="D6" s="15">
        <v>0</v>
      </c>
      <c r="E6" s="15">
        <v>-1.9914368282483101E-4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48.53</v>
      </c>
      <c r="M6" s="33">
        <v>50.21</v>
      </c>
      <c r="N6" s="34">
        <v>1.0346177622089401</v>
      </c>
      <c r="O6" s="34">
        <v>1.0403907452411401</v>
      </c>
      <c r="R6" s="33">
        <v>50.490162866552602</v>
      </c>
      <c r="U6" s="15">
        <v>5.5643125380141299E-3</v>
      </c>
      <c r="X6" s="34">
        <v>1.0346177622089401</v>
      </c>
      <c r="Y6" s="34">
        <v>1.0384904608674399</v>
      </c>
      <c r="AB6" s="33">
        <v>50.397942065897098</v>
      </c>
      <c r="AE6" s="15">
        <v>3.7361321712087799E-3</v>
      </c>
      <c r="AG6" s="29"/>
      <c r="AI6" s="4">
        <f t="shared" si="2"/>
        <v>-2E-3</v>
      </c>
      <c r="AJ6" s="10">
        <v>0.450673677014717</v>
      </c>
      <c r="AK6" s="11">
        <v>1.2616640445200558</v>
      </c>
      <c r="AL6" s="11">
        <v>0.84568407314312666</v>
      </c>
      <c r="AM6" s="11">
        <v>1.4751068978463084</v>
      </c>
      <c r="AN6" s="11">
        <v>2.8209358602632291</v>
      </c>
      <c r="AO6" s="11">
        <v>1.8626636898319455</v>
      </c>
      <c r="AP6" s="11">
        <v>1.8741479207613496</v>
      </c>
      <c r="AQ6" s="11">
        <v>1.7986715035796537</v>
      </c>
      <c r="AR6"/>
      <c r="AT6" s="4">
        <f t="shared" si="3"/>
        <v>2E-3</v>
      </c>
      <c r="AU6" s="10">
        <v>2.8169114102688324</v>
      </c>
      <c r="AV6" s="11">
        <v>3.0159693806389023</v>
      </c>
      <c r="AW6" s="11">
        <v>2.8535326607443943</v>
      </c>
      <c r="AX6" s="11">
        <v>1.8091055130141718</v>
      </c>
      <c r="AY6" s="11" t="e">
        <v>#DIV/0!</v>
      </c>
      <c r="AZ6" s="11" t="e">
        <v>#DIV/0!</v>
      </c>
      <c r="BA6" s="11" t="e">
        <v>#DIV/0!</v>
      </c>
      <c r="BB6" s="11" t="e">
        <v>#DIV/0!</v>
      </c>
      <c r="BC6"/>
    </row>
    <row r="7" spans="1:130" x14ac:dyDescent="0.25">
      <c r="A7" s="1">
        <v>46031</v>
      </c>
      <c r="B7" s="33">
        <v>48.54</v>
      </c>
      <c r="C7" s="33">
        <v>50.25</v>
      </c>
      <c r="D7" s="15">
        <v>2.0603688133041399E-4</v>
      </c>
      <c r="E7" s="15">
        <v>7.9633689257108196E-4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48.54</v>
      </c>
      <c r="M7" s="33">
        <v>50.25</v>
      </c>
      <c r="N7" s="34">
        <v>1.0352286773794801</v>
      </c>
      <c r="O7" s="34">
        <v>1.0403907452411401</v>
      </c>
      <c r="R7" s="33">
        <v>50.500566774005001</v>
      </c>
      <c r="U7" s="15">
        <v>4.9740125267734104E-3</v>
      </c>
      <c r="X7" s="34">
        <v>1.0352286773794801</v>
      </c>
      <c r="Y7" s="34">
        <v>1.0384904608674399</v>
      </c>
      <c r="AB7" s="33">
        <v>50.408326970505797</v>
      </c>
      <c r="AE7" s="15">
        <v>3.1458321599683501E-3</v>
      </c>
      <c r="AG7"/>
      <c r="AI7" s="4">
        <f t="shared" si="2"/>
        <v>-2.5000000000000001E-3</v>
      </c>
      <c r="AJ7" s="10">
        <v>0.450673677014717</v>
      </c>
      <c r="AK7" s="11">
        <v>1.2616640445200558</v>
      </c>
      <c r="AL7" s="11">
        <v>0.84568407314312666</v>
      </c>
      <c r="AM7" s="11">
        <v>1.4751068978463084</v>
      </c>
      <c r="AN7" s="11">
        <v>2.8209358602632291</v>
      </c>
      <c r="AO7" s="11">
        <v>1.3967415089313027</v>
      </c>
      <c r="AP7" s="11">
        <v>1.4362347957341168</v>
      </c>
      <c r="AQ7" s="11">
        <v>1.2750711555097241</v>
      </c>
      <c r="AR7"/>
      <c r="AT7" s="4">
        <f t="shared" si="3"/>
        <v>2.5000000000000001E-3</v>
      </c>
      <c r="AU7" s="10">
        <v>2.8169114102688324</v>
      </c>
      <c r="AV7" s="11">
        <v>3.0159693806389023</v>
      </c>
      <c r="AW7" s="11">
        <v>2.8535326607443943</v>
      </c>
      <c r="AX7" s="11">
        <v>1.8091055130141718</v>
      </c>
      <c r="AY7" s="11" t="e">
        <v>#DIV/0!</v>
      </c>
      <c r="AZ7" s="11" t="e">
        <v>#DIV/0!</v>
      </c>
      <c r="BA7" s="11" t="e">
        <v>#DIV/0!</v>
      </c>
      <c r="BB7" s="11" t="e">
        <v>#DIV/0!</v>
      </c>
      <c r="BC7"/>
    </row>
    <row r="8" spans="1:130" x14ac:dyDescent="0.25">
      <c r="A8" s="1">
        <v>46034</v>
      </c>
      <c r="B8" s="33">
        <v>48.58</v>
      </c>
      <c r="C8" s="33">
        <v>50.28</v>
      </c>
      <c r="D8" s="15">
        <v>8.2372327557099999E-4</v>
      </c>
      <c r="E8" s="15">
        <v>5.9683678286152496E-4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48.58</v>
      </c>
      <c r="M8" s="33">
        <v>50.28</v>
      </c>
      <c r="N8" s="34">
        <v>1.0349938246191801</v>
      </c>
      <c r="O8" s="34">
        <v>1.0403907452411401</v>
      </c>
      <c r="R8" s="33">
        <v>50.5421824038146</v>
      </c>
      <c r="U8" s="15">
        <v>5.2008990194830004E-3</v>
      </c>
      <c r="X8" s="34">
        <v>1.0349938246191801</v>
      </c>
      <c r="Y8" s="34">
        <v>1.0384904608674399</v>
      </c>
      <c r="AB8" s="33">
        <v>50.449866588940502</v>
      </c>
      <c r="AE8" s="15">
        <v>3.3727186526778699E-3</v>
      </c>
      <c r="AG8"/>
      <c r="AI8" s="4">
        <f t="shared" si="2"/>
        <v>-3.0000000000000001E-3</v>
      </c>
      <c r="AJ8" s="10">
        <v>0.450673677014717</v>
      </c>
      <c r="AK8" s="11">
        <v>1.2616640445200558</v>
      </c>
      <c r="AL8" s="11">
        <v>0.84568407314312666</v>
      </c>
      <c r="AM8" s="11">
        <v>1.4751068978463084</v>
      </c>
      <c r="AN8" s="11">
        <v>2.8209358602632291</v>
      </c>
      <c r="AO8" s="11">
        <v>1.3967415089313027</v>
      </c>
      <c r="AP8" s="11">
        <v>1.1013798187645534</v>
      </c>
      <c r="AQ8" s="11">
        <v>1.2750711555097241</v>
      </c>
      <c r="AR8"/>
      <c r="AT8" s="4">
        <f t="shared" si="3"/>
        <v>3.0000000000000001E-3</v>
      </c>
      <c r="AU8" s="10">
        <v>2.8169114102688324</v>
      </c>
      <c r="AV8" s="11">
        <v>3.0159693806389023</v>
      </c>
      <c r="AW8" s="11">
        <v>2.8535326607443943</v>
      </c>
      <c r="AX8" s="11">
        <v>1.8091055130141718</v>
      </c>
      <c r="AY8" s="11" t="e">
        <v>#DIV/0!</v>
      </c>
      <c r="AZ8" s="11" t="e">
        <v>#DIV/0!</v>
      </c>
      <c r="BA8" s="11" t="e">
        <v>#DIV/0!</v>
      </c>
      <c r="BB8" s="11" t="e">
        <v>#DIV/0!</v>
      </c>
      <c r="BC8"/>
    </row>
    <row r="9" spans="1:130" x14ac:dyDescent="0.25">
      <c r="A9" s="1">
        <v>46035</v>
      </c>
      <c r="B9" s="33">
        <v>48.54</v>
      </c>
      <c r="C9" s="33">
        <v>50.23</v>
      </c>
      <c r="D9" s="15">
        <v>-8.23723275571067E-4</v>
      </c>
      <c r="E9" s="15">
        <v>-9.9492596009337591E-4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48.54</v>
      </c>
      <c r="M9" s="33">
        <v>50.23</v>
      </c>
      <c r="N9" s="34">
        <v>1.0348166460651</v>
      </c>
      <c r="O9" s="34">
        <v>1.0403907452411401</v>
      </c>
      <c r="R9" s="33">
        <v>50.500566774005001</v>
      </c>
      <c r="U9" s="15">
        <v>5.3721017040053503E-3</v>
      </c>
      <c r="X9" s="34">
        <v>1.0348166460651</v>
      </c>
      <c r="Y9" s="34">
        <v>1.0384904608674399</v>
      </c>
      <c r="AB9" s="33">
        <v>50.408326970505797</v>
      </c>
      <c r="AE9" s="15">
        <v>3.54392133720012E-3</v>
      </c>
      <c r="AF9"/>
      <c r="AI9" s="4">
        <f t="shared" si="2"/>
        <v>-3.5000000000000001E-3</v>
      </c>
      <c r="AJ9" s="10">
        <v>0.450673677014717</v>
      </c>
      <c r="AK9" s="11">
        <v>1.2616640445200558</v>
      </c>
      <c r="AL9" s="11">
        <v>0.84568407314312666</v>
      </c>
      <c r="AM9" s="11">
        <v>1.4751068978463084</v>
      </c>
      <c r="AN9" s="11">
        <v>2.8209358602632291</v>
      </c>
      <c r="AO9" s="11">
        <v>1.3967415089313027</v>
      </c>
      <c r="AP9" s="11">
        <v>1.1013798187645534</v>
      </c>
      <c r="AQ9" s="11">
        <v>1.2750711555097241</v>
      </c>
      <c r="AR9"/>
      <c r="AT9" s="4">
        <f t="shared" si="3"/>
        <v>3.5000000000000001E-3</v>
      </c>
      <c r="AU9" s="10">
        <v>2.8169114102688324</v>
      </c>
      <c r="AV9" s="10">
        <v>3.0159693806389023</v>
      </c>
      <c r="AW9" s="10">
        <v>2.8535326607443943</v>
      </c>
      <c r="AX9" s="10">
        <v>1.8091055130141718</v>
      </c>
      <c r="AY9" s="10" t="e">
        <v>#DIV/0!</v>
      </c>
      <c r="AZ9" s="10" t="e">
        <v>#DIV/0!</v>
      </c>
      <c r="BA9" s="10" t="e">
        <v>#DIV/0!</v>
      </c>
      <c r="BB9" s="10" t="e">
        <v>#DIV/0!</v>
      </c>
      <c r="BC9"/>
    </row>
    <row r="10" spans="1:130" x14ac:dyDescent="0.25">
      <c r="A10" s="1">
        <v>46036</v>
      </c>
      <c r="B10" s="33">
        <v>48.61</v>
      </c>
      <c r="C10" s="33">
        <v>50.27</v>
      </c>
      <c r="D10" s="15">
        <v>1.4410707589088199E-3</v>
      </c>
      <c r="E10" s="15">
        <v>7.9601994253074E-4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48.61</v>
      </c>
      <c r="M10" s="33">
        <v>50.27</v>
      </c>
      <c r="N10" s="34">
        <v>1.0341493519851801</v>
      </c>
      <c r="O10" s="34">
        <v>1.0403907452411401</v>
      </c>
      <c r="R10" s="33">
        <v>50.573394126171898</v>
      </c>
      <c r="U10" s="15">
        <v>6.0171525203835301E-3</v>
      </c>
      <c r="X10" s="34">
        <v>1.0341493519851801</v>
      </c>
      <c r="Y10" s="34">
        <v>1.0384904608674399</v>
      </c>
      <c r="AB10" s="33">
        <v>50.4810213027665</v>
      </c>
      <c r="AE10" s="15">
        <v>4.1889721535781901E-3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48.59</v>
      </c>
      <c r="C11" s="33">
        <v>50.25</v>
      </c>
      <c r="D11" s="15">
        <v>-4.1152263955240999E-4</v>
      </c>
      <c r="E11" s="15">
        <v>-3.97930765298797E-4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48.59</v>
      </c>
      <c r="M11" s="33">
        <v>50.25</v>
      </c>
      <c r="N11" s="34">
        <v>1.0341634081086599</v>
      </c>
      <c r="O11" s="34">
        <v>1.0403907452411401</v>
      </c>
      <c r="P11" s="34">
        <v>1.0349663907105</v>
      </c>
      <c r="R11" s="33">
        <v>50.552586311267099</v>
      </c>
      <c r="U11" s="15">
        <v>6.0035606461299297E-3</v>
      </c>
      <c r="X11" s="34">
        <v>1.0341634081086599</v>
      </c>
      <c r="Y11" s="34">
        <v>1.0384904608674399</v>
      </c>
      <c r="Z11" s="34">
        <v>1.0349663907105</v>
      </c>
      <c r="AB11" s="33">
        <v>50.460251493549201</v>
      </c>
      <c r="AE11" s="15">
        <v>4.1753802793246097E-3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48.54</v>
      </c>
      <c r="C12" s="33">
        <v>50.23</v>
      </c>
      <c r="D12" s="15">
        <v>-1.0295481193563899E-3</v>
      </c>
      <c r="E12" s="15">
        <v>-3.9808917723188701E-4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48.54</v>
      </c>
      <c r="M12" s="33">
        <v>50.23</v>
      </c>
      <c r="N12" s="34">
        <v>1.0348166460651</v>
      </c>
      <c r="O12" s="34">
        <v>1.0403907452411401</v>
      </c>
      <c r="P12" s="34">
        <v>1.03484631654657</v>
      </c>
      <c r="R12" s="33">
        <v>50.500566774005001</v>
      </c>
      <c r="S12" s="33">
        <v>50.237268605087699</v>
      </c>
      <c r="U12" s="15">
        <v>5.3721017040053503E-3</v>
      </c>
      <c r="V12" s="15">
        <v>1.4469598310673E-4</v>
      </c>
      <c r="X12" s="34">
        <v>1.0348166460651</v>
      </c>
      <c r="Y12" s="34">
        <v>1.0384904608674399</v>
      </c>
      <c r="Z12" s="34">
        <v>1.03484631654657</v>
      </c>
      <c r="AB12" s="33">
        <v>50.408326970505797</v>
      </c>
      <c r="AC12" s="33">
        <v>50.237268605087699</v>
      </c>
      <c r="AE12" s="15">
        <v>3.54392133720012E-3</v>
      </c>
      <c r="AF12" s="15">
        <v>1.4469598310673E-4</v>
      </c>
      <c r="AK12" s="17">
        <v>5.0000000000000001E-4</v>
      </c>
      <c r="AL12" s="18" t="s">
        <v>37</v>
      </c>
      <c r="AM12" s="19" t="s">
        <v>38</v>
      </c>
      <c r="AV12" s="17">
        <v>5.0000000000000001E-4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48.39</v>
      </c>
      <c r="C13" s="33">
        <v>50.12</v>
      </c>
      <c r="D13" s="15">
        <v>-3.0950194932281398E-3</v>
      </c>
      <c r="E13" s="15">
        <v>-2.1923277340857601E-3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48.39</v>
      </c>
      <c r="M13" s="33">
        <v>50.12</v>
      </c>
      <c r="N13" s="34">
        <v>1.0357511882620301</v>
      </c>
      <c r="O13" s="34">
        <v>1.0403907452411401</v>
      </c>
      <c r="P13" s="34">
        <v>1.0348869169767401</v>
      </c>
      <c r="R13" s="33">
        <v>50.344508162218801</v>
      </c>
      <c r="S13" s="33">
        <v>50.076213257688501</v>
      </c>
      <c r="U13" s="15">
        <v>4.4694099448630504E-3</v>
      </c>
      <c r="V13" s="15">
        <v>-8.7401995894311499E-4</v>
      </c>
      <c r="X13" s="34">
        <v>1.0357511882620301</v>
      </c>
      <c r="Y13" s="34">
        <v>1.0384904608674399</v>
      </c>
      <c r="Z13" s="34">
        <v>1.0348869169767401</v>
      </c>
      <c r="AB13" s="33">
        <v>50.2525534013757</v>
      </c>
      <c r="AC13" s="33">
        <v>50.076213257688501</v>
      </c>
      <c r="AE13" s="15">
        <v>2.6412295780576201E-3</v>
      </c>
      <c r="AF13" s="15">
        <v>-8.7401995894311499E-4</v>
      </c>
    </row>
    <row r="14" spans="1:130" x14ac:dyDescent="0.25">
      <c r="A14" s="1">
        <v>46043</v>
      </c>
      <c r="B14" s="33">
        <v>48.43</v>
      </c>
      <c r="C14" s="33">
        <v>50.17</v>
      </c>
      <c r="D14" s="15">
        <v>8.2627560991058104E-4</v>
      </c>
      <c r="E14" s="15">
        <v>9.9710846829406197E-4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48.43</v>
      </c>
      <c r="M14" s="33">
        <v>50.17</v>
      </c>
      <c r="N14" s="34">
        <v>1.03592814371257</v>
      </c>
      <c r="O14" s="34">
        <v>1.0403907452411401</v>
      </c>
      <c r="P14" s="34">
        <v>1.0349289468723599</v>
      </c>
      <c r="R14" s="33">
        <v>50.386123792028499</v>
      </c>
      <c r="S14" s="33">
        <v>50.1195733891836</v>
      </c>
      <c r="U14" s="15">
        <v>4.29857708647941E-3</v>
      </c>
      <c r="V14" s="15">
        <v>-1.0056202925549499E-3</v>
      </c>
      <c r="X14" s="34">
        <v>1.03592814371257</v>
      </c>
      <c r="Y14" s="34">
        <v>1.0384904608674399</v>
      </c>
      <c r="Z14" s="34">
        <v>1.0349289468723599</v>
      </c>
      <c r="AB14" s="33">
        <v>50.294093019810397</v>
      </c>
      <c r="AC14" s="33">
        <v>50.1195733891836</v>
      </c>
      <c r="AE14" s="15">
        <v>2.47039671967408E-3</v>
      </c>
      <c r="AF14" s="15">
        <v>-1.0056202925549499E-3</v>
      </c>
      <c r="AQ14" s="20">
        <f>AVERAGE(AQ22:AQ176)</f>
        <v>2.915705515857709E-5</v>
      </c>
      <c r="AR14" s="21" t="s">
        <v>41</v>
      </c>
      <c r="BB14" s="20">
        <f>AVERAGE(BB22:BB176)</f>
        <v>4.3914968948505049E-5</v>
      </c>
      <c r="BC14" s="21" t="s">
        <v>41</v>
      </c>
      <c r="BD14" s="22"/>
      <c r="BE14" s="20">
        <f>AVERAGE(BE22:BE176)</f>
        <v>7.3072024107082142E-5</v>
      </c>
      <c r="BF14" s="21" t="s">
        <v>41</v>
      </c>
    </row>
    <row r="15" spans="1:130" x14ac:dyDescent="0.25">
      <c r="A15" s="1">
        <v>46044</v>
      </c>
      <c r="B15" s="33">
        <v>48.47</v>
      </c>
      <c r="C15" s="33">
        <v>50.19</v>
      </c>
      <c r="D15" s="15">
        <v>8.2559344214694396E-4</v>
      </c>
      <c r="E15" s="15">
        <v>3.9856517068051598E-4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48.47</v>
      </c>
      <c r="M15" s="33">
        <v>50.19</v>
      </c>
      <c r="N15" s="34">
        <v>1.0354858675469301</v>
      </c>
      <c r="O15" s="34">
        <v>1.0403907452411401</v>
      </c>
      <c r="P15" s="34">
        <v>1.03499515159532</v>
      </c>
      <c r="R15" s="33">
        <v>50.427739421838098</v>
      </c>
      <c r="S15" s="33">
        <v>50.163006054903299</v>
      </c>
      <c r="U15" s="15">
        <v>4.72560535794549E-3</v>
      </c>
      <c r="V15" s="15">
        <v>-5.3797981363850299E-4</v>
      </c>
      <c r="X15" s="34">
        <v>1.0354858675469301</v>
      </c>
      <c r="Y15" s="34">
        <v>1.0384904608674399</v>
      </c>
      <c r="Z15" s="34">
        <v>1.03499515159532</v>
      </c>
      <c r="AB15" s="33">
        <v>50.335632638245102</v>
      </c>
      <c r="AC15" s="33">
        <v>50.163006054903299</v>
      </c>
      <c r="AE15" s="15">
        <v>2.89742499114033E-3</v>
      </c>
      <c r="AF15" s="15">
        <v>-5.3797981363850299E-4</v>
      </c>
      <c r="AQ15" s="20">
        <f>STDEV(AQ22:AQ176)</f>
        <v>2.4696764665592608E-4</v>
      </c>
      <c r="AR15" s="21" t="s">
        <v>42</v>
      </c>
      <c r="BB15" s="20">
        <f>STDEV(BB22:BB176)</f>
        <v>3.1727813150470778E-4</v>
      </c>
      <c r="BC15" s="21" t="s">
        <v>42</v>
      </c>
      <c r="BD15" s="22"/>
      <c r="BE15" s="20">
        <f>STDEV(BE22:BE176)</f>
        <v>3.9884952037803532E-4</v>
      </c>
      <c r="BF15" s="21" t="s">
        <v>42</v>
      </c>
    </row>
    <row r="16" spans="1:130" x14ac:dyDescent="0.25">
      <c r="A16" s="1">
        <v>46045</v>
      </c>
      <c r="B16" s="33">
        <v>48.45</v>
      </c>
      <c r="C16" s="33">
        <v>50.16</v>
      </c>
      <c r="D16" s="15">
        <v>-4.1271152050925003E-4</v>
      </c>
      <c r="E16" s="15">
        <v>-5.9790734217704902E-4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48.45</v>
      </c>
      <c r="M16" s="33">
        <v>50.16</v>
      </c>
      <c r="N16" s="34">
        <v>1.03529411764705</v>
      </c>
      <c r="O16" s="34">
        <v>1.0403907452411401</v>
      </c>
      <c r="P16" s="34">
        <v>1.03506278713913</v>
      </c>
      <c r="R16" s="33">
        <v>50.406931606933298</v>
      </c>
      <c r="S16" s="33">
        <v>50.145515094793303</v>
      </c>
      <c r="U16" s="15">
        <v>4.9108011796135101E-3</v>
      </c>
      <c r="V16" s="15">
        <v>-2.8881573049472801E-4</v>
      </c>
      <c r="X16" s="34">
        <v>1.03529411764705</v>
      </c>
      <c r="Y16" s="34">
        <v>1.0384904608674399</v>
      </c>
      <c r="Z16" s="34">
        <v>1.03506278713913</v>
      </c>
      <c r="AB16" s="33">
        <v>50.314862829027703</v>
      </c>
      <c r="AC16" s="33">
        <v>50.145515094793303</v>
      </c>
      <c r="AE16" s="15">
        <v>3.0826208128081701E-3</v>
      </c>
      <c r="AF16" s="15">
        <v>-2.8881573049472801E-4</v>
      </c>
      <c r="AQ16" s="23">
        <f>SQRT(252)*AQ14/AQ15</f>
        <v>1.8741479207613496</v>
      </c>
      <c r="AR16" s="21" t="s">
        <v>43</v>
      </c>
      <c r="BB16" s="23">
        <f>SQRT(252)*BB14/BB15</f>
        <v>2.197215788932696</v>
      </c>
      <c r="BC16" s="21" t="s">
        <v>43</v>
      </c>
      <c r="BD16" s="22"/>
      <c r="BE16" s="23">
        <f>SQRT(252)*BE14/BE15</f>
        <v>2.9083209637591834</v>
      </c>
      <c r="BF16" s="21" t="s">
        <v>43</v>
      </c>
    </row>
    <row r="17" spans="1:124" x14ac:dyDescent="0.25">
      <c r="A17" s="1">
        <v>46048</v>
      </c>
      <c r="B17" s="33">
        <v>48.53</v>
      </c>
      <c r="C17" s="33">
        <v>50.23</v>
      </c>
      <c r="D17" s="15">
        <v>1.6498250803494801E-3</v>
      </c>
      <c r="E17" s="15">
        <v>1.3945614372881201E-3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48.53</v>
      </c>
      <c r="M17" s="33">
        <v>50.23</v>
      </c>
      <c r="N17" s="34">
        <v>1.0350298784257099</v>
      </c>
      <c r="O17" s="34">
        <v>1.0403907452411401</v>
      </c>
      <c r="P17" s="34">
        <v>1.0350429072437499</v>
      </c>
      <c r="R17" s="33">
        <v>50.490162866552602</v>
      </c>
      <c r="S17" s="33">
        <v>50.231597059862104</v>
      </c>
      <c r="U17" s="15">
        <v>5.1660648226748603E-3</v>
      </c>
      <c r="V17" s="15">
        <v>3.17944350675648E-5</v>
      </c>
      <c r="X17" s="34">
        <v>1.0350298784257099</v>
      </c>
      <c r="Y17" s="34">
        <v>1.0384904608674399</v>
      </c>
      <c r="Z17" s="34">
        <v>1.0350429072437499</v>
      </c>
      <c r="AB17" s="33">
        <v>50.397942065897098</v>
      </c>
      <c r="AC17" s="33">
        <v>50.231597059862104</v>
      </c>
      <c r="AE17" s="15">
        <v>3.3378844558695901E-3</v>
      </c>
      <c r="AF17" s="15">
        <v>3.17944350675648E-5</v>
      </c>
    </row>
    <row r="18" spans="1:124" x14ac:dyDescent="0.25">
      <c r="A18" s="1">
        <v>46049</v>
      </c>
      <c r="B18" s="33">
        <v>48.52</v>
      </c>
      <c r="C18" s="33">
        <v>50.22</v>
      </c>
      <c r="D18" s="15">
        <v>-2.06079341275347E-4</v>
      </c>
      <c r="E18" s="15">
        <v>-1.9910403251438899E-4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48.52</v>
      </c>
      <c r="M18" s="33">
        <v>50.22</v>
      </c>
      <c r="N18" s="34">
        <v>1.0350370981038699</v>
      </c>
      <c r="O18" s="34">
        <v>1.0403907452411401</v>
      </c>
      <c r="P18" s="34">
        <v>1.0350472345922199</v>
      </c>
      <c r="R18" s="33">
        <v>50.479758959100202</v>
      </c>
      <c r="S18" s="33">
        <v>50.220281859467001</v>
      </c>
      <c r="U18" s="15">
        <v>5.1590895139138303E-3</v>
      </c>
      <c r="V18" s="15">
        <v>5.61247861593768E-6</v>
      </c>
      <c r="X18" s="34">
        <v>1.0350370981038699</v>
      </c>
      <c r="Y18" s="34">
        <v>1.0384904608674399</v>
      </c>
      <c r="Z18" s="34">
        <v>1.0350472345922199</v>
      </c>
      <c r="AB18" s="33">
        <v>50.387557161288399</v>
      </c>
      <c r="AC18" s="33">
        <v>50.220281859467001</v>
      </c>
      <c r="AE18" s="15">
        <v>3.33090914710859E-3</v>
      </c>
      <c r="AF18" s="15">
        <v>5.61247861593768E-6</v>
      </c>
      <c r="BE18" s="24">
        <f>SUM(BE22:BE176)</f>
        <v>1.1326163736597733E-2</v>
      </c>
      <c r="BF18" s="20">
        <f>BF176</f>
        <v>1.1326163736597733E-2</v>
      </c>
    </row>
    <row r="19" spans="1:124" x14ac:dyDescent="0.25">
      <c r="A19" s="1">
        <v>46050</v>
      </c>
      <c r="B19" s="33">
        <v>48.51</v>
      </c>
      <c r="C19" s="33">
        <v>50.27</v>
      </c>
      <c r="D19" s="15">
        <v>-2.06121818724299E-4</v>
      </c>
      <c r="E19" s="15">
        <v>9.9512397504496197E-4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48.51</v>
      </c>
      <c r="M19" s="33">
        <v>50.27</v>
      </c>
      <c r="N19" s="34">
        <v>1.03628117913832</v>
      </c>
      <c r="O19" s="34">
        <v>1.0403907452411401</v>
      </c>
      <c r="P19" s="34">
        <v>1.03519368789954</v>
      </c>
      <c r="R19" s="33">
        <v>50.469355051647803</v>
      </c>
      <c r="S19" s="33">
        <v>50.210141350068803</v>
      </c>
      <c r="U19" s="15">
        <v>3.9578437201444501E-3</v>
      </c>
      <c r="V19" s="15">
        <v>-1.1914524842016E-3</v>
      </c>
      <c r="X19" s="34">
        <v>1.03628117913832</v>
      </c>
      <c r="Y19" s="34">
        <v>1.0384904608674399</v>
      </c>
      <c r="Z19" s="34">
        <v>1.03519368789954</v>
      </c>
      <c r="AB19" s="33">
        <v>50.377172256679799</v>
      </c>
      <c r="AC19" s="33">
        <v>50.210141350068803</v>
      </c>
      <c r="AE19" s="15">
        <v>2.1296633533392298E-3</v>
      </c>
      <c r="AF19" s="15">
        <v>-1.1914524842016E-3</v>
      </c>
      <c r="AI19" s="12"/>
      <c r="AJ19"/>
      <c r="AK19"/>
      <c r="AL19"/>
      <c r="AM19"/>
      <c r="AN19"/>
      <c r="AO19"/>
      <c r="AP19"/>
      <c r="AQ19" s="24">
        <f>SUM(AQ22:AQ176)</f>
        <v>4.5193435495794491E-3</v>
      </c>
      <c r="AR19" s="24">
        <f>AR176</f>
        <v>4.5193435495794491E-3</v>
      </c>
      <c r="AU19"/>
      <c r="AV19"/>
      <c r="AW19"/>
      <c r="AX19"/>
      <c r="AY19"/>
      <c r="AZ19"/>
      <c r="BA19"/>
      <c r="BB19" s="24">
        <f>SUM(BB22:BB176)</f>
        <v>6.8068201870182827E-3</v>
      </c>
      <c r="BC19" s="24">
        <f>BC176</f>
        <v>6.8068201870182827E-3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48.67</v>
      </c>
      <c r="C20" s="33">
        <v>50.32</v>
      </c>
      <c r="D20" s="15">
        <v>3.2928615882378198E-3</v>
      </c>
      <c r="E20" s="15">
        <v>9.9413468770123497E-4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48.67</v>
      </c>
      <c r="M20" s="33">
        <v>50.32</v>
      </c>
      <c r="N20" s="34">
        <v>1.0339017875487899</v>
      </c>
      <c r="O20" s="34">
        <v>1.0403907452411401</v>
      </c>
      <c r="P20" s="34">
        <v>1.0351689314559001</v>
      </c>
      <c r="R20" s="33">
        <v>50.635817570886303</v>
      </c>
      <c r="S20" s="33">
        <v>50.382876790070902</v>
      </c>
      <c r="U20" s="15">
        <v>6.2565706206810798E-3</v>
      </c>
      <c r="V20" s="15">
        <v>1.24875872956199E-3</v>
      </c>
      <c r="X20" s="34">
        <v>1.0339017875487899</v>
      </c>
      <c r="Y20" s="34">
        <v>1.0384904608674399</v>
      </c>
      <c r="Z20" s="34">
        <v>1.0351689314559001</v>
      </c>
      <c r="AB20" s="33">
        <v>50.543330730418504</v>
      </c>
      <c r="AC20" s="33">
        <v>50.382876790070902</v>
      </c>
      <c r="AE20" s="15">
        <v>4.42839025387602E-3</v>
      </c>
      <c r="AF20" s="15">
        <v>1.24875872956199E-3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BNDX log rtn</v>
      </c>
      <c r="AP20" s="7" t="str">
        <f>E1</f>
        <v>IAGG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BNDX log rtn</v>
      </c>
      <c r="BA20" s="24" t="str">
        <f>E1</f>
        <v>IAGG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48.57</v>
      </c>
      <c r="C21" s="33">
        <v>50.3</v>
      </c>
      <c r="D21" s="15">
        <v>-2.0567674877094802E-3</v>
      </c>
      <c r="E21" s="15">
        <v>-3.97535286491591E-4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48.57</v>
      </c>
      <c r="M21" s="33">
        <v>50.3</v>
      </c>
      <c r="N21" s="34">
        <v>1.0356186946674899</v>
      </c>
      <c r="O21" s="34">
        <v>1.0403907452411401</v>
      </c>
      <c r="P21" s="34">
        <v>1.0353144601117901</v>
      </c>
      <c r="Q21" s="34">
        <v>1.03514042541114</v>
      </c>
      <c r="R21" s="33">
        <v>50.5317784963622</v>
      </c>
      <c r="S21" s="33">
        <v>50.278155000813399</v>
      </c>
      <c r="U21" s="15">
        <v>4.5973384194632899E-3</v>
      </c>
      <c r="V21" s="15">
        <v>-4.3438855146738002E-4</v>
      </c>
      <c r="X21" s="34">
        <v>1.0356186946674899</v>
      </c>
      <c r="Y21" s="34">
        <v>1.0384904608674399</v>
      </c>
      <c r="Z21" s="34">
        <v>1.0353144601117901</v>
      </c>
      <c r="AA21" s="34">
        <v>1.03514042541114</v>
      </c>
      <c r="AB21" s="33">
        <v>50.439481684331803</v>
      </c>
      <c r="AC21" s="33">
        <v>50.278155000813399</v>
      </c>
      <c r="AE21" s="15">
        <v>2.7691580526579798E-3</v>
      </c>
      <c r="AF21" s="15">
        <v>-4.3438855146738002E-4</v>
      </c>
      <c r="AI21" s="26">
        <v>-3.0000000000000001E-3</v>
      </c>
      <c r="AJ21"/>
      <c r="AK21"/>
      <c r="AL21"/>
      <c r="AM21">
        <f t="shared" ref="AM21:AM84" si="4">IF(F22+H22&gt;0,0,1)</f>
        <v>0</v>
      </c>
      <c r="AN21" s="27">
        <v>0</v>
      </c>
      <c r="AO21"/>
      <c r="AP21"/>
      <c r="AQ21"/>
      <c r="AR21"/>
      <c r="AT21" s="26">
        <v>1E-3</v>
      </c>
      <c r="AU21"/>
      <c r="AV21"/>
      <c r="AW21"/>
      <c r="AX21">
        <f t="shared" ref="AX21:AX84" si="5">IF(F22+H22&gt;0,0,1)</f>
        <v>0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48.43</v>
      </c>
      <c r="C22" s="33">
        <v>50.18</v>
      </c>
      <c r="D22" s="15">
        <v>-2.8865999425156498E-3</v>
      </c>
      <c r="E22" s="15">
        <v>-2.38853616741723E-3</v>
      </c>
      <c r="F22" s="33">
        <v>0.1124</v>
      </c>
      <c r="G22" s="33">
        <v>0.1124</v>
      </c>
      <c r="H22" s="33">
        <v>0.10698000000000001</v>
      </c>
      <c r="I22" s="33">
        <v>0.10698000000000001</v>
      </c>
      <c r="J22" s="33">
        <v>0.1124</v>
      </c>
      <c r="K22" s="33">
        <v>0.10698000000000001</v>
      </c>
      <c r="L22" s="33">
        <v>48.542400000000001</v>
      </c>
      <c r="M22" s="33">
        <v>50.28698</v>
      </c>
      <c r="N22" s="34">
        <v>1.0361346272971299</v>
      </c>
      <c r="O22" s="34">
        <v>1.0403907452411401</v>
      </c>
      <c r="P22" s="34">
        <v>1.0354462582349899</v>
      </c>
      <c r="Q22" s="34">
        <v>1.03514628739078</v>
      </c>
      <c r="R22" s="33">
        <v>50.386123792028499</v>
      </c>
      <c r="S22" s="33">
        <v>50.140279303214001</v>
      </c>
      <c r="T22" s="33">
        <v>50.131850802661802</v>
      </c>
      <c r="U22" s="15">
        <v>4.0992746443648696E-3</v>
      </c>
      <c r="V22" s="15">
        <v>-7.9187775667062304E-4</v>
      </c>
      <c r="W22" s="15">
        <v>-9.5999028331563005E-4</v>
      </c>
      <c r="X22" s="34">
        <v>1.03593930254787</v>
      </c>
      <c r="Y22" s="34">
        <v>1.0384904608674399</v>
      </c>
      <c r="Z22" s="34">
        <v>1.03542672576006</v>
      </c>
      <c r="AA22" s="34">
        <v>1.0351365211533099</v>
      </c>
      <c r="AB22" s="33">
        <v>50.410819347611898</v>
      </c>
      <c r="AC22" s="33">
        <v>50.2566486485306</v>
      </c>
      <c r="AD22" s="33">
        <v>50.248200586477999</v>
      </c>
      <c r="AE22" s="15">
        <v>2.4596249540179199E-3</v>
      </c>
      <c r="AF22" s="15">
        <v>-6.0334708021226701E-4</v>
      </c>
      <c r="AG22" s="15">
        <v>-7.7145960685724203E-4</v>
      </c>
      <c r="AI22" s="26">
        <v>-1E-3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0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48.41</v>
      </c>
      <c r="C23" s="33">
        <v>50.16</v>
      </c>
      <c r="D23" s="15">
        <v>-4.1305246353482198E-4</v>
      </c>
      <c r="E23" s="15">
        <v>-3.98644613611026E-4</v>
      </c>
      <c r="F23" s="33">
        <v>0</v>
      </c>
      <c r="G23" s="33">
        <v>0.1124</v>
      </c>
      <c r="H23" s="33">
        <v>0</v>
      </c>
      <c r="I23" s="33">
        <v>0.10698000000000001</v>
      </c>
      <c r="J23" s="33">
        <v>0.1124</v>
      </c>
      <c r="K23" s="33">
        <v>0.10698000000000001</v>
      </c>
      <c r="L23" s="33">
        <v>48.522399999999998</v>
      </c>
      <c r="M23" s="33">
        <v>50.266979999999997</v>
      </c>
      <c r="N23" s="34">
        <v>1.0361495558768801</v>
      </c>
      <c r="O23" s="34">
        <v>1.0403907452411401</v>
      </c>
      <c r="P23" s="34">
        <v>1.0354860949964699</v>
      </c>
      <c r="Q23" s="34">
        <v>1.0351865059866101</v>
      </c>
      <c r="R23" s="33">
        <v>50.365315977123601</v>
      </c>
      <c r="S23" s="33">
        <v>50.125953361156</v>
      </c>
      <c r="T23" s="33">
        <v>50.1114317725877</v>
      </c>
      <c r="U23" s="15">
        <v>4.0848667944410697E-3</v>
      </c>
      <c r="V23" s="15">
        <v>-6.7899120486750099E-4</v>
      </c>
      <c r="W23" s="15">
        <v>-9.6873516916783596E-4</v>
      </c>
      <c r="X23" s="34">
        <v>1.03595411603712</v>
      </c>
      <c r="Y23" s="34">
        <v>1.0384904608674399</v>
      </c>
      <c r="Z23" s="34">
        <v>1.0354470185375699</v>
      </c>
      <c r="AA23" s="34">
        <v>1.03516696775716</v>
      </c>
      <c r="AB23" s="33">
        <v>50.3900495383945</v>
      </c>
      <c r="AC23" s="33">
        <v>50.241389758020297</v>
      </c>
      <c r="AD23" s="33">
        <v>50.227308334009798</v>
      </c>
      <c r="AE23" s="15">
        <v>2.4453254836679299E-3</v>
      </c>
      <c r="AF23" s="15">
        <v>-5.0921614974418E-4</v>
      </c>
      <c r="AG23" s="15">
        <v>-7.8953080236986801E-4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48.48</v>
      </c>
      <c r="C24" s="33">
        <v>50.14</v>
      </c>
      <c r="D24" s="15">
        <v>1.44493780945604E-3</v>
      </c>
      <c r="E24" s="15">
        <v>-3.9880359451782298E-4</v>
      </c>
      <c r="F24" s="33">
        <v>0</v>
      </c>
      <c r="G24" s="33">
        <v>0.1124</v>
      </c>
      <c r="H24" s="33">
        <v>0</v>
      </c>
      <c r="I24" s="33">
        <v>0.10698000000000001</v>
      </c>
      <c r="J24" s="33">
        <v>0.1124</v>
      </c>
      <c r="K24" s="33">
        <v>0.10698000000000001</v>
      </c>
      <c r="L24" s="33">
        <v>48.592399999999998</v>
      </c>
      <c r="M24" s="33">
        <v>50.246980000000001</v>
      </c>
      <c r="N24" s="34">
        <v>1.0342409240924</v>
      </c>
      <c r="O24" s="34">
        <v>1.0403907452411401</v>
      </c>
      <c r="P24" s="34">
        <v>1.03531737303446</v>
      </c>
      <c r="Q24" s="34">
        <v>1.0351231599534101</v>
      </c>
      <c r="R24" s="33">
        <v>50.438143329290497</v>
      </c>
      <c r="S24" s="33">
        <v>50.2003658854292</v>
      </c>
      <c r="T24" s="33">
        <v>50.185841810230798</v>
      </c>
      <c r="U24" s="15">
        <v>5.9286081984148697E-3</v>
      </c>
      <c r="V24" s="15">
        <v>1.2032224953427699E-3</v>
      </c>
      <c r="W24" s="15">
        <v>9.1385853523061301E-4</v>
      </c>
      <c r="X24" s="34">
        <v>1.03405018068669</v>
      </c>
      <c r="Y24" s="34">
        <v>1.0384904608674399</v>
      </c>
      <c r="Z24" s="34">
        <v>1.0352592222349799</v>
      </c>
      <c r="AA24" s="34">
        <v>1.03509408455367</v>
      </c>
      <c r="AB24" s="33">
        <v>50.462743870655203</v>
      </c>
      <c r="AC24" s="33">
        <v>50.314855703585302</v>
      </c>
      <c r="AD24" s="33">
        <v>50.301247364043</v>
      </c>
      <c r="AE24" s="15">
        <v>4.2848732472645203E-3</v>
      </c>
      <c r="AF24" s="15">
        <v>1.3499298897645499E-3</v>
      </c>
      <c r="AG24" s="15">
        <v>1.0794296574870501E-3</v>
      </c>
      <c r="AI24" s="12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1</v>
      </c>
      <c r="AV24">
        <f t="shared" si="11"/>
        <v>0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B25" s="33">
        <v>48.54</v>
      </c>
      <c r="C25" s="33">
        <v>50.22</v>
      </c>
      <c r="D25" s="15">
        <v>1.2368585373964201E-3</v>
      </c>
      <c r="E25" s="15">
        <v>1.5942609992916699E-3</v>
      </c>
      <c r="F25" s="33">
        <v>0</v>
      </c>
      <c r="G25" s="33">
        <v>0.1124</v>
      </c>
      <c r="H25" s="33">
        <v>0</v>
      </c>
      <c r="I25" s="33">
        <v>0.10698000000000001</v>
      </c>
      <c r="J25" s="33">
        <v>0.1124</v>
      </c>
      <c r="K25" s="33">
        <v>0.10698000000000001</v>
      </c>
      <c r="L25" s="33">
        <v>48.6524</v>
      </c>
      <c r="M25" s="33">
        <v>50.326979999999999</v>
      </c>
      <c r="N25" s="34">
        <v>1.0346106304079099</v>
      </c>
      <c r="O25" s="34">
        <v>1.0403907452411401</v>
      </c>
      <c r="P25" s="34">
        <v>1.0352298493205501</v>
      </c>
      <c r="Q25" s="34">
        <v>1.03511250045794</v>
      </c>
      <c r="R25" s="33">
        <v>50.500566774005001</v>
      </c>
      <c r="S25" s="33">
        <v>50.254305287092699</v>
      </c>
      <c r="T25" s="33">
        <v>50.2448781841385</v>
      </c>
      <c r="U25" s="15">
        <v>5.5712057365195798E-3</v>
      </c>
      <c r="V25" s="15">
        <v>6.82866894731393E-4</v>
      </c>
      <c r="W25" s="15">
        <v>4.9526133105946802E-4</v>
      </c>
      <c r="X25" s="34">
        <v>1.0344192681142099</v>
      </c>
      <c r="Y25" s="34">
        <v>1.0384904608674399</v>
      </c>
      <c r="Z25" s="34">
        <v>1.0351525622917099</v>
      </c>
      <c r="AA25" s="34">
        <v>1.0350738569435101</v>
      </c>
      <c r="AB25" s="33">
        <v>50.525053298307299</v>
      </c>
      <c r="AC25" s="33">
        <v>50.367845783865498</v>
      </c>
      <c r="AD25" s="33">
        <v>50.359811439339197</v>
      </c>
      <c r="AE25" s="15">
        <v>3.9280031647467798E-3</v>
      </c>
      <c r="AF25" s="15">
        <v>8.1167598813633099E-4</v>
      </c>
      <c r="AG25" s="15">
        <v>6.5214990036872595E-4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0</v>
      </c>
      <c r="AW25">
        <f t="shared" si="18"/>
        <v>1</v>
      </c>
      <c r="AX25">
        <f t="shared" si="5"/>
        <v>1</v>
      </c>
      <c r="AY25">
        <f t="shared" si="19"/>
        <v>1</v>
      </c>
      <c r="AZ25" s="28">
        <f t="shared" si="12"/>
        <v>-1.2368585373964201E-3</v>
      </c>
      <c r="BA25" s="28">
        <f t="shared" si="13"/>
        <v>1.5942609992916699E-3</v>
      </c>
      <c r="BB25" s="28">
        <f t="shared" si="20"/>
        <v>3.5740246189524985E-4</v>
      </c>
      <c r="BC25" s="29">
        <f t="shared" si="21"/>
        <v>3.5740246189524985E-4</v>
      </c>
      <c r="BE25" s="29">
        <f t="shared" si="22"/>
        <v>3.5740246189524985E-4</v>
      </c>
      <c r="BF25" s="29">
        <f t="shared" si="23"/>
        <v>3.5740246189524985E-4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48.55</v>
      </c>
      <c r="C26" s="33">
        <v>50.23</v>
      </c>
      <c r="D26" s="15">
        <v>2.0599443887856601E-4</v>
      </c>
      <c r="E26" s="15">
        <v>1.991040325144E-4</v>
      </c>
      <c r="F26" s="33">
        <v>0</v>
      </c>
      <c r="G26" s="33">
        <v>0.1124</v>
      </c>
      <c r="H26" s="33">
        <v>0</v>
      </c>
      <c r="I26" s="33">
        <v>0.10698000000000001</v>
      </c>
      <c r="J26" s="33">
        <v>0.1124</v>
      </c>
      <c r="K26" s="33">
        <v>0.10698000000000001</v>
      </c>
      <c r="L26" s="33">
        <v>48.662399999999998</v>
      </c>
      <c r="M26" s="33">
        <v>50.336979999999997</v>
      </c>
      <c r="N26" s="34">
        <v>1.0346035015447901</v>
      </c>
      <c r="O26" s="34">
        <v>1.0403907452411401</v>
      </c>
      <c r="P26" s="34">
        <v>1.0351607877103299</v>
      </c>
      <c r="Q26" s="34">
        <v>1.03511178742473</v>
      </c>
      <c r="R26" s="33">
        <v>50.510970681457401</v>
      </c>
      <c r="S26" s="33">
        <v>50.260409184513101</v>
      </c>
      <c r="T26" s="33">
        <v>50.254711897232902</v>
      </c>
      <c r="U26" s="15">
        <v>5.5780961428839298E-3</v>
      </c>
      <c r="V26" s="15">
        <v>6.0521567556810903E-4</v>
      </c>
      <c r="W26" s="15">
        <v>4.9185388034868804E-4</v>
      </c>
      <c r="X26" s="34">
        <v>1.03441219504175</v>
      </c>
      <c r="Y26" s="34">
        <v>1.0384904608674399</v>
      </c>
      <c r="Z26" s="34">
        <v>1.0350643700311799</v>
      </c>
      <c r="AA26" s="34">
        <v>1.0350635785851501</v>
      </c>
      <c r="AB26" s="33">
        <v>50.535438202915998</v>
      </c>
      <c r="AC26" s="33">
        <v>50.373008047264399</v>
      </c>
      <c r="AD26" s="33">
        <v>50.369178056128298</v>
      </c>
      <c r="AE26" s="15">
        <v>3.93484091115902E-3</v>
      </c>
      <c r="AF26" s="15">
        <v>7.1548114541488805E-4</v>
      </c>
      <c r="AG26" s="15">
        <v>6.3944564755395305E-4</v>
      </c>
      <c r="AI26" s="12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0</v>
      </c>
      <c r="AW26">
        <f t="shared" si="18"/>
        <v>1</v>
      </c>
      <c r="AX26">
        <f t="shared" si="5"/>
        <v>1</v>
      </c>
      <c r="AY26">
        <f t="shared" si="19"/>
        <v>1</v>
      </c>
      <c r="AZ26" s="28">
        <f t="shared" si="12"/>
        <v>-2.0599443887856601E-4</v>
      </c>
      <c r="BA26" s="28">
        <f t="shared" si="13"/>
        <v>1.991040325144E-4</v>
      </c>
      <c r="BB26" s="28">
        <f t="shared" si="20"/>
        <v>-6.8904063641660141E-6</v>
      </c>
      <c r="BC26" s="29">
        <f t="shared" si="21"/>
        <v>3.5051205553108384E-4</v>
      </c>
      <c r="BE26" s="29">
        <f t="shared" si="22"/>
        <v>-6.8904063641660141E-6</v>
      </c>
      <c r="BF26" s="29">
        <f t="shared" si="23"/>
        <v>3.5051205553108384E-4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48.57</v>
      </c>
      <c r="C27" s="33">
        <v>50.25</v>
      </c>
      <c r="D27" s="15">
        <v>4.11861620319493E-4</v>
      </c>
      <c r="E27" s="15">
        <v>3.9808917723178103E-4</v>
      </c>
      <c r="F27" s="33">
        <v>0</v>
      </c>
      <c r="G27" s="33">
        <v>0.1124</v>
      </c>
      <c r="H27" s="33">
        <v>0</v>
      </c>
      <c r="I27" s="33">
        <v>0.10698000000000001</v>
      </c>
      <c r="J27" s="33">
        <v>0.1124</v>
      </c>
      <c r="K27" s="33">
        <v>0.10698000000000001</v>
      </c>
      <c r="L27" s="33">
        <v>48.682400000000001</v>
      </c>
      <c r="M27" s="33">
        <v>50.35698</v>
      </c>
      <c r="N27" s="34">
        <v>1.03458925262507</v>
      </c>
      <c r="O27" s="34">
        <v>1.0403907452411401</v>
      </c>
      <c r="P27" s="34">
        <v>1.03511672513026</v>
      </c>
      <c r="Q27" s="34">
        <v>1.0350798161870101</v>
      </c>
      <c r="R27" s="33">
        <v>50.5317784963622</v>
      </c>
      <c r="S27" s="33">
        <v>50.277759459090802</v>
      </c>
      <c r="T27" s="33">
        <v>50.275379515219299</v>
      </c>
      <c r="U27" s="15">
        <v>5.5918685859715402E-3</v>
      </c>
      <c r="V27" s="15">
        <v>5.5227451493645595E-4</v>
      </c>
      <c r="W27" s="15">
        <v>5.0493747710120198E-4</v>
      </c>
      <c r="X27" s="34">
        <v>1.03439805761425</v>
      </c>
      <c r="Y27" s="34">
        <v>1.0384904608674399</v>
      </c>
      <c r="Z27" s="34">
        <v>1.03500118795004</v>
      </c>
      <c r="AA27" s="34">
        <v>1.0350220475968901</v>
      </c>
      <c r="AB27" s="33">
        <v>50.556208012133297</v>
      </c>
      <c r="AC27" s="33">
        <v>50.389417687606198</v>
      </c>
      <c r="AD27" s="33">
        <v>50.389379158114103</v>
      </c>
      <c r="AE27" s="15">
        <v>3.9485081167311099E-3</v>
      </c>
      <c r="AF27" s="15">
        <v>6.43947366291783E-4</v>
      </c>
      <c r="AG27" s="15">
        <v>6.4318273140280698E-4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0</v>
      </c>
      <c r="AV27">
        <f t="shared" si="11"/>
        <v>0</v>
      </c>
      <c r="AW27">
        <f t="shared" si="18"/>
        <v>1</v>
      </c>
      <c r="AX27">
        <f t="shared" si="5"/>
        <v>1</v>
      </c>
      <c r="AY27">
        <f t="shared" si="19"/>
        <v>1</v>
      </c>
      <c r="AZ27" s="28">
        <f t="shared" si="12"/>
        <v>-4.11861620319493E-4</v>
      </c>
      <c r="BA27" s="28">
        <f t="shared" si="13"/>
        <v>3.9808917723178103E-4</v>
      </c>
      <c r="BB27" s="28">
        <f t="shared" si="20"/>
        <v>-1.3772443087711978E-5</v>
      </c>
      <c r="BC27" s="29">
        <f t="shared" si="21"/>
        <v>3.3673961244337186E-4</v>
      </c>
      <c r="BE27" s="29">
        <f t="shared" si="22"/>
        <v>-1.3772443087711978E-5</v>
      </c>
      <c r="BF27" s="29">
        <f t="shared" si="23"/>
        <v>3.3673961244337186E-4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48.68</v>
      </c>
      <c r="C28" s="33">
        <v>50.31</v>
      </c>
      <c r="D28" s="15">
        <v>2.2622117616730398E-3</v>
      </c>
      <c r="E28" s="15">
        <v>1.1933175640420101E-3</v>
      </c>
      <c r="F28" s="33">
        <v>0</v>
      </c>
      <c r="G28" s="33">
        <v>0.1124</v>
      </c>
      <c r="H28" s="33">
        <v>0</v>
      </c>
      <c r="I28" s="33">
        <v>0.10698000000000001</v>
      </c>
      <c r="J28" s="33">
        <v>0.1124</v>
      </c>
      <c r="K28" s="33">
        <v>0.10698000000000001</v>
      </c>
      <c r="L28" s="33">
        <v>48.792400000000001</v>
      </c>
      <c r="M28" s="33">
        <v>50.416980000000002</v>
      </c>
      <c r="N28" s="34">
        <v>1.0334839769926001</v>
      </c>
      <c r="O28" s="34">
        <v>1.0403907452411401</v>
      </c>
      <c r="P28" s="34">
        <v>1.03496141301914</v>
      </c>
      <c r="Q28" s="34">
        <v>1.0350043238056801</v>
      </c>
      <c r="R28" s="33">
        <v>50.646221478338802</v>
      </c>
      <c r="S28" s="33">
        <v>50.389482179341499</v>
      </c>
      <c r="T28" s="33">
        <v>50.3876854519837</v>
      </c>
      <c r="U28" s="15">
        <v>6.6607627836025403E-3</v>
      </c>
      <c r="V28" s="15">
        <v>1.57860187812432E-3</v>
      </c>
      <c r="W28" s="15">
        <v>1.54294444896321E-3</v>
      </c>
      <c r="X28" s="34">
        <v>1.0332957591756</v>
      </c>
      <c r="Y28" s="34">
        <v>1.0384904608674399</v>
      </c>
      <c r="Z28" s="34">
        <v>1.03482705405721</v>
      </c>
      <c r="AA28" s="34">
        <v>1.03493714432471</v>
      </c>
      <c r="AB28" s="33">
        <v>50.670441962828697</v>
      </c>
      <c r="AC28" s="33">
        <v>50.500191962933499</v>
      </c>
      <c r="AD28" s="33">
        <v>50.501209755166897</v>
      </c>
      <c r="AE28" s="15">
        <v>5.0147187269438199E-3</v>
      </c>
      <c r="AF28" s="15">
        <v>1.64911442073626E-3</v>
      </c>
      <c r="AG28" s="15">
        <v>1.66926844268216E-3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1</v>
      </c>
      <c r="AV28">
        <f t="shared" si="11"/>
        <v>0</v>
      </c>
      <c r="AW28">
        <f t="shared" si="18"/>
        <v>1</v>
      </c>
      <c r="AX28">
        <f t="shared" si="5"/>
        <v>1</v>
      </c>
      <c r="AY28">
        <f t="shared" si="19"/>
        <v>1</v>
      </c>
      <c r="AZ28" s="28">
        <f t="shared" si="12"/>
        <v>-2.2622117616730398E-3</v>
      </c>
      <c r="BA28" s="28">
        <f t="shared" si="13"/>
        <v>1.1933175640420101E-3</v>
      </c>
      <c r="BB28" s="28">
        <f t="shared" si="20"/>
        <v>-1.0688941976310297E-3</v>
      </c>
      <c r="BC28" s="29">
        <f t="shared" si="21"/>
        <v>-7.3215458518765793E-4</v>
      </c>
      <c r="BE28" s="29">
        <f t="shared" si="22"/>
        <v>-1.0688941976310297E-3</v>
      </c>
      <c r="BF28" s="29">
        <f t="shared" si="23"/>
        <v>-7.3215458518765793E-4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48.69</v>
      </c>
      <c r="C29" s="33">
        <v>50.38</v>
      </c>
      <c r="D29" s="15">
        <v>2.0540207528300599E-4</v>
      </c>
      <c r="E29" s="15">
        <v>1.3904064212368801E-3</v>
      </c>
      <c r="F29" s="33">
        <v>0</v>
      </c>
      <c r="G29" s="33">
        <v>0.1124</v>
      </c>
      <c r="H29" s="33">
        <v>0</v>
      </c>
      <c r="I29" s="33">
        <v>0.10698000000000001</v>
      </c>
      <c r="J29" s="33">
        <v>0.1124</v>
      </c>
      <c r="K29" s="33">
        <v>0.10698000000000001</v>
      </c>
      <c r="L29" s="33">
        <v>48.802399999999999</v>
      </c>
      <c r="M29" s="33">
        <v>50.486980000000003</v>
      </c>
      <c r="N29" s="34">
        <v>1.03470938591086</v>
      </c>
      <c r="O29" s="34">
        <v>1.0403907452411401</v>
      </c>
      <c r="P29" s="34">
        <v>1.0348042336963901</v>
      </c>
      <c r="Q29" s="34">
        <v>1.0349989607979699</v>
      </c>
      <c r="R29" s="33">
        <v>50.656625385791202</v>
      </c>
      <c r="S29" s="33">
        <v>50.392271199901998</v>
      </c>
      <c r="T29" s="33">
        <v>50.394360526098701</v>
      </c>
      <c r="U29" s="15">
        <v>5.4757584376485501E-3</v>
      </c>
      <c r="V29" s="15">
        <v>2.43543185374391E-4</v>
      </c>
      <c r="W29" s="15">
        <v>2.8500356878421502E-4</v>
      </c>
      <c r="X29" s="34">
        <v>1.03451838434175</v>
      </c>
      <c r="Y29" s="34">
        <v>1.0384904608674399</v>
      </c>
      <c r="Z29" s="34">
        <v>1.0346507745775499</v>
      </c>
      <c r="AA29" s="34">
        <v>1.03492223123855</v>
      </c>
      <c r="AB29" s="33">
        <v>50.680826867437403</v>
      </c>
      <c r="AC29" s="33">
        <v>50.502043822921699</v>
      </c>
      <c r="AD29" s="33">
        <v>50.507416492192597</v>
      </c>
      <c r="AE29" s="15">
        <v>3.8321895209690602E-3</v>
      </c>
      <c r="AF29" s="15">
        <v>2.98325945994013E-4</v>
      </c>
      <c r="AG29" s="15">
        <v>4.0470547241108301E-4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0</v>
      </c>
      <c r="AV29">
        <f t="shared" si="11"/>
        <v>0</v>
      </c>
      <c r="AW29">
        <f t="shared" si="18"/>
        <v>1</v>
      </c>
      <c r="AX29">
        <f t="shared" si="5"/>
        <v>1</v>
      </c>
      <c r="AY29">
        <f t="shared" si="19"/>
        <v>1</v>
      </c>
      <c r="AZ29" s="28">
        <f t="shared" si="12"/>
        <v>-2.0540207528300599E-4</v>
      </c>
      <c r="BA29" s="28">
        <f t="shared" si="13"/>
        <v>1.3904064212368801E-3</v>
      </c>
      <c r="BB29" s="28">
        <f t="shared" si="20"/>
        <v>1.185004345953874E-3</v>
      </c>
      <c r="BC29" s="29">
        <f t="shared" si="21"/>
        <v>4.5284976076621604E-4</v>
      </c>
      <c r="BE29" s="29">
        <f t="shared" si="22"/>
        <v>1.185004345953874E-3</v>
      </c>
      <c r="BF29" s="29">
        <f t="shared" si="23"/>
        <v>4.5284976076621604E-4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48.8</v>
      </c>
      <c r="C30" s="33">
        <v>50.47</v>
      </c>
      <c r="D30" s="15">
        <v>2.2566426644919299E-3</v>
      </c>
      <c r="E30" s="15">
        <v>1.78482942770673E-3</v>
      </c>
      <c r="F30" s="33">
        <v>0</v>
      </c>
      <c r="G30" s="33">
        <v>0.1124</v>
      </c>
      <c r="H30" s="33">
        <v>0</v>
      </c>
      <c r="I30" s="33">
        <v>0.10698000000000001</v>
      </c>
      <c r="J30" s="33">
        <v>0.1124</v>
      </c>
      <c r="K30" s="33">
        <v>0.10698000000000001</v>
      </c>
      <c r="L30" s="33">
        <v>48.912399999999998</v>
      </c>
      <c r="M30" s="33">
        <v>50.576979999999999</v>
      </c>
      <c r="N30" s="34">
        <v>1.03422131147541</v>
      </c>
      <c r="O30" s="34">
        <v>1.0403907452411401</v>
      </c>
      <c r="P30" s="34">
        <v>1.03483618608905</v>
      </c>
      <c r="Q30" s="34">
        <v>1.03500255877248</v>
      </c>
      <c r="R30" s="33">
        <v>50.771068367767697</v>
      </c>
      <c r="S30" s="33">
        <v>50.4984466043841</v>
      </c>
      <c r="T30" s="33">
        <v>50.507949286940999</v>
      </c>
      <c r="U30" s="15">
        <v>5.9475716744337003E-3</v>
      </c>
      <c r="V30" s="15">
        <v>5.6347514681077504E-4</v>
      </c>
      <c r="W30" s="15">
        <v>7.5163516382852102E-4</v>
      </c>
      <c r="X30" s="34">
        <v>1.0340318610413699</v>
      </c>
      <c r="Y30" s="34">
        <v>1.0384904608674399</v>
      </c>
      <c r="Z30" s="34">
        <v>1.0346637819268101</v>
      </c>
      <c r="AA30" s="34">
        <v>1.03491635669136</v>
      </c>
      <c r="AB30" s="33">
        <v>50.795060818132796</v>
      </c>
      <c r="AC30" s="33">
        <v>50.607252546447299</v>
      </c>
      <c r="AD30" s="33">
        <v>50.6205301432325</v>
      </c>
      <c r="AE30" s="15">
        <v>4.3025898029434998E-3</v>
      </c>
      <c r="AF30" s="15">
        <v>5.9836491494151295E-4</v>
      </c>
      <c r="AG30" s="15">
        <v>8.6069599655959502E-4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0</v>
      </c>
      <c r="AT30" s="12"/>
      <c r="AU30">
        <f t="shared" si="10"/>
        <v>0</v>
      </c>
      <c r="AV30">
        <f t="shared" si="11"/>
        <v>0</v>
      </c>
      <c r="AW30">
        <f t="shared" si="18"/>
        <v>1</v>
      </c>
      <c r="AX30">
        <f t="shared" si="5"/>
        <v>1</v>
      </c>
      <c r="AY30">
        <f t="shared" si="19"/>
        <v>1</v>
      </c>
      <c r="AZ30" s="28">
        <f t="shared" si="12"/>
        <v>-2.2566426644919299E-3</v>
      </c>
      <c r="BA30" s="28">
        <f t="shared" si="13"/>
        <v>1.78482942770673E-3</v>
      </c>
      <c r="BB30" s="28">
        <f t="shared" si="20"/>
        <v>-4.7181323678519992E-4</v>
      </c>
      <c r="BC30" s="29">
        <f t="shared" si="21"/>
        <v>-1.8963476018983875E-5</v>
      </c>
      <c r="BE30" s="29">
        <f t="shared" si="22"/>
        <v>-4.7181323678519992E-4</v>
      </c>
      <c r="BF30" s="29">
        <f t="shared" si="23"/>
        <v>-1.8963476018983875E-5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48.81</v>
      </c>
      <c r="C31" s="33">
        <v>50.52</v>
      </c>
      <c r="D31" s="15">
        <v>2.04897039954737E-4</v>
      </c>
      <c r="E31" s="15">
        <v>9.901971301193779E-4</v>
      </c>
      <c r="F31" s="33">
        <v>0</v>
      </c>
      <c r="G31" s="33">
        <v>0.1124</v>
      </c>
      <c r="H31" s="33">
        <v>0</v>
      </c>
      <c r="I31" s="33">
        <v>0.10698000000000001</v>
      </c>
      <c r="J31" s="33">
        <v>0.1124</v>
      </c>
      <c r="K31" s="33">
        <v>0.10698000000000001</v>
      </c>
      <c r="L31" s="33">
        <v>48.922400000000003</v>
      </c>
      <c r="M31" s="33">
        <v>50.626980000000003</v>
      </c>
      <c r="N31" s="34">
        <v>1.0350338045482399</v>
      </c>
      <c r="O31" s="34">
        <v>1.0403907452411401</v>
      </c>
      <c r="P31" s="34">
        <v>1.0347776970771301</v>
      </c>
      <c r="Q31" s="34">
        <v>1.03504607859446</v>
      </c>
      <c r="R31" s="33">
        <v>50.781472275220104</v>
      </c>
      <c r="S31" s="33">
        <v>50.510354243006901</v>
      </c>
      <c r="T31" s="33">
        <v>50.518474893684903</v>
      </c>
      <c r="U31" s="15">
        <v>5.1622715842692202E-3</v>
      </c>
      <c r="V31" s="15">
        <v>-1.90947702691153E-4</v>
      </c>
      <c r="W31" s="15">
        <v>-3.0188625012482798E-5</v>
      </c>
      <c r="X31" s="34">
        <v>1.0348425261230001</v>
      </c>
      <c r="Y31" s="34">
        <v>1.0384904608674399</v>
      </c>
      <c r="Z31" s="34">
        <v>1.03458616507236</v>
      </c>
      <c r="AA31" s="34">
        <v>1.03495031259207</v>
      </c>
      <c r="AB31" s="33">
        <v>50.805445722741503</v>
      </c>
      <c r="AC31" s="33">
        <v>50.6182354049363</v>
      </c>
      <c r="AD31" s="33">
        <v>50.6305919685974</v>
      </c>
      <c r="AE31" s="15">
        <v>3.5189123325763899E-3</v>
      </c>
      <c r="AF31" s="15">
        <v>-1.72740905343128E-4</v>
      </c>
      <c r="AG31" s="15">
        <v>7.1342192564200394E-5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0</v>
      </c>
      <c r="AT31" s="12"/>
      <c r="AU31">
        <f t="shared" si="10"/>
        <v>0</v>
      </c>
      <c r="AV31">
        <f t="shared" si="11"/>
        <v>0</v>
      </c>
      <c r="AW31">
        <f t="shared" si="18"/>
        <v>1</v>
      </c>
      <c r="AX31">
        <f t="shared" si="5"/>
        <v>1</v>
      </c>
      <c r="AY31">
        <f t="shared" si="19"/>
        <v>1</v>
      </c>
      <c r="AZ31" s="28">
        <f t="shared" si="12"/>
        <v>-2.04897039954737E-4</v>
      </c>
      <c r="BA31" s="28">
        <f t="shared" si="13"/>
        <v>9.901971301193779E-4</v>
      </c>
      <c r="BB31" s="28">
        <f t="shared" si="20"/>
        <v>7.853000901646409E-4</v>
      </c>
      <c r="BC31" s="29">
        <f t="shared" si="21"/>
        <v>7.6633661414565702E-4</v>
      </c>
      <c r="BE31" s="29">
        <f t="shared" si="22"/>
        <v>7.853000901646409E-4</v>
      </c>
      <c r="BF31" s="29">
        <f t="shared" si="23"/>
        <v>7.6633661414565702E-4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48.9</v>
      </c>
      <c r="C32" s="33">
        <v>50.58</v>
      </c>
      <c r="D32" s="15">
        <v>1.8421865817701999E-3</v>
      </c>
      <c r="E32" s="15">
        <v>1.1869437595286201E-3</v>
      </c>
      <c r="F32" s="33">
        <v>0</v>
      </c>
      <c r="G32" s="33">
        <v>0.1124</v>
      </c>
      <c r="H32" s="33">
        <v>0</v>
      </c>
      <c r="I32" s="33">
        <v>0.10698000000000001</v>
      </c>
      <c r="J32" s="33">
        <v>0.1124</v>
      </c>
      <c r="K32" s="33">
        <v>0.10698000000000001</v>
      </c>
      <c r="L32" s="33">
        <v>49.0124</v>
      </c>
      <c r="M32" s="33">
        <v>50.686979999999998</v>
      </c>
      <c r="N32" s="34">
        <v>1.03435582822085</v>
      </c>
      <c r="O32" s="34">
        <v>1.0403907452411401</v>
      </c>
      <c r="P32" s="34">
        <v>1.0345998171694999</v>
      </c>
      <c r="Q32" s="34">
        <v>1.03502303770225</v>
      </c>
      <c r="R32" s="33">
        <v>50.875107442291799</v>
      </c>
      <c r="S32" s="33">
        <v>50.600629387071798</v>
      </c>
      <c r="T32" s="33">
        <v>50.613753243269201</v>
      </c>
      <c r="U32" s="15">
        <v>5.81751440651065E-3</v>
      </c>
      <c r="V32" s="15">
        <v>4.0777345392417798E-4</v>
      </c>
      <c r="W32" s="15">
        <v>6.6710134645994604E-4</v>
      </c>
      <c r="X32" s="34">
        <v>1.03416645583566</v>
      </c>
      <c r="Y32" s="34">
        <v>1.0384904608674399</v>
      </c>
      <c r="Z32" s="34">
        <v>1.03440888040114</v>
      </c>
      <c r="AA32" s="34">
        <v>1.0349178030806001</v>
      </c>
      <c r="AB32" s="33">
        <v>50.898909864219597</v>
      </c>
      <c r="AC32" s="33">
        <v>50.707550956992797</v>
      </c>
      <c r="AD32" s="33">
        <v>50.725398700887901</v>
      </c>
      <c r="AE32" s="15">
        <v>4.1724332377960204E-3</v>
      </c>
      <c r="AF32" s="15">
        <v>4.0576068710803E-4</v>
      </c>
      <c r="AG32" s="15">
        <v>7.5767284463784603E-4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0</v>
      </c>
      <c r="AT32" s="12"/>
      <c r="AU32">
        <f t="shared" si="10"/>
        <v>0</v>
      </c>
      <c r="AV32">
        <f t="shared" si="11"/>
        <v>0</v>
      </c>
      <c r="AW32">
        <f t="shared" si="18"/>
        <v>1</v>
      </c>
      <c r="AX32">
        <f t="shared" si="5"/>
        <v>1</v>
      </c>
      <c r="AY32">
        <f t="shared" si="19"/>
        <v>1</v>
      </c>
      <c r="AZ32" s="28">
        <f t="shared" si="12"/>
        <v>-1.8421865817701999E-3</v>
      </c>
      <c r="BA32" s="28">
        <f t="shared" si="13"/>
        <v>1.1869437595286201E-3</v>
      </c>
      <c r="BB32" s="28">
        <f t="shared" si="20"/>
        <v>-6.5524282224157984E-4</v>
      </c>
      <c r="BC32" s="29">
        <f t="shared" si="21"/>
        <v>1.1109379190407719E-4</v>
      </c>
      <c r="BE32" s="29">
        <f t="shared" si="22"/>
        <v>-6.5524282224157984E-4</v>
      </c>
      <c r="BF32" s="29">
        <f t="shared" si="23"/>
        <v>1.1109379190407719E-4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48.9</v>
      </c>
      <c r="C33" s="33">
        <v>50.56</v>
      </c>
      <c r="D33" s="15">
        <v>0</v>
      </c>
      <c r="E33" s="15">
        <v>-3.9549140321703098E-4</v>
      </c>
      <c r="F33" s="33">
        <v>0</v>
      </c>
      <c r="G33" s="33">
        <v>0.1124</v>
      </c>
      <c r="H33" s="33">
        <v>0</v>
      </c>
      <c r="I33" s="33">
        <v>0.10698000000000001</v>
      </c>
      <c r="J33" s="33">
        <v>0.1124</v>
      </c>
      <c r="K33" s="33">
        <v>0.10698000000000001</v>
      </c>
      <c r="L33" s="33">
        <v>49.0124</v>
      </c>
      <c r="M33" s="33">
        <v>50.666980000000002</v>
      </c>
      <c r="N33" s="34">
        <v>1.0339468302658399</v>
      </c>
      <c r="O33" s="34">
        <v>1.0403907452411401</v>
      </c>
      <c r="P33" s="34">
        <v>1.0343795446084001</v>
      </c>
      <c r="Q33" s="34">
        <v>1.0349328198024399</v>
      </c>
      <c r="R33" s="33">
        <v>50.875107442291799</v>
      </c>
      <c r="S33" s="33">
        <v>50.591931059588802</v>
      </c>
      <c r="T33" s="33">
        <v>50.612626543639998</v>
      </c>
      <c r="U33" s="15">
        <v>6.21300580972769E-3</v>
      </c>
      <c r="V33" s="15">
        <v>6.3134851337080496E-4</v>
      </c>
      <c r="W33" s="15">
        <v>1.0403317613540001E-3</v>
      </c>
      <c r="X33" s="34">
        <v>1.03375839583452</v>
      </c>
      <c r="Y33" s="34">
        <v>1.0384904608674399</v>
      </c>
      <c r="Z33" s="34">
        <v>1.03418930838088</v>
      </c>
      <c r="AA33" s="34">
        <v>1.0348181634592299</v>
      </c>
      <c r="AB33" s="33">
        <v>50.898909864219597</v>
      </c>
      <c r="AC33" s="33">
        <v>50.698861809773</v>
      </c>
      <c r="AD33" s="33">
        <v>50.723805331707901</v>
      </c>
      <c r="AE33" s="15">
        <v>4.5670897516528501E-3</v>
      </c>
      <c r="AF33" s="15">
        <v>6.2904446419319499E-4</v>
      </c>
      <c r="AG33" s="15">
        <v>1.12091720114188E-3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0</v>
      </c>
      <c r="AT33" s="12"/>
      <c r="AU33">
        <f t="shared" si="10"/>
        <v>1</v>
      </c>
      <c r="AV33">
        <f t="shared" si="11"/>
        <v>0</v>
      </c>
      <c r="AW33">
        <f t="shared" si="18"/>
        <v>1</v>
      </c>
      <c r="AX33">
        <f t="shared" si="5"/>
        <v>1</v>
      </c>
      <c r="AY33">
        <f t="shared" si="19"/>
        <v>1</v>
      </c>
      <c r="AZ33" s="28">
        <f t="shared" si="12"/>
        <v>0</v>
      </c>
      <c r="BA33" s="28">
        <f t="shared" si="13"/>
        <v>-3.9549140321703098E-4</v>
      </c>
      <c r="BB33" s="28">
        <f t="shared" si="20"/>
        <v>-3.9549140321703098E-4</v>
      </c>
      <c r="BC33" s="29">
        <f t="shared" si="21"/>
        <v>-2.843976113129538E-4</v>
      </c>
      <c r="BE33" s="29">
        <f t="shared" si="22"/>
        <v>-3.9549140321703098E-4</v>
      </c>
      <c r="BF33" s="29">
        <f t="shared" si="23"/>
        <v>-2.843976113129538E-4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48.93</v>
      </c>
      <c r="C34" s="33">
        <v>50.6</v>
      </c>
      <c r="D34" s="15">
        <v>6.1330882020584803E-4</v>
      </c>
      <c r="E34" s="15">
        <v>7.9082645481777004E-4</v>
      </c>
      <c r="F34" s="33">
        <v>0</v>
      </c>
      <c r="G34" s="33">
        <v>0.1124</v>
      </c>
      <c r="H34" s="33">
        <v>0</v>
      </c>
      <c r="I34" s="33">
        <v>0.10698000000000001</v>
      </c>
      <c r="J34" s="33">
        <v>0.1124</v>
      </c>
      <c r="K34" s="33">
        <v>0.10698000000000001</v>
      </c>
      <c r="L34" s="33">
        <v>49.042400000000001</v>
      </c>
      <c r="M34" s="33">
        <v>50.706980000000001</v>
      </c>
      <c r="N34" s="34">
        <v>1.0341303903535599</v>
      </c>
      <c r="O34" s="34">
        <v>1.0403907452411401</v>
      </c>
      <c r="P34" s="34">
        <v>1.0343684912345099</v>
      </c>
      <c r="Q34" s="34">
        <v>1.0348429321344901</v>
      </c>
      <c r="R34" s="33">
        <v>50.906319164648998</v>
      </c>
      <c r="S34" s="33">
        <v>50.6121911176891</v>
      </c>
      <c r="T34" s="33">
        <v>50.639262872933401</v>
      </c>
      <c r="U34" s="15">
        <v>6.0354881751156601E-3</v>
      </c>
      <c r="V34" s="15">
        <v>2.4090216037221101E-4</v>
      </c>
      <c r="W34" s="15">
        <v>7.7564521486435704E-4</v>
      </c>
      <c r="X34" s="34">
        <v>1.0339416504901799</v>
      </c>
      <c r="Y34" s="34">
        <v>1.0384904608674399</v>
      </c>
      <c r="Z34" s="34">
        <v>1.0341784553612301</v>
      </c>
      <c r="AA34" s="34">
        <v>1.0347188387981101</v>
      </c>
      <c r="AB34" s="33">
        <v>50.930064578045602</v>
      </c>
      <c r="AC34" s="33">
        <v>50.719125737338601</v>
      </c>
      <c r="AD34" s="33">
        <v>50.749966299632902</v>
      </c>
      <c r="AE34" s="15">
        <v>4.3898351672946303E-3</v>
      </c>
      <c r="AF34" s="15">
        <v>2.39499235594772E-4</v>
      </c>
      <c r="AG34" s="15">
        <v>8.4738017007188204E-4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0</v>
      </c>
      <c r="AT34" s="12"/>
      <c r="AU34">
        <f t="shared" si="10"/>
        <v>0</v>
      </c>
      <c r="AV34">
        <f t="shared" si="11"/>
        <v>0</v>
      </c>
      <c r="AW34">
        <f t="shared" si="18"/>
        <v>1</v>
      </c>
      <c r="AX34">
        <f t="shared" si="5"/>
        <v>1</v>
      </c>
      <c r="AY34">
        <f t="shared" si="19"/>
        <v>1</v>
      </c>
      <c r="AZ34" s="28">
        <f t="shared" si="12"/>
        <v>-6.1330882020584803E-4</v>
      </c>
      <c r="BA34" s="28">
        <f t="shared" si="13"/>
        <v>7.9082645481777004E-4</v>
      </c>
      <c r="BB34" s="28">
        <f t="shared" si="20"/>
        <v>1.7751763461192201E-4</v>
      </c>
      <c r="BC34" s="29">
        <f t="shared" si="21"/>
        <v>-1.0687997670103178E-4</v>
      </c>
      <c r="BE34" s="29">
        <f t="shared" si="22"/>
        <v>1.7751763461192201E-4</v>
      </c>
      <c r="BF34" s="29">
        <f t="shared" si="23"/>
        <v>-1.0687997670103178E-4</v>
      </c>
      <c r="BH34" s="29"/>
    </row>
    <row r="35" spans="1:124" x14ac:dyDescent="0.25">
      <c r="A35" s="1">
        <v>46073</v>
      </c>
      <c r="B35" s="33">
        <v>48.98</v>
      </c>
      <c r="C35" s="33">
        <v>50.66</v>
      </c>
      <c r="D35" s="15">
        <v>1.0213462229894501E-3</v>
      </c>
      <c r="E35" s="15">
        <v>1.18506828010929E-3</v>
      </c>
      <c r="F35" s="33">
        <v>0</v>
      </c>
      <c r="G35" s="33">
        <v>0.1124</v>
      </c>
      <c r="H35" s="33">
        <v>0</v>
      </c>
      <c r="I35" s="33">
        <v>0.10698000000000001</v>
      </c>
      <c r="J35" s="33">
        <v>0.1124</v>
      </c>
      <c r="K35" s="33">
        <v>0.10698000000000001</v>
      </c>
      <c r="L35" s="33">
        <v>49.092399999999998</v>
      </c>
      <c r="M35" s="33">
        <v>50.766979999999997</v>
      </c>
      <c r="N35" s="34">
        <v>1.03429971416904</v>
      </c>
      <c r="O35" s="34">
        <v>1.0403907452411401</v>
      </c>
      <c r="P35" s="34">
        <v>1.03433739961063</v>
      </c>
      <c r="Q35" s="34">
        <v>1.0347836244655899</v>
      </c>
      <c r="R35" s="33">
        <v>50.958338701911103</v>
      </c>
      <c r="S35" s="33">
        <v>50.663368700666702</v>
      </c>
      <c r="T35" s="33">
        <v>50.6866068159473</v>
      </c>
      <c r="U35" s="15">
        <v>5.8717661179958896E-3</v>
      </c>
      <c r="V35" s="15">
        <v>6.64940518890566E-5</v>
      </c>
      <c r="W35" s="15">
        <v>5.2506575986176001E-4</v>
      </c>
      <c r="X35" s="34">
        <v>1.0341107788578201</v>
      </c>
      <c r="Y35" s="34">
        <v>1.0384904608674399</v>
      </c>
      <c r="Z35" s="34">
        <v>1.0341476064355899</v>
      </c>
      <c r="AA35" s="34">
        <v>1.0346500843636499</v>
      </c>
      <c r="AB35" s="33">
        <v>50.981989101088999</v>
      </c>
      <c r="AC35" s="33">
        <v>50.770302401975798</v>
      </c>
      <c r="AD35" s="33">
        <v>50.796831121812403</v>
      </c>
      <c r="AE35" s="15">
        <v>4.2262722269976504E-3</v>
      </c>
      <c r="AF35" s="15">
        <v>6.5442011021505893E-5</v>
      </c>
      <c r="AG35" s="15">
        <v>5.8782990402316297E-4</v>
      </c>
      <c r="AI35" s="12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1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0</v>
      </c>
      <c r="AT35" s="12"/>
      <c r="AU35">
        <f t="shared" si="10"/>
        <v>0</v>
      </c>
      <c r="AV35">
        <f t="shared" si="11"/>
        <v>0</v>
      </c>
      <c r="AW35">
        <f t="shared" si="18"/>
        <v>1</v>
      </c>
      <c r="AX35">
        <f t="shared" si="5"/>
        <v>1</v>
      </c>
      <c r="AY35">
        <f t="shared" si="19"/>
        <v>1</v>
      </c>
      <c r="AZ35" s="28">
        <f t="shared" si="12"/>
        <v>-1.0213462229894501E-3</v>
      </c>
      <c r="BA35" s="28">
        <f t="shared" si="13"/>
        <v>1.18506828010929E-3</v>
      </c>
      <c r="BB35" s="28">
        <f t="shared" si="20"/>
        <v>1.6372205711983993E-4</v>
      </c>
      <c r="BC35" s="29">
        <f t="shared" si="21"/>
        <v>5.6842080418808151E-5</v>
      </c>
      <c r="BE35" s="29">
        <f t="shared" si="22"/>
        <v>1.6372205711983993E-4</v>
      </c>
      <c r="BF35" s="29">
        <f t="shared" si="23"/>
        <v>5.6842080418808151E-5</v>
      </c>
      <c r="BH35" s="29"/>
    </row>
    <row r="36" spans="1:124" x14ac:dyDescent="0.25">
      <c r="A36" s="1">
        <v>46076</v>
      </c>
      <c r="B36" s="33">
        <v>49.07</v>
      </c>
      <c r="C36" s="33">
        <v>50.72</v>
      </c>
      <c r="D36" s="15">
        <v>1.8357985777904199E-3</v>
      </c>
      <c r="E36" s="15">
        <v>1.18366555544127E-3</v>
      </c>
      <c r="F36" s="33">
        <v>0</v>
      </c>
      <c r="G36" s="33">
        <v>0.1124</v>
      </c>
      <c r="H36" s="33">
        <v>0</v>
      </c>
      <c r="I36" s="33">
        <v>0.10698000000000001</v>
      </c>
      <c r="J36" s="33">
        <v>0.1124</v>
      </c>
      <c r="K36" s="33">
        <v>0.10698000000000001</v>
      </c>
      <c r="L36" s="33">
        <v>49.182400000000001</v>
      </c>
      <c r="M36" s="33">
        <v>50.826979999999999</v>
      </c>
      <c r="N36" s="34">
        <v>1.03362543305481</v>
      </c>
      <c r="O36" s="34">
        <v>1.0403907452411401</v>
      </c>
      <c r="P36" s="34">
        <v>1.0342395927616299</v>
      </c>
      <c r="Q36" s="34">
        <v>1.03470019023598</v>
      </c>
      <c r="R36" s="33">
        <v>51.051973868982799</v>
      </c>
      <c r="S36" s="33">
        <v>50.754936198893702</v>
      </c>
      <c r="T36" s="33">
        <v>50.776832452526797</v>
      </c>
      <c r="U36" s="15">
        <v>6.5238991403447797E-3</v>
      </c>
      <c r="V36" s="15">
        <v>6.8856806582521103E-4</v>
      </c>
      <c r="W36" s="15">
        <v>1.11988634705552E-3</v>
      </c>
      <c r="X36" s="34">
        <v>1.03343838446273</v>
      </c>
      <c r="Y36" s="34">
        <v>1.0384904608674399</v>
      </c>
      <c r="Z36" s="34">
        <v>1.03405022537769</v>
      </c>
      <c r="AA36" s="34">
        <v>1.0345572977044299</v>
      </c>
      <c r="AB36" s="33">
        <v>51.075453242567001</v>
      </c>
      <c r="AC36" s="33">
        <v>50.861861238758003</v>
      </c>
      <c r="AD36" s="33">
        <v>50.886574309206999</v>
      </c>
      <c r="AE36" s="15">
        <v>4.8766987616854201E-3</v>
      </c>
      <c r="AF36" s="15">
        <v>6.8603869807472902E-4</v>
      </c>
      <c r="AG36" s="15">
        <v>1.1718067750372001E-3</v>
      </c>
      <c r="AI36" s="12"/>
      <c r="AJ36">
        <f t="shared" si="6"/>
        <v>0</v>
      </c>
      <c r="AK36">
        <f t="shared" si="7"/>
        <v>1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0</v>
      </c>
      <c r="AT36" s="12"/>
      <c r="AU36">
        <f t="shared" si="10"/>
        <v>1</v>
      </c>
      <c r="AV36">
        <f t="shared" si="11"/>
        <v>0</v>
      </c>
      <c r="AW36">
        <f t="shared" si="18"/>
        <v>1</v>
      </c>
      <c r="AX36">
        <f t="shared" si="5"/>
        <v>1</v>
      </c>
      <c r="AY36">
        <f t="shared" si="19"/>
        <v>1</v>
      </c>
      <c r="AZ36" s="28">
        <f t="shared" si="12"/>
        <v>-1.8357985777904199E-3</v>
      </c>
      <c r="BA36" s="28">
        <f t="shared" si="13"/>
        <v>1.18366555544127E-3</v>
      </c>
      <c r="BB36" s="28">
        <f t="shared" si="20"/>
        <v>-6.5213302234914993E-4</v>
      </c>
      <c r="BC36" s="29">
        <f t="shared" si="21"/>
        <v>-5.9529094193034172E-4</v>
      </c>
      <c r="BE36" s="29">
        <f t="shared" si="22"/>
        <v>-6.5213302234914993E-4</v>
      </c>
      <c r="BF36" s="29">
        <f t="shared" si="23"/>
        <v>-5.9529094193034172E-4</v>
      </c>
      <c r="BH36" s="29"/>
    </row>
    <row r="37" spans="1:124" x14ac:dyDescent="0.25">
      <c r="A37" s="1">
        <v>46077</v>
      </c>
      <c r="B37" s="33">
        <v>49.09</v>
      </c>
      <c r="C37" s="33">
        <v>50.72</v>
      </c>
      <c r="D37" s="15">
        <v>4.0749796814923102E-4</v>
      </c>
      <c r="E37" s="15">
        <v>0</v>
      </c>
      <c r="F37" s="33">
        <v>0</v>
      </c>
      <c r="G37" s="33">
        <v>0.1124</v>
      </c>
      <c r="H37" s="33">
        <v>0</v>
      </c>
      <c r="I37" s="33">
        <v>0.10698000000000001</v>
      </c>
      <c r="J37" s="33">
        <v>0.1124</v>
      </c>
      <c r="K37" s="33">
        <v>0.10698000000000001</v>
      </c>
      <c r="L37" s="33">
        <v>49.202399999999997</v>
      </c>
      <c r="M37" s="33">
        <v>50.826979999999999</v>
      </c>
      <c r="N37" s="34">
        <v>1.03320431859849</v>
      </c>
      <c r="O37" s="34">
        <v>1.0403907452411401</v>
      </c>
      <c r="P37" s="34">
        <v>1.0341010993589701</v>
      </c>
      <c r="Q37" s="34">
        <v>1.03460891224462</v>
      </c>
      <c r="R37" s="33">
        <v>51.072781683887598</v>
      </c>
      <c r="S37" s="33">
        <v>50.770821608668598</v>
      </c>
      <c r="T37" s="33">
        <v>50.793432338684397</v>
      </c>
      <c r="U37" s="15">
        <v>6.9313971084939401E-3</v>
      </c>
      <c r="V37" s="15">
        <v>1.0015016552427801E-3</v>
      </c>
      <c r="W37" s="15">
        <v>1.4467514259164801E-3</v>
      </c>
      <c r="X37" s="34">
        <v>1.0330183080500099</v>
      </c>
      <c r="Y37" s="34">
        <v>1.0384904608674399</v>
      </c>
      <c r="Z37" s="34">
        <v>1.0339122504212599</v>
      </c>
      <c r="AA37" s="34">
        <v>1.03445671918565</v>
      </c>
      <c r="AB37" s="33">
        <v>51.096223051784399</v>
      </c>
      <c r="AC37" s="33">
        <v>50.8777528091234</v>
      </c>
      <c r="AD37" s="33">
        <v>50.9027019845729</v>
      </c>
      <c r="AE37" s="15">
        <v>5.2832656353386598E-3</v>
      </c>
      <c r="AF37" s="15">
        <v>9.9843560744680899E-4</v>
      </c>
      <c r="AG37" s="15">
        <v>1.48869036214995E-3</v>
      </c>
      <c r="AI37" s="12"/>
      <c r="AJ37">
        <f t="shared" si="6"/>
        <v>0</v>
      </c>
      <c r="AK37">
        <f t="shared" si="7"/>
        <v>1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0</v>
      </c>
      <c r="AT37" s="12"/>
      <c r="AU37">
        <f t="shared" si="10"/>
        <v>1</v>
      </c>
      <c r="AV37">
        <f t="shared" si="11"/>
        <v>0</v>
      </c>
      <c r="AW37">
        <f t="shared" si="18"/>
        <v>1</v>
      </c>
      <c r="AX37">
        <f t="shared" si="5"/>
        <v>1</v>
      </c>
      <c r="AY37">
        <f t="shared" si="19"/>
        <v>1</v>
      </c>
      <c r="AZ37" s="28">
        <f t="shared" si="12"/>
        <v>-4.0749796814923102E-4</v>
      </c>
      <c r="BA37" s="28">
        <f t="shared" si="13"/>
        <v>0</v>
      </c>
      <c r="BB37" s="28">
        <f t="shared" si="20"/>
        <v>-4.0749796814923102E-4</v>
      </c>
      <c r="BC37" s="29">
        <f t="shared" si="21"/>
        <v>-1.0027889100795728E-3</v>
      </c>
      <c r="BE37" s="29">
        <f t="shared" si="22"/>
        <v>-4.0749796814923102E-4</v>
      </c>
      <c r="BF37" s="29">
        <f t="shared" si="23"/>
        <v>-1.0027889100795728E-3</v>
      </c>
      <c r="BH37" s="29"/>
    </row>
    <row r="38" spans="1:124" x14ac:dyDescent="0.25">
      <c r="A38" s="1">
        <v>46078</v>
      </c>
      <c r="B38" s="33">
        <v>49.03</v>
      </c>
      <c r="C38" s="33">
        <v>50.69</v>
      </c>
      <c r="D38" s="15">
        <v>-1.22299240681923E-3</v>
      </c>
      <c r="E38" s="15">
        <v>-5.9165764471254398E-4</v>
      </c>
      <c r="F38" s="33">
        <v>0</v>
      </c>
      <c r="G38" s="33">
        <v>0.1124</v>
      </c>
      <c r="H38" s="33">
        <v>0</v>
      </c>
      <c r="I38" s="33">
        <v>0.10698000000000001</v>
      </c>
      <c r="J38" s="33">
        <v>0.1124</v>
      </c>
      <c r="K38" s="33">
        <v>0.10698000000000001</v>
      </c>
      <c r="L38" s="33">
        <v>49.142400000000002</v>
      </c>
      <c r="M38" s="33">
        <v>50.796979999999998</v>
      </c>
      <c r="N38" s="34">
        <v>1.0338568223536599</v>
      </c>
      <c r="O38" s="34">
        <v>1.0403907452411401</v>
      </c>
      <c r="P38" s="34">
        <v>1.0341383838950799</v>
      </c>
      <c r="Q38" s="34">
        <v>1.03454989845711</v>
      </c>
      <c r="R38" s="33">
        <v>51.0103582391732</v>
      </c>
      <c r="S38" s="33">
        <v>50.701976901570603</v>
      </c>
      <c r="T38" s="33">
        <v>50.726874967353801</v>
      </c>
      <c r="U38" s="15">
        <v>6.3000623463872196E-3</v>
      </c>
      <c r="V38" s="15">
        <v>2.3624949413785201E-4</v>
      </c>
      <c r="W38" s="15">
        <v>7.2719592258667603E-4</v>
      </c>
      <c r="X38" s="34">
        <v>1.03366909227062</v>
      </c>
      <c r="Y38" s="34">
        <v>1.0384904608674399</v>
      </c>
      <c r="Z38" s="34">
        <v>1.0339495837307699</v>
      </c>
      <c r="AA38" s="34">
        <v>1.03438831889399</v>
      </c>
      <c r="AB38" s="33">
        <v>51.033913624132303</v>
      </c>
      <c r="AC38" s="33">
        <v>50.808929375102103</v>
      </c>
      <c r="AD38" s="33">
        <v>50.835685876909103</v>
      </c>
      <c r="AE38" s="15">
        <v>4.6534807515474603E-3</v>
      </c>
      <c r="AF38" s="15">
        <v>2.3521023985247501E-4</v>
      </c>
      <c r="AG38" s="15">
        <v>7.6168185585714595E-4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0</v>
      </c>
      <c r="AT38" s="12"/>
      <c r="AU38">
        <f t="shared" si="10"/>
        <v>0</v>
      </c>
      <c r="AV38">
        <f t="shared" si="11"/>
        <v>0</v>
      </c>
      <c r="AW38">
        <f t="shared" si="18"/>
        <v>1</v>
      </c>
      <c r="AX38">
        <f t="shared" si="5"/>
        <v>1</v>
      </c>
      <c r="AY38">
        <f t="shared" si="19"/>
        <v>1</v>
      </c>
      <c r="AZ38" s="28">
        <f t="shared" si="12"/>
        <v>1.22299240681923E-3</v>
      </c>
      <c r="BA38" s="28">
        <f t="shared" si="13"/>
        <v>-5.9165764471254398E-4</v>
      </c>
      <c r="BB38" s="28">
        <f t="shared" si="20"/>
        <v>6.3133476210668602E-4</v>
      </c>
      <c r="BC38" s="29">
        <f t="shared" si="21"/>
        <v>-3.7145414797288678E-4</v>
      </c>
      <c r="BE38" s="29">
        <f t="shared" si="22"/>
        <v>6.3133476210668602E-4</v>
      </c>
      <c r="BF38" s="29">
        <f t="shared" si="23"/>
        <v>-3.7145414797288678E-4</v>
      </c>
      <c r="BH38" s="29"/>
    </row>
    <row r="39" spans="1:124" x14ac:dyDescent="0.25">
      <c r="A39" s="1">
        <v>46079</v>
      </c>
      <c r="B39" s="33">
        <v>49.11</v>
      </c>
      <c r="C39" s="33">
        <v>50.74</v>
      </c>
      <c r="D39" s="15">
        <v>1.6303243880113601E-3</v>
      </c>
      <c r="E39" s="15">
        <v>9.8590168687799303E-4</v>
      </c>
      <c r="F39" s="33">
        <v>0</v>
      </c>
      <c r="G39" s="33">
        <v>0.1124</v>
      </c>
      <c r="H39" s="33">
        <v>0</v>
      </c>
      <c r="I39" s="33">
        <v>0.10698000000000001</v>
      </c>
      <c r="J39" s="33">
        <v>0.1124</v>
      </c>
      <c r="K39" s="33">
        <v>0.10698000000000001</v>
      </c>
      <c r="L39" s="33">
        <v>49.2224</v>
      </c>
      <c r="M39" s="33">
        <v>50.846980000000002</v>
      </c>
      <c r="N39" s="34">
        <v>1.0331907961718501</v>
      </c>
      <c r="O39" s="34">
        <v>1.0403907452411401</v>
      </c>
      <c r="P39" s="34">
        <v>1.0339865249211799</v>
      </c>
      <c r="Q39" s="34">
        <v>1.0343953793087799</v>
      </c>
      <c r="R39" s="33">
        <v>51.093589498792497</v>
      </c>
      <c r="S39" s="33">
        <v>50.786536033087401</v>
      </c>
      <c r="T39" s="33">
        <v>50.806745513228698</v>
      </c>
      <c r="U39" s="15">
        <v>6.9444850475207697E-3</v>
      </c>
      <c r="V39" s="15">
        <v>9.1672656558135701E-4</v>
      </c>
      <c r="W39" s="15">
        <v>1.3145772915405E-3</v>
      </c>
      <c r="X39" s="34">
        <v>1.0330048920816499</v>
      </c>
      <c r="Y39" s="34">
        <v>1.0384904608674399</v>
      </c>
      <c r="Z39" s="34">
        <v>1.03379823450476</v>
      </c>
      <c r="AA39" s="34">
        <v>1.03422450454115</v>
      </c>
      <c r="AB39" s="33">
        <v>51.116992861001698</v>
      </c>
      <c r="AC39" s="33">
        <v>50.893479990229402</v>
      </c>
      <c r="AD39" s="33">
        <v>50.915075587927603</v>
      </c>
      <c r="AE39" s="15">
        <v>5.29625287416461E-3</v>
      </c>
      <c r="AF39" s="15">
        <v>9.1409049009119603E-4</v>
      </c>
      <c r="AG39" s="15">
        <v>1.33832984599654E-3</v>
      </c>
      <c r="AI39" s="12"/>
      <c r="AJ39">
        <f t="shared" si="6"/>
        <v>0</v>
      </c>
      <c r="AK39">
        <f t="shared" si="7"/>
        <v>1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0</v>
      </c>
      <c r="AT39" s="12"/>
      <c r="AU39">
        <f t="shared" si="10"/>
        <v>1</v>
      </c>
      <c r="AV39">
        <f t="shared" si="11"/>
        <v>0</v>
      </c>
      <c r="AW39">
        <f t="shared" si="18"/>
        <v>1</v>
      </c>
      <c r="AX39">
        <f t="shared" si="5"/>
        <v>1</v>
      </c>
      <c r="AY39">
        <f t="shared" si="19"/>
        <v>1</v>
      </c>
      <c r="AZ39" s="28">
        <f t="shared" si="12"/>
        <v>-1.6303243880113601E-3</v>
      </c>
      <c r="BA39" s="28">
        <f t="shared" si="13"/>
        <v>9.8590168687799303E-4</v>
      </c>
      <c r="BB39" s="28">
        <f t="shared" si="20"/>
        <v>-6.4442270113336704E-4</v>
      </c>
      <c r="BC39" s="29">
        <f t="shared" si="21"/>
        <v>-1.0158768491062538E-3</v>
      </c>
      <c r="BE39" s="29">
        <f t="shared" si="22"/>
        <v>-6.4442270113336704E-4</v>
      </c>
      <c r="BF39" s="29">
        <f t="shared" si="23"/>
        <v>-1.0158768491062538E-3</v>
      </c>
      <c r="BH39" s="29"/>
    </row>
    <row r="40" spans="1:124" x14ac:dyDescent="0.25">
      <c r="A40" s="1">
        <v>46080</v>
      </c>
      <c r="B40" s="33">
        <v>49.2</v>
      </c>
      <c r="C40" s="33">
        <v>50.86</v>
      </c>
      <c r="D40" s="15">
        <v>1.8309434471093301E-3</v>
      </c>
      <c r="E40" s="15">
        <v>2.36220582283768E-3</v>
      </c>
      <c r="F40" s="33">
        <v>0</v>
      </c>
      <c r="G40" s="33">
        <v>0.1124</v>
      </c>
      <c r="H40" s="33">
        <v>0</v>
      </c>
      <c r="I40" s="33">
        <v>0.10698000000000001</v>
      </c>
      <c r="J40" s="33">
        <v>0.1124</v>
      </c>
      <c r="K40" s="33">
        <v>0.10698000000000001</v>
      </c>
      <c r="L40" s="33">
        <v>49.312399999999997</v>
      </c>
      <c r="M40" s="33">
        <v>50.96698</v>
      </c>
      <c r="N40" s="34">
        <v>1.0337398373983699</v>
      </c>
      <c r="O40" s="34">
        <v>1.0403907452411401</v>
      </c>
      <c r="P40" s="34">
        <v>1.0339383775134701</v>
      </c>
      <c r="Q40" s="34">
        <v>1.0343872818012601</v>
      </c>
      <c r="R40" s="33">
        <v>51.1872246658642</v>
      </c>
      <c r="S40" s="33">
        <v>50.872137026122097</v>
      </c>
      <c r="T40" s="33">
        <v>50.892252661992401</v>
      </c>
      <c r="U40" s="15">
        <v>6.41322267179208E-3</v>
      </c>
      <c r="V40" s="15">
        <v>2.38607514488554E-4</v>
      </c>
      <c r="W40" s="15">
        <v>6.3394494428989899E-4</v>
      </c>
      <c r="X40" s="34">
        <v>1.03355302114681</v>
      </c>
      <c r="Y40" s="34">
        <v>1.0384904608674399</v>
      </c>
      <c r="Z40" s="34">
        <v>1.0337503505153001</v>
      </c>
      <c r="AA40" s="34">
        <v>1.0342070662210501</v>
      </c>
      <c r="AB40" s="33">
        <v>51.210457002479799</v>
      </c>
      <c r="AC40" s="33">
        <v>50.979072059192497</v>
      </c>
      <c r="AD40" s="33">
        <v>51.000092457735398</v>
      </c>
      <c r="AE40" s="15">
        <v>4.7657774643034504E-3</v>
      </c>
      <c r="AF40" s="15">
        <v>2.37224669421539E-4</v>
      </c>
      <c r="AG40" s="15">
        <v>6.4947356242114397E-4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0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0</v>
      </c>
      <c r="AT40" s="12"/>
      <c r="AU40">
        <f t="shared" si="10"/>
        <v>0</v>
      </c>
      <c r="AV40">
        <f t="shared" si="11"/>
        <v>0</v>
      </c>
      <c r="AW40">
        <f t="shared" si="18"/>
        <v>1</v>
      </c>
      <c r="AX40">
        <f t="shared" si="5"/>
        <v>0</v>
      </c>
      <c r="AY40">
        <f t="shared" si="19"/>
        <v>1</v>
      </c>
      <c r="AZ40" s="28">
        <f t="shared" si="12"/>
        <v>-1.8309434471093301E-3</v>
      </c>
      <c r="BA40" s="28">
        <f t="shared" si="13"/>
        <v>2.36220582283768E-3</v>
      </c>
      <c r="BB40" s="28">
        <f t="shared" si="20"/>
        <v>5.3126237572834992E-4</v>
      </c>
      <c r="BC40" s="29">
        <f t="shared" si="21"/>
        <v>-4.846144733779039E-4</v>
      </c>
      <c r="BE40" s="29">
        <f t="shared" si="22"/>
        <v>5.3126237572834992E-4</v>
      </c>
      <c r="BF40" s="29">
        <f t="shared" si="23"/>
        <v>-4.846144733779039E-4</v>
      </c>
      <c r="BH40" s="29"/>
    </row>
    <row r="41" spans="1:124" x14ac:dyDescent="0.25">
      <c r="A41" s="1">
        <v>46083</v>
      </c>
      <c r="B41" s="33">
        <v>48.93</v>
      </c>
      <c r="C41" s="33">
        <v>50.66</v>
      </c>
      <c r="D41" s="15">
        <v>-5.50291819723035E-3</v>
      </c>
      <c r="E41" s="15">
        <v>-3.9401154204444502E-3</v>
      </c>
      <c r="F41" s="33">
        <v>9.98E-2</v>
      </c>
      <c r="G41" s="33">
        <v>0.2122</v>
      </c>
      <c r="H41" s="33">
        <v>0</v>
      </c>
      <c r="I41" s="33">
        <v>0.10698000000000001</v>
      </c>
      <c r="J41" s="33">
        <v>0.2122</v>
      </c>
      <c r="K41" s="33">
        <v>0.10698000000000001</v>
      </c>
      <c r="L41" s="33">
        <v>49.142200000000003</v>
      </c>
      <c r="M41" s="33">
        <v>50.766979999999997</v>
      </c>
      <c r="N41" s="34">
        <v>1.03535663192315</v>
      </c>
      <c r="O41" s="34">
        <v>1.0403907452411401</v>
      </c>
      <c r="P41" s="34">
        <v>1.03397066025096</v>
      </c>
      <c r="Q41" s="34">
        <v>1.0343741786640499</v>
      </c>
      <c r="R41" s="33">
        <v>50.906319164648998</v>
      </c>
      <c r="S41" s="33">
        <v>50.590604811734401</v>
      </c>
      <c r="T41" s="33">
        <v>50.612569698535999</v>
      </c>
      <c r="U41" s="15">
        <v>4.8504198950064196E-3</v>
      </c>
      <c r="V41" s="15">
        <v>-1.37076117738997E-3</v>
      </c>
      <c r="W41" s="15">
        <v>-9.3668611496712495E-4</v>
      </c>
      <c r="X41" s="34">
        <v>1.03306282584011</v>
      </c>
      <c r="Y41" s="34">
        <v>1.0384904608674399</v>
      </c>
      <c r="Z41" s="34">
        <v>1.0335723804870101</v>
      </c>
      <c r="AA41" s="34">
        <v>1.0340792727796899</v>
      </c>
      <c r="AB41" s="33">
        <v>51.033705926040199</v>
      </c>
      <c r="AC41" s="33">
        <v>50.800766475093198</v>
      </c>
      <c r="AD41" s="33">
        <v>50.823210489648503</v>
      </c>
      <c r="AE41" s="15">
        <v>5.2401716935029496E-3</v>
      </c>
      <c r="AF41" s="15">
        <v>6.6529932014824705E-4</v>
      </c>
      <c r="AG41" s="15">
        <v>1.10700639736785E-3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0</v>
      </c>
      <c r="AT41" s="12"/>
      <c r="AU41">
        <f t="shared" si="10"/>
        <v>1</v>
      </c>
      <c r="AV41">
        <f t="shared" si="11"/>
        <v>0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-4.846144733779039E-4</v>
      </c>
      <c r="BE41" s="29">
        <f t="shared" si="22"/>
        <v>0</v>
      </c>
      <c r="BF41" s="29">
        <f t="shared" si="23"/>
        <v>-4.846144733779039E-4</v>
      </c>
      <c r="BH41" s="29"/>
    </row>
    <row r="42" spans="1:124" x14ac:dyDescent="0.25">
      <c r="A42" s="1">
        <v>46084</v>
      </c>
      <c r="B42" s="33">
        <v>48.83</v>
      </c>
      <c r="C42" s="33">
        <v>50.6</v>
      </c>
      <c r="D42" s="15">
        <v>-2.0458272274633499E-3</v>
      </c>
      <c r="E42" s="15">
        <v>-1.1850682801092501E-3</v>
      </c>
      <c r="F42" s="33">
        <v>0</v>
      </c>
      <c r="G42" s="33">
        <v>0.2122</v>
      </c>
      <c r="H42" s="33">
        <v>0</v>
      </c>
      <c r="I42" s="33">
        <v>0.10698000000000001</v>
      </c>
      <c r="J42" s="33">
        <v>0.2122</v>
      </c>
      <c r="K42" s="33">
        <v>0.10698000000000001</v>
      </c>
      <c r="L42" s="33">
        <v>49.042200000000001</v>
      </c>
      <c r="M42" s="33">
        <v>50.706980000000001</v>
      </c>
      <c r="N42" s="34">
        <v>1.03624820806881</v>
      </c>
      <c r="O42" s="34">
        <v>1.0403907452411401</v>
      </c>
      <c r="P42" s="34">
        <v>1.03415989823576</v>
      </c>
      <c r="Q42" s="34">
        <v>1.03437985770263</v>
      </c>
      <c r="R42" s="33">
        <v>50.802280090124903</v>
      </c>
      <c r="S42" s="33">
        <v>50.488787340054699</v>
      </c>
      <c r="T42" s="33">
        <v>50.508491144165603</v>
      </c>
      <c r="U42" s="15">
        <v>3.9896609476521398E-3</v>
      </c>
      <c r="V42" s="15">
        <v>-2.2002975352550199E-3</v>
      </c>
      <c r="W42" s="15">
        <v>-1.8101126776719999E-3</v>
      </c>
      <c r="X42" s="34">
        <v>1.0339458670288</v>
      </c>
      <c r="Y42" s="34">
        <v>1.0384904608674399</v>
      </c>
      <c r="Z42" s="34">
        <v>1.03355032160632</v>
      </c>
      <c r="AA42" s="34">
        <v>1.0339796010037301</v>
      </c>
      <c r="AB42" s="33">
        <v>50.929856879953398</v>
      </c>
      <c r="AC42" s="33">
        <v>50.688663398320301</v>
      </c>
      <c r="AD42" s="33">
        <v>50.713522511516103</v>
      </c>
      <c r="AE42" s="15">
        <v>4.3857570551342701E-3</v>
      </c>
      <c r="AF42" s="15">
        <v>-3.6128972143222401E-4</v>
      </c>
      <c r="AG42" s="15">
        <v>1.29017533205028E-4</v>
      </c>
      <c r="AI42" s="12"/>
      <c r="AJ42">
        <f t="shared" si="6"/>
        <v>0</v>
      </c>
      <c r="AK42">
        <f t="shared" si="7"/>
        <v>1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0</v>
      </c>
      <c r="AT42" s="12"/>
      <c r="AU42">
        <f t="shared" si="10"/>
        <v>0</v>
      </c>
      <c r="AV42">
        <f t="shared" si="11"/>
        <v>0</v>
      </c>
      <c r="AW42">
        <f t="shared" si="18"/>
        <v>1</v>
      </c>
      <c r="AX42">
        <f t="shared" si="5"/>
        <v>1</v>
      </c>
      <c r="AY42">
        <f t="shared" si="19"/>
        <v>1</v>
      </c>
      <c r="AZ42" s="28">
        <f t="shared" si="12"/>
        <v>2.0458272274633499E-3</v>
      </c>
      <c r="BA42" s="28">
        <f t="shared" si="13"/>
        <v>-1.1850682801092501E-3</v>
      </c>
      <c r="BB42" s="28">
        <f t="shared" si="20"/>
        <v>8.6075894735409978E-4</v>
      </c>
      <c r="BC42" s="29">
        <f t="shared" si="21"/>
        <v>3.7614447397619588E-4</v>
      </c>
      <c r="BE42" s="29">
        <f t="shared" si="22"/>
        <v>8.6075894735409978E-4</v>
      </c>
      <c r="BF42" s="29">
        <f t="shared" si="23"/>
        <v>3.7614447397619588E-4</v>
      </c>
      <c r="BH42" s="29"/>
    </row>
    <row r="43" spans="1:124" x14ac:dyDescent="0.25">
      <c r="A43" s="1">
        <v>46085</v>
      </c>
      <c r="B43" s="33">
        <v>48.77</v>
      </c>
      <c r="C43" s="33">
        <v>50.6</v>
      </c>
      <c r="D43" s="15">
        <v>-1.22950835160753E-3</v>
      </c>
      <c r="E43" s="15">
        <v>0</v>
      </c>
      <c r="F43" s="33">
        <v>0</v>
      </c>
      <c r="G43" s="33">
        <v>0.2122</v>
      </c>
      <c r="H43" s="33">
        <v>0</v>
      </c>
      <c r="I43" s="33">
        <v>0.10698000000000001</v>
      </c>
      <c r="J43" s="33">
        <v>0.2122</v>
      </c>
      <c r="K43" s="33">
        <v>0.10698000000000001</v>
      </c>
      <c r="L43" s="33">
        <v>48.982199999999999</v>
      </c>
      <c r="M43" s="33">
        <v>50.706980000000001</v>
      </c>
      <c r="N43" s="34">
        <v>1.0375230674595</v>
      </c>
      <c r="O43" s="34">
        <v>1.0403907452411401</v>
      </c>
      <c r="P43" s="34">
        <v>1.0345175219551199</v>
      </c>
      <c r="Q43" s="34">
        <v>1.0344485332817599</v>
      </c>
      <c r="R43" s="33">
        <v>50.739856645410498</v>
      </c>
      <c r="S43" s="33">
        <v>50.4359782369581</v>
      </c>
      <c r="T43" s="33">
        <v>50.446705660157498</v>
      </c>
      <c r="U43" s="15">
        <v>2.7601525960446599E-3</v>
      </c>
      <c r="V43" s="15">
        <v>-3.2468019807051101E-3</v>
      </c>
      <c r="W43" s="15">
        <v>-3.0341307307869001E-3</v>
      </c>
      <c r="X43" s="34">
        <v>1.03521238327392</v>
      </c>
      <c r="Y43" s="34">
        <v>1.0384904608674399</v>
      </c>
      <c r="Z43" s="34">
        <v>1.0336957203502599</v>
      </c>
      <c r="AA43" s="34">
        <v>1.0339425143655701</v>
      </c>
      <c r="AB43" s="33">
        <v>50.867547452301402</v>
      </c>
      <c r="AC43" s="33">
        <v>50.625568562985499</v>
      </c>
      <c r="AD43" s="33">
        <v>50.646595612285203</v>
      </c>
      <c r="AE43" s="15">
        <v>3.1615719034142099E-3</v>
      </c>
      <c r="AF43" s="15">
        <v>-1.6068174675371201E-3</v>
      </c>
      <c r="AG43" s="15">
        <v>-1.19155924188186E-3</v>
      </c>
      <c r="AI43" s="12"/>
      <c r="AJ43">
        <f t="shared" si="6"/>
        <v>0</v>
      </c>
      <c r="AK43">
        <f t="shared" si="7"/>
        <v>0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0</v>
      </c>
      <c r="AT43" s="12"/>
      <c r="AU43">
        <f t="shared" si="10"/>
        <v>0</v>
      </c>
      <c r="AV43">
        <f t="shared" si="11"/>
        <v>1</v>
      </c>
      <c r="AW43">
        <f t="shared" si="18"/>
        <v>1</v>
      </c>
      <c r="AX43">
        <f t="shared" si="5"/>
        <v>1</v>
      </c>
      <c r="AY43">
        <f t="shared" si="19"/>
        <v>1</v>
      </c>
      <c r="AZ43" s="28">
        <f t="shared" si="12"/>
        <v>1.22950835160753E-3</v>
      </c>
      <c r="BA43" s="28">
        <f t="shared" si="13"/>
        <v>0</v>
      </c>
      <c r="BB43" s="28">
        <f t="shared" si="20"/>
        <v>1.22950835160753E-3</v>
      </c>
      <c r="BC43" s="29">
        <f t="shared" si="21"/>
        <v>1.6056528255837259E-3</v>
      </c>
      <c r="BE43" s="29">
        <f t="shared" si="22"/>
        <v>1.22950835160753E-3</v>
      </c>
      <c r="BF43" s="29">
        <f t="shared" si="23"/>
        <v>1.6056528255837259E-3</v>
      </c>
      <c r="BH43" s="29"/>
    </row>
    <row r="44" spans="1:124" x14ac:dyDescent="0.25">
      <c r="A44" s="1">
        <v>46086</v>
      </c>
      <c r="B44" s="33">
        <v>48.58</v>
      </c>
      <c r="C44" s="33">
        <v>50.41</v>
      </c>
      <c r="D44" s="15">
        <v>-3.9034461479348602E-3</v>
      </c>
      <c r="E44" s="15">
        <v>-3.7620081988804701E-3</v>
      </c>
      <c r="F44" s="33">
        <v>0</v>
      </c>
      <c r="G44" s="33">
        <v>0.2122</v>
      </c>
      <c r="H44" s="33">
        <v>0</v>
      </c>
      <c r="I44" s="33">
        <v>0.10698000000000001</v>
      </c>
      <c r="J44" s="33">
        <v>0.2122</v>
      </c>
      <c r="K44" s="33">
        <v>0.10698000000000001</v>
      </c>
      <c r="L44" s="33">
        <v>48.792200000000001</v>
      </c>
      <c r="M44" s="33">
        <v>50.516979999999997</v>
      </c>
      <c r="N44" s="34">
        <v>1.0376698229724099</v>
      </c>
      <c r="O44" s="34">
        <v>1.0403907452411401</v>
      </c>
      <c r="P44" s="34">
        <v>1.0348714652170099</v>
      </c>
      <c r="Q44" s="34">
        <v>1.0346199782257599</v>
      </c>
      <c r="R44" s="33">
        <v>50.5421824038146</v>
      </c>
      <c r="S44" s="33">
        <v>50.256861216580099</v>
      </c>
      <c r="T44" s="33">
        <v>50.253509746828101</v>
      </c>
      <c r="U44" s="15">
        <v>2.6187146469902698E-3</v>
      </c>
      <c r="V44" s="15">
        <v>-3.0424888528273199E-3</v>
      </c>
      <c r="W44" s="15">
        <v>-3.1091778864284301E-3</v>
      </c>
      <c r="X44" s="34">
        <v>1.0353495025844199</v>
      </c>
      <c r="Y44" s="34">
        <v>1.0384904608674399</v>
      </c>
      <c r="Z44" s="34">
        <v>1.0338365055596901</v>
      </c>
      <c r="AA44" s="34">
        <v>1.03400748046046</v>
      </c>
      <c r="AB44" s="33">
        <v>50.6702342647365</v>
      </c>
      <c r="AC44" s="33">
        <v>50.436288326474397</v>
      </c>
      <c r="AD44" s="33">
        <v>50.4483299494281</v>
      </c>
      <c r="AE44" s="15">
        <v>3.0291254292059699E-3</v>
      </c>
      <c r="AF44" s="15">
        <v>-1.59859491519643E-3</v>
      </c>
      <c r="AG44" s="15">
        <v>-1.35987422186052E-3</v>
      </c>
      <c r="AI44" s="12"/>
      <c r="AJ44">
        <f t="shared" si="6"/>
        <v>0</v>
      </c>
      <c r="AK44">
        <f t="shared" si="7"/>
        <v>0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0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1.6056528255837259E-3</v>
      </c>
      <c r="BE44" s="29">
        <f t="shared" si="22"/>
        <v>0</v>
      </c>
      <c r="BF44" s="29">
        <f t="shared" si="23"/>
        <v>1.6056528255837259E-3</v>
      </c>
      <c r="BH44" s="29"/>
    </row>
    <row r="45" spans="1:124" x14ac:dyDescent="0.25">
      <c r="A45" s="1">
        <v>46087</v>
      </c>
      <c r="B45" s="33">
        <v>48.44</v>
      </c>
      <c r="C45" s="33">
        <v>50.34</v>
      </c>
      <c r="D45" s="15">
        <v>-2.8860048891349798E-3</v>
      </c>
      <c r="E45" s="15">
        <v>-1.3895783873695299E-3</v>
      </c>
      <c r="F45" s="33">
        <v>0</v>
      </c>
      <c r="G45" s="33">
        <v>0.2122</v>
      </c>
      <c r="H45" s="33">
        <v>0</v>
      </c>
      <c r="I45" s="33">
        <v>0.10698000000000001</v>
      </c>
      <c r="J45" s="33">
        <v>0.2122</v>
      </c>
      <c r="K45" s="33">
        <v>0.10698000000000001</v>
      </c>
      <c r="L45" s="33">
        <v>48.652200000000001</v>
      </c>
      <c r="M45" s="33">
        <v>50.446980000000003</v>
      </c>
      <c r="N45" s="34">
        <v>1.0392237819983401</v>
      </c>
      <c r="O45" s="34">
        <v>1.0403907452411401</v>
      </c>
      <c r="P45" s="34">
        <v>1.0353638719999401</v>
      </c>
      <c r="Q45" s="34">
        <v>1.03485063580528</v>
      </c>
      <c r="R45" s="33">
        <v>50.396527699480899</v>
      </c>
      <c r="S45" s="33">
        <v>50.1291737751121</v>
      </c>
      <c r="T45" s="33">
        <v>50.116991745256101</v>
      </c>
      <c r="U45" s="15">
        <v>1.1222881452249301E-3</v>
      </c>
      <c r="V45" s="15">
        <v>-4.1968402130604402E-3</v>
      </c>
      <c r="W45" s="15">
        <v>-4.4398825250081802E-3</v>
      </c>
      <c r="X45" s="34">
        <v>1.03689000702948</v>
      </c>
      <c r="Y45" s="34">
        <v>1.0384904608674399</v>
      </c>
      <c r="Z45" s="34">
        <v>1.03411442837685</v>
      </c>
      <c r="AA45" s="34">
        <v>1.0341310174062199</v>
      </c>
      <c r="AB45" s="33">
        <v>50.524845600215102</v>
      </c>
      <c r="AC45" s="33">
        <v>50.2984204357913</v>
      </c>
      <c r="AD45" s="33">
        <v>50.306738740858499</v>
      </c>
      <c r="AE45" s="15">
        <v>1.5423236172586001E-3</v>
      </c>
      <c r="AF45" s="15">
        <v>-2.9492100134592999E-3</v>
      </c>
      <c r="AG45" s="15">
        <v>-2.7838446354949199E-3</v>
      </c>
      <c r="AI45" s="12"/>
      <c r="AJ45">
        <f t="shared" si="6"/>
        <v>0</v>
      </c>
      <c r="AK45">
        <f t="shared" si="7"/>
        <v>0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0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1.6056528255837259E-3</v>
      </c>
      <c r="BE45" s="29">
        <f t="shared" si="22"/>
        <v>0</v>
      </c>
      <c r="BF45" s="29">
        <f t="shared" si="23"/>
        <v>1.6056528255837259E-3</v>
      </c>
      <c r="BH45" s="29"/>
    </row>
    <row r="46" spans="1:124" x14ac:dyDescent="0.25">
      <c r="A46" s="1">
        <v>46090</v>
      </c>
      <c r="B46" s="33">
        <v>48.51</v>
      </c>
      <c r="C46" s="33">
        <v>50.37</v>
      </c>
      <c r="D46" s="15">
        <v>1.44404357223362E-3</v>
      </c>
      <c r="E46" s="15">
        <v>5.9577005038916595E-4</v>
      </c>
      <c r="F46" s="33">
        <v>0</v>
      </c>
      <c r="G46" s="33">
        <v>0.2122</v>
      </c>
      <c r="H46" s="33">
        <v>0</v>
      </c>
      <c r="I46" s="33">
        <v>0.10698000000000001</v>
      </c>
      <c r="J46" s="33">
        <v>0.2122</v>
      </c>
      <c r="K46" s="33">
        <v>0.10698000000000001</v>
      </c>
      <c r="L46" s="33">
        <v>48.722200000000001</v>
      </c>
      <c r="M46" s="33">
        <v>50.476979999999998</v>
      </c>
      <c r="N46" s="34">
        <v>1.0383426097711801</v>
      </c>
      <c r="O46" s="34">
        <v>1.0403907452411401</v>
      </c>
      <c r="P46" s="34">
        <v>1.0358355896715801</v>
      </c>
      <c r="Q46" s="34">
        <v>1.0350375912166001</v>
      </c>
      <c r="R46" s="33">
        <v>50.469355051647803</v>
      </c>
      <c r="S46" s="33">
        <v>50.225501430717202</v>
      </c>
      <c r="T46" s="33">
        <v>50.200604342914502</v>
      </c>
      <c r="U46" s="15">
        <v>1.9705616670693802E-3</v>
      </c>
      <c r="V46" s="15">
        <v>-2.8728654186467501E-3</v>
      </c>
      <c r="W46" s="15">
        <v>-3.3686944288633699E-3</v>
      </c>
      <c r="X46" s="34">
        <v>1.0360160255489199</v>
      </c>
      <c r="Y46" s="34">
        <v>1.0384904608674399</v>
      </c>
      <c r="Z46" s="34">
        <v>1.0343721924854701</v>
      </c>
      <c r="AA46" s="34">
        <v>1.03421120893158</v>
      </c>
      <c r="AB46" s="33">
        <v>50.597539932475797</v>
      </c>
      <c r="AC46" s="33">
        <v>50.384330002262999</v>
      </c>
      <c r="AD46" s="33">
        <v>50.385138256269599</v>
      </c>
      <c r="AE46" s="15">
        <v>2.38556640647376E-3</v>
      </c>
      <c r="AF46" s="15">
        <v>-1.83717668934474E-3</v>
      </c>
      <c r="AG46" s="15">
        <v>-1.82113504457584E-3</v>
      </c>
      <c r="AI46" s="12"/>
      <c r="AJ46">
        <f t="shared" si="6"/>
        <v>0</v>
      </c>
      <c r="AK46">
        <f t="shared" si="7"/>
        <v>0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0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1.6056528255837259E-3</v>
      </c>
      <c r="BE46" s="29">
        <f t="shared" si="22"/>
        <v>0</v>
      </c>
      <c r="BF46" s="29">
        <f t="shared" si="23"/>
        <v>1.6056528255837259E-3</v>
      </c>
      <c r="BH46" s="29"/>
    </row>
    <row r="47" spans="1:124" x14ac:dyDescent="0.25">
      <c r="A47" s="1">
        <v>46091</v>
      </c>
      <c r="B47" s="33">
        <v>48.47</v>
      </c>
      <c r="C47" s="33">
        <v>50.31</v>
      </c>
      <c r="D47" s="15">
        <v>-8.2491239984056205E-4</v>
      </c>
      <c r="E47" s="15">
        <v>-1.1918952543318699E-3</v>
      </c>
      <c r="F47" s="33">
        <v>0</v>
      </c>
      <c r="G47" s="33">
        <v>0.2122</v>
      </c>
      <c r="H47" s="33">
        <v>0</v>
      </c>
      <c r="I47" s="33">
        <v>0.10698000000000001</v>
      </c>
      <c r="J47" s="33">
        <v>0.2122</v>
      </c>
      <c r="K47" s="33">
        <v>0.10698000000000001</v>
      </c>
      <c r="L47" s="33">
        <v>48.682200000000002</v>
      </c>
      <c r="M47" s="33">
        <v>50.416980000000002</v>
      </c>
      <c r="N47" s="34">
        <v>1.0379616257478801</v>
      </c>
      <c r="O47" s="34">
        <v>1.0403907452411401</v>
      </c>
      <c r="P47" s="34">
        <v>1.03631132038651</v>
      </c>
      <c r="Q47" s="34">
        <v>1.0352062098727399</v>
      </c>
      <c r="R47" s="33">
        <v>50.427739421838098</v>
      </c>
      <c r="S47" s="33">
        <v>50.206951031381401</v>
      </c>
      <c r="T47" s="33">
        <v>50.168272046268903</v>
      </c>
      <c r="U47" s="15">
        <v>2.33754452156055E-3</v>
      </c>
      <c r="V47" s="15">
        <v>-2.0503806305933701E-3</v>
      </c>
      <c r="W47" s="15">
        <v>-2.8210685721202101E-3</v>
      </c>
      <c r="X47" s="34">
        <v>1.0356347905394501</v>
      </c>
      <c r="Y47" s="34">
        <v>1.0384904608674399</v>
      </c>
      <c r="Z47" s="34">
        <v>1.03463384073442</v>
      </c>
      <c r="AA47" s="34">
        <v>1.0342730455778399</v>
      </c>
      <c r="AB47" s="33">
        <v>50.5560003140411</v>
      </c>
      <c r="AC47" s="33">
        <v>50.355513949016498</v>
      </c>
      <c r="AD47" s="33">
        <v>50.347676915449199</v>
      </c>
      <c r="AE47" s="15">
        <v>2.7536158970666801E-3</v>
      </c>
      <c r="AF47" s="15">
        <v>-1.2198975374585301E-3</v>
      </c>
      <c r="AG47" s="15">
        <v>-1.3755437193893199E-3</v>
      </c>
      <c r="AI47" s="12"/>
      <c r="AJ47">
        <f t="shared" si="6"/>
        <v>0</v>
      </c>
      <c r="AK47">
        <f t="shared" si="7"/>
        <v>0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0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1.6056528255837259E-3</v>
      </c>
      <c r="BE47" s="29">
        <f t="shared" si="22"/>
        <v>0</v>
      </c>
      <c r="BF47" s="29">
        <f t="shared" si="23"/>
        <v>1.6056528255837259E-3</v>
      </c>
      <c r="BH47" s="29"/>
    </row>
    <row r="48" spans="1:124" x14ac:dyDescent="0.25">
      <c r="A48" s="1">
        <v>46092</v>
      </c>
      <c r="B48" s="33">
        <v>48.25</v>
      </c>
      <c r="C48" s="33">
        <v>50.15</v>
      </c>
      <c r="D48" s="15">
        <v>-4.5492220722896798E-3</v>
      </c>
      <c r="E48" s="15">
        <v>-3.1853500952826802E-3</v>
      </c>
      <c r="F48" s="33">
        <v>0</v>
      </c>
      <c r="G48" s="33">
        <v>0.2122</v>
      </c>
      <c r="H48" s="33">
        <v>0</v>
      </c>
      <c r="I48" s="33">
        <v>0.10698000000000001</v>
      </c>
      <c r="J48" s="33">
        <v>0.2122</v>
      </c>
      <c r="K48" s="33">
        <v>0.10698000000000001</v>
      </c>
      <c r="L48" s="33">
        <v>48.462200000000003</v>
      </c>
      <c r="M48" s="33">
        <v>50.256979999999999</v>
      </c>
      <c r="N48" s="34">
        <v>1.0393782383419601</v>
      </c>
      <c r="O48" s="34">
        <v>1.0403907452411401</v>
      </c>
      <c r="P48" s="34">
        <v>1.0368634619853501</v>
      </c>
      <c r="Q48" s="34">
        <v>1.0355009229402099</v>
      </c>
      <c r="R48" s="33">
        <v>50.1988534578851</v>
      </c>
      <c r="S48" s="33">
        <v>50.002021208649502</v>
      </c>
      <c r="T48" s="33">
        <v>49.948699626360003</v>
      </c>
      <c r="U48" s="15">
        <v>9.7367254455376501E-4</v>
      </c>
      <c r="V48" s="15">
        <v>-2.9550856238419998E-3</v>
      </c>
      <c r="W48" s="15">
        <v>-4.0220431585641604E-3</v>
      </c>
      <c r="X48" s="34">
        <v>1.0370346373049499</v>
      </c>
      <c r="Y48" s="34">
        <v>1.0384904608674399</v>
      </c>
      <c r="Z48" s="34">
        <v>1.0349703952378499</v>
      </c>
      <c r="AA48" s="34">
        <v>1.0344599894843101</v>
      </c>
      <c r="AB48" s="33">
        <v>50.327532412650299</v>
      </c>
      <c r="AC48" s="33">
        <v>50.140632116439697</v>
      </c>
      <c r="AD48" s="33">
        <v>50.123147189402701</v>
      </c>
      <c r="AE48" s="15">
        <v>1.4028486598693401E-3</v>
      </c>
      <c r="AF48" s="15">
        <v>-2.31774308555665E-3</v>
      </c>
      <c r="AG48" s="15">
        <v>-2.6665216242348702E-3</v>
      </c>
      <c r="AI48" s="12"/>
      <c r="AJ48">
        <f t="shared" si="6"/>
        <v>0</v>
      </c>
      <c r="AK48">
        <f t="shared" si="7"/>
        <v>0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0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1.6056528255837259E-3</v>
      </c>
      <c r="BE48" s="29">
        <f t="shared" si="22"/>
        <v>0</v>
      </c>
      <c r="BF48" s="29">
        <f t="shared" si="23"/>
        <v>1.6056528255837259E-3</v>
      </c>
      <c r="BH48" s="29"/>
    </row>
    <row r="49" spans="1:60" x14ac:dyDescent="0.25">
      <c r="A49" s="1">
        <v>46093</v>
      </c>
      <c r="B49" s="33">
        <v>48.08</v>
      </c>
      <c r="C49" s="33">
        <v>50.02</v>
      </c>
      <c r="D49" s="15">
        <v>-3.5295375580427701E-3</v>
      </c>
      <c r="E49" s="15">
        <v>-2.5955889584714301E-3</v>
      </c>
      <c r="F49" s="33">
        <v>0</v>
      </c>
      <c r="G49" s="33">
        <v>0.2122</v>
      </c>
      <c r="H49" s="33">
        <v>0</v>
      </c>
      <c r="I49" s="33">
        <v>0.10698000000000001</v>
      </c>
      <c r="J49" s="33">
        <v>0.2122</v>
      </c>
      <c r="K49" s="33">
        <v>0.10698000000000001</v>
      </c>
      <c r="L49" s="33">
        <v>48.292200000000001</v>
      </c>
      <c r="M49" s="33">
        <v>50.126980000000003</v>
      </c>
      <c r="N49" s="34">
        <v>1.0403494176372701</v>
      </c>
      <c r="O49" s="34">
        <v>1.0403907452411401</v>
      </c>
      <c r="P49" s="34">
        <v>1.03757932413189</v>
      </c>
      <c r="Q49" s="34">
        <v>1.03578292452653</v>
      </c>
      <c r="R49" s="33">
        <v>50.021987031194101</v>
      </c>
      <c r="S49" s="33">
        <v>49.852395252255597</v>
      </c>
      <c r="T49" s="33">
        <v>49.786884374965503</v>
      </c>
      <c r="U49" s="15">
        <v>3.97239449823719E-5</v>
      </c>
      <c r="V49" s="15">
        <v>-3.3563810032603099E-3</v>
      </c>
      <c r="W49" s="15">
        <v>-4.6713420703183E-3</v>
      </c>
      <c r="X49" s="34">
        <v>1.0379932991249099</v>
      </c>
      <c r="Y49" s="34">
        <v>1.0384904608674399</v>
      </c>
      <c r="Z49" s="34">
        <v>1.03546923594218</v>
      </c>
      <c r="AA49" s="34">
        <v>1.03463373522347</v>
      </c>
      <c r="AB49" s="33">
        <v>50.150989034302803</v>
      </c>
      <c r="AC49" s="33">
        <v>49.980997320905502</v>
      </c>
      <c r="AD49" s="33">
        <v>49.956348704174303</v>
      </c>
      <c r="AE49" s="15">
        <v>4.7884964150850397E-4</v>
      </c>
      <c r="AF49" s="15">
        <v>-2.91650648587077E-3</v>
      </c>
      <c r="AG49" s="15">
        <v>-3.4097878908992498E-3</v>
      </c>
      <c r="AI49" s="12"/>
      <c r="AJ49">
        <f t="shared" si="6"/>
        <v>1</v>
      </c>
      <c r="AK49">
        <f t="shared" si="7"/>
        <v>0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0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1.6056528255837259E-3</v>
      </c>
      <c r="BE49" s="29">
        <f t="shared" si="22"/>
        <v>0</v>
      </c>
      <c r="BF49" s="29">
        <f t="shared" si="23"/>
        <v>1.6056528255837259E-3</v>
      </c>
      <c r="BH49" s="29"/>
    </row>
    <row r="50" spans="1:60" x14ac:dyDescent="0.25">
      <c r="A50" s="1">
        <v>46094</v>
      </c>
      <c r="B50" s="33">
        <v>48</v>
      </c>
      <c r="C50" s="33">
        <v>49.96</v>
      </c>
      <c r="D50" s="15">
        <v>-1.6652793190612E-3</v>
      </c>
      <c r="E50" s="15">
        <v>-1.2002401920961001E-3</v>
      </c>
      <c r="F50" s="33">
        <v>0</v>
      </c>
      <c r="G50" s="33">
        <v>0.2122</v>
      </c>
      <c r="H50" s="33">
        <v>0</v>
      </c>
      <c r="I50" s="33">
        <v>0.10698000000000001</v>
      </c>
      <c r="J50" s="33">
        <v>0.2122</v>
      </c>
      <c r="K50" s="33">
        <v>0.10698000000000001</v>
      </c>
      <c r="L50" s="33">
        <v>48.212200000000003</v>
      </c>
      <c r="M50" s="33">
        <v>50.066980000000001</v>
      </c>
      <c r="N50" s="34">
        <v>1.0408333333333299</v>
      </c>
      <c r="O50" s="34">
        <v>1.0403907452411401</v>
      </c>
      <c r="P50" s="34">
        <v>1.03828867372538</v>
      </c>
      <c r="Q50" s="34">
        <v>1.03611352561943</v>
      </c>
      <c r="R50" s="33">
        <v>49.938755771574797</v>
      </c>
      <c r="S50" s="33">
        <v>49.803807558330703</v>
      </c>
      <c r="T50" s="33">
        <v>49.717580377273698</v>
      </c>
      <c r="U50" s="15">
        <v>-4.2531518198259599E-4</v>
      </c>
      <c r="V50" s="15">
        <v>-3.13124715486242E-3</v>
      </c>
      <c r="W50" s="15">
        <v>-4.8640847774491401E-3</v>
      </c>
      <c r="X50" s="34">
        <v>1.0384711753456499</v>
      </c>
      <c r="Y50" s="34">
        <v>1.0384904608674399</v>
      </c>
      <c r="Z50" s="34">
        <v>1.0359610513620601</v>
      </c>
      <c r="AA50" s="34">
        <v>1.0348557009386801</v>
      </c>
      <c r="AB50" s="33">
        <v>50.067909797433401</v>
      </c>
      <c r="AC50" s="33">
        <v>49.922249897091604</v>
      </c>
      <c r="AD50" s="33">
        <v>49.881968569340998</v>
      </c>
      <c r="AE50" s="15">
        <v>1.8570898422914301E-5</v>
      </c>
      <c r="AF50" s="15">
        <v>-2.8949158651114699E-3</v>
      </c>
      <c r="AG50" s="15">
        <v>-3.7021228260350801E-3</v>
      </c>
      <c r="AI50" s="12"/>
      <c r="AJ50">
        <f t="shared" si="6"/>
        <v>1</v>
      </c>
      <c r="AK50">
        <f t="shared" si="7"/>
        <v>0</v>
      </c>
      <c r="AL50">
        <f t="shared" si="14"/>
        <v>1</v>
      </c>
      <c r="AM50">
        <f t="shared" si="4"/>
        <v>1</v>
      </c>
      <c r="AN50">
        <f t="shared" si="15"/>
        <v>1</v>
      </c>
      <c r="AO50" s="28">
        <f t="shared" si="8"/>
        <v>-1.6652793190612E-3</v>
      </c>
      <c r="AP50" s="28">
        <f t="shared" si="9"/>
        <v>1.2002401920961001E-3</v>
      </c>
      <c r="AQ50" s="28">
        <f t="shared" si="16"/>
        <v>-4.6503912696509988E-4</v>
      </c>
      <c r="AR50" s="29">
        <f t="shared" si="17"/>
        <v>-4.6503912696509988E-4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1.6056528255837259E-3</v>
      </c>
      <c r="BE50" s="29">
        <f t="shared" si="22"/>
        <v>-4.6503912696509988E-4</v>
      </c>
      <c r="BF50" s="29">
        <f t="shared" si="23"/>
        <v>1.140613698618626E-3</v>
      </c>
      <c r="BH50" s="29"/>
    </row>
    <row r="51" spans="1:60" x14ac:dyDescent="0.25">
      <c r="A51" s="1">
        <v>46097</v>
      </c>
      <c r="B51" s="33">
        <v>48.22</v>
      </c>
      <c r="C51" s="33">
        <v>50.13</v>
      </c>
      <c r="D51" s="15">
        <v>4.5728618451341104E-3</v>
      </c>
      <c r="E51" s="15">
        <v>3.39694601803509E-3</v>
      </c>
      <c r="F51" s="33">
        <v>0</v>
      </c>
      <c r="G51" s="33">
        <v>0.2122</v>
      </c>
      <c r="H51" s="33">
        <v>0</v>
      </c>
      <c r="I51" s="33">
        <v>0.10698000000000001</v>
      </c>
      <c r="J51" s="33">
        <v>0.2122</v>
      </c>
      <c r="K51" s="33">
        <v>0.10698000000000001</v>
      </c>
      <c r="L51" s="33">
        <v>48.432200000000002</v>
      </c>
      <c r="M51" s="33">
        <v>50.236980000000003</v>
      </c>
      <c r="N51" s="34">
        <v>1.03961012028204</v>
      </c>
      <c r="O51" s="34">
        <v>1.0403907452411401</v>
      </c>
      <c r="P51" s="34">
        <v>1.0387140225612701</v>
      </c>
      <c r="Q51" s="34">
        <v>1.0363423414061199</v>
      </c>
      <c r="R51" s="33">
        <v>50.167641735527802</v>
      </c>
      <c r="S51" s="33">
        <v>50.066279847038103</v>
      </c>
      <c r="T51" s="33">
        <v>49.961394205368997</v>
      </c>
      <c r="U51" s="15">
        <v>7.5060064511617004E-4</v>
      </c>
      <c r="V51" s="15">
        <v>-1.2719067344485601E-3</v>
      </c>
      <c r="W51" s="15">
        <v>-3.3690399748856799E-3</v>
      </c>
      <c r="X51" s="34">
        <v>1.0372640516020299</v>
      </c>
      <c r="Y51" s="34">
        <v>1.0384904608674399</v>
      </c>
      <c r="Z51" s="34">
        <v>1.03638117393825</v>
      </c>
      <c r="AA51" s="34">
        <v>1.0349767772126299</v>
      </c>
      <c r="AB51" s="33">
        <v>50.296377698824301</v>
      </c>
      <c r="AC51" s="33">
        <v>50.1738728317778</v>
      </c>
      <c r="AD51" s="33">
        <v>50.120338279002603</v>
      </c>
      <c r="AE51" s="15">
        <v>1.1816516844821499E-3</v>
      </c>
      <c r="AF51" s="15">
        <v>-1.2569791960027399E-3</v>
      </c>
      <c r="AG51" s="15">
        <v>-2.3245295015815802E-3</v>
      </c>
      <c r="AI51" s="12"/>
      <c r="AJ51">
        <f t="shared" si="6"/>
        <v>0</v>
      </c>
      <c r="AK51">
        <f t="shared" si="7"/>
        <v>0</v>
      </c>
      <c r="AL51">
        <f t="shared" si="14"/>
        <v>1</v>
      </c>
      <c r="AM51">
        <f t="shared" si="4"/>
        <v>1</v>
      </c>
      <c r="AN51">
        <f t="shared" si="15"/>
        <v>1</v>
      </c>
      <c r="AO51" s="28">
        <f t="shared" si="8"/>
        <v>4.5728618451341104E-3</v>
      </c>
      <c r="AP51" s="28">
        <f t="shared" si="9"/>
        <v>-3.39694601803509E-3</v>
      </c>
      <c r="AQ51" s="28">
        <f t="shared" si="16"/>
        <v>1.1759158270990204E-3</v>
      </c>
      <c r="AR51" s="29">
        <f t="shared" si="17"/>
        <v>7.108767001339205E-4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1.6056528255837259E-3</v>
      </c>
      <c r="BE51" s="29">
        <f t="shared" si="22"/>
        <v>1.1759158270990204E-3</v>
      </c>
      <c r="BF51" s="29">
        <f t="shared" si="23"/>
        <v>2.3165295257176464E-3</v>
      </c>
      <c r="BH51" s="29"/>
    </row>
    <row r="52" spans="1:60" x14ac:dyDescent="0.25">
      <c r="A52" s="1">
        <v>46098</v>
      </c>
      <c r="B52" s="33">
        <v>48.3</v>
      </c>
      <c r="C52" s="33">
        <v>50.14</v>
      </c>
      <c r="D52" s="15">
        <v>1.65768790550198E-3</v>
      </c>
      <c r="E52" s="15">
        <v>1.9946145473516999E-4</v>
      </c>
      <c r="F52" s="33">
        <v>0</v>
      </c>
      <c r="G52" s="33">
        <v>0.2122</v>
      </c>
      <c r="H52" s="33">
        <v>0</v>
      </c>
      <c r="I52" s="33">
        <v>0.10698000000000001</v>
      </c>
      <c r="J52" s="33">
        <v>0.2122</v>
      </c>
      <c r="K52" s="33">
        <v>0.10698000000000001</v>
      </c>
      <c r="L52" s="33">
        <v>48.5122</v>
      </c>
      <c r="M52" s="33">
        <v>50.246980000000001</v>
      </c>
      <c r="N52" s="34">
        <v>1.03809523809523</v>
      </c>
      <c r="O52" s="34">
        <v>1.0403907452411401</v>
      </c>
      <c r="P52" s="34">
        <v>1.0388987255639099</v>
      </c>
      <c r="Q52" s="34">
        <v>1.03652931189984</v>
      </c>
      <c r="R52" s="33">
        <v>50.250872995147098</v>
      </c>
      <c r="S52" s="33">
        <v>50.1698872897096</v>
      </c>
      <c r="T52" s="33">
        <v>50.055335089915602</v>
      </c>
      <c r="U52" s="15">
        <v>2.2088270958828498E-3</v>
      </c>
      <c r="V52" s="15">
        <v>5.9589919601275995E-4</v>
      </c>
      <c r="W52" s="15">
        <v>-1.68999744667194E-3</v>
      </c>
      <c r="X52" s="34">
        <v>1.03575966457921</v>
      </c>
      <c r="Y52" s="34">
        <v>1.0384904608674399</v>
      </c>
      <c r="Z52" s="34">
        <v>1.0365625536932901</v>
      </c>
      <c r="AA52" s="34">
        <v>1.0350564376498099</v>
      </c>
      <c r="AB52" s="33">
        <v>50.379456935693703</v>
      </c>
      <c r="AC52" s="33">
        <v>50.277130786327497</v>
      </c>
      <c r="AD52" s="33">
        <v>50.209000411494799</v>
      </c>
      <c r="AE52" s="15">
        <v>2.63304587274894E-3</v>
      </c>
      <c r="AF52" s="15">
        <v>5.9987175207753304E-4</v>
      </c>
      <c r="AG52" s="15">
        <v>-7.5614393805353104E-4</v>
      </c>
      <c r="AI52" s="12"/>
      <c r="AJ52">
        <f t="shared" si="6"/>
        <v>0</v>
      </c>
      <c r="AK52">
        <f t="shared" si="7"/>
        <v>1</v>
      </c>
      <c r="AL52">
        <f t="shared" si="14"/>
        <v>1</v>
      </c>
      <c r="AM52">
        <f t="shared" si="4"/>
        <v>1</v>
      </c>
      <c r="AN52">
        <f t="shared" si="15"/>
        <v>1</v>
      </c>
      <c r="AO52" s="28">
        <f t="shared" si="8"/>
        <v>1.65768790550198E-3</v>
      </c>
      <c r="AP52" s="28">
        <f t="shared" si="9"/>
        <v>-1.9946145473516999E-4</v>
      </c>
      <c r="AQ52" s="28">
        <f t="shared" si="16"/>
        <v>1.4582264507668099E-3</v>
      </c>
      <c r="AR52" s="29">
        <f t="shared" si="17"/>
        <v>2.1691031509007306E-3</v>
      </c>
      <c r="AT52" s="12"/>
      <c r="AU52">
        <f t="shared" si="10"/>
        <v>0</v>
      </c>
      <c r="AV52">
        <f t="shared" si="11"/>
        <v>1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1.6056528255837259E-3</v>
      </c>
      <c r="BE52" s="29">
        <f t="shared" si="22"/>
        <v>1.4582264507668099E-3</v>
      </c>
      <c r="BF52" s="29">
        <f t="shared" si="23"/>
        <v>3.7747559764844561E-3</v>
      </c>
      <c r="BH52" s="29"/>
    </row>
    <row r="53" spans="1:60" x14ac:dyDescent="0.25">
      <c r="A53" s="1">
        <v>46099</v>
      </c>
      <c r="B53" s="33">
        <v>48.11</v>
      </c>
      <c r="C53" s="33">
        <v>50.04</v>
      </c>
      <c r="D53" s="15">
        <v>-3.9415049471646299E-3</v>
      </c>
      <c r="E53" s="15">
        <v>-1.9964071314369498E-3</v>
      </c>
      <c r="F53" s="33">
        <v>0</v>
      </c>
      <c r="G53" s="33">
        <v>0.2122</v>
      </c>
      <c r="H53" s="33">
        <v>0</v>
      </c>
      <c r="I53" s="33">
        <v>0.10698000000000001</v>
      </c>
      <c r="J53" s="33">
        <v>0.2122</v>
      </c>
      <c r="K53" s="33">
        <v>0.10698000000000001</v>
      </c>
      <c r="L53" s="33">
        <v>48.322200000000002</v>
      </c>
      <c r="M53" s="33">
        <v>50.146979999999999</v>
      </c>
      <c r="N53" s="34">
        <v>1.0401163999168499</v>
      </c>
      <c r="O53" s="34">
        <v>1.0403907452411401</v>
      </c>
      <c r="P53" s="34">
        <v>1.0391580588096501</v>
      </c>
      <c r="Q53" s="34">
        <v>1.03683779038239</v>
      </c>
      <c r="R53" s="33">
        <v>50.0531987535513</v>
      </c>
      <c r="S53" s="33">
        <v>49.9814176868801</v>
      </c>
      <c r="T53" s="33">
        <v>49.867425195501298</v>
      </c>
      <c r="U53" s="15">
        <v>2.6372928015533999E-4</v>
      </c>
      <c r="V53" s="15">
        <v>-1.1713955105493101E-3</v>
      </c>
      <c r="W53" s="15">
        <v>-3.4546977023980699E-3</v>
      </c>
      <c r="X53" s="34">
        <v>1.03776276742366</v>
      </c>
      <c r="Y53" s="34">
        <v>1.0384904608674399</v>
      </c>
      <c r="Z53" s="34">
        <v>1.0368175921082701</v>
      </c>
      <c r="AA53" s="34">
        <v>1.03525665622927</v>
      </c>
      <c r="AB53" s="33">
        <v>50.182143748128802</v>
      </c>
      <c r="AC53" s="33">
        <v>50.088983032078303</v>
      </c>
      <c r="AD53" s="33">
        <v>50.016204191401798</v>
      </c>
      <c r="AE53" s="15">
        <v>7.0096793941895402E-4</v>
      </c>
      <c r="AF53" s="15">
        <v>-1.15720890266103E-3</v>
      </c>
      <c r="AG53" s="15">
        <v>-2.6112565003497002E-3</v>
      </c>
      <c r="AI53" s="12"/>
      <c r="AJ53">
        <f t="shared" si="6"/>
        <v>0</v>
      </c>
      <c r="AK53">
        <f t="shared" si="7"/>
        <v>0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2.1691031509007306E-3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1.6056528255837259E-3</v>
      </c>
      <c r="BE53" s="29">
        <f t="shared" si="22"/>
        <v>0</v>
      </c>
      <c r="BF53" s="29">
        <f t="shared" si="23"/>
        <v>3.7747559764844561E-3</v>
      </c>
      <c r="BH53" s="29"/>
    </row>
    <row r="54" spans="1:60" x14ac:dyDescent="0.25">
      <c r="A54" s="1">
        <v>46100</v>
      </c>
      <c r="B54" s="33">
        <v>48.13</v>
      </c>
      <c r="C54" s="33">
        <v>50.08</v>
      </c>
      <c r="D54" s="15">
        <v>4.1562760365565298E-4</v>
      </c>
      <c r="E54" s="15">
        <v>7.9904119313276402E-4</v>
      </c>
      <c r="F54" s="33">
        <v>0</v>
      </c>
      <c r="G54" s="33">
        <v>0.2122</v>
      </c>
      <c r="H54" s="33">
        <v>0</v>
      </c>
      <c r="I54" s="33">
        <v>0.10698000000000001</v>
      </c>
      <c r="J54" s="33">
        <v>0.2122</v>
      </c>
      <c r="K54" s="33">
        <v>0.10698000000000001</v>
      </c>
      <c r="L54" s="33">
        <v>48.342199999999998</v>
      </c>
      <c r="M54" s="33">
        <v>50.186979999999998</v>
      </c>
      <c r="N54" s="34">
        <v>1.04051527114066</v>
      </c>
      <c r="O54" s="34">
        <v>1.0403907452411401</v>
      </c>
      <c r="P54" s="34">
        <v>1.0394426036264699</v>
      </c>
      <c r="Q54" s="34">
        <v>1.03715703442174</v>
      </c>
      <c r="R54" s="33">
        <v>50.074006568456099</v>
      </c>
      <c r="S54" s="33">
        <v>50.014677370508601</v>
      </c>
      <c r="T54" s="33">
        <v>49.903002851104503</v>
      </c>
      <c r="U54" s="15">
        <v>-1.19684309321768E-4</v>
      </c>
      <c r="V54" s="15">
        <v>-1.3052170301351301E-3</v>
      </c>
      <c r="W54" s="15">
        <v>-3.5405484681118801E-3</v>
      </c>
      <c r="X54" s="34">
        <v>1.03816086152471</v>
      </c>
      <c r="Y54" s="34">
        <v>1.0384904608674399</v>
      </c>
      <c r="Z54" s="34">
        <v>1.0370987280023001</v>
      </c>
      <c r="AA54" s="34">
        <v>1.03546761678099</v>
      </c>
      <c r="AB54" s="33">
        <v>50.2029135573462</v>
      </c>
      <c r="AC54" s="33">
        <v>50.122043401216601</v>
      </c>
      <c r="AD54" s="33">
        <v>50.046584326766698</v>
      </c>
      <c r="AE54" s="15">
        <v>3.1743349684786401E-4</v>
      </c>
      <c r="AF54" s="15">
        <v>-1.29473113490263E-3</v>
      </c>
      <c r="AG54" s="15">
        <v>-2.80137229462724E-3</v>
      </c>
      <c r="AI54" s="12"/>
      <c r="AJ54">
        <f t="shared" si="6"/>
        <v>0</v>
      </c>
      <c r="AK54">
        <f t="shared" si="7"/>
        <v>0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2.1691031509007306E-3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1.6056528255837259E-3</v>
      </c>
      <c r="BE54" s="29">
        <f t="shared" si="22"/>
        <v>0</v>
      </c>
      <c r="BF54" s="29">
        <f t="shared" si="23"/>
        <v>3.7747559764844561E-3</v>
      </c>
      <c r="BH54" s="29"/>
    </row>
    <row r="55" spans="1:60" x14ac:dyDescent="0.25">
      <c r="A55" s="1">
        <v>46101</v>
      </c>
      <c r="B55" s="33">
        <v>47.81</v>
      </c>
      <c r="C55" s="33">
        <v>49.74</v>
      </c>
      <c r="D55" s="15">
        <v>-6.6708606770059901E-3</v>
      </c>
      <c r="E55" s="15">
        <v>-6.8122884165843804E-3</v>
      </c>
      <c r="F55" s="33">
        <v>0</v>
      </c>
      <c r="G55" s="33">
        <v>0.2122</v>
      </c>
      <c r="H55" s="33">
        <v>0</v>
      </c>
      <c r="I55" s="33">
        <v>0.10698000000000001</v>
      </c>
      <c r="J55" s="33">
        <v>0.2122</v>
      </c>
      <c r="K55" s="33">
        <v>0.10698000000000001</v>
      </c>
      <c r="L55" s="33">
        <v>48.022199999999998</v>
      </c>
      <c r="M55" s="33">
        <v>49.846980000000002</v>
      </c>
      <c r="N55" s="34">
        <v>1.0403681238234599</v>
      </c>
      <c r="O55" s="34">
        <v>1.0403907452411401</v>
      </c>
      <c r="P55" s="34">
        <v>1.03955703780899</v>
      </c>
      <c r="Q55" s="34">
        <v>1.0374604549044599</v>
      </c>
      <c r="R55" s="33">
        <v>49.741081529978999</v>
      </c>
      <c r="S55" s="33">
        <v>49.695750879381897</v>
      </c>
      <c r="T55" s="33">
        <v>49.586477815703702</v>
      </c>
      <c r="U55" s="15">
        <v>2.17434302566633E-5</v>
      </c>
      <c r="V55" s="15">
        <v>-8.9000431228354496E-4</v>
      </c>
      <c r="W55" s="15">
        <v>-3.0912664966345101E-3</v>
      </c>
      <c r="X55" s="34">
        <v>1.0379986756125199</v>
      </c>
      <c r="Y55" s="34">
        <v>1.0384904608674399</v>
      </c>
      <c r="Z55" s="34">
        <v>1.0372095948605999</v>
      </c>
      <c r="AA55" s="34">
        <v>1.0356620116187301</v>
      </c>
      <c r="AB55" s="33">
        <v>49.870596609868599</v>
      </c>
      <c r="AC55" s="33">
        <v>49.803762535872103</v>
      </c>
      <c r="AD55" s="33">
        <v>49.725432986580401</v>
      </c>
      <c r="AE55" s="15">
        <v>4.73669960966286E-4</v>
      </c>
      <c r="AF55" s="15">
        <v>-8.6737872167481499E-4</v>
      </c>
      <c r="AG55" s="15">
        <v>-2.4413805018002198E-3</v>
      </c>
      <c r="AI55" s="12"/>
      <c r="AJ55">
        <f t="shared" si="6"/>
        <v>0</v>
      </c>
      <c r="AK55">
        <f t="shared" si="7"/>
        <v>0</v>
      </c>
      <c r="AL55">
        <f t="shared" si="14"/>
        <v>0</v>
      </c>
      <c r="AM55">
        <f t="shared" si="4"/>
        <v>1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2.1691031509007306E-3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1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1.6056528255837259E-3</v>
      </c>
      <c r="BE55" s="29">
        <f t="shared" si="22"/>
        <v>0</v>
      </c>
      <c r="BF55" s="29">
        <f t="shared" si="23"/>
        <v>3.7747559764844561E-3</v>
      </c>
      <c r="BH55" s="29"/>
    </row>
    <row r="56" spans="1:60" x14ac:dyDescent="0.25">
      <c r="A56" s="1">
        <v>46104</v>
      </c>
      <c r="B56" s="33">
        <v>48.01</v>
      </c>
      <c r="C56" s="33">
        <v>49.95</v>
      </c>
      <c r="D56" s="15">
        <v>4.1744999048368399E-3</v>
      </c>
      <c r="E56" s="15">
        <v>4.2130667193039997E-3</v>
      </c>
      <c r="F56" s="33">
        <v>0</v>
      </c>
      <c r="G56" s="33">
        <v>0.2122</v>
      </c>
      <c r="H56" s="33">
        <v>0</v>
      </c>
      <c r="I56" s="33">
        <v>0.10698000000000001</v>
      </c>
      <c r="J56" s="33">
        <v>0.2122</v>
      </c>
      <c r="K56" s="33">
        <v>0.10698000000000001</v>
      </c>
      <c r="L56" s="33">
        <v>48.222200000000001</v>
      </c>
      <c r="M56" s="33">
        <v>50.056980000000003</v>
      </c>
      <c r="N56" s="34">
        <v>1.0404082482815999</v>
      </c>
      <c r="O56" s="34">
        <v>1.0403907452411401</v>
      </c>
      <c r="P56" s="34">
        <v>1.03976360166003</v>
      </c>
      <c r="Q56" s="34">
        <v>1.0377995956657999</v>
      </c>
      <c r="R56" s="33">
        <v>49.949159679027197</v>
      </c>
      <c r="S56" s="33">
        <v>49.9091333852096</v>
      </c>
      <c r="T56" s="33">
        <v>49.8084764399634</v>
      </c>
      <c r="U56" s="15">
        <v>-1.6823384210251001E-5</v>
      </c>
      <c r="V56" s="15">
        <v>-8.1848531399071004E-4</v>
      </c>
      <c r="W56" s="15">
        <v>-2.8373259101512E-3</v>
      </c>
      <c r="X56" s="34">
        <v>1.0380484507135701</v>
      </c>
      <c r="Y56" s="34">
        <v>1.0384904608674399</v>
      </c>
      <c r="Z56" s="34">
        <v>1.0374128373770699</v>
      </c>
      <c r="AA56" s="34">
        <v>1.0358925149312701</v>
      </c>
      <c r="AB56" s="33">
        <v>50.078294702042101</v>
      </c>
      <c r="AC56" s="33">
        <v>50.0165285252871</v>
      </c>
      <c r="AD56" s="33">
        <v>49.941900656680801</v>
      </c>
      <c r="AE56" s="15">
        <v>4.2571815831112002E-4</v>
      </c>
      <c r="AF56" s="15">
        <v>-8.0843526947500897E-4</v>
      </c>
      <c r="AG56" s="15">
        <v>-2.3016136453812498E-3</v>
      </c>
      <c r="AI56" s="12"/>
      <c r="AJ56">
        <f t="shared" si="6"/>
        <v>0</v>
      </c>
      <c r="AK56">
        <f t="shared" si="7"/>
        <v>0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2.1691031509007306E-3</v>
      </c>
      <c r="AT56" s="12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1.6056528255837259E-3</v>
      </c>
      <c r="BE56" s="29">
        <f t="shared" si="22"/>
        <v>0</v>
      </c>
      <c r="BF56" s="29">
        <f t="shared" si="23"/>
        <v>3.7747559764844561E-3</v>
      </c>
      <c r="BH56" s="29"/>
    </row>
    <row r="57" spans="1:60" x14ac:dyDescent="0.25">
      <c r="A57" s="1">
        <v>46105</v>
      </c>
      <c r="B57" s="33">
        <v>47.83</v>
      </c>
      <c r="C57" s="33">
        <v>49.76</v>
      </c>
      <c r="D57" s="15">
        <v>-3.7562648506434498E-3</v>
      </c>
      <c r="E57" s="15">
        <v>-3.8110566636385601E-3</v>
      </c>
      <c r="F57" s="33">
        <v>0</v>
      </c>
      <c r="G57" s="33">
        <v>0.2122</v>
      </c>
      <c r="H57" s="33">
        <v>0</v>
      </c>
      <c r="I57" s="33">
        <v>0.10698000000000001</v>
      </c>
      <c r="J57" s="33">
        <v>0.2122</v>
      </c>
      <c r="K57" s="33">
        <v>0.10698000000000001</v>
      </c>
      <c r="L57" s="33">
        <v>48.042200000000001</v>
      </c>
      <c r="M57" s="33">
        <v>49.866979999999998</v>
      </c>
      <c r="N57" s="34">
        <v>1.04035124398912</v>
      </c>
      <c r="O57" s="34">
        <v>1.0403907452411401</v>
      </c>
      <c r="P57" s="34">
        <v>1.0400025634841501</v>
      </c>
      <c r="Q57" s="34">
        <v>1.03815694193533</v>
      </c>
      <c r="R57" s="33">
        <v>49.761889344883798</v>
      </c>
      <c r="S57" s="33">
        <v>49.731893067399298</v>
      </c>
      <c r="T57" s="33">
        <v>49.637954660695499</v>
      </c>
      <c r="U57" s="15">
        <v>3.7968428784948201E-5</v>
      </c>
      <c r="V57" s="15">
        <v>-5.6500951950531203E-4</v>
      </c>
      <c r="W57" s="15">
        <v>-2.4556923943389098E-3</v>
      </c>
      <c r="X57" s="34">
        <v>1.0379828567384499</v>
      </c>
      <c r="Y57" s="34">
        <v>1.0384904608674399</v>
      </c>
      <c r="Z57" s="34">
        <v>1.03764764399697</v>
      </c>
      <c r="AA57" s="34">
        <v>1.0361407423656901</v>
      </c>
      <c r="AB57" s="33">
        <v>49.891366419085998</v>
      </c>
      <c r="AC57" s="33">
        <v>49.8395950158367</v>
      </c>
      <c r="AD57" s="33">
        <v>49.766555380831299</v>
      </c>
      <c r="AE57" s="15">
        <v>4.8890985961881498E-4</v>
      </c>
      <c r="AF57" s="15">
        <v>-5.49311514260889E-4</v>
      </c>
      <c r="AG57" s="15">
        <v>-2.0158805525348801E-3</v>
      </c>
      <c r="AI57" s="12"/>
      <c r="AJ57">
        <f t="shared" si="6"/>
        <v>0</v>
      </c>
      <c r="AK57">
        <f t="shared" si="7"/>
        <v>0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2.1691031509007306E-3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1.6056528255837259E-3</v>
      </c>
      <c r="BE57" s="29">
        <f t="shared" si="22"/>
        <v>0</v>
      </c>
      <c r="BF57" s="29">
        <f t="shared" si="23"/>
        <v>3.7747559764844561E-3</v>
      </c>
      <c r="BH57" s="29"/>
    </row>
    <row r="58" spans="1:60" x14ac:dyDescent="0.25">
      <c r="A58" s="1">
        <v>46106</v>
      </c>
      <c r="B58" s="33">
        <v>48.08</v>
      </c>
      <c r="C58" s="33">
        <v>50.01</v>
      </c>
      <c r="D58" s="15">
        <v>5.2132325347466696E-3</v>
      </c>
      <c r="E58" s="15">
        <v>5.0115369998883098E-3</v>
      </c>
      <c r="F58" s="33">
        <v>0</v>
      </c>
      <c r="G58" s="33">
        <v>0.2122</v>
      </c>
      <c r="H58" s="33">
        <v>0</v>
      </c>
      <c r="I58" s="33">
        <v>0.10698000000000001</v>
      </c>
      <c r="J58" s="33">
        <v>0.2122</v>
      </c>
      <c r="K58" s="33">
        <v>0.10698000000000001</v>
      </c>
      <c r="L58" s="33">
        <v>48.292200000000001</v>
      </c>
      <c r="M58" s="33">
        <v>50.116979999999998</v>
      </c>
      <c r="N58" s="34">
        <v>1.0401414309484101</v>
      </c>
      <c r="O58" s="34">
        <v>1.0403907452411401</v>
      </c>
      <c r="P58" s="34">
        <v>1.0400788827448</v>
      </c>
      <c r="Q58" s="34">
        <v>1.0384711723650699</v>
      </c>
      <c r="R58" s="33">
        <v>50.021987031194101</v>
      </c>
      <c r="S58" s="33">
        <v>50.003323252318197</v>
      </c>
      <c r="T58" s="33">
        <v>49.914585768251001</v>
      </c>
      <c r="U58" s="15">
        <v>2.3966396364319699E-4</v>
      </c>
      <c r="V58" s="15">
        <v>-1.33517165003762E-4</v>
      </c>
      <c r="W58" s="15">
        <v>-1.9097254196997599E-3</v>
      </c>
      <c r="X58" s="34">
        <v>1.03778622634711</v>
      </c>
      <c r="Y58" s="34">
        <v>1.0384904608674399</v>
      </c>
      <c r="Z58" s="34">
        <v>1.03772280290118</v>
      </c>
      <c r="AA58" s="34">
        <v>1.03634659906952</v>
      </c>
      <c r="AB58" s="33">
        <v>50.150989034302803</v>
      </c>
      <c r="AC58" s="33">
        <v>50.110287553430503</v>
      </c>
      <c r="AD58" s="33">
        <v>50.037515958472703</v>
      </c>
      <c r="AE58" s="15">
        <v>6.7836290960323297E-4</v>
      </c>
      <c r="AF58" s="15">
        <v>-1.3354542616602101E-4</v>
      </c>
      <c r="AG58" s="15">
        <v>-1.58682957647011E-3</v>
      </c>
      <c r="AI58" s="12"/>
      <c r="AJ58">
        <f t="shared" si="6"/>
        <v>0</v>
      </c>
      <c r="AK58">
        <f t="shared" si="7"/>
        <v>0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2.1691031509007306E-3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1.6056528255837259E-3</v>
      </c>
      <c r="BE58" s="29">
        <f t="shared" si="22"/>
        <v>0</v>
      </c>
      <c r="BF58" s="29">
        <f t="shared" si="23"/>
        <v>3.7747559764844561E-3</v>
      </c>
      <c r="BH58" s="29"/>
    </row>
    <row r="59" spans="1:60" x14ac:dyDescent="0.25">
      <c r="A59" s="1">
        <v>46107</v>
      </c>
      <c r="B59" s="33">
        <v>47.74</v>
      </c>
      <c r="C59" s="33">
        <v>49.76</v>
      </c>
      <c r="D59" s="15">
        <v>-7.0966693162679796E-3</v>
      </c>
      <c r="E59" s="15">
        <v>-5.0115369998883297E-3</v>
      </c>
      <c r="F59" s="33">
        <v>0</v>
      </c>
      <c r="G59" s="33">
        <v>0.2122</v>
      </c>
      <c r="H59" s="33">
        <v>0</v>
      </c>
      <c r="I59" s="33">
        <v>0.10698000000000001</v>
      </c>
      <c r="J59" s="33">
        <v>0.2122</v>
      </c>
      <c r="K59" s="33">
        <v>0.10698000000000001</v>
      </c>
      <c r="L59" s="33">
        <v>47.952199999999998</v>
      </c>
      <c r="M59" s="33">
        <v>49.866979999999998</v>
      </c>
      <c r="N59" s="34">
        <v>1.04231252618349</v>
      </c>
      <c r="O59" s="34">
        <v>1.0403907452411401</v>
      </c>
      <c r="P59" s="34">
        <v>1.0402751935994199</v>
      </c>
      <c r="Q59" s="34">
        <v>1.03892725886565</v>
      </c>
      <c r="R59" s="33">
        <v>49.668254177812102</v>
      </c>
      <c r="S59" s="33">
        <v>49.653365862236797</v>
      </c>
      <c r="T59" s="33">
        <v>49.576613768708697</v>
      </c>
      <c r="U59" s="15">
        <v>-1.84546835273651E-3</v>
      </c>
      <c r="V59" s="15">
        <v>-2.14526845025366E-3</v>
      </c>
      <c r="W59" s="15">
        <v>-3.69222248812904E-3</v>
      </c>
      <c r="X59" s="34">
        <v>1.0399310146353999</v>
      </c>
      <c r="Y59" s="34">
        <v>1.0384904608674399</v>
      </c>
      <c r="Z59" s="34">
        <v>1.0379165744522301</v>
      </c>
      <c r="AA59" s="34">
        <v>1.0366929051972</v>
      </c>
      <c r="AB59" s="33">
        <v>49.797902277607903</v>
      </c>
      <c r="AC59" s="33">
        <v>49.761091389278199</v>
      </c>
      <c r="AD59" s="33">
        <v>49.6950993879015</v>
      </c>
      <c r="AE59" s="15">
        <v>-1.38620007117463E-3</v>
      </c>
      <c r="AF59" s="15">
        <v>-2.1256790203142101E-3</v>
      </c>
      <c r="AG59" s="15">
        <v>-3.4527358992449101E-3</v>
      </c>
      <c r="AI59" s="12"/>
      <c r="AJ59">
        <f t="shared" si="6"/>
        <v>1</v>
      </c>
      <c r="AK59">
        <f t="shared" si="7"/>
        <v>0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2.1691031509007306E-3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1.6056528255837259E-3</v>
      </c>
      <c r="BE59" s="29">
        <f t="shared" si="22"/>
        <v>0</v>
      </c>
      <c r="BF59" s="29">
        <f t="shared" si="23"/>
        <v>3.7747559764844561E-3</v>
      </c>
      <c r="BH59" s="29"/>
    </row>
    <row r="60" spans="1:60" x14ac:dyDescent="0.25">
      <c r="A60" s="1">
        <v>46108</v>
      </c>
      <c r="B60" s="33">
        <v>47.66</v>
      </c>
      <c r="C60" s="33">
        <v>49.68</v>
      </c>
      <c r="D60" s="15">
        <v>-1.6771492400880601E-3</v>
      </c>
      <c r="E60" s="15">
        <v>-1.60901080570066E-3</v>
      </c>
      <c r="F60" s="33">
        <v>0</v>
      </c>
      <c r="G60" s="33">
        <v>0.2122</v>
      </c>
      <c r="H60" s="33">
        <v>0</v>
      </c>
      <c r="I60" s="33">
        <v>0.10698000000000001</v>
      </c>
      <c r="J60" s="33">
        <v>0.2122</v>
      </c>
      <c r="K60" s="33">
        <v>0.10698000000000001</v>
      </c>
      <c r="L60" s="33">
        <v>47.872199999999999</v>
      </c>
      <c r="M60" s="33">
        <v>49.78698</v>
      </c>
      <c r="N60" s="34">
        <v>1.0423835501468699</v>
      </c>
      <c r="O60" s="34">
        <v>1.0403907452411401</v>
      </c>
      <c r="P60" s="34">
        <v>1.0404302152807701</v>
      </c>
      <c r="Q60" s="34">
        <v>1.03935944450308</v>
      </c>
      <c r="R60" s="33">
        <v>49.585022918192799</v>
      </c>
      <c r="S60" s="33">
        <v>49.5795157269485</v>
      </c>
      <c r="T60" s="33">
        <v>49.515273157537202</v>
      </c>
      <c r="U60" s="15">
        <v>-1.9136067871240599E-3</v>
      </c>
      <c r="V60" s="15">
        <v>-2.0246785739777401E-3</v>
      </c>
      <c r="W60" s="15">
        <v>-3.3212670048036802E-3</v>
      </c>
      <c r="X60" s="34">
        <v>1.0399977439933801</v>
      </c>
      <c r="Y60" s="34">
        <v>1.0384904608674399</v>
      </c>
      <c r="Z60" s="34">
        <v>1.0380692313169999</v>
      </c>
      <c r="AA60" s="34">
        <v>1.0370151413395301</v>
      </c>
      <c r="AB60" s="33">
        <v>49.714823040738501</v>
      </c>
      <c r="AC60" s="33">
        <v>49.687349835492299</v>
      </c>
      <c r="AD60" s="33">
        <v>49.628770096181803</v>
      </c>
      <c r="AE60" s="15">
        <v>-1.4503651130981399E-3</v>
      </c>
      <c r="AF60" s="15">
        <v>-2.0031338333541802E-3</v>
      </c>
      <c r="AG60" s="15">
        <v>-3.1827962314451802E-3</v>
      </c>
      <c r="AI60" s="12"/>
      <c r="AJ60">
        <f t="shared" si="6"/>
        <v>1</v>
      </c>
      <c r="AK60">
        <f t="shared" si="7"/>
        <v>0</v>
      </c>
      <c r="AL60">
        <f t="shared" si="14"/>
        <v>1</v>
      </c>
      <c r="AM60">
        <f t="shared" si="4"/>
        <v>1</v>
      </c>
      <c r="AN60">
        <f t="shared" si="15"/>
        <v>1</v>
      </c>
      <c r="AO60" s="28">
        <f t="shared" si="8"/>
        <v>-1.6771492400880601E-3</v>
      </c>
      <c r="AP60" s="28">
        <f t="shared" si="9"/>
        <v>1.60901080570066E-3</v>
      </c>
      <c r="AQ60" s="28">
        <f t="shared" si="16"/>
        <v>-6.8138434387400105E-5</v>
      </c>
      <c r="AR60" s="29">
        <f t="shared" si="17"/>
        <v>2.1009647165133307E-3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1.6056528255837259E-3</v>
      </c>
      <c r="BE60" s="29">
        <f t="shared" si="22"/>
        <v>-6.8138434387400105E-5</v>
      </c>
      <c r="BF60" s="29">
        <f t="shared" si="23"/>
        <v>3.7066175420970562E-3</v>
      </c>
      <c r="BH60" s="29"/>
    </row>
    <row r="61" spans="1:60" x14ac:dyDescent="0.25">
      <c r="A61" s="1">
        <v>46111</v>
      </c>
      <c r="B61" s="33">
        <v>47.79</v>
      </c>
      <c r="C61" s="33">
        <v>49.81</v>
      </c>
      <c r="D61" s="15">
        <v>2.72394091947081E-3</v>
      </c>
      <c r="E61" s="15">
        <v>2.6133294599688102E-3</v>
      </c>
      <c r="F61" s="33">
        <v>0</v>
      </c>
      <c r="G61" s="33">
        <v>0.2122</v>
      </c>
      <c r="H61" s="33">
        <v>0</v>
      </c>
      <c r="I61" s="33">
        <v>0.10698000000000001</v>
      </c>
      <c r="J61" s="33">
        <v>0.2122</v>
      </c>
      <c r="K61" s="33">
        <v>0.10698000000000001</v>
      </c>
      <c r="L61" s="33">
        <v>48.002200000000002</v>
      </c>
      <c r="M61" s="33">
        <v>49.916980000000002</v>
      </c>
      <c r="N61" s="34">
        <v>1.0422682569575199</v>
      </c>
      <c r="O61" s="34">
        <v>1.0403907452411401</v>
      </c>
      <c r="P61" s="34">
        <v>1.04069602894832</v>
      </c>
      <c r="Q61" s="34">
        <v>1.0397050257547999</v>
      </c>
      <c r="R61" s="33">
        <v>49.7202737150741</v>
      </c>
      <c r="S61" s="33">
        <v>49.722159988268402</v>
      </c>
      <c r="T61" s="33">
        <v>49.670987852802298</v>
      </c>
      <c r="U61" s="15">
        <v>-1.8029953276219701E-3</v>
      </c>
      <c r="V61" s="15">
        <v>-1.7650583398750501E-3</v>
      </c>
      <c r="W61" s="15">
        <v>-2.7947498447511701E-3</v>
      </c>
      <c r="X61" s="34">
        <v>1.03988942173483</v>
      </c>
      <c r="Y61" s="34">
        <v>1.0384904608674399</v>
      </c>
      <c r="Z61" s="34">
        <v>1.03833176833028</v>
      </c>
      <c r="AA61" s="34">
        <v>1.03735647113427</v>
      </c>
      <c r="AB61" s="33">
        <v>49.8498268006513</v>
      </c>
      <c r="AC61" s="33">
        <v>49.829606855525299</v>
      </c>
      <c r="AD61" s="33">
        <v>49.779008217608698</v>
      </c>
      <c r="AE61" s="15">
        <v>-1.3462034446883599E-3</v>
      </c>
      <c r="AF61" s="15">
        <v>-1.75190288862928E-3</v>
      </c>
      <c r="AG61" s="15">
        <v>-2.7678520057121598E-3</v>
      </c>
      <c r="AI61" s="12"/>
      <c r="AJ61">
        <f t="shared" si="6"/>
        <v>0</v>
      </c>
      <c r="AK61">
        <f t="shared" si="7"/>
        <v>0</v>
      </c>
      <c r="AL61">
        <f t="shared" si="14"/>
        <v>1</v>
      </c>
      <c r="AM61">
        <f t="shared" si="4"/>
        <v>1</v>
      </c>
      <c r="AN61">
        <f t="shared" si="15"/>
        <v>1</v>
      </c>
      <c r="AO61" s="28">
        <f t="shared" si="8"/>
        <v>2.72394091947081E-3</v>
      </c>
      <c r="AP61" s="28">
        <f t="shared" si="9"/>
        <v>-2.6133294599688102E-3</v>
      </c>
      <c r="AQ61" s="28">
        <f t="shared" si="16"/>
        <v>1.1061145950199986E-4</v>
      </c>
      <c r="AR61" s="29">
        <f t="shared" si="17"/>
        <v>2.2115761760153306E-3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1.6056528255837259E-3</v>
      </c>
      <c r="BE61" s="29">
        <f t="shared" si="22"/>
        <v>1.1061145950199986E-4</v>
      </c>
      <c r="BF61" s="29">
        <f t="shared" si="23"/>
        <v>3.8172290015990561E-3</v>
      </c>
      <c r="BH61" s="29"/>
    </row>
    <row r="62" spans="1:60" x14ac:dyDescent="0.25">
      <c r="A62" s="1">
        <v>46112</v>
      </c>
      <c r="B62" s="33">
        <v>48.05</v>
      </c>
      <c r="C62" s="33">
        <v>50.04</v>
      </c>
      <c r="D62" s="15">
        <v>5.4257228262346302E-3</v>
      </c>
      <c r="E62" s="15">
        <v>4.6069185135182503E-3</v>
      </c>
      <c r="F62" s="33">
        <v>0</v>
      </c>
      <c r="G62" s="33">
        <v>0.2122</v>
      </c>
      <c r="H62" s="33">
        <v>0</v>
      </c>
      <c r="I62" s="33">
        <v>0.10698000000000001</v>
      </c>
      <c r="J62" s="33">
        <v>0.2122</v>
      </c>
      <c r="K62" s="33">
        <v>0.10698000000000001</v>
      </c>
      <c r="L62" s="33">
        <v>48.2622</v>
      </c>
      <c r="M62" s="33">
        <v>50.146979999999999</v>
      </c>
      <c r="N62" s="34">
        <v>1.0414151925077999</v>
      </c>
      <c r="O62" s="34">
        <v>1.0403907452411401</v>
      </c>
      <c r="P62" s="34">
        <v>1.04102802438958</v>
      </c>
      <c r="Q62" s="34">
        <v>1.0399633749767501</v>
      </c>
      <c r="R62" s="33">
        <v>49.990775308836803</v>
      </c>
      <c r="S62" s="33">
        <v>50.005444190967097</v>
      </c>
      <c r="T62" s="33">
        <v>49.957826487518197</v>
      </c>
      <c r="U62" s="15">
        <v>-9.8419101490567493E-4</v>
      </c>
      <c r="V62" s="15">
        <v>-6.9080227863499801E-4</v>
      </c>
      <c r="W62" s="15">
        <v>-1.64350634138447E-3</v>
      </c>
      <c r="X62" s="34">
        <v>1.0390529234058901</v>
      </c>
      <c r="Y62" s="34">
        <v>1.0384904608674399</v>
      </c>
      <c r="Z62" s="34">
        <v>1.0386610942129499</v>
      </c>
      <c r="AA62" s="34">
        <v>1.03761182395312</v>
      </c>
      <c r="AB62" s="33">
        <v>50.119834320476798</v>
      </c>
      <c r="AC62" s="33">
        <v>50.112175469509999</v>
      </c>
      <c r="AD62" s="33">
        <v>50.065105481176502</v>
      </c>
      <c r="AE62" s="15">
        <v>-5.4146888719571796E-4</v>
      </c>
      <c r="AF62" s="15">
        <v>-6.9429134376875401E-4</v>
      </c>
      <c r="AG62" s="15">
        <v>-1.6340252105854899E-3</v>
      </c>
      <c r="AI62" s="12"/>
      <c r="AJ62">
        <f t="shared" si="6"/>
        <v>0</v>
      </c>
      <c r="AK62">
        <f t="shared" si="7"/>
        <v>0</v>
      </c>
      <c r="AL62">
        <f t="shared" si="14"/>
        <v>1</v>
      </c>
      <c r="AM62">
        <f t="shared" si="4"/>
        <v>0</v>
      </c>
      <c r="AN62">
        <f t="shared" si="15"/>
        <v>1</v>
      </c>
      <c r="AO62" s="28">
        <f t="shared" si="8"/>
        <v>5.4257228262346302E-3</v>
      </c>
      <c r="AP62" s="28">
        <f t="shared" si="9"/>
        <v>-4.6069185135182503E-3</v>
      </c>
      <c r="AQ62" s="28">
        <f t="shared" si="16"/>
        <v>8.1880431271637993E-4</v>
      </c>
      <c r="AR62" s="29">
        <f t="shared" si="17"/>
        <v>3.0303804887317105E-3</v>
      </c>
      <c r="AT62" s="12"/>
      <c r="AU62">
        <f t="shared" si="10"/>
        <v>0</v>
      </c>
      <c r="AV62">
        <f t="shared" si="11"/>
        <v>1</v>
      </c>
      <c r="AW62">
        <f t="shared" si="18"/>
        <v>0</v>
      </c>
      <c r="AX62">
        <f t="shared" si="5"/>
        <v>0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1.6056528255837259E-3</v>
      </c>
      <c r="BE62" s="29">
        <f t="shared" si="22"/>
        <v>8.1880431271637993E-4</v>
      </c>
      <c r="BF62" s="29">
        <f t="shared" si="23"/>
        <v>4.636033314315436E-3</v>
      </c>
      <c r="BH62" s="29"/>
    </row>
    <row r="63" spans="1:60" x14ac:dyDescent="0.25">
      <c r="A63" s="1">
        <v>46113</v>
      </c>
      <c r="B63" s="33">
        <v>48.01</v>
      </c>
      <c r="C63" s="33">
        <v>49.86</v>
      </c>
      <c r="D63" s="15">
        <v>-8.3281287345248302E-4</v>
      </c>
      <c r="E63" s="15">
        <v>-3.60360750329854E-3</v>
      </c>
      <c r="F63" s="33">
        <v>0.11169999999999999</v>
      </c>
      <c r="G63" s="33">
        <v>0.32389999999999902</v>
      </c>
      <c r="H63" s="33">
        <v>0.19075</v>
      </c>
      <c r="I63" s="33">
        <v>0.29772999999999999</v>
      </c>
      <c r="J63" s="33">
        <v>0.32389999999999902</v>
      </c>
      <c r="K63" s="33">
        <v>0.29772999999999999</v>
      </c>
      <c r="L63" s="33">
        <v>48.3339</v>
      </c>
      <c r="M63" s="33">
        <v>50.157730000000001</v>
      </c>
      <c r="N63" s="34">
        <v>1.03853363882524</v>
      </c>
      <c r="O63" s="34">
        <v>1.0403907452411401</v>
      </c>
      <c r="P63" s="34">
        <v>1.0408697482804199</v>
      </c>
      <c r="Q63" s="34">
        <v>1.04001390354503</v>
      </c>
      <c r="R63" s="33">
        <v>49.949159679027197</v>
      </c>
      <c r="S63" s="33">
        <v>49.979755450943898</v>
      </c>
      <c r="T63" s="33">
        <v>49.928641632633799</v>
      </c>
      <c r="U63" s="15">
        <v>1.7866036149405201E-3</v>
      </c>
      <c r="V63" s="15">
        <v>2.39895436112676E-3</v>
      </c>
      <c r="W63" s="15">
        <v>1.3757406120994101E-3</v>
      </c>
      <c r="X63" s="34">
        <v>1.0377339713948099</v>
      </c>
      <c r="Y63" s="34">
        <v>1.0384904608674399</v>
      </c>
      <c r="Z63" s="34">
        <v>1.03865821461007</v>
      </c>
      <c r="AA63" s="34">
        <v>1.03773790335917</v>
      </c>
      <c r="AB63" s="33">
        <v>50.194294086520998</v>
      </c>
      <c r="AC63" s="33">
        <v>50.2025414615796</v>
      </c>
      <c r="AD63" s="33">
        <v>50.151826137768097</v>
      </c>
      <c r="AE63" s="15">
        <v>7.2871650516112899E-4</v>
      </c>
      <c r="AF63" s="15">
        <v>8.9301202368221298E-4</v>
      </c>
      <c r="AG63" s="15">
        <v>-1.17712857398997E-4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3.0303804887317105E-3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1.6056528255837259E-3</v>
      </c>
      <c r="BE63" s="29">
        <f t="shared" si="22"/>
        <v>0</v>
      </c>
      <c r="BF63" s="29">
        <f t="shared" si="23"/>
        <v>4.636033314315436E-3</v>
      </c>
      <c r="BH63" s="29"/>
    </row>
    <row r="64" spans="1:60" x14ac:dyDescent="0.25">
      <c r="A64" s="1">
        <v>46114</v>
      </c>
      <c r="B64" s="33">
        <v>47.96</v>
      </c>
      <c r="C64" s="33">
        <v>49.83</v>
      </c>
      <c r="D64" s="15">
        <v>-1.0419923835353799E-3</v>
      </c>
      <c r="E64" s="15">
        <v>-6.01865802098673E-4</v>
      </c>
      <c r="F64" s="33">
        <v>0</v>
      </c>
      <c r="G64" s="33">
        <v>0.32389999999999902</v>
      </c>
      <c r="H64" s="33">
        <v>0</v>
      </c>
      <c r="I64" s="33">
        <v>0.29772999999999999</v>
      </c>
      <c r="J64" s="33">
        <v>0.32389999999999902</v>
      </c>
      <c r="K64" s="33">
        <v>0.29772999999999999</v>
      </c>
      <c r="L64" s="33">
        <v>48.283900000000003</v>
      </c>
      <c r="M64" s="33">
        <v>50.12773</v>
      </c>
      <c r="N64" s="34">
        <v>1.03899082568807</v>
      </c>
      <c r="O64" s="34">
        <v>1.0403907452411401</v>
      </c>
      <c r="P64" s="34">
        <v>1.04071730373516</v>
      </c>
      <c r="Q64" s="34">
        <v>1.0400799536808201</v>
      </c>
      <c r="R64" s="33">
        <v>49.897140141765099</v>
      </c>
      <c r="S64" s="33">
        <v>49.920113127529</v>
      </c>
      <c r="T64" s="33">
        <v>49.87906681402</v>
      </c>
      <c r="U64" s="15">
        <v>1.3464770335036599E-3</v>
      </c>
      <c r="V64" s="15">
        <v>1.80677794175492E-3</v>
      </c>
      <c r="W64" s="15">
        <v>9.84199723226214E-4</v>
      </c>
      <c r="X64" s="34">
        <v>1.0381872632492399</v>
      </c>
      <c r="Y64" s="34">
        <v>1.0384904608674399</v>
      </c>
      <c r="Z64" s="34">
        <v>1.03866085478252</v>
      </c>
      <c r="AA64" s="34">
        <v>1.03787979139241</v>
      </c>
      <c r="AB64" s="33">
        <v>50.142369563477601</v>
      </c>
      <c r="AC64" s="33">
        <v>50.150469368411201</v>
      </c>
      <c r="AD64" s="33">
        <v>50.106033152003903</v>
      </c>
      <c r="AE64" s="15">
        <v>2.9200257395615699E-4</v>
      </c>
      <c r="AF64" s="15">
        <v>4.5352567046956998E-4</v>
      </c>
      <c r="AG64" s="15">
        <v>-4.3292494769432802E-4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3.0303804887317105E-3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1.6056528255837259E-3</v>
      </c>
      <c r="BE64" s="29">
        <f t="shared" si="22"/>
        <v>0</v>
      </c>
      <c r="BF64" s="29">
        <f t="shared" si="23"/>
        <v>4.636033314315436E-3</v>
      </c>
      <c r="BH64" s="29"/>
    </row>
    <row r="65" spans="1:60" x14ac:dyDescent="0.25">
      <c r="A65" s="1">
        <v>46118</v>
      </c>
      <c r="B65" s="33">
        <v>47.88</v>
      </c>
      <c r="C65" s="33">
        <v>49.79</v>
      </c>
      <c r="D65" s="15">
        <v>-1.6694494695410401E-3</v>
      </c>
      <c r="E65" s="15">
        <v>-8.0305163922186201E-4</v>
      </c>
      <c r="F65" s="33">
        <v>0</v>
      </c>
      <c r="G65" s="33">
        <v>0.32389999999999902</v>
      </c>
      <c r="H65" s="33">
        <v>0</v>
      </c>
      <c r="I65" s="33">
        <v>0.29772999999999999</v>
      </c>
      <c r="J65" s="33">
        <v>0.32389999999999902</v>
      </c>
      <c r="K65" s="33">
        <v>0.29772999999999999</v>
      </c>
      <c r="L65" s="33">
        <v>48.203899999999997</v>
      </c>
      <c r="M65" s="33">
        <v>50.087730000000001</v>
      </c>
      <c r="N65" s="34">
        <v>1.0398913951545501</v>
      </c>
      <c r="O65" s="34">
        <v>1.0403907452411401</v>
      </c>
      <c r="P65" s="34">
        <v>1.0406696308682699</v>
      </c>
      <c r="Q65" s="34">
        <v>1.04011333433863</v>
      </c>
      <c r="R65" s="33">
        <v>49.813908882145803</v>
      </c>
      <c r="S65" s="33">
        <v>49.829544502839603</v>
      </c>
      <c r="T65" s="33">
        <v>49.799028182237699</v>
      </c>
      <c r="U65" s="15">
        <v>4.8007920318441499E-4</v>
      </c>
      <c r="V65" s="15">
        <v>7.9391057475787399E-4</v>
      </c>
      <c r="W65" s="15">
        <v>1.81308773210048E-4</v>
      </c>
      <c r="X65" s="34">
        <v>1.0390804478475799</v>
      </c>
      <c r="Y65" s="34">
        <v>1.0384904608674399</v>
      </c>
      <c r="Z65" s="34">
        <v>1.0387690320060201</v>
      </c>
      <c r="AA65" s="34">
        <v>1.03798931343331</v>
      </c>
      <c r="AB65" s="33">
        <v>50.059290326608199</v>
      </c>
      <c r="AC65" s="33">
        <v>50.067503977851302</v>
      </c>
      <c r="AD65" s="33">
        <v>50.029853676300696</v>
      </c>
      <c r="AE65" s="15">
        <v>-5.6795846872871505E-4</v>
      </c>
      <c r="AF65" s="15">
        <v>-4.0389346857483801E-4</v>
      </c>
      <c r="AG65" s="15">
        <v>-1.15616713909925E-3</v>
      </c>
      <c r="AI65" s="12"/>
      <c r="AJ65">
        <f t="shared" si="6"/>
        <v>0</v>
      </c>
      <c r="AK65">
        <f t="shared" si="7"/>
        <v>0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3.0303804887317105E-3</v>
      </c>
      <c r="AT65" s="12"/>
      <c r="AU65">
        <f t="shared" si="10"/>
        <v>0</v>
      </c>
      <c r="AV65">
        <f t="shared" si="11"/>
        <v>1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1.6056528255837259E-3</v>
      </c>
      <c r="BE65" s="29">
        <f t="shared" si="22"/>
        <v>0</v>
      </c>
      <c r="BF65" s="29">
        <f t="shared" si="23"/>
        <v>4.636033314315436E-3</v>
      </c>
      <c r="BH65" s="29"/>
    </row>
    <row r="66" spans="1:60" x14ac:dyDescent="0.25">
      <c r="A66" s="1">
        <v>46119</v>
      </c>
      <c r="B66" s="33">
        <v>47.91</v>
      </c>
      <c r="C66" s="33">
        <v>49.81</v>
      </c>
      <c r="D66" s="15">
        <v>6.2637020525834397E-4</v>
      </c>
      <c r="E66" s="15">
        <v>4.01606431100628E-4</v>
      </c>
      <c r="F66" s="33">
        <v>0</v>
      </c>
      <c r="G66" s="33">
        <v>0.32389999999999902</v>
      </c>
      <c r="H66" s="33">
        <v>0</v>
      </c>
      <c r="I66" s="33">
        <v>0.29772999999999999</v>
      </c>
      <c r="J66" s="33">
        <v>0.32389999999999902</v>
      </c>
      <c r="K66" s="33">
        <v>0.29772999999999999</v>
      </c>
      <c r="L66" s="33">
        <v>48.233899999999998</v>
      </c>
      <c r="M66" s="33">
        <v>50.107729999999997</v>
      </c>
      <c r="N66" s="34">
        <v>1.0396576915049001</v>
      </c>
      <c r="O66" s="34">
        <v>1.0403907452411401</v>
      </c>
      <c r="P66" s="34">
        <v>1.0405945751906001</v>
      </c>
      <c r="Q66" s="34">
        <v>1.0401790884253099</v>
      </c>
      <c r="R66" s="33">
        <v>49.845120604503101</v>
      </c>
      <c r="S66" s="33">
        <v>49.858482014898897</v>
      </c>
      <c r="T66" s="33">
        <v>49.8318298481638</v>
      </c>
      <c r="U66" s="15">
        <v>7.0484297734199901E-4</v>
      </c>
      <c r="V66" s="15">
        <v>9.7286559888714902E-4</v>
      </c>
      <c r="W66" s="15">
        <v>4.3816635134740698E-4</v>
      </c>
      <c r="X66" s="34">
        <v>1.0388488179475399</v>
      </c>
      <c r="Y66" s="34">
        <v>1.0384904608674399</v>
      </c>
      <c r="Z66" s="34">
        <v>1.0388490687294201</v>
      </c>
      <c r="AA66" s="34">
        <v>1.0381309530532401</v>
      </c>
      <c r="AB66" s="33">
        <v>50.090445040434297</v>
      </c>
      <c r="AC66" s="33">
        <v>50.103881612875597</v>
      </c>
      <c r="AD66" s="33">
        <v>50.0662727452113</v>
      </c>
      <c r="AE66" s="15">
        <v>-3.4501546021552601E-4</v>
      </c>
      <c r="AF66" s="15">
        <v>-7.6805213773632497E-5</v>
      </c>
      <c r="AG66" s="15">
        <v>-8.2770491383804003E-4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3.0303804887317105E-3</v>
      </c>
      <c r="AT66" s="12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1.6056528255837259E-3</v>
      </c>
      <c r="BE66" s="29">
        <f t="shared" si="22"/>
        <v>0</v>
      </c>
      <c r="BF66" s="29">
        <f t="shared" si="23"/>
        <v>4.636033314315436E-3</v>
      </c>
      <c r="BH66" s="29"/>
    </row>
    <row r="67" spans="1:60" x14ac:dyDescent="0.25">
      <c r="A67" s="1">
        <v>46120</v>
      </c>
      <c r="B67" s="33">
        <v>48.28</v>
      </c>
      <c r="C67" s="33">
        <v>50.13</v>
      </c>
      <c r="D67" s="15">
        <v>7.6931453343001398E-3</v>
      </c>
      <c r="E67" s="15">
        <v>6.4038641902200997E-3</v>
      </c>
      <c r="F67" s="33">
        <v>0</v>
      </c>
      <c r="G67" s="33">
        <v>0.32389999999999902</v>
      </c>
      <c r="H67" s="33">
        <v>0</v>
      </c>
      <c r="I67" s="33">
        <v>0.29772999999999999</v>
      </c>
      <c r="J67" s="33">
        <v>0.32389999999999902</v>
      </c>
      <c r="K67" s="33">
        <v>0.29772999999999999</v>
      </c>
      <c r="L67" s="33">
        <v>48.603900000000003</v>
      </c>
      <c r="M67" s="33">
        <v>50.427729999999997</v>
      </c>
      <c r="N67" s="34">
        <v>1.0383181441590701</v>
      </c>
      <c r="O67" s="34">
        <v>1.0403907452411401</v>
      </c>
      <c r="P67" s="34">
        <v>1.04039126520759</v>
      </c>
      <c r="Q67" s="34">
        <v>1.04019691434587</v>
      </c>
      <c r="R67" s="33">
        <v>50.230065180242299</v>
      </c>
      <c r="S67" s="33">
        <v>50.239906090202197</v>
      </c>
      <c r="T67" s="33">
        <v>50.2198463891743</v>
      </c>
      <c r="U67" s="15">
        <v>1.9941241214220299E-3</v>
      </c>
      <c r="V67" s="15">
        <v>2.19002165910314E-3</v>
      </c>
      <c r="W67" s="15">
        <v>1.7906636913705501E-3</v>
      </c>
      <c r="X67" s="34">
        <v>1.0375243550414599</v>
      </c>
      <c r="Y67" s="34">
        <v>1.0384904608674399</v>
      </c>
      <c r="Z67" s="34">
        <v>1.03880321855972</v>
      </c>
      <c r="AA67" s="34">
        <v>1.0382254312783401</v>
      </c>
      <c r="AB67" s="33">
        <v>50.474686510955202</v>
      </c>
      <c r="AC67" s="33">
        <v>50.492116251618199</v>
      </c>
      <c r="AD67" s="33">
        <v>50.4572130291048</v>
      </c>
      <c r="AE67" s="15">
        <v>9.3073121474490097E-4</v>
      </c>
      <c r="AF67" s="15">
        <v>1.27598807856913E-3</v>
      </c>
      <c r="AG67" s="15">
        <v>5.8448821120216001E-4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3.0303804887317105E-3</v>
      </c>
      <c r="AT67" s="12"/>
      <c r="AU67">
        <f t="shared" si="10"/>
        <v>0</v>
      </c>
      <c r="AV67">
        <f t="shared" si="11"/>
        <v>0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1.6056528255837259E-3</v>
      </c>
      <c r="BE67" s="29">
        <f t="shared" si="22"/>
        <v>0</v>
      </c>
      <c r="BF67" s="29">
        <f t="shared" si="23"/>
        <v>4.636033314315436E-3</v>
      </c>
      <c r="BH67" s="29"/>
    </row>
    <row r="68" spans="1:60" x14ac:dyDescent="0.25">
      <c r="A68" s="1">
        <v>46121</v>
      </c>
      <c r="B68" s="33">
        <v>48.13</v>
      </c>
      <c r="C68" s="33">
        <v>50.03</v>
      </c>
      <c r="D68" s="15">
        <v>-3.1117129143126902E-3</v>
      </c>
      <c r="E68" s="15">
        <v>-1.99680577529844E-3</v>
      </c>
      <c r="F68" s="33">
        <v>0</v>
      </c>
      <c r="G68" s="33">
        <v>0.32389999999999902</v>
      </c>
      <c r="H68" s="33">
        <v>0</v>
      </c>
      <c r="I68" s="33">
        <v>0.29772999999999999</v>
      </c>
      <c r="J68" s="33">
        <v>0.32389999999999902</v>
      </c>
      <c r="K68" s="33">
        <v>0.29772999999999999</v>
      </c>
      <c r="L68" s="33">
        <v>48.453899999999997</v>
      </c>
      <c r="M68" s="33">
        <v>50.327730000000003</v>
      </c>
      <c r="N68" s="34">
        <v>1.03947641803449</v>
      </c>
      <c r="O68" s="34">
        <v>1.0403907452411401</v>
      </c>
      <c r="P68" s="34">
        <v>1.0403247639162001</v>
      </c>
      <c r="Q68" s="34">
        <v>1.0402018233304999</v>
      </c>
      <c r="R68" s="33">
        <v>50.074006568456099</v>
      </c>
      <c r="S68" s="33">
        <v>50.0740315944416</v>
      </c>
      <c r="T68" s="33">
        <v>50.064677487467002</v>
      </c>
      <c r="U68" s="15">
        <v>8.7921698240764595E-4</v>
      </c>
      <c r="V68" s="15">
        <v>8.7971676225136403E-4</v>
      </c>
      <c r="W68" s="15">
        <v>6.9289376268343798E-4</v>
      </c>
      <c r="X68" s="34">
        <v>1.03867242884473</v>
      </c>
      <c r="Y68" s="34">
        <v>1.0384904608674399</v>
      </c>
      <c r="Z68" s="34">
        <v>1.0388918388094901</v>
      </c>
      <c r="AA68" s="34">
        <v>1.03830732085533</v>
      </c>
      <c r="AB68" s="33">
        <v>50.318912941825097</v>
      </c>
      <c r="AC68" s="33">
        <v>50.334067271771197</v>
      </c>
      <c r="AD68" s="33">
        <v>50.306071224618002</v>
      </c>
      <c r="AE68" s="15">
        <v>-1.7520819253785E-4</v>
      </c>
      <c r="AF68" s="15">
        <v>1.2591215240261201E-4</v>
      </c>
      <c r="AG68" s="15">
        <v>-4.3044733385457998E-4</v>
      </c>
      <c r="AI68" s="12"/>
      <c r="AJ68">
        <f t="shared" si="6"/>
        <v>0</v>
      </c>
      <c r="AK68">
        <f t="shared" si="7"/>
        <v>1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3.0303804887317105E-3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1.6056528255837259E-3</v>
      </c>
      <c r="BE68" s="29">
        <f t="shared" si="22"/>
        <v>0</v>
      </c>
      <c r="BF68" s="29">
        <f t="shared" si="23"/>
        <v>4.636033314315436E-3</v>
      </c>
      <c r="BH68" s="29"/>
    </row>
    <row r="69" spans="1:60" x14ac:dyDescent="0.25">
      <c r="A69" s="1">
        <v>46122</v>
      </c>
      <c r="B69" s="33">
        <v>48</v>
      </c>
      <c r="C69" s="33">
        <v>49.92</v>
      </c>
      <c r="D69" s="15">
        <v>-2.7046724071270799E-3</v>
      </c>
      <c r="E69" s="15">
        <v>-2.2011014389414401E-3</v>
      </c>
      <c r="F69" s="33">
        <v>0</v>
      </c>
      <c r="G69" s="33">
        <v>0.32389999999999902</v>
      </c>
      <c r="H69" s="33">
        <v>0</v>
      </c>
      <c r="I69" s="33">
        <v>0.29772999999999999</v>
      </c>
      <c r="J69" s="33">
        <v>0.32389999999999902</v>
      </c>
      <c r="K69" s="33">
        <v>0.29772999999999999</v>
      </c>
      <c r="L69" s="33">
        <v>48.323900000000002</v>
      </c>
      <c r="M69" s="33">
        <v>50.217730000000003</v>
      </c>
      <c r="N69" s="34">
        <v>1.04</v>
      </c>
      <c r="O69" s="34">
        <v>1.0403907452411401</v>
      </c>
      <c r="P69" s="34">
        <v>1.04009351129785</v>
      </c>
      <c r="Q69" s="34">
        <v>1.0401843524486301</v>
      </c>
      <c r="R69" s="33">
        <v>49.938755771574797</v>
      </c>
      <c r="S69" s="33">
        <v>49.935588667977697</v>
      </c>
      <c r="T69" s="33">
        <v>49.929687519864103</v>
      </c>
      <c r="U69" s="15">
        <v>3.7564601422198501E-4</v>
      </c>
      <c r="V69" s="15">
        <v>3.1222424928504399E-4</v>
      </c>
      <c r="W69" s="15">
        <v>1.9404206733449099E-4</v>
      </c>
      <c r="X69" s="34">
        <v>1.03919033852814</v>
      </c>
      <c r="Y69" s="34">
        <v>1.0384904608674399</v>
      </c>
      <c r="Z69" s="34">
        <v>1.0388177711987601</v>
      </c>
      <c r="AA69" s="34">
        <v>1.0383671728255</v>
      </c>
      <c r="AB69" s="33">
        <v>50.183909181912298</v>
      </c>
      <c r="AC69" s="33">
        <v>50.203305329445897</v>
      </c>
      <c r="AD69" s="33">
        <v>50.175059142281299</v>
      </c>
      <c r="AE69" s="15">
        <v>-6.7371050198872305E-4</v>
      </c>
      <c r="AF69" s="15">
        <v>-2.8728384657480098E-4</v>
      </c>
      <c r="AG69" s="15">
        <v>-8.5007819093125105E-4</v>
      </c>
      <c r="AI69" s="12"/>
      <c r="AJ69">
        <f t="shared" si="6"/>
        <v>0</v>
      </c>
      <c r="AK69">
        <f t="shared" si="7"/>
        <v>1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3.0303804887317105E-3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1.6056528255837259E-3</v>
      </c>
      <c r="BE69" s="29">
        <f t="shared" si="22"/>
        <v>0</v>
      </c>
      <c r="BF69" s="29">
        <f t="shared" si="23"/>
        <v>4.636033314315436E-3</v>
      </c>
      <c r="BH69" s="29"/>
    </row>
    <row r="70" spans="1:60" x14ac:dyDescent="0.25">
      <c r="A70" s="1">
        <v>46125</v>
      </c>
      <c r="B70" s="33">
        <v>48.04</v>
      </c>
      <c r="C70" s="33">
        <v>49.91</v>
      </c>
      <c r="D70" s="15">
        <v>8.3298630389177098E-4</v>
      </c>
      <c r="E70" s="15">
        <v>-2.0034057965443401E-4</v>
      </c>
      <c r="F70" s="33">
        <v>0</v>
      </c>
      <c r="G70" s="33">
        <v>0.32389999999999902</v>
      </c>
      <c r="H70" s="33">
        <v>0</v>
      </c>
      <c r="I70" s="33">
        <v>0.29772999999999999</v>
      </c>
      <c r="J70" s="33">
        <v>0.32389999999999902</v>
      </c>
      <c r="K70" s="33">
        <v>0.29772999999999999</v>
      </c>
      <c r="L70" s="33">
        <v>48.363900000000001</v>
      </c>
      <c r="M70" s="33">
        <v>50.207729999999998</v>
      </c>
      <c r="N70" s="34">
        <v>1.0389258950874201</v>
      </c>
      <c r="O70" s="34">
        <v>1.0403907452411401</v>
      </c>
      <c r="P70" s="34">
        <v>1.0397477457919</v>
      </c>
      <c r="Q70" s="34">
        <v>1.04008898053634</v>
      </c>
      <c r="R70" s="33">
        <v>49.980371401384403</v>
      </c>
      <c r="S70" s="33">
        <v>49.966092282748903</v>
      </c>
      <c r="T70" s="33">
        <v>49.970456291632601</v>
      </c>
      <c r="U70" s="15">
        <v>1.4089728977682201E-3</v>
      </c>
      <c r="V70" s="15">
        <v>1.1232375509359501E-3</v>
      </c>
      <c r="W70" s="15">
        <v>1.2105731443451599E-3</v>
      </c>
      <c r="X70" s="34">
        <v>1.03812409669195</v>
      </c>
      <c r="Y70" s="34">
        <v>1.0384904608674399</v>
      </c>
      <c r="Z70" s="34">
        <v>1.03863040646862</v>
      </c>
      <c r="AA70" s="34">
        <v>1.03834981889281</v>
      </c>
      <c r="AB70" s="33">
        <v>50.225448800347003</v>
      </c>
      <c r="AC70" s="33">
        <v>50.241278804479897</v>
      </c>
      <c r="AD70" s="33">
        <v>50.2194861098152</v>
      </c>
      <c r="AE70" s="15">
        <v>3.5284754983460302E-4</v>
      </c>
      <c r="AF70" s="15">
        <v>6.6797683972465095E-4</v>
      </c>
      <c r="AG70" s="15">
        <v>2.3412199051823E-4</v>
      </c>
      <c r="AI70" s="12"/>
      <c r="AJ70">
        <f t="shared" si="6"/>
        <v>0</v>
      </c>
      <c r="AK70">
        <f t="shared" si="7"/>
        <v>1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3.0303804887317105E-3</v>
      </c>
      <c r="AT70" s="12"/>
      <c r="AU70">
        <f t="shared" si="10"/>
        <v>0</v>
      </c>
      <c r="AV70">
        <f t="shared" si="11"/>
        <v>0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1.6056528255837259E-3</v>
      </c>
      <c r="BE70" s="29">
        <f t="shared" si="22"/>
        <v>0</v>
      </c>
      <c r="BF70" s="29">
        <f t="shared" si="23"/>
        <v>4.636033314315436E-3</v>
      </c>
      <c r="BH70" s="29"/>
    </row>
    <row r="71" spans="1:60" x14ac:dyDescent="0.25">
      <c r="A71" s="1">
        <v>46126</v>
      </c>
      <c r="B71" s="33">
        <v>48.22</v>
      </c>
      <c r="C71" s="33">
        <v>50.05</v>
      </c>
      <c r="D71" s="15">
        <v>3.7398755412422898E-3</v>
      </c>
      <c r="E71" s="15">
        <v>2.8011222797117699E-3</v>
      </c>
      <c r="F71" s="33">
        <v>0</v>
      </c>
      <c r="G71" s="33">
        <v>0.32389999999999902</v>
      </c>
      <c r="H71" s="33">
        <v>0</v>
      </c>
      <c r="I71" s="33">
        <v>0.29772999999999999</v>
      </c>
      <c r="J71" s="33">
        <v>0.32389999999999902</v>
      </c>
      <c r="K71" s="33">
        <v>0.29772999999999999</v>
      </c>
      <c r="L71" s="33">
        <v>48.543900000000001</v>
      </c>
      <c r="M71" s="33">
        <v>50.347729999999999</v>
      </c>
      <c r="N71" s="34">
        <v>1.03795105765242</v>
      </c>
      <c r="O71" s="34">
        <v>1.0403907452411401</v>
      </c>
      <c r="P71" s="34">
        <v>1.03931602586139</v>
      </c>
      <c r="Q71" s="34">
        <v>1.0400060274048599</v>
      </c>
      <c r="R71" s="33">
        <v>50.167641735527802</v>
      </c>
      <c r="S71" s="33">
        <v>50.136636302085797</v>
      </c>
      <c r="T71" s="33">
        <v>50.153090641462498</v>
      </c>
      <c r="U71" s="15">
        <v>2.34772615929876E-3</v>
      </c>
      <c r="V71" s="15">
        <v>1.7294986013886399E-3</v>
      </c>
      <c r="W71" s="15">
        <v>2.05763469320496E-3</v>
      </c>
      <c r="X71" s="34">
        <v>1.0371587367310799</v>
      </c>
      <c r="Y71" s="34">
        <v>1.0384904608674399</v>
      </c>
      <c r="Z71" s="34">
        <v>1.03835733796824</v>
      </c>
      <c r="AA71" s="34">
        <v>1.0383445531492601</v>
      </c>
      <c r="AB71" s="33">
        <v>50.412377083303198</v>
      </c>
      <c r="AC71" s="33">
        <v>50.419170588572101</v>
      </c>
      <c r="AD71" s="33">
        <v>50.405549773350899</v>
      </c>
      <c r="AE71" s="15">
        <v>1.28318823877912E-3</v>
      </c>
      <c r="AF71" s="15">
        <v>1.4179378372140899E-3</v>
      </c>
      <c r="AG71" s="15">
        <v>1.1477498266716801E-3</v>
      </c>
      <c r="AI71" s="12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3.0303804887317105E-3</v>
      </c>
      <c r="AT71" s="12"/>
      <c r="AU71">
        <f t="shared" si="10"/>
        <v>1</v>
      </c>
      <c r="AV71">
        <f t="shared" si="11"/>
        <v>0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1.6056528255837259E-3</v>
      </c>
      <c r="BE71" s="29">
        <f t="shared" si="22"/>
        <v>0</v>
      </c>
      <c r="BF71" s="29">
        <f t="shared" si="23"/>
        <v>4.636033314315436E-3</v>
      </c>
      <c r="BH71" s="29"/>
    </row>
    <row r="72" spans="1:60" x14ac:dyDescent="0.25">
      <c r="A72" s="1">
        <v>46127</v>
      </c>
      <c r="B72" s="33">
        <v>48.12</v>
      </c>
      <c r="C72" s="33">
        <v>49.96</v>
      </c>
      <c r="D72" s="15">
        <v>-2.07598164654688E-3</v>
      </c>
      <c r="E72" s="15">
        <v>-1.7998205038525299E-3</v>
      </c>
      <c r="F72" s="33">
        <v>0</v>
      </c>
      <c r="G72" s="33">
        <v>0.32389999999999902</v>
      </c>
      <c r="H72" s="33">
        <v>0</v>
      </c>
      <c r="I72" s="33">
        <v>0.29772999999999999</v>
      </c>
      <c r="J72" s="33">
        <v>0.32389999999999902</v>
      </c>
      <c r="K72" s="33">
        <v>0.29772999999999999</v>
      </c>
      <c r="L72" s="33">
        <v>48.443899999999999</v>
      </c>
      <c r="M72" s="33">
        <v>50.257730000000002</v>
      </c>
      <c r="N72" s="34">
        <v>1.0382377389858599</v>
      </c>
      <c r="O72" s="34">
        <v>1.0403907452411401</v>
      </c>
      <c r="P72" s="34">
        <v>1.0389982805092</v>
      </c>
      <c r="Q72" s="34">
        <v>1.0400131524493901</v>
      </c>
      <c r="R72" s="33">
        <v>50.063602661003699</v>
      </c>
      <c r="S72" s="33">
        <v>50.011887164450499</v>
      </c>
      <c r="T72" s="33">
        <v>50.045090038722002</v>
      </c>
      <c r="U72" s="15">
        <v>2.0715650166044301E-3</v>
      </c>
      <c r="V72" s="15">
        <v>1.0380352033228001E-3</v>
      </c>
      <c r="W72" s="15">
        <v>1.70171456718735E-3</v>
      </c>
      <c r="X72" s="34">
        <v>1.0374418657457301</v>
      </c>
      <c r="Y72" s="34">
        <v>1.0384904608674399</v>
      </c>
      <c r="Z72" s="34">
        <v>1.03819623220223</v>
      </c>
      <c r="AA72" s="34">
        <v>1.0384286632075901</v>
      </c>
      <c r="AB72" s="33">
        <v>50.308528037216398</v>
      </c>
      <c r="AC72" s="33">
        <v>50.302079044799903</v>
      </c>
      <c r="AD72" s="33">
        <v>50.301459698307802</v>
      </c>
      <c r="AE72" s="15">
        <v>1.01024026404507E-3</v>
      </c>
      <c r="AF72" s="15">
        <v>8.8204319591426701E-4</v>
      </c>
      <c r="AG72" s="15">
        <v>8.6973057749468205E-4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3.0303804887317105E-3</v>
      </c>
      <c r="AT72" s="12"/>
      <c r="AU72">
        <f t="shared" si="10"/>
        <v>0</v>
      </c>
      <c r="AV72">
        <f t="shared" si="11"/>
        <v>0</v>
      </c>
      <c r="AW72">
        <f t="shared" si="18"/>
        <v>1</v>
      </c>
      <c r="AX72">
        <f t="shared" si="5"/>
        <v>1</v>
      </c>
      <c r="AY72">
        <f t="shared" si="19"/>
        <v>1</v>
      </c>
      <c r="AZ72" s="28">
        <f t="shared" si="12"/>
        <v>2.07598164654688E-3</v>
      </c>
      <c r="BA72" s="28">
        <f t="shared" si="13"/>
        <v>-1.7998205038525299E-3</v>
      </c>
      <c r="BB72" s="28">
        <f t="shared" si="20"/>
        <v>2.7616114269435007E-4</v>
      </c>
      <c r="BC72" s="29">
        <f t="shared" si="21"/>
        <v>1.881813968278076E-3</v>
      </c>
      <c r="BE72" s="29">
        <f t="shared" si="22"/>
        <v>2.7616114269435007E-4</v>
      </c>
      <c r="BF72" s="29">
        <f t="shared" si="23"/>
        <v>4.9121944570097859E-3</v>
      </c>
      <c r="BH72" s="29"/>
    </row>
    <row r="73" spans="1:60" x14ac:dyDescent="0.25">
      <c r="A73" s="1">
        <v>46128</v>
      </c>
      <c r="B73" s="33">
        <v>48.09</v>
      </c>
      <c r="C73" s="33">
        <v>49.97</v>
      </c>
      <c r="D73" s="15">
        <v>-6.2363581690672899E-4</v>
      </c>
      <c r="E73" s="15">
        <v>2.0014009873676799E-4</v>
      </c>
      <c r="F73" s="33">
        <v>0</v>
      </c>
      <c r="G73" s="33">
        <v>0.32389999999999902</v>
      </c>
      <c r="H73" s="33">
        <v>0</v>
      </c>
      <c r="I73" s="33">
        <v>0.29772999999999999</v>
      </c>
      <c r="J73" s="33">
        <v>0.32389999999999902</v>
      </c>
      <c r="K73" s="33">
        <v>0.29772999999999999</v>
      </c>
      <c r="L73" s="33">
        <v>48.413899999999998</v>
      </c>
      <c r="M73" s="33">
        <v>50.26773</v>
      </c>
      <c r="N73" s="34">
        <v>1.0390933666042801</v>
      </c>
      <c r="O73" s="34">
        <v>1.0403907452411401</v>
      </c>
      <c r="P73" s="34">
        <v>1.0390542532871001</v>
      </c>
      <c r="Q73" s="34">
        <v>1.03996200078376</v>
      </c>
      <c r="R73" s="33">
        <v>50.0323909386465</v>
      </c>
      <c r="S73" s="33">
        <v>49.965427309687698</v>
      </c>
      <c r="T73" s="33">
        <v>50.014232501291403</v>
      </c>
      <c r="U73" s="15">
        <v>1.24778910096099E-3</v>
      </c>
      <c r="V73" s="15">
        <v>-9.1512898650036195E-5</v>
      </c>
      <c r="W73" s="15">
        <v>8.8478959272842198E-4</v>
      </c>
      <c r="X73" s="34">
        <v>1.03829127585259</v>
      </c>
      <c r="Y73" s="34">
        <v>1.0384904608674399</v>
      </c>
      <c r="Z73" s="34">
        <v>1.038251962648</v>
      </c>
      <c r="AA73" s="34">
        <v>1.03845508862903</v>
      </c>
      <c r="AB73" s="33">
        <v>50.2773733233904</v>
      </c>
      <c r="AC73" s="33">
        <v>50.263128566215499</v>
      </c>
      <c r="AD73" s="33">
        <v>50.274381457666102</v>
      </c>
      <c r="AE73" s="15">
        <v>1.91820846590462E-4</v>
      </c>
      <c r="AF73" s="15">
        <v>-9.1542713416962901E-5</v>
      </c>
      <c r="AG73" s="15">
        <v>1.32311875678637E-4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3.0303804887317105E-3</v>
      </c>
      <c r="AT73" s="12"/>
      <c r="AU73">
        <f t="shared" si="10"/>
        <v>0</v>
      </c>
      <c r="AV73">
        <f t="shared" si="11"/>
        <v>0</v>
      </c>
      <c r="AW73">
        <f t="shared" si="18"/>
        <v>1</v>
      </c>
      <c r="AX73">
        <f t="shared" si="5"/>
        <v>1</v>
      </c>
      <c r="AY73">
        <f t="shared" si="19"/>
        <v>1</v>
      </c>
      <c r="AZ73" s="28">
        <f t="shared" si="12"/>
        <v>6.2363581690672899E-4</v>
      </c>
      <c r="BA73" s="28">
        <f t="shared" si="13"/>
        <v>2.0014009873676799E-4</v>
      </c>
      <c r="BB73" s="28">
        <f t="shared" si="20"/>
        <v>8.2377591564349701E-4</v>
      </c>
      <c r="BC73" s="29">
        <f t="shared" si="21"/>
        <v>2.7055898839215731E-3</v>
      </c>
      <c r="BE73" s="29">
        <f t="shared" si="22"/>
        <v>8.2377591564349701E-4</v>
      </c>
      <c r="BF73" s="29">
        <f t="shared" si="23"/>
        <v>5.7359703726532832E-3</v>
      </c>
      <c r="BH73" s="29"/>
    </row>
    <row r="74" spans="1:60" x14ac:dyDescent="0.25">
      <c r="A74" s="1">
        <v>46129</v>
      </c>
      <c r="B74" s="33">
        <v>48.33</v>
      </c>
      <c r="C74" s="33">
        <v>50.21</v>
      </c>
      <c r="D74" s="15">
        <v>4.9782305674212404E-3</v>
      </c>
      <c r="E74" s="15">
        <v>4.79138469050059E-3</v>
      </c>
      <c r="F74" s="33">
        <v>0</v>
      </c>
      <c r="G74" s="33">
        <v>0.32389999999999902</v>
      </c>
      <c r="H74" s="33">
        <v>0</v>
      </c>
      <c r="I74" s="33">
        <v>0.29772999999999999</v>
      </c>
      <c r="J74" s="33">
        <v>0.32389999999999902</v>
      </c>
      <c r="K74" s="33">
        <v>0.29772999999999999</v>
      </c>
      <c r="L74" s="33">
        <v>48.6539</v>
      </c>
      <c r="M74" s="33">
        <v>50.507730000000002</v>
      </c>
      <c r="N74" s="34">
        <v>1.0388992344299599</v>
      </c>
      <c r="O74" s="34">
        <v>1.0403907452411401</v>
      </c>
      <c r="P74" s="34">
        <v>1.0390450941612901</v>
      </c>
      <c r="Q74" s="34">
        <v>1.0398811989482299</v>
      </c>
      <c r="R74" s="33">
        <v>50.282084717504397</v>
      </c>
      <c r="S74" s="33">
        <v>50.217492061366002</v>
      </c>
      <c r="T74" s="33">
        <v>50.261363497879401</v>
      </c>
      <c r="U74" s="15">
        <v>1.43463497788171E-3</v>
      </c>
      <c r="V74" s="15">
        <v>1.4920339492964599E-4</v>
      </c>
      <c r="W74" s="15">
        <v>1.02245058822449E-3</v>
      </c>
      <c r="X74" s="34">
        <v>1.0381023926139501</v>
      </c>
      <c r="Y74" s="34">
        <v>1.0384904608674399</v>
      </c>
      <c r="Z74" s="34">
        <v>1.0382434755844701</v>
      </c>
      <c r="AA74" s="34">
        <v>1.0384521651834999</v>
      </c>
      <c r="AB74" s="33">
        <v>50.526611033998599</v>
      </c>
      <c r="AC74" s="33">
        <v>50.515007165479901</v>
      </c>
      <c r="AD74" s="33">
        <v>50.524890036648401</v>
      </c>
      <c r="AE74" s="15">
        <v>3.7375478525787599E-4</v>
      </c>
      <c r="AF74" s="15">
        <v>1.4406985391011301E-4</v>
      </c>
      <c r="AG74" s="15">
        <v>3.3969299830536101E-4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1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3.0303804887317105E-3</v>
      </c>
      <c r="AT74" s="12"/>
      <c r="AU74">
        <f t="shared" si="10"/>
        <v>0</v>
      </c>
      <c r="AV74">
        <f t="shared" si="11"/>
        <v>0</v>
      </c>
      <c r="AW74">
        <f t="shared" si="18"/>
        <v>1</v>
      </c>
      <c r="AX74">
        <f t="shared" si="5"/>
        <v>1</v>
      </c>
      <c r="AY74">
        <f t="shared" si="19"/>
        <v>1</v>
      </c>
      <c r="AZ74" s="28">
        <f t="shared" si="12"/>
        <v>-4.9782305674212404E-3</v>
      </c>
      <c r="BA74" s="28">
        <f t="shared" si="13"/>
        <v>4.79138469050059E-3</v>
      </c>
      <c r="BB74" s="28">
        <f t="shared" si="20"/>
        <v>-1.868458769206504E-4</v>
      </c>
      <c r="BC74" s="29">
        <f t="shared" si="21"/>
        <v>2.5187440070009227E-3</v>
      </c>
      <c r="BE74" s="29">
        <f t="shared" si="22"/>
        <v>-1.868458769206504E-4</v>
      </c>
      <c r="BF74" s="29">
        <f t="shared" si="23"/>
        <v>5.5491244957326328E-3</v>
      </c>
      <c r="BH74" s="29"/>
    </row>
    <row r="75" spans="1:60" x14ac:dyDescent="0.25">
      <c r="A75" s="1">
        <v>46132</v>
      </c>
      <c r="B75" s="33">
        <v>48.27</v>
      </c>
      <c r="C75" s="33">
        <v>50.15</v>
      </c>
      <c r="D75" s="15">
        <v>-1.24223618459105E-3</v>
      </c>
      <c r="E75" s="15">
        <v>-1.1956956386695999E-3</v>
      </c>
      <c r="F75" s="33">
        <v>0</v>
      </c>
      <c r="G75" s="33">
        <v>0.32389999999999902</v>
      </c>
      <c r="H75" s="33">
        <v>0</v>
      </c>
      <c r="I75" s="33">
        <v>0.29772999999999999</v>
      </c>
      <c r="J75" s="33">
        <v>0.32389999999999902</v>
      </c>
      <c r="K75" s="33">
        <v>0.29772999999999999</v>
      </c>
      <c r="L75" s="33">
        <v>48.593899999999998</v>
      </c>
      <c r="M75" s="33">
        <v>50.44773</v>
      </c>
      <c r="N75" s="34">
        <v>1.0389475864926401</v>
      </c>
      <c r="O75" s="34">
        <v>1.0403907452411401</v>
      </c>
      <c r="P75" s="34">
        <v>1.0389507132950999</v>
      </c>
      <c r="Q75" s="34">
        <v>1.0398101720816899</v>
      </c>
      <c r="R75" s="33">
        <v>50.219661272789899</v>
      </c>
      <c r="S75" s="33">
        <v>50.1547066951658</v>
      </c>
      <c r="T75" s="33">
        <v>50.195065473231097</v>
      </c>
      <c r="U75" s="15">
        <v>1.38809443196035E-3</v>
      </c>
      <c r="V75" s="15">
        <v>9.3847942422877094E-5</v>
      </c>
      <c r="W75" s="15">
        <v>8.9821011224467805E-4</v>
      </c>
      <c r="X75" s="34">
        <v>1.03814943850977</v>
      </c>
      <c r="Y75" s="34">
        <v>1.0384904608674399</v>
      </c>
      <c r="Z75" s="34">
        <v>1.0381503746506899</v>
      </c>
      <c r="AA75" s="34">
        <v>1.03845970332836</v>
      </c>
      <c r="AB75" s="33">
        <v>50.464301606346503</v>
      </c>
      <c r="AC75" s="33">
        <v>50.452299628204599</v>
      </c>
      <c r="AD75" s="33">
        <v>50.462440669710503</v>
      </c>
      <c r="AE75" s="15">
        <v>3.2843668355009103E-4</v>
      </c>
      <c r="AF75" s="15">
        <v>9.0577341247597397E-5</v>
      </c>
      <c r="AG75" s="15">
        <v>2.9155970537284102E-4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3.0303804887317105E-3</v>
      </c>
      <c r="AT75" s="12"/>
      <c r="AU75">
        <f t="shared" si="10"/>
        <v>0</v>
      </c>
      <c r="AV75">
        <f t="shared" si="11"/>
        <v>0</v>
      </c>
      <c r="AW75">
        <f t="shared" si="18"/>
        <v>1</v>
      </c>
      <c r="AX75">
        <f t="shared" si="5"/>
        <v>1</v>
      </c>
      <c r="AY75">
        <f t="shared" si="19"/>
        <v>1</v>
      </c>
      <c r="AZ75" s="28">
        <f t="shared" si="12"/>
        <v>1.24223618459105E-3</v>
      </c>
      <c r="BA75" s="28">
        <f t="shared" si="13"/>
        <v>-1.1956956386695999E-3</v>
      </c>
      <c r="BB75" s="28">
        <f t="shared" si="20"/>
        <v>4.6540545921450053E-5</v>
      </c>
      <c r="BC75" s="29">
        <f t="shared" si="21"/>
        <v>2.565284552922373E-3</v>
      </c>
      <c r="BE75" s="29">
        <f t="shared" si="22"/>
        <v>4.6540545921450053E-5</v>
      </c>
      <c r="BF75" s="29">
        <f t="shared" si="23"/>
        <v>5.5956650416540826E-3</v>
      </c>
      <c r="BH75" s="29"/>
    </row>
    <row r="76" spans="1:60" x14ac:dyDescent="0.25">
      <c r="A76" s="1">
        <v>46133</v>
      </c>
      <c r="B76" s="33">
        <v>48.1</v>
      </c>
      <c r="C76" s="33">
        <v>49.97</v>
      </c>
      <c r="D76" s="15">
        <v>-3.5280725606860299E-3</v>
      </c>
      <c r="E76" s="15">
        <v>-3.5956890518308799E-3</v>
      </c>
      <c r="F76" s="33">
        <v>0</v>
      </c>
      <c r="G76" s="33">
        <v>0.32389999999999902</v>
      </c>
      <c r="H76" s="33">
        <v>0</v>
      </c>
      <c r="I76" s="33">
        <v>0.29772999999999999</v>
      </c>
      <c r="J76" s="33">
        <v>0.32389999999999902</v>
      </c>
      <c r="K76" s="33">
        <v>0.29772999999999999</v>
      </c>
      <c r="L76" s="33">
        <v>48.423900000000003</v>
      </c>
      <c r="M76" s="33">
        <v>50.26773</v>
      </c>
      <c r="N76" s="34">
        <v>1.03887733887733</v>
      </c>
      <c r="O76" s="34">
        <v>1.0403907452411401</v>
      </c>
      <c r="P76" s="34">
        <v>1.0388726780323501</v>
      </c>
      <c r="Q76" s="34">
        <v>1.0397336266114701</v>
      </c>
      <c r="R76" s="33">
        <v>50.0427948460989</v>
      </c>
      <c r="S76" s="33">
        <v>49.973529309494602</v>
      </c>
      <c r="T76" s="33">
        <v>50.0148692771292</v>
      </c>
      <c r="U76" s="15">
        <v>1.4557109231052E-3</v>
      </c>
      <c r="V76" s="15">
        <v>7.0626072953964495E-5</v>
      </c>
      <c r="W76" s="15">
        <v>8.9752140430250096E-4</v>
      </c>
      <c r="X76" s="34">
        <v>1.0380768587412399</v>
      </c>
      <c r="Y76" s="34">
        <v>1.0384904608674399</v>
      </c>
      <c r="Z76" s="34">
        <v>1.0380731787300601</v>
      </c>
      <c r="AA76" s="34">
        <v>1.0384611237297401</v>
      </c>
      <c r="AB76" s="33">
        <v>50.287758227999099</v>
      </c>
      <c r="AC76" s="33">
        <v>50.271289927047903</v>
      </c>
      <c r="AD76" s="33">
        <v>50.286268828002299</v>
      </c>
      <c r="AE76" s="15">
        <v>3.9835176810150403E-4</v>
      </c>
      <c r="AF76" s="15">
        <v>7.0816824194850194E-5</v>
      </c>
      <c r="AG76" s="15">
        <v>3.6873378341009699E-4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3.0303804887317105E-3</v>
      </c>
      <c r="AT76" s="12"/>
      <c r="AU76">
        <f t="shared" si="10"/>
        <v>0</v>
      </c>
      <c r="AV76">
        <f t="shared" si="11"/>
        <v>0</v>
      </c>
      <c r="AW76">
        <f t="shared" si="18"/>
        <v>1</v>
      </c>
      <c r="AX76">
        <f t="shared" si="5"/>
        <v>1</v>
      </c>
      <c r="AY76">
        <f t="shared" si="19"/>
        <v>1</v>
      </c>
      <c r="AZ76" s="28">
        <f t="shared" si="12"/>
        <v>3.5280725606860299E-3</v>
      </c>
      <c r="BA76" s="28">
        <f t="shared" si="13"/>
        <v>-3.5956890518308799E-3</v>
      </c>
      <c r="BB76" s="28">
        <f t="shared" si="20"/>
        <v>-6.7616491144849994E-5</v>
      </c>
      <c r="BC76" s="29">
        <f t="shared" si="21"/>
        <v>2.497668061777523E-3</v>
      </c>
      <c r="BE76" s="29">
        <f t="shared" si="22"/>
        <v>-6.7616491144849994E-5</v>
      </c>
      <c r="BF76" s="29">
        <f t="shared" si="23"/>
        <v>5.5280485505092326E-3</v>
      </c>
      <c r="BH76" s="29"/>
    </row>
    <row r="77" spans="1:60" x14ac:dyDescent="0.25">
      <c r="A77" s="1">
        <v>46134</v>
      </c>
      <c r="B77" s="33">
        <v>48.18</v>
      </c>
      <c r="C77" s="33">
        <v>50.07</v>
      </c>
      <c r="D77" s="15">
        <v>1.6618200750098001E-3</v>
      </c>
      <c r="E77" s="15">
        <v>1.99920098573969E-3</v>
      </c>
      <c r="F77" s="33">
        <v>0</v>
      </c>
      <c r="G77" s="33">
        <v>0.32389999999999902</v>
      </c>
      <c r="H77" s="33">
        <v>0</v>
      </c>
      <c r="I77" s="33">
        <v>0.29772999999999999</v>
      </c>
      <c r="J77" s="33">
        <v>0.32389999999999902</v>
      </c>
      <c r="K77" s="33">
        <v>0.29772999999999999</v>
      </c>
      <c r="L77" s="33">
        <v>48.503900000000002</v>
      </c>
      <c r="M77" s="33">
        <v>50.367730000000002</v>
      </c>
      <c r="N77" s="34">
        <v>1.03922789539227</v>
      </c>
      <c r="O77" s="34">
        <v>1.0403907452411401</v>
      </c>
      <c r="P77" s="34">
        <v>1.0389636531556701</v>
      </c>
      <c r="Q77" s="34">
        <v>1.03967745918163</v>
      </c>
      <c r="R77" s="33">
        <v>50.126026105718203</v>
      </c>
      <c r="S77" s="33">
        <v>50.052885627598599</v>
      </c>
      <c r="T77" s="33">
        <v>50.094366130140898</v>
      </c>
      <c r="U77" s="15">
        <v>1.1183300123750999E-3</v>
      </c>
      <c r="V77" s="15">
        <v>-3.4186734552703899E-4</v>
      </c>
      <c r="W77" s="15">
        <v>4.8652293351331198E-4</v>
      </c>
      <c r="X77" s="34">
        <v>1.0384263945785801</v>
      </c>
      <c r="Y77" s="34">
        <v>1.0384904608674399</v>
      </c>
      <c r="Z77" s="34">
        <v>1.03816338268377</v>
      </c>
      <c r="AA77" s="34">
        <v>1.03848330062175</v>
      </c>
      <c r="AB77" s="33">
        <v>50.370837464868501</v>
      </c>
      <c r="AC77" s="33">
        <v>50.350597653805302</v>
      </c>
      <c r="AD77" s="33">
        <v>50.369414499275202</v>
      </c>
      <c r="AE77" s="15">
        <v>6.1693648176421397E-5</v>
      </c>
      <c r="AF77" s="15">
        <v>-3.4020315386417397E-4</v>
      </c>
      <c r="AG77" s="15">
        <v>3.3443458891507501E-5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3.0303804887317105E-3</v>
      </c>
      <c r="AT77" s="12"/>
      <c r="AU77">
        <f t="shared" si="10"/>
        <v>0</v>
      </c>
      <c r="AV77">
        <f t="shared" si="11"/>
        <v>0</v>
      </c>
      <c r="AW77">
        <f t="shared" si="18"/>
        <v>1</v>
      </c>
      <c r="AX77">
        <f t="shared" si="5"/>
        <v>1</v>
      </c>
      <c r="AY77">
        <f t="shared" si="19"/>
        <v>1</v>
      </c>
      <c r="AZ77" s="28">
        <f t="shared" si="12"/>
        <v>-1.6618200750098001E-3</v>
      </c>
      <c r="BA77" s="28">
        <f t="shared" si="13"/>
        <v>1.99920098573969E-3</v>
      </c>
      <c r="BB77" s="28">
        <f t="shared" si="20"/>
        <v>3.3738091072988991E-4</v>
      </c>
      <c r="BC77" s="29">
        <f t="shared" si="21"/>
        <v>2.8350489725074129E-3</v>
      </c>
      <c r="BE77" s="29">
        <f t="shared" si="22"/>
        <v>3.3738091072988991E-4</v>
      </c>
      <c r="BF77" s="29">
        <f t="shared" si="23"/>
        <v>5.8654294612391225E-3</v>
      </c>
      <c r="BH77" s="29"/>
    </row>
    <row r="78" spans="1:60" x14ac:dyDescent="0.25">
      <c r="A78" s="1">
        <v>46135</v>
      </c>
      <c r="B78" s="33">
        <v>48.09</v>
      </c>
      <c r="C78" s="33">
        <v>49.96</v>
      </c>
      <c r="D78" s="15">
        <v>-1.86974189715392E-3</v>
      </c>
      <c r="E78" s="15">
        <v>-2.1993410844764502E-3</v>
      </c>
      <c r="F78" s="33">
        <v>0</v>
      </c>
      <c r="G78" s="33">
        <v>0.32389999999999902</v>
      </c>
      <c r="H78" s="33">
        <v>0</v>
      </c>
      <c r="I78" s="33">
        <v>0.29772999999999999</v>
      </c>
      <c r="J78" s="33">
        <v>0.32389999999999902</v>
      </c>
      <c r="K78" s="33">
        <v>0.29772999999999999</v>
      </c>
      <c r="L78" s="33">
        <v>48.413899999999998</v>
      </c>
      <c r="M78" s="33">
        <v>50.257730000000002</v>
      </c>
      <c r="N78" s="34">
        <v>1.0388854231648901</v>
      </c>
      <c r="O78" s="34">
        <v>1.0403907452411401</v>
      </c>
      <c r="P78" s="34">
        <v>1.03890455366871</v>
      </c>
      <c r="Q78" s="34">
        <v>1.03961465879245</v>
      </c>
      <c r="R78" s="33">
        <v>50.0323909386465</v>
      </c>
      <c r="S78" s="33">
        <v>49.963762080256203</v>
      </c>
      <c r="T78" s="33">
        <v>49.998089012044701</v>
      </c>
      <c r="U78" s="15">
        <v>1.4479291996976501E-3</v>
      </c>
      <c r="V78" s="15">
        <v>7.5299011560919701E-5</v>
      </c>
      <c r="W78" s="15">
        <v>7.6209968127138004E-4</v>
      </c>
      <c r="X78" s="34">
        <v>1.0380847236021</v>
      </c>
      <c r="Y78" s="34">
        <v>1.0384904608674399</v>
      </c>
      <c r="Z78" s="34">
        <v>1.0381046121595101</v>
      </c>
      <c r="AA78" s="34">
        <v>1.0384982254845001</v>
      </c>
      <c r="AB78" s="33">
        <v>50.2773733233904</v>
      </c>
      <c r="AC78" s="33">
        <v>50.261538192914202</v>
      </c>
      <c r="AD78" s="33">
        <v>50.277026667971498</v>
      </c>
      <c r="AE78" s="15">
        <v>3.9077542054597998E-4</v>
      </c>
      <c r="AF78" s="15">
        <v>7.5770406699542697E-5</v>
      </c>
      <c r="AG78" s="15">
        <v>3.8388053739931002E-4</v>
      </c>
      <c r="AI78" s="12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3.0303804887317105E-3</v>
      </c>
      <c r="AT78" s="12"/>
      <c r="AU78">
        <f t="shared" si="10"/>
        <v>0</v>
      </c>
      <c r="AV78">
        <f t="shared" si="11"/>
        <v>0</v>
      </c>
      <c r="AW78">
        <f t="shared" si="18"/>
        <v>1</v>
      </c>
      <c r="AX78">
        <f t="shared" si="5"/>
        <v>1</v>
      </c>
      <c r="AY78">
        <f t="shared" si="19"/>
        <v>1</v>
      </c>
      <c r="AZ78" s="28">
        <f t="shared" si="12"/>
        <v>1.86974189715392E-3</v>
      </c>
      <c r="BA78" s="28">
        <f t="shared" si="13"/>
        <v>-2.1993410844764502E-3</v>
      </c>
      <c r="BB78" s="28">
        <f t="shared" si="20"/>
        <v>-3.2959918732253018E-4</v>
      </c>
      <c r="BC78" s="29">
        <f t="shared" si="21"/>
        <v>2.5054497851848827E-3</v>
      </c>
      <c r="BE78" s="29">
        <f t="shared" si="22"/>
        <v>-3.2959918732253018E-4</v>
      </c>
      <c r="BF78" s="29">
        <f t="shared" si="23"/>
        <v>5.5358302739165928E-3</v>
      </c>
      <c r="BH78" s="29"/>
    </row>
    <row r="79" spans="1:60" x14ac:dyDescent="0.25">
      <c r="A79" s="1">
        <v>46136</v>
      </c>
      <c r="B79" s="33">
        <v>48.17</v>
      </c>
      <c r="C79" s="33">
        <v>50.09</v>
      </c>
      <c r="D79" s="15">
        <v>1.6621653525581599E-3</v>
      </c>
      <c r="E79" s="15">
        <v>2.5987021121485002E-3</v>
      </c>
      <c r="F79" s="33">
        <v>0</v>
      </c>
      <c r="G79" s="33">
        <v>0.32389999999999902</v>
      </c>
      <c r="H79" s="33">
        <v>0</v>
      </c>
      <c r="I79" s="33">
        <v>0.29772999999999999</v>
      </c>
      <c r="J79" s="33">
        <v>0.32389999999999902</v>
      </c>
      <c r="K79" s="33">
        <v>0.29772999999999999</v>
      </c>
      <c r="L79" s="33">
        <v>48.493899999999996</v>
      </c>
      <c r="M79" s="33">
        <v>50.387729999999998</v>
      </c>
      <c r="N79" s="34">
        <v>1.03985883329873</v>
      </c>
      <c r="O79" s="34">
        <v>1.0403907452411401</v>
      </c>
      <c r="P79" s="34">
        <v>1.0388904369985801</v>
      </c>
      <c r="Q79" s="34">
        <v>1.03949197414822</v>
      </c>
      <c r="R79" s="33">
        <v>50.115622198265797</v>
      </c>
      <c r="S79" s="33">
        <v>50.044032350221798</v>
      </c>
      <c r="T79" s="33">
        <v>50.0782381140327</v>
      </c>
      <c r="U79" s="15">
        <v>5.1139244010738895E-4</v>
      </c>
      <c r="V79" s="15">
        <v>-9.1812247900640697E-4</v>
      </c>
      <c r="W79" s="15">
        <v>-2.3484262562265199E-4</v>
      </c>
      <c r="X79" s="34">
        <v>1.03905295305182</v>
      </c>
      <c r="Y79" s="34">
        <v>1.0384904608674399</v>
      </c>
      <c r="Z79" s="34">
        <v>1.0380908736118799</v>
      </c>
      <c r="AA79" s="34">
        <v>1.03845432240532</v>
      </c>
      <c r="AB79" s="33">
        <v>50.360452560259802</v>
      </c>
      <c r="AC79" s="33">
        <v>50.341741251602301</v>
      </c>
      <c r="AD79" s="33">
        <v>50.360829096822897</v>
      </c>
      <c r="AE79" s="15">
        <v>-5.4149741888144304E-4</v>
      </c>
      <c r="AF79" s="15">
        <v>-9.1311412681050396E-4</v>
      </c>
      <c r="AG79" s="15">
        <v>-5.34020616423316E-4</v>
      </c>
      <c r="AI79" s="12"/>
      <c r="AJ79">
        <f t="shared" si="6"/>
        <v>0</v>
      </c>
      <c r="AK79">
        <f t="shared" si="7"/>
        <v>1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3.0303804887317105E-3</v>
      </c>
      <c r="AT79" s="12"/>
      <c r="AU79">
        <f t="shared" si="10"/>
        <v>0</v>
      </c>
      <c r="AV79">
        <f t="shared" si="11"/>
        <v>1</v>
      </c>
      <c r="AW79">
        <f t="shared" si="18"/>
        <v>1</v>
      </c>
      <c r="AX79">
        <f t="shared" si="5"/>
        <v>1</v>
      </c>
      <c r="AY79">
        <f t="shared" si="19"/>
        <v>1</v>
      </c>
      <c r="AZ79" s="28">
        <f t="shared" si="12"/>
        <v>-1.6621653525581599E-3</v>
      </c>
      <c r="BA79" s="28">
        <f t="shared" si="13"/>
        <v>2.5987021121485002E-3</v>
      </c>
      <c r="BB79" s="28">
        <f t="shared" si="20"/>
        <v>9.3653675959034025E-4</v>
      </c>
      <c r="BC79" s="29">
        <f t="shared" si="21"/>
        <v>3.4419865447752229E-3</v>
      </c>
      <c r="BE79" s="29">
        <f t="shared" si="22"/>
        <v>9.3653675959034025E-4</v>
      </c>
      <c r="BF79" s="29">
        <f t="shared" si="23"/>
        <v>6.472367033506933E-3</v>
      </c>
      <c r="BH79" s="29"/>
    </row>
    <row r="80" spans="1:60" x14ac:dyDescent="0.25">
      <c r="A80" s="1">
        <v>46139</v>
      </c>
      <c r="B80" s="33">
        <v>48.05</v>
      </c>
      <c r="C80" s="33">
        <v>49.93</v>
      </c>
      <c r="D80" s="15">
        <v>-2.49428522582804E-3</v>
      </c>
      <c r="E80" s="15">
        <v>-3.1993628570075299E-3</v>
      </c>
      <c r="F80" s="33">
        <v>0</v>
      </c>
      <c r="G80" s="33">
        <v>0.32389999999999902</v>
      </c>
      <c r="H80" s="33">
        <v>0</v>
      </c>
      <c r="I80" s="33">
        <v>0.29772999999999999</v>
      </c>
      <c r="J80" s="33">
        <v>0.32389999999999902</v>
      </c>
      <c r="K80" s="33">
        <v>0.29772999999999999</v>
      </c>
      <c r="L80" s="33">
        <v>48.373899999999999</v>
      </c>
      <c r="M80" s="33">
        <v>50.227730000000001</v>
      </c>
      <c r="N80" s="34">
        <v>1.03912591050988</v>
      </c>
      <c r="O80" s="34">
        <v>1.0403907452411401</v>
      </c>
      <c r="P80" s="34">
        <v>1.0389104385408301</v>
      </c>
      <c r="Q80" s="34">
        <v>1.03932909216637</v>
      </c>
      <c r="R80" s="33">
        <v>49.990775308836803</v>
      </c>
      <c r="S80" s="33">
        <v>49.918685497782</v>
      </c>
      <c r="T80" s="33">
        <v>49.947589357821897</v>
      </c>
      <c r="U80" s="15">
        <v>1.2164700712868201E-3</v>
      </c>
      <c r="V80" s="15">
        <v>-2.2663297388337501E-4</v>
      </c>
      <c r="W80" s="15">
        <v>3.5221831277506502E-4</v>
      </c>
      <c r="X80" s="34">
        <v>1.0383229386094499</v>
      </c>
      <c r="Y80" s="34">
        <v>1.0384904608674399</v>
      </c>
      <c r="Z80" s="34">
        <v>1.0381107578036299</v>
      </c>
      <c r="AA80" s="34">
        <v>1.03837058213612</v>
      </c>
      <c r="AB80" s="33">
        <v>50.235833704955702</v>
      </c>
      <c r="AC80" s="33">
        <v>50.216504111013897</v>
      </c>
      <c r="AD80" s="33">
        <v>50.234085546602898</v>
      </c>
      <c r="AE80" s="15">
        <v>1.6132624952676499E-4</v>
      </c>
      <c r="AF80" s="15">
        <v>-2.2352480721536401E-4</v>
      </c>
      <c r="AG80" s="15">
        <v>1.2652661266044301E-4</v>
      </c>
      <c r="AI80" s="12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3.0303804887317105E-3</v>
      </c>
      <c r="AT80" s="12"/>
      <c r="AU80">
        <f t="shared" si="10"/>
        <v>0</v>
      </c>
      <c r="AV80">
        <f t="shared" si="11"/>
        <v>0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3.4419865447752229E-3</v>
      </c>
      <c r="BE80" s="29">
        <f t="shared" si="22"/>
        <v>0</v>
      </c>
      <c r="BF80" s="29">
        <f t="shared" si="23"/>
        <v>6.472367033506933E-3</v>
      </c>
      <c r="BH80" s="29"/>
    </row>
    <row r="81" spans="1:60" x14ac:dyDescent="0.25">
      <c r="A81" s="1">
        <v>46140</v>
      </c>
      <c r="B81" s="33">
        <v>48</v>
      </c>
      <c r="C81" s="33">
        <v>49.87</v>
      </c>
      <c r="D81" s="15">
        <v>-1.0411245084104999E-3</v>
      </c>
      <c r="E81" s="15">
        <v>-1.2024049544868099E-3</v>
      </c>
      <c r="F81" s="33">
        <v>0</v>
      </c>
      <c r="G81" s="33">
        <v>0.32389999999999902</v>
      </c>
      <c r="H81" s="33">
        <v>0</v>
      </c>
      <c r="I81" s="33">
        <v>0.29772999999999999</v>
      </c>
      <c r="J81" s="33">
        <v>0.32389999999999902</v>
      </c>
      <c r="K81" s="33">
        <v>0.29772999999999999</v>
      </c>
      <c r="L81" s="33">
        <v>48.323900000000002</v>
      </c>
      <c r="M81" s="33">
        <v>50.167729999999999</v>
      </c>
      <c r="N81" s="34">
        <v>1.0389583333333301</v>
      </c>
      <c r="O81" s="34">
        <v>1.0403907452411401</v>
      </c>
      <c r="P81" s="34">
        <v>1.0390111661089201</v>
      </c>
      <c r="Q81" s="34">
        <v>1.0391635959851599</v>
      </c>
      <c r="R81" s="33">
        <v>49.938755771574797</v>
      </c>
      <c r="S81" s="33">
        <v>49.867701049959898</v>
      </c>
      <c r="T81" s="33">
        <v>49.887796423985698</v>
      </c>
      <c r="U81" s="15">
        <v>1.37775051736323E-3</v>
      </c>
      <c r="V81" s="15">
        <v>-4.6099920416469698E-5</v>
      </c>
      <c r="W81" s="15">
        <v>3.5679264804428402E-4</v>
      </c>
      <c r="X81" s="34">
        <v>1.0381556538276</v>
      </c>
      <c r="Y81" s="34">
        <v>1.0384904608674399</v>
      </c>
      <c r="Z81" s="34">
        <v>1.03821044951328</v>
      </c>
      <c r="AA81" s="34">
        <v>1.0382838937407599</v>
      </c>
      <c r="AB81" s="33">
        <v>50.183909181912298</v>
      </c>
      <c r="AC81" s="33">
        <v>50.165560449026998</v>
      </c>
      <c r="AD81" s="33">
        <v>50.178116174087997</v>
      </c>
      <c r="AE81" s="15">
        <v>3.2244978127821399E-4</v>
      </c>
      <c r="AF81" s="15">
        <v>-4.32468817385617E-5</v>
      </c>
      <c r="AG81" s="15">
        <v>2.0700755479486499E-4</v>
      </c>
      <c r="AI81" s="12"/>
      <c r="AJ81">
        <f t="shared" si="6"/>
        <v>0</v>
      </c>
      <c r="AK81">
        <f t="shared" si="7"/>
        <v>1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3.0303804887317105E-3</v>
      </c>
      <c r="AT81" s="12"/>
      <c r="AU81">
        <f t="shared" si="10"/>
        <v>0</v>
      </c>
      <c r="AV81">
        <f t="shared" si="11"/>
        <v>0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3.4419865447752229E-3</v>
      </c>
      <c r="BE81" s="29">
        <f t="shared" si="22"/>
        <v>0</v>
      </c>
      <c r="BF81" s="29">
        <f t="shared" si="23"/>
        <v>6.472367033506933E-3</v>
      </c>
      <c r="BH81" s="29"/>
    </row>
    <row r="82" spans="1:60" x14ac:dyDescent="0.25">
      <c r="A82" s="1">
        <v>46141</v>
      </c>
      <c r="B82" s="33">
        <v>47.86</v>
      </c>
      <c r="C82" s="33">
        <v>49.79</v>
      </c>
      <c r="D82" s="15">
        <v>-2.9209284276636698E-3</v>
      </c>
      <c r="E82" s="15">
        <v>-1.60545890393975E-3</v>
      </c>
      <c r="F82" s="33">
        <v>0</v>
      </c>
      <c r="G82" s="33">
        <v>0.32389999999999902</v>
      </c>
      <c r="H82" s="33">
        <v>0</v>
      </c>
      <c r="I82" s="33">
        <v>0.29772999999999999</v>
      </c>
      <c r="J82" s="33">
        <v>0.32389999999999902</v>
      </c>
      <c r="K82" s="33">
        <v>0.29772999999999999</v>
      </c>
      <c r="L82" s="33">
        <v>48.183900000000001</v>
      </c>
      <c r="M82" s="33">
        <v>50.087730000000001</v>
      </c>
      <c r="N82" s="34">
        <v>1.0403259506895099</v>
      </c>
      <c r="O82" s="34">
        <v>1.0403907452411401</v>
      </c>
      <c r="P82" s="34">
        <v>1.03921998727928</v>
      </c>
      <c r="Q82" s="34">
        <v>1.03910913389424</v>
      </c>
      <c r="R82" s="33">
        <v>49.793101067240997</v>
      </c>
      <c r="S82" s="33">
        <v>49.727074409973</v>
      </c>
      <c r="T82" s="33">
        <v>49.734369703849801</v>
      </c>
      <c r="U82" s="15">
        <v>6.2280993639129506E-5</v>
      </c>
      <c r="V82" s="15">
        <v>-1.2646191376954701E-3</v>
      </c>
      <c r="W82" s="15">
        <v>-1.1179232204011401E-3</v>
      </c>
      <c r="X82" s="34">
        <v>1.0395117456245699</v>
      </c>
      <c r="Y82" s="34">
        <v>1.0384904608674399</v>
      </c>
      <c r="Z82" s="34">
        <v>1.0384174375011701</v>
      </c>
      <c r="AA82" s="34">
        <v>1.0383068348516999</v>
      </c>
      <c r="AB82" s="33">
        <v>50.0385205173909</v>
      </c>
      <c r="AC82" s="33">
        <v>50.025028478303298</v>
      </c>
      <c r="AD82" s="33">
        <v>50.028567307615702</v>
      </c>
      <c r="AE82" s="15">
        <v>-9.8294875353715692E-4</v>
      </c>
      <c r="AF82" s="15">
        <v>-1.2526181647220501E-3</v>
      </c>
      <c r="AG82" s="15">
        <v>-1.18187949139193E-3</v>
      </c>
      <c r="AI82" s="12"/>
      <c r="AJ82">
        <f t="shared" si="6"/>
        <v>0</v>
      </c>
      <c r="AK82">
        <f t="shared" si="7"/>
        <v>0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3.0303804887317105E-3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3.4419865447752229E-3</v>
      </c>
      <c r="BE82" s="29">
        <f t="shared" si="22"/>
        <v>0</v>
      </c>
      <c r="BF82" s="29">
        <f t="shared" si="23"/>
        <v>6.472367033506933E-3</v>
      </c>
      <c r="BH82" s="29"/>
    </row>
    <row r="83" spans="1:60" x14ac:dyDescent="0.25">
      <c r="A83" s="1">
        <v>46142</v>
      </c>
      <c r="B83" s="33">
        <v>48.05</v>
      </c>
      <c r="C83" s="33">
        <v>49.91</v>
      </c>
      <c r="D83" s="15">
        <v>3.9620529360741797E-3</v>
      </c>
      <c r="E83" s="15">
        <v>2.4072228274265401E-3</v>
      </c>
      <c r="F83" s="33">
        <v>0</v>
      </c>
      <c r="G83" s="33">
        <v>0.32389999999999902</v>
      </c>
      <c r="H83" s="33">
        <v>0</v>
      </c>
      <c r="I83" s="33">
        <v>0.29772999999999999</v>
      </c>
      <c r="J83" s="33">
        <v>0.32389999999999902</v>
      </c>
      <c r="K83" s="33">
        <v>0.29772999999999999</v>
      </c>
      <c r="L83" s="33">
        <v>48.373899999999999</v>
      </c>
      <c r="M83" s="33">
        <v>50.207729999999998</v>
      </c>
      <c r="N83" s="34">
        <v>1.0387096774193501</v>
      </c>
      <c r="O83" s="34">
        <v>1.0403907452411401</v>
      </c>
      <c r="P83" s="34">
        <v>1.03918161836079</v>
      </c>
      <c r="Q83" s="34">
        <v>1.03911793582395</v>
      </c>
      <c r="R83" s="33">
        <v>49.990775308836803</v>
      </c>
      <c r="S83" s="33">
        <v>49.934520388769698</v>
      </c>
      <c r="T83" s="33">
        <v>49.929193883618503</v>
      </c>
      <c r="U83" s="15">
        <v>1.61711110228696E-3</v>
      </c>
      <c r="V83" s="15">
        <v>4.9117145672553E-4</v>
      </c>
      <c r="W83" s="15">
        <v>3.8449597013723497E-4</v>
      </c>
      <c r="X83" s="34">
        <v>1.0379094925155901</v>
      </c>
      <c r="Y83" s="34">
        <v>1.0384904608674399</v>
      </c>
      <c r="Z83" s="34">
        <v>1.0383792591674701</v>
      </c>
      <c r="AA83" s="34">
        <v>1.0383156109077301</v>
      </c>
      <c r="AB83" s="33">
        <v>50.235833704955702</v>
      </c>
      <c r="AC83" s="33">
        <v>50.2323012799379</v>
      </c>
      <c r="AD83" s="33">
        <v>50.226950998432699</v>
      </c>
      <c r="AE83" s="15">
        <v>5.5959196692113703E-4</v>
      </c>
      <c r="AF83" s="15">
        <v>4.8927265583227999E-4</v>
      </c>
      <c r="AG83" s="15">
        <v>3.8275620485432002E-4</v>
      </c>
      <c r="AI83" s="12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0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3.0303804887317105E-3</v>
      </c>
      <c r="AT83" s="12"/>
      <c r="AU83">
        <f t="shared" si="10"/>
        <v>0</v>
      </c>
      <c r="AV83">
        <f t="shared" si="11"/>
        <v>0</v>
      </c>
      <c r="AW83">
        <f t="shared" si="18"/>
        <v>0</v>
      </c>
      <c r="AX83">
        <f t="shared" si="5"/>
        <v>0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3.4419865447752229E-3</v>
      </c>
      <c r="BE83" s="29">
        <f t="shared" si="22"/>
        <v>0</v>
      </c>
      <c r="BF83" s="29">
        <f t="shared" si="23"/>
        <v>6.472367033506933E-3</v>
      </c>
      <c r="BH83" s="29"/>
    </row>
    <row r="84" spans="1:60" x14ac:dyDescent="0.25">
      <c r="A84" s="1">
        <v>46143</v>
      </c>
      <c r="B84" s="33">
        <v>47.97</v>
      </c>
      <c r="C84" s="33">
        <v>49.94</v>
      </c>
      <c r="D84" s="15">
        <v>-1.6663199023288801E-3</v>
      </c>
      <c r="E84" s="15">
        <v>6.0090137010929796E-4</v>
      </c>
      <c r="F84" s="33">
        <v>0.11260000000000001</v>
      </c>
      <c r="G84" s="33">
        <v>0.4365</v>
      </c>
      <c r="H84" s="33">
        <v>0</v>
      </c>
      <c r="I84" s="33">
        <v>0.29772999999999999</v>
      </c>
      <c r="J84" s="33">
        <v>0.4365</v>
      </c>
      <c r="K84" s="33">
        <v>0.29772999999999999</v>
      </c>
      <c r="L84" s="33">
        <v>48.406500000000001</v>
      </c>
      <c r="M84" s="33">
        <v>50.237729999999999</v>
      </c>
      <c r="N84" s="34">
        <v>1.0410673337502601</v>
      </c>
      <c r="O84" s="34">
        <v>1.0403907452411401</v>
      </c>
      <c r="P84" s="34">
        <v>1.0393984282928199</v>
      </c>
      <c r="Q84" s="34">
        <v>1.03922176122706</v>
      </c>
      <c r="R84" s="33">
        <v>49.907544049217499</v>
      </c>
      <c r="S84" s="33">
        <v>49.849542232767298</v>
      </c>
      <c r="T84" s="33">
        <v>49.846487381474901</v>
      </c>
      <c r="U84" s="15">
        <v>-6.50110170151319E-4</v>
      </c>
      <c r="V84" s="15">
        <v>-1.8129713792768799E-3</v>
      </c>
      <c r="W84" s="15">
        <v>-1.87425468825285E-3</v>
      </c>
      <c r="X84" s="34">
        <v>1.0378302500697201</v>
      </c>
      <c r="Y84" s="34">
        <v>1.0384904608674399</v>
      </c>
      <c r="Z84" s="34">
        <v>1.0383520449130399</v>
      </c>
      <c r="AA84" s="34">
        <v>1.03829776024876</v>
      </c>
      <c r="AB84" s="33">
        <v>50.269688493979999</v>
      </c>
      <c r="AC84" s="33">
        <v>50.264305608890197</v>
      </c>
      <c r="AD84" s="33">
        <v>50.261224619405503</v>
      </c>
      <c r="AE84" s="15">
        <v>6.3594300870441797E-4</v>
      </c>
      <c r="AF84" s="15">
        <v>5.2885713903417402E-4</v>
      </c>
      <c r="AG84" s="15">
        <v>4.67559487011662E-4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3.0303804887317105E-3</v>
      </c>
      <c r="AT84" s="12"/>
      <c r="AU84">
        <f t="shared" si="10"/>
        <v>0</v>
      </c>
      <c r="AV84">
        <f t="shared" si="11"/>
        <v>0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3.4419865447752229E-3</v>
      </c>
      <c r="BE84" s="29">
        <f t="shared" si="22"/>
        <v>0</v>
      </c>
      <c r="BF84" s="29">
        <f t="shared" si="23"/>
        <v>6.472367033506933E-3</v>
      </c>
      <c r="BH84" s="29"/>
    </row>
    <row r="85" spans="1:60" x14ac:dyDescent="0.25">
      <c r="A85" s="1">
        <v>46146</v>
      </c>
      <c r="B85" s="33">
        <v>47.84</v>
      </c>
      <c r="C85" s="33">
        <v>49.84</v>
      </c>
      <c r="D85" s="15">
        <v>-2.7137058715961601E-3</v>
      </c>
      <c r="E85" s="15">
        <v>-2.00441037242929E-3</v>
      </c>
      <c r="F85" s="33">
        <v>0</v>
      </c>
      <c r="G85" s="33">
        <v>0.4365</v>
      </c>
      <c r="H85" s="33">
        <v>0</v>
      </c>
      <c r="I85" s="33">
        <v>0.29772999999999999</v>
      </c>
      <c r="J85" s="33">
        <v>0.4365</v>
      </c>
      <c r="K85" s="33">
        <v>0.29772999999999999</v>
      </c>
      <c r="L85" s="33">
        <v>48.276499999999999</v>
      </c>
      <c r="M85" s="33">
        <v>50.137729999999998</v>
      </c>
      <c r="N85" s="34">
        <v>1.0418060200668799</v>
      </c>
      <c r="O85" s="34">
        <v>1.0403907452411401</v>
      </c>
      <c r="P85" s="34">
        <v>1.0396842716502399</v>
      </c>
      <c r="Q85" s="34">
        <v>1.03931749247267</v>
      </c>
      <c r="R85" s="33">
        <v>49.772293252336198</v>
      </c>
      <c r="S85" s="33">
        <v>49.724820809528701</v>
      </c>
      <c r="T85" s="33">
        <v>49.716369057102597</v>
      </c>
      <c r="U85" s="15">
        <v>-1.3594056693180801E-3</v>
      </c>
      <c r="V85" s="15">
        <v>-2.3136533750424599E-3</v>
      </c>
      <c r="W85" s="15">
        <v>-2.4836383170523898E-3</v>
      </c>
      <c r="X85" s="34">
        <v>1.0385535405424999</v>
      </c>
      <c r="Y85" s="34">
        <v>1.0384904608674399</v>
      </c>
      <c r="Z85" s="34">
        <v>1.0383924551163199</v>
      </c>
      <c r="AA85" s="34">
        <v>1.0382714148834999</v>
      </c>
      <c r="AB85" s="33">
        <v>50.1346847340672</v>
      </c>
      <c r="AC85" s="33">
        <v>50.128002496244697</v>
      </c>
      <c r="AD85" s="33">
        <v>50.125381822649402</v>
      </c>
      <c r="AE85" s="15">
        <v>-6.0739854360991597E-5</v>
      </c>
      <c r="AF85" s="15">
        <v>-1.9403446309245901E-4</v>
      </c>
      <c r="AG85" s="15">
        <v>-2.4631546315494201E-4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3.0303804887317105E-3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3.4419865447752229E-3</v>
      </c>
      <c r="BE85" s="29">
        <f t="shared" si="22"/>
        <v>0</v>
      </c>
      <c r="BF85" s="29">
        <f t="shared" si="23"/>
        <v>6.472367033506933E-3</v>
      </c>
      <c r="BH85" s="29"/>
    </row>
    <row r="86" spans="1:60" x14ac:dyDescent="0.25">
      <c r="A86" s="1">
        <v>46147</v>
      </c>
      <c r="B86" s="33">
        <v>47.89</v>
      </c>
      <c r="C86" s="33">
        <v>49.87</v>
      </c>
      <c r="D86" s="15">
        <v>1.0446047121416501E-3</v>
      </c>
      <c r="E86" s="15">
        <v>6.0174507883334403E-4</v>
      </c>
      <c r="F86" s="33">
        <v>0</v>
      </c>
      <c r="G86" s="33">
        <v>0.4365</v>
      </c>
      <c r="H86" s="33">
        <v>0</v>
      </c>
      <c r="I86" s="33">
        <v>0.29772999999999999</v>
      </c>
      <c r="J86" s="33">
        <v>0.4365</v>
      </c>
      <c r="K86" s="33">
        <v>0.29772999999999999</v>
      </c>
      <c r="L86" s="33">
        <v>48.326500000000003</v>
      </c>
      <c r="M86" s="33">
        <v>50.167729999999999</v>
      </c>
      <c r="N86" s="34">
        <v>1.0413447483817</v>
      </c>
      <c r="O86" s="34">
        <v>1.0403907452411401</v>
      </c>
      <c r="P86" s="34">
        <v>1.03993101260068</v>
      </c>
      <c r="Q86" s="34">
        <v>1.0394018453165099</v>
      </c>
      <c r="R86" s="33">
        <v>49.824312789598302</v>
      </c>
      <c r="S86" s="33">
        <v>49.790479769330403</v>
      </c>
      <c r="T86" s="33">
        <v>49.772914714516503</v>
      </c>
      <c r="U86" s="15">
        <v>-9.1654603600982497E-4</v>
      </c>
      <c r="V86" s="15">
        <v>-1.59582309315566E-3</v>
      </c>
      <c r="W86" s="15">
        <v>-1.9486647190796499E-3</v>
      </c>
      <c r="X86" s="34">
        <v>1.03809980031659</v>
      </c>
      <c r="Y86" s="34">
        <v>1.0384904608674399</v>
      </c>
      <c r="Z86" s="34">
        <v>1.0383947492738499</v>
      </c>
      <c r="AA86" s="34">
        <v>1.03823396400196</v>
      </c>
      <c r="AB86" s="33">
        <v>50.186609257110597</v>
      </c>
      <c r="AC86" s="33">
        <v>50.181872982178803</v>
      </c>
      <c r="AD86" s="33">
        <v>50.176023531367903</v>
      </c>
      <c r="AE86" s="15">
        <v>3.7625193834367498E-4</v>
      </c>
      <c r="AF86" s="15">
        <v>2.81874204824796E-4</v>
      </c>
      <c r="AG86" s="15">
        <v>1.65302394916373E-4</v>
      </c>
      <c r="AI86" s="12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3.0303804887317105E-3</v>
      </c>
      <c r="AT86" s="12"/>
      <c r="AU86">
        <f t="shared" ref="AU86:AU149" si="30">IF($AG86&gt;AT$21,1,0)</f>
        <v>0</v>
      </c>
      <c r="AV86">
        <f t="shared" ref="AV86:AV149" si="31">IF($AG86&lt;AT$22,1,0)</f>
        <v>0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3.4419865447752229E-3</v>
      </c>
      <c r="BE86" s="29">
        <f t="shared" si="22"/>
        <v>0</v>
      </c>
      <c r="BF86" s="29">
        <f t="shared" si="23"/>
        <v>6.472367033506933E-3</v>
      </c>
      <c r="BH86" s="29"/>
    </row>
    <row r="87" spans="1:60" x14ac:dyDescent="0.25">
      <c r="A87" s="1">
        <v>46148</v>
      </c>
      <c r="B87" s="33">
        <v>48.16</v>
      </c>
      <c r="C87" s="33">
        <v>50.12</v>
      </c>
      <c r="D87" s="15">
        <v>5.6220866460475298E-3</v>
      </c>
      <c r="E87" s="15">
        <v>5.0005104698364299E-3</v>
      </c>
      <c r="F87" s="33">
        <v>0</v>
      </c>
      <c r="G87" s="33">
        <v>0.4365</v>
      </c>
      <c r="H87" s="33">
        <v>0</v>
      </c>
      <c r="I87" s="33">
        <v>0.29772999999999999</v>
      </c>
      <c r="J87" s="33">
        <v>0.4365</v>
      </c>
      <c r="K87" s="33">
        <v>0.29772999999999999</v>
      </c>
      <c r="L87" s="33">
        <v>48.596499999999999</v>
      </c>
      <c r="M87" s="33">
        <v>50.417729999999999</v>
      </c>
      <c r="N87" s="34">
        <v>1.0406976744186001</v>
      </c>
      <c r="O87" s="34">
        <v>1.0403907452411401</v>
      </c>
      <c r="P87" s="34">
        <v>1.04007799050331</v>
      </c>
      <c r="Q87" s="34">
        <v>1.03952082182949</v>
      </c>
      <c r="R87" s="33">
        <v>50.105218290813397</v>
      </c>
      <c r="S87" s="33">
        <v>50.083077566848999</v>
      </c>
      <c r="T87" s="33">
        <v>50.0575928704435</v>
      </c>
      <c r="U87" s="15">
        <v>-2.9496985979856602E-4</v>
      </c>
      <c r="V87" s="15">
        <v>-7.36952112022564E-4</v>
      </c>
      <c r="W87" s="15">
        <v>-1.24593006961716E-3</v>
      </c>
      <c r="X87" s="34">
        <v>1.0374765672424899</v>
      </c>
      <c r="Y87" s="34">
        <v>1.0384904608674399</v>
      </c>
      <c r="Z87" s="34">
        <v>1.03829976654024</v>
      </c>
      <c r="AA87" s="34">
        <v>1.0382315746120101</v>
      </c>
      <c r="AB87" s="33">
        <v>50.467001681544801</v>
      </c>
      <c r="AC87" s="33">
        <v>50.462350433086897</v>
      </c>
      <c r="AD87" s="33">
        <v>50.454536831621297</v>
      </c>
      <c r="AE87" s="15">
        <v>9.7679172340904693E-4</v>
      </c>
      <c r="AF87" s="15">
        <v>8.8462332316243005E-4</v>
      </c>
      <c r="AG87" s="15">
        <v>7.2977111372560504E-4</v>
      </c>
      <c r="AI87" s="12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3.0303804887317105E-3</v>
      </c>
      <c r="AT87" s="12"/>
      <c r="AU87">
        <f t="shared" si="30"/>
        <v>0</v>
      </c>
      <c r="AV87">
        <f t="shared" si="31"/>
        <v>0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3.4419865447752229E-3</v>
      </c>
      <c r="BE87" s="29">
        <f t="shared" ref="BE87:BE150" si="42">AQ87+BB87</f>
        <v>0</v>
      </c>
      <c r="BF87" s="29">
        <f t="shared" ref="BF87:BF150" si="43">BF86+BE87</f>
        <v>6.472367033506933E-3</v>
      </c>
      <c r="BH87" s="29"/>
    </row>
    <row r="88" spans="1:60" x14ac:dyDescent="0.25">
      <c r="A88" s="1">
        <v>46149</v>
      </c>
      <c r="B88" s="33">
        <v>48.08</v>
      </c>
      <c r="C88" s="33">
        <v>50.04</v>
      </c>
      <c r="D88" s="15">
        <v>-1.66251077361341E-3</v>
      </c>
      <c r="E88" s="15">
        <v>-1.59744442915717E-3</v>
      </c>
      <c r="F88" s="33">
        <v>0</v>
      </c>
      <c r="G88" s="33">
        <v>0.4365</v>
      </c>
      <c r="H88" s="33">
        <v>0</v>
      </c>
      <c r="I88" s="33">
        <v>0.29772999999999999</v>
      </c>
      <c r="J88" s="33">
        <v>0.4365</v>
      </c>
      <c r="K88" s="33">
        <v>0.29772999999999999</v>
      </c>
      <c r="L88" s="33">
        <v>48.516500000000001</v>
      </c>
      <c r="M88" s="33">
        <v>50.337730000000001</v>
      </c>
      <c r="N88" s="34">
        <v>1.0407653910149699</v>
      </c>
      <c r="O88" s="34">
        <v>1.0403907452411401</v>
      </c>
      <c r="P88" s="34">
        <v>1.04026598728832</v>
      </c>
      <c r="Q88" s="34">
        <v>1.03958527047851</v>
      </c>
      <c r="R88" s="33">
        <v>50.021987031194101</v>
      </c>
      <c r="S88" s="33">
        <v>50.006949783399499</v>
      </c>
      <c r="T88" s="33">
        <v>49.980161113562097</v>
      </c>
      <c r="U88" s="15">
        <v>-3.6003620425488898E-4</v>
      </c>
      <c r="V88" s="15">
        <v>-6.6069416157645705E-4</v>
      </c>
      <c r="W88" s="15">
        <v>-1.19653663643295E-3</v>
      </c>
      <c r="X88" s="34">
        <v>1.0375383632372399</v>
      </c>
      <c r="Y88" s="34">
        <v>1.0384904608674399</v>
      </c>
      <c r="Z88" s="34">
        <v>1.0382451305037601</v>
      </c>
      <c r="AA88" s="34">
        <v>1.0381748713316299</v>
      </c>
      <c r="AB88" s="33">
        <v>50.383922444675399</v>
      </c>
      <c r="AC88" s="33">
        <v>50.3746706233499</v>
      </c>
      <c r="AD88" s="33">
        <v>50.371362189663699</v>
      </c>
      <c r="AE88" s="15">
        <v>9.1722974738376597E-4</v>
      </c>
      <c r="AF88" s="15">
        <v>7.33586425860899E-4</v>
      </c>
      <c r="AG88" s="15">
        <v>6.6790773668588799E-4</v>
      </c>
      <c r="AI88" s="12"/>
      <c r="AJ88">
        <f t="shared" si="26"/>
        <v>0</v>
      </c>
      <c r="AK88">
        <f t="shared" si="27"/>
        <v>1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3.0303804887317105E-3</v>
      </c>
      <c r="AT88" s="12"/>
      <c r="AU88">
        <f t="shared" si="30"/>
        <v>0</v>
      </c>
      <c r="AV88">
        <f t="shared" si="31"/>
        <v>0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3.4419865447752229E-3</v>
      </c>
      <c r="BE88" s="29">
        <f t="shared" si="42"/>
        <v>0</v>
      </c>
      <c r="BF88" s="29">
        <f t="shared" si="43"/>
        <v>6.472367033506933E-3</v>
      </c>
      <c r="BH88" s="29"/>
    </row>
    <row r="89" spans="1:60" x14ac:dyDescent="0.25">
      <c r="A89" s="1">
        <v>46150</v>
      </c>
      <c r="B89" s="33">
        <v>48.14</v>
      </c>
      <c r="C89" s="33">
        <v>50.16</v>
      </c>
      <c r="D89" s="15">
        <v>1.24714212797375E-3</v>
      </c>
      <c r="E89" s="15">
        <v>2.3952107259548501E-3</v>
      </c>
      <c r="F89" s="33">
        <v>0</v>
      </c>
      <c r="G89" s="33">
        <v>0.4365</v>
      </c>
      <c r="H89" s="33">
        <v>0</v>
      </c>
      <c r="I89" s="33">
        <v>0.29772999999999999</v>
      </c>
      <c r="J89" s="33">
        <v>0.4365</v>
      </c>
      <c r="K89" s="33">
        <v>0.29772999999999999</v>
      </c>
      <c r="L89" s="33">
        <v>48.576500000000003</v>
      </c>
      <c r="M89" s="33">
        <v>50.457729999999998</v>
      </c>
      <c r="N89" s="34">
        <v>1.04196094723722</v>
      </c>
      <c r="O89" s="34">
        <v>1.0403907452411401</v>
      </c>
      <c r="P89" s="34">
        <v>1.04047619868217</v>
      </c>
      <c r="Q89" s="34">
        <v>1.0396833178403799</v>
      </c>
      <c r="R89" s="33">
        <v>50.084410475908498</v>
      </c>
      <c r="S89" s="33">
        <v>50.0784046280599</v>
      </c>
      <c r="T89" s="33">
        <v>50.045634920835901</v>
      </c>
      <c r="U89" s="15">
        <v>-1.5081048022359601E-3</v>
      </c>
      <c r="V89" s="15">
        <v>-1.6280265087007899E-3</v>
      </c>
      <c r="W89" s="15">
        <v>-2.28260873574239E-3</v>
      </c>
      <c r="X89" s="34">
        <v>1.0387271623109899</v>
      </c>
      <c r="Y89" s="34">
        <v>1.0384904608674399</v>
      </c>
      <c r="Z89" s="34">
        <v>1.0382125514296701</v>
      </c>
      <c r="AA89" s="34">
        <v>1.03815171252078</v>
      </c>
      <c r="AB89" s="33">
        <v>50.446231872327402</v>
      </c>
      <c r="AC89" s="33">
        <v>50.434314581915999</v>
      </c>
      <c r="AD89" s="33">
        <v>50.430901637241298</v>
      </c>
      <c r="AE89" s="15">
        <v>-2.2790240361081701E-4</v>
      </c>
      <c r="AF89" s="15">
        <v>-4.64167786497143E-4</v>
      </c>
      <c r="AG89" s="15">
        <v>-5.3184115902096298E-4</v>
      </c>
      <c r="AI89" s="12"/>
      <c r="AJ89">
        <f t="shared" si="26"/>
        <v>0</v>
      </c>
      <c r="AK89">
        <f t="shared" si="27"/>
        <v>1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3.0303804887317105E-3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3.4419865447752229E-3</v>
      </c>
      <c r="BE89" s="29">
        <f t="shared" si="42"/>
        <v>0</v>
      </c>
      <c r="BF89" s="29">
        <f t="shared" si="43"/>
        <v>6.472367033506933E-3</v>
      </c>
      <c r="BH89" s="29"/>
    </row>
    <row r="90" spans="1:60" x14ac:dyDescent="0.25">
      <c r="A90" s="1">
        <v>46153</v>
      </c>
      <c r="B90" s="33">
        <v>47.98</v>
      </c>
      <c r="C90" s="33">
        <v>50</v>
      </c>
      <c r="D90" s="15">
        <v>-3.3291749433774702E-3</v>
      </c>
      <c r="E90" s="15">
        <v>-3.1948908965191698E-3</v>
      </c>
      <c r="F90" s="33">
        <v>0</v>
      </c>
      <c r="G90" s="33">
        <v>0.4365</v>
      </c>
      <c r="H90" s="33">
        <v>0</v>
      </c>
      <c r="I90" s="33">
        <v>0.29772999999999999</v>
      </c>
      <c r="J90" s="33">
        <v>0.4365</v>
      </c>
      <c r="K90" s="33">
        <v>0.29772999999999999</v>
      </c>
      <c r="L90" s="33">
        <v>48.416499999999999</v>
      </c>
      <c r="M90" s="33">
        <v>50.297730000000001</v>
      </c>
      <c r="N90" s="34">
        <v>1.0421008753647301</v>
      </c>
      <c r="O90" s="34">
        <v>1.0403907452411401</v>
      </c>
      <c r="P90" s="34">
        <v>1.0407736951676501</v>
      </c>
      <c r="Q90" s="34">
        <v>1.0398420668542401</v>
      </c>
      <c r="R90" s="33">
        <v>49.917947956669998</v>
      </c>
      <c r="S90" s="33">
        <v>49.922048012770702</v>
      </c>
      <c r="T90" s="33">
        <v>49.884005589981399</v>
      </c>
      <c r="U90" s="15">
        <v>-1.6423888490942301E-3</v>
      </c>
      <c r="V90" s="15">
        <v>-1.56025631166323E-3</v>
      </c>
      <c r="W90" s="15">
        <v>-2.3225833100443301E-3</v>
      </c>
      <c r="X90" s="34">
        <v>1.03885514235849</v>
      </c>
      <c r="Y90" s="34">
        <v>1.0384904608674399</v>
      </c>
      <c r="Z90" s="34">
        <v>1.03826577180458</v>
      </c>
      <c r="AA90" s="34">
        <v>1.0381882648041001</v>
      </c>
      <c r="AB90" s="33">
        <v>50.280073398588598</v>
      </c>
      <c r="AC90" s="33">
        <v>50.266617996294997</v>
      </c>
      <c r="AD90" s="33">
        <v>50.263672389262403</v>
      </c>
      <c r="AE90" s="15">
        <v>-3.5110334479507499E-4</v>
      </c>
      <c r="AF90" s="15">
        <v>-6.1874820087705102E-4</v>
      </c>
      <c r="AG90" s="15">
        <v>-6.7734958404530999E-4</v>
      </c>
      <c r="AI90" s="12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3.0303804887317105E-3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3.4419865447752229E-3</v>
      </c>
      <c r="BE90" s="29">
        <f t="shared" si="42"/>
        <v>0</v>
      </c>
      <c r="BF90" s="29">
        <f t="shared" si="43"/>
        <v>6.472367033506933E-3</v>
      </c>
      <c r="BH90" s="29"/>
    </row>
    <row r="91" spans="1:60" x14ac:dyDescent="0.25">
      <c r="A91" s="1">
        <v>46154</v>
      </c>
      <c r="B91" s="33">
        <v>47.81</v>
      </c>
      <c r="C91" s="33">
        <v>49.88</v>
      </c>
      <c r="D91" s="15">
        <v>-3.5494347735364399E-3</v>
      </c>
      <c r="E91" s="15">
        <v>-2.4028846163103102E-3</v>
      </c>
      <c r="F91" s="33">
        <v>0</v>
      </c>
      <c r="G91" s="33">
        <v>0.4365</v>
      </c>
      <c r="H91" s="33">
        <v>0</v>
      </c>
      <c r="I91" s="33">
        <v>0.29772999999999999</v>
      </c>
      <c r="J91" s="33">
        <v>0.4365</v>
      </c>
      <c r="K91" s="33">
        <v>0.29772999999999999</v>
      </c>
      <c r="L91" s="33">
        <v>48.246499999999997</v>
      </c>
      <c r="M91" s="33">
        <v>50.177729999999997</v>
      </c>
      <c r="N91" s="34">
        <v>1.0432963815101399</v>
      </c>
      <c r="O91" s="34">
        <v>1.0403907452411401</v>
      </c>
      <c r="P91" s="34">
        <v>1.04120749998534</v>
      </c>
      <c r="Q91" s="34">
        <v>1.04010933304713</v>
      </c>
      <c r="R91" s="33">
        <v>49.741081529978999</v>
      </c>
      <c r="S91" s="33">
        <v>49.7593903659658</v>
      </c>
      <c r="T91" s="33">
        <v>49.714849216301403</v>
      </c>
      <c r="U91" s="15">
        <v>-2.7889390063204201E-3</v>
      </c>
      <c r="V91" s="15">
        <v>-2.42092394378722E-3</v>
      </c>
      <c r="W91" s="15">
        <v>-3.31645534625097E-3</v>
      </c>
      <c r="X91" s="34">
        <v>1.0400283958421801</v>
      </c>
      <c r="Y91" s="34">
        <v>1.0384904608674399</v>
      </c>
      <c r="Z91" s="34">
        <v>1.0384530460060399</v>
      </c>
      <c r="AA91" s="34">
        <v>1.0383317477596601</v>
      </c>
      <c r="AB91" s="33">
        <v>50.103530020241202</v>
      </c>
      <c r="AC91" s="33">
        <v>50.092689559369802</v>
      </c>
      <c r="AD91" s="33">
        <v>50.088950117871399</v>
      </c>
      <c r="AE91" s="15">
        <v>-1.4798376742532599E-3</v>
      </c>
      <c r="AF91" s="15">
        <v>-1.6962223035176601E-3</v>
      </c>
      <c r="AG91" s="15">
        <v>-1.7708755336332501E-3</v>
      </c>
      <c r="AI91" s="12"/>
      <c r="AJ91">
        <f t="shared" si="26"/>
        <v>0</v>
      </c>
      <c r="AK91">
        <f t="shared" si="27"/>
        <v>0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3.0303804887317105E-3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3.4419865447752229E-3</v>
      </c>
      <c r="BE91" s="29">
        <f t="shared" si="42"/>
        <v>0</v>
      </c>
      <c r="BF91" s="29">
        <f t="shared" si="43"/>
        <v>6.472367033506933E-3</v>
      </c>
      <c r="BH91" s="29"/>
    </row>
    <row r="92" spans="1:60" x14ac:dyDescent="0.25">
      <c r="A92" s="1">
        <v>46155</v>
      </c>
      <c r="B92" s="33">
        <v>47.9</v>
      </c>
      <c r="C92" s="33">
        <v>49.93</v>
      </c>
      <c r="D92" s="15">
        <v>1.88068177885747E-3</v>
      </c>
      <c r="E92" s="15">
        <v>1.00190370068208E-3</v>
      </c>
      <c r="F92" s="33">
        <v>0</v>
      </c>
      <c r="G92" s="33">
        <v>0.4365</v>
      </c>
      <c r="H92" s="33">
        <v>0</v>
      </c>
      <c r="I92" s="33">
        <v>0.29772999999999999</v>
      </c>
      <c r="J92" s="33">
        <v>0.4365</v>
      </c>
      <c r="K92" s="33">
        <v>0.29772999999999999</v>
      </c>
      <c r="L92" s="33">
        <v>48.336500000000001</v>
      </c>
      <c r="M92" s="33">
        <v>50.227730000000001</v>
      </c>
      <c r="N92" s="34">
        <v>1.04237995824634</v>
      </c>
      <c r="O92" s="34">
        <v>1.0403907452411401</v>
      </c>
      <c r="P92" s="34">
        <v>1.04141290074102</v>
      </c>
      <c r="Q92" s="34">
        <v>1.04031644401015</v>
      </c>
      <c r="R92" s="33">
        <v>49.834716697050702</v>
      </c>
      <c r="S92" s="33">
        <v>49.873839249297802</v>
      </c>
      <c r="T92" s="33">
        <v>49.821237052957599</v>
      </c>
      <c r="U92" s="15">
        <v>-1.91016092814501E-3</v>
      </c>
      <c r="V92" s="15">
        <v>-1.12542277035164E-3</v>
      </c>
      <c r="W92" s="15">
        <v>-2.1806845379862098E-3</v>
      </c>
      <c r="X92" s="34">
        <v>1.03912633310231</v>
      </c>
      <c r="Y92" s="34">
        <v>1.0384904608674399</v>
      </c>
      <c r="Z92" s="34">
        <v>1.03841450475381</v>
      </c>
      <c r="AA92" s="34">
        <v>1.0384159711274901</v>
      </c>
      <c r="AB92" s="33">
        <v>50.196994161719303</v>
      </c>
      <c r="AC92" s="33">
        <v>50.195185658270901</v>
      </c>
      <c r="AD92" s="33">
        <v>50.189322525584998</v>
      </c>
      <c r="AE92" s="15">
        <v>-6.1211697611231696E-4</v>
      </c>
      <c r="AF92" s="15">
        <v>-6.4814574751186202E-4</v>
      </c>
      <c r="AG92" s="15">
        <v>-7.6495924391098999E-4</v>
      </c>
      <c r="AI92" s="12"/>
      <c r="AJ92">
        <f t="shared" si="26"/>
        <v>0</v>
      </c>
      <c r="AK92">
        <f t="shared" si="27"/>
        <v>1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3.0303804887317105E-3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3.4419865447752229E-3</v>
      </c>
      <c r="BE92" s="29">
        <f t="shared" si="42"/>
        <v>0</v>
      </c>
      <c r="BF92" s="29">
        <f t="shared" si="43"/>
        <v>6.472367033506933E-3</v>
      </c>
      <c r="BH92" s="29"/>
    </row>
    <row r="93" spans="1:60" x14ac:dyDescent="0.25">
      <c r="A93" s="1">
        <v>46156</v>
      </c>
      <c r="B93" s="33">
        <v>47.97</v>
      </c>
      <c r="C93" s="33">
        <v>49.92</v>
      </c>
      <c r="D93" s="15">
        <v>1.4603110971029901E-3</v>
      </c>
      <c r="E93" s="15">
        <v>-2.0030045134560999E-4</v>
      </c>
      <c r="F93" s="33">
        <v>0</v>
      </c>
      <c r="G93" s="33">
        <v>0.4365</v>
      </c>
      <c r="H93" s="33">
        <v>0</v>
      </c>
      <c r="I93" s="33">
        <v>0.29772999999999999</v>
      </c>
      <c r="J93" s="33">
        <v>0.4365</v>
      </c>
      <c r="K93" s="33">
        <v>0.29772999999999999</v>
      </c>
      <c r="L93" s="33">
        <v>48.406500000000001</v>
      </c>
      <c r="M93" s="33">
        <v>50.217730000000003</v>
      </c>
      <c r="N93" s="34">
        <v>1.04065040650406</v>
      </c>
      <c r="O93" s="34">
        <v>1.0403907452411401</v>
      </c>
      <c r="P93" s="34">
        <v>1.04160697364949</v>
      </c>
      <c r="Q93" s="34">
        <v>1.04039429600514</v>
      </c>
      <c r="R93" s="33">
        <v>49.907544049217499</v>
      </c>
      <c r="S93" s="33">
        <v>49.956576848546902</v>
      </c>
      <c r="T93" s="33">
        <v>49.903979819167098</v>
      </c>
      <c r="U93" s="15">
        <v>-2.4954937969649002E-4</v>
      </c>
      <c r="V93" s="15">
        <v>7.3244100541407795E-4</v>
      </c>
      <c r="W93" s="15">
        <v>-3.2096858889796401E-4</v>
      </c>
      <c r="X93" s="34">
        <v>1.03741708241661</v>
      </c>
      <c r="Y93" s="34">
        <v>1.0384904608674399</v>
      </c>
      <c r="Z93" s="34">
        <v>1.03836526374391</v>
      </c>
      <c r="AA93" s="34">
        <v>1.0383722614556901</v>
      </c>
      <c r="AB93" s="33">
        <v>50.269688493979999</v>
      </c>
      <c r="AC93" s="33">
        <v>50.266011724365498</v>
      </c>
      <c r="AD93" s="33">
        <v>50.266082706382903</v>
      </c>
      <c r="AE93" s="15">
        <v>1.0341294340963101E-3</v>
      </c>
      <c r="AF93" s="15">
        <v>9.6098587199530097E-4</v>
      </c>
      <c r="AG93" s="15">
        <v>9.6239799849831499E-4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3.0303804887317105E-3</v>
      </c>
      <c r="AT93" s="12"/>
      <c r="AU93">
        <f t="shared" si="30"/>
        <v>0</v>
      </c>
      <c r="AV93">
        <f t="shared" si="31"/>
        <v>0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3.4419865447752229E-3</v>
      </c>
      <c r="BE93" s="29">
        <f t="shared" si="42"/>
        <v>0</v>
      </c>
      <c r="BF93" s="29">
        <f t="shared" si="43"/>
        <v>6.472367033506933E-3</v>
      </c>
      <c r="BH93" s="29"/>
    </row>
    <row r="94" spans="1:60" x14ac:dyDescent="0.25">
      <c r="A94" s="1">
        <v>46157</v>
      </c>
      <c r="B94" s="33">
        <v>47.57</v>
      </c>
      <c r="C94" s="33">
        <v>49.68</v>
      </c>
      <c r="D94" s="15">
        <v>-8.3735050697823898E-3</v>
      </c>
      <c r="E94" s="15">
        <v>-4.8192864359489903E-3</v>
      </c>
      <c r="F94" s="33">
        <v>0</v>
      </c>
      <c r="G94" s="33">
        <v>0.4365</v>
      </c>
      <c r="H94" s="33">
        <v>0</v>
      </c>
      <c r="I94" s="33">
        <v>0.29772999999999999</v>
      </c>
      <c r="J94" s="33">
        <v>0.4365</v>
      </c>
      <c r="K94" s="33">
        <v>0.29772999999999999</v>
      </c>
      <c r="L94" s="33">
        <v>48.006500000000003</v>
      </c>
      <c r="M94" s="33">
        <v>49.977730000000001</v>
      </c>
      <c r="N94" s="34">
        <v>1.0443556863569401</v>
      </c>
      <c r="O94" s="34">
        <v>1.0403907452411401</v>
      </c>
      <c r="P94" s="34">
        <v>1.04193580891016</v>
      </c>
      <c r="Q94" s="34">
        <v>1.04066711860149</v>
      </c>
      <c r="R94" s="33">
        <v>49.491387751121103</v>
      </c>
      <c r="S94" s="33">
        <v>49.549243736506497</v>
      </c>
      <c r="T94" s="33">
        <v>49.491556660964697</v>
      </c>
      <c r="U94" s="15">
        <v>-3.8037680135299002E-3</v>
      </c>
      <c r="V94" s="15">
        <v>-2.6354395992735698E-3</v>
      </c>
      <c r="W94" s="15">
        <v>-3.8003551054859698E-3</v>
      </c>
      <c r="X94" s="34">
        <v>1.0410617312238899</v>
      </c>
      <c r="Y94" s="34">
        <v>1.0384904608674399</v>
      </c>
      <c r="Z94" s="34">
        <v>1.03868841185933</v>
      </c>
      <c r="AA94" s="34">
        <v>1.0385202283861901</v>
      </c>
      <c r="AB94" s="33">
        <v>49.854292309633003</v>
      </c>
      <c r="AC94" s="33">
        <v>49.848282033922303</v>
      </c>
      <c r="AD94" s="33">
        <v>49.8486179695727</v>
      </c>
      <c r="AE94" s="15">
        <v>-2.47290900085663E-3</v>
      </c>
      <c r="AF94" s="15">
        <v>-2.5934731037907002E-3</v>
      </c>
      <c r="AG94" s="15">
        <v>-2.58673396445113E-3</v>
      </c>
      <c r="AI94" s="12"/>
      <c r="AJ94">
        <f t="shared" si="26"/>
        <v>0</v>
      </c>
      <c r="AK94">
        <f t="shared" si="27"/>
        <v>0</v>
      </c>
      <c r="AL94">
        <f t="shared" si="34"/>
        <v>0</v>
      </c>
      <c r="AM94">
        <f t="shared" si="24"/>
        <v>1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3.0303804887317105E-3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3.4419865447752229E-3</v>
      </c>
      <c r="BE94" s="29">
        <f t="shared" si="42"/>
        <v>0</v>
      </c>
      <c r="BF94" s="29">
        <f t="shared" si="43"/>
        <v>6.472367033506933E-3</v>
      </c>
      <c r="BH94" s="29"/>
    </row>
    <row r="95" spans="1:60" x14ac:dyDescent="0.25">
      <c r="A95" s="1">
        <v>46160</v>
      </c>
      <c r="B95" s="33">
        <v>47.7</v>
      </c>
      <c r="C95" s="33">
        <v>49.79</v>
      </c>
      <c r="D95" s="15">
        <v>2.7290874501055599E-3</v>
      </c>
      <c r="E95" s="15">
        <v>2.2117230288679298E-3</v>
      </c>
      <c r="F95" s="33">
        <v>0</v>
      </c>
      <c r="G95" s="33">
        <v>0.4365</v>
      </c>
      <c r="H95" s="33">
        <v>0</v>
      </c>
      <c r="I95" s="33">
        <v>0.29772999999999999</v>
      </c>
      <c r="J95" s="33">
        <v>0.4365</v>
      </c>
      <c r="K95" s="33">
        <v>0.29772999999999999</v>
      </c>
      <c r="L95" s="33">
        <v>48.136499999999998</v>
      </c>
      <c r="M95" s="33">
        <v>50.087730000000001</v>
      </c>
      <c r="N95" s="34">
        <v>1.0438155136268299</v>
      </c>
      <c r="O95" s="34">
        <v>1.0403907452411401</v>
      </c>
      <c r="P95" s="34">
        <v>1.04213675826615</v>
      </c>
      <c r="Q95" s="34">
        <v>1.0409105149582001</v>
      </c>
      <c r="R95" s="33">
        <v>49.626638548002397</v>
      </c>
      <c r="S95" s="33">
        <v>49.700338085014799</v>
      </c>
      <c r="T95" s="33">
        <v>49.639821557291199</v>
      </c>
      <c r="U95" s="15">
        <v>-3.2864035922924801E-3</v>
      </c>
      <c r="V95" s="15">
        <v>-1.8024250592564199E-3</v>
      </c>
      <c r="W95" s="15">
        <v>-3.0207950604215499E-3</v>
      </c>
      <c r="X95" s="34">
        <v>1.0405353525910599</v>
      </c>
      <c r="Y95" s="34">
        <v>1.0384904608674399</v>
      </c>
      <c r="Z95" s="34">
        <v>1.03888659306419</v>
      </c>
      <c r="AA95" s="34">
        <v>1.03863952409025</v>
      </c>
      <c r="AB95" s="33">
        <v>49.989296069545802</v>
      </c>
      <c r="AC95" s="33">
        <v>49.998824737466798</v>
      </c>
      <c r="AD95" s="33">
        <v>49.990728973711903</v>
      </c>
      <c r="AE95" s="15">
        <v>-1.9671640148167398E-3</v>
      </c>
      <c r="AF95" s="15">
        <v>-1.7765680145525101E-3</v>
      </c>
      <c r="AG95" s="15">
        <v>-1.9385002059095001E-3</v>
      </c>
      <c r="AI95" s="12"/>
      <c r="AJ95">
        <f t="shared" si="26"/>
        <v>0</v>
      </c>
      <c r="AK95">
        <f t="shared" si="27"/>
        <v>0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3.0303804887317105E-3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3.4419865447752229E-3</v>
      </c>
      <c r="BE95" s="29">
        <f t="shared" si="42"/>
        <v>0</v>
      </c>
      <c r="BF95" s="29">
        <f t="shared" si="43"/>
        <v>6.472367033506933E-3</v>
      </c>
      <c r="BH95" s="29"/>
    </row>
    <row r="96" spans="1:60" x14ac:dyDescent="0.25">
      <c r="A96" s="1">
        <v>46161</v>
      </c>
      <c r="B96" s="33">
        <v>47.59</v>
      </c>
      <c r="C96" s="33">
        <v>49.68</v>
      </c>
      <c r="D96" s="15">
        <v>-2.3087427612763999E-3</v>
      </c>
      <c r="E96" s="15">
        <v>-2.2117230288679602E-3</v>
      </c>
      <c r="F96" s="33">
        <v>0</v>
      </c>
      <c r="G96" s="33">
        <v>0.4365</v>
      </c>
      <c r="H96" s="33">
        <v>0</v>
      </c>
      <c r="I96" s="33">
        <v>0.29772999999999999</v>
      </c>
      <c r="J96" s="33">
        <v>0.4365</v>
      </c>
      <c r="K96" s="33">
        <v>0.29772999999999999</v>
      </c>
      <c r="L96" s="33">
        <v>48.026499999999999</v>
      </c>
      <c r="M96" s="33">
        <v>49.977730000000001</v>
      </c>
      <c r="N96" s="34">
        <v>1.0439167892414301</v>
      </c>
      <c r="O96" s="34">
        <v>1.0403907452411401</v>
      </c>
      <c r="P96" s="34">
        <v>1.0423939623521301</v>
      </c>
      <c r="Q96" s="34">
        <v>1.0411624874764001</v>
      </c>
      <c r="R96" s="33">
        <v>49.512195566025902</v>
      </c>
      <c r="S96" s="33">
        <v>49.595288325886401</v>
      </c>
      <c r="T96" s="33">
        <v>49.536931406860901</v>
      </c>
      <c r="U96" s="15">
        <v>-3.3834233247008001E-3</v>
      </c>
      <c r="V96" s="15">
        <v>-1.7066018362110701E-3</v>
      </c>
      <c r="W96" s="15">
        <v>-2.8839572091448602E-3</v>
      </c>
      <c r="X96" s="34">
        <v>1.0406281948507501</v>
      </c>
      <c r="Y96" s="34">
        <v>1.0384904608674399</v>
      </c>
      <c r="Z96" s="34">
        <v>1.0391394325176</v>
      </c>
      <c r="AA96" s="34">
        <v>1.03876709089573</v>
      </c>
      <c r="AB96" s="33">
        <v>49.875062118850302</v>
      </c>
      <c r="AC96" s="33">
        <v>49.894086961797299</v>
      </c>
      <c r="AD96" s="33">
        <v>49.882221103720603</v>
      </c>
      <c r="AE96" s="15">
        <v>-2.0563855081166499E-3</v>
      </c>
      <c r="AF96" s="15">
        <v>-1.67500823161575E-3</v>
      </c>
      <c r="AG96" s="15">
        <v>-1.9128574437725799E-3</v>
      </c>
      <c r="AI96" s="12"/>
      <c r="AJ96">
        <f t="shared" si="26"/>
        <v>0</v>
      </c>
      <c r="AK96">
        <f t="shared" si="27"/>
        <v>0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3.0303804887317105E-3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3.4419865447752229E-3</v>
      </c>
      <c r="BE96" s="29">
        <f t="shared" si="42"/>
        <v>0</v>
      </c>
      <c r="BF96" s="29">
        <f t="shared" si="43"/>
        <v>6.472367033506933E-3</v>
      </c>
      <c r="BH96" s="29"/>
    </row>
    <row r="97" spans="1:60" x14ac:dyDescent="0.25">
      <c r="A97" s="1">
        <v>46162</v>
      </c>
      <c r="B97" s="33">
        <v>47.92</v>
      </c>
      <c r="C97" s="33">
        <v>49.97</v>
      </c>
      <c r="D97" s="15">
        <v>6.9102986741747304E-3</v>
      </c>
      <c r="E97" s="15">
        <v>5.8203877308902301E-3</v>
      </c>
      <c r="F97" s="33">
        <v>0</v>
      </c>
      <c r="G97" s="33">
        <v>0.4365</v>
      </c>
      <c r="H97" s="33">
        <v>0</v>
      </c>
      <c r="I97" s="33">
        <v>0.29772999999999999</v>
      </c>
      <c r="J97" s="33">
        <v>0.4365</v>
      </c>
      <c r="K97" s="33">
        <v>0.29772999999999999</v>
      </c>
      <c r="L97" s="33">
        <v>48.356499999999997</v>
      </c>
      <c r="M97" s="33">
        <v>50.26773</v>
      </c>
      <c r="N97" s="34">
        <v>1.0427796327212</v>
      </c>
      <c r="O97" s="34">
        <v>1.0403907452411401</v>
      </c>
      <c r="P97" s="34">
        <v>1.0426021581823901</v>
      </c>
      <c r="Q97" s="34">
        <v>1.04134007434285</v>
      </c>
      <c r="R97" s="33">
        <v>49.855524511955501</v>
      </c>
      <c r="S97" s="33">
        <v>49.951518675914102</v>
      </c>
      <c r="T97" s="33">
        <v>49.892506399869497</v>
      </c>
      <c r="U97" s="15">
        <v>-2.2935123814164702E-3</v>
      </c>
      <c r="V97" s="15">
        <v>-3.6991680153605099E-4</v>
      </c>
      <c r="W97" s="15">
        <v>-1.55200622294132E-3</v>
      </c>
      <c r="X97" s="34">
        <v>1.0395237455150801</v>
      </c>
      <c r="Y97" s="34">
        <v>1.0384904608674399</v>
      </c>
      <c r="Z97" s="34">
        <v>1.0393441503448599</v>
      </c>
      <c r="AA97" s="34">
        <v>1.03882195844255</v>
      </c>
      <c r="AB97" s="33">
        <v>50.217763970936602</v>
      </c>
      <c r="AC97" s="33">
        <v>50.249145968537697</v>
      </c>
      <c r="AD97" s="33">
        <v>50.231140830899399</v>
      </c>
      <c r="AE97" s="15">
        <v>-9.9449246268117509E-4</v>
      </c>
      <c r="AF97" s="15">
        <v>-3.6976938439415501E-4</v>
      </c>
      <c r="AG97" s="15">
        <v>-7.2815088198794405E-4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3.0303804887317105E-3</v>
      </c>
      <c r="AT97" s="12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3.4419865447752229E-3</v>
      </c>
      <c r="BE97" s="29">
        <f t="shared" si="42"/>
        <v>0</v>
      </c>
      <c r="BF97" s="29">
        <f t="shared" si="43"/>
        <v>6.472367033506933E-3</v>
      </c>
      <c r="BH97" s="29"/>
    </row>
    <row r="98" spans="1:60" x14ac:dyDescent="0.25">
      <c r="A98" s="1">
        <v>46163</v>
      </c>
      <c r="B98" s="33">
        <v>47.98</v>
      </c>
      <c r="C98" s="33">
        <v>50.01</v>
      </c>
      <c r="D98" s="15">
        <v>1.2513036043544899E-3</v>
      </c>
      <c r="E98" s="15">
        <v>8.0016007469869998E-4</v>
      </c>
      <c r="F98" s="33">
        <v>0</v>
      </c>
      <c r="G98" s="33">
        <v>0.4365</v>
      </c>
      <c r="H98" s="33">
        <v>0</v>
      </c>
      <c r="I98" s="33">
        <v>0.29772999999999999</v>
      </c>
      <c r="J98" s="33">
        <v>0.4365</v>
      </c>
      <c r="K98" s="33">
        <v>0.29772999999999999</v>
      </c>
      <c r="L98" s="33">
        <v>48.416499999999999</v>
      </c>
      <c r="M98" s="33">
        <v>50.307729999999999</v>
      </c>
      <c r="N98" s="34">
        <v>1.0423092955397999</v>
      </c>
      <c r="O98" s="34">
        <v>1.0403907452411401</v>
      </c>
      <c r="P98" s="34">
        <v>1.04275654863487</v>
      </c>
      <c r="Q98" s="34">
        <v>1.0415112679616001</v>
      </c>
      <c r="R98" s="33">
        <v>49.917947956669998</v>
      </c>
      <c r="S98" s="33">
        <v>50.0240515495911</v>
      </c>
      <c r="T98" s="33">
        <v>49.963496766970103</v>
      </c>
      <c r="U98" s="15">
        <v>-1.8423688517604799E-3</v>
      </c>
      <c r="V98" s="15">
        <v>2.8093533083751603E-4</v>
      </c>
      <c r="W98" s="15">
        <v>-9.3031129024502904E-4</v>
      </c>
      <c r="X98" s="34">
        <v>1.0390616835169799</v>
      </c>
      <c r="Y98" s="34">
        <v>1.0384904608674399</v>
      </c>
      <c r="Z98" s="34">
        <v>1.0394964823728301</v>
      </c>
      <c r="AA98" s="34">
        <v>1.0388708064383001</v>
      </c>
      <c r="AB98" s="33">
        <v>50.280073398588598</v>
      </c>
      <c r="AC98" s="33">
        <v>50.321406055172197</v>
      </c>
      <c r="AD98" s="33">
        <v>50.296123350934003</v>
      </c>
      <c r="AE98" s="15">
        <v>-5.4989971296297898E-4</v>
      </c>
      <c r="AF98" s="15">
        <v>2.7181104384935498E-4</v>
      </c>
      <c r="AG98" s="15">
        <v>-2.3073965322065E-4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3.0303804887317105E-3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3.4419865447752229E-3</v>
      </c>
      <c r="BE98" s="29">
        <f t="shared" si="42"/>
        <v>0</v>
      </c>
      <c r="BF98" s="29">
        <f t="shared" si="43"/>
        <v>6.472367033506933E-3</v>
      </c>
      <c r="BH98" s="29"/>
    </row>
    <row r="99" spans="1:60" x14ac:dyDescent="0.25">
      <c r="A99" s="1">
        <v>46164</v>
      </c>
      <c r="B99" s="33">
        <v>48.06</v>
      </c>
      <c r="C99" s="33">
        <v>50.04</v>
      </c>
      <c r="D99" s="15">
        <v>1.66597289677452E-3</v>
      </c>
      <c r="E99" s="15">
        <v>5.9970016789811099E-4</v>
      </c>
      <c r="F99" s="33">
        <v>0</v>
      </c>
      <c r="G99" s="33">
        <v>0.4365</v>
      </c>
      <c r="H99" s="33">
        <v>0</v>
      </c>
      <c r="I99" s="33">
        <v>0.29772999999999999</v>
      </c>
      <c r="J99" s="33">
        <v>0.4365</v>
      </c>
      <c r="K99" s="33">
        <v>0.29772999999999999</v>
      </c>
      <c r="L99" s="33">
        <v>48.496499999999997</v>
      </c>
      <c r="M99" s="33">
        <v>50.337730000000001</v>
      </c>
      <c r="N99" s="34">
        <v>1.04119850187265</v>
      </c>
      <c r="O99" s="34">
        <v>1.0403907452411401</v>
      </c>
      <c r="P99" s="34">
        <v>1.0426803040984101</v>
      </c>
      <c r="Q99" s="34">
        <v>1.04157825139029</v>
      </c>
      <c r="R99" s="33">
        <v>50.001179216289302</v>
      </c>
      <c r="S99" s="33">
        <v>50.114879727392001</v>
      </c>
      <c r="T99" s="33">
        <v>50.055031538234502</v>
      </c>
      <c r="U99" s="15">
        <v>-7.7609612288408604E-4</v>
      </c>
      <c r="V99" s="15">
        <v>1.4952789429251499E-3</v>
      </c>
      <c r="W99" s="15">
        <v>3.0034534414944E-4</v>
      </c>
      <c r="X99" s="34">
        <v>1.0379662449867499</v>
      </c>
      <c r="Y99" s="34">
        <v>1.0384904608674399</v>
      </c>
      <c r="Z99" s="34">
        <v>1.03942039064041</v>
      </c>
      <c r="AA99" s="34">
        <v>1.03881647103504</v>
      </c>
      <c r="AB99" s="33">
        <v>50.363152635458</v>
      </c>
      <c r="AC99" s="33">
        <v>50.411941157394402</v>
      </c>
      <c r="AD99" s="33">
        <v>50.381598064435003</v>
      </c>
      <c r="AE99" s="15">
        <v>5.0491386635051505E-4</v>
      </c>
      <c r="AF99" s="15">
        <v>1.4731794151449399E-3</v>
      </c>
      <c r="AG99" s="15">
        <v>8.7109531113942196E-4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3.0303804887317105E-3</v>
      </c>
      <c r="AT99" s="12"/>
      <c r="AU99">
        <f t="shared" si="30"/>
        <v>0</v>
      </c>
      <c r="AV99">
        <f t="shared" si="31"/>
        <v>0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3.4419865447752229E-3</v>
      </c>
      <c r="BE99" s="29">
        <f t="shared" si="42"/>
        <v>0</v>
      </c>
      <c r="BF99" s="29">
        <f t="shared" si="43"/>
        <v>6.472367033506933E-3</v>
      </c>
      <c r="BH99" s="29"/>
    </row>
    <row r="100" spans="1:60" x14ac:dyDescent="0.25">
      <c r="A100" s="1">
        <v>46168</v>
      </c>
      <c r="B100" s="33">
        <v>48.23</v>
      </c>
      <c r="C100" s="33">
        <v>50.19</v>
      </c>
      <c r="D100" s="15">
        <v>3.5310037725574698E-3</v>
      </c>
      <c r="E100" s="15">
        <v>2.9931180681318798E-3</v>
      </c>
      <c r="F100" s="33">
        <v>0</v>
      </c>
      <c r="G100" s="33">
        <v>0.4365</v>
      </c>
      <c r="H100" s="33">
        <v>0</v>
      </c>
      <c r="I100" s="33">
        <v>0.29772999999999999</v>
      </c>
      <c r="J100" s="33">
        <v>0.4365</v>
      </c>
      <c r="K100" s="33">
        <v>0.29772999999999999</v>
      </c>
      <c r="L100" s="33">
        <v>48.666499999999999</v>
      </c>
      <c r="M100" s="33">
        <v>50.487729999999999</v>
      </c>
      <c r="N100" s="34">
        <v>1.04063860667634</v>
      </c>
      <c r="O100" s="34">
        <v>1.0403907452411401</v>
      </c>
      <c r="P100" s="34">
        <v>1.0425340772295699</v>
      </c>
      <c r="Q100" s="34">
        <v>1.04165388619861</v>
      </c>
      <c r="R100" s="33">
        <v>50.178045642980202</v>
      </c>
      <c r="S100" s="33">
        <v>50.288471066666602</v>
      </c>
      <c r="T100" s="33">
        <v>50.235319064553899</v>
      </c>
      <c r="U100" s="15">
        <v>-2.3821041845850199E-4</v>
      </c>
      <c r="V100" s="15">
        <v>1.9600437217366599E-3</v>
      </c>
      <c r="W100" s="15">
        <v>9.0254266657983603E-4</v>
      </c>
      <c r="X100" s="34">
        <v>1.03742266240637</v>
      </c>
      <c r="Y100" s="34">
        <v>1.0384904608674399</v>
      </c>
      <c r="Z100" s="34">
        <v>1.0392771426452001</v>
      </c>
      <c r="AA100" s="34">
        <v>1.0387714572248901</v>
      </c>
      <c r="AB100" s="33">
        <v>50.539696013805496</v>
      </c>
      <c r="AC100" s="33">
        <v>50.584952441101699</v>
      </c>
      <c r="AD100" s="33">
        <v>50.555561787627099</v>
      </c>
      <c r="AE100" s="15">
        <v>1.0287507153067101E-3</v>
      </c>
      <c r="AF100" s="15">
        <v>1.9238130173081999E-3</v>
      </c>
      <c r="AG100" s="15">
        <v>1.3426284242488999E-3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3.0303804887317105E-3</v>
      </c>
      <c r="AT100" s="12"/>
      <c r="AU100">
        <f t="shared" si="30"/>
        <v>1</v>
      </c>
      <c r="AV100">
        <f t="shared" si="31"/>
        <v>0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3.4419865447752229E-3</v>
      </c>
      <c r="BE100" s="29">
        <f t="shared" si="42"/>
        <v>0</v>
      </c>
      <c r="BF100" s="29">
        <f t="shared" si="43"/>
        <v>6.472367033506933E-3</v>
      </c>
      <c r="BH100" s="29"/>
    </row>
    <row r="101" spans="1:60" x14ac:dyDescent="0.25">
      <c r="A101" s="1">
        <v>46169</v>
      </c>
      <c r="B101" s="33">
        <v>48.22</v>
      </c>
      <c r="C101" s="33">
        <v>50.2</v>
      </c>
      <c r="D101" s="15">
        <v>-2.0736132785551101E-4</v>
      </c>
      <c r="E101" s="15">
        <v>1.9922303084125601E-4</v>
      </c>
      <c r="F101" s="33">
        <v>0</v>
      </c>
      <c r="G101" s="33">
        <v>0.4365</v>
      </c>
      <c r="H101" s="33">
        <v>0</v>
      </c>
      <c r="I101" s="33">
        <v>0.29772999999999999</v>
      </c>
      <c r="J101" s="33">
        <v>0.4365</v>
      </c>
      <c r="K101" s="33">
        <v>0.29772999999999999</v>
      </c>
      <c r="L101" s="33">
        <v>48.656500000000001</v>
      </c>
      <c r="M101" s="33">
        <v>50.497729999999997</v>
      </c>
      <c r="N101" s="34">
        <v>1.0410618000829499</v>
      </c>
      <c r="O101" s="34">
        <v>1.0403907452411401</v>
      </c>
      <c r="P101" s="34">
        <v>1.0423106190868501</v>
      </c>
      <c r="Q101" s="34">
        <v>1.0417590595360999</v>
      </c>
      <c r="R101" s="33">
        <v>50.167641735527802</v>
      </c>
      <c r="S101" s="33">
        <v>50.270993204010203</v>
      </c>
      <c r="T101" s="33">
        <v>50.228550392497397</v>
      </c>
      <c r="U101" s="15">
        <v>-6.4479477715530796E-4</v>
      </c>
      <c r="V101" s="15">
        <v>1.4132082019235599E-3</v>
      </c>
      <c r="W101" s="15">
        <v>5.68571251003013E-4</v>
      </c>
      <c r="X101" s="34">
        <v>1.03784139837431</v>
      </c>
      <c r="Y101" s="34">
        <v>1.0384904608674399</v>
      </c>
      <c r="Z101" s="34">
        <v>1.03905844289841</v>
      </c>
      <c r="AA101" s="34">
        <v>1.03875574445222</v>
      </c>
      <c r="AB101" s="33">
        <v>50.529311109196797</v>
      </c>
      <c r="AC101" s="33">
        <v>50.567588291116301</v>
      </c>
      <c r="AD101" s="33">
        <v>50.542983408463002</v>
      </c>
      <c r="AE101" s="15">
        <v>6.2520113187196802E-4</v>
      </c>
      <c r="AF101" s="15">
        <v>1.3824386727966001E-3</v>
      </c>
      <c r="AG101" s="15">
        <v>8.9574608021354403E-4</v>
      </c>
      <c r="AI101" s="12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3.0303804887317105E-3</v>
      </c>
      <c r="AT101" s="12"/>
      <c r="AU101">
        <f t="shared" si="30"/>
        <v>0</v>
      </c>
      <c r="AV101">
        <f t="shared" si="31"/>
        <v>0</v>
      </c>
      <c r="AW101">
        <f t="shared" si="38"/>
        <v>1</v>
      </c>
      <c r="AX101">
        <f t="shared" si="25"/>
        <v>1</v>
      </c>
      <c r="AY101">
        <f t="shared" si="39"/>
        <v>1</v>
      </c>
      <c r="AZ101" s="28">
        <f t="shared" si="32"/>
        <v>2.0736132785551101E-4</v>
      </c>
      <c r="BA101" s="28">
        <f t="shared" si="33"/>
        <v>1.9922303084125601E-4</v>
      </c>
      <c r="BB101" s="28">
        <f t="shared" si="40"/>
        <v>4.0658435869676704E-4</v>
      </c>
      <c r="BC101" s="29">
        <f t="shared" si="41"/>
        <v>3.8485709034719899E-3</v>
      </c>
      <c r="BE101" s="29">
        <f t="shared" si="42"/>
        <v>4.0658435869676704E-4</v>
      </c>
      <c r="BF101" s="29">
        <f t="shared" si="43"/>
        <v>6.8789513922037004E-3</v>
      </c>
      <c r="BH101" s="29"/>
    </row>
    <row r="102" spans="1:60" x14ac:dyDescent="0.25">
      <c r="A102" s="1">
        <v>46170</v>
      </c>
      <c r="B102" s="33">
        <v>48.26</v>
      </c>
      <c r="C102" s="33">
        <v>50.23</v>
      </c>
      <c r="D102" s="15">
        <v>8.2918744386055703E-4</v>
      </c>
      <c r="E102" s="15">
        <v>5.9743106426965497E-4</v>
      </c>
      <c r="F102" s="33">
        <v>0</v>
      </c>
      <c r="G102" s="33">
        <v>0.4365</v>
      </c>
      <c r="H102" s="33">
        <v>0</v>
      </c>
      <c r="I102" s="33">
        <v>0.29772999999999999</v>
      </c>
      <c r="J102" s="33">
        <v>0.4365</v>
      </c>
      <c r="K102" s="33">
        <v>0.29772999999999999</v>
      </c>
      <c r="L102" s="33">
        <v>48.6965</v>
      </c>
      <c r="M102" s="33">
        <v>50.527729999999998</v>
      </c>
      <c r="N102" s="34">
        <v>1.04082055532532</v>
      </c>
      <c r="O102" s="34">
        <v>1.0403907452411401</v>
      </c>
      <c r="P102" s="34">
        <v>1.04215467879475</v>
      </c>
      <c r="Q102" s="34">
        <v>1.0417837897678901</v>
      </c>
      <c r="R102" s="33">
        <v>50.2092573653375</v>
      </c>
      <c r="S102" s="33">
        <v>50.301910477131798</v>
      </c>
      <c r="T102" s="33">
        <v>50.275292213212097</v>
      </c>
      <c r="U102" s="15">
        <v>-4.13038397564435E-4</v>
      </c>
      <c r="V102" s="15">
        <v>1.43060027517602E-3</v>
      </c>
      <c r="W102" s="15">
        <v>9.0129017648363002E-4</v>
      </c>
      <c r="X102" s="34">
        <v>1.03760496134219</v>
      </c>
      <c r="Y102" s="34">
        <v>1.0384904608674399</v>
      </c>
      <c r="Z102" s="34">
        <v>1.0389063057223999</v>
      </c>
      <c r="AA102" s="34">
        <v>1.0386604052381001</v>
      </c>
      <c r="AB102" s="33">
        <v>50.570850727631502</v>
      </c>
      <c r="AC102" s="33">
        <v>50.598509464602699</v>
      </c>
      <c r="AD102" s="33">
        <v>50.583769109717899</v>
      </c>
      <c r="AE102" s="15">
        <v>8.5304323633590099E-4</v>
      </c>
      <c r="AF102" s="15">
        <v>1.3998241511844101E-3</v>
      </c>
      <c r="AG102" s="15">
        <v>1.1084617664509301E-3</v>
      </c>
      <c r="AI102" s="12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3.0303804887317105E-3</v>
      </c>
      <c r="AT102" s="12"/>
      <c r="AU102">
        <f t="shared" si="30"/>
        <v>1</v>
      </c>
      <c r="AV102">
        <f t="shared" si="31"/>
        <v>0</v>
      </c>
      <c r="AW102">
        <f t="shared" si="38"/>
        <v>1</v>
      </c>
      <c r="AX102">
        <f t="shared" si="25"/>
        <v>1</v>
      </c>
      <c r="AY102">
        <f t="shared" si="39"/>
        <v>1</v>
      </c>
      <c r="AZ102" s="28">
        <f t="shared" si="32"/>
        <v>-8.2918744386055703E-4</v>
      </c>
      <c r="BA102" s="28">
        <f t="shared" si="33"/>
        <v>5.9743106426965497E-4</v>
      </c>
      <c r="BB102" s="28">
        <f t="shared" si="40"/>
        <v>-2.3175637959090207E-4</v>
      </c>
      <c r="BC102" s="29">
        <f t="shared" si="41"/>
        <v>3.6168145238810877E-3</v>
      </c>
      <c r="BE102" s="29">
        <f t="shared" si="42"/>
        <v>-2.3175637959090207E-4</v>
      </c>
      <c r="BF102" s="29">
        <f t="shared" si="43"/>
        <v>6.6471950126127987E-3</v>
      </c>
      <c r="BH102" s="29"/>
    </row>
    <row r="103" spans="1:60" x14ac:dyDescent="0.25">
      <c r="A103" s="1">
        <v>46171</v>
      </c>
      <c r="B103" s="33">
        <v>48.33</v>
      </c>
      <c r="C103" s="33">
        <v>50.27</v>
      </c>
      <c r="D103" s="15">
        <v>1.44942566010706E-3</v>
      </c>
      <c r="E103" s="15">
        <v>7.9601994253074E-4</v>
      </c>
      <c r="F103" s="33">
        <v>0</v>
      </c>
      <c r="G103" s="33">
        <v>0.4365</v>
      </c>
      <c r="H103" s="33">
        <v>0</v>
      </c>
      <c r="I103" s="33">
        <v>0.29772999999999999</v>
      </c>
      <c r="J103" s="33">
        <v>0.4365</v>
      </c>
      <c r="K103" s="33">
        <v>0.29772999999999999</v>
      </c>
      <c r="L103" s="33">
        <v>48.766500000000001</v>
      </c>
      <c r="M103" s="33">
        <v>50.567729999999997</v>
      </c>
      <c r="N103" s="34">
        <v>1.04014069935857</v>
      </c>
      <c r="O103" s="34">
        <v>1.0403907452411401</v>
      </c>
      <c r="P103" s="34">
        <v>1.0421037080802</v>
      </c>
      <c r="Q103" s="34">
        <v>1.0418553408648501</v>
      </c>
      <c r="R103" s="33">
        <v>50.282084717504397</v>
      </c>
      <c r="S103" s="33">
        <v>50.367335626150599</v>
      </c>
      <c r="T103" s="33">
        <v>50.349410559482102</v>
      </c>
      <c r="U103" s="15">
        <v>2.40367320012053E-4</v>
      </c>
      <c r="V103" s="15">
        <v>1.9343846077844501E-3</v>
      </c>
      <c r="W103" s="15">
        <v>1.5784345292409101E-3</v>
      </c>
      <c r="X103" s="34">
        <v>1.0369358063424601</v>
      </c>
      <c r="Y103" s="34">
        <v>1.0384904608674399</v>
      </c>
      <c r="Z103" s="34">
        <v>1.0388581781149799</v>
      </c>
      <c r="AA103" s="34">
        <v>1.0386117209294501</v>
      </c>
      <c r="AB103" s="33">
        <v>50.643545059892297</v>
      </c>
      <c r="AC103" s="33">
        <v>50.663824358011603</v>
      </c>
      <c r="AD103" s="33">
        <v>50.651832652044199</v>
      </c>
      <c r="AE103" s="15">
        <v>1.49815470712742E-3</v>
      </c>
      <c r="AF103" s="15">
        <v>1.8985065967621899E-3</v>
      </c>
      <c r="AG103" s="15">
        <v>1.6617868956367999E-3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0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3.0303804887317105E-3</v>
      </c>
      <c r="AT103" s="12"/>
      <c r="AU103">
        <f t="shared" si="30"/>
        <v>1</v>
      </c>
      <c r="AV103">
        <f t="shared" si="31"/>
        <v>0</v>
      </c>
      <c r="AW103">
        <f t="shared" si="38"/>
        <v>1</v>
      </c>
      <c r="AX103">
        <f t="shared" si="25"/>
        <v>0</v>
      </c>
      <c r="AY103">
        <f t="shared" si="39"/>
        <v>1</v>
      </c>
      <c r="AZ103" s="28">
        <f t="shared" si="32"/>
        <v>-1.44942566010706E-3</v>
      </c>
      <c r="BA103" s="28">
        <f t="shared" si="33"/>
        <v>7.9601994253074E-4</v>
      </c>
      <c r="BB103" s="28">
        <f t="shared" si="40"/>
        <v>-6.5340571757632E-4</v>
      </c>
      <c r="BC103" s="29">
        <f t="shared" si="41"/>
        <v>2.9634088063047676E-3</v>
      </c>
      <c r="BE103" s="29">
        <f t="shared" si="42"/>
        <v>-6.5340571757632E-4</v>
      </c>
      <c r="BF103" s="29">
        <f t="shared" si="43"/>
        <v>5.993789295036479E-3</v>
      </c>
      <c r="BH103" s="29"/>
    </row>
    <row r="104" spans="1:60" x14ac:dyDescent="0.25">
      <c r="A104" s="1">
        <v>46174</v>
      </c>
      <c r="B104" s="33">
        <v>48.11</v>
      </c>
      <c r="C104" s="33">
        <v>50.23</v>
      </c>
      <c r="D104" s="15">
        <v>-4.5624301456303196E-3</v>
      </c>
      <c r="E104" s="15">
        <v>-7.9601994253063895E-4</v>
      </c>
      <c r="F104" s="33">
        <v>0.11409999999999999</v>
      </c>
      <c r="G104" s="33">
        <v>0.55059999999999998</v>
      </c>
      <c r="H104" s="33">
        <v>0</v>
      </c>
      <c r="I104" s="33">
        <v>0.29772999999999999</v>
      </c>
      <c r="J104" s="33">
        <v>0.55059999999999998</v>
      </c>
      <c r="K104" s="33">
        <v>0.29772999999999999</v>
      </c>
      <c r="L104" s="33">
        <v>48.660600000000002</v>
      </c>
      <c r="M104" s="33">
        <v>50.527729999999998</v>
      </c>
      <c r="N104" s="34">
        <v>1.0440656828102199</v>
      </c>
      <c r="O104" s="34">
        <v>1.0403907452411401</v>
      </c>
      <c r="P104" s="34">
        <v>1.0420747077255299</v>
      </c>
      <c r="Q104" s="34">
        <v>1.0420052583178501</v>
      </c>
      <c r="R104" s="33">
        <v>50.0531987535513</v>
      </c>
      <c r="S104" s="33">
        <v>50.135609395738797</v>
      </c>
      <c r="T104" s="33">
        <v>50.123660449008</v>
      </c>
      <c r="U104" s="15">
        <v>-3.5260428830875502E-3</v>
      </c>
      <c r="V104" s="15">
        <v>-1.8809357639200999E-3</v>
      </c>
      <c r="W104" s="15">
        <v>-2.1192967016343302E-3</v>
      </c>
      <c r="X104" s="34">
        <v>1.0383704680994399</v>
      </c>
      <c r="Y104" s="34">
        <v>1.0384904608674399</v>
      </c>
      <c r="Z104" s="34">
        <v>1.03858905180254</v>
      </c>
      <c r="AA104" s="34">
        <v>1.03863873183093</v>
      </c>
      <c r="AB104" s="33">
        <v>50.533568920086402</v>
      </c>
      <c r="AC104" s="33">
        <v>50.551462261982202</v>
      </c>
      <c r="AD104" s="33">
        <v>50.5394695074597</v>
      </c>
      <c r="AE104" s="15">
        <v>1.15552049208455E-4</v>
      </c>
      <c r="AF104" s="15">
        <v>4.6957760320919998E-4</v>
      </c>
      <c r="AG104" s="15">
        <v>2.3231092915915801E-4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3.0303804887317105E-3</v>
      </c>
      <c r="AT104" s="12"/>
      <c r="AU104">
        <f t="shared" si="30"/>
        <v>0</v>
      </c>
      <c r="AV104">
        <f t="shared" si="31"/>
        <v>0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2.9634088063047676E-3</v>
      </c>
      <c r="BE104" s="29">
        <f t="shared" si="42"/>
        <v>0</v>
      </c>
      <c r="BF104" s="29">
        <f t="shared" si="43"/>
        <v>5.993789295036479E-3</v>
      </c>
      <c r="BH104" s="29"/>
    </row>
    <row r="105" spans="1:60" x14ac:dyDescent="0.25">
      <c r="A105" s="1">
        <v>46175</v>
      </c>
      <c r="B105" s="33">
        <v>48.2</v>
      </c>
      <c r="C105" s="33">
        <v>50.27</v>
      </c>
      <c r="D105" s="15">
        <v>1.86896534519234E-3</v>
      </c>
      <c r="E105" s="15">
        <v>7.9601994253074E-4</v>
      </c>
      <c r="F105" s="33">
        <v>0</v>
      </c>
      <c r="G105" s="33">
        <v>0.55059999999999998</v>
      </c>
      <c r="H105" s="33">
        <v>0</v>
      </c>
      <c r="I105" s="33">
        <v>0.29772999999999999</v>
      </c>
      <c r="J105" s="33">
        <v>0.55059999999999998</v>
      </c>
      <c r="K105" s="33">
        <v>0.29772999999999999</v>
      </c>
      <c r="L105" s="33">
        <v>48.750599999999999</v>
      </c>
      <c r="M105" s="33">
        <v>50.567729999999997</v>
      </c>
      <c r="N105" s="34">
        <v>1.0429460580912799</v>
      </c>
      <c r="O105" s="34">
        <v>1.0403907452411401</v>
      </c>
      <c r="P105" s="34">
        <v>1.04198776217198</v>
      </c>
      <c r="Q105" s="34">
        <v>1.0420622602190699</v>
      </c>
      <c r="R105" s="33">
        <v>50.146833920623003</v>
      </c>
      <c r="S105" s="33">
        <v>50.228000912370803</v>
      </c>
      <c r="T105" s="33">
        <v>50.2246534509203</v>
      </c>
      <c r="U105" s="15">
        <v>-2.4530974804260002E-3</v>
      </c>
      <c r="V105" s="15">
        <v>-8.3581941318030498E-4</v>
      </c>
      <c r="W105" s="15">
        <v>-9.02466959189328E-4</v>
      </c>
      <c r="X105" s="34">
        <v>1.0372740027814999</v>
      </c>
      <c r="Y105" s="34">
        <v>1.0384904608674399</v>
      </c>
      <c r="Z105" s="34">
        <v>1.03826291682158</v>
      </c>
      <c r="AA105" s="34">
        <v>1.0385747549428801</v>
      </c>
      <c r="AB105" s="33">
        <v>50.627033061564497</v>
      </c>
      <c r="AC105" s="33">
        <v>50.631839428805101</v>
      </c>
      <c r="AD105" s="33">
        <v>50.634261359997403</v>
      </c>
      <c r="AE105" s="15">
        <v>1.1720580504198401E-3</v>
      </c>
      <c r="AF105" s="15">
        <v>1.26699031909E-3</v>
      </c>
      <c r="AG105" s="15">
        <v>1.3148233288309899E-3</v>
      </c>
      <c r="AI105" s="12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3.0303804887317105E-3</v>
      </c>
      <c r="AT105" s="12"/>
      <c r="AU105">
        <f t="shared" si="30"/>
        <v>1</v>
      </c>
      <c r="AV105">
        <f t="shared" si="31"/>
        <v>0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2.9634088063047676E-3</v>
      </c>
      <c r="BE105" s="29">
        <f t="shared" si="42"/>
        <v>0</v>
      </c>
      <c r="BF105" s="29">
        <f t="shared" si="43"/>
        <v>5.993789295036479E-3</v>
      </c>
      <c r="BH105" s="29"/>
    </row>
    <row r="106" spans="1:60" x14ac:dyDescent="0.25">
      <c r="A106" s="1">
        <v>46176</v>
      </c>
      <c r="B106" s="33">
        <v>48.03</v>
      </c>
      <c r="C106" s="33">
        <v>50.17</v>
      </c>
      <c r="D106" s="15">
        <v>-3.5332053798215902E-3</v>
      </c>
      <c r="E106" s="15">
        <v>-1.99123920832232E-3</v>
      </c>
      <c r="F106" s="33">
        <v>0</v>
      </c>
      <c r="G106" s="33">
        <v>0.55059999999999998</v>
      </c>
      <c r="H106" s="33">
        <v>0</v>
      </c>
      <c r="I106" s="33">
        <v>0.29772999999999999</v>
      </c>
      <c r="J106" s="33">
        <v>0.55059999999999998</v>
      </c>
      <c r="K106" s="33">
        <v>0.29772999999999999</v>
      </c>
      <c r="L106" s="33">
        <v>48.580599999999997</v>
      </c>
      <c r="M106" s="33">
        <v>50.467730000000003</v>
      </c>
      <c r="N106" s="34">
        <v>1.0445554861544799</v>
      </c>
      <c r="O106" s="34">
        <v>1.0403907452411401</v>
      </c>
      <c r="P106" s="34">
        <v>1.04205163186328</v>
      </c>
      <c r="Q106" s="34">
        <v>1.0422227971077</v>
      </c>
      <c r="R106" s="33">
        <v>49.969967493932003</v>
      </c>
      <c r="S106" s="33">
        <v>50.046672217120197</v>
      </c>
      <c r="T106" s="33">
        <v>50.050250358321897</v>
      </c>
      <c r="U106" s="15">
        <v>-3.9950636519251797E-3</v>
      </c>
      <c r="V106" s="15">
        <v>-2.4612241138610999E-3</v>
      </c>
      <c r="W106" s="15">
        <v>-2.3897305831683201E-3</v>
      </c>
      <c r="X106" s="34">
        <v>1.0388453415560901</v>
      </c>
      <c r="Y106" s="34">
        <v>1.0384904608674399</v>
      </c>
      <c r="Z106" s="34">
        <v>1.0380846314921199</v>
      </c>
      <c r="AA106" s="34">
        <v>1.03861203200486</v>
      </c>
      <c r="AB106" s="33">
        <v>50.450489683217</v>
      </c>
      <c r="AC106" s="33">
        <v>50.439435456942803</v>
      </c>
      <c r="AD106" s="33">
        <v>50.4545847399785</v>
      </c>
      <c r="AE106" s="15">
        <v>-3.4166906639447099E-4</v>
      </c>
      <c r="AF106" s="15">
        <v>-5.6080346069726605E-4</v>
      </c>
      <c r="AG106" s="15">
        <v>-2.6050254851281402E-4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3.0303804887317105E-3</v>
      </c>
      <c r="AT106" s="12"/>
      <c r="AU106">
        <f t="shared" si="30"/>
        <v>0</v>
      </c>
      <c r="AV106">
        <f t="shared" si="31"/>
        <v>1</v>
      </c>
      <c r="AW106">
        <f t="shared" si="38"/>
        <v>1</v>
      </c>
      <c r="AX106">
        <f t="shared" si="25"/>
        <v>1</v>
      </c>
      <c r="AY106">
        <f t="shared" si="39"/>
        <v>1</v>
      </c>
      <c r="AZ106" s="28">
        <f t="shared" si="32"/>
        <v>3.5332053798215902E-3</v>
      </c>
      <c r="BA106" s="28">
        <f t="shared" si="33"/>
        <v>-1.99123920832232E-3</v>
      </c>
      <c r="BB106" s="28">
        <f t="shared" si="40"/>
        <v>1.5419661714992702E-3</v>
      </c>
      <c r="BC106" s="29">
        <f t="shared" si="41"/>
        <v>4.5053749778040377E-3</v>
      </c>
      <c r="BE106" s="29">
        <f t="shared" si="42"/>
        <v>1.5419661714992702E-3</v>
      </c>
      <c r="BF106" s="29">
        <f t="shared" si="43"/>
        <v>7.5357554665357492E-3</v>
      </c>
      <c r="BH106" s="29"/>
    </row>
    <row r="107" spans="1:60" x14ac:dyDescent="0.25">
      <c r="A107" s="1">
        <v>46177</v>
      </c>
      <c r="B107" s="33">
        <v>48.08</v>
      </c>
      <c r="C107" s="33">
        <v>50.22</v>
      </c>
      <c r="D107" s="15">
        <v>1.04047455021898E-3</v>
      </c>
      <c r="E107" s="15">
        <v>9.961152332772481E-4</v>
      </c>
      <c r="F107" s="33">
        <v>0</v>
      </c>
      <c r="G107" s="33">
        <v>0.55059999999999998</v>
      </c>
      <c r="H107" s="33">
        <v>0</v>
      </c>
      <c r="I107" s="33">
        <v>0.29772999999999999</v>
      </c>
      <c r="J107" s="33">
        <v>0.55059999999999998</v>
      </c>
      <c r="K107" s="33">
        <v>0.29772999999999999</v>
      </c>
      <c r="L107" s="33">
        <v>48.630600000000001</v>
      </c>
      <c r="M107" s="33">
        <v>50.51773</v>
      </c>
      <c r="N107" s="34">
        <v>1.0445091514142999</v>
      </c>
      <c r="O107" s="34">
        <v>1.0403907452411401</v>
      </c>
      <c r="P107" s="34">
        <v>1.0422245837325901</v>
      </c>
      <c r="Q107" s="34">
        <v>1.0424133709574901</v>
      </c>
      <c r="R107" s="33">
        <v>50.021987031194101</v>
      </c>
      <c r="S107" s="33">
        <v>50.101842459986798</v>
      </c>
      <c r="T107" s="33">
        <v>50.110072084938601</v>
      </c>
      <c r="U107" s="15">
        <v>-3.9507043349834596E-3</v>
      </c>
      <c r="V107" s="15">
        <v>-2.3555706663880198E-3</v>
      </c>
      <c r="W107" s="15">
        <v>-2.1913262248422702E-3</v>
      </c>
      <c r="X107" s="34">
        <v>1.0388054023598301</v>
      </c>
      <c r="Y107" s="34">
        <v>1.0384904608674399</v>
      </c>
      <c r="Z107" s="34">
        <v>1.03801279717659</v>
      </c>
      <c r="AA107" s="34">
        <v>1.03867847376073</v>
      </c>
      <c r="AB107" s="33">
        <v>50.502414206260397</v>
      </c>
      <c r="AC107" s="33">
        <v>50.4826784802407</v>
      </c>
      <c r="AD107" s="33">
        <v>50.508326283615702</v>
      </c>
      <c r="AE107" s="15">
        <v>-3.03222569662172E-4</v>
      </c>
      <c r="AF107" s="15">
        <v>-6.9408672091196999E-4</v>
      </c>
      <c r="AG107" s="15">
        <v>-1.8616417897159099E-4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3.0303804887317105E-3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4.5053749778040377E-3</v>
      </c>
      <c r="BE107" s="29">
        <f t="shared" si="42"/>
        <v>0</v>
      </c>
      <c r="BF107" s="29">
        <f t="shared" si="43"/>
        <v>7.5357554665357492E-3</v>
      </c>
      <c r="BH107" s="29"/>
    </row>
    <row r="108" spans="1:60" x14ac:dyDescent="0.25">
      <c r="A108" s="1">
        <v>46178</v>
      </c>
      <c r="B108" s="33">
        <v>48.01</v>
      </c>
      <c r="C108" s="33">
        <v>50.14</v>
      </c>
      <c r="D108" s="15">
        <v>-1.45696768410315E-3</v>
      </c>
      <c r="E108" s="15">
        <v>-1.59426099929157E-3</v>
      </c>
      <c r="F108" s="33">
        <v>0</v>
      </c>
      <c r="G108" s="33">
        <v>0.55059999999999998</v>
      </c>
      <c r="H108" s="33">
        <v>0</v>
      </c>
      <c r="I108" s="33">
        <v>0.29772999999999999</v>
      </c>
      <c r="J108" s="33">
        <v>0.55059999999999998</v>
      </c>
      <c r="K108" s="33">
        <v>0.29772999999999999</v>
      </c>
      <c r="L108" s="33">
        <v>48.560600000000001</v>
      </c>
      <c r="M108" s="33">
        <v>50.437730000000002</v>
      </c>
      <c r="N108" s="34">
        <v>1.04436575713393</v>
      </c>
      <c r="O108" s="34">
        <v>1.0403907452411401</v>
      </c>
      <c r="P108" s="34">
        <v>1.0424302298920001</v>
      </c>
      <c r="Q108" s="34">
        <v>1.04259338926344</v>
      </c>
      <c r="R108" s="33">
        <v>49.949159679027197</v>
      </c>
      <c r="S108" s="33">
        <v>50.037202265001902</v>
      </c>
      <c r="T108" s="33">
        <v>50.046265939669297</v>
      </c>
      <c r="U108" s="15">
        <v>-3.8134110197951001E-3</v>
      </c>
      <c r="V108" s="15">
        <v>-2.0523186664405499E-3</v>
      </c>
      <c r="W108" s="15">
        <v>-1.8711963521425999E-3</v>
      </c>
      <c r="X108" s="34">
        <v>1.0386554120006699</v>
      </c>
      <c r="Y108" s="34">
        <v>1.0384904608674399</v>
      </c>
      <c r="Z108" s="34">
        <v>1.03797217002496</v>
      </c>
      <c r="AA108" s="34">
        <v>1.0387343261988999</v>
      </c>
      <c r="AB108" s="33">
        <v>50.429719873999602</v>
      </c>
      <c r="AC108" s="33">
        <v>50.406524238573802</v>
      </c>
      <c r="AD108" s="33">
        <v>50.438849892905303</v>
      </c>
      <c r="AE108" s="15">
        <v>-1.5882479485997299E-4</v>
      </c>
      <c r="AF108" s="15">
        <v>-6.1889024134946296E-4</v>
      </c>
      <c r="AG108" s="15">
        <v>2.2203229066852401E-5</v>
      </c>
      <c r="AI108" s="12"/>
      <c r="AJ108">
        <f t="shared" si="26"/>
        <v>0</v>
      </c>
      <c r="AK108">
        <f t="shared" si="27"/>
        <v>1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3.0303804887317105E-3</v>
      </c>
      <c r="AT108" s="12"/>
      <c r="AU108">
        <f t="shared" si="30"/>
        <v>0</v>
      </c>
      <c r="AV108">
        <f t="shared" si="31"/>
        <v>0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4.5053749778040377E-3</v>
      </c>
      <c r="BE108" s="29">
        <f t="shared" si="42"/>
        <v>0</v>
      </c>
      <c r="BF108" s="29">
        <f t="shared" si="43"/>
        <v>7.5357554665357492E-3</v>
      </c>
      <c r="BH108" s="29"/>
    </row>
    <row r="109" spans="1:60" x14ac:dyDescent="0.25">
      <c r="A109" s="1">
        <v>46181</v>
      </c>
      <c r="B109" s="33">
        <v>47.95</v>
      </c>
      <c r="C109" s="33">
        <v>50.07</v>
      </c>
      <c r="D109" s="15">
        <v>-1.2505212134016001E-3</v>
      </c>
      <c r="E109" s="15">
        <v>-1.3970663882939E-3</v>
      </c>
      <c r="F109" s="33">
        <v>0</v>
      </c>
      <c r="G109" s="33">
        <v>0.55059999999999998</v>
      </c>
      <c r="H109" s="33">
        <v>0</v>
      </c>
      <c r="I109" s="33">
        <v>0.29772999999999999</v>
      </c>
      <c r="J109" s="33">
        <v>0.55059999999999998</v>
      </c>
      <c r="K109" s="33">
        <v>0.29772999999999999</v>
      </c>
      <c r="L109" s="33">
        <v>48.500599999999999</v>
      </c>
      <c r="M109" s="33">
        <v>50.367730000000002</v>
      </c>
      <c r="N109" s="34">
        <v>1.0442127215849799</v>
      </c>
      <c r="O109" s="34">
        <v>1.0403907452411401</v>
      </c>
      <c r="P109" s="34">
        <v>1.0427316518632399</v>
      </c>
      <c r="Q109" s="34">
        <v>1.0427059779808201</v>
      </c>
      <c r="R109" s="33">
        <v>49.8867362343127</v>
      </c>
      <c r="S109" s="33">
        <v>49.984529523321797</v>
      </c>
      <c r="T109" s="33">
        <v>49.992353015181997</v>
      </c>
      <c r="U109" s="15">
        <v>-3.6668658449027901E-3</v>
      </c>
      <c r="V109" s="15">
        <v>-1.7084783242759501E-3</v>
      </c>
      <c r="W109" s="15">
        <v>-1.5519723065344901E-3</v>
      </c>
      <c r="X109" s="34">
        <v>1.0384970495210299</v>
      </c>
      <c r="Y109" s="34">
        <v>1.0384904608674399</v>
      </c>
      <c r="Z109" s="34">
        <v>1.03802525047839</v>
      </c>
      <c r="AA109" s="34">
        <v>1.0387228205593999</v>
      </c>
      <c r="AB109" s="33">
        <v>50.367410446347598</v>
      </c>
      <c r="AC109" s="33">
        <v>50.342273029512803</v>
      </c>
      <c r="AD109" s="33">
        <v>50.379238061242503</v>
      </c>
      <c r="AE109" s="15">
        <v>-6.3444325571724602E-6</v>
      </c>
      <c r="AF109" s="15">
        <v>-5.0555000026878305E-4</v>
      </c>
      <c r="AG109" s="15">
        <v>2.28454741894971E-4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3.0303804887317105E-3</v>
      </c>
      <c r="AT109" s="12"/>
      <c r="AU109">
        <f t="shared" si="30"/>
        <v>0</v>
      </c>
      <c r="AV109">
        <f t="shared" si="31"/>
        <v>0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4.5053749778040377E-3</v>
      </c>
      <c r="BE109" s="29">
        <f t="shared" si="42"/>
        <v>0</v>
      </c>
      <c r="BF109" s="29">
        <f t="shared" si="43"/>
        <v>7.5357554665357492E-3</v>
      </c>
      <c r="BH109" s="29"/>
    </row>
    <row r="110" spans="1:60" x14ac:dyDescent="0.25">
      <c r="A110" s="1">
        <v>46182</v>
      </c>
      <c r="B110" s="33">
        <v>47.99</v>
      </c>
      <c r="C110" s="33">
        <v>50.14</v>
      </c>
      <c r="D110" s="15">
        <v>8.3385454070701397E-4</v>
      </c>
      <c r="E110" s="15">
        <v>1.39706638829402E-3</v>
      </c>
      <c r="F110" s="33">
        <v>0</v>
      </c>
      <c r="G110" s="33">
        <v>0.55059999999999998</v>
      </c>
      <c r="H110" s="33">
        <v>0</v>
      </c>
      <c r="I110" s="33">
        <v>0.29772999999999999</v>
      </c>
      <c r="J110" s="33">
        <v>0.55059999999999998</v>
      </c>
      <c r="K110" s="33">
        <v>0.29772999999999999</v>
      </c>
      <c r="L110" s="33">
        <v>48.540599999999998</v>
      </c>
      <c r="M110" s="33">
        <v>50.437730000000002</v>
      </c>
      <c r="N110" s="34">
        <v>1.0448010002083701</v>
      </c>
      <c r="O110" s="34">
        <v>1.0403907452411401</v>
      </c>
      <c r="P110" s="34">
        <v>1.04314789121644</v>
      </c>
      <c r="Q110" s="34">
        <v>1.04284098422301</v>
      </c>
      <c r="R110" s="33">
        <v>49.928351864122398</v>
      </c>
      <c r="S110" s="33">
        <v>50.040691972916903</v>
      </c>
      <c r="T110" s="33">
        <v>50.039459883299998</v>
      </c>
      <c r="U110" s="15">
        <v>-4.2300776924898698E-3</v>
      </c>
      <c r="V110" s="15">
        <v>-1.9825788314251501E-3</v>
      </c>
      <c r="W110" s="15">
        <v>-2.0072008887296201E-3</v>
      </c>
      <c r="X110" s="34">
        <v>1.0390833652653599</v>
      </c>
      <c r="Y110" s="34">
        <v>1.0384904608674399</v>
      </c>
      <c r="Z110" s="34">
        <v>1.0381913207642901</v>
      </c>
      <c r="AA110" s="34">
        <v>1.0387342317047401</v>
      </c>
      <c r="AB110" s="33">
        <v>50.408950064782303</v>
      </c>
      <c r="AC110" s="33">
        <v>50.386368473371498</v>
      </c>
      <c r="AD110" s="33">
        <v>50.420228943645803</v>
      </c>
      <c r="AE110" s="15">
        <v>-5.7076615671380903E-4</v>
      </c>
      <c r="AF110" s="15">
        <v>-1.01883442250409E-3</v>
      </c>
      <c r="AG110" s="15">
        <v>-3.4704363865993999E-4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3.0303804887317105E-3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4.5053749778040377E-3</v>
      </c>
      <c r="BE110" s="29">
        <f t="shared" si="42"/>
        <v>0</v>
      </c>
      <c r="BF110" s="29">
        <f t="shared" si="43"/>
        <v>7.5357554665357492E-3</v>
      </c>
      <c r="BH110" s="29"/>
    </row>
    <row r="111" spans="1:60" x14ac:dyDescent="0.25">
      <c r="A111" s="1">
        <v>46183</v>
      </c>
      <c r="B111" s="33">
        <v>47.9</v>
      </c>
      <c r="C111" s="33">
        <v>50.08</v>
      </c>
      <c r="D111" s="15">
        <v>-1.87715145328463E-3</v>
      </c>
      <c r="E111" s="15">
        <v>-1.19736593830434E-3</v>
      </c>
      <c r="F111" s="33">
        <v>0</v>
      </c>
      <c r="G111" s="33">
        <v>0.55059999999999998</v>
      </c>
      <c r="H111" s="33">
        <v>0</v>
      </c>
      <c r="I111" s="33">
        <v>0.29772999999999999</v>
      </c>
      <c r="J111" s="33">
        <v>0.55059999999999998</v>
      </c>
      <c r="K111" s="33">
        <v>0.29772999999999999</v>
      </c>
      <c r="L111" s="33">
        <v>48.450600000000001</v>
      </c>
      <c r="M111" s="33">
        <v>50.37773</v>
      </c>
      <c r="N111" s="34">
        <v>1.04551148225469</v>
      </c>
      <c r="O111" s="34">
        <v>1.0403907452411401</v>
      </c>
      <c r="P111" s="34">
        <v>1.0435928594336099</v>
      </c>
      <c r="Q111" s="34">
        <v>1.0429517392602301</v>
      </c>
      <c r="R111" s="33">
        <v>49.834716697050702</v>
      </c>
      <c r="S111" s="33">
        <v>49.966783989267697</v>
      </c>
      <c r="T111" s="33">
        <v>49.952083144282199</v>
      </c>
      <c r="U111" s="15">
        <v>-4.9098632074701803E-3</v>
      </c>
      <c r="V111" s="15">
        <v>-2.26326233679112E-3</v>
      </c>
      <c r="W111" s="15">
        <v>-2.5575179766570998E-3</v>
      </c>
      <c r="X111" s="34">
        <v>1.0397751524232901</v>
      </c>
      <c r="Y111" s="34">
        <v>1.0384904608674399</v>
      </c>
      <c r="Z111" s="34">
        <v>1.03838469616919</v>
      </c>
      <c r="AA111" s="34">
        <v>1.0387215695337999</v>
      </c>
      <c r="AB111" s="33">
        <v>50.315485923304202</v>
      </c>
      <c r="AC111" s="33">
        <v>50.300992405822399</v>
      </c>
      <c r="AD111" s="33">
        <v>50.327296766633999</v>
      </c>
      <c r="AE111" s="15">
        <v>-1.2363113850946299E-3</v>
      </c>
      <c r="AF111" s="15">
        <v>-1.5244056977307299E-3</v>
      </c>
      <c r="AG111" s="15">
        <v>-1.00160318112123E-3</v>
      </c>
      <c r="AI111" s="12"/>
      <c r="AJ111">
        <f t="shared" si="26"/>
        <v>0</v>
      </c>
      <c r="AK111">
        <f t="shared" si="27"/>
        <v>0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3.0303804887317105E-3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4.5053749778040377E-3</v>
      </c>
      <c r="BE111" s="29">
        <f t="shared" si="42"/>
        <v>0</v>
      </c>
      <c r="BF111" s="29">
        <f t="shared" si="43"/>
        <v>7.5357554665357492E-3</v>
      </c>
      <c r="BH111" s="29"/>
    </row>
    <row r="112" spans="1:60" x14ac:dyDescent="0.25">
      <c r="A112" s="1">
        <v>46184</v>
      </c>
      <c r="B112" s="33">
        <v>48.18</v>
      </c>
      <c r="C112" s="33">
        <v>50.31</v>
      </c>
      <c r="D112" s="15">
        <v>5.8284927698557002E-3</v>
      </c>
      <c r="E112" s="15">
        <v>4.5821377113841799E-3</v>
      </c>
      <c r="F112" s="33">
        <v>0</v>
      </c>
      <c r="G112" s="33">
        <v>0.55059999999999998</v>
      </c>
      <c r="H112" s="33">
        <v>0</v>
      </c>
      <c r="I112" s="33">
        <v>0.29772999999999999</v>
      </c>
      <c r="J112" s="33">
        <v>0.55059999999999998</v>
      </c>
      <c r="K112" s="33">
        <v>0.29772999999999999</v>
      </c>
      <c r="L112" s="33">
        <v>48.730600000000003</v>
      </c>
      <c r="M112" s="33">
        <v>50.607729999999997</v>
      </c>
      <c r="N112" s="34">
        <v>1.0442092154420901</v>
      </c>
      <c r="O112" s="34">
        <v>1.0403907452411401</v>
      </c>
      <c r="P112" s="34">
        <v>1.04393172544529</v>
      </c>
      <c r="Q112" s="34">
        <v>1.04304320212002</v>
      </c>
      <c r="R112" s="33">
        <v>50.126026105718203</v>
      </c>
      <c r="S112" s="33">
        <v>50.280303967511799</v>
      </c>
      <c r="T112" s="33">
        <v>50.249414797558302</v>
      </c>
      <c r="U112" s="15">
        <v>-3.66350814899864E-3</v>
      </c>
      <c r="V112" s="15">
        <v>-5.9043530399312E-4</v>
      </c>
      <c r="W112" s="15">
        <v>-1.2049634515895701E-3</v>
      </c>
      <c r="X112" s="34">
        <v>1.03852055997668</v>
      </c>
      <c r="Y112" s="34">
        <v>1.0384904608674399</v>
      </c>
      <c r="Z112" s="34">
        <v>1.0384762560326399</v>
      </c>
      <c r="AA112" s="34">
        <v>1.0386912808775199</v>
      </c>
      <c r="AB112" s="33">
        <v>50.606263252347098</v>
      </c>
      <c r="AC112" s="33">
        <v>50.601109275142299</v>
      </c>
      <c r="AD112" s="33">
        <v>50.617525316323899</v>
      </c>
      <c r="AE112" s="15">
        <v>-2.8983100178363801E-5</v>
      </c>
      <c r="AF112" s="15">
        <v>-1.3083293740919901E-4</v>
      </c>
      <c r="AG112" s="15">
        <v>1.9353502886099399E-4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3.0303804887317105E-3</v>
      </c>
      <c r="AT112" s="12"/>
      <c r="AU112">
        <f t="shared" si="30"/>
        <v>0</v>
      </c>
      <c r="AV112">
        <f t="shared" si="31"/>
        <v>0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4.5053749778040377E-3</v>
      </c>
      <c r="BE112" s="29">
        <f t="shared" si="42"/>
        <v>0</v>
      </c>
      <c r="BF112" s="29">
        <f t="shared" si="43"/>
        <v>7.5357554665357492E-3</v>
      </c>
      <c r="BH112" s="29"/>
    </row>
    <row r="113" spans="1:60" x14ac:dyDescent="0.25">
      <c r="A113" s="1">
        <v>46185</v>
      </c>
      <c r="B113" s="33">
        <v>48.26</v>
      </c>
      <c r="C113" s="33">
        <v>50.32</v>
      </c>
      <c r="D113" s="15">
        <v>1.65906301016022E-3</v>
      </c>
      <c r="E113" s="15">
        <v>1.98747888957899E-4</v>
      </c>
      <c r="F113" s="33">
        <v>0</v>
      </c>
      <c r="G113" s="33">
        <v>0.55059999999999998</v>
      </c>
      <c r="H113" s="33">
        <v>0</v>
      </c>
      <c r="I113" s="33">
        <v>0.29772999999999999</v>
      </c>
      <c r="J113" s="33">
        <v>0.55059999999999998</v>
      </c>
      <c r="K113" s="33">
        <v>0.29772999999999999</v>
      </c>
      <c r="L113" s="33">
        <v>48.810600000000001</v>
      </c>
      <c r="M113" s="33">
        <v>50.617730000000002</v>
      </c>
      <c r="N113" s="34">
        <v>1.0426854537919601</v>
      </c>
      <c r="O113" s="34">
        <v>1.0403907452411401</v>
      </c>
      <c r="P113" s="34">
        <v>1.04418620088863</v>
      </c>
      <c r="Q113" s="34">
        <v>1.04314495448442</v>
      </c>
      <c r="R113" s="33">
        <v>50.2092573653375</v>
      </c>
      <c r="S113" s="33">
        <v>50.38014506999</v>
      </c>
      <c r="T113" s="33">
        <v>50.337264934312401</v>
      </c>
      <c r="U113" s="15">
        <v>-2.2031930277961499E-3</v>
      </c>
      <c r="V113" s="15">
        <v>1.19453804361594E-3</v>
      </c>
      <c r="W113" s="15">
        <v>3.4304398183425199E-4</v>
      </c>
      <c r="X113" s="34">
        <v>1.0370233105104201</v>
      </c>
      <c r="Y113" s="34">
        <v>1.0384904608674399</v>
      </c>
      <c r="Z113" s="34">
        <v>1.03848500644943</v>
      </c>
      <c r="AA113" s="34">
        <v>1.0386715922822101</v>
      </c>
      <c r="AB113" s="33">
        <v>50.6893424892165</v>
      </c>
      <c r="AC113" s="33">
        <v>50.688649142706701</v>
      </c>
      <c r="AD113" s="33">
        <v>50.699144634400398</v>
      </c>
      <c r="AE113" s="15">
        <v>1.4137710109453901E-3</v>
      </c>
      <c r="AF113" s="15">
        <v>1.40009256854167E-3</v>
      </c>
      <c r="AG113" s="15">
        <v>1.60712916220062E-3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3.0303804887317105E-3</v>
      </c>
      <c r="AT113" s="12"/>
      <c r="AU113">
        <f t="shared" si="30"/>
        <v>1</v>
      </c>
      <c r="AV113">
        <f t="shared" si="31"/>
        <v>0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4.5053749778040377E-3</v>
      </c>
      <c r="BE113" s="29">
        <f t="shared" si="42"/>
        <v>0</v>
      </c>
      <c r="BF113" s="29">
        <f t="shared" si="43"/>
        <v>7.5357554665357492E-3</v>
      </c>
      <c r="BH113" s="29"/>
    </row>
    <row r="114" spans="1:60" x14ac:dyDescent="0.25">
      <c r="A114" s="1">
        <v>46188</v>
      </c>
      <c r="B114" s="33">
        <v>48.27</v>
      </c>
      <c r="C114" s="33">
        <v>50.39</v>
      </c>
      <c r="D114" s="15">
        <v>2.0718947551602099E-4</v>
      </c>
      <c r="E114" s="15">
        <v>1.3901303003216201E-3</v>
      </c>
      <c r="F114" s="33">
        <v>0</v>
      </c>
      <c r="G114" s="33">
        <v>0.55059999999999998</v>
      </c>
      <c r="H114" s="33">
        <v>0</v>
      </c>
      <c r="I114" s="33">
        <v>0.29772999999999999</v>
      </c>
      <c r="J114" s="33">
        <v>0.55059999999999998</v>
      </c>
      <c r="K114" s="33">
        <v>0.29772999999999999</v>
      </c>
      <c r="L114" s="33">
        <v>48.820599999999999</v>
      </c>
      <c r="M114" s="33">
        <v>50.687730000000002</v>
      </c>
      <c r="N114" s="34">
        <v>1.0439196188108499</v>
      </c>
      <c r="O114" s="34">
        <v>1.0403907452411401</v>
      </c>
      <c r="P114" s="34">
        <v>1.04417159448869</v>
      </c>
      <c r="Q114" s="34">
        <v>1.04312315110711</v>
      </c>
      <c r="R114" s="33">
        <v>50.219661272789899</v>
      </c>
      <c r="S114" s="33">
        <v>50.402867916894401</v>
      </c>
      <c r="T114" s="33">
        <v>50.352606952963001</v>
      </c>
      <c r="U114" s="15">
        <v>-3.3861338526018098E-3</v>
      </c>
      <c r="V114" s="15">
        <v>2.5533387887996702E-4</v>
      </c>
      <c r="W114" s="15">
        <v>-7.4234824539827504E-4</v>
      </c>
      <c r="X114" s="34">
        <v>1.0382447163697199</v>
      </c>
      <c r="Y114" s="34">
        <v>1.0384904608674399</v>
      </c>
      <c r="Z114" s="34">
        <v>1.0384724312764599</v>
      </c>
      <c r="AA114" s="34">
        <v>1.0385307415395</v>
      </c>
      <c r="AB114" s="33">
        <v>50.699727393825199</v>
      </c>
      <c r="AC114" s="33">
        <v>50.699461105865304</v>
      </c>
      <c r="AD114" s="33">
        <v>50.708570338172997</v>
      </c>
      <c r="AE114" s="15">
        <v>2.36664261825318E-4</v>
      </c>
      <c r="AF114" s="15">
        <v>2.3141199178557199E-4</v>
      </c>
      <c r="AG114" s="15">
        <v>4.1106703887540299E-4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3.0303804887317105E-3</v>
      </c>
      <c r="AT114" s="12"/>
      <c r="AU114">
        <f t="shared" si="30"/>
        <v>0</v>
      </c>
      <c r="AV114">
        <f t="shared" si="31"/>
        <v>0</v>
      </c>
      <c r="AW114">
        <f t="shared" si="38"/>
        <v>1</v>
      </c>
      <c r="AX114">
        <f t="shared" si="25"/>
        <v>1</v>
      </c>
      <c r="AY114">
        <f t="shared" si="39"/>
        <v>1</v>
      </c>
      <c r="AZ114" s="28">
        <f t="shared" si="32"/>
        <v>-2.0718947551602099E-4</v>
      </c>
      <c r="BA114" s="28">
        <f t="shared" si="33"/>
        <v>1.3901303003216201E-3</v>
      </c>
      <c r="BB114" s="28">
        <f t="shared" si="40"/>
        <v>1.182940824805599E-3</v>
      </c>
      <c r="BC114" s="29">
        <f t="shared" si="41"/>
        <v>5.6883158026096369E-3</v>
      </c>
      <c r="BE114" s="29">
        <f t="shared" si="42"/>
        <v>1.182940824805599E-3</v>
      </c>
      <c r="BF114" s="29">
        <f t="shared" si="43"/>
        <v>8.7186962913413484E-3</v>
      </c>
      <c r="BH114" s="29"/>
    </row>
    <row r="115" spans="1:60" x14ac:dyDescent="0.25">
      <c r="A115" s="1">
        <v>46189</v>
      </c>
      <c r="B115" s="33">
        <v>48.33</v>
      </c>
      <c r="C115" s="33">
        <v>50.46</v>
      </c>
      <c r="D115" s="15">
        <v>1.2422361845911101E-3</v>
      </c>
      <c r="E115" s="15">
        <v>1.3882005204049401E-3</v>
      </c>
      <c r="F115" s="33">
        <v>0</v>
      </c>
      <c r="G115" s="33">
        <v>0.55059999999999998</v>
      </c>
      <c r="H115" s="33">
        <v>0</v>
      </c>
      <c r="I115" s="33">
        <v>0.29772999999999999</v>
      </c>
      <c r="J115" s="33">
        <v>0.55059999999999998</v>
      </c>
      <c r="K115" s="33">
        <v>0.29772999999999999</v>
      </c>
      <c r="L115" s="33">
        <v>48.880600000000001</v>
      </c>
      <c r="M115" s="33">
        <v>50.757730000000002</v>
      </c>
      <c r="N115" s="34">
        <v>1.0440720049658501</v>
      </c>
      <c r="O115" s="34">
        <v>1.0403907452411401</v>
      </c>
      <c r="P115" s="34">
        <v>1.0442841891761501</v>
      </c>
      <c r="Q115" s="34">
        <v>1.0431359756740599</v>
      </c>
      <c r="R115" s="33">
        <v>50.282084717504397</v>
      </c>
      <c r="S115" s="33">
        <v>50.464813161638702</v>
      </c>
      <c r="T115" s="33">
        <v>50.414141893006899</v>
      </c>
      <c r="U115" s="15">
        <v>-3.5320981884157799E-3</v>
      </c>
      <c r="V115" s="15">
        <v>9.53811355531749E-5</v>
      </c>
      <c r="W115" s="15">
        <v>-9.0921437925699797E-4</v>
      </c>
      <c r="X115" s="34">
        <v>1.0384023518532901</v>
      </c>
      <c r="Y115" s="34">
        <v>1.0384904608674399</v>
      </c>
      <c r="Z115" s="34">
        <v>1.0385852661836401</v>
      </c>
      <c r="AA115" s="34">
        <v>1.0384240915026099</v>
      </c>
      <c r="AB115" s="33">
        <v>50.762036821477203</v>
      </c>
      <c r="AC115" s="33">
        <v>50.761155524252302</v>
      </c>
      <c r="AD115" s="33">
        <v>50.764005764895899</v>
      </c>
      <c r="AE115" s="15">
        <v>8.4846953745140204E-5</v>
      </c>
      <c r="AF115" s="15">
        <v>6.7485458216670196E-5</v>
      </c>
      <c r="AG115" s="15">
        <v>1.23633916552175E-4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3.0303804887317105E-3</v>
      </c>
      <c r="AT115" s="12"/>
      <c r="AU115">
        <f t="shared" si="30"/>
        <v>0</v>
      </c>
      <c r="AV115">
        <f t="shared" si="31"/>
        <v>0</v>
      </c>
      <c r="AW115">
        <f t="shared" si="38"/>
        <v>1</v>
      </c>
      <c r="AX115">
        <f t="shared" si="25"/>
        <v>1</v>
      </c>
      <c r="AY115">
        <f t="shared" si="39"/>
        <v>1</v>
      </c>
      <c r="AZ115" s="28">
        <f t="shared" si="32"/>
        <v>-1.2422361845911101E-3</v>
      </c>
      <c r="BA115" s="28">
        <f t="shared" si="33"/>
        <v>1.3882005204049401E-3</v>
      </c>
      <c r="BB115" s="28">
        <f t="shared" si="40"/>
        <v>1.4596433581383003E-4</v>
      </c>
      <c r="BC115" s="29">
        <f t="shared" si="41"/>
        <v>5.834280138423467E-3</v>
      </c>
      <c r="BE115" s="29">
        <f t="shared" si="42"/>
        <v>1.4596433581383003E-4</v>
      </c>
      <c r="BF115" s="29">
        <f t="shared" si="43"/>
        <v>8.8646606271551784E-3</v>
      </c>
      <c r="BH115" s="29"/>
    </row>
    <row r="116" spans="1:60" x14ac:dyDescent="0.25">
      <c r="A116" s="1">
        <v>46190</v>
      </c>
      <c r="B116" s="33">
        <v>48.31</v>
      </c>
      <c r="C116" s="33">
        <v>50.43</v>
      </c>
      <c r="D116" s="15">
        <v>-4.1390729067732702E-4</v>
      </c>
      <c r="E116" s="15">
        <v>-5.9470712427777599E-4</v>
      </c>
      <c r="F116" s="33">
        <v>0</v>
      </c>
      <c r="G116" s="33">
        <v>0.55059999999999998</v>
      </c>
      <c r="H116" s="33">
        <v>0</v>
      </c>
      <c r="I116" s="33">
        <v>0.29772999999999999</v>
      </c>
      <c r="J116" s="33">
        <v>0.55059999999999998</v>
      </c>
      <c r="K116" s="33">
        <v>0.29772999999999999</v>
      </c>
      <c r="L116" s="33">
        <v>48.860599999999998</v>
      </c>
      <c r="M116" s="33">
        <v>50.727730000000001</v>
      </c>
      <c r="N116" s="34">
        <v>1.0438832539846801</v>
      </c>
      <c r="O116" s="34">
        <v>1.0403907452411401</v>
      </c>
      <c r="P116" s="34">
        <v>1.04421696595917</v>
      </c>
      <c r="Q116" s="34">
        <v>1.04313429891123</v>
      </c>
      <c r="R116" s="33">
        <v>50.261276902599498</v>
      </c>
      <c r="S116" s="33">
        <v>50.449369179100003</v>
      </c>
      <c r="T116" s="33">
        <v>50.3938989848142</v>
      </c>
      <c r="U116" s="15">
        <v>-3.3512983548153602E-3</v>
      </c>
      <c r="V116" s="15">
        <v>3.840067497587E-4</v>
      </c>
      <c r="W116" s="15">
        <v>-7.1612022728852296E-4</v>
      </c>
      <c r="X116" s="34">
        <v>1.0382134071214799</v>
      </c>
      <c r="Y116" s="34">
        <v>1.0384904608674399</v>
      </c>
      <c r="Z116" s="34">
        <v>1.03852207274018</v>
      </c>
      <c r="AA116" s="34">
        <v>1.03830335211615</v>
      </c>
      <c r="AB116" s="33">
        <v>50.741267012259897</v>
      </c>
      <c r="AC116" s="33">
        <v>50.7458992568924</v>
      </c>
      <c r="AD116" s="33">
        <v>50.738024165272698</v>
      </c>
      <c r="AE116" s="15">
        <v>2.6682065929187898E-4</v>
      </c>
      <c r="AF116" s="15">
        <v>3.5810795809166002E-4</v>
      </c>
      <c r="AG116" s="15">
        <v>2.02909156743615E-4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3.0303804887317105E-3</v>
      </c>
      <c r="AT116" s="12"/>
      <c r="AU116">
        <f t="shared" si="30"/>
        <v>0</v>
      </c>
      <c r="AV116">
        <f t="shared" si="31"/>
        <v>0</v>
      </c>
      <c r="AW116">
        <f t="shared" si="38"/>
        <v>1</v>
      </c>
      <c r="AX116">
        <f t="shared" si="25"/>
        <v>1</v>
      </c>
      <c r="AY116">
        <f t="shared" si="39"/>
        <v>1</v>
      </c>
      <c r="AZ116" s="28">
        <f t="shared" si="32"/>
        <v>4.1390729067732702E-4</v>
      </c>
      <c r="BA116" s="28">
        <f t="shared" si="33"/>
        <v>-5.9470712427777599E-4</v>
      </c>
      <c r="BB116" s="28">
        <f t="shared" si="40"/>
        <v>-1.8079983360044896E-4</v>
      </c>
      <c r="BC116" s="29">
        <f t="shared" si="41"/>
        <v>5.6534803048230182E-3</v>
      </c>
      <c r="BE116" s="29">
        <f t="shared" si="42"/>
        <v>-1.8079983360044896E-4</v>
      </c>
      <c r="BF116" s="29">
        <f t="shared" si="43"/>
        <v>8.6838607935547287E-3</v>
      </c>
      <c r="BH116" s="29"/>
    </row>
    <row r="117" spans="1:60" x14ac:dyDescent="0.25">
      <c r="A117" s="1">
        <v>46191</v>
      </c>
      <c r="B117" s="33">
        <v>48.35</v>
      </c>
      <c r="C117" s="33">
        <v>50.53</v>
      </c>
      <c r="D117" s="15">
        <v>8.2764333298801604E-4</v>
      </c>
      <c r="E117" s="15">
        <v>1.98098321518328E-3</v>
      </c>
      <c r="F117" s="33">
        <v>0</v>
      </c>
      <c r="G117" s="33">
        <v>0.55059999999999998</v>
      </c>
      <c r="H117" s="33">
        <v>0</v>
      </c>
      <c r="I117" s="33">
        <v>0.29772999999999999</v>
      </c>
      <c r="J117" s="33">
        <v>0.55059999999999998</v>
      </c>
      <c r="K117" s="33">
        <v>0.29772999999999999</v>
      </c>
      <c r="L117" s="33">
        <v>48.900599999999997</v>
      </c>
      <c r="M117" s="33">
        <v>50.827730000000003</v>
      </c>
      <c r="N117" s="34">
        <v>1.04508790072388</v>
      </c>
      <c r="O117" s="34">
        <v>1.0403907452411401</v>
      </c>
      <c r="P117" s="34">
        <v>1.0442748408901299</v>
      </c>
      <c r="Q117" s="34">
        <v>1.04324971231136</v>
      </c>
      <c r="R117" s="33">
        <v>50.302892532409203</v>
      </c>
      <c r="S117" s="33">
        <v>50.487890304126097</v>
      </c>
      <c r="T117" s="33">
        <v>50.435543352358003</v>
      </c>
      <c r="U117" s="15">
        <v>-4.5046382370105302E-3</v>
      </c>
      <c r="V117" s="15">
        <v>-8.3370773604962397E-4</v>
      </c>
      <c r="W117" s="15">
        <v>-1.871067535768E-3</v>
      </c>
      <c r="X117" s="34">
        <v>1.03940912790436</v>
      </c>
      <c r="Y117" s="34">
        <v>1.0384904608674399</v>
      </c>
      <c r="Z117" s="34">
        <v>1.03858244529463</v>
      </c>
      <c r="AA117" s="34">
        <v>1.0382976212356101</v>
      </c>
      <c r="AB117" s="33">
        <v>50.782806630694601</v>
      </c>
      <c r="AC117" s="33">
        <v>50.784352470238503</v>
      </c>
      <c r="AD117" s="33">
        <v>50.773656900491098</v>
      </c>
      <c r="AE117" s="15">
        <v>-8.8422665054153904E-4</v>
      </c>
      <c r="AF117" s="15">
        <v>-8.5378689899761001E-4</v>
      </c>
      <c r="AG117" s="15">
        <v>-1.06441666327224E-3</v>
      </c>
      <c r="AI117" s="12"/>
      <c r="AJ117">
        <f t="shared" si="26"/>
        <v>0</v>
      </c>
      <c r="AK117">
        <f t="shared" si="27"/>
        <v>0</v>
      </c>
      <c r="AL117">
        <f t="shared" si="34"/>
        <v>0</v>
      </c>
      <c r="AM117">
        <f t="shared" si="24"/>
        <v>1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3.0303804887317105E-3</v>
      </c>
      <c r="AT117" s="12"/>
      <c r="AU117">
        <f t="shared" si="30"/>
        <v>0</v>
      </c>
      <c r="AV117">
        <f t="shared" si="31"/>
        <v>1</v>
      </c>
      <c r="AW117">
        <f t="shared" si="38"/>
        <v>1</v>
      </c>
      <c r="AX117">
        <f t="shared" si="25"/>
        <v>1</v>
      </c>
      <c r="AY117">
        <f t="shared" si="39"/>
        <v>1</v>
      </c>
      <c r="AZ117" s="28">
        <f t="shared" si="32"/>
        <v>-8.2764333298801604E-4</v>
      </c>
      <c r="BA117" s="28">
        <f t="shared" si="33"/>
        <v>1.98098321518328E-3</v>
      </c>
      <c r="BB117" s="28">
        <f t="shared" si="40"/>
        <v>1.1533398821952641E-3</v>
      </c>
      <c r="BC117" s="29">
        <f t="shared" si="41"/>
        <v>6.8068201870182827E-3</v>
      </c>
      <c r="BE117" s="29">
        <f t="shared" si="42"/>
        <v>1.1533398821952641E-3</v>
      </c>
      <c r="BF117" s="29">
        <f t="shared" si="43"/>
        <v>9.8372006757499932E-3</v>
      </c>
      <c r="BH117" s="29"/>
    </row>
    <row r="118" spans="1:60" x14ac:dyDescent="0.25">
      <c r="A118" s="1">
        <v>46195</v>
      </c>
      <c r="B118" s="33">
        <v>48.27</v>
      </c>
      <c r="C118" s="33">
        <v>50.45</v>
      </c>
      <c r="D118" s="15">
        <v>-1.6559722269017701E-3</v>
      </c>
      <c r="E118" s="15">
        <v>-1.58447250419917E-3</v>
      </c>
      <c r="F118" s="33">
        <v>0</v>
      </c>
      <c r="G118" s="33">
        <v>0.55059999999999998</v>
      </c>
      <c r="H118" s="33">
        <v>0</v>
      </c>
      <c r="I118" s="33">
        <v>0.29772999999999999</v>
      </c>
      <c r="J118" s="33">
        <v>0.55059999999999998</v>
      </c>
      <c r="K118" s="33">
        <v>0.29772999999999999</v>
      </c>
      <c r="L118" s="33">
        <v>48.820599999999999</v>
      </c>
      <c r="M118" s="33">
        <v>50.747729999999997</v>
      </c>
      <c r="N118" s="34">
        <v>1.0451626268904</v>
      </c>
      <c r="O118" s="34">
        <v>1.0403907452411401</v>
      </c>
      <c r="P118" s="34">
        <v>1.04435452786578</v>
      </c>
      <c r="Q118" s="34">
        <v>1.0433923788788899</v>
      </c>
      <c r="R118" s="33">
        <v>50.219661272789899</v>
      </c>
      <c r="S118" s="33">
        <v>50.407146569766702</v>
      </c>
      <c r="T118" s="33">
        <v>50.357663613269501</v>
      </c>
      <c r="U118" s="15">
        <v>-4.57613795971304E-3</v>
      </c>
      <c r="V118" s="15">
        <v>-8.4978475536138002E-4</v>
      </c>
      <c r="W118" s="15">
        <v>-1.8319323996610899E-3</v>
      </c>
      <c r="X118" s="34">
        <v>1.03947370577174</v>
      </c>
      <c r="Y118" s="34">
        <v>1.0384904608674399</v>
      </c>
      <c r="Z118" s="34">
        <v>1.0386642746717401</v>
      </c>
      <c r="AA118" s="34">
        <v>1.03831822234835</v>
      </c>
      <c r="AB118" s="33">
        <v>50.699727393825199</v>
      </c>
      <c r="AC118" s="33">
        <v>50.704218128751201</v>
      </c>
      <c r="AD118" s="33">
        <v>50.690312847295502</v>
      </c>
      <c r="AE118" s="15">
        <v>-9.4635412242933604E-4</v>
      </c>
      <c r="AF118" s="15">
        <v>-8.5778291534648803E-4</v>
      </c>
      <c r="AG118" s="15">
        <v>-1.1320636168608901E-3</v>
      </c>
      <c r="AI118" s="12"/>
      <c r="AJ118">
        <f t="shared" si="26"/>
        <v>0</v>
      </c>
      <c r="AK118">
        <f t="shared" si="27"/>
        <v>0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3.0303804887317105E-3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6.8068201870182827E-3</v>
      </c>
      <c r="BE118" s="29">
        <f t="shared" si="42"/>
        <v>0</v>
      </c>
      <c r="BF118" s="29">
        <f t="shared" si="43"/>
        <v>9.8372006757499932E-3</v>
      </c>
      <c r="BH118" s="29"/>
    </row>
    <row r="119" spans="1:60" x14ac:dyDescent="0.25">
      <c r="A119" s="1">
        <v>46196</v>
      </c>
      <c r="B119" s="33">
        <v>48.38</v>
      </c>
      <c r="C119" s="33">
        <v>50.46</v>
      </c>
      <c r="D119" s="15">
        <v>2.2762555094796E-3</v>
      </c>
      <c r="E119" s="15">
        <v>1.9819641329375001E-4</v>
      </c>
      <c r="F119" s="33">
        <v>0</v>
      </c>
      <c r="G119" s="33">
        <v>0.55059999999999998</v>
      </c>
      <c r="H119" s="33">
        <v>0</v>
      </c>
      <c r="I119" s="33">
        <v>0.29772999999999999</v>
      </c>
      <c r="J119" s="33">
        <v>0.55059999999999998</v>
      </c>
      <c r="K119" s="33">
        <v>0.29772999999999999</v>
      </c>
      <c r="L119" s="33">
        <v>48.930599999999998</v>
      </c>
      <c r="M119" s="33">
        <v>50.757730000000002</v>
      </c>
      <c r="N119" s="34">
        <v>1.0429929723025999</v>
      </c>
      <c r="O119" s="34">
        <v>1.0403907452411401</v>
      </c>
      <c r="P119" s="34">
        <v>1.04423255293754</v>
      </c>
      <c r="Q119" s="34">
        <v>1.04348210240039</v>
      </c>
      <c r="R119" s="33">
        <v>50.334104254766402</v>
      </c>
      <c r="S119" s="33">
        <v>50.525872058146398</v>
      </c>
      <c r="T119" s="33">
        <v>50.479323290160899</v>
      </c>
      <c r="U119" s="15">
        <v>-2.49807886352712E-3</v>
      </c>
      <c r="V119" s="15">
        <v>1.3045798614481599E-3</v>
      </c>
      <c r="W119" s="15">
        <v>3.8286942624789498E-4</v>
      </c>
      <c r="X119" s="34">
        <v>1.03734125475673</v>
      </c>
      <c r="Y119" s="34">
        <v>1.0384904608674399</v>
      </c>
      <c r="Z119" s="34">
        <v>1.03854869519531</v>
      </c>
      <c r="AA119" s="34">
        <v>1.03828697283685</v>
      </c>
      <c r="AB119" s="33">
        <v>50.8139613445206</v>
      </c>
      <c r="AC119" s="33">
        <v>50.8224661582531</v>
      </c>
      <c r="AD119" s="33">
        <v>50.805533610438303</v>
      </c>
      <c r="AE119" s="15">
        <v>1.1072248482038899E-3</v>
      </c>
      <c r="AF119" s="15">
        <v>1.2745824376290201E-3</v>
      </c>
      <c r="AG119" s="15">
        <v>9.4135639736479403E-4</v>
      </c>
      <c r="AI119" s="12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3.0303804887317105E-3</v>
      </c>
      <c r="AT119" s="12"/>
      <c r="AU119">
        <f t="shared" si="30"/>
        <v>0</v>
      </c>
      <c r="AV119">
        <f t="shared" si="31"/>
        <v>0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6.8068201870182827E-3</v>
      </c>
      <c r="BE119" s="29">
        <f t="shared" si="42"/>
        <v>0</v>
      </c>
      <c r="BF119" s="29">
        <f t="shared" si="43"/>
        <v>9.8372006757499932E-3</v>
      </c>
      <c r="BH119" s="29"/>
    </row>
    <row r="120" spans="1:60" x14ac:dyDescent="0.25">
      <c r="A120" s="1">
        <v>46197</v>
      </c>
      <c r="B120" s="33">
        <v>48.5</v>
      </c>
      <c r="C120" s="33">
        <v>50.58</v>
      </c>
      <c r="D120" s="15">
        <v>2.4772927615561899E-3</v>
      </c>
      <c r="E120" s="15">
        <v>2.3752980289072599E-3</v>
      </c>
      <c r="F120" s="33">
        <v>0</v>
      </c>
      <c r="G120" s="33">
        <v>0.55059999999999998</v>
      </c>
      <c r="H120" s="33">
        <v>0</v>
      </c>
      <c r="I120" s="33">
        <v>0.29772999999999999</v>
      </c>
      <c r="J120" s="33">
        <v>0.55059999999999998</v>
      </c>
      <c r="K120" s="33">
        <v>0.29772999999999999</v>
      </c>
      <c r="L120" s="33">
        <v>49.050600000000003</v>
      </c>
      <c r="M120" s="33">
        <v>50.87773</v>
      </c>
      <c r="N120" s="34">
        <v>1.0428865979381401</v>
      </c>
      <c r="O120" s="34">
        <v>1.0403907452411401</v>
      </c>
      <c r="P120" s="34">
        <v>1.04404111271051</v>
      </c>
      <c r="Q120" s="34">
        <v>1.04359450196348</v>
      </c>
      <c r="R120" s="33">
        <v>50.458951144195403</v>
      </c>
      <c r="S120" s="33">
        <v>50.645278817470803</v>
      </c>
      <c r="T120" s="33">
        <v>50.608881966418998</v>
      </c>
      <c r="U120" s="15">
        <v>-2.3960841308781101E-3</v>
      </c>
      <c r="V120" s="15">
        <v>1.2897732124378899E-3</v>
      </c>
      <c r="W120" s="15">
        <v>5.7085258068034295E-4</v>
      </c>
      <c r="X120" s="34">
        <v>1.03724990112251</v>
      </c>
      <c r="Y120" s="34">
        <v>1.0384904608674399</v>
      </c>
      <c r="Z120" s="34">
        <v>1.03836534878102</v>
      </c>
      <c r="AA120" s="34">
        <v>1.0382783347726501</v>
      </c>
      <c r="AB120" s="33">
        <v>50.938580199824699</v>
      </c>
      <c r="AC120" s="33">
        <v>50.941436628547102</v>
      </c>
      <c r="AD120" s="33">
        <v>50.928598989831301</v>
      </c>
      <c r="AE120" s="15">
        <v>1.19529389643339E-3</v>
      </c>
      <c r="AF120" s="15">
        <v>1.25136826336175E-3</v>
      </c>
      <c r="AG120" s="15">
        <v>9.9932871697606496E-4</v>
      </c>
      <c r="AI120" s="12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3.0303804887317105E-3</v>
      </c>
      <c r="AT120" s="12"/>
      <c r="AU120">
        <f t="shared" si="30"/>
        <v>0</v>
      </c>
      <c r="AV120">
        <f t="shared" si="31"/>
        <v>0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6.8068201870182827E-3</v>
      </c>
      <c r="BE120" s="29">
        <f t="shared" si="42"/>
        <v>0</v>
      </c>
      <c r="BF120" s="29">
        <f t="shared" si="43"/>
        <v>9.8372006757499932E-3</v>
      </c>
      <c r="BH120" s="29"/>
    </row>
    <row r="121" spans="1:60" x14ac:dyDescent="0.25">
      <c r="A121" s="1">
        <v>46198</v>
      </c>
      <c r="B121" s="33">
        <v>48.49</v>
      </c>
      <c r="C121" s="33">
        <v>50.6</v>
      </c>
      <c r="D121" s="15">
        <v>-2.0620682617653599E-4</v>
      </c>
      <c r="E121" s="15">
        <v>3.9533505160080601E-4</v>
      </c>
      <c r="F121" s="33">
        <v>0</v>
      </c>
      <c r="G121" s="33">
        <v>0.55059999999999998</v>
      </c>
      <c r="H121" s="33">
        <v>0</v>
      </c>
      <c r="I121" s="33">
        <v>0.29772999999999999</v>
      </c>
      <c r="J121" s="33">
        <v>0.55059999999999998</v>
      </c>
      <c r="K121" s="33">
        <v>0.29772999999999999</v>
      </c>
      <c r="L121" s="33">
        <v>49.040599999999998</v>
      </c>
      <c r="M121" s="33">
        <v>50.897730000000003</v>
      </c>
      <c r="N121" s="34">
        <v>1.04351412662404</v>
      </c>
      <c r="O121" s="34">
        <v>1.0403907452411401</v>
      </c>
      <c r="P121" s="34">
        <v>1.04384137714745</v>
      </c>
      <c r="Q121" s="34">
        <v>1.04371711829053</v>
      </c>
      <c r="R121" s="33">
        <v>50.448547236742897</v>
      </c>
      <c r="S121" s="33">
        <v>50.625553555332999</v>
      </c>
      <c r="T121" s="33">
        <v>50.603897400209199</v>
      </c>
      <c r="U121" s="15">
        <v>-2.9976260086556602E-3</v>
      </c>
      <c r="V121" s="15">
        <v>5.0488349983536496E-4</v>
      </c>
      <c r="W121" s="15">
        <v>7.7020753376051394E-5</v>
      </c>
      <c r="X121" s="34">
        <v>1.0378692348788501</v>
      </c>
      <c r="Y121" s="34">
        <v>1.0384904608674399</v>
      </c>
      <c r="Z121" s="34">
        <v>1.03817475702658</v>
      </c>
      <c r="AA121" s="34">
        <v>1.03827972659788</v>
      </c>
      <c r="AB121" s="33">
        <v>50.928195295216</v>
      </c>
      <c r="AC121" s="33">
        <v>50.922059723430799</v>
      </c>
      <c r="AD121" s="33">
        <v>50.917792504252098</v>
      </c>
      <c r="AE121" s="15">
        <v>5.9837995160401196E-4</v>
      </c>
      <c r="AF121" s="15">
        <v>4.7789774384610702E-4</v>
      </c>
      <c r="AG121" s="15">
        <v>3.94095203134223E-4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3.0303804887317105E-3</v>
      </c>
      <c r="AT121" s="12"/>
      <c r="AU121">
        <f t="shared" si="30"/>
        <v>0</v>
      </c>
      <c r="AV121">
        <f t="shared" si="31"/>
        <v>0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6.8068201870182827E-3</v>
      </c>
      <c r="BE121" s="29">
        <f t="shared" si="42"/>
        <v>0</v>
      </c>
      <c r="BF121" s="29">
        <f t="shared" si="43"/>
        <v>9.8372006757499932E-3</v>
      </c>
      <c r="BH121" s="29"/>
    </row>
    <row r="122" spans="1:60" x14ac:dyDescent="0.25">
      <c r="A122" s="1">
        <v>46199</v>
      </c>
      <c r="B122" s="33">
        <v>48.51</v>
      </c>
      <c r="C122" s="33">
        <v>50.6</v>
      </c>
      <c r="D122" s="15">
        <v>4.1237113986408898E-4</v>
      </c>
      <c r="E122" s="15">
        <v>0</v>
      </c>
      <c r="F122" s="33">
        <v>0</v>
      </c>
      <c r="G122" s="33">
        <v>0.55059999999999998</v>
      </c>
      <c r="H122" s="33">
        <v>0</v>
      </c>
      <c r="I122" s="33">
        <v>0.29772999999999999</v>
      </c>
      <c r="J122" s="33">
        <v>0.55059999999999998</v>
      </c>
      <c r="K122" s="33">
        <v>0.29772999999999999</v>
      </c>
      <c r="L122" s="33">
        <v>49.060600000000001</v>
      </c>
      <c r="M122" s="33">
        <v>50.897730000000003</v>
      </c>
      <c r="N122" s="34">
        <v>1.04308390022675</v>
      </c>
      <c r="O122" s="34">
        <v>1.0403907452411401</v>
      </c>
      <c r="P122" s="34">
        <v>1.0437288456259199</v>
      </c>
      <c r="Q122" s="34">
        <v>1.0438302855356001</v>
      </c>
      <c r="R122" s="33">
        <v>50.469355051647803</v>
      </c>
      <c r="S122" s="33">
        <v>50.636745205422898</v>
      </c>
      <c r="T122" s="33">
        <v>50.630717408273902</v>
      </c>
      <c r="U122" s="15">
        <v>-2.5852548687914198E-3</v>
      </c>
      <c r="V122" s="15">
        <v>7.2592628224180502E-4</v>
      </c>
      <c r="W122" s="15">
        <v>6.0687921617367895E-4</v>
      </c>
      <c r="X122" s="34">
        <v>1.0374461380415201</v>
      </c>
      <c r="Y122" s="34">
        <v>1.0384904608674399</v>
      </c>
      <c r="Z122" s="34">
        <v>1.0380673148330599</v>
      </c>
      <c r="AA122" s="34">
        <v>1.03827178543285</v>
      </c>
      <c r="AB122" s="33">
        <v>50.948965104433398</v>
      </c>
      <c r="AC122" s="33">
        <v>50.9334764845783</v>
      </c>
      <c r="AD122" s="33">
        <v>50.9386263547282</v>
      </c>
      <c r="AE122" s="15">
        <v>1.0061221663189199E-3</v>
      </c>
      <c r="AF122" s="15">
        <v>7.0207330897296397E-4</v>
      </c>
      <c r="AG122" s="15">
        <v>8.03177929585711E-4</v>
      </c>
      <c r="AI122" s="12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3.0303804887317105E-3</v>
      </c>
      <c r="AT122" s="12"/>
      <c r="AU122">
        <f t="shared" si="30"/>
        <v>0</v>
      </c>
      <c r="AV122">
        <f t="shared" si="31"/>
        <v>0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6.8068201870182827E-3</v>
      </c>
      <c r="BE122" s="29">
        <f t="shared" si="42"/>
        <v>0</v>
      </c>
      <c r="BF122" s="29">
        <f t="shared" si="43"/>
        <v>9.8372006757499932E-3</v>
      </c>
      <c r="BH122" s="29"/>
    </row>
    <row r="123" spans="1:60" x14ac:dyDescent="0.25">
      <c r="A123" s="1">
        <v>46202</v>
      </c>
      <c r="B123" s="33">
        <v>48.52</v>
      </c>
      <c r="C123" s="33">
        <v>50.61</v>
      </c>
      <c r="D123" s="15">
        <v>2.06121818724327E-4</v>
      </c>
      <c r="E123" s="15">
        <v>1.9760893256665099E-4</v>
      </c>
      <c r="F123" s="33">
        <v>0</v>
      </c>
      <c r="G123" s="33">
        <v>0.55059999999999998</v>
      </c>
      <c r="H123" s="33">
        <v>0</v>
      </c>
      <c r="I123" s="33">
        <v>0.29772999999999999</v>
      </c>
      <c r="J123" s="33">
        <v>0.55059999999999998</v>
      </c>
      <c r="K123" s="33">
        <v>0.29772999999999999</v>
      </c>
      <c r="L123" s="33">
        <v>49.070599999999999</v>
      </c>
      <c r="M123" s="33">
        <v>50.907730000000001</v>
      </c>
      <c r="N123" s="34">
        <v>1.0430750206100501</v>
      </c>
      <c r="O123" s="34">
        <v>1.0403907452411401</v>
      </c>
      <c r="P123" s="34">
        <v>1.0437678023077299</v>
      </c>
      <c r="Q123" s="34">
        <v>1.04397700159818</v>
      </c>
      <c r="R123" s="33">
        <v>50.479758959100202</v>
      </c>
      <c r="S123" s="33">
        <v>50.641723589769597</v>
      </c>
      <c r="T123" s="33">
        <v>50.646645454187698</v>
      </c>
      <c r="U123" s="15">
        <v>-2.57674198263391E-3</v>
      </c>
      <c r="V123" s="15">
        <v>6.2662816361037498E-4</v>
      </c>
      <c r="W123" s="15">
        <v>7.2381334821566498E-4</v>
      </c>
      <c r="X123" s="34">
        <v>1.0374385069675101</v>
      </c>
      <c r="Y123" s="34">
        <v>1.0384904608674399</v>
      </c>
      <c r="Z123" s="34">
        <v>1.0381088344787699</v>
      </c>
      <c r="AA123" s="34">
        <v>1.0382969204640999</v>
      </c>
      <c r="AB123" s="33">
        <v>50.959350009042097</v>
      </c>
      <c r="AC123" s="33">
        <v>50.938585979247399</v>
      </c>
      <c r="AD123" s="33">
        <v>50.948619474261299</v>
      </c>
      <c r="AE123" s="15">
        <v>1.01347782730044E-3</v>
      </c>
      <c r="AF123" s="15">
        <v>6.0593218114706501E-4</v>
      </c>
      <c r="AG123" s="15">
        <v>8.0288517444352401E-4</v>
      </c>
      <c r="AI123" s="12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3.0303804887317105E-3</v>
      </c>
      <c r="AT123" s="12"/>
      <c r="AU123">
        <f t="shared" si="30"/>
        <v>0</v>
      </c>
      <c r="AV123">
        <f t="shared" si="31"/>
        <v>0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6.8068201870182827E-3</v>
      </c>
      <c r="BE123" s="29">
        <f t="shared" si="42"/>
        <v>0</v>
      </c>
      <c r="BF123" s="29">
        <f t="shared" si="43"/>
        <v>9.8372006757499932E-3</v>
      </c>
      <c r="BH123" s="29"/>
    </row>
    <row r="124" spans="1:60" x14ac:dyDescent="0.25">
      <c r="A124" s="1">
        <v>46203</v>
      </c>
      <c r="B124" s="33">
        <v>48.43</v>
      </c>
      <c r="C124" s="33">
        <v>50.6</v>
      </c>
      <c r="D124" s="15">
        <v>-1.8566276607117299E-3</v>
      </c>
      <c r="E124" s="15">
        <v>-1.9760893256676201E-4</v>
      </c>
      <c r="F124" s="33">
        <v>0</v>
      </c>
      <c r="G124" s="33">
        <v>0.55059999999999998</v>
      </c>
      <c r="H124" s="33">
        <v>0</v>
      </c>
      <c r="I124" s="33">
        <v>0.29772999999999999</v>
      </c>
      <c r="J124" s="33">
        <v>0.55059999999999998</v>
      </c>
      <c r="K124" s="33">
        <v>0.29772999999999999</v>
      </c>
      <c r="L124" s="33">
        <v>48.980600000000003</v>
      </c>
      <c r="M124" s="33">
        <v>50.897730000000003</v>
      </c>
      <c r="N124" s="34">
        <v>1.0448069378484399</v>
      </c>
      <c r="O124" s="34">
        <v>1.0403907452411401</v>
      </c>
      <c r="P124" s="34">
        <v>1.0438565342114801</v>
      </c>
      <c r="Q124" s="34">
        <v>1.0440140643500899</v>
      </c>
      <c r="R124" s="33">
        <v>50.386123792028499</v>
      </c>
      <c r="S124" s="33">
        <v>50.549674665763298</v>
      </c>
      <c r="T124" s="33">
        <v>50.5598061873999</v>
      </c>
      <c r="U124" s="15">
        <v>-4.2357607107788402E-3</v>
      </c>
      <c r="V124" s="15">
        <v>-9.950667375929049E-4</v>
      </c>
      <c r="W124" s="15">
        <v>-7.9465978099452098E-4</v>
      </c>
      <c r="X124" s="34">
        <v>1.03914059852268</v>
      </c>
      <c r="Y124" s="34">
        <v>1.0384904608674399</v>
      </c>
      <c r="Z124" s="34">
        <v>1.0381984226940699</v>
      </c>
      <c r="AA124" s="34">
        <v>1.03833542698526</v>
      </c>
      <c r="AB124" s="33">
        <v>50.865885867564003</v>
      </c>
      <c r="AC124" s="33">
        <v>50.847193578071099</v>
      </c>
      <c r="AD124" s="33">
        <v>50.856406142484097</v>
      </c>
      <c r="AE124" s="15">
        <v>-6.25845164873461E-4</v>
      </c>
      <c r="AF124" s="15">
        <v>-9.9339454603922998E-4</v>
      </c>
      <c r="AG124" s="15">
        <v>-8.1222958307672897E-4</v>
      </c>
      <c r="AI124" s="12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0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3.0303804887317105E-3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0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6.8068201870182827E-3</v>
      </c>
      <c r="BE124" s="29">
        <f t="shared" si="42"/>
        <v>0</v>
      </c>
      <c r="BF124" s="29">
        <f t="shared" si="43"/>
        <v>9.8372006757499932E-3</v>
      </c>
      <c r="BH124" s="29"/>
    </row>
    <row r="125" spans="1:60" x14ac:dyDescent="0.25">
      <c r="A125" s="1">
        <v>46204</v>
      </c>
      <c r="B125" s="33">
        <v>48.27</v>
      </c>
      <c r="C125" s="33">
        <v>50.16</v>
      </c>
      <c r="D125" s="15">
        <v>-3.3092067427361498E-3</v>
      </c>
      <c r="E125" s="15">
        <v>-8.7336799687546592E-3</v>
      </c>
      <c r="F125" s="33">
        <v>0.11119999999999999</v>
      </c>
      <c r="G125" s="33">
        <v>0.66179999999999894</v>
      </c>
      <c r="H125" s="33">
        <v>0.41535</v>
      </c>
      <c r="I125" s="33">
        <v>0.71307999999999905</v>
      </c>
      <c r="J125" s="33">
        <v>0.66179999999999894</v>
      </c>
      <c r="K125" s="33">
        <v>0.71307999999999905</v>
      </c>
      <c r="L125" s="33">
        <v>48.931800000000003</v>
      </c>
      <c r="M125" s="33">
        <v>50.873079999999902</v>
      </c>
      <c r="N125" s="34">
        <v>1.0391547545058999</v>
      </c>
      <c r="O125" s="34">
        <v>1.0403907452411401</v>
      </c>
      <c r="P125" s="34">
        <v>1.0433648091654899</v>
      </c>
      <c r="Q125" s="34">
        <v>1.0438244991708201</v>
      </c>
      <c r="R125" s="33">
        <v>50.219661272789899</v>
      </c>
      <c r="S125" s="33">
        <v>50.386954906388503</v>
      </c>
      <c r="T125" s="33">
        <v>50.394558886178999</v>
      </c>
      <c r="U125" s="15">
        <v>1.1887125152397001E-3</v>
      </c>
      <c r="V125" s="15">
        <v>4.5144140276268301E-3</v>
      </c>
      <c r="W125" s="15">
        <v>4.6653143171485802E-3</v>
      </c>
      <c r="X125" s="34">
        <v>1.03967317776987</v>
      </c>
      <c r="Y125" s="34">
        <v>1.0384904608674399</v>
      </c>
      <c r="Z125" s="34">
        <v>1.0383255052857201</v>
      </c>
      <c r="AA125" s="34">
        <v>1.0384553857346801</v>
      </c>
      <c r="AB125" s="33">
        <v>50.815207533073597</v>
      </c>
      <c r="AC125" s="33">
        <v>50.8009175795817</v>
      </c>
      <c r="AD125" s="33">
        <v>50.807621446157697</v>
      </c>
      <c r="AE125" s="15">
        <v>-1.13823282068059E-3</v>
      </c>
      <c r="AF125" s="15">
        <v>-1.4194864813632099E-3</v>
      </c>
      <c r="AG125" s="15">
        <v>-1.2875316939019599E-3</v>
      </c>
      <c r="AI125" s="12"/>
      <c r="AJ125">
        <f t="shared" si="26"/>
        <v>0</v>
      </c>
      <c r="AK125">
        <f t="shared" si="27"/>
        <v>0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3.0303804887317105E-3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6.8068201870182827E-3</v>
      </c>
      <c r="BE125" s="29">
        <f t="shared" si="42"/>
        <v>0</v>
      </c>
      <c r="BF125" s="29">
        <f t="shared" si="43"/>
        <v>9.8372006757499932E-3</v>
      </c>
      <c r="BH125" s="29"/>
    </row>
    <row r="126" spans="1:60" x14ac:dyDescent="0.25">
      <c r="A126" s="1">
        <v>46205</v>
      </c>
      <c r="B126" s="33">
        <v>48.24</v>
      </c>
      <c r="C126" s="33">
        <v>50.13</v>
      </c>
      <c r="D126" s="15">
        <v>-6.2169725347150403E-4</v>
      </c>
      <c r="E126" s="15">
        <v>-5.9826504925312497E-4</v>
      </c>
      <c r="F126" s="33">
        <v>0</v>
      </c>
      <c r="G126" s="33">
        <v>0.66179999999999894</v>
      </c>
      <c r="H126" s="33">
        <v>0</v>
      </c>
      <c r="I126" s="33">
        <v>0.71307999999999905</v>
      </c>
      <c r="J126" s="33">
        <v>0.66179999999999894</v>
      </c>
      <c r="K126" s="33">
        <v>0.71307999999999905</v>
      </c>
      <c r="L126" s="33">
        <v>48.901800000000001</v>
      </c>
      <c r="M126" s="33">
        <v>50.84308</v>
      </c>
      <c r="N126" s="34">
        <v>1.03917910447761</v>
      </c>
      <c r="O126" s="34">
        <v>1.0403907452411401</v>
      </c>
      <c r="P126" s="34">
        <v>1.0428943942147799</v>
      </c>
      <c r="Q126" s="34">
        <v>1.0435556800869801</v>
      </c>
      <c r="R126" s="33">
        <v>50.188449550432701</v>
      </c>
      <c r="S126" s="33">
        <v>50.331918394143401</v>
      </c>
      <c r="T126" s="33">
        <v>50.354093840000502</v>
      </c>
      <c r="U126" s="15">
        <v>1.16528031102136E-3</v>
      </c>
      <c r="V126" s="15">
        <v>4.0198051016362198E-3</v>
      </c>
      <c r="W126" s="15">
        <v>4.4602922303575597E-3</v>
      </c>
      <c r="X126" s="34">
        <v>1.03969751624684</v>
      </c>
      <c r="Y126" s="34">
        <v>1.0384904608674399</v>
      </c>
      <c r="Z126" s="34">
        <v>1.0384739161982599</v>
      </c>
      <c r="AA126" s="34">
        <v>1.0384979944692201</v>
      </c>
      <c r="AB126" s="33">
        <v>50.784052819247599</v>
      </c>
      <c r="AC126" s="33">
        <v>50.775986194381602</v>
      </c>
      <c r="AD126" s="33">
        <v>50.782337582120398</v>
      </c>
      <c r="AE126" s="15">
        <v>-1.16164228493952E-3</v>
      </c>
      <c r="AF126" s="15">
        <v>-1.3204965934121599E-3</v>
      </c>
      <c r="AG126" s="15">
        <v>-1.19541796842278E-3</v>
      </c>
      <c r="AI126" s="12"/>
      <c r="AJ126">
        <f t="shared" si="26"/>
        <v>0</v>
      </c>
      <c r="AK126">
        <f t="shared" si="27"/>
        <v>0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3.0303804887317105E-3</v>
      </c>
      <c r="AT126" s="12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6.8068201870182827E-3</v>
      </c>
      <c r="BE126" s="29">
        <f t="shared" si="42"/>
        <v>0</v>
      </c>
      <c r="BF126" s="29">
        <f t="shared" si="43"/>
        <v>9.8372006757499932E-3</v>
      </c>
      <c r="BH126" s="29"/>
    </row>
    <row r="127" spans="1:60" x14ac:dyDescent="0.25">
      <c r="A127" s="1">
        <v>46209</v>
      </c>
      <c r="B127" s="33">
        <v>48.22</v>
      </c>
      <c r="C127" s="33">
        <v>50.11</v>
      </c>
      <c r="D127" s="15">
        <v>-4.1467966590509299E-4</v>
      </c>
      <c r="E127" s="15">
        <v>-3.99042303778839E-4</v>
      </c>
      <c r="F127" s="33">
        <v>0</v>
      </c>
      <c r="G127" s="33">
        <v>0.66179999999999894</v>
      </c>
      <c r="H127" s="33">
        <v>0</v>
      </c>
      <c r="I127" s="33">
        <v>0.71307999999999905</v>
      </c>
      <c r="J127" s="33">
        <v>0.66179999999999894</v>
      </c>
      <c r="K127" s="33">
        <v>0.71307999999999905</v>
      </c>
      <c r="L127" s="33">
        <v>48.881799999999998</v>
      </c>
      <c r="M127" s="33">
        <v>50.823079999999997</v>
      </c>
      <c r="N127" s="34">
        <v>1.03919535462463</v>
      </c>
      <c r="O127" s="34">
        <v>1.0403907452411401</v>
      </c>
      <c r="P127" s="34">
        <v>1.0423051396048599</v>
      </c>
      <c r="Q127" s="34">
        <v>1.0432899902474899</v>
      </c>
      <c r="R127" s="33">
        <v>50.167641735527802</v>
      </c>
      <c r="S127" s="33">
        <v>50.288367689036903</v>
      </c>
      <c r="T127" s="33">
        <v>50.3202548937942</v>
      </c>
      <c r="U127" s="15">
        <v>1.14964294889513E-3</v>
      </c>
      <c r="V127" s="15">
        <v>3.55320272239474E-3</v>
      </c>
      <c r="W127" s="15">
        <v>4.1870888646818099E-3</v>
      </c>
      <c r="X127" s="34">
        <v>1.03971375849498</v>
      </c>
      <c r="Y127" s="34">
        <v>1.0384904608674399</v>
      </c>
      <c r="Z127" s="34">
        <v>1.0385043792573201</v>
      </c>
      <c r="AA127" s="34">
        <v>1.03854341227598</v>
      </c>
      <c r="AB127" s="33">
        <v>50.7632830100303</v>
      </c>
      <c r="AC127" s="33">
        <v>50.762474276820299</v>
      </c>
      <c r="AD127" s="33">
        <v>50.763651266045599</v>
      </c>
      <c r="AE127" s="15">
        <v>-1.17726425288183E-3</v>
      </c>
      <c r="AF127" s="15">
        <v>-1.19319583973417E-3</v>
      </c>
      <c r="AG127" s="15">
        <v>-1.17000990174864E-3</v>
      </c>
      <c r="AI127" s="12"/>
      <c r="AJ127">
        <f t="shared" si="26"/>
        <v>0</v>
      </c>
      <c r="AK127">
        <f t="shared" si="27"/>
        <v>0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3.0303804887317105E-3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6.8068201870182827E-3</v>
      </c>
      <c r="BE127" s="29">
        <f t="shared" si="42"/>
        <v>0</v>
      </c>
      <c r="BF127" s="29">
        <f t="shared" si="43"/>
        <v>9.8372006757499932E-3</v>
      </c>
      <c r="BH127" s="29"/>
    </row>
    <row r="128" spans="1:60" x14ac:dyDescent="0.25">
      <c r="A128" s="1">
        <v>46210</v>
      </c>
      <c r="B128" s="33">
        <v>48.02</v>
      </c>
      <c r="C128" s="33">
        <v>49.94</v>
      </c>
      <c r="D128" s="15">
        <v>-4.1562819599177498E-3</v>
      </c>
      <c r="E128" s="15">
        <v>-3.3983041200061999E-3</v>
      </c>
      <c r="F128" s="33">
        <v>0</v>
      </c>
      <c r="G128" s="33">
        <v>0.66179999999999894</v>
      </c>
      <c r="H128" s="33">
        <v>0</v>
      </c>
      <c r="I128" s="33">
        <v>0.71307999999999905</v>
      </c>
      <c r="J128" s="33">
        <v>0.66179999999999894</v>
      </c>
      <c r="K128" s="33">
        <v>0.71307999999999905</v>
      </c>
      <c r="L128" s="33">
        <v>48.681800000000003</v>
      </c>
      <c r="M128" s="33">
        <v>50.653079999999903</v>
      </c>
      <c r="N128" s="34">
        <v>1.0399833402748799</v>
      </c>
      <c r="O128" s="34">
        <v>1.0403907452411401</v>
      </c>
      <c r="P128" s="34">
        <v>1.0417872109433</v>
      </c>
      <c r="Q128" s="34">
        <v>1.0430708694045401</v>
      </c>
      <c r="R128" s="33">
        <v>49.959563586479597</v>
      </c>
      <c r="S128" s="33">
        <v>50.051492803825397</v>
      </c>
      <c r="T128" s="33">
        <v>50.098785331684802</v>
      </c>
      <c r="U128" s="15">
        <v>3.9166510898329599E-4</v>
      </c>
      <c r="V128" s="15">
        <v>2.2300467150672102E-3</v>
      </c>
      <c r="W128" s="15">
        <v>3.1744780687293301E-3</v>
      </c>
      <c r="X128" s="34">
        <v>1.04049316171546</v>
      </c>
      <c r="Y128" s="34">
        <v>1.0384904608674399</v>
      </c>
      <c r="Z128" s="34">
        <v>1.0386063248516899</v>
      </c>
      <c r="AA128" s="34">
        <v>1.0386352997617201</v>
      </c>
      <c r="AB128" s="33">
        <v>50.555584917856798</v>
      </c>
      <c r="AC128" s="33">
        <v>50.556262490129299</v>
      </c>
      <c r="AD128" s="33">
        <v>50.558162687736797</v>
      </c>
      <c r="AE128" s="15">
        <v>-1.92661591533769E-3</v>
      </c>
      <c r="AF128" s="15">
        <v>-1.91321348446755E-3</v>
      </c>
      <c r="AG128" s="15">
        <v>-1.8756283900682601E-3</v>
      </c>
      <c r="AI128" s="12"/>
      <c r="AJ128">
        <f t="shared" si="26"/>
        <v>0</v>
      </c>
      <c r="AK128">
        <f t="shared" si="27"/>
        <v>0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3.0303804887317105E-3</v>
      </c>
      <c r="AT128" s="12"/>
      <c r="AU128">
        <f t="shared" si="30"/>
        <v>0</v>
      </c>
      <c r="AV128">
        <f t="shared" si="31"/>
        <v>1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6.8068201870182827E-3</v>
      </c>
      <c r="BE128" s="29">
        <f t="shared" si="42"/>
        <v>0</v>
      </c>
      <c r="BF128" s="29">
        <f t="shared" si="43"/>
        <v>9.8372006757499932E-3</v>
      </c>
      <c r="BH128" s="29"/>
    </row>
    <row r="129" spans="1:60" x14ac:dyDescent="0.25">
      <c r="A129" s="1">
        <v>46211</v>
      </c>
      <c r="B129" s="33">
        <v>47.83</v>
      </c>
      <c r="C129" s="33">
        <v>49.81</v>
      </c>
      <c r="D129" s="15">
        <v>-3.9645331009017697E-3</v>
      </c>
      <c r="E129" s="15">
        <v>-2.6065177664350799E-3</v>
      </c>
      <c r="F129" s="33">
        <v>0</v>
      </c>
      <c r="G129" s="33">
        <v>0.66179999999999894</v>
      </c>
      <c r="H129" s="33">
        <v>0</v>
      </c>
      <c r="I129" s="33">
        <v>0.71307999999999905</v>
      </c>
      <c r="J129" s="33">
        <v>0.66179999999999894</v>
      </c>
      <c r="K129" s="33">
        <v>0.71307999999999905</v>
      </c>
      <c r="L129" s="33">
        <v>48.491799999999998</v>
      </c>
      <c r="M129" s="33">
        <v>50.52308</v>
      </c>
      <c r="N129" s="34">
        <v>1.0413966130043899</v>
      </c>
      <c r="O129" s="34">
        <v>1.0403907452411401</v>
      </c>
      <c r="P129" s="34">
        <v>1.04162757501348</v>
      </c>
      <c r="Q129" s="34">
        <v>1.0429300639755099</v>
      </c>
      <c r="R129" s="33">
        <v>49.761889344883798</v>
      </c>
      <c r="S129" s="33">
        <v>49.828682299418404</v>
      </c>
      <c r="T129" s="33">
        <v>49.890079683619298</v>
      </c>
      <c r="U129" s="15">
        <v>-9.6635022548324301E-4</v>
      </c>
      <c r="V129" s="15">
        <v>3.7500093751240501E-4</v>
      </c>
      <c r="W129" s="15">
        <v>1.6064119726755699E-3</v>
      </c>
      <c r="X129" s="34">
        <v>1.04188914414395</v>
      </c>
      <c r="Y129" s="34">
        <v>1.0384904608674399</v>
      </c>
      <c r="Z129" s="34">
        <v>1.03906111379042</v>
      </c>
      <c r="AA129" s="34">
        <v>1.03880490449286</v>
      </c>
      <c r="AB129" s="33">
        <v>50.358271730292003</v>
      </c>
      <c r="AC129" s="33">
        <v>50.363890183443601</v>
      </c>
      <c r="AD129" s="33">
        <v>50.365295228985303</v>
      </c>
      <c r="AE129" s="15">
        <v>-3.26737129314237E-3</v>
      </c>
      <c r="AF129" s="15">
        <v>-3.1558078983401801E-3</v>
      </c>
      <c r="AG129" s="15">
        <v>-3.1279104119046898E-3</v>
      </c>
      <c r="AI129" s="12"/>
      <c r="AJ129">
        <f t="shared" si="26"/>
        <v>1</v>
      </c>
      <c r="AK129">
        <f t="shared" si="27"/>
        <v>0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3.0303804887317105E-3</v>
      </c>
      <c r="AT129" s="12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6.8068201870182827E-3</v>
      </c>
      <c r="BE129" s="29">
        <f t="shared" si="42"/>
        <v>0</v>
      </c>
      <c r="BF129" s="29">
        <f t="shared" si="43"/>
        <v>9.8372006757499932E-3</v>
      </c>
      <c r="BH129" s="29"/>
    </row>
    <row r="130" spans="1:60" x14ac:dyDescent="0.25">
      <c r="A130" s="1">
        <v>46212</v>
      </c>
      <c r="B130" s="33">
        <v>48.02</v>
      </c>
      <c r="C130" s="33">
        <v>49.9</v>
      </c>
      <c r="D130" s="15">
        <v>3.9645331009017801E-3</v>
      </c>
      <c r="E130" s="15">
        <v>1.80523567228093E-3</v>
      </c>
      <c r="F130" s="33">
        <v>0</v>
      </c>
      <c r="G130" s="33">
        <v>0.66179999999999894</v>
      </c>
      <c r="H130" s="33">
        <v>0</v>
      </c>
      <c r="I130" s="33">
        <v>0.71307999999999905</v>
      </c>
      <c r="J130" s="33">
        <v>0.66179999999999894</v>
      </c>
      <c r="K130" s="33">
        <v>0.71307999999999905</v>
      </c>
      <c r="L130" s="33">
        <v>48.681800000000003</v>
      </c>
      <c r="M130" s="33">
        <v>50.613079999999997</v>
      </c>
      <c r="N130" s="34">
        <v>1.03915035401915</v>
      </c>
      <c r="O130" s="34">
        <v>1.0403907452411401</v>
      </c>
      <c r="P130" s="34">
        <v>1.0412539506215801</v>
      </c>
      <c r="Q130" s="34">
        <v>1.04264753166605</v>
      </c>
      <c r="R130" s="33">
        <v>49.959563586479597</v>
      </c>
      <c r="S130" s="33">
        <v>50.018956152147602</v>
      </c>
      <c r="T130" s="33">
        <v>50.081501672104203</v>
      </c>
      <c r="U130" s="15">
        <v>1.1929472031375001E-3</v>
      </c>
      <c r="V130" s="15">
        <v>2.3810538646447301E-3</v>
      </c>
      <c r="W130" s="15">
        <v>3.6307090501553601E-3</v>
      </c>
      <c r="X130" s="34">
        <v>1.0396714994104499</v>
      </c>
      <c r="Y130" s="34">
        <v>1.0384904608674399</v>
      </c>
      <c r="Z130" s="34">
        <v>1.03930327361921</v>
      </c>
      <c r="AA130" s="34">
        <v>1.0388343112001199</v>
      </c>
      <c r="AB130" s="33">
        <v>50.555584917856798</v>
      </c>
      <c r="AC130" s="33">
        <v>50.583365329322497</v>
      </c>
      <c r="AD130" s="33">
        <v>50.570892599540798</v>
      </c>
      <c r="AE130" s="15">
        <v>-1.1366185049427101E-3</v>
      </c>
      <c r="AF130" s="15">
        <v>-5.8726710083056995E-4</v>
      </c>
      <c r="AG130" s="15">
        <v>-8.3387520414326998E-4</v>
      </c>
      <c r="AI130" s="12"/>
      <c r="AJ130">
        <f t="shared" si="26"/>
        <v>0</v>
      </c>
      <c r="AK130">
        <f t="shared" si="27"/>
        <v>1</v>
      </c>
      <c r="AL130">
        <f t="shared" si="34"/>
        <v>1</v>
      </c>
      <c r="AM130">
        <f t="shared" si="24"/>
        <v>1</v>
      </c>
      <c r="AN130">
        <f t="shared" si="35"/>
        <v>1</v>
      </c>
      <c r="AO130" s="28">
        <f t="shared" si="28"/>
        <v>3.9645331009017801E-3</v>
      </c>
      <c r="AP130" s="28">
        <f t="shared" si="29"/>
        <v>-1.80523567228093E-3</v>
      </c>
      <c r="AQ130" s="28">
        <f t="shared" si="36"/>
        <v>2.1592974286208499E-3</v>
      </c>
      <c r="AR130" s="29">
        <f t="shared" si="37"/>
        <v>5.1896779173525604E-3</v>
      </c>
      <c r="AT130" s="12"/>
      <c r="AU130">
        <f t="shared" si="30"/>
        <v>0</v>
      </c>
      <c r="AV130">
        <f t="shared" si="31"/>
        <v>1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6.8068201870182827E-3</v>
      </c>
      <c r="BE130" s="29">
        <f t="shared" si="42"/>
        <v>2.1592974286208499E-3</v>
      </c>
      <c r="BF130" s="29">
        <f t="shared" si="43"/>
        <v>1.1996498104370843E-2</v>
      </c>
      <c r="BH130" s="29"/>
    </row>
    <row r="131" spans="1:60" x14ac:dyDescent="0.25">
      <c r="A131" s="1">
        <v>46213</v>
      </c>
      <c r="B131" s="33">
        <v>48.08</v>
      </c>
      <c r="C131" s="33">
        <v>49.99</v>
      </c>
      <c r="D131" s="15">
        <v>1.24869943384479E-3</v>
      </c>
      <c r="E131" s="15">
        <v>1.80198266800611E-3</v>
      </c>
      <c r="F131" s="33">
        <v>0</v>
      </c>
      <c r="G131" s="33">
        <v>0.66179999999999894</v>
      </c>
      <c r="H131" s="33">
        <v>0</v>
      </c>
      <c r="I131" s="33">
        <v>0.71307999999999905</v>
      </c>
      <c r="J131" s="33">
        <v>0.66179999999999894</v>
      </c>
      <c r="K131" s="33">
        <v>0.71307999999999905</v>
      </c>
      <c r="L131" s="33">
        <v>48.741799999999998</v>
      </c>
      <c r="M131" s="33">
        <v>50.70308</v>
      </c>
      <c r="N131" s="34">
        <v>1.03972545757071</v>
      </c>
      <c r="O131" s="34">
        <v>1.0403907452411401</v>
      </c>
      <c r="P131" s="34">
        <v>1.0408750837162499</v>
      </c>
      <c r="Q131" s="34">
        <v>1.0423582304318499</v>
      </c>
      <c r="R131" s="33">
        <v>50.021987031194101</v>
      </c>
      <c r="S131" s="33">
        <v>50.063489945885998</v>
      </c>
      <c r="T131" s="33">
        <v>50.130493322503803</v>
      </c>
      <c r="U131" s="15">
        <v>6.3966396897643604E-4</v>
      </c>
      <c r="V131" s="15">
        <v>1.4690134075622499E-3</v>
      </c>
      <c r="W131" s="15">
        <v>2.8064866653437701E-3</v>
      </c>
      <c r="X131" s="34">
        <v>1.0402381528790401</v>
      </c>
      <c r="Y131" s="34">
        <v>1.0384904608674399</v>
      </c>
      <c r="Z131" s="34">
        <v>1.03954016541923</v>
      </c>
      <c r="AA131" s="34">
        <v>1.0388574612229</v>
      </c>
      <c r="AB131" s="33">
        <v>50.617894345508802</v>
      </c>
      <c r="AC131" s="33">
        <v>50.657512302092996</v>
      </c>
      <c r="AD131" s="33">
        <v>50.634654229653997</v>
      </c>
      <c r="AE131" s="15">
        <v>-1.68150129058433E-3</v>
      </c>
      <c r="AF131" s="15">
        <v>-8.9912065314130699E-4</v>
      </c>
      <c r="AG131" s="15">
        <v>-1.35045018058066E-3</v>
      </c>
      <c r="AI131" s="12"/>
      <c r="AJ131">
        <f t="shared" si="26"/>
        <v>0</v>
      </c>
      <c r="AK131">
        <f t="shared" si="27"/>
        <v>0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5.1896779173525604E-3</v>
      </c>
      <c r="AT131" s="12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6.8068201870182827E-3</v>
      </c>
      <c r="BE131" s="29">
        <f t="shared" si="42"/>
        <v>0</v>
      </c>
      <c r="BF131" s="29">
        <f t="shared" si="43"/>
        <v>1.1996498104370843E-2</v>
      </c>
      <c r="BH131" s="29"/>
    </row>
    <row r="132" spans="1:60" x14ac:dyDescent="0.25">
      <c r="A132" s="1">
        <v>46216</v>
      </c>
      <c r="B132" s="33">
        <v>47.89</v>
      </c>
      <c r="C132" s="33">
        <v>49.82</v>
      </c>
      <c r="D132" s="15">
        <v>-3.9595758724341396E-3</v>
      </c>
      <c r="E132" s="15">
        <v>-3.4064755914446502E-3</v>
      </c>
      <c r="F132" s="33">
        <v>0</v>
      </c>
      <c r="G132" s="33">
        <v>0.66179999999999894</v>
      </c>
      <c r="H132" s="33">
        <v>0</v>
      </c>
      <c r="I132" s="33">
        <v>0.71307999999999905</v>
      </c>
      <c r="J132" s="33">
        <v>0.66179999999999894</v>
      </c>
      <c r="K132" s="33">
        <v>0.71307999999999905</v>
      </c>
      <c r="L132" s="33">
        <v>48.5518</v>
      </c>
      <c r="M132" s="33">
        <v>50.533079999999998</v>
      </c>
      <c r="N132" s="34">
        <v>1.04030068907913</v>
      </c>
      <c r="O132" s="34">
        <v>1.0403907452411401</v>
      </c>
      <c r="P132" s="34">
        <v>1.04059676260149</v>
      </c>
      <c r="Q132" s="34">
        <v>1.0421628041137001</v>
      </c>
      <c r="R132" s="33">
        <v>49.824312789598302</v>
      </c>
      <c r="S132" s="33">
        <v>49.847507759171499</v>
      </c>
      <c r="T132" s="33">
        <v>49.918535655381497</v>
      </c>
      <c r="U132" s="15">
        <v>8.6563687986861902E-5</v>
      </c>
      <c r="V132" s="15">
        <v>5.51990523058351E-4</v>
      </c>
      <c r="W132" s="15">
        <v>1.9758799704012102E-3</v>
      </c>
      <c r="X132" s="34">
        <v>1.0408075498745599</v>
      </c>
      <c r="Y132" s="34">
        <v>1.0384904608674399</v>
      </c>
      <c r="Z132" s="34">
        <v>1.0398763066025301</v>
      </c>
      <c r="AA132" s="34">
        <v>1.0389718107178001</v>
      </c>
      <c r="AB132" s="33">
        <v>50.420581157944</v>
      </c>
      <c r="AC132" s="33">
        <v>50.471546203401601</v>
      </c>
      <c r="AD132" s="33">
        <v>50.438399685802402</v>
      </c>
      <c r="AE132" s="15">
        <v>-2.2287233039923501E-3</v>
      </c>
      <c r="AF132" s="15">
        <v>-1.2184353632902301E-3</v>
      </c>
      <c r="AG132" s="15">
        <v>-1.8753878271772599E-3</v>
      </c>
      <c r="AI132" s="12"/>
      <c r="AJ132">
        <f t="shared" si="26"/>
        <v>0</v>
      </c>
      <c r="AK132">
        <f t="shared" si="27"/>
        <v>0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5.1896779173525604E-3</v>
      </c>
      <c r="AT132" s="12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6.8068201870182827E-3</v>
      </c>
      <c r="BE132" s="29">
        <f t="shared" si="42"/>
        <v>0</v>
      </c>
      <c r="BF132" s="29">
        <f t="shared" si="43"/>
        <v>1.1996498104370843E-2</v>
      </c>
      <c r="BH132" s="29"/>
    </row>
    <row r="133" spans="1:60" x14ac:dyDescent="0.25">
      <c r="A133" s="1">
        <v>46217</v>
      </c>
      <c r="B133" s="33">
        <v>47.96</v>
      </c>
      <c r="C133" s="33">
        <v>49.91</v>
      </c>
      <c r="D133" s="15">
        <v>1.4606158047955899E-3</v>
      </c>
      <c r="E133" s="15">
        <v>1.80487364748334E-3</v>
      </c>
      <c r="F133" s="33">
        <v>0</v>
      </c>
      <c r="G133" s="33">
        <v>0.66179999999999894</v>
      </c>
      <c r="H133" s="33">
        <v>0</v>
      </c>
      <c r="I133" s="33">
        <v>0.71307999999999905</v>
      </c>
      <c r="J133" s="33">
        <v>0.66179999999999894</v>
      </c>
      <c r="K133" s="33">
        <v>0.71307999999999905</v>
      </c>
      <c r="L133" s="33">
        <v>48.6218</v>
      </c>
      <c r="M133" s="33">
        <v>50.623079999999902</v>
      </c>
      <c r="N133" s="34">
        <v>1.040658882402</v>
      </c>
      <c r="O133" s="34">
        <v>1.0403907452411401</v>
      </c>
      <c r="P133" s="34">
        <v>1.0403551487806799</v>
      </c>
      <c r="Q133" s="34">
        <v>1.0420614755441999</v>
      </c>
      <c r="R133" s="33">
        <v>49.897140141765099</v>
      </c>
      <c r="S133" s="33">
        <v>49.907020734367599</v>
      </c>
      <c r="T133" s="33">
        <v>49.982128085293397</v>
      </c>
      <c r="U133" s="15">
        <v>-2.5769415470093402E-4</v>
      </c>
      <c r="V133" s="15">
        <v>-5.9694541297605298E-5</v>
      </c>
      <c r="W133" s="15">
        <v>1.44411975620289E-3</v>
      </c>
      <c r="X133" s="34">
        <v>1.0411601380450699</v>
      </c>
      <c r="Y133" s="34">
        <v>1.0384904608674399</v>
      </c>
      <c r="Z133" s="34">
        <v>1.0402484697102901</v>
      </c>
      <c r="AA133" s="34">
        <v>1.0391786520945301</v>
      </c>
      <c r="AB133" s="33">
        <v>50.493275490204702</v>
      </c>
      <c r="AC133" s="33">
        <v>50.560657804367303</v>
      </c>
      <c r="AD133" s="33">
        <v>50.516679586358798</v>
      </c>
      <c r="AE133" s="15">
        <v>-2.5674299764580398E-3</v>
      </c>
      <c r="AF133" s="15">
        <v>-1.2338386564138E-3</v>
      </c>
      <c r="AG133" s="15">
        <v>-2.1040281948185402E-3</v>
      </c>
      <c r="AI133" s="12"/>
      <c r="AJ133">
        <f t="shared" si="26"/>
        <v>0</v>
      </c>
      <c r="AK133">
        <f t="shared" si="27"/>
        <v>0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5.1896779173525604E-3</v>
      </c>
      <c r="AT133" s="12"/>
      <c r="AU133">
        <f t="shared" si="30"/>
        <v>0</v>
      </c>
      <c r="AV133">
        <f t="shared" si="31"/>
        <v>1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6.8068201870182827E-3</v>
      </c>
      <c r="BE133" s="29">
        <f t="shared" si="42"/>
        <v>0</v>
      </c>
      <c r="BF133" s="29">
        <f t="shared" si="43"/>
        <v>1.1996498104370843E-2</v>
      </c>
      <c r="BH133" s="29"/>
    </row>
    <row r="134" spans="1:60" x14ac:dyDescent="0.25">
      <c r="A134" s="1">
        <v>46218</v>
      </c>
      <c r="B134" s="33">
        <v>48.03</v>
      </c>
      <c r="C134" s="33">
        <v>49.96</v>
      </c>
      <c r="D134" s="15">
        <v>1.4584855174194699E-3</v>
      </c>
      <c r="E134" s="15">
        <v>1.0013017758590699E-3</v>
      </c>
      <c r="F134" s="33">
        <v>0</v>
      </c>
      <c r="G134" s="33">
        <v>0.66179999999999894</v>
      </c>
      <c r="H134" s="33">
        <v>0</v>
      </c>
      <c r="I134" s="33">
        <v>0.71307999999999905</v>
      </c>
      <c r="J134" s="33">
        <v>0.66179999999999894</v>
      </c>
      <c r="K134" s="33">
        <v>0.71307999999999905</v>
      </c>
      <c r="L134" s="33">
        <v>48.691800000000001</v>
      </c>
      <c r="M134" s="33">
        <v>50.673079999999999</v>
      </c>
      <c r="N134" s="34">
        <v>1.0401832188215601</v>
      </c>
      <c r="O134" s="34">
        <v>1.0403907452411401</v>
      </c>
      <c r="P134" s="34">
        <v>1.039892776878</v>
      </c>
      <c r="Q134" s="34">
        <v>1.04187465554474</v>
      </c>
      <c r="R134" s="33">
        <v>49.969967493932003</v>
      </c>
      <c r="S134" s="33">
        <v>49.968257795936402</v>
      </c>
      <c r="T134" s="33">
        <v>50.050212670388298</v>
      </c>
      <c r="U134" s="15">
        <v>1.99489586859526E-4</v>
      </c>
      <c r="V134" s="15">
        <v>1.6527449066778199E-4</v>
      </c>
      <c r="W134" s="15">
        <v>1.80406965343399E-3</v>
      </c>
      <c r="X134" s="34">
        <v>1.04069021888695</v>
      </c>
      <c r="Y134" s="34">
        <v>1.0384904608674399</v>
      </c>
      <c r="Z134" s="34">
        <v>1.0404034317467199</v>
      </c>
      <c r="AA134" s="34">
        <v>1.0393009272203899</v>
      </c>
      <c r="AB134" s="33">
        <v>50.565969822465497</v>
      </c>
      <c r="AC134" s="33">
        <v>50.651570437439702</v>
      </c>
      <c r="AD134" s="33">
        <v>50.599479092056697</v>
      </c>
      <c r="AE134" s="15">
        <v>-2.1159862263997E-3</v>
      </c>
      <c r="AF134" s="15">
        <v>-4.2456722604955499E-4</v>
      </c>
      <c r="AG134" s="15">
        <v>-1.4535214980517101E-3</v>
      </c>
      <c r="AI134" s="12"/>
      <c r="AJ134">
        <f t="shared" si="26"/>
        <v>0</v>
      </c>
      <c r="AK134">
        <f t="shared" si="27"/>
        <v>0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5.1896779173525604E-3</v>
      </c>
      <c r="AT134" s="12"/>
      <c r="AU134">
        <f t="shared" si="30"/>
        <v>0</v>
      </c>
      <c r="AV134">
        <f t="shared" si="31"/>
        <v>1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6.8068201870182827E-3</v>
      </c>
      <c r="BE134" s="29">
        <f t="shared" si="42"/>
        <v>0</v>
      </c>
      <c r="BF134" s="29">
        <f t="shared" si="43"/>
        <v>1.1996498104370843E-2</v>
      </c>
      <c r="BH134" s="29"/>
    </row>
    <row r="135" spans="1:60" x14ac:dyDescent="0.25">
      <c r="A135" s="1">
        <v>46219</v>
      </c>
      <c r="B135" s="33">
        <v>47.96</v>
      </c>
      <c r="C135" s="33">
        <v>49.89</v>
      </c>
      <c r="D135" s="15">
        <v>-1.4584855174195599E-3</v>
      </c>
      <c r="E135" s="15">
        <v>-1.40210338443095E-3</v>
      </c>
      <c r="F135" s="33">
        <v>0</v>
      </c>
      <c r="G135" s="33">
        <v>0.66179999999999894</v>
      </c>
      <c r="H135" s="33">
        <v>0</v>
      </c>
      <c r="I135" s="33">
        <v>0.71307999999999905</v>
      </c>
      <c r="J135" s="33">
        <v>0.66179999999999894</v>
      </c>
      <c r="K135" s="33">
        <v>0.71307999999999905</v>
      </c>
      <c r="L135" s="33">
        <v>48.6218</v>
      </c>
      <c r="M135" s="33">
        <v>50.603079999999999</v>
      </c>
      <c r="N135" s="34">
        <v>1.0402418682235099</v>
      </c>
      <c r="O135" s="34">
        <v>1.0403907452411401</v>
      </c>
      <c r="P135" s="34">
        <v>1.0400014882497599</v>
      </c>
      <c r="Q135" s="34">
        <v>1.0416831487076199</v>
      </c>
      <c r="R135" s="33">
        <v>49.897140141765099</v>
      </c>
      <c r="S135" s="33">
        <v>49.873257579068898</v>
      </c>
      <c r="T135" s="33">
        <v>49.968308479925902</v>
      </c>
      <c r="U135" s="15">
        <v>1.4310745387086999E-4</v>
      </c>
      <c r="V135" s="15">
        <v>-3.3564303120217501E-4</v>
      </c>
      <c r="W135" s="15">
        <v>1.56839219831189E-3</v>
      </c>
      <c r="X135" s="34">
        <v>1.0407487999210201</v>
      </c>
      <c r="Y135" s="34">
        <v>1.0384904608674399</v>
      </c>
      <c r="Z135" s="34">
        <v>1.04051099396183</v>
      </c>
      <c r="AA135" s="34">
        <v>1.03941824962378</v>
      </c>
      <c r="AB135" s="33">
        <v>50.493275490204702</v>
      </c>
      <c r="AC135" s="33">
        <v>50.586287577702798</v>
      </c>
      <c r="AD135" s="33">
        <v>50.532681823124598</v>
      </c>
      <c r="AE135" s="15">
        <v>-2.1722752010473502E-3</v>
      </c>
      <c r="AF135" s="15">
        <v>-3.3190092701050801E-4</v>
      </c>
      <c r="AG135" s="15">
        <v>-1.3921522313392E-3</v>
      </c>
      <c r="AI135" s="12"/>
      <c r="AJ135">
        <f t="shared" si="26"/>
        <v>0</v>
      </c>
      <c r="AK135">
        <f t="shared" si="27"/>
        <v>0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5.1896779173525604E-3</v>
      </c>
      <c r="AT135" s="12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6.8068201870182827E-3</v>
      </c>
      <c r="BE135" s="29">
        <f t="shared" si="42"/>
        <v>0</v>
      </c>
      <c r="BF135" s="29">
        <f t="shared" si="43"/>
        <v>1.1996498104370843E-2</v>
      </c>
      <c r="BH135" s="29"/>
    </row>
    <row r="136" spans="1:60" x14ac:dyDescent="0.25">
      <c r="A136" s="1">
        <v>46220</v>
      </c>
      <c r="B136" s="33">
        <v>47.93</v>
      </c>
      <c r="C136" s="33">
        <v>49.85</v>
      </c>
      <c r="D136" s="15">
        <v>-6.2571698777356196E-4</v>
      </c>
      <c r="E136" s="15">
        <v>-8.0208546509869005E-4</v>
      </c>
      <c r="F136" s="33">
        <v>0</v>
      </c>
      <c r="G136" s="33">
        <v>0.66179999999999894</v>
      </c>
      <c r="H136" s="33">
        <v>0</v>
      </c>
      <c r="I136" s="33">
        <v>0.71307999999999905</v>
      </c>
      <c r="J136" s="33">
        <v>0.66179999999999894</v>
      </c>
      <c r="K136" s="33">
        <v>0.71307999999999905</v>
      </c>
      <c r="L136" s="33">
        <v>48.591799999999999</v>
      </c>
      <c r="M136" s="33">
        <v>50.563079999999999</v>
      </c>
      <c r="N136" s="34">
        <v>1.0400584185270101</v>
      </c>
      <c r="O136" s="34">
        <v>1.0403907452411401</v>
      </c>
      <c r="P136" s="34">
        <v>1.0400894196546999</v>
      </c>
      <c r="Q136" s="34">
        <v>1.0414919069347399</v>
      </c>
      <c r="R136" s="33">
        <v>49.865928419407901</v>
      </c>
      <c r="S136" s="33">
        <v>49.8472713318111</v>
      </c>
      <c r="T136" s="33">
        <v>49.927873317556603</v>
      </c>
      <c r="U136" s="15">
        <v>3.1947593119583301E-4</v>
      </c>
      <c r="V136" s="15">
        <v>-5.4739074662458499E-5</v>
      </c>
      <c r="W136" s="15">
        <v>1.5609339180922301E-3</v>
      </c>
      <c r="X136" s="34">
        <v>1.0405681617062901</v>
      </c>
      <c r="Y136" s="34">
        <v>1.0384904608674399</v>
      </c>
      <c r="Z136" s="34">
        <v>1.0405980585077801</v>
      </c>
      <c r="AA136" s="34">
        <v>1.0395359873530201</v>
      </c>
      <c r="AB136" s="33">
        <v>50.462120776378697</v>
      </c>
      <c r="AC136" s="33">
        <v>50.560302116394801</v>
      </c>
      <c r="AD136" s="33">
        <v>50.5072037020689</v>
      </c>
      <c r="AE136" s="15">
        <v>-1.9986945129438498E-3</v>
      </c>
      <c r="AF136" s="15">
        <v>-5.4940480583653899E-5</v>
      </c>
      <c r="AG136" s="15">
        <v>-1.10569203087231E-3</v>
      </c>
      <c r="AI136" s="12"/>
      <c r="AJ136">
        <f t="shared" si="26"/>
        <v>0</v>
      </c>
      <c r="AK136">
        <f t="shared" si="27"/>
        <v>0</v>
      </c>
      <c r="AL136">
        <f t="shared" si="34"/>
        <v>0</v>
      </c>
      <c r="AM136">
        <f t="shared" si="24"/>
        <v>1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5.1896779173525604E-3</v>
      </c>
      <c r="AT136" s="12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1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6.8068201870182827E-3</v>
      </c>
      <c r="BE136" s="29">
        <f t="shared" si="42"/>
        <v>0</v>
      </c>
      <c r="BF136" s="29">
        <f t="shared" si="43"/>
        <v>1.1996498104370843E-2</v>
      </c>
      <c r="BH136" s="29"/>
    </row>
    <row r="137" spans="1:60" x14ac:dyDescent="0.25">
      <c r="A137" s="1">
        <v>46223</v>
      </c>
      <c r="B137" s="33">
        <v>47.82</v>
      </c>
      <c r="C137" s="33">
        <v>49.8</v>
      </c>
      <c r="D137" s="15">
        <v>-2.2976511413612599E-3</v>
      </c>
      <c r="E137" s="15">
        <v>-1.00351237724013E-3</v>
      </c>
      <c r="F137" s="33">
        <v>0</v>
      </c>
      <c r="G137" s="33">
        <v>0.66179999999999894</v>
      </c>
      <c r="H137" s="33">
        <v>0</v>
      </c>
      <c r="I137" s="33">
        <v>0.71307999999999905</v>
      </c>
      <c r="J137" s="33">
        <v>0.66179999999999894</v>
      </c>
      <c r="K137" s="33">
        <v>0.71307999999999905</v>
      </c>
      <c r="L137" s="33">
        <v>48.4818</v>
      </c>
      <c r="M137" s="33">
        <v>50.513079999999903</v>
      </c>
      <c r="N137" s="34">
        <v>1.0414052697616001</v>
      </c>
      <c r="O137" s="34">
        <v>1.0403907452411401</v>
      </c>
      <c r="P137" s="34">
        <v>1.0403104111684001</v>
      </c>
      <c r="Q137" s="34">
        <v>1.04130777538663</v>
      </c>
      <c r="R137" s="33">
        <v>49.751485437431398</v>
      </c>
      <c r="S137" s="33">
        <v>49.737076047887903</v>
      </c>
      <c r="T137" s="33">
        <v>49.8041429896195</v>
      </c>
      <c r="U137" s="15">
        <v>-9.7466283292518005E-4</v>
      </c>
      <c r="V137" s="15">
        <v>-1.26433210603806E-3</v>
      </c>
      <c r="W137" s="15">
        <v>8.3189102331450895E-5</v>
      </c>
      <c r="X137" s="34">
        <v>1.04189778432318</v>
      </c>
      <c r="Y137" s="34">
        <v>1.0384904608674399</v>
      </c>
      <c r="Z137" s="34">
        <v>1.0408164610906001</v>
      </c>
      <c r="AA137" s="34">
        <v>1.0396604201739601</v>
      </c>
      <c r="AB137" s="33">
        <v>50.347886825683297</v>
      </c>
      <c r="AC137" s="33">
        <v>50.450066952962601</v>
      </c>
      <c r="AD137" s="33">
        <v>50.398575831651797</v>
      </c>
      <c r="AE137" s="15">
        <v>-3.2756640596558499E-3</v>
      </c>
      <c r="AF137" s="15">
        <v>-1.2482387310773001E-3</v>
      </c>
      <c r="AG137" s="15">
        <v>-2.26939527544832E-3</v>
      </c>
      <c r="AI137" s="12"/>
      <c r="AJ137">
        <f t="shared" si="26"/>
        <v>0</v>
      </c>
      <c r="AK137">
        <f t="shared" si="27"/>
        <v>0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5.1896779173525604E-3</v>
      </c>
      <c r="AT137" s="12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6.8068201870182827E-3</v>
      </c>
      <c r="BE137" s="29">
        <f t="shared" si="42"/>
        <v>0</v>
      </c>
      <c r="BF137" s="29">
        <f t="shared" si="43"/>
        <v>1.1996498104370843E-2</v>
      </c>
      <c r="BH137" s="29"/>
    </row>
    <row r="138" spans="1:60" x14ac:dyDescent="0.25">
      <c r="A138" s="1">
        <v>46224</v>
      </c>
      <c r="B138" s="33">
        <v>47.83</v>
      </c>
      <c r="C138" s="33">
        <v>49.78</v>
      </c>
      <c r="D138" s="15">
        <v>2.0909566202673201E-4</v>
      </c>
      <c r="E138" s="15">
        <v>-4.0168709116123299E-4</v>
      </c>
      <c r="F138" s="33">
        <v>0</v>
      </c>
      <c r="G138" s="33">
        <v>0.66179999999999894</v>
      </c>
      <c r="H138" s="33">
        <v>0</v>
      </c>
      <c r="I138" s="33">
        <v>0.71307999999999905</v>
      </c>
      <c r="J138" s="33">
        <v>0.66179999999999894</v>
      </c>
      <c r="K138" s="33">
        <v>0.71307999999999905</v>
      </c>
      <c r="L138" s="33">
        <v>48.491799999999998</v>
      </c>
      <c r="M138" s="33">
        <v>50.493079999999999</v>
      </c>
      <c r="N138" s="34">
        <v>1.0407693915952301</v>
      </c>
      <c r="O138" s="34">
        <v>1.0403907452411401</v>
      </c>
      <c r="P138" s="34">
        <v>1.0403890163004299</v>
      </c>
      <c r="Q138" s="34">
        <v>1.0410881136218699</v>
      </c>
      <c r="R138" s="33">
        <v>49.761889344883798</v>
      </c>
      <c r="S138" s="33">
        <v>49.758046966184502</v>
      </c>
      <c r="T138" s="33">
        <v>49.805750896742502</v>
      </c>
      <c r="U138" s="15">
        <v>-3.6388007973713098E-4</v>
      </c>
      <c r="V138" s="15">
        <v>-4.4109835063994401E-4</v>
      </c>
      <c r="W138" s="15">
        <v>5.17160278144243E-4</v>
      </c>
      <c r="X138" s="34">
        <v>1.0412704828445201</v>
      </c>
      <c r="Y138" s="34">
        <v>1.0384904608674399</v>
      </c>
      <c r="Z138" s="34">
        <v>1.0408941932035001</v>
      </c>
      <c r="AA138" s="34">
        <v>1.0397502590276</v>
      </c>
      <c r="AB138" s="33">
        <v>50.358271730292003</v>
      </c>
      <c r="AC138" s="33">
        <v>50.471063667913299</v>
      </c>
      <c r="AD138" s="33">
        <v>50.415005162991797</v>
      </c>
      <c r="AE138" s="15">
        <v>-2.6734069040389502E-3</v>
      </c>
      <c r="AF138" s="15">
        <v>-4.3612180791699202E-4</v>
      </c>
      <c r="AG138" s="15">
        <v>-1.54744493390656E-3</v>
      </c>
      <c r="AI138" s="12"/>
      <c r="AJ138">
        <f t="shared" si="26"/>
        <v>0</v>
      </c>
      <c r="AK138">
        <f t="shared" si="27"/>
        <v>0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5.1896779173525604E-3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6.8068201870182827E-3</v>
      </c>
      <c r="BE138" s="29">
        <f t="shared" si="42"/>
        <v>0</v>
      </c>
      <c r="BF138" s="29">
        <f t="shared" si="43"/>
        <v>1.1996498104370843E-2</v>
      </c>
      <c r="BH138" s="29"/>
    </row>
    <row r="139" spans="1:60" x14ac:dyDescent="0.25">
      <c r="A139" s="1">
        <v>46225</v>
      </c>
      <c r="B139" s="33">
        <v>47.8</v>
      </c>
      <c r="C139" s="33">
        <v>49.75</v>
      </c>
      <c r="D139" s="15">
        <v>-6.2741819479529505E-4</v>
      </c>
      <c r="E139" s="15">
        <v>-6.0283333484419598E-4</v>
      </c>
      <c r="F139" s="33">
        <v>0</v>
      </c>
      <c r="G139" s="33">
        <v>0.66179999999999894</v>
      </c>
      <c r="H139" s="33">
        <v>0</v>
      </c>
      <c r="I139" s="33">
        <v>0.71307999999999905</v>
      </c>
      <c r="J139" s="33">
        <v>0.66179999999999894</v>
      </c>
      <c r="K139" s="33">
        <v>0.71307999999999905</v>
      </c>
      <c r="L139" s="33">
        <v>48.461799999999997</v>
      </c>
      <c r="M139" s="33">
        <v>50.463079999999998</v>
      </c>
      <c r="N139" s="34">
        <v>1.0407949790794899</v>
      </c>
      <c r="O139" s="34">
        <v>1.0403907452411401</v>
      </c>
      <c r="P139" s="34">
        <v>1.04032885290794</v>
      </c>
      <c r="Q139" s="34">
        <v>1.04097821396071</v>
      </c>
      <c r="R139" s="33">
        <v>49.730677622526599</v>
      </c>
      <c r="S139" s="33">
        <v>49.730594979160799</v>
      </c>
      <c r="T139" s="33">
        <v>49.764011831125401</v>
      </c>
      <c r="U139" s="15">
        <v>-3.8846493968816001E-4</v>
      </c>
      <c r="V139" s="15">
        <v>-3.9012675968388798E-4</v>
      </c>
      <c r="W139" s="15">
        <v>2.81605192279161E-4</v>
      </c>
      <c r="X139" s="34">
        <v>1.04129603110078</v>
      </c>
      <c r="Y139" s="34">
        <v>1.0384904608674399</v>
      </c>
      <c r="Z139" s="34">
        <v>1.0408348818991899</v>
      </c>
      <c r="AA139" s="34">
        <v>1.0399479978448001</v>
      </c>
      <c r="AB139" s="33">
        <v>50.327117016465898</v>
      </c>
      <c r="AC139" s="33">
        <v>50.443606212189799</v>
      </c>
      <c r="AD139" s="33">
        <v>50.388169102943898</v>
      </c>
      <c r="AE139" s="15">
        <v>-2.6979422608620299E-3</v>
      </c>
      <c r="AF139" s="15">
        <v>-3.8597616833800299E-4</v>
      </c>
      <c r="AG139" s="15">
        <v>-1.4855722958169899E-3</v>
      </c>
      <c r="AI139" s="12"/>
      <c r="AJ139">
        <f t="shared" si="26"/>
        <v>0</v>
      </c>
      <c r="AK139">
        <f t="shared" si="27"/>
        <v>0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5.1896779173525604E-3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6.8068201870182827E-3</v>
      </c>
      <c r="BE139" s="29">
        <f t="shared" si="42"/>
        <v>0</v>
      </c>
      <c r="BF139" s="29">
        <f t="shared" si="43"/>
        <v>1.1996498104370843E-2</v>
      </c>
      <c r="BH139" s="29"/>
    </row>
    <row r="140" spans="1:60" x14ac:dyDescent="0.25">
      <c r="A140" s="1">
        <v>46226</v>
      </c>
      <c r="B140" s="33">
        <v>47.71</v>
      </c>
      <c r="C140" s="33">
        <v>49.72</v>
      </c>
      <c r="D140" s="15">
        <v>-1.88461996939454E-3</v>
      </c>
      <c r="E140" s="15">
        <v>-6.0319696209138395E-4</v>
      </c>
      <c r="F140" s="33">
        <v>0</v>
      </c>
      <c r="G140" s="33">
        <v>0.66179999999999894</v>
      </c>
      <c r="H140" s="33">
        <v>0</v>
      </c>
      <c r="I140" s="33">
        <v>0.71307999999999905</v>
      </c>
      <c r="J140" s="33">
        <v>0.66179999999999894</v>
      </c>
      <c r="K140" s="33">
        <v>0.71307999999999905</v>
      </c>
      <c r="L140" s="33">
        <v>48.3718</v>
      </c>
      <c r="M140" s="33">
        <v>50.433079999999997</v>
      </c>
      <c r="N140" s="34">
        <v>1.04212953259274</v>
      </c>
      <c r="O140" s="34">
        <v>1.0403907452411401</v>
      </c>
      <c r="P140" s="34">
        <v>1.0406267707653001</v>
      </c>
      <c r="Q140" s="34">
        <v>1.04094036069344</v>
      </c>
      <c r="R140" s="33">
        <v>49.637042455454797</v>
      </c>
      <c r="S140" s="33">
        <v>49.634089572238103</v>
      </c>
      <c r="T140" s="33">
        <v>49.665070588065703</v>
      </c>
      <c r="U140" s="15">
        <v>-1.6698879469914201E-3</v>
      </c>
      <c r="V140" s="15">
        <v>-1.72937922421052E-3</v>
      </c>
      <c r="W140" s="15">
        <v>-1.1053856922828701E-3</v>
      </c>
      <c r="X140" s="34">
        <v>1.0426132581380001</v>
      </c>
      <c r="Y140" s="34">
        <v>1.0384904608674399</v>
      </c>
      <c r="Z140" s="34">
        <v>1.0411290577719401</v>
      </c>
      <c r="AA140" s="34">
        <v>1.04021616569558</v>
      </c>
      <c r="AB140" s="33">
        <v>50.233652874987897</v>
      </c>
      <c r="AC140" s="33">
        <v>50.347056740251297</v>
      </c>
      <c r="AD140" s="33">
        <v>50.304156562149402</v>
      </c>
      <c r="AE140" s="15">
        <v>-3.9621308888921703E-3</v>
      </c>
      <c r="AF140" s="15">
        <v>-1.70714752773594E-3</v>
      </c>
      <c r="AG140" s="15">
        <v>-2.55959985875514E-3</v>
      </c>
      <c r="AI140" s="12"/>
      <c r="AJ140">
        <f t="shared" si="26"/>
        <v>0</v>
      </c>
      <c r="AK140">
        <f t="shared" si="27"/>
        <v>0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5.1896779173525604E-3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6.8068201870182827E-3</v>
      </c>
      <c r="BE140" s="29">
        <f t="shared" si="42"/>
        <v>0</v>
      </c>
      <c r="BF140" s="29">
        <f t="shared" si="43"/>
        <v>1.1996498104370843E-2</v>
      </c>
      <c r="BH140" s="29"/>
    </row>
    <row r="141" spans="1:60" x14ac:dyDescent="0.25">
      <c r="A141" s="1">
        <v>46227</v>
      </c>
      <c r="B141" s="33">
        <v>47.8</v>
      </c>
      <c r="C141" s="33">
        <v>49.75</v>
      </c>
      <c r="D141" s="15">
        <v>1.8846199693946699E-3</v>
      </c>
      <c r="E141" s="15">
        <v>6.0319696209146895E-4</v>
      </c>
      <c r="F141" s="33">
        <v>0</v>
      </c>
      <c r="G141" s="33">
        <v>0.66179999999999894</v>
      </c>
      <c r="H141" s="33">
        <v>0</v>
      </c>
      <c r="I141" s="33">
        <v>0.71307999999999905</v>
      </c>
      <c r="J141" s="33">
        <v>0.66179999999999894</v>
      </c>
      <c r="K141" s="33">
        <v>0.71307999999999905</v>
      </c>
      <c r="L141" s="33">
        <v>48.461799999999997</v>
      </c>
      <c r="M141" s="33">
        <v>50.463079999999998</v>
      </c>
      <c r="N141" s="34">
        <v>1.0407949790794899</v>
      </c>
      <c r="O141" s="34">
        <v>1.0403907452411401</v>
      </c>
      <c r="P141" s="34">
        <v>1.0407337229161799</v>
      </c>
      <c r="Q141" s="34">
        <v>1.04080440331621</v>
      </c>
      <c r="R141" s="33">
        <v>49.730677622526599</v>
      </c>
      <c r="S141" s="33">
        <v>49.741959642581499</v>
      </c>
      <c r="T141" s="33">
        <v>49.7569492411467</v>
      </c>
      <c r="U141" s="15">
        <v>-3.8846493968816001E-4</v>
      </c>
      <c r="V141" s="15">
        <v>-1.6162828563854001E-4</v>
      </c>
      <c r="W141" s="15">
        <v>1.3967348433588999E-4</v>
      </c>
      <c r="X141" s="34">
        <v>1.04129603110078</v>
      </c>
      <c r="Y141" s="34">
        <v>1.0384904608674399</v>
      </c>
      <c r="Z141" s="34">
        <v>1.0412348455941201</v>
      </c>
      <c r="AA141" s="34">
        <v>1.04038750550667</v>
      </c>
      <c r="AB141" s="33">
        <v>50.327117016465898</v>
      </c>
      <c r="AC141" s="33">
        <v>50.454988171932499</v>
      </c>
      <c r="AD141" s="33">
        <v>50.410747778706103</v>
      </c>
      <c r="AE141" s="15">
        <v>-2.6979422608620299E-3</v>
      </c>
      <c r="AF141" s="15">
        <v>-1.6036430802497499E-4</v>
      </c>
      <c r="AG141" s="15">
        <v>-1.0375778760694199E-3</v>
      </c>
      <c r="AI141" s="12"/>
      <c r="AJ141">
        <f t="shared" si="26"/>
        <v>0</v>
      </c>
      <c r="AK141">
        <f t="shared" si="27"/>
        <v>0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5.1896779173525604E-3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6.8068201870182827E-3</v>
      </c>
      <c r="BE141" s="29">
        <f t="shared" si="42"/>
        <v>0</v>
      </c>
      <c r="BF141" s="29">
        <f t="shared" si="43"/>
        <v>1.1996498104370843E-2</v>
      </c>
      <c r="BH141" s="29"/>
    </row>
    <row r="142" spans="1:60" x14ac:dyDescent="0.25">
      <c r="A142" s="1">
        <v>46230</v>
      </c>
      <c r="B142" s="33">
        <v>47.92</v>
      </c>
      <c r="C142" s="33">
        <v>49.83</v>
      </c>
      <c r="D142" s="15">
        <v>2.5073143097837599E-3</v>
      </c>
      <c r="E142" s="15">
        <v>1.60674868871141E-3</v>
      </c>
      <c r="F142" s="33">
        <v>0</v>
      </c>
      <c r="G142" s="33">
        <v>0.66179999999999894</v>
      </c>
      <c r="H142" s="33">
        <v>0</v>
      </c>
      <c r="I142" s="33">
        <v>0.71307999999999905</v>
      </c>
      <c r="J142" s="33">
        <v>0.66179999999999894</v>
      </c>
      <c r="K142" s="33">
        <v>0.71307999999999905</v>
      </c>
      <c r="L142" s="33">
        <v>48.581800000000001</v>
      </c>
      <c r="M142" s="33">
        <v>50.543079999999897</v>
      </c>
      <c r="N142" s="34">
        <v>1.03985809682804</v>
      </c>
      <c r="O142" s="34">
        <v>1.0403907452411401</v>
      </c>
      <c r="P142" s="34">
        <v>1.04068946369107</v>
      </c>
      <c r="Q142" s="34">
        <v>1.0406431131462801</v>
      </c>
      <c r="R142" s="33">
        <v>49.855524511955501</v>
      </c>
      <c r="S142" s="33">
        <v>49.871960002143503</v>
      </c>
      <c r="T142" s="33">
        <v>49.875347006913202</v>
      </c>
      <c r="U142" s="15">
        <v>5.1210068138400405E-4</v>
      </c>
      <c r="V142" s="15">
        <v>8.4170872107020803E-4</v>
      </c>
      <c r="W142" s="15">
        <v>9.0962042460598805E-4</v>
      </c>
      <c r="X142" s="34">
        <v>1.04037067379141</v>
      </c>
      <c r="Y142" s="34">
        <v>1.0384904608674399</v>
      </c>
      <c r="Z142" s="34">
        <v>1.0411911579858</v>
      </c>
      <c r="AA142" s="34">
        <v>1.0405337322941699</v>
      </c>
      <c r="AB142" s="33">
        <v>50.451735871769998</v>
      </c>
      <c r="AC142" s="33">
        <v>50.585063021684398</v>
      </c>
      <c r="AD142" s="33">
        <v>50.543897715024301</v>
      </c>
      <c r="AE142" s="15">
        <v>-1.8088879582287499E-3</v>
      </c>
      <c r="AF142" s="15">
        <v>8.3029358281289198E-4</v>
      </c>
      <c r="AG142" s="15">
        <v>1.6178444401513801E-5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5.1896779173525604E-3</v>
      </c>
      <c r="AT142" s="12"/>
      <c r="AU142">
        <f t="shared" si="30"/>
        <v>0</v>
      </c>
      <c r="AV142">
        <f t="shared" si="31"/>
        <v>0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6.8068201870182827E-3</v>
      </c>
      <c r="BE142" s="29">
        <f t="shared" si="42"/>
        <v>0</v>
      </c>
      <c r="BF142" s="29">
        <f t="shared" si="43"/>
        <v>1.1996498104370843E-2</v>
      </c>
      <c r="BH142" s="29"/>
    </row>
    <row r="143" spans="1:60" x14ac:dyDescent="0.25">
      <c r="A143" s="1">
        <v>46231</v>
      </c>
      <c r="B143" s="33">
        <v>47.99</v>
      </c>
      <c r="C143" s="33">
        <v>49.93</v>
      </c>
      <c r="D143" s="15">
        <v>1.45970206296029E-3</v>
      </c>
      <c r="E143" s="15">
        <v>2.00481221920466E-3</v>
      </c>
      <c r="F143" s="33">
        <v>0</v>
      </c>
      <c r="G143" s="33">
        <v>0.66179999999999894</v>
      </c>
      <c r="H143" s="33">
        <v>0</v>
      </c>
      <c r="I143" s="33">
        <v>0.71307999999999905</v>
      </c>
      <c r="J143" s="33">
        <v>0.66179999999999894</v>
      </c>
      <c r="K143" s="33">
        <v>0.71307999999999905</v>
      </c>
      <c r="L143" s="33">
        <v>48.651800000000001</v>
      </c>
      <c r="M143" s="33">
        <v>50.643079999999998</v>
      </c>
      <c r="N143" s="34">
        <v>1.0404250885601101</v>
      </c>
      <c r="O143" s="34">
        <v>1.0403907452411401</v>
      </c>
      <c r="P143" s="34">
        <v>1.04066608430688</v>
      </c>
      <c r="Q143" s="34">
        <v>1.0405106165437801</v>
      </c>
      <c r="R143" s="33">
        <v>49.928351864122398</v>
      </c>
      <c r="S143" s="33">
        <v>49.942687362534599</v>
      </c>
      <c r="T143" s="33">
        <v>49.940462999890102</v>
      </c>
      <c r="U143" s="15">
        <v>-3.3009474860366898E-5</v>
      </c>
      <c r="V143" s="15">
        <v>2.5407071618766198E-4</v>
      </c>
      <c r="W143" s="15">
        <v>2.0953141928393499E-4</v>
      </c>
      <c r="X143" s="34">
        <v>1.0409292153630401</v>
      </c>
      <c r="Y143" s="34">
        <v>1.0384904608674399</v>
      </c>
      <c r="Z143" s="34">
        <v>1.0411680657175999</v>
      </c>
      <c r="AA143" s="34">
        <v>1.0407082677139401</v>
      </c>
      <c r="AB143" s="33">
        <v>50.5244302040308</v>
      </c>
      <c r="AC143" s="33">
        <v>50.6558239800938</v>
      </c>
      <c r="AD143" s="33">
        <v>50.623839036829601</v>
      </c>
      <c r="AE143" s="15">
        <v>-2.34561175084342E-3</v>
      </c>
      <c r="AF143" s="15">
        <v>2.5161141256904501E-4</v>
      </c>
      <c r="AG143" s="15">
        <v>-3.8000491344875297E-4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5.1896779173525604E-3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6.8068201870182827E-3</v>
      </c>
      <c r="BE143" s="29">
        <f t="shared" si="42"/>
        <v>0</v>
      </c>
      <c r="BF143" s="29">
        <f t="shared" si="43"/>
        <v>1.1996498104370843E-2</v>
      </c>
      <c r="BH143" s="29"/>
    </row>
    <row r="144" spans="1:60" x14ac:dyDescent="0.25">
      <c r="A144" s="1">
        <v>46232</v>
      </c>
      <c r="B144" s="33">
        <v>47.81</v>
      </c>
      <c r="C144" s="33">
        <v>49.77</v>
      </c>
      <c r="D144" s="15">
        <v>-3.7578332321421002E-3</v>
      </c>
      <c r="E144" s="15">
        <v>-3.2096316420550499E-3</v>
      </c>
      <c r="F144" s="33">
        <v>0</v>
      </c>
      <c r="G144" s="33">
        <v>0.66179999999999894</v>
      </c>
      <c r="H144" s="33">
        <v>0</v>
      </c>
      <c r="I144" s="33">
        <v>0.71307999999999905</v>
      </c>
      <c r="J144" s="33">
        <v>0.66179999999999894</v>
      </c>
      <c r="K144" s="33">
        <v>0.71307999999999905</v>
      </c>
      <c r="L144" s="33">
        <v>48.471800000000002</v>
      </c>
      <c r="M144" s="33">
        <v>50.483080000000001</v>
      </c>
      <c r="N144" s="34">
        <v>1.0409956076134701</v>
      </c>
      <c r="O144" s="34">
        <v>1.0403907452411401</v>
      </c>
      <c r="P144" s="34">
        <v>1.04074732318607</v>
      </c>
      <c r="Q144" s="34">
        <v>1.04032005003203</v>
      </c>
      <c r="R144" s="33">
        <v>49.741081529978999</v>
      </c>
      <c r="S144" s="33">
        <v>49.754245490712101</v>
      </c>
      <c r="T144" s="33">
        <v>49.746812576958398</v>
      </c>
      <c r="U144" s="15">
        <v>-5.8121106494757205E-4</v>
      </c>
      <c r="V144" s="15">
        <v>-3.1659641008528798E-4</v>
      </c>
      <c r="W144" s="15">
        <v>-4.66000123209847E-4</v>
      </c>
      <c r="X144" s="34">
        <v>1.0414938170235</v>
      </c>
      <c r="Y144" s="34">
        <v>1.0384904608674399</v>
      </c>
      <c r="Z144" s="34">
        <v>1.04124842553125</v>
      </c>
      <c r="AA144" s="34">
        <v>1.04082592863899</v>
      </c>
      <c r="AB144" s="33">
        <v>50.337501921074598</v>
      </c>
      <c r="AC144" s="33">
        <v>50.467290247850499</v>
      </c>
      <c r="AD144" s="33">
        <v>50.445003010976997</v>
      </c>
      <c r="AE144" s="15">
        <v>-2.88786629327876E-3</v>
      </c>
      <c r="AF144" s="15">
        <v>-3.1282207761051701E-4</v>
      </c>
      <c r="AG144" s="15">
        <v>-7.5453708608253195E-4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5.1896779173525604E-3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6.8068201870182827E-3</v>
      </c>
      <c r="BE144" s="29">
        <f t="shared" si="42"/>
        <v>0</v>
      </c>
      <c r="BF144" s="29">
        <f t="shared" si="43"/>
        <v>1.1996498104370843E-2</v>
      </c>
      <c r="BH144" s="29"/>
    </row>
    <row r="145" spans="1:60" x14ac:dyDescent="0.25">
      <c r="A145" s="1">
        <v>46233</v>
      </c>
      <c r="B145" s="33">
        <v>47.88</v>
      </c>
      <c r="C145" s="33">
        <v>49.83</v>
      </c>
      <c r="D145" s="15">
        <v>1.46305805176031E-3</v>
      </c>
      <c r="E145" s="15">
        <v>1.20481942285033E-3</v>
      </c>
      <c r="F145" s="33">
        <v>0</v>
      </c>
      <c r="G145" s="33">
        <v>0.66179999999999894</v>
      </c>
      <c r="H145" s="33">
        <v>0</v>
      </c>
      <c r="I145" s="33">
        <v>0.71307999999999905</v>
      </c>
      <c r="J145" s="33">
        <v>0.66179999999999894</v>
      </c>
      <c r="K145" s="33">
        <v>0.71307999999999905</v>
      </c>
      <c r="L145" s="33">
        <v>48.541800000000002</v>
      </c>
      <c r="M145" s="33">
        <v>50.543079999999897</v>
      </c>
      <c r="N145" s="34">
        <v>1.0407268170426001</v>
      </c>
      <c r="O145" s="34">
        <v>1.0403907452411401</v>
      </c>
      <c r="P145" s="34">
        <v>1.0407958180679799</v>
      </c>
      <c r="Q145" s="34">
        <v>1.04039865315887</v>
      </c>
      <c r="R145" s="33">
        <v>49.813908882145803</v>
      </c>
      <c r="S145" s="33">
        <v>49.830981834149199</v>
      </c>
      <c r="T145" s="33">
        <v>49.810523995533998</v>
      </c>
      <c r="U145" s="15">
        <v>-3.2297243603736099E-4</v>
      </c>
      <c r="V145" s="15">
        <v>1.9703481367676901E-5</v>
      </c>
      <c r="W145" s="15">
        <v>-3.9092537720694599E-4</v>
      </c>
      <c r="X145" s="34">
        <v>1.0412279725926901</v>
      </c>
      <c r="Y145" s="34">
        <v>1.0384904608674399</v>
      </c>
      <c r="Z145" s="34">
        <v>1.0412963427984201</v>
      </c>
      <c r="AA145" s="34">
        <v>1.04090366838013</v>
      </c>
      <c r="AB145" s="33">
        <v>50.4101962533353</v>
      </c>
      <c r="AC145" s="33">
        <v>50.544072822453202</v>
      </c>
      <c r="AD145" s="33">
        <v>50.523564062808099</v>
      </c>
      <c r="AE145" s="15">
        <v>-2.6325807015283201E-3</v>
      </c>
      <c r="AF145" s="15">
        <v>1.9642900715739501E-5</v>
      </c>
      <c r="AG145" s="15">
        <v>-3.8619937597340399E-4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5.1896779173525604E-3</v>
      </c>
      <c r="AT145" s="12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6.8068201870182827E-3</v>
      </c>
      <c r="BE145" s="29">
        <f t="shared" si="42"/>
        <v>0</v>
      </c>
      <c r="BF145" s="29">
        <f t="shared" si="43"/>
        <v>1.1996498104370843E-2</v>
      </c>
      <c r="BH145" s="29"/>
    </row>
    <row r="146" spans="1:60" x14ac:dyDescent="0.25">
      <c r="A146" s="1">
        <v>46234</v>
      </c>
      <c r="B146" s="33">
        <v>47.77</v>
      </c>
      <c r="C146" s="33">
        <v>49.75</v>
      </c>
      <c r="D146" s="15">
        <v>-2.3000532879019001E-3</v>
      </c>
      <c r="E146" s="15">
        <v>-1.60674868871135E-3</v>
      </c>
      <c r="F146" s="33">
        <v>0</v>
      </c>
      <c r="G146" s="33">
        <v>0.66179999999999894</v>
      </c>
      <c r="H146" s="33">
        <v>0</v>
      </c>
      <c r="I146" s="33">
        <v>0.71307999999999905</v>
      </c>
      <c r="J146" s="33">
        <v>0.66179999999999894</v>
      </c>
      <c r="K146" s="33">
        <v>0.71307999999999905</v>
      </c>
      <c r="L146" s="33">
        <v>48.431800000000003</v>
      </c>
      <c r="M146" s="33">
        <v>50.463079999999998</v>
      </c>
      <c r="N146" s="34">
        <v>1.0414486079129099</v>
      </c>
      <c r="O146" s="34">
        <v>1.0403907452411401</v>
      </c>
      <c r="P146" s="34">
        <v>1.0409348370065701</v>
      </c>
      <c r="Q146" s="34">
        <v>1.04051212833063</v>
      </c>
      <c r="R146" s="33">
        <v>49.699465900169301</v>
      </c>
      <c r="S146" s="33">
        <v>49.718816229107603</v>
      </c>
      <c r="T146" s="33">
        <v>49.699843661399299</v>
      </c>
      <c r="U146" s="15">
        <v>-1.0162770352278301E-3</v>
      </c>
      <c r="V146" s="15">
        <v>-6.27005992354188E-4</v>
      </c>
      <c r="W146" s="15">
        <v>-1.0086761528537999E-3</v>
      </c>
      <c r="X146" s="34">
        <v>1.04194103873901</v>
      </c>
      <c r="Y146" s="34">
        <v>1.0384904608674399</v>
      </c>
      <c r="Z146" s="34">
        <v>1.04143363050169</v>
      </c>
      <c r="AA146" s="34">
        <v>1.0410158445047399</v>
      </c>
      <c r="AB146" s="33">
        <v>50.2959623026399</v>
      </c>
      <c r="AC146" s="33">
        <v>50.431856215144698</v>
      </c>
      <c r="AD146" s="33">
        <v>50.4128382862528</v>
      </c>
      <c r="AE146" s="15">
        <v>-3.3171782260572602E-3</v>
      </c>
      <c r="AF146" s="15">
        <v>-6.1893662899831095E-4</v>
      </c>
      <c r="AG146" s="15">
        <v>-9.9610925491399791E-4</v>
      </c>
      <c r="AI146" s="12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0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5.1896779173525604E-3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0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6.8068201870182827E-3</v>
      </c>
      <c r="BE146" s="29">
        <f t="shared" si="42"/>
        <v>0</v>
      </c>
      <c r="BF146" s="29">
        <f t="shared" si="43"/>
        <v>1.1996498104370843E-2</v>
      </c>
      <c r="BH146" s="29"/>
    </row>
    <row r="147" spans="1:60" x14ac:dyDescent="0.25">
      <c r="A147" s="1">
        <v>46237</v>
      </c>
      <c r="B147" s="33">
        <v>47.84</v>
      </c>
      <c r="C147" s="33">
        <v>49.9</v>
      </c>
      <c r="D147" s="15">
        <v>1.4642822405058699E-3</v>
      </c>
      <c r="E147" s="15">
        <v>3.0105391528712799E-3</v>
      </c>
      <c r="F147" s="33">
        <v>0.11849999999999999</v>
      </c>
      <c r="G147" s="33">
        <v>0.78029999999999999</v>
      </c>
      <c r="H147" s="33">
        <v>0</v>
      </c>
      <c r="I147" s="33">
        <v>0.71307999999999905</v>
      </c>
      <c r="J147" s="33">
        <v>0.78029999999999999</v>
      </c>
      <c r="K147" s="33">
        <v>0.71307999999999905</v>
      </c>
      <c r="L147" s="33">
        <v>48.6203</v>
      </c>
      <c r="M147" s="33">
        <v>50.613079999999997</v>
      </c>
      <c r="N147" s="34">
        <v>1.04306020066889</v>
      </c>
      <c r="O147" s="34">
        <v>1.0403907452411401</v>
      </c>
      <c r="P147" s="34">
        <v>1.0411003300973001</v>
      </c>
      <c r="Q147" s="34">
        <v>1.04070537063285</v>
      </c>
      <c r="R147" s="33">
        <v>49.772293252336198</v>
      </c>
      <c r="S147" s="33">
        <v>49.798322602394499</v>
      </c>
      <c r="T147" s="33">
        <v>49.778100219337702</v>
      </c>
      <c r="U147" s="15">
        <v>-2.56253394759326E-3</v>
      </c>
      <c r="V147" s="15">
        <v>-2.0397019769813601E-3</v>
      </c>
      <c r="W147" s="15">
        <v>-2.44587007906225E-3</v>
      </c>
      <c r="X147" s="34">
        <v>1.04098658379318</v>
      </c>
      <c r="Y147" s="34">
        <v>1.0384904608674399</v>
      </c>
      <c r="Z147" s="34">
        <v>1.04134251044869</v>
      </c>
      <c r="AA147" s="34">
        <v>1.0410794857696499</v>
      </c>
      <c r="AB147" s="33">
        <v>50.491717754513402</v>
      </c>
      <c r="AC147" s="33">
        <v>50.634815545081601</v>
      </c>
      <c r="AD147" s="33">
        <v>50.614502664573799</v>
      </c>
      <c r="AE147" s="15">
        <v>-2.4007229423505501E-3</v>
      </c>
      <c r="AF147" s="15">
        <v>4.2935303096470502E-4</v>
      </c>
      <c r="AG147" s="15">
        <v>2.8108239601375601E-5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5.1896779173525604E-3</v>
      </c>
      <c r="AT147" s="12"/>
      <c r="AU147">
        <f t="shared" si="30"/>
        <v>0</v>
      </c>
      <c r="AV147">
        <f t="shared" si="31"/>
        <v>0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6.8068201870182827E-3</v>
      </c>
      <c r="BE147" s="29">
        <f t="shared" si="42"/>
        <v>0</v>
      </c>
      <c r="BF147" s="29">
        <f t="shared" si="43"/>
        <v>1.1996498104370843E-2</v>
      </c>
      <c r="BH147" s="29"/>
    </row>
    <row r="148" spans="1:60" x14ac:dyDescent="0.25">
      <c r="A148" s="1">
        <v>46238</v>
      </c>
      <c r="B148" s="33">
        <v>47.97</v>
      </c>
      <c r="C148" s="33">
        <v>50.03</v>
      </c>
      <c r="D148" s="15">
        <v>2.7137058715960998E-3</v>
      </c>
      <c r="E148" s="15">
        <v>2.6018227426408301E-3</v>
      </c>
      <c r="F148" s="33">
        <v>0</v>
      </c>
      <c r="G148" s="33">
        <v>0.78029999999999999</v>
      </c>
      <c r="H148" s="33">
        <v>0</v>
      </c>
      <c r="I148" s="33">
        <v>0.71307999999999905</v>
      </c>
      <c r="J148" s="33">
        <v>0.78029999999999999</v>
      </c>
      <c r="K148" s="33">
        <v>0.71307999999999905</v>
      </c>
      <c r="L148" s="33">
        <v>48.750299999999903</v>
      </c>
      <c r="M148" s="33">
        <v>50.743079999999999</v>
      </c>
      <c r="N148" s="34">
        <v>1.04294350635814</v>
      </c>
      <c r="O148" s="34">
        <v>1.0403907452411401</v>
      </c>
      <c r="P148" s="34">
        <v>1.0413177415735899</v>
      </c>
      <c r="Q148" s="34">
        <v>1.04085337893701</v>
      </c>
      <c r="R148" s="33">
        <v>49.907544049217499</v>
      </c>
      <c r="S148" s="33">
        <v>49.941582834767601</v>
      </c>
      <c r="T148" s="33">
        <v>49.922636629257802</v>
      </c>
      <c r="U148" s="15">
        <v>-2.4506508186379001E-3</v>
      </c>
      <c r="V148" s="15">
        <v>-1.76884642172651E-3</v>
      </c>
      <c r="W148" s="15">
        <v>-2.1482857412091E-3</v>
      </c>
      <c r="X148" s="34">
        <v>1.0408772869089999</v>
      </c>
      <c r="Y148" s="34">
        <v>1.0384904608674399</v>
      </c>
      <c r="Z148" s="34">
        <v>1.04130319085514</v>
      </c>
      <c r="AA148" s="34">
        <v>1.0410986920293199</v>
      </c>
      <c r="AB148" s="33">
        <v>50.626721514426201</v>
      </c>
      <c r="AC148" s="33">
        <v>50.765759787127003</v>
      </c>
      <c r="AD148" s="33">
        <v>50.752937255116102</v>
      </c>
      <c r="AE148" s="15">
        <v>-2.2957238731760999E-3</v>
      </c>
      <c r="AF148" s="15">
        <v>4.4685344748368399E-4</v>
      </c>
      <c r="AG148" s="15">
        <v>1.9423925024337601E-4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5.1896779173525604E-3</v>
      </c>
      <c r="AT148" s="12"/>
      <c r="AU148">
        <f t="shared" si="30"/>
        <v>0</v>
      </c>
      <c r="AV148">
        <f t="shared" si="31"/>
        <v>0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6.8068201870182827E-3</v>
      </c>
      <c r="BE148" s="29">
        <f t="shared" si="42"/>
        <v>0</v>
      </c>
      <c r="BF148" s="29">
        <f t="shared" si="43"/>
        <v>1.1996498104370843E-2</v>
      </c>
      <c r="BH148" s="29"/>
    </row>
    <row r="149" spans="1:60" x14ac:dyDescent="0.25">
      <c r="A149" s="1">
        <v>46239</v>
      </c>
      <c r="B149" s="33">
        <v>47.99</v>
      </c>
      <c r="C149" s="33">
        <v>50.05</v>
      </c>
      <c r="D149" s="15">
        <v>4.1684035618163499E-4</v>
      </c>
      <c r="E149" s="15">
        <v>3.9968026111589499E-4</v>
      </c>
      <c r="F149" s="33">
        <v>0</v>
      </c>
      <c r="G149" s="33">
        <v>0.78029999999999999</v>
      </c>
      <c r="H149" s="33">
        <v>0</v>
      </c>
      <c r="I149" s="33">
        <v>0.71307999999999905</v>
      </c>
      <c r="J149" s="33">
        <v>0.78029999999999999</v>
      </c>
      <c r="K149" s="33">
        <v>0.71307999999999905</v>
      </c>
      <c r="L149" s="33">
        <v>48.770299999999999</v>
      </c>
      <c r="M149" s="33">
        <v>50.763079999999903</v>
      </c>
      <c r="N149" s="34">
        <v>1.0429256095019701</v>
      </c>
      <c r="O149" s="34">
        <v>1.0403907452411401</v>
      </c>
      <c r="P149" s="34">
        <v>1.04153080461584</v>
      </c>
      <c r="Q149" s="34">
        <v>1.04092982876189</v>
      </c>
      <c r="R149" s="33">
        <v>49.928351864122398</v>
      </c>
      <c r="S149" s="33">
        <v>49.972838418116702</v>
      </c>
      <c r="T149" s="33">
        <v>49.950553655187299</v>
      </c>
      <c r="U149" s="15">
        <v>-2.43349072357199E-3</v>
      </c>
      <c r="V149" s="15">
        <v>-1.54287957451196E-3</v>
      </c>
      <c r="W149" s="15">
        <v>-1.9889165401616401E-3</v>
      </c>
      <c r="X149" s="34">
        <v>1.0408605237203701</v>
      </c>
      <c r="Y149" s="34">
        <v>1.0384904608674399</v>
      </c>
      <c r="Z149" s="34">
        <v>1.0412596401170999</v>
      </c>
      <c r="AA149" s="34">
        <v>1.04104726100814</v>
      </c>
      <c r="AB149" s="33">
        <v>50.6474913236435</v>
      </c>
      <c r="AC149" s="33">
        <v>50.784669008962602</v>
      </c>
      <c r="AD149" s="33">
        <v>50.774695539877797</v>
      </c>
      <c r="AE149" s="15">
        <v>-2.2796188780709898E-3</v>
      </c>
      <c r="AF149" s="15">
        <v>4.2519916982161903E-4</v>
      </c>
      <c r="AG149" s="15">
        <v>2.2879248371956599E-4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5.1896779173525604E-3</v>
      </c>
      <c r="AT149" s="12"/>
      <c r="AU149">
        <f t="shared" si="30"/>
        <v>0</v>
      </c>
      <c r="AV149">
        <f t="shared" si="31"/>
        <v>0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6.8068201870182827E-3</v>
      </c>
      <c r="BE149" s="29">
        <f t="shared" si="42"/>
        <v>0</v>
      </c>
      <c r="BF149" s="29">
        <f t="shared" si="43"/>
        <v>1.1996498104370843E-2</v>
      </c>
      <c r="BH149" s="29"/>
    </row>
    <row r="150" spans="1:60" x14ac:dyDescent="0.25">
      <c r="A150" s="1">
        <v>46240</v>
      </c>
      <c r="B150" s="33">
        <v>47.89</v>
      </c>
      <c r="C150" s="33">
        <v>49.96</v>
      </c>
      <c r="D150" s="15">
        <v>-2.0859415156362199E-3</v>
      </c>
      <c r="E150" s="15">
        <v>-1.7998205038525299E-3</v>
      </c>
      <c r="F150" s="33">
        <v>0</v>
      </c>
      <c r="G150" s="33">
        <v>0.78029999999999999</v>
      </c>
      <c r="H150" s="33">
        <v>0</v>
      </c>
      <c r="I150" s="33">
        <v>0.71307999999999905</v>
      </c>
      <c r="J150" s="33">
        <v>0.78029999999999999</v>
      </c>
      <c r="K150" s="33">
        <v>0.71307999999999905</v>
      </c>
      <c r="L150" s="33">
        <v>48.670299999999997</v>
      </c>
      <c r="M150" s="33">
        <v>50.673079999999999</v>
      </c>
      <c r="N150" s="34">
        <v>1.0432240551263301</v>
      </c>
      <c r="O150" s="34">
        <v>1.0403907452411401</v>
      </c>
      <c r="P150" s="34">
        <v>1.0416402568692</v>
      </c>
      <c r="Q150" s="34">
        <v>1.0411335138172499</v>
      </c>
      <c r="R150" s="33">
        <v>49.824312789598302</v>
      </c>
      <c r="S150" s="33">
        <v>49.878910233052601</v>
      </c>
      <c r="T150" s="33">
        <v>49.850129499406997</v>
      </c>
      <c r="U150" s="15">
        <v>-2.7196117353556399E-3</v>
      </c>
      <c r="V150" s="15">
        <v>-1.6244124578106999E-3</v>
      </c>
      <c r="W150" s="15">
        <v>-2.2015910714174801E-3</v>
      </c>
      <c r="X150" s="34">
        <v>1.0411499415454599</v>
      </c>
      <c r="Y150" s="34">
        <v>1.0384904608674399</v>
      </c>
      <c r="Z150" s="34">
        <v>1.0411133084578399</v>
      </c>
      <c r="AA150" s="34">
        <v>1.0411211831148901</v>
      </c>
      <c r="AB150" s="33">
        <v>50.543642277556799</v>
      </c>
      <c r="AC150" s="33">
        <v>50.678419062391399</v>
      </c>
      <c r="AD150" s="33">
        <v>50.668082507444801</v>
      </c>
      <c r="AE150" s="15">
        <v>-2.5576365266597499E-3</v>
      </c>
      <c r="AF150" s="15">
        <v>1.0535734440683699E-4</v>
      </c>
      <c r="AG150" s="15">
        <v>-9.8627101476528206E-5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5.1896779173525604E-3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6.8068201870182827E-3</v>
      </c>
      <c r="BE150" s="29">
        <f t="shared" si="42"/>
        <v>0</v>
      </c>
      <c r="BF150" s="29">
        <f t="shared" si="43"/>
        <v>1.1996498104370843E-2</v>
      </c>
      <c r="BH150" s="29"/>
    </row>
    <row r="151" spans="1:60" x14ac:dyDescent="0.25">
      <c r="A151" s="1">
        <v>46241</v>
      </c>
      <c r="B151" s="33">
        <v>47.95</v>
      </c>
      <c r="C151" s="33">
        <v>50.03</v>
      </c>
      <c r="D151" s="15">
        <v>1.2520869749293099E-3</v>
      </c>
      <c r="E151" s="15">
        <v>1.40014024273666E-3</v>
      </c>
      <c r="F151" s="33">
        <v>0</v>
      </c>
      <c r="G151" s="33">
        <v>0.78029999999999999</v>
      </c>
      <c r="H151" s="33">
        <v>0</v>
      </c>
      <c r="I151" s="33">
        <v>0.71307999999999905</v>
      </c>
      <c r="J151" s="33">
        <v>0.78029999999999999</v>
      </c>
      <c r="K151" s="33">
        <v>0.71307999999999905</v>
      </c>
      <c r="L151" s="33">
        <v>48.7303</v>
      </c>
      <c r="M151" s="33">
        <v>50.743079999999999</v>
      </c>
      <c r="N151" s="34">
        <v>1.04337851929092</v>
      </c>
      <c r="O151" s="34">
        <v>1.0403907452411401</v>
      </c>
      <c r="P151" s="34">
        <v>1.0418986108903401</v>
      </c>
      <c r="Q151" s="34">
        <v>1.04131616690326</v>
      </c>
      <c r="R151" s="33">
        <v>49.8867362343127</v>
      </c>
      <c r="S151" s="33">
        <v>49.946650316878099</v>
      </c>
      <c r="T151" s="33">
        <v>49.922351987537198</v>
      </c>
      <c r="U151" s="15">
        <v>-2.86766500316298E-3</v>
      </c>
      <c r="V151" s="15">
        <v>-1.66738337738205E-3</v>
      </c>
      <c r="W151" s="15">
        <v>-2.15398741386328E-3</v>
      </c>
      <c r="X151" s="34">
        <v>1.0413044861205401</v>
      </c>
      <c r="Y151" s="34">
        <v>1.0384904608674399</v>
      </c>
      <c r="Z151" s="34">
        <v>1.0411141539598201</v>
      </c>
      <c r="AA151" s="34">
        <v>1.0411744997769701</v>
      </c>
      <c r="AB151" s="33">
        <v>50.605951705208803</v>
      </c>
      <c r="AC151" s="33">
        <v>50.733763855143501</v>
      </c>
      <c r="AD151" s="33">
        <v>50.734147589543902</v>
      </c>
      <c r="AE151" s="15">
        <v>-2.7060619359419598E-3</v>
      </c>
      <c r="AF151" s="15">
        <v>-1.83611246245026E-4</v>
      </c>
      <c r="AG151" s="15">
        <v>-1.7604758607063799E-4</v>
      </c>
      <c r="AI151" s="12"/>
      <c r="AJ151">
        <f t="shared" si="46"/>
        <v>0</v>
      </c>
      <c r="AK151">
        <f t="shared" si="47"/>
        <v>1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5.1896779173525604E-3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6.8068201870182827E-3</v>
      </c>
      <c r="BE151" s="29">
        <f t="shared" ref="BE151:BE176" si="62">AQ151+BB151</f>
        <v>0</v>
      </c>
      <c r="BF151" s="29">
        <f t="shared" ref="BF151:BF176" si="63">BF150+BE151</f>
        <v>1.1996498104370843E-2</v>
      </c>
      <c r="BH151" s="29"/>
    </row>
    <row r="152" spans="1:60" x14ac:dyDescent="0.25">
      <c r="A152" s="1">
        <v>46244</v>
      </c>
      <c r="B152" s="33">
        <v>47.79</v>
      </c>
      <c r="C152" s="33">
        <v>49.9</v>
      </c>
      <c r="D152" s="15">
        <v>-3.3423887393804999E-3</v>
      </c>
      <c r="E152" s="15">
        <v>-2.6018227426407698E-3</v>
      </c>
      <c r="F152" s="33">
        <v>0</v>
      </c>
      <c r="G152" s="33">
        <v>0.78029999999999999</v>
      </c>
      <c r="H152" s="33">
        <v>0</v>
      </c>
      <c r="I152" s="33">
        <v>0.71307999999999905</v>
      </c>
      <c r="J152" s="33">
        <v>0.78029999999999999</v>
      </c>
      <c r="K152" s="33">
        <v>0.71307999999999905</v>
      </c>
      <c r="L152" s="33">
        <v>48.570299999999897</v>
      </c>
      <c r="M152" s="33">
        <v>50.613079999999997</v>
      </c>
      <c r="N152" s="34">
        <v>1.04415149612889</v>
      </c>
      <c r="O152" s="34">
        <v>1.0403907452411401</v>
      </c>
      <c r="P152" s="34">
        <v>1.04232795082042</v>
      </c>
      <c r="Q152" s="34">
        <v>1.0415087072557501</v>
      </c>
      <c r="R152" s="33">
        <v>49.7202737150741</v>
      </c>
      <c r="S152" s="33">
        <v>49.792334614449402</v>
      </c>
      <c r="T152" s="33">
        <v>49.7644996163069</v>
      </c>
      <c r="U152" s="15">
        <v>-3.6082309999028099E-3</v>
      </c>
      <c r="V152" s="15">
        <v>-2.15995397891752E-3</v>
      </c>
      <c r="W152" s="15">
        <v>-2.71913204203895E-3</v>
      </c>
      <c r="X152" s="34">
        <v>1.0420582125290501</v>
      </c>
      <c r="Y152" s="34">
        <v>1.0384904608674399</v>
      </c>
      <c r="Z152" s="34">
        <v>1.0412829078335799</v>
      </c>
      <c r="AA152" s="34">
        <v>1.0412370329096901</v>
      </c>
      <c r="AB152" s="33">
        <v>50.439793231470098</v>
      </c>
      <c r="AC152" s="33">
        <v>50.567226792074898</v>
      </c>
      <c r="AD152" s="33">
        <v>50.5701578065175</v>
      </c>
      <c r="AE152" s="15">
        <v>-3.4296291207471601E-3</v>
      </c>
      <c r="AF152" s="15">
        <v>-9.0636631806928296E-4</v>
      </c>
      <c r="AG152" s="15">
        <v>-8.4840526924328695E-4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5.1896779173525604E-3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6.8068201870182827E-3</v>
      </c>
      <c r="BE152" s="29">
        <f t="shared" si="62"/>
        <v>0</v>
      </c>
      <c r="BF152" s="29">
        <f t="shared" si="63"/>
        <v>1.1996498104370843E-2</v>
      </c>
      <c r="BH152" s="29"/>
    </row>
    <row r="153" spans="1:60" x14ac:dyDescent="0.25">
      <c r="A153" s="1">
        <v>46245</v>
      </c>
      <c r="B153" s="33">
        <v>47.82</v>
      </c>
      <c r="C153" s="33">
        <v>49.91</v>
      </c>
      <c r="D153" s="15">
        <v>6.2754944011183004E-4</v>
      </c>
      <c r="E153" s="15">
        <v>2.00380724044903E-4</v>
      </c>
      <c r="F153" s="33">
        <v>0</v>
      </c>
      <c r="G153" s="33">
        <v>0.78029999999999999</v>
      </c>
      <c r="H153" s="33">
        <v>0</v>
      </c>
      <c r="I153" s="33">
        <v>0.71307999999999905</v>
      </c>
      <c r="J153" s="33">
        <v>0.78029999999999999</v>
      </c>
      <c r="K153" s="33">
        <v>0.71307999999999905</v>
      </c>
      <c r="L153" s="33">
        <v>48.600299999999997</v>
      </c>
      <c r="M153" s="33">
        <v>50.623079999999902</v>
      </c>
      <c r="N153" s="34">
        <v>1.04370556252613</v>
      </c>
      <c r="O153" s="34">
        <v>1.0403907452411401</v>
      </c>
      <c r="P153" s="34">
        <v>1.04265599821703</v>
      </c>
      <c r="Q153" s="34">
        <v>1.04166104126195</v>
      </c>
      <c r="R153" s="33">
        <v>49.751485437431398</v>
      </c>
      <c r="S153" s="33">
        <v>49.844122608232801</v>
      </c>
      <c r="T153" s="33">
        <v>49.804946380970001</v>
      </c>
      <c r="U153" s="15">
        <v>-3.1810622838357701E-3</v>
      </c>
      <c r="V153" s="15">
        <v>-1.32079556456577E-3</v>
      </c>
      <c r="W153" s="15">
        <v>-2.1070794642272599E-3</v>
      </c>
      <c r="X153" s="34">
        <v>1.04162073073623</v>
      </c>
      <c r="Y153" s="34">
        <v>1.0384904608674399</v>
      </c>
      <c r="Z153" s="34">
        <v>1.0413520593709</v>
      </c>
      <c r="AA153" s="34">
        <v>1.0412600625442501</v>
      </c>
      <c r="AB153" s="33">
        <v>50.470947945296103</v>
      </c>
      <c r="AC153" s="33">
        <v>50.606661705584699</v>
      </c>
      <c r="AD153" s="33">
        <v>50.6044321705211</v>
      </c>
      <c r="AE153" s="15">
        <v>-3.00971625397082E-3</v>
      </c>
      <c r="AF153" s="15">
        <v>-3.2437689324389999E-4</v>
      </c>
      <c r="AG153" s="15">
        <v>-3.6843402134311098E-4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5.1896779173525604E-3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6.8068201870182827E-3</v>
      </c>
      <c r="BE153" s="29">
        <f t="shared" si="62"/>
        <v>0</v>
      </c>
      <c r="BF153" s="29">
        <f t="shared" si="63"/>
        <v>1.1996498104370843E-2</v>
      </c>
      <c r="BH153" s="29"/>
    </row>
    <row r="154" spans="1:60" x14ac:dyDescent="0.25">
      <c r="A154" s="1">
        <v>46246</v>
      </c>
      <c r="B154" s="33">
        <v>47.82</v>
      </c>
      <c r="C154" s="33">
        <v>49.91</v>
      </c>
      <c r="D154" s="15">
        <v>0</v>
      </c>
      <c r="E154" s="15">
        <v>0</v>
      </c>
      <c r="F154" s="33">
        <v>0</v>
      </c>
      <c r="G154" s="33">
        <v>0.78029999999999999</v>
      </c>
      <c r="H154" s="33">
        <v>0</v>
      </c>
      <c r="I154" s="33">
        <v>0.71307999999999905</v>
      </c>
      <c r="J154" s="33">
        <v>0.78029999999999999</v>
      </c>
      <c r="K154" s="33">
        <v>0.71307999999999905</v>
      </c>
      <c r="L154" s="33">
        <v>48.600299999999997</v>
      </c>
      <c r="M154" s="33">
        <v>50.623079999999902</v>
      </c>
      <c r="N154" s="34">
        <v>1.04370556252613</v>
      </c>
      <c r="O154" s="34">
        <v>1.0403907452411401</v>
      </c>
      <c r="P154" s="34">
        <v>1.0429269937082899</v>
      </c>
      <c r="Q154" s="34">
        <v>1.0418371584471799</v>
      </c>
      <c r="R154" s="33">
        <v>49.751485437431398</v>
      </c>
      <c r="S154" s="33">
        <v>49.8598098347384</v>
      </c>
      <c r="T154" s="33">
        <v>49.812230993146798</v>
      </c>
      <c r="U154" s="15">
        <v>-3.1810622838357701E-3</v>
      </c>
      <c r="V154" s="15">
        <v>-1.0061193777675E-3</v>
      </c>
      <c r="W154" s="15">
        <v>-1.9608273341867699E-3</v>
      </c>
      <c r="X154" s="34">
        <v>1.04162073073623</v>
      </c>
      <c r="Y154" s="34">
        <v>1.0384904608674399</v>
      </c>
      <c r="Z154" s="34">
        <v>1.0413647507421699</v>
      </c>
      <c r="AA154" s="34">
        <v>1.0413065881367101</v>
      </c>
      <c r="AB154" s="33">
        <v>50.470947945296103</v>
      </c>
      <c r="AC154" s="33">
        <v>50.6100224910438</v>
      </c>
      <c r="AD154" s="33">
        <v>50.605551417669503</v>
      </c>
      <c r="AE154" s="15">
        <v>-3.00971625397082E-3</v>
      </c>
      <c r="AF154" s="15">
        <v>-2.5796915647568602E-4</v>
      </c>
      <c r="AG154" s="15">
        <v>-3.4631669440022802E-4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5.1896779173525604E-3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6.8068201870182827E-3</v>
      </c>
      <c r="BE154" s="29">
        <f t="shared" si="62"/>
        <v>0</v>
      </c>
      <c r="BF154" s="29">
        <f t="shared" si="63"/>
        <v>1.1996498104370843E-2</v>
      </c>
      <c r="BH154" s="29"/>
    </row>
    <row r="155" spans="1:60" x14ac:dyDescent="0.25">
      <c r="A155" s="1">
        <v>46247</v>
      </c>
      <c r="B155" s="33">
        <v>47.91</v>
      </c>
      <c r="C155" s="33">
        <v>49.99</v>
      </c>
      <c r="D155" s="15">
        <v>1.8802888648519001E-3</v>
      </c>
      <c r="E155" s="15">
        <v>1.60160194396114E-3</v>
      </c>
      <c r="F155" s="33">
        <v>0</v>
      </c>
      <c r="G155" s="33">
        <v>0.78029999999999999</v>
      </c>
      <c r="H155" s="33">
        <v>0</v>
      </c>
      <c r="I155" s="33">
        <v>0.71307999999999905</v>
      </c>
      <c r="J155" s="33">
        <v>0.78029999999999999</v>
      </c>
      <c r="K155" s="33">
        <v>0.71307999999999905</v>
      </c>
      <c r="L155" s="33">
        <v>48.690299999999901</v>
      </c>
      <c r="M155" s="33">
        <v>50.70308</v>
      </c>
      <c r="N155" s="34">
        <v>1.04341473596326</v>
      </c>
      <c r="O155" s="34">
        <v>1.0403907452411401</v>
      </c>
      <c r="P155" s="34">
        <v>1.04319578560036</v>
      </c>
      <c r="Q155" s="34">
        <v>1.04199580183417</v>
      </c>
      <c r="R155" s="33">
        <v>49.845120604503101</v>
      </c>
      <c r="S155" s="33">
        <v>49.966632268564503</v>
      </c>
      <c r="T155" s="33">
        <v>49.914418261204702</v>
      </c>
      <c r="U155" s="15">
        <v>-2.9023753629450399E-3</v>
      </c>
      <c r="V155" s="15">
        <v>-4.6755740626383199E-4</v>
      </c>
      <c r="W155" s="15">
        <v>-1.5130812937123701E-3</v>
      </c>
      <c r="X155" s="34">
        <v>1.0413384185351</v>
      </c>
      <c r="Y155" s="34">
        <v>1.0384904608674399</v>
      </c>
      <c r="Z155" s="34">
        <v>1.04137579533642</v>
      </c>
      <c r="AA155" s="34">
        <v>1.04133606906742</v>
      </c>
      <c r="AB155" s="33">
        <v>50.564412086774198</v>
      </c>
      <c r="AC155" s="33">
        <v>50.704362123061898</v>
      </c>
      <c r="AD155" s="33">
        <v>50.701530168353202</v>
      </c>
      <c r="AE155" s="15">
        <v>-2.7386478530866398E-3</v>
      </c>
      <c r="AF155" s="15">
        <v>2.5286567438705901E-5</v>
      </c>
      <c r="AG155" s="15">
        <v>-3.0567281788594798E-5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5.1896779173525604E-3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6.8068201870182827E-3</v>
      </c>
      <c r="BE155" s="29">
        <f t="shared" si="62"/>
        <v>0</v>
      </c>
      <c r="BF155" s="29">
        <f t="shared" si="63"/>
        <v>1.1996498104370843E-2</v>
      </c>
      <c r="BH155" s="29"/>
    </row>
    <row r="156" spans="1:60" x14ac:dyDescent="0.25">
      <c r="A156" s="1">
        <v>46248</v>
      </c>
      <c r="B156" s="33">
        <v>47.72</v>
      </c>
      <c r="C156" s="33">
        <v>49.87</v>
      </c>
      <c r="D156" s="15">
        <v>-3.9736536653152896E-3</v>
      </c>
      <c r="E156" s="15">
        <v>-2.40336586744795E-3</v>
      </c>
      <c r="F156" s="33">
        <v>0</v>
      </c>
      <c r="G156" s="33">
        <v>0.78029999999999999</v>
      </c>
      <c r="H156" s="33">
        <v>0</v>
      </c>
      <c r="I156" s="33">
        <v>0.71307999999999905</v>
      </c>
      <c r="J156" s="33">
        <v>0.78029999999999999</v>
      </c>
      <c r="K156" s="33">
        <v>0.71307999999999905</v>
      </c>
      <c r="L156" s="33">
        <v>48.500299999999903</v>
      </c>
      <c r="M156" s="33">
        <v>50.583079999999903</v>
      </c>
      <c r="N156" s="34">
        <v>1.04505448449287</v>
      </c>
      <c r="O156" s="34">
        <v>1.0403907452411401</v>
      </c>
      <c r="P156" s="34">
        <v>1.0435563732583499</v>
      </c>
      <c r="Q156" s="34">
        <v>1.04224560513246</v>
      </c>
      <c r="R156" s="33">
        <v>49.647446362907303</v>
      </c>
      <c r="S156" s="33">
        <v>49.781302888849297</v>
      </c>
      <c r="T156" s="33">
        <v>49.724039663526703</v>
      </c>
      <c r="U156" s="15">
        <v>-4.4726631608124501E-3</v>
      </c>
      <c r="V156" s="15">
        <v>-1.78015002317722E-3</v>
      </c>
      <c r="W156" s="15">
        <v>-2.9311079551861698E-3</v>
      </c>
      <c r="X156" s="34">
        <v>1.04294365189493</v>
      </c>
      <c r="Y156" s="34">
        <v>1.0384904608674399</v>
      </c>
      <c r="Z156" s="34">
        <v>1.04147605665201</v>
      </c>
      <c r="AA156" s="34">
        <v>1.04145484357685</v>
      </c>
      <c r="AB156" s="33">
        <v>50.367098899209303</v>
      </c>
      <c r="AC156" s="33">
        <v>50.507038486554997</v>
      </c>
      <c r="AD156" s="33">
        <v>50.5051117505907</v>
      </c>
      <c r="AE156" s="15">
        <v>-4.2789707297091403E-3</v>
      </c>
      <c r="AF156" s="15">
        <v>-1.5044304809520199E-3</v>
      </c>
      <c r="AG156" s="15">
        <v>-1.5425790791155399E-3</v>
      </c>
      <c r="AI156" s="12"/>
      <c r="AJ156">
        <f t="shared" si="46"/>
        <v>0</v>
      </c>
      <c r="AK156">
        <f t="shared" si="47"/>
        <v>0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5.1896779173525604E-3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6.8068201870182827E-3</v>
      </c>
      <c r="BE156" s="29">
        <f t="shared" si="62"/>
        <v>0</v>
      </c>
      <c r="BF156" s="29">
        <f t="shared" si="63"/>
        <v>1.1996498104370843E-2</v>
      </c>
      <c r="BH156" s="29"/>
    </row>
    <row r="157" spans="1:60" x14ac:dyDescent="0.25">
      <c r="A157" s="1">
        <v>46251</v>
      </c>
      <c r="B157" s="33">
        <v>47.65</v>
      </c>
      <c r="C157" s="33">
        <v>49.78</v>
      </c>
      <c r="D157" s="15">
        <v>-1.46796712950429E-3</v>
      </c>
      <c r="E157" s="15">
        <v>-1.80632261858519E-3</v>
      </c>
      <c r="F157" s="33">
        <v>0</v>
      </c>
      <c r="G157" s="33">
        <v>0.78029999999999999</v>
      </c>
      <c r="H157" s="33">
        <v>0</v>
      </c>
      <c r="I157" s="33">
        <v>0.71307999999999905</v>
      </c>
      <c r="J157" s="33">
        <v>0.78029999999999999</v>
      </c>
      <c r="K157" s="33">
        <v>0.71307999999999905</v>
      </c>
      <c r="L157" s="33">
        <v>48.430299999999903</v>
      </c>
      <c r="M157" s="33">
        <v>50.493079999999999</v>
      </c>
      <c r="N157" s="34">
        <v>1.0447009443861399</v>
      </c>
      <c r="O157" s="34">
        <v>1.0403907452411401</v>
      </c>
      <c r="P157" s="34">
        <v>1.0437204476300801</v>
      </c>
      <c r="Q157" s="34">
        <v>1.04241038886369</v>
      </c>
      <c r="R157" s="33">
        <v>49.574619010740399</v>
      </c>
      <c r="S157" s="33">
        <v>49.7254611857608</v>
      </c>
      <c r="T157" s="33">
        <v>49.663003084562</v>
      </c>
      <c r="U157" s="15">
        <v>-4.13430767173153E-3</v>
      </c>
      <c r="V157" s="15">
        <v>-1.0961975162096301E-3</v>
      </c>
      <c r="W157" s="15">
        <v>-2.3530457808298702E-3</v>
      </c>
      <c r="X157" s="34">
        <v>1.0425927570136799</v>
      </c>
      <c r="Y157" s="34">
        <v>1.0384904608674399</v>
      </c>
      <c r="Z157" s="34">
        <v>1.0416366739740599</v>
      </c>
      <c r="AA157" s="34">
        <v>1.04148959221138</v>
      </c>
      <c r="AB157" s="33">
        <v>50.2944045669486</v>
      </c>
      <c r="AC157" s="33">
        <v>50.438997866473997</v>
      </c>
      <c r="AD157" s="33">
        <v>50.437970510880099</v>
      </c>
      <c r="AE157" s="15">
        <v>-3.9424674847298499E-3</v>
      </c>
      <c r="AF157" s="15">
        <v>-1.0716541231495899E-3</v>
      </c>
      <c r="AG157" s="15">
        <v>-1.09202260984046E-3</v>
      </c>
      <c r="AI157" s="12"/>
      <c r="AJ157">
        <f t="shared" si="46"/>
        <v>0</v>
      </c>
      <c r="AK157">
        <f t="shared" si="47"/>
        <v>0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5.1896779173525604E-3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6.8068201870182827E-3</v>
      </c>
      <c r="BE157" s="29">
        <f t="shared" si="62"/>
        <v>0</v>
      </c>
      <c r="BF157" s="29">
        <f t="shared" si="63"/>
        <v>1.1996498104370843E-2</v>
      </c>
      <c r="BH157" s="29"/>
    </row>
    <row r="158" spans="1:60" x14ac:dyDescent="0.25">
      <c r="A158" s="1">
        <v>46252</v>
      </c>
      <c r="B158" s="33">
        <v>47.59</v>
      </c>
      <c r="C158" s="33">
        <v>49.78</v>
      </c>
      <c r="D158" s="15">
        <v>-1.2599749671919299E-3</v>
      </c>
      <c r="E158" s="15">
        <v>0</v>
      </c>
      <c r="F158" s="33">
        <v>0</v>
      </c>
      <c r="G158" s="33">
        <v>0.78029999999999999</v>
      </c>
      <c r="H158" s="33">
        <v>0</v>
      </c>
      <c r="I158" s="33">
        <v>0.71307999999999905</v>
      </c>
      <c r="J158" s="33">
        <v>0.78029999999999999</v>
      </c>
      <c r="K158" s="33">
        <v>0.71307999999999905</v>
      </c>
      <c r="L158" s="33">
        <v>48.3703</v>
      </c>
      <c r="M158" s="33">
        <v>50.493079999999999</v>
      </c>
      <c r="N158" s="34">
        <v>1.04601807102332</v>
      </c>
      <c r="O158" s="34">
        <v>1.0403907452411401</v>
      </c>
      <c r="P158" s="34">
        <v>1.0440279040966001</v>
      </c>
      <c r="Q158" s="34">
        <v>1.0426728228350901</v>
      </c>
      <c r="R158" s="33">
        <v>49.512195566025902</v>
      </c>
      <c r="S158" s="33">
        <v>49.670656102715697</v>
      </c>
      <c r="T158" s="33">
        <v>49.608310406023101</v>
      </c>
      <c r="U158" s="15">
        <v>-5.39428263892345E-3</v>
      </c>
      <c r="V158" s="15">
        <v>-2.1989586721609302E-3</v>
      </c>
      <c r="W158" s="15">
        <v>-3.45492873471592E-3</v>
      </c>
      <c r="X158" s="34">
        <v>1.0438860209674099</v>
      </c>
      <c r="Y158" s="34">
        <v>1.0384904608674399</v>
      </c>
      <c r="Z158" s="34">
        <v>1.0419375473799</v>
      </c>
      <c r="AA158" s="34">
        <v>1.0416203691175201</v>
      </c>
      <c r="AB158" s="33">
        <v>50.232095139296597</v>
      </c>
      <c r="AC158" s="33">
        <v>50.384278411127603</v>
      </c>
      <c r="AD158" s="33">
        <v>50.377164022142097</v>
      </c>
      <c r="AE158" s="15">
        <v>-5.1821293811190102E-3</v>
      </c>
      <c r="AF158" s="15">
        <v>-2.15710706098694E-3</v>
      </c>
      <c r="AG158" s="15">
        <v>-2.2983195888256402E-3</v>
      </c>
      <c r="AI158" s="12"/>
      <c r="AJ158">
        <f t="shared" si="46"/>
        <v>0</v>
      </c>
      <c r="AK158">
        <f t="shared" si="47"/>
        <v>0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5.1896779173525604E-3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6.8068201870182827E-3</v>
      </c>
      <c r="BE158" s="29">
        <f t="shared" si="62"/>
        <v>0</v>
      </c>
      <c r="BF158" s="29">
        <f t="shared" si="63"/>
        <v>1.1996498104370843E-2</v>
      </c>
      <c r="BH158" s="29"/>
    </row>
    <row r="159" spans="1:60" x14ac:dyDescent="0.25">
      <c r="A159" s="1">
        <v>46253</v>
      </c>
      <c r="B159" s="33">
        <v>47.74</v>
      </c>
      <c r="C159" s="33">
        <v>49.84</v>
      </c>
      <c r="D159" s="15">
        <v>3.1469657776649999E-3</v>
      </c>
      <c r="E159" s="15">
        <v>1.2045775397518099E-3</v>
      </c>
      <c r="F159" s="33">
        <v>0</v>
      </c>
      <c r="G159" s="33">
        <v>0.78029999999999999</v>
      </c>
      <c r="H159" s="33">
        <v>0</v>
      </c>
      <c r="I159" s="33">
        <v>0.71307999999999905</v>
      </c>
      <c r="J159" s="33">
        <v>0.78029999999999999</v>
      </c>
      <c r="K159" s="33">
        <v>0.71307999999999905</v>
      </c>
      <c r="L159" s="33">
        <v>48.520299999999999</v>
      </c>
      <c r="M159" s="33">
        <v>50.553080000000001</v>
      </c>
      <c r="N159" s="34">
        <v>1.04398826979472</v>
      </c>
      <c r="O159" s="34">
        <v>1.0403907452411401</v>
      </c>
      <c r="P159" s="34">
        <v>1.04413417012587</v>
      </c>
      <c r="Q159" s="34">
        <v>1.0428324873708501</v>
      </c>
      <c r="R159" s="33">
        <v>49.668254177812102</v>
      </c>
      <c r="S159" s="33">
        <v>49.841892141571797</v>
      </c>
      <c r="T159" s="33">
        <v>49.777200562147499</v>
      </c>
      <c r="U159" s="15">
        <v>-3.45189440101034E-3</v>
      </c>
      <c r="V159" s="15">
        <v>3.7963596624995199E-5</v>
      </c>
      <c r="W159" s="15">
        <v>-1.26081531737806E-3</v>
      </c>
      <c r="X159" s="34">
        <v>1.0418954540676699</v>
      </c>
      <c r="Y159" s="34">
        <v>1.0384904608674399</v>
      </c>
      <c r="Z159" s="34">
        <v>1.0420410404146301</v>
      </c>
      <c r="AA159" s="34">
        <v>1.0416503402658599</v>
      </c>
      <c r="AB159" s="33">
        <v>50.387868708426701</v>
      </c>
      <c r="AC159" s="33">
        <v>50.555122380137099</v>
      </c>
      <c r="AD159" s="33">
        <v>50.539732795692998</v>
      </c>
      <c r="AE159" s="15">
        <v>-3.2734275080945601E-3</v>
      </c>
      <c r="AF159" s="15">
        <v>4.0399890204300903E-5</v>
      </c>
      <c r="AG159" s="15">
        <v>-2.6405842345100198E-4</v>
      </c>
      <c r="AI159" s="12"/>
      <c r="AJ159">
        <f t="shared" si="46"/>
        <v>0</v>
      </c>
      <c r="AK159">
        <f t="shared" si="47"/>
        <v>1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5.1896779173525604E-3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6.8068201870182827E-3</v>
      </c>
      <c r="BE159" s="29">
        <f t="shared" si="62"/>
        <v>0</v>
      </c>
      <c r="BF159" s="29">
        <f t="shared" si="63"/>
        <v>1.1996498104370843E-2</v>
      </c>
      <c r="BH159" s="29"/>
    </row>
    <row r="160" spans="1:60" x14ac:dyDescent="0.25">
      <c r="A160" s="1">
        <v>46254</v>
      </c>
      <c r="B160" s="33">
        <v>47.65</v>
      </c>
      <c r="C160" s="33">
        <v>49.79</v>
      </c>
      <c r="D160" s="15">
        <v>-1.88699081047299E-3</v>
      </c>
      <c r="E160" s="15">
        <v>-1.00371382510646E-3</v>
      </c>
      <c r="F160" s="33">
        <v>0</v>
      </c>
      <c r="G160" s="33">
        <v>0.78029999999999999</v>
      </c>
      <c r="H160" s="33">
        <v>0</v>
      </c>
      <c r="I160" s="33">
        <v>0.71307999999999905</v>
      </c>
      <c r="J160" s="33">
        <v>0.78029999999999999</v>
      </c>
      <c r="K160" s="33">
        <v>0.71307999999999905</v>
      </c>
      <c r="L160" s="33">
        <v>48.430299999999903</v>
      </c>
      <c r="M160" s="33">
        <v>50.503079999999997</v>
      </c>
      <c r="N160" s="34">
        <v>1.04491080797481</v>
      </c>
      <c r="O160" s="34">
        <v>1.0403907452411401</v>
      </c>
      <c r="P160" s="34">
        <v>1.0443028454107199</v>
      </c>
      <c r="Q160" s="34">
        <v>1.04297155113996</v>
      </c>
      <c r="R160" s="33">
        <v>49.574619010740399</v>
      </c>
      <c r="S160" s="33">
        <v>49.752993206497997</v>
      </c>
      <c r="T160" s="33">
        <v>49.690968023221401</v>
      </c>
      <c r="U160" s="15">
        <v>-4.3351713863769396E-3</v>
      </c>
      <c r="V160" s="15">
        <v>-7.43533904593354E-4</v>
      </c>
      <c r="W160" s="15">
        <v>-1.99097398145149E-3</v>
      </c>
      <c r="X160" s="34">
        <v>1.0427992393191801</v>
      </c>
      <c r="Y160" s="34">
        <v>1.0384904608674399</v>
      </c>
      <c r="Z160" s="34">
        <v>1.0422059701919999</v>
      </c>
      <c r="AA160" s="34">
        <v>1.04165963932492</v>
      </c>
      <c r="AB160" s="33">
        <v>50.2944045669486</v>
      </c>
      <c r="AC160" s="33">
        <v>50.466360199592799</v>
      </c>
      <c r="AD160" s="33">
        <v>50.447438474178099</v>
      </c>
      <c r="AE160" s="15">
        <v>-4.1404948163171196E-3</v>
      </c>
      <c r="AF160" s="15">
        <v>-7.2734486698906701E-4</v>
      </c>
      <c r="AG160" s="15">
        <v>-1.1023525643536101E-3</v>
      </c>
      <c r="AI160" s="12"/>
      <c r="AJ160">
        <f t="shared" si="46"/>
        <v>0</v>
      </c>
      <c r="AK160">
        <f t="shared" si="47"/>
        <v>0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5.1896779173525604E-3</v>
      </c>
      <c r="AT160" s="12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6.8068201870182827E-3</v>
      </c>
      <c r="BE160" s="29">
        <f t="shared" si="62"/>
        <v>0</v>
      </c>
      <c r="BF160" s="29">
        <f t="shared" si="63"/>
        <v>1.1996498104370843E-2</v>
      </c>
      <c r="BH160" s="29"/>
    </row>
    <row r="161" spans="1:60" x14ac:dyDescent="0.25">
      <c r="A161" s="1">
        <v>46255</v>
      </c>
      <c r="B161" s="33">
        <v>47.65</v>
      </c>
      <c r="C161" s="33">
        <v>49.77</v>
      </c>
      <c r="D161" s="15">
        <v>0</v>
      </c>
      <c r="E161" s="15">
        <v>-4.0176778362851102E-4</v>
      </c>
      <c r="F161" s="33">
        <v>0</v>
      </c>
      <c r="G161" s="33">
        <v>0.78029999999999999</v>
      </c>
      <c r="H161" s="33">
        <v>0</v>
      </c>
      <c r="I161" s="33">
        <v>0.71307999999999905</v>
      </c>
      <c r="J161" s="33">
        <v>0.78029999999999999</v>
      </c>
      <c r="K161" s="33">
        <v>0.71307999999999905</v>
      </c>
      <c r="L161" s="33">
        <v>48.430299999999903</v>
      </c>
      <c r="M161" s="33">
        <v>50.483080000000001</v>
      </c>
      <c r="N161" s="34">
        <v>1.0444910807974801</v>
      </c>
      <c r="O161" s="34">
        <v>1.0403907452411401</v>
      </c>
      <c r="P161" s="34">
        <v>1.0444141015613799</v>
      </c>
      <c r="Q161" s="34">
        <v>1.0431563562258599</v>
      </c>
      <c r="R161" s="33">
        <v>49.574619010740399</v>
      </c>
      <c r="S161" s="33">
        <v>49.761030583820997</v>
      </c>
      <c r="T161" s="33">
        <v>49.697594411819203</v>
      </c>
      <c r="U161" s="15">
        <v>-3.9334036027484504E-3</v>
      </c>
      <c r="V161" s="15">
        <v>-1.8023356435879E-4</v>
      </c>
      <c r="W161" s="15">
        <v>-1.45586311597839E-3</v>
      </c>
      <c r="X161" s="34">
        <v>1.04238627470818</v>
      </c>
      <c r="Y161" s="34">
        <v>1.0384904608674399</v>
      </c>
      <c r="Z161" s="34">
        <v>1.0423141490507699</v>
      </c>
      <c r="AA161" s="34">
        <v>1.0417141515052899</v>
      </c>
      <c r="AB161" s="33">
        <v>50.2944045669486</v>
      </c>
      <c r="AC161" s="33">
        <v>50.474347798189903</v>
      </c>
      <c r="AD161" s="33">
        <v>50.447888830398</v>
      </c>
      <c r="AE161" s="15">
        <v>-3.7444009305513302E-3</v>
      </c>
      <c r="AF161" s="15">
        <v>-1.7298780331983301E-4</v>
      </c>
      <c r="AG161" s="15">
        <v>-6.9733148181922496E-4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1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5.1896779173525604E-3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6.8068201870182827E-3</v>
      </c>
      <c r="BE161" s="29">
        <f t="shared" si="62"/>
        <v>0</v>
      </c>
      <c r="BF161" s="29">
        <f t="shared" si="63"/>
        <v>1.1996498104370843E-2</v>
      </c>
      <c r="BH161" s="29"/>
    </row>
    <row r="162" spans="1:60" x14ac:dyDescent="0.25">
      <c r="A162" s="1">
        <v>46258</v>
      </c>
      <c r="B162" s="33">
        <v>47.68</v>
      </c>
      <c r="C162" s="33">
        <v>49.81</v>
      </c>
      <c r="D162" s="15">
        <v>6.2939265688321004E-4</v>
      </c>
      <c r="E162" s="15">
        <v>8.0337421472917296E-4</v>
      </c>
      <c r="F162" s="33">
        <v>0</v>
      </c>
      <c r="G162" s="33">
        <v>0.78029999999999999</v>
      </c>
      <c r="H162" s="33">
        <v>0</v>
      </c>
      <c r="I162" s="33">
        <v>0.71307999999999905</v>
      </c>
      <c r="J162" s="33">
        <v>0.78029999999999999</v>
      </c>
      <c r="K162" s="33">
        <v>0.71307999999999905</v>
      </c>
      <c r="L162" s="33">
        <v>48.460299999999997</v>
      </c>
      <c r="M162" s="33">
        <v>50.52308</v>
      </c>
      <c r="N162" s="34">
        <v>1.0446728187919401</v>
      </c>
      <c r="O162" s="34">
        <v>1.0403907452411401</v>
      </c>
      <c r="P162" s="34">
        <v>1.04446623382768</v>
      </c>
      <c r="Q162" s="34">
        <v>1.0433970923240501</v>
      </c>
      <c r="R162" s="33">
        <v>49.605830733097598</v>
      </c>
      <c r="S162" s="33">
        <v>49.797664362446604</v>
      </c>
      <c r="T162" s="33">
        <v>49.737695064849099</v>
      </c>
      <c r="U162" s="15">
        <v>-4.1073851605945002E-3</v>
      </c>
      <c r="V162" s="15">
        <v>-2.4768450691789999E-4</v>
      </c>
      <c r="W162" s="15">
        <v>-1.4526694529473499E-3</v>
      </c>
      <c r="X162" s="34">
        <v>1.0425663893950301</v>
      </c>
      <c r="Y162" s="34">
        <v>1.0384904608674399</v>
      </c>
      <c r="Z162" s="34">
        <v>1.04236496673736</v>
      </c>
      <c r="AA162" s="34">
        <v>1.0418239372854701</v>
      </c>
      <c r="AB162" s="33">
        <v>50.325559280774598</v>
      </c>
      <c r="AC162" s="33">
        <v>50.510856357244997</v>
      </c>
      <c r="AD162" s="33">
        <v>50.481780296192198</v>
      </c>
      <c r="AE162" s="15">
        <v>-3.9171767353844899E-3</v>
      </c>
      <c r="AF162" s="15">
        <v>-2.4197102983936701E-4</v>
      </c>
      <c r="AG162" s="15">
        <v>-8.1777660972581605E-4</v>
      </c>
      <c r="AI162" s="12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5.1896779173525604E-3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6.8068201870182827E-3</v>
      </c>
      <c r="BE162" s="29">
        <f t="shared" si="62"/>
        <v>0</v>
      </c>
      <c r="BF162" s="29">
        <f t="shared" si="63"/>
        <v>1.1996498104370843E-2</v>
      </c>
      <c r="BH162" s="29"/>
    </row>
    <row r="163" spans="1:60" x14ac:dyDescent="0.25">
      <c r="A163" s="1">
        <v>46259</v>
      </c>
      <c r="B163" s="33">
        <v>47.91</v>
      </c>
      <c r="C163" s="33">
        <v>49.98</v>
      </c>
      <c r="D163" s="15">
        <v>4.8122281379364201E-3</v>
      </c>
      <c r="E163" s="15">
        <v>3.4071583216141298E-3</v>
      </c>
      <c r="F163" s="33">
        <v>0</v>
      </c>
      <c r="G163" s="33">
        <v>0.78029999999999999</v>
      </c>
      <c r="H163" s="33">
        <v>0</v>
      </c>
      <c r="I163" s="33">
        <v>0.71307999999999905</v>
      </c>
      <c r="J163" s="33">
        <v>0.78029999999999999</v>
      </c>
      <c r="K163" s="33">
        <v>0.71307999999999905</v>
      </c>
      <c r="L163" s="33">
        <v>48.690299999999901</v>
      </c>
      <c r="M163" s="33">
        <v>50.693079999999902</v>
      </c>
      <c r="N163" s="34">
        <v>1.0432060112711301</v>
      </c>
      <c r="O163" s="34">
        <v>1.0403907452411401</v>
      </c>
      <c r="P163" s="34">
        <v>1.04441627870218</v>
      </c>
      <c r="Q163" s="34">
        <v>1.0435361384596</v>
      </c>
      <c r="R163" s="33">
        <v>49.845120604503101</v>
      </c>
      <c r="S163" s="33">
        <v>50.040377262684402</v>
      </c>
      <c r="T163" s="33">
        <v>49.989154693245503</v>
      </c>
      <c r="U163" s="15">
        <v>-2.7023153442723002E-3</v>
      </c>
      <c r="V163" s="15">
        <v>1.2072993857950101E-3</v>
      </c>
      <c r="W163" s="15">
        <v>1.83150358713098E-4</v>
      </c>
      <c r="X163" s="34">
        <v>1.04113303881882</v>
      </c>
      <c r="Y163" s="34">
        <v>1.0384904608674399</v>
      </c>
      <c r="Z163" s="34">
        <v>1.0423161975456201</v>
      </c>
      <c r="AA163" s="34">
        <v>1.04183412845826</v>
      </c>
      <c r="AB163" s="33">
        <v>50.564412086774198</v>
      </c>
      <c r="AC163" s="33">
        <v>50.753062939932498</v>
      </c>
      <c r="AD163" s="33">
        <v>50.726720053611103</v>
      </c>
      <c r="AE163" s="15">
        <v>-2.5414017239940201E-3</v>
      </c>
      <c r="AF163" s="15">
        <v>1.1825574671331101E-3</v>
      </c>
      <c r="AG163" s="15">
        <v>6.6338239332059095E-4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5.1896779173525604E-3</v>
      </c>
      <c r="AT163" s="12"/>
      <c r="AU163">
        <f t="shared" si="50"/>
        <v>0</v>
      </c>
      <c r="AV163">
        <f t="shared" si="51"/>
        <v>0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6.8068201870182827E-3</v>
      </c>
      <c r="BE163" s="29">
        <f t="shared" si="62"/>
        <v>0</v>
      </c>
      <c r="BF163" s="29">
        <f t="shared" si="63"/>
        <v>1.1996498104370843E-2</v>
      </c>
      <c r="BH163" s="29"/>
    </row>
    <row r="164" spans="1:60" x14ac:dyDescent="0.25">
      <c r="A164" s="1">
        <v>46260</v>
      </c>
      <c r="B164" s="33">
        <v>47.78</v>
      </c>
      <c r="C164" s="33">
        <v>49.85</v>
      </c>
      <c r="D164" s="15">
        <v>-2.7171089973671301E-3</v>
      </c>
      <c r="E164" s="15">
        <v>-2.6044289989588902E-3</v>
      </c>
      <c r="F164" s="33">
        <v>0</v>
      </c>
      <c r="G164" s="33">
        <v>0.78029999999999999</v>
      </c>
      <c r="H164" s="33">
        <v>0</v>
      </c>
      <c r="I164" s="33">
        <v>0.71307999999999905</v>
      </c>
      <c r="J164" s="33">
        <v>0.78029999999999999</v>
      </c>
      <c r="K164" s="33">
        <v>0.71307999999999905</v>
      </c>
      <c r="L164" s="33">
        <v>48.560299999999998</v>
      </c>
      <c r="M164" s="33">
        <v>50.563079999999999</v>
      </c>
      <c r="N164" s="34">
        <v>1.0433235663457501</v>
      </c>
      <c r="O164" s="34">
        <v>1.0403907452411401</v>
      </c>
      <c r="P164" s="34">
        <v>1.0443780790841399</v>
      </c>
      <c r="Q164" s="34">
        <v>1.0436525363962199</v>
      </c>
      <c r="R164" s="33">
        <v>49.7098698076217</v>
      </c>
      <c r="S164" s="33">
        <v>49.902209796390402</v>
      </c>
      <c r="T164" s="33">
        <v>49.860156695599997</v>
      </c>
      <c r="U164" s="15">
        <v>-2.81499534268054E-3</v>
      </c>
      <c r="V164" s="15">
        <v>1.04678986589811E-3</v>
      </c>
      <c r="W164" s="15">
        <v>2.0372439421978999E-4</v>
      </c>
      <c r="X164" s="34">
        <v>1.04124315541707</v>
      </c>
      <c r="Y164" s="34">
        <v>1.0384904608674399</v>
      </c>
      <c r="Z164" s="34">
        <v>1.04227844001371</v>
      </c>
      <c r="AA164" s="34">
        <v>1.0418215953779399</v>
      </c>
      <c r="AB164" s="33">
        <v>50.429408326861399</v>
      </c>
      <c r="AC164" s="33">
        <v>50.615187247674903</v>
      </c>
      <c r="AD164" s="33">
        <v>50.591777828171999</v>
      </c>
      <c r="AE164" s="15">
        <v>-2.6471622476368401E-3</v>
      </c>
      <c r="AF164" s="15">
        <v>1.03000878942124E-3</v>
      </c>
      <c r="AG164" s="15">
        <v>5.6740387081924296E-4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5.1896779173525604E-3</v>
      </c>
      <c r="AT164" s="12"/>
      <c r="AU164">
        <f t="shared" si="50"/>
        <v>0</v>
      </c>
      <c r="AV164">
        <f t="shared" si="51"/>
        <v>0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6.8068201870182827E-3</v>
      </c>
      <c r="BE164" s="29">
        <f t="shared" si="62"/>
        <v>0</v>
      </c>
      <c r="BF164" s="29">
        <f t="shared" si="63"/>
        <v>1.1996498104370843E-2</v>
      </c>
      <c r="BH164" s="29"/>
    </row>
    <row r="165" spans="1:60" x14ac:dyDescent="0.25">
      <c r="A165" s="1">
        <v>46261</v>
      </c>
      <c r="B165" s="33">
        <v>47.7</v>
      </c>
      <c r="C165" s="33">
        <v>49.78</v>
      </c>
      <c r="D165" s="15">
        <v>-1.67574400336788E-3</v>
      </c>
      <c r="E165" s="15">
        <v>-1.40519946840144E-3</v>
      </c>
      <c r="F165" s="33">
        <v>0</v>
      </c>
      <c r="G165" s="33">
        <v>0.78029999999999999</v>
      </c>
      <c r="H165" s="33">
        <v>0</v>
      </c>
      <c r="I165" s="33">
        <v>0.71307999999999905</v>
      </c>
      <c r="J165" s="33">
        <v>0.78029999999999999</v>
      </c>
      <c r="K165" s="33">
        <v>0.71307999999999905</v>
      </c>
      <c r="L165" s="33">
        <v>48.4803</v>
      </c>
      <c r="M165" s="33">
        <v>50.493079999999999</v>
      </c>
      <c r="N165" s="34">
        <v>1.0436058700209601</v>
      </c>
      <c r="O165" s="34">
        <v>1.0403907452411401</v>
      </c>
      <c r="P165" s="34">
        <v>1.04439719248991</v>
      </c>
      <c r="Q165" s="34">
        <v>1.0437964890451299</v>
      </c>
      <c r="R165" s="33">
        <v>49.626638548002397</v>
      </c>
      <c r="S165" s="33">
        <v>49.8168343723137</v>
      </c>
      <c r="T165" s="33">
        <v>49.782225986099697</v>
      </c>
      <c r="U165" s="15">
        <v>-3.0855398776470601E-3</v>
      </c>
      <c r="V165" s="15">
        <v>7.3966957334128003E-4</v>
      </c>
      <c r="W165" s="15">
        <v>4.4715474731711002E-5</v>
      </c>
      <c r="X165" s="34">
        <v>1.04151748235881</v>
      </c>
      <c r="Y165" s="34">
        <v>1.0384904608674399</v>
      </c>
      <c r="Z165" s="34">
        <v>1.0422963463960799</v>
      </c>
      <c r="AA165" s="34">
        <v>1.04183607086625</v>
      </c>
      <c r="AB165" s="33">
        <v>50.346329089991997</v>
      </c>
      <c r="AC165" s="33">
        <v>50.529971455396797</v>
      </c>
      <c r="AD165" s="33">
        <v>50.5078234904014</v>
      </c>
      <c r="AE165" s="15">
        <v>-2.91058852749361E-3</v>
      </c>
      <c r="AF165" s="15">
        <v>7.3035721066070096E-4</v>
      </c>
      <c r="AG165" s="15">
        <v>2.9194769544940301E-4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5.1896779173525604E-3</v>
      </c>
      <c r="AT165" s="12"/>
      <c r="AU165">
        <f t="shared" si="50"/>
        <v>0</v>
      </c>
      <c r="AV165">
        <f t="shared" si="51"/>
        <v>0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6.8068201870182827E-3</v>
      </c>
      <c r="BE165" s="29">
        <f t="shared" si="62"/>
        <v>0</v>
      </c>
      <c r="BF165" s="29">
        <f t="shared" si="63"/>
        <v>1.1996498104370843E-2</v>
      </c>
      <c r="BH165" s="29"/>
    </row>
    <row r="166" spans="1:60" x14ac:dyDescent="0.25">
      <c r="A166" s="1">
        <v>46262</v>
      </c>
      <c r="B166" s="33">
        <v>47.6</v>
      </c>
      <c r="C166" s="33">
        <v>49.74</v>
      </c>
      <c r="D166" s="15">
        <v>-2.0986366569212401E-3</v>
      </c>
      <c r="E166" s="15">
        <v>-8.0385856418737397E-4</v>
      </c>
      <c r="F166" s="33">
        <v>0</v>
      </c>
      <c r="G166" s="33">
        <v>0.78029999999999999</v>
      </c>
      <c r="H166" s="33">
        <v>0</v>
      </c>
      <c r="I166" s="33">
        <v>0.71307999999999905</v>
      </c>
      <c r="J166" s="33">
        <v>0.78029999999999999</v>
      </c>
      <c r="K166" s="33">
        <v>0.71307999999999905</v>
      </c>
      <c r="L166" s="33">
        <v>48.380299999999998</v>
      </c>
      <c r="M166" s="33">
        <v>50.45308</v>
      </c>
      <c r="N166" s="34">
        <v>1.04495798319327</v>
      </c>
      <c r="O166" s="34">
        <v>1.0403907452411401</v>
      </c>
      <c r="P166" s="34">
        <v>1.04438754235995</v>
      </c>
      <c r="Q166" s="34">
        <v>1.04397195780915</v>
      </c>
      <c r="R166" s="33">
        <v>49.522599473478301</v>
      </c>
      <c r="S166" s="33">
        <v>49.713306362520001</v>
      </c>
      <c r="T166" s="33">
        <v>49.684712878548602</v>
      </c>
      <c r="U166" s="15">
        <v>-4.3803179703810202E-3</v>
      </c>
      <c r="V166" s="15">
        <v>-5.3680745461979205E-4</v>
      </c>
      <c r="W166" s="15">
        <v>-1.11214054432121E-3</v>
      </c>
      <c r="X166" s="34">
        <v>1.04284347141295</v>
      </c>
      <c r="Y166" s="34">
        <v>1.0384904608674399</v>
      </c>
      <c r="Z166" s="34">
        <v>1.04228632834788</v>
      </c>
      <c r="AA166" s="34">
        <v>1.04188119249994</v>
      </c>
      <c r="AB166" s="33">
        <v>50.242480043905204</v>
      </c>
      <c r="AC166" s="33">
        <v>50.426609927546401</v>
      </c>
      <c r="AD166" s="33">
        <v>50.404341659330498</v>
      </c>
      <c r="AE166" s="15">
        <v>-4.18291060838315E-3</v>
      </c>
      <c r="AF166" s="15">
        <v>-5.2478498060527703E-4</v>
      </c>
      <c r="AG166" s="15">
        <v>-9.6648007972853695E-4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5.1896779173525604E-3</v>
      </c>
      <c r="AT166" s="12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6.8068201870182827E-3</v>
      </c>
      <c r="BE166" s="29">
        <f t="shared" si="62"/>
        <v>0</v>
      </c>
      <c r="BF166" s="29">
        <f t="shared" si="63"/>
        <v>1.1996498104370843E-2</v>
      </c>
      <c r="BH166" s="29"/>
    </row>
    <row r="167" spans="1:60" x14ac:dyDescent="0.25">
      <c r="A167" s="1">
        <v>46265</v>
      </c>
      <c r="B167" s="33">
        <v>47.55</v>
      </c>
      <c r="C167" s="33">
        <v>49.72</v>
      </c>
      <c r="D167" s="15">
        <v>-1.0509722459751099E-3</v>
      </c>
      <c r="E167" s="15">
        <v>-4.0217173274833602E-4</v>
      </c>
      <c r="F167" s="33">
        <v>0</v>
      </c>
      <c r="G167" s="33">
        <v>0.78029999999999999</v>
      </c>
      <c r="H167" s="33">
        <v>0</v>
      </c>
      <c r="I167" s="33">
        <v>0.71307999999999905</v>
      </c>
      <c r="J167" s="33">
        <v>0.78029999999999999</v>
      </c>
      <c r="K167" s="33">
        <v>0.71307999999999905</v>
      </c>
      <c r="L167" s="33">
        <v>48.330299999999902</v>
      </c>
      <c r="M167" s="33">
        <v>50.433079999999997</v>
      </c>
      <c r="N167" s="34">
        <v>1.04563617245005</v>
      </c>
      <c r="O167" s="34">
        <v>1.0403907452411401</v>
      </c>
      <c r="P167" s="34">
        <v>1.0444810651663401</v>
      </c>
      <c r="Q167" s="34">
        <v>1.0441007563982101</v>
      </c>
      <c r="R167" s="33">
        <v>49.470579936216303</v>
      </c>
      <c r="S167" s="33">
        <v>49.660627639215903</v>
      </c>
      <c r="T167" s="33">
        <v>49.6408665938254</v>
      </c>
      <c r="U167" s="15">
        <v>-5.0291184836077796E-3</v>
      </c>
      <c r="V167" s="15">
        <v>-1.1948479146911999E-3</v>
      </c>
      <c r="W167" s="15">
        <v>-1.5928488874651799E-3</v>
      </c>
      <c r="X167" s="34">
        <v>1.0435085236383801</v>
      </c>
      <c r="Y167" s="34">
        <v>1.0384904608674399</v>
      </c>
      <c r="Z167" s="34">
        <v>1.0423779050103501</v>
      </c>
      <c r="AA167" s="34">
        <v>1.0420072894921999</v>
      </c>
      <c r="AB167" s="33">
        <v>50.190555520861899</v>
      </c>
      <c r="AC167" s="33">
        <v>50.374010934951698</v>
      </c>
      <c r="AD167" s="33">
        <v>50.354430597880203</v>
      </c>
      <c r="AE167" s="15">
        <v>-4.8204370176675596E-3</v>
      </c>
      <c r="AF167" s="15">
        <v>-1.1719229522615001E-3</v>
      </c>
      <c r="AG167" s="15">
        <v>-1.5606977018781799E-3</v>
      </c>
      <c r="AI167" s="12"/>
      <c r="AJ167">
        <f t="shared" si="46"/>
        <v>0</v>
      </c>
      <c r="AK167">
        <f t="shared" si="47"/>
        <v>0</v>
      </c>
      <c r="AL167">
        <f t="shared" si="54"/>
        <v>0</v>
      </c>
      <c r="AM167">
        <f t="shared" si="44"/>
        <v>0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5.1896779173525604E-3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0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6.8068201870182827E-3</v>
      </c>
      <c r="BE167" s="29">
        <f t="shared" si="62"/>
        <v>0</v>
      </c>
      <c r="BF167" s="29">
        <f t="shared" si="63"/>
        <v>1.1996498104370843E-2</v>
      </c>
      <c r="BH167" s="29"/>
    </row>
    <row r="168" spans="1:60" x14ac:dyDescent="0.25">
      <c r="A168" s="1">
        <v>46266</v>
      </c>
      <c r="B168" s="33">
        <v>47.27</v>
      </c>
      <c r="C168" s="33">
        <v>49.58</v>
      </c>
      <c r="D168" s="15">
        <v>-5.9059441862542097E-3</v>
      </c>
      <c r="E168" s="15">
        <v>-2.81974003546592E-3</v>
      </c>
      <c r="F168" s="33">
        <v>0.1206</v>
      </c>
      <c r="G168" s="33">
        <v>0.90090000000000003</v>
      </c>
      <c r="H168" s="33">
        <v>0</v>
      </c>
      <c r="I168" s="33">
        <v>0.71307999999999905</v>
      </c>
      <c r="J168" s="33">
        <v>0.90090000000000003</v>
      </c>
      <c r="K168" s="33">
        <v>0.71307999999999905</v>
      </c>
      <c r="L168" s="33">
        <v>48.170900000000003</v>
      </c>
      <c r="M168" s="33">
        <v>50.293079999999897</v>
      </c>
      <c r="N168" s="34">
        <v>1.04886820393484</v>
      </c>
      <c r="O168" s="34">
        <v>1.0403907452411401</v>
      </c>
      <c r="P168" s="34">
        <v>1.0447660784574899</v>
      </c>
      <c r="Q168" s="34">
        <v>1.0443969912770501</v>
      </c>
      <c r="R168" s="33">
        <v>49.179270527548802</v>
      </c>
      <c r="S168" s="33">
        <v>49.372619950413203</v>
      </c>
      <c r="T168" s="33">
        <v>49.354642754943598</v>
      </c>
      <c r="U168" s="15">
        <v>-8.1153226343959207E-3</v>
      </c>
      <c r="V168" s="15">
        <v>-4.1915080835210599E-3</v>
      </c>
      <c r="W168" s="15">
        <v>-4.5556870382619796E-3</v>
      </c>
      <c r="X168" s="34">
        <v>1.0440552283640101</v>
      </c>
      <c r="Y168" s="34">
        <v>1.0384904608674399</v>
      </c>
      <c r="Z168" s="34">
        <v>1.04239482575001</v>
      </c>
      <c r="AA168" s="34">
        <v>1.0421661865649501</v>
      </c>
      <c r="AB168" s="33">
        <v>50.025020141399601</v>
      </c>
      <c r="AC168" s="33">
        <v>50.212281824463197</v>
      </c>
      <c r="AD168" s="33">
        <v>50.194428941400197</v>
      </c>
      <c r="AE168" s="15">
        <v>-5.3442099923670201E-3</v>
      </c>
      <c r="AF168" s="15">
        <v>-1.60783845709826E-3</v>
      </c>
      <c r="AG168" s="15">
        <v>-1.9634498124544201E-3</v>
      </c>
      <c r="AI168" s="12"/>
      <c r="AJ168">
        <f t="shared" si="46"/>
        <v>0</v>
      </c>
      <c r="AK168">
        <f t="shared" si="47"/>
        <v>0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5.1896779173525604E-3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6.8068201870182827E-3</v>
      </c>
      <c r="BE168" s="29">
        <f t="shared" si="62"/>
        <v>0</v>
      </c>
      <c r="BF168" s="29">
        <f t="shared" si="63"/>
        <v>1.1996498104370843E-2</v>
      </c>
      <c r="BH168" s="29"/>
    </row>
    <row r="169" spans="1:60" x14ac:dyDescent="0.25">
      <c r="A169" s="1">
        <v>46267</v>
      </c>
      <c r="B169" s="33">
        <v>47.25</v>
      </c>
      <c r="C169" s="33">
        <v>49.59</v>
      </c>
      <c r="D169" s="15">
        <v>-4.2319086539327201E-4</v>
      </c>
      <c r="E169" s="15">
        <v>2.0167389399811399E-4</v>
      </c>
      <c r="F169" s="33">
        <v>0</v>
      </c>
      <c r="G169" s="33">
        <v>0.90090000000000003</v>
      </c>
      <c r="H169" s="33">
        <v>0</v>
      </c>
      <c r="I169" s="33">
        <v>0.71307999999999905</v>
      </c>
      <c r="J169" s="33">
        <v>0.90090000000000003</v>
      </c>
      <c r="K169" s="33">
        <v>0.71307999999999905</v>
      </c>
      <c r="L169" s="33">
        <v>48.1509</v>
      </c>
      <c r="M169" s="33">
        <v>50.303080000000001</v>
      </c>
      <c r="N169" s="34">
        <v>1.0495238095238</v>
      </c>
      <c r="O169" s="34">
        <v>1.0403907452411401</v>
      </c>
      <c r="P169" s="34">
        <v>1.0453196324303999</v>
      </c>
      <c r="Q169" s="34">
        <v>1.0447269012781399</v>
      </c>
      <c r="R169" s="33">
        <v>49.158462712643903</v>
      </c>
      <c r="S169" s="33">
        <v>49.3651972071168</v>
      </c>
      <c r="T169" s="33">
        <v>49.347757837840597</v>
      </c>
      <c r="U169" s="15">
        <v>-8.7401873937874002E-3</v>
      </c>
      <c r="V169" s="15">
        <v>-4.5435345683312598E-3</v>
      </c>
      <c r="W169" s="15">
        <v>-4.8968695373770004E-3</v>
      </c>
      <c r="X169" s="34">
        <v>1.04469656849612</v>
      </c>
      <c r="Y169" s="34">
        <v>1.0384904608674399</v>
      </c>
      <c r="Z169" s="34">
        <v>1.0426749371928501</v>
      </c>
      <c r="AA169" s="34">
        <v>1.04235798880374</v>
      </c>
      <c r="AB169" s="33">
        <v>50.004250332182302</v>
      </c>
      <c r="AC169" s="33">
        <v>50.192249015206301</v>
      </c>
      <c r="AD169" s="33">
        <v>50.181239832670698</v>
      </c>
      <c r="AE169" s="15">
        <v>-5.95829937649582E-3</v>
      </c>
      <c r="AF169" s="15">
        <v>-2.20569514649664E-3</v>
      </c>
      <c r="AG169" s="15">
        <v>-2.4250594967082902E-3</v>
      </c>
      <c r="AI169" s="12"/>
      <c r="AJ169">
        <f t="shared" si="46"/>
        <v>0</v>
      </c>
      <c r="AK169">
        <f t="shared" si="47"/>
        <v>0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5.1896779173525604E-3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6.8068201870182827E-3</v>
      </c>
      <c r="BE169" s="29">
        <f t="shared" si="62"/>
        <v>0</v>
      </c>
      <c r="BF169" s="29">
        <f t="shared" si="63"/>
        <v>1.1996498104370843E-2</v>
      </c>
      <c r="BH169" s="29"/>
    </row>
    <row r="170" spans="1:60" x14ac:dyDescent="0.25">
      <c r="A170" s="1">
        <v>46268</v>
      </c>
      <c r="B170" s="33">
        <v>47.4</v>
      </c>
      <c r="C170" s="33">
        <v>49.68</v>
      </c>
      <c r="D170" s="15">
        <v>3.1695747612790299E-3</v>
      </c>
      <c r="E170" s="15">
        <v>1.8132371241807201E-3</v>
      </c>
      <c r="F170" s="33">
        <v>0</v>
      </c>
      <c r="G170" s="33">
        <v>0.90090000000000003</v>
      </c>
      <c r="H170" s="33">
        <v>0</v>
      </c>
      <c r="I170" s="33">
        <v>0.71307999999999905</v>
      </c>
      <c r="J170" s="33">
        <v>0.90090000000000003</v>
      </c>
      <c r="K170" s="33">
        <v>0.71307999999999905</v>
      </c>
      <c r="L170" s="33">
        <v>48.300899999999999</v>
      </c>
      <c r="M170" s="33">
        <v>50.393079999999998</v>
      </c>
      <c r="N170" s="34">
        <v>1.04810126582278</v>
      </c>
      <c r="O170" s="34">
        <v>1.0403907452411401</v>
      </c>
      <c r="P170" s="34">
        <v>1.0456386782152001</v>
      </c>
      <c r="Q170" s="34">
        <v>1.04497076181296</v>
      </c>
      <c r="R170" s="33">
        <v>49.314521324430103</v>
      </c>
      <c r="S170" s="33">
        <v>49.548150577201298</v>
      </c>
      <c r="T170" s="33">
        <v>49.520055120583898</v>
      </c>
      <c r="U170" s="15">
        <v>-7.3838497566891302E-3</v>
      </c>
      <c r="V170" s="15">
        <v>-2.6575019211501701E-3</v>
      </c>
      <c r="W170" s="15">
        <v>-3.2246961520882101E-3</v>
      </c>
      <c r="X170" s="34">
        <v>1.0433155489856201</v>
      </c>
      <c r="Y170" s="34">
        <v>1.0384904608674399</v>
      </c>
      <c r="Z170" s="34">
        <v>1.0427265681594999</v>
      </c>
      <c r="AA170" s="34">
        <v>1.04246626917575</v>
      </c>
      <c r="AB170" s="33">
        <v>50.1600239013124</v>
      </c>
      <c r="AC170" s="33">
        <v>50.362137873858501</v>
      </c>
      <c r="AD170" s="33">
        <v>50.346828981410802</v>
      </c>
      <c r="AE170" s="15">
        <v>-4.63549123730008E-3</v>
      </c>
      <c r="AF170" s="15">
        <v>-6.1420396416433595E-4</v>
      </c>
      <c r="AG170" s="15">
        <v>-9.18226397193095E-4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5.1896779173525604E-3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6.8068201870182827E-3</v>
      </c>
      <c r="BE170" s="29">
        <f t="shared" si="62"/>
        <v>0</v>
      </c>
      <c r="BF170" s="29">
        <f t="shared" si="63"/>
        <v>1.1996498104370843E-2</v>
      </c>
      <c r="BH170" s="29"/>
    </row>
    <row r="171" spans="1:60" x14ac:dyDescent="0.25">
      <c r="A171" s="1">
        <v>46269</v>
      </c>
      <c r="B171" s="33">
        <v>47.45</v>
      </c>
      <c r="C171" s="33">
        <v>49.74</v>
      </c>
      <c r="D171" s="15">
        <v>1.05429635490621E-3</v>
      </c>
      <c r="E171" s="15">
        <v>1.2070007500352799E-3</v>
      </c>
      <c r="F171" s="33">
        <v>0</v>
      </c>
      <c r="G171" s="33">
        <v>0.90090000000000003</v>
      </c>
      <c r="H171" s="33">
        <v>0</v>
      </c>
      <c r="I171" s="33">
        <v>0.71307999999999905</v>
      </c>
      <c r="J171" s="33">
        <v>0.90090000000000003</v>
      </c>
      <c r="K171" s="33">
        <v>0.71307999999999905</v>
      </c>
      <c r="L171" s="33">
        <v>48.350900000000003</v>
      </c>
      <c r="M171" s="33">
        <v>50.45308</v>
      </c>
      <c r="N171" s="34">
        <v>1.0482613277133801</v>
      </c>
      <c r="O171" s="34">
        <v>1.0403907452411401</v>
      </c>
      <c r="P171" s="34">
        <v>1.04601570290679</v>
      </c>
      <c r="Q171" s="34">
        <v>1.04521490223408</v>
      </c>
      <c r="R171" s="33">
        <v>49.366540861692201</v>
      </c>
      <c r="S171" s="33">
        <v>49.615555281311401</v>
      </c>
      <c r="T171" s="33">
        <v>49.583862648025097</v>
      </c>
      <c r="U171" s="15">
        <v>-7.5365541518184198E-3</v>
      </c>
      <c r="V171" s="15">
        <v>-2.5050392685687099E-3</v>
      </c>
      <c r="W171" s="15">
        <v>-3.1440074203196501E-3</v>
      </c>
      <c r="X171" s="34">
        <v>1.04347757745977</v>
      </c>
      <c r="Y171" s="34">
        <v>1.0384904608674399</v>
      </c>
      <c r="Z171" s="34">
        <v>1.0428356984346601</v>
      </c>
      <c r="AA171" s="34">
        <v>1.04257492374271</v>
      </c>
      <c r="AB171" s="33">
        <v>50.211948424355697</v>
      </c>
      <c r="AC171" s="33">
        <v>50.416768024423298</v>
      </c>
      <c r="AD171" s="33">
        <v>50.404182334289999</v>
      </c>
      <c r="AE171" s="15">
        <v>-4.7907806835042798E-3</v>
      </c>
      <c r="AF171" s="15">
        <v>-7.1997683859829702E-4</v>
      </c>
      <c r="AG171" s="15">
        <v>-9.6964102354981404E-4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5.1896779173525604E-3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6.8068201870182827E-3</v>
      </c>
      <c r="BE171" s="29">
        <f t="shared" si="62"/>
        <v>0</v>
      </c>
      <c r="BF171" s="29">
        <f t="shared" si="63"/>
        <v>1.1996498104370843E-2</v>
      </c>
      <c r="BH171" s="29"/>
    </row>
    <row r="172" spans="1:60" x14ac:dyDescent="0.25">
      <c r="A172" s="1">
        <v>46273</v>
      </c>
      <c r="B172" s="33">
        <v>47.39</v>
      </c>
      <c r="C172" s="33">
        <v>49.68</v>
      </c>
      <c r="D172" s="15">
        <v>-1.26528907643997E-3</v>
      </c>
      <c r="E172" s="15">
        <v>-1.20700075003533E-3</v>
      </c>
      <c r="F172" s="33">
        <v>0</v>
      </c>
      <c r="G172" s="33">
        <v>0.90090000000000003</v>
      </c>
      <c r="H172" s="33">
        <v>0</v>
      </c>
      <c r="I172" s="33">
        <v>0.71307999999999905</v>
      </c>
      <c r="J172" s="33">
        <v>0.90090000000000003</v>
      </c>
      <c r="K172" s="33">
        <v>0.71307999999999905</v>
      </c>
      <c r="L172" s="33">
        <v>48.290900000000001</v>
      </c>
      <c r="M172" s="33">
        <v>50.393079999999998</v>
      </c>
      <c r="N172" s="34">
        <v>1.04832243089259</v>
      </c>
      <c r="O172" s="34">
        <v>1.0403907452411401</v>
      </c>
      <c r="P172" s="34">
        <v>1.04638066411685</v>
      </c>
      <c r="Q172" s="34">
        <v>1.04542344897227</v>
      </c>
      <c r="R172" s="33">
        <v>49.304117416977697</v>
      </c>
      <c r="S172" s="33">
        <v>49.570684160752897</v>
      </c>
      <c r="T172" s="33">
        <v>49.532734216873401</v>
      </c>
      <c r="U172" s="15">
        <v>-7.5948424782230697E-3</v>
      </c>
      <c r="V172" s="15">
        <v>-2.2028237764875999E-3</v>
      </c>
      <c r="W172" s="15">
        <v>-2.9686893007208502E-3</v>
      </c>
      <c r="X172" s="34">
        <v>1.04353159705037</v>
      </c>
      <c r="Y172" s="34">
        <v>1.0384904608674399</v>
      </c>
      <c r="Z172" s="34">
        <v>1.04293221920019</v>
      </c>
      <c r="AA172" s="34">
        <v>1.0426485929687801</v>
      </c>
      <c r="AB172" s="33">
        <v>50.1496389967037</v>
      </c>
      <c r="AC172" s="33">
        <v>50.359474429538402</v>
      </c>
      <c r="AD172" s="33">
        <v>50.346881384967098</v>
      </c>
      <c r="AE172" s="15">
        <v>-4.8425481517736998E-3</v>
      </c>
      <c r="AF172" s="15">
        <v>-6.6709120970875804E-4</v>
      </c>
      <c r="AG172" s="15">
        <v>-9.1718554655655896E-4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5.1896779173525604E-3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6.8068201870182827E-3</v>
      </c>
      <c r="BE172" s="29">
        <f t="shared" si="62"/>
        <v>0</v>
      </c>
      <c r="BF172" s="29">
        <f t="shared" si="63"/>
        <v>1.1996498104370843E-2</v>
      </c>
      <c r="BH172" s="29"/>
    </row>
    <row r="173" spans="1:60" x14ac:dyDescent="0.25">
      <c r="A173" s="1">
        <v>46274</v>
      </c>
      <c r="B173" s="33">
        <v>47.23</v>
      </c>
      <c r="C173" s="33">
        <v>49.55</v>
      </c>
      <c r="D173" s="15">
        <v>-3.38195207147126E-3</v>
      </c>
      <c r="E173" s="15">
        <v>-2.62017684922634E-3</v>
      </c>
      <c r="F173" s="33">
        <v>0</v>
      </c>
      <c r="G173" s="33">
        <v>0.90090000000000003</v>
      </c>
      <c r="H173" s="33">
        <v>0</v>
      </c>
      <c r="I173" s="33">
        <v>0.71307999999999905</v>
      </c>
      <c r="J173" s="33">
        <v>0.90090000000000003</v>
      </c>
      <c r="K173" s="33">
        <v>0.71307999999999905</v>
      </c>
      <c r="L173" s="33">
        <v>48.130899999999997</v>
      </c>
      <c r="M173" s="33">
        <v>50.263079999999903</v>
      </c>
      <c r="N173" s="34">
        <v>1.0491213211941499</v>
      </c>
      <c r="O173" s="34">
        <v>1.0403907452411401</v>
      </c>
      <c r="P173" s="34">
        <v>1.04697219510916</v>
      </c>
      <c r="Q173" s="34">
        <v>1.0456942369056701</v>
      </c>
      <c r="R173" s="33">
        <v>49.137654897739097</v>
      </c>
      <c r="S173" s="33">
        <v>49.420558766239203</v>
      </c>
      <c r="T173" s="33">
        <v>49.375349494960403</v>
      </c>
      <c r="U173" s="15">
        <v>-8.3566177004679807E-3</v>
      </c>
      <c r="V173" s="15">
        <v>-2.6157537994981701E-3</v>
      </c>
      <c r="W173" s="15">
        <v>-3.5309592008172502E-3</v>
      </c>
      <c r="X173" s="34">
        <v>1.04429960794416</v>
      </c>
      <c r="Y173" s="34">
        <v>1.0384904608674399</v>
      </c>
      <c r="Z173" s="34">
        <v>1.0432488761127301</v>
      </c>
      <c r="AA173" s="34">
        <v>1.0427825368291701</v>
      </c>
      <c r="AB173" s="33">
        <v>49.983480522964904</v>
      </c>
      <c r="AC173" s="33">
        <v>50.197266349102698</v>
      </c>
      <c r="AD173" s="33">
        <v>50.1836151633211</v>
      </c>
      <c r="AE173" s="15">
        <v>-5.5782502780727097E-3</v>
      </c>
      <c r="AF173" s="15">
        <v>-1.3102415570802599E-3</v>
      </c>
      <c r="AG173" s="15">
        <v>-1.5822293232767501E-3</v>
      </c>
      <c r="AI173" s="12"/>
      <c r="AJ173">
        <f t="shared" si="46"/>
        <v>0</v>
      </c>
      <c r="AK173">
        <f t="shared" si="47"/>
        <v>0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5.1896779173525604E-3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6.8068201870182827E-3</v>
      </c>
      <c r="BE173" s="29">
        <f t="shared" si="62"/>
        <v>0</v>
      </c>
      <c r="BF173" s="29">
        <f t="shared" si="63"/>
        <v>1.1996498104370843E-2</v>
      </c>
      <c r="BH173" s="29"/>
    </row>
    <row r="174" spans="1:60" x14ac:dyDescent="0.25">
      <c r="A174" s="1">
        <v>46275</v>
      </c>
      <c r="B174" s="33">
        <v>46.97</v>
      </c>
      <c r="C174" s="33">
        <v>49.35</v>
      </c>
      <c r="D174" s="15">
        <v>-5.5201838691219998E-3</v>
      </c>
      <c r="E174" s="15">
        <v>-4.0444948965062998E-3</v>
      </c>
      <c r="F174" s="33">
        <v>0</v>
      </c>
      <c r="G174" s="33">
        <v>0.90090000000000003</v>
      </c>
      <c r="H174" s="33">
        <v>0</v>
      </c>
      <c r="I174" s="33">
        <v>0.71307999999999905</v>
      </c>
      <c r="J174" s="33">
        <v>0.90090000000000003</v>
      </c>
      <c r="K174" s="33">
        <v>0.71307999999999905</v>
      </c>
      <c r="L174" s="33">
        <v>47.870899999999999</v>
      </c>
      <c r="M174" s="33">
        <v>50.063079999999999</v>
      </c>
      <c r="N174" s="34">
        <v>1.0506706408345701</v>
      </c>
      <c r="O174" s="34">
        <v>1.0403907452411401</v>
      </c>
      <c r="P174" s="34">
        <v>1.0477069025580401</v>
      </c>
      <c r="Q174" s="34">
        <v>1.0460424908210899</v>
      </c>
      <c r="R174" s="33">
        <v>48.867153303976401</v>
      </c>
      <c r="S174" s="33">
        <v>49.176284004277299</v>
      </c>
      <c r="T174" s="33">
        <v>49.116258307459397</v>
      </c>
      <c r="U174" s="15">
        <v>-9.8323066730835497E-3</v>
      </c>
      <c r="V174" s="15">
        <v>-3.5262910295972699E-3</v>
      </c>
      <c r="W174" s="15">
        <v>-4.7476594644345199E-3</v>
      </c>
      <c r="X174" s="34">
        <v>1.04579358232245</v>
      </c>
      <c r="Y174" s="34">
        <v>1.0384904608674399</v>
      </c>
      <c r="Z174" s="34">
        <v>1.04370391880326</v>
      </c>
      <c r="AA174" s="34">
        <v>1.0429911794084901</v>
      </c>
      <c r="AB174" s="33">
        <v>49.713473003139399</v>
      </c>
      <c r="AC174" s="33">
        <v>49.941262623504898</v>
      </c>
      <c r="AD174" s="33">
        <v>49.918938542295898</v>
      </c>
      <c r="AE174" s="15">
        <v>-7.0078273320320697E-3</v>
      </c>
      <c r="AF174" s="15">
        <v>-2.4362429380763002E-3</v>
      </c>
      <c r="AG174" s="15">
        <v>-2.8833496196217201E-3</v>
      </c>
      <c r="AI174" s="12"/>
      <c r="AJ174">
        <f t="shared" si="46"/>
        <v>0</v>
      </c>
      <c r="AK174">
        <f t="shared" si="47"/>
        <v>0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5.1896779173525604E-3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6.8068201870182827E-3</v>
      </c>
      <c r="BE174" s="29">
        <f t="shared" si="62"/>
        <v>0</v>
      </c>
      <c r="BF174" s="29">
        <f t="shared" si="63"/>
        <v>1.1996498104370843E-2</v>
      </c>
      <c r="BH174" s="29"/>
    </row>
    <row r="175" spans="1:60" x14ac:dyDescent="0.25">
      <c r="A175" s="1">
        <v>46276</v>
      </c>
      <c r="B175" s="33">
        <v>46.99</v>
      </c>
      <c r="C175" s="33">
        <v>49.41</v>
      </c>
      <c r="D175" s="15">
        <v>4.2571307582057902E-4</v>
      </c>
      <c r="E175" s="15">
        <v>1.21506697816786E-3</v>
      </c>
      <c r="F175" s="33">
        <v>0</v>
      </c>
      <c r="G175" s="33">
        <v>0.90090000000000003</v>
      </c>
      <c r="H175" s="33">
        <v>0</v>
      </c>
      <c r="I175" s="33">
        <v>0.71307999999999905</v>
      </c>
      <c r="J175" s="33">
        <v>0.90090000000000003</v>
      </c>
      <c r="K175" s="33">
        <v>0.71307999999999905</v>
      </c>
      <c r="L175" s="33">
        <v>47.890900000000002</v>
      </c>
      <c r="M175" s="33">
        <v>50.123079999999902</v>
      </c>
      <c r="N175" s="34">
        <v>1.0515003192168499</v>
      </c>
      <c r="O175" s="34">
        <v>1.0403907452411401</v>
      </c>
      <c r="P175" s="34">
        <v>1.0484963474776301</v>
      </c>
      <c r="Q175" s="34">
        <v>1.0464467699837701</v>
      </c>
      <c r="R175" s="33">
        <v>48.887961118881201</v>
      </c>
      <c r="S175" s="33">
        <v>49.231747351202401</v>
      </c>
      <c r="T175" s="33">
        <v>49.153536643683204</v>
      </c>
      <c r="U175" s="15">
        <v>-1.06216605754308E-2</v>
      </c>
      <c r="V175" s="15">
        <v>-3.6141460915448298E-3</v>
      </c>
      <c r="W175" s="15">
        <v>-5.2040327253625599E-3</v>
      </c>
      <c r="X175" s="34">
        <v>1.0466096899410899</v>
      </c>
      <c r="Y175" s="34">
        <v>1.0384904608674399</v>
      </c>
      <c r="Z175" s="34">
        <v>1.04421313956149</v>
      </c>
      <c r="AA175" s="34">
        <v>1.04325474297879</v>
      </c>
      <c r="AB175" s="33">
        <v>49.734242812356698</v>
      </c>
      <c r="AC175" s="33">
        <v>49.983920005015399</v>
      </c>
      <c r="AD175" s="33">
        <v>49.949786273934102</v>
      </c>
      <c r="AE175" s="15">
        <v>-7.7878946076307097E-3</v>
      </c>
      <c r="AF175" s="15">
        <v>-2.7802268495877901E-3</v>
      </c>
      <c r="AG175" s="15">
        <v>-3.4633543684152099E-3</v>
      </c>
      <c r="AI175" s="12"/>
      <c r="AJ175">
        <f t="shared" si="46"/>
        <v>1</v>
      </c>
      <c r="AK175">
        <f t="shared" si="47"/>
        <v>0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5.1896779173525604E-3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6.8068201870182827E-3</v>
      </c>
      <c r="BE175" s="29">
        <f t="shared" si="62"/>
        <v>0</v>
      </c>
      <c r="BF175" s="29">
        <f t="shared" si="63"/>
        <v>1.1996498104370843E-2</v>
      </c>
      <c r="BH175" s="29"/>
    </row>
    <row r="176" spans="1:60" x14ac:dyDescent="0.25">
      <c r="A176" s="1">
        <v>46279</v>
      </c>
      <c r="B176" s="33">
        <v>46.93</v>
      </c>
      <c r="C176" s="33">
        <v>49.38</v>
      </c>
      <c r="D176" s="15">
        <v>-1.2776833083981401E-3</v>
      </c>
      <c r="E176" s="15">
        <v>-6.07348940625029E-4</v>
      </c>
      <c r="F176" s="33">
        <v>0</v>
      </c>
      <c r="G176" s="33">
        <v>0.90090000000000003</v>
      </c>
      <c r="H176" s="33">
        <v>0</v>
      </c>
      <c r="I176" s="33">
        <v>0.71307999999999905</v>
      </c>
      <c r="J176" s="33">
        <v>0.90090000000000003</v>
      </c>
      <c r="K176" s="33">
        <v>0.71307999999999905</v>
      </c>
      <c r="L176" s="33">
        <v>47.8309</v>
      </c>
      <c r="M176" s="33">
        <v>50.09308</v>
      </c>
      <c r="N176" s="34">
        <v>1.0522054123162099</v>
      </c>
      <c r="O176" s="34">
        <v>1.0403907452411401</v>
      </c>
      <c r="P176" s="34">
        <v>1.04922109038992</v>
      </c>
      <c r="Q176" s="34">
        <v>1.0468043163749401</v>
      </c>
      <c r="R176" s="33">
        <v>48.825537674166803</v>
      </c>
      <c r="S176" s="33">
        <v>49.205933587125301</v>
      </c>
      <c r="T176" s="33">
        <v>49.109746915338498</v>
      </c>
      <c r="U176" s="15">
        <v>-1.1291994943203799E-2</v>
      </c>
      <c r="V176" s="15">
        <v>-3.5312663261953198E-3</v>
      </c>
      <c r="W176" s="15">
        <v>-5.4879573033387698E-3</v>
      </c>
      <c r="X176" s="34">
        <v>1.0472953676389101</v>
      </c>
      <c r="Y176" s="34">
        <v>1.0384904608674399</v>
      </c>
      <c r="Z176" s="34">
        <v>1.0446583291840901</v>
      </c>
      <c r="AA176" s="34">
        <v>1.04347232876598</v>
      </c>
      <c r="AB176" s="33">
        <v>49.671933384704701</v>
      </c>
      <c r="AC176" s="33">
        <v>49.945654257051999</v>
      </c>
      <c r="AD176" s="33">
        <v>49.899813285944198</v>
      </c>
      <c r="AE176" s="15">
        <v>-8.4428218402126699E-3</v>
      </c>
      <c r="AF176" s="15">
        <v>-2.94737534949986E-3</v>
      </c>
      <c r="AG176" s="15">
        <v>-3.8656138125326501E-3</v>
      </c>
      <c r="AI176" s="12"/>
      <c r="AJ176">
        <f t="shared" si="46"/>
        <v>1</v>
      </c>
      <c r="AK176">
        <f t="shared" si="47"/>
        <v>0</v>
      </c>
      <c r="AL176">
        <f t="shared" si="54"/>
        <v>1</v>
      </c>
      <c r="AM176">
        <f t="shared" si="44"/>
        <v>1</v>
      </c>
      <c r="AN176">
        <f t="shared" si="55"/>
        <v>1</v>
      </c>
      <c r="AO176" s="28">
        <f t="shared" si="48"/>
        <v>-1.2776833083981401E-3</v>
      </c>
      <c r="AP176" s="28">
        <f t="shared" si="49"/>
        <v>6.07348940625029E-4</v>
      </c>
      <c r="AQ176" s="28">
        <f t="shared" si="56"/>
        <v>-6.7033436777311109E-4</v>
      </c>
      <c r="AR176" s="29">
        <f t="shared" si="57"/>
        <v>4.5193435495794491E-3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6.8068201870182827E-3</v>
      </c>
      <c r="BE176" s="29">
        <f t="shared" si="62"/>
        <v>-6.7033436777311109E-4</v>
      </c>
      <c r="BF176" s="29">
        <f t="shared" si="63"/>
        <v>1.1326163736597733E-2</v>
      </c>
      <c r="BH176" s="29"/>
    </row>
    <row r="177" spans="85:100" x14ac:dyDescent="0.25"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85:100" x14ac:dyDescent="0.25"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85:100" x14ac:dyDescent="0.25">
      <c r="CG179" s="28"/>
      <c r="CH179" s="28"/>
      <c r="CI179" s="28"/>
      <c r="CJ179" s="29"/>
      <c r="CL179" s="28"/>
      <c r="CS179" s="28"/>
      <c r="CT179" s="28"/>
      <c r="CU179" s="28"/>
      <c r="CV179" s="29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2026-09-22T14:50:59Z</dcterms:created>
  <dcterms:modified xsi:type="dcterms:W3CDTF">2026-09-22T15:03:36Z</dcterms:modified>
</cp:coreProperties>
</file>