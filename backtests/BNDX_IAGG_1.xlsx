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a\git-projects\backtesting\backtests\"/>
    </mc:Choice>
  </mc:AlternateContent>
  <xr:revisionPtr revIDLastSave="0" documentId="13_ncr:1_{0B1142B8-AD43-4D94-8C65-64ED18140412}" xr6:coauthVersionLast="47" xr6:coauthVersionMax="47" xr10:uidLastSave="{00000000-0000-0000-0000-000000000000}"/>
  <bookViews>
    <workbookView xWindow="384" yWindow="384" windowWidth="18684" windowHeight="10452" xr2:uid="{DB0E9052-E157-43A5-9229-A98A1ADD1ECD}"/>
  </bookViews>
  <sheets>
    <sheet name="XLU_IDU_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Q167" i="1" l="1"/>
  <c r="BO167" i="1"/>
  <c r="BN167" i="1"/>
  <c r="BE167" i="1"/>
  <c r="BC167" i="1"/>
  <c r="BB167" i="1"/>
  <c r="BQ166" i="1"/>
  <c r="BO166" i="1"/>
  <c r="BN166" i="1"/>
  <c r="BE166" i="1"/>
  <c r="BC166" i="1"/>
  <c r="BB166" i="1"/>
  <c r="BQ165" i="1"/>
  <c r="BO165" i="1"/>
  <c r="BN165" i="1"/>
  <c r="BE165" i="1"/>
  <c r="BC165" i="1"/>
  <c r="BB165" i="1"/>
  <c r="BQ164" i="1"/>
  <c r="BO164" i="1"/>
  <c r="BN164" i="1"/>
  <c r="BE164" i="1"/>
  <c r="BC164" i="1"/>
  <c r="BB164" i="1"/>
  <c r="BQ163" i="1"/>
  <c r="BO163" i="1"/>
  <c r="BN163" i="1"/>
  <c r="BE163" i="1"/>
  <c r="BC163" i="1"/>
  <c r="BB163" i="1"/>
  <c r="BQ162" i="1"/>
  <c r="BO162" i="1"/>
  <c r="BN162" i="1"/>
  <c r="BE162" i="1"/>
  <c r="BC162" i="1"/>
  <c r="BB162" i="1"/>
  <c r="BQ161" i="1"/>
  <c r="BO161" i="1"/>
  <c r="BN161" i="1"/>
  <c r="BE161" i="1"/>
  <c r="BC161" i="1"/>
  <c r="BB161" i="1"/>
  <c r="BQ160" i="1"/>
  <c r="BO160" i="1"/>
  <c r="BN160" i="1"/>
  <c r="BE160" i="1"/>
  <c r="BC160" i="1"/>
  <c r="BB160" i="1"/>
  <c r="BQ159" i="1"/>
  <c r="BO159" i="1"/>
  <c r="BN159" i="1"/>
  <c r="BE159" i="1"/>
  <c r="BC159" i="1"/>
  <c r="BB159" i="1"/>
  <c r="BQ158" i="1"/>
  <c r="BO158" i="1"/>
  <c r="BN158" i="1"/>
  <c r="BE158" i="1"/>
  <c r="BC158" i="1"/>
  <c r="BB158" i="1"/>
  <c r="BQ157" i="1"/>
  <c r="BO157" i="1"/>
  <c r="BN157" i="1"/>
  <c r="BE157" i="1"/>
  <c r="BC157" i="1"/>
  <c r="BB157" i="1"/>
  <c r="BQ156" i="1"/>
  <c r="BO156" i="1"/>
  <c r="BN156" i="1"/>
  <c r="BE156" i="1"/>
  <c r="BC156" i="1"/>
  <c r="BB156" i="1"/>
  <c r="BQ155" i="1"/>
  <c r="BO155" i="1"/>
  <c r="BN155" i="1"/>
  <c r="BE155" i="1"/>
  <c r="BC155" i="1"/>
  <c r="BB155" i="1"/>
  <c r="BQ154" i="1"/>
  <c r="BO154" i="1"/>
  <c r="BN154" i="1"/>
  <c r="BE154" i="1"/>
  <c r="BC154" i="1"/>
  <c r="BB154" i="1"/>
  <c r="BQ153" i="1"/>
  <c r="BO153" i="1"/>
  <c r="BN153" i="1"/>
  <c r="BE153" i="1"/>
  <c r="BC153" i="1"/>
  <c r="BB153" i="1"/>
  <c r="BQ152" i="1"/>
  <c r="BO152" i="1"/>
  <c r="BN152" i="1"/>
  <c r="BE152" i="1"/>
  <c r="BC152" i="1"/>
  <c r="BB152" i="1"/>
  <c r="BQ151" i="1"/>
  <c r="BO151" i="1"/>
  <c r="BN151" i="1"/>
  <c r="BE151" i="1"/>
  <c r="BC151" i="1"/>
  <c r="BB151" i="1"/>
  <c r="BQ150" i="1"/>
  <c r="BO150" i="1"/>
  <c r="BN150" i="1"/>
  <c r="BE150" i="1"/>
  <c r="BC150" i="1"/>
  <c r="BB150" i="1"/>
  <c r="BQ149" i="1"/>
  <c r="BO149" i="1"/>
  <c r="BN149" i="1"/>
  <c r="BE149" i="1"/>
  <c r="BC149" i="1"/>
  <c r="BB149" i="1"/>
  <c r="BQ148" i="1"/>
  <c r="BO148" i="1"/>
  <c r="BN148" i="1"/>
  <c r="BE148" i="1"/>
  <c r="BC148" i="1"/>
  <c r="BB148" i="1"/>
  <c r="BQ147" i="1"/>
  <c r="BO147" i="1"/>
  <c r="BN147" i="1"/>
  <c r="BE147" i="1"/>
  <c r="BC147" i="1"/>
  <c r="BB147" i="1"/>
  <c r="BQ146" i="1"/>
  <c r="BO146" i="1"/>
  <c r="BN146" i="1"/>
  <c r="BE146" i="1"/>
  <c r="BC146" i="1"/>
  <c r="BB146" i="1"/>
  <c r="BQ145" i="1"/>
  <c r="BO145" i="1"/>
  <c r="BN145" i="1"/>
  <c r="BE145" i="1"/>
  <c r="BC145" i="1"/>
  <c r="BB145" i="1"/>
  <c r="BQ144" i="1"/>
  <c r="BO144" i="1"/>
  <c r="BN144" i="1"/>
  <c r="BE144" i="1"/>
  <c r="BC144" i="1"/>
  <c r="BB144" i="1"/>
  <c r="BQ143" i="1"/>
  <c r="BO143" i="1"/>
  <c r="BN143" i="1"/>
  <c r="BE143" i="1"/>
  <c r="BC143" i="1"/>
  <c r="BB143" i="1"/>
  <c r="BQ142" i="1"/>
  <c r="BO142" i="1"/>
  <c r="BN142" i="1"/>
  <c r="BE142" i="1"/>
  <c r="BC142" i="1"/>
  <c r="BB142" i="1"/>
  <c r="BQ141" i="1"/>
  <c r="BO141" i="1"/>
  <c r="BN141" i="1"/>
  <c r="BE141" i="1"/>
  <c r="BC141" i="1"/>
  <c r="BB141" i="1"/>
  <c r="BQ140" i="1"/>
  <c r="BO140" i="1"/>
  <c r="BN140" i="1"/>
  <c r="BE140" i="1"/>
  <c r="BC140" i="1"/>
  <c r="BB140" i="1"/>
  <c r="BQ139" i="1"/>
  <c r="BO139" i="1"/>
  <c r="BN139" i="1"/>
  <c r="BE139" i="1"/>
  <c r="BC139" i="1"/>
  <c r="BB139" i="1"/>
  <c r="BQ138" i="1"/>
  <c r="BO138" i="1"/>
  <c r="BN138" i="1"/>
  <c r="BE138" i="1"/>
  <c r="BC138" i="1"/>
  <c r="BB138" i="1"/>
  <c r="BQ137" i="1"/>
  <c r="BO137" i="1"/>
  <c r="BN137" i="1"/>
  <c r="BE137" i="1"/>
  <c r="BC137" i="1"/>
  <c r="BB137" i="1"/>
  <c r="BQ136" i="1"/>
  <c r="BO136" i="1"/>
  <c r="BN136" i="1"/>
  <c r="BE136" i="1"/>
  <c r="BC136" i="1"/>
  <c r="BB136" i="1"/>
  <c r="BQ135" i="1"/>
  <c r="BO135" i="1"/>
  <c r="BN135" i="1"/>
  <c r="BE135" i="1"/>
  <c r="BC135" i="1"/>
  <c r="BB135" i="1"/>
  <c r="BQ134" i="1"/>
  <c r="BO134" i="1"/>
  <c r="BN134" i="1"/>
  <c r="BE134" i="1"/>
  <c r="BC134" i="1"/>
  <c r="BB134" i="1"/>
  <c r="BQ133" i="1"/>
  <c r="BO133" i="1"/>
  <c r="BN133" i="1"/>
  <c r="BE133" i="1"/>
  <c r="BC133" i="1"/>
  <c r="BB133" i="1"/>
  <c r="BQ132" i="1"/>
  <c r="BO132" i="1"/>
  <c r="BN132" i="1"/>
  <c r="BE132" i="1"/>
  <c r="BC132" i="1"/>
  <c r="BB132" i="1"/>
  <c r="BQ131" i="1"/>
  <c r="BO131" i="1"/>
  <c r="BN131" i="1"/>
  <c r="BE131" i="1"/>
  <c r="BC131" i="1"/>
  <c r="BB131" i="1"/>
  <c r="BQ130" i="1"/>
  <c r="BO130" i="1"/>
  <c r="BN130" i="1"/>
  <c r="BE130" i="1"/>
  <c r="BC130" i="1"/>
  <c r="BB130" i="1"/>
  <c r="BQ129" i="1"/>
  <c r="BO129" i="1"/>
  <c r="BN129" i="1"/>
  <c r="BE129" i="1"/>
  <c r="BC129" i="1"/>
  <c r="BB129" i="1"/>
  <c r="BQ128" i="1"/>
  <c r="BO128" i="1"/>
  <c r="BN128" i="1"/>
  <c r="BE128" i="1"/>
  <c r="BC128" i="1"/>
  <c r="BB128" i="1"/>
  <c r="BQ127" i="1"/>
  <c r="BO127" i="1"/>
  <c r="BN127" i="1"/>
  <c r="BE127" i="1"/>
  <c r="BC127" i="1"/>
  <c r="BB127" i="1"/>
  <c r="BQ126" i="1"/>
  <c r="BO126" i="1"/>
  <c r="BN126" i="1"/>
  <c r="BE126" i="1"/>
  <c r="BC126" i="1"/>
  <c r="BB126" i="1"/>
  <c r="BQ125" i="1"/>
  <c r="BO125" i="1"/>
  <c r="BN125" i="1"/>
  <c r="BE125" i="1"/>
  <c r="BC125" i="1"/>
  <c r="BB125" i="1"/>
  <c r="BQ124" i="1"/>
  <c r="BO124" i="1"/>
  <c r="BN124" i="1"/>
  <c r="BE124" i="1"/>
  <c r="BC124" i="1"/>
  <c r="BB124" i="1"/>
  <c r="BQ123" i="1"/>
  <c r="BO123" i="1"/>
  <c r="BN123" i="1"/>
  <c r="BE123" i="1"/>
  <c r="BC123" i="1"/>
  <c r="BB123" i="1"/>
  <c r="BQ122" i="1"/>
  <c r="BO122" i="1"/>
  <c r="BN122" i="1"/>
  <c r="BE122" i="1"/>
  <c r="BC122" i="1"/>
  <c r="BB122" i="1"/>
  <c r="BQ121" i="1"/>
  <c r="BO121" i="1"/>
  <c r="BN121" i="1"/>
  <c r="BE121" i="1"/>
  <c r="BC121" i="1"/>
  <c r="BB121" i="1"/>
  <c r="BQ120" i="1"/>
  <c r="BO120" i="1"/>
  <c r="BN120" i="1"/>
  <c r="BE120" i="1"/>
  <c r="BC120" i="1"/>
  <c r="BB120" i="1"/>
  <c r="BQ119" i="1"/>
  <c r="BO119" i="1"/>
  <c r="BN119" i="1"/>
  <c r="BE119" i="1"/>
  <c r="BC119" i="1"/>
  <c r="BB119" i="1"/>
  <c r="BQ118" i="1"/>
  <c r="BO118" i="1"/>
  <c r="BN118" i="1"/>
  <c r="BE118" i="1"/>
  <c r="BC118" i="1"/>
  <c r="BB118" i="1"/>
  <c r="BQ117" i="1"/>
  <c r="BO117" i="1"/>
  <c r="BN117" i="1"/>
  <c r="BE117" i="1"/>
  <c r="BC117" i="1"/>
  <c r="BB117" i="1"/>
  <c r="BQ116" i="1"/>
  <c r="BO116" i="1"/>
  <c r="BN116" i="1"/>
  <c r="BE116" i="1"/>
  <c r="BC116" i="1"/>
  <c r="BB116" i="1"/>
  <c r="BQ115" i="1"/>
  <c r="BO115" i="1"/>
  <c r="BN115" i="1"/>
  <c r="BE115" i="1"/>
  <c r="BC115" i="1"/>
  <c r="BB115" i="1"/>
  <c r="BQ114" i="1"/>
  <c r="BO114" i="1"/>
  <c r="BN114" i="1"/>
  <c r="BE114" i="1"/>
  <c r="BC114" i="1"/>
  <c r="BB114" i="1"/>
  <c r="BQ113" i="1"/>
  <c r="BO113" i="1"/>
  <c r="BN113" i="1"/>
  <c r="BE113" i="1"/>
  <c r="BC113" i="1"/>
  <c r="BB113" i="1"/>
  <c r="BQ112" i="1"/>
  <c r="BO112" i="1"/>
  <c r="BN112" i="1"/>
  <c r="BE112" i="1"/>
  <c r="BC112" i="1"/>
  <c r="BB112" i="1"/>
  <c r="BQ111" i="1"/>
  <c r="BO111" i="1"/>
  <c r="BN111" i="1"/>
  <c r="BE111" i="1"/>
  <c r="BC111" i="1"/>
  <c r="BB111" i="1"/>
  <c r="BQ110" i="1"/>
  <c r="BO110" i="1"/>
  <c r="BN110" i="1"/>
  <c r="BE110" i="1"/>
  <c r="BC110" i="1"/>
  <c r="BB110" i="1"/>
  <c r="BQ109" i="1"/>
  <c r="BO109" i="1"/>
  <c r="BN109" i="1"/>
  <c r="BE109" i="1"/>
  <c r="BC109" i="1"/>
  <c r="BB109" i="1"/>
  <c r="BQ108" i="1"/>
  <c r="BO108" i="1"/>
  <c r="BN108" i="1"/>
  <c r="BE108" i="1"/>
  <c r="BC108" i="1"/>
  <c r="BB108" i="1"/>
  <c r="BQ107" i="1"/>
  <c r="BO107" i="1"/>
  <c r="BN107" i="1"/>
  <c r="BE107" i="1"/>
  <c r="BC107" i="1"/>
  <c r="BB107" i="1"/>
  <c r="BQ106" i="1"/>
  <c r="BO106" i="1"/>
  <c r="BN106" i="1"/>
  <c r="BE106" i="1"/>
  <c r="BC106" i="1"/>
  <c r="BB106" i="1"/>
  <c r="BQ105" i="1"/>
  <c r="BO105" i="1"/>
  <c r="BN105" i="1"/>
  <c r="BE105" i="1"/>
  <c r="BC105" i="1"/>
  <c r="BB105" i="1"/>
  <c r="BQ104" i="1"/>
  <c r="BO104" i="1"/>
  <c r="BN104" i="1"/>
  <c r="BE104" i="1"/>
  <c r="BC104" i="1"/>
  <c r="BB104" i="1"/>
  <c r="BQ103" i="1"/>
  <c r="BO103" i="1"/>
  <c r="BN103" i="1"/>
  <c r="BE103" i="1"/>
  <c r="BC103" i="1"/>
  <c r="BB103" i="1"/>
  <c r="BQ102" i="1"/>
  <c r="BO102" i="1"/>
  <c r="BN102" i="1"/>
  <c r="BE102" i="1"/>
  <c r="BC102" i="1"/>
  <c r="BB102" i="1"/>
  <c r="BQ101" i="1"/>
  <c r="BO101" i="1"/>
  <c r="BN101" i="1"/>
  <c r="BE101" i="1"/>
  <c r="BC101" i="1"/>
  <c r="BB101" i="1"/>
  <c r="BQ100" i="1"/>
  <c r="BO100" i="1"/>
  <c r="BN100" i="1"/>
  <c r="BE100" i="1"/>
  <c r="BC100" i="1"/>
  <c r="BB100" i="1"/>
  <c r="BQ99" i="1"/>
  <c r="BO99" i="1"/>
  <c r="BN99" i="1"/>
  <c r="BE99" i="1"/>
  <c r="BC99" i="1"/>
  <c r="BB99" i="1"/>
  <c r="BQ98" i="1"/>
  <c r="BO98" i="1"/>
  <c r="BN98" i="1"/>
  <c r="BE98" i="1"/>
  <c r="BC98" i="1"/>
  <c r="BB98" i="1"/>
  <c r="BQ97" i="1"/>
  <c r="BO97" i="1"/>
  <c r="BN97" i="1"/>
  <c r="BE97" i="1"/>
  <c r="BC97" i="1"/>
  <c r="BB97" i="1"/>
  <c r="BQ96" i="1"/>
  <c r="BO96" i="1"/>
  <c r="BN96" i="1"/>
  <c r="BE96" i="1"/>
  <c r="BC96" i="1"/>
  <c r="BB96" i="1"/>
  <c r="BQ95" i="1"/>
  <c r="BO95" i="1"/>
  <c r="BN95" i="1"/>
  <c r="BE95" i="1"/>
  <c r="BC95" i="1"/>
  <c r="BB95" i="1"/>
  <c r="BQ94" i="1"/>
  <c r="BO94" i="1"/>
  <c r="BN94" i="1"/>
  <c r="BE94" i="1"/>
  <c r="BC94" i="1"/>
  <c r="BB94" i="1"/>
  <c r="BQ93" i="1"/>
  <c r="BO93" i="1"/>
  <c r="BN93" i="1"/>
  <c r="BE93" i="1"/>
  <c r="BC93" i="1"/>
  <c r="BB93" i="1"/>
  <c r="BQ92" i="1"/>
  <c r="BO92" i="1"/>
  <c r="BN92" i="1"/>
  <c r="BE92" i="1"/>
  <c r="BC92" i="1"/>
  <c r="BB92" i="1"/>
  <c r="BQ91" i="1"/>
  <c r="BO91" i="1"/>
  <c r="BN91" i="1"/>
  <c r="BE91" i="1"/>
  <c r="BC91" i="1"/>
  <c r="BB91" i="1"/>
  <c r="BQ90" i="1"/>
  <c r="BO90" i="1"/>
  <c r="BN90" i="1"/>
  <c r="BE90" i="1"/>
  <c r="BC90" i="1"/>
  <c r="BB90" i="1"/>
  <c r="BQ89" i="1"/>
  <c r="BO89" i="1"/>
  <c r="BN89" i="1"/>
  <c r="BE89" i="1"/>
  <c r="BC89" i="1"/>
  <c r="BB89" i="1"/>
  <c r="BQ88" i="1"/>
  <c r="BO88" i="1"/>
  <c r="BN88" i="1"/>
  <c r="BE88" i="1"/>
  <c r="BC88" i="1"/>
  <c r="BB88" i="1"/>
  <c r="BQ87" i="1"/>
  <c r="BO87" i="1"/>
  <c r="BN87" i="1"/>
  <c r="BE87" i="1"/>
  <c r="BC87" i="1"/>
  <c r="BB87" i="1"/>
  <c r="BQ86" i="1"/>
  <c r="BO86" i="1"/>
  <c r="BN86" i="1"/>
  <c r="BE86" i="1"/>
  <c r="BC86" i="1"/>
  <c r="BB86" i="1"/>
  <c r="BQ85" i="1"/>
  <c r="BO85" i="1"/>
  <c r="BN85" i="1"/>
  <c r="BE85" i="1"/>
  <c r="BC85" i="1"/>
  <c r="BB85" i="1"/>
  <c r="BQ84" i="1"/>
  <c r="BO84" i="1"/>
  <c r="BN84" i="1"/>
  <c r="BE84" i="1"/>
  <c r="BC84" i="1"/>
  <c r="BB84" i="1"/>
  <c r="BQ83" i="1"/>
  <c r="BO83" i="1"/>
  <c r="BN83" i="1"/>
  <c r="BE83" i="1"/>
  <c r="BC83" i="1"/>
  <c r="BB83" i="1"/>
  <c r="BQ82" i="1"/>
  <c r="BO82" i="1"/>
  <c r="BN82" i="1"/>
  <c r="BE82" i="1"/>
  <c r="BC82" i="1"/>
  <c r="BB82" i="1"/>
  <c r="BQ81" i="1"/>
  <c r="BO81" i="1"/>
  <c r="BN81" i="1"/>
  <c r="BE81" i="1"/>
  <c r="BC81" i="1"/>
  <c r="BB81" i="1"/>
  <c r="BQ80" i="1"/>
  <c r="BO80" i="1"/>
  <c r="BN80" i="1"/>
  <c r="BE80" i="1"/>
  <c r="BC80" i="1"/>
  <c r="BB80" i="1"/>
  <c r="BQ79" i="1"/>
  <c r="BO79" i="1"/>
  <c r="BN79" i="1"/>
  <c r="BE79" i="1"/>
  <c r="BC79" i="1"/>
  <c r="BB79" i="1"/>
  <c r="BQ78" i="1"/>
  <c r="BO78" i="1"/>
  <c r="BN78" i="1"/>
  <c r="BE78" i="1"/>
  <c r="BC78" i="1"/>
  <c r="BB78" i="1"/>
  <c r="BQ77" i="1"/>
  <c r="BO77" i="1"/>
  <c r="BN77" i="1"/>
  <c r="BE77" i="1"/>
  <c r="BC77" i="1"/>
  <c r="BB77" i="1"/>
  <c r="BQ76" i="1"/>
  <c r="BO76" i="1"/>
  <c r="BN76" i="1"/>
  <c r="BE76" i="1"/>
  <c r="BC76" i="1"/>
  <c r="BB76" i="1"/>
  <c r="BQ75" i="1"/>
  <c r="BO75" i="1"/>
  <c r="BN75" i="1"/>
  <c r="BE75" i="1"/>
  <c r="BC75" i="1"/>
  <c r="BB75" i="1"/>
  <c r="BQ74" i="1"/>
  <c r="BO74" i="1"/>
  <c r="BN74" i="1"/>
  <c r="BE74" i="1"/>
  <c r="BC74" i="1"/>
  <c r="BB74" i="1"/>
  <c r="BQ73" i="1"/>
  <c r="BO73" i="1"/>
  <c r="BN73" i="1"/>
  <c r="BE73" i="1"/>
  <c r="BC73" i="1"/>
  <c r="BB73" i="1"/>
  <c r="BQ72" i="1"/>
  <c r="BO72" i="1"/>
  <c r="BN72" i="1"/>
  <c r="BE72" i="1"/>
  <c r="BC72" i="1"/>
  <c r="BB72" i="1"/>
  <c r="BQ71" i="1"/>
  <c r="BO71" i="1"/>
  <c r="BN71" i="1"/>
  <c r="BE71" i="1"/>
  <c r="BC71" i="1"/>
  <c r="BB71" i="1"/>
  <c r="BQ70" i="1"/>
  <c r="BO70" i="1"/>
  <c r="BN70" i="1"/>
  <c r="BE70" i="1"/>
  <c r="BC70" i="1"/>
  <c r="BB70" i="1"/>
  <c r="BQ69" i="1"/>
  <c r="BO69" i="1"/>
  <c r="BN69" i="1"/>
  <c r="BE69" i="1"/>
  <c r="BC69" i="1"/>
  <c r="BB69" i="1"/>
  <c r="BQ68" i="1"/>
  <c r="BO68" i="1"/>
  <c r="BN68" i="1"/>
  <c r="BE68" i="1"/>
  <c r="BC68" i="1"/>
  <c r="BB68" i="1"/>
  <c r="BQ67" i="1"/>
  <c r="BO67" i="1"/>
  <c r="BN67" i="1"/>
  <c r="BE67" i="1"/>
  <c r="BC67" i="1"/>
  <c r="BB67" i="1"/>
  <c r="BQ66" i="1"/>
  <c r="BO66" i="1"/>
  <c r="BN66" i="1"/>
  <c r="BE66" i="1"/>
  <c r="BC66" i="1"/>
  <c r="BB66" i="1"/>
  <c r="BQ65" i="1"/>
  <c r="BO65" i="1"/>
  <c r="BN65" i="1"/>
  <c r="BE65" i="1"/>
  <c r="BC65" i="1"/>
  <c r="BB65" i="1"/>
  <c r="BQ64" i="1"/>
  <c r="BO64" i="1"/>
  <c r="BN64" i="1"/>
  <c r="BE64" i="1"/>
  <c r="BC64" i="1"/>
  <c r="BB64" i="1"/>
  <c r="BQ63" i="1"/>
  <c r="BO63" i="1"/>
  <c r="BN63" i="1"/>
  <c r="BE63" i="1"/>
  <c r="BC63" i="1"/>
  <c r="BB63" i="1"/>
  <c r="BQ62" i="1"/>
  <c r="BO62" i="1"/>
  <c r="BN62" i="1"/>
  <c r="BE62" i="1"/>
  <c r="BC62" i="1"/>
  <c r="BB62" i="1"/>
  <c r="BQ61" i="1"/>
  <c r="BO61" i="1"/>
  <c r="BN61" i="1"/>
  <c r="BE61" i="1"/>
  <c r="BC61" i="1"/>
  <c r="BB61" i="1"/>
  <c r="BQ60" i="1"/>
  <c r="BO60" i="1"/>
  <c r="BN60" i="1"/>
  <c r="BE60" i="1"/>
  <c r="BC60" i="1"/>
  <c r="BB60" i="1"/>
  <c r="BQ59" i="1"/>
  <c r="BO59" i="1"/>
  <c r="BN59" i="1"/>
  <c r="BE59" i="1"/>
  <c r="BC59" i="1"/>
  <c r="BB59" i="1"/>
  <c r="BQ58" i="1"/>
  <c r="BO58" i="1"/>
  <c r="BN58" i="1"/>
  <c r="BE58" i="1"/>
  <c r="BC58" i="1"/>
  <c r="BB58" i="1"/>
  <c r="BQ57" i="1"/>
  <c r="BO57" i="1"/>
  <c r="BN57" i="1"/>
  <c r="BE57" i="1"/>
  <c r="BC57" i="1"/>
  <c r="BB57" i="1"/>
  <c r="BQ56" i="1"/>
  <c r="BO56" i="1"/>
  <c r="BN56" i="1"/>
  <c r="BE56" i="1"/>
  <c r="BC56" i="1"/>
  <c r="BB56" i="1"/>
  <c r="BQ55" i="1"/>
  <c r="BO55" i="1"/>
  <c r="BN55" i="1"/>
  <c r="BE55" i="1"/>
  <c r="BC55" i="1"/>
  <c r="BB55" i="1"/>
  <c r="BQ54" i="1"/>
  <c r="BO54" i="1"/>
  <c r="BN54" i="1"/>
  <c r="BE54" i="1"/>
  <c r="BC54" i="1"/>
  <c r="BB54" i="1"/>
  <c r="BQ53" i="1"/>
  <c r="BO53" i="1"/>
  <c r="BN53" i="1"/>
  <c r="BE53" i="1"/>
  <c r="BC53" i="1"/>
  <c r="BB53" i="1"/>
  <c r="BQ52" i="1"/>
  <c r="BO52" i="1"/>
  <c r="BN52" i="1"/>
  <c r="BE52" i="1"/>
  <c r="BC52" i="1"/>
  <c r="BB52" i="1"/>
  <c r="BQ51" i="1"/>
  <c r="BO51" i="1"/>
  <c r="BN51" i="1"/>
  <c r="BE51" i="1"/>
  <c r="BC51" i="1"/>
  <c r="BB51" i="1"/>
  <c r="BQ50" i="1"/>
  <c r="BO50" i="1"/>
  <c r="BN50" i="1"/>
  <c r="BE50" i="1"/>
  <c r="BC50" i="1"/>
  <c r="BB50" i="1"/>
  <c r="BQ49" i="1"/>
  <c r="BO49" i="1"/>
  <c r="BN49" i="1"/>
  <c r="BE49" i="1"/>
  <c r="BC49" i="1"/>
  <c r="BB49" i="1"/>
  <c r="BQ48" i="1"/>
  <c r="BO48" i="1"/>
  <c r="BN48" i="1"/>
  <c r="BE48" i="1"/>
  <c r="BC48" i="1"/>
  <c r="BB48" i="1"/>
  <c r="BQ47" i="1"/>
  <c r="BO47" i="1"/>
  <c r="BN47" i="1"/>
  <c r="BE47" i="1"/>
  <c r="BC47" i="1"/>
  <c r="BB47" i="1"/>
  <c r="BQ46" i="1"/>
  <c r="BO46" i="1"/>
  <c r="BN46" i="1"/>
  <c r="BE46" i="1"/>
  <c r="BC46" i="1"/>
  <c r="BB46" i="1"/>
  <c r="BQ45" i="1"/>
  <c r="BO45" i="1"/>
  <c r="BN45" i="1"/>
  <c r="BE45" i="1"/>
  <c r="BC45" i="1"/>
  <c r="BB45" i="1"/>
  <c r="BQ44" i="1"/>
  <c r="BO44" i="1"/>
  <c r="BN44" i="1"/>
  <c r="BE44" i="1"/>
  <c r="BC44" i="1"/>
  <c r="BB44" i="1"/>
  <c r="BQ43" i="1"/>
  <c r="BO43" i="1"/>
  <c r="BN43" i="1"/>
  <c r="BE43" i="1"/>
  <c r="BC43" i="1"/>
  <c r="BB43" i="1"/>
  <c r="BQ42" i="1"/>
  <c r="BO42" i="1"/>
  <c r="BN42" i="1"/>
  <c r="BE42" i="1"/>
  <c r="BC42" i="1"/>
  <c r="BB42" i="1"/>
  <c r="BQ41" i="1"/>
  <c r="BO41" i="1"/>
  <c r="BN41" i="1"/>
  <c r="BE41" i="1"/>
  <c r="BC41" i="1"/>
  <c r="BB41" i="1"/>
  <c r="BQ40" i="1"/>
  <c r="BO40" i="1"/>
  <c r="BN40" i="1"/>
  <c r="BE40" i="1"/>
  <c r="BC40" i="1"/>
  <c r="BB40" i="1"/>
  <c r="BQ39" i="1"/>
  <c r="BO39" i="1"/>
  <c r="BN39" i="1"/>
  <c r="BE39" i="1"/>
  <c r="BC39" i="1"/>
  <c r="BB39" i="1"/>
  <c r="BQ38" i="1"/>
  <c r="BO38" i="1"/>
  <c r="BN38" i="1"/>
  <c r="BE38" i="1"/>
  <c r="BC38" i="1"/>
  <c r="BB38" i="1"/>
  <c r="BQ37" i="1"/>
  <c r="BO37" i="1"/>
  <c r="BN37" i="1"/>
  <c r="BE37" i="1"/>
  <c r="BC37" i="1"/>
  <c r="BB37" i="1"/>
  <c r="BQ36" i="1"/>
  <c r="BO36" i="1"/>
  <c r="BN36" i="1"/>
  <c r="BE36" i="1"/>
  <c r="BC36" i="1"/>
  <c r="BB36" i="1"/>
  <c r="BQ35" i="1"/>
  <c r="BO35" i="1"/>
  <c r="BN35" i="1"/>
  <c r="BE35" i="1"/>
  <c r="BC35" i="1"/>
  <c r="BB35" i="1"/>
  <c r="BQ34" i="1"/>
  <c r="BO34" i="1"/>
  <c r="BN34" i="1"/>
  <c r="BE34" i="1"/>
  <c r="BC34" i="1"/>
  <c r="BB34" i="1"/>
  <c r="BQ33" i="1"/>
  <c r="BO33" i="1"/>
  <c r="BN33" i="1"/>
  <c r="BE33" i="1"/>
  <c r="BC33" i="1"/>
  <c r="BB33" i="1"/>
  <c r="BQ32" i="1"/>
  <c r="BO32" i="1"/>
  <c r="BN32" i="1"/>
  <c r="BE32" i="1"/>
  <c r="BC32" i="1"/>
  <c r="BB32" i="1"/>
  <c r="BQ31" i="1"/>
  <c r="BO31" i="1"/>
  <c r="BN31" i="1"/>
  <c r="BE31" i="1"/>
  <c r="BC31" i="1"/>
  <c r="BB31" i="1"/>
  <c r="BQ30" i="1"/>
  <c r="BO30" i="1"/>
  <c r="BN30" i="1"/>
  <c r="BE30" i="1"/>
  <c r="BC30" i="1"/>
  <c r="BB30" i="1"/>
  <c r="BQ29" i="1"/>
  <c r="BO29" i="1"/>
  <c r="BN29" i="1"/>
  <c r="BE29" i="1"/>
  <c r="BC29" i="1"/>
  <c r="BB29" i="1"/>
  <c r="BQ28" i="1"/>
  <c r="BO28" i="1"/>
  <c r="BN28" i="1"/>
  <c r="BE28" i="1"/>
  <c r="BC28" i="1"/>
  <c r="BB28" i="1"/>
  <c r="BQ27" i="1"/>
  <c r="BO27" i="1"/>
  <c r="BN27" i="1"/>
  <c r="BE27" i="1"/>
  <c r="BC27" i="1"/>
  <c r="BB27" i="1"/>
  <c r="BQ26" i="1"/>
  <c r="BO26" i="1"/>
  <c r="BN26" i="1"/>
  <c r="BE26" i="1"/>
  <c r="BC26" i="1"/>
  <c r="BB26" i="1"/>
  <c r="BQ25" i="1"/>
  <c r="BO25" i="1"/>
  <c r="BN25" i="1"/>
  <c r="BE25" i="1"/>
  <c r="BC25" i="1"/>
  <c r="BB25" i="1"/>
  <c r="BQ24" i="1"/>
  <c r="BO24" i="1"/>
  <c r="BN24" i="1"/>
  <c r="BE24" i="1"/>
  <c r="BC24" i="1"/>
  <c r="BB24" i="1"/>
  <c r="BQ23" i="1"/>
  <c r="BO23" i="1"/>
  <c r="BN23" i="1"/>
  <c r="BE23" i="1"/>
  <c r="BC23" i="1"/>
  <c r="BB23" i="1"/>
  <c r="BQ22" i="1"/>
  <c r="BP22" i="1"/>
  <c r="BO22" i="1"/>
  <c r="BN22" i="1"/>
  <c r="BE22" i="1"/>
  <c r="BD22" i="1"/>
  <c r="BC22" i="1"/>
  <c r="BB22" i="1"/>
  <c r="BF23" i="1" s="1"/>
  <c r="BD23" i="1" s="1"/>
  <c r="BQ21" i="1"/>
  <c r="BR22" i="1" s="1"/>
  <c r="BE21" i="1"/>
  <c r="BF22" i="1" s="1"/>
  <c r="BH22" i="1" s="1"/>
  <c r="BT20" i="1"/>
  <c r="BS20" i="1"/>
  <c r="BH20" i="1"/>
  <c r="BG20" i="1"/>
  <c r="BR23" i="1" l="1"/>
  <c r="BP23" i="1" s="1"/>
  <c r="BR24" i="1" s="1"/>
  <c r="BP24" i="1" s="1"/>
  <c r="BR25" i="1" s="1"/>
  <c r="BG23" i="1"/>
  <c r="BH23" i="1"/>
  <c r="BF24" i="1"/>
  <c r="BD24" i="1" s="1"/>
  <c r="BF25" i="1" s="1"/>
  <c r="BT22" i="1"/>
  <c r="BS22" i="1"/>
  <c r="BG22" i="1"/>
  <c r="BI22" i="1" s="1"/>
  <c r="BS23" i="1" l="1"/>
  <c r="BT23" i="1"/>
  <c r="BH25" i="1"/>
  <c r="BG25" i="1"/>
  <c r="BD25" i="1"/>
  <c r="BF26" i="1" s="1"/>
  <c r="BH26" i="1" s="1"/>
  <c r="BS24" i="1"/>
  <c r="BU22" i="1"/>
  <c r="BX22" i="1" s="1"/>
  <c r="BG24" i="1"/>
  <c r="BH24" i="1"/>
  <c r="BI23" i="1"/>
  <c r="BT24" i="1"/>
  <c r="BP25" i="1"/>
  <c r="BR26" i="1" s="1"/>
  <c r="BT25" i="1"/>
  <c r="BS25" i="1"/>
  <c r="BJ22" i="1"/>
  <c r="BU23" i="1" l="1"/>
  <c r="BX23" i="1" s="1"/>
  <c r="BI25" i="1"/>
  <c r="BS26" i="1"/>
  <c r="BP26" i="1"/>
  <c r="BR27" i="1" s="1"/>
  <c r="BT27" i="1" s="1"/>
  <c r="BT26" i="1"/>
  <c r="BD26" i="1"/>
  <c r="BF27" i="1" s="1"/>
  <c r="BG27" i="1" s="1"/>
  <c r="BG26" i="1"/>
  <c r="BI26" i="1" s="1"/>
  <c r="BU24" i="1"/>
  <c r="BV22" i="1"/>
  <c r="BU25" i="1"/>
  <c r="BI24" i="1"/>
  <c r="BJ23" i="1"/>
  <c r="BJ24" i="1" s="1"/>
  <c r="BY22" i="1"/>
  <c r="BJ25" i="1" l="1"/>
  <c r="BJ26" i="1" s="1"/>
  <c r="BX25" i="1"/>
  <c r="BY23" i="1"/>
  <c r="BV23" i="1"/>
  <c r="BV24" i="1" s="1"/>
  <c r="BV25" i="1" s="1"/>
  <c r="BD27" i="1"/>
  <c r="BF28" i="1" s="1"/>
  <c r="BH28" i="1" s="1"/>
  <c r="BH27" i="1"/>
  <c r="BI27" i="1" s="1"/>
  <c r="BP27" i="1"/>
  <c r="BR28" i="1" s="1"/>
  <c r="BP28" i="1" s="1"/>
  <c r="BR29" i="1" s="1"/>
  <c r="BU26" i="1"/>
  <c r="BX26" i="1" s="1"/>
  <c r="BX24" i="1"/>
  <c r="BS27" i="1"/>
  <c r="BU27" i="1" s="1"/>
  <c r="BY24" i="1" l="1"/>
  <c r="BY25" i="1" s="1"/>
  <c r="BY26" i="1" s="1"/>
  <c r="BV26" i="1"/>
  <c r="BV27" i="1" s="1"/>
  <c r="BD28" i="1"/>
  <c r="BF29" i="1" s="1"/>
  <c r="BH29" i="1" s="1"/>
  <c r="BG28" i="1"/>
  <c r="BI28" i="1" s="1"/>
  <c r="BS28" i="1"/>
  <c r="BT28" i="1"/>
  <c r="BS29" i="1"/>
  <c r="BP29" i="1"/>
  <c r="BR30" i="1" s="1"/>
  <c r="BT29" i="1"/>
  <c r="BJ27" i="1"/>
  <c r="BX27" i="1"/>
  <c r="BD29" i="1" l="1"/>
  <c r="BF30" i="1" s="1"/>
  <c r="BD30" i="1" s="1"/>
  <c r="BF31" i="1" s="1"/>
  <c r="BG29" i="1"/>
  <c r="BI29" i="1" s="1"/>
  <c r="BY27" i="1"/>
  <c r="BJ28" i="1"/>
  <c r="BU28" i="1"/>
  <c r="BS30" i="1"/>
  <c r="BP30" i="1"/>
  <c r="BR31" i="1" s="1"/>
  <c r="BT30" i="1"/>
  <c r="BU29" i="1"/>
  <c r="BG30" i="1" l="1"/>
  <c r="BH30" i="1"/>
  <c r="BJ29" i="1"/>
  <c r="BV28" i="1"/>
  <c r="BV29" i="1" s="1"/>
  <c r="BX28" i="1"/>
  <c r="BY28" i="1" s="1"/>
  <c r="BT31" i="1"/>
  <c r="BP31" i="1"/>
  <c r="BR32" i="1" s="1"/>
  <c r="BS31" i="1"/>
  <c r="BU30" i="1"/>
  <c r="BX29" i="1"/>
  <c r="BD31" i="1"/>
  <c r="BF32" i="1" s="1"/>
  <c r="BG31" i="1"/>
  <c r="BH31" i="1"/>
  <c r="BU31" i="1" l="1"/>
  <c r="BI30" i="1"/>
  <c r="BJ30" i="1" s="1"/>
  <c r="BY29" i="1"/>
  <c r="BV30" i="1"/>
  <c r="BP32" i="1"/>
  <c r="BR33" i="1" s="1"/>
  <c r="BS32" i="1"/>
  <c r="BT32" i="1"/>
  <c r="BI31" i="1"/>
  <c r="BD32" i="1"/>
  <c r="BF33" i="1" s="1"/>
  <c r="BG32" i="1"/>
  <c r="BH32" i="1"/>
  <c r="BV31" i="1" l="1"/>
  <c r="BX30" i="1"/>
  <c r="BY30" i="1" s="1"/>
  <c r="BU32" i="1"/>
  <c r="BS33" i="1"/>
  <c r="BT33" i="1"/>
  <c r="BP33" i="1"/>
  <c r="BR34" i="1" s="1"/>
  <c r="BI32" i="1"/>
  <c r="BH33" i="1"/>
  <c r="BG33" i="1"/>
  <c r="BD33" i="1"/>
  <c r="BF34" i="1" s="1"/>
  <c r="BX31" i="1"/>
  <c r="BJ31" i="1"/>
  <c r="BV32" i="1" l="1"/>
  <c r="BY31" i="1"/>
  <c r="BU33" i="1"/>
  <c r="BX32" i="1"/>
  <c r="BI33" i="1"/>
  <c r="BJ32" i="1"/>
  <c r="BH34" i="1"/>
  <c r="BD34" i="1"/>
  <c r="BF35" i="1" s="1"/>
  <c r="BG34" i="1"/>
  <c r="BS34" i="1"/>
  <c r="BT34" i="1"/>
  <c r="BP34" i="1"/>
  <c r="BR35" i="1" s="1"/>
  <c r="BV33" i="1" l="1"/>
  <c r="BY32" i="1"/>
  <c r="BJ33" i="1"/>
  <c r="BX33" i="1"/>
  <c r="BD35" i="1"/>
  <c r="BF36" i="1" s="1"/>
  <c r="BG35" i="1"/>
  <c r="BH35" i="1"/>
  <c r="BI34" i="1"/>
  <c r="BU34" i="1"/>
  <c r="BT35" i="1"/>
  <c r="BS35" i="1"/>
  <c r="BP35" i="1"/>
  <c r="BR36" i="1" s="1"/>
  <c r="BU35" i="1" l="1"/>
  <c r="BV34" i="1"/>
  <c r="BY33" i="1"/>
  <c r="BJ34" i="1"/>
  <c r="BI35" i="1"/>
  <c r="BG36" i="1"/>
  <c r="BD36" i="1"/>
  <c r="BF37" i="1" s="1"/>
  <c r="BH36" i="1"/>
  <c r="BT36" i="1"/>
  <c r="BS36" i="1"/>
  <c r="BP36" i="1"/>
  <c r="BR37" i="1" s="1"/>
  <c r="BX34" i="1"/>
  <c r="BV35" i="1" l="1"/>
  <c r="BY34" i="1"/>
  <c r="BJ35" i="1"/>
  <c r="BU36" i="1"/>
  <c r="BV36" i="1" s="1"/>
  <c r="BG37" i="1"/>
  <c r="BH37" i="1"/>
  <c r="BD37" i="1"/>
  <c r="BF38" i="1" s="1"/>
  <c r="BI36" i="1"/>
  <c r="BX35" i="1"/>
  <c r="BP37" i="1"/>
  <c r="BR38" i="1" s="1"/>
  <c r="BT37" i="1"/>
  <c r="BS37" i="1"/>
  <c r="BU37" i="1" s="1"/>
  <c r="BI37" i="1" l="1"/>
  <c r="BJ36" i="1"/>
  <c r="BJ37" i="1" s="1"/>
  <c r="BY35" i="1"/>
  <c r="BD38" i="1"/>
  <c r="BF39" i="1" s="1"/>
  <c r="BG38" i="1"/>
  <c r="BH38" i="1"/>
  <c r="BX37" i="1"/>
  <c r="BX36" i="1"/>
  <c r="BP38" i="1"/>
  <c r="BR39" i="1" s="1"/>
  <c r="BT38" i="1"/>
  <c r="BS38" i="1"/>
  <c r="BV37" i="1"/>
  <c r="BY36" i="1" l="1"/>
  <c r="BY37" i="1" s="1"/>
  <c r="BI38" i="1"/>
  <c r="BJ38" i="1" s="1"/>
  <c r="BH39" i="1"/>
  <c r="BD39" i="1"/>
  <c r="BF40" i="1" s="1"/>
  <c r="BG39" i="1"/>
  <c r="BU38" i="1"/>
  <c r="BP39" i="1"/>
  <c r="BR40" i="1" s="1"/>
  <c r="BS39" i="1"/>
  <c r="BT39" i="1"/>
  <c r="BX38" i="1" l="1"/>
  <c r="BY38" i="1" s="1"/>
  <c r="BI39" i="1"/>
  <c r="BJ39" i="1" s="1"/>
  <c r="BV38" i="1"/>
  <c r="BD40" i="1"/>
  <c r="BF41" i="1" s="1"/>
  <c r="BH40" i="1"/>
  <c r="BG40" i="1"/>
  <c r="BI40" i="1" s="1"/>
  <c r="BU39" i="1"/>
  <c r="BS40" i="1"/>
  <c r="BP40" i="1"/>
  <c r="BR41" i="1" s="1"/>
  <c r="BT40" i="1"/>
  <c r="BJ40" i="1" l="1"/>
  <c r="BD41" i="1"/>
  <c r="BF42" i="1" s="1"/>
  <c r="BH41" i="1"/>
  <c r="BG41" i="1"/>
  <c r="BU40" i="1"/>
  <c r="BX40" i="1" s="1"/>
  <c r="BS41" i="1"/>
  <c r="BT41" i="1"/>
  <c r="BP41" i="1"/>
  <c r="BR42" i="1" s="1"/>
  <c r="BX39" i="1"/>
  <c r="BY39" i="1" s="1"/>
  <c r="BV39" i="1"/>
  <c r="BV40" i="1" l="1"/>
  <c r="BY40" i="1"/>
  <c r="BI41" i="1"/>
  <c r="BJ41" i="1" s="1"/>
  <c r="BH42" i="1"/>
  <c r="BG42" i="1"/>
  <c r="BD42" i="1"/>
  <c r="BF43" i="1" s="1"/>
  <c r="BU41" i="1"/>
  <c r="BS42" i="1"/>
  <c r="BP42" i="1"/>
  <c r="BR43" i="1" s="1"/>
  <c r="BT42" i="1"/>
  <c r="BX41" i="1" l="1"/>
  <c r="BY41" i="1" s="1"/>
  <c r="BI42" i="1"/>
  <c r="BJ42" i="1" s="1"/>
  <c r="BD43" i="1"/>
  <c r="BF44" i="1" s="1"/>
  <c r="BG43" i="1"/>
  <c r="BH43" i="1"/>
  <c r="BV41" i="1"/>
  <c r="BU42" i="1"/>
  <c r="BT43" i="1"/>
  <c r="BP43" i="1"/>
  <c r="BR44" i="1" s="1"/>
  <c r="BS43" i="1"/>
  <c r="BU43" i="1" l="1"/>
  <c r="BI43" i="1"/>
  <c r="BJ43" i="1" s="1"/>
  <c r="BH44" i="1"/>
  <c r="BD44" i="1"/>
  <c r="BF45" i="1" s="1"/>
  <c r="BG44" i="1"/>
  <c r="BT44" i="1"/>
  <c r="BS44" i="1"/>
  <c r="BP44" i="1"/>
  <c r="BR45" i="1" s="1"/>
  <c r="BX42" i="1"/>
  <c r="BY42" i="1" s="1"/>
  <c r="BV42" i="1"/>
  <c r="BV43" i="1" l="1"/>
  <c r="BU44" i="1"/>
  <c r="BI44" i="1"/>
  <c r="BG45" i="1"/>
  <c r="BD45" i="1"/>
  <c r="BF46" i="1" s="1"/>
  <c r="BH45" i="1"/>
  <c r="BX43" i="1"/>
  <c r="BY43" i="1" s="1"/>
  <c r="BS45" i="1"/>
  <c r="BT45" i="1"/>
  <c r="BP45" i="1"/>
  <c r="BR46" i="1" s="1"/>
  <c r="BV44" i="1" l="1"/>
  <c r="BX44" i="1"/>
  <c r="BY44" i="1" s="1"/>
  <c r="BJ44" i="1"/>
  <c r="BD46" i="1"/>
  <c r="BF47" i="1" s="1"/>
  <c r="BH46" i="1"/>
  <c r="BG46" i="1"/>
  <c r="BI45" i="1"/>
  <c r="BT46" i="1"/>
  <c r="BS46" i="1"/>
  <c r="BP46" i="1"/>
  <c r="BR47" i="1" s="1"/>
  <c r="BU45" i="1"/>
  <c r="BI46" i="1" l="1"/>
  <c r="BU46" i="1"/>
  <c r="BJ45" i="1"/>
  <c r="BH47" i="1"/>
  <c r="BD47" i="1"/>
  <c r="BF48" i="1" s="1"/>
  <c r="BG47" i="1"/>
  <c r="BX45" i="1"/>
  <c r="BY45" i="1" s="1"/>
  <c r="BV45" i="1"/>
  <c r="BS47" i="1"/>
  <c r="BT47" i="1"/>
  <c r="BP47" i="1"/>
  <c r="BR48" i="1" s="1"/>
  <c r="BX46" i="1" l="1"/>
  <c r="BY46" i="1" s="1"/>
  <c r="BJ46" i="1"/>
  <c r="BV46" i="1"/>
  <c r="BU47" i="1"/>
  <c r="BI47" i="1"/>
  <c r="BH48" i="1"/>
  <c r="BG48" i="1"/>
  <c r="BI48" i="1" s="1"/>
  <c r="BD48" i="1"/>
  <c r="BF49" i="1" s="1"/>
  <c r="BS48" i="1"/>
  <c r="BT48" i="1"/>
  <c r="BP48" i="1"/>
  <c r="BR49" i="1" s="1"/>
  <c r="BJ47" i="1" l="1"/>
  <c r="BJ48" i="1" s="1"/>
  <c r="BV47" i="1"/>
  <c r="BX47" i="1"/>
  <c r="BY47" i="1" s="1"/>
  <c r="BU48" i="1"/>
  <c r="BD49" i="1"/>
  <c r="BF50" i="1" s="1"/>
  <c r="BH49" i="1"/>
  <c r="BG49" i="1"/>
  <c r="BP49" i="1"/>
  <c r="BR50" i="1" s="1"/>
  <c r="BT49" i="1"/>
  <c r="BS49" i="1"/>
  <c r="BU49" i="1" s="1"/>
  <c r="BV48" i="1" l="1"/>
  <c r="BV49" i="1" s="1"/>
  <c r="BI49" i="1"/>
  <c r="BX49" i="1" s="1"/>
  <c r="BX48" i="1"/>
  <c r="BY48" i="1" s="1"/>
  <c r="BG50" i="1"/>
  <c r="BH50" i="1"/>
  <c r="BD50" i="1"/>
  <c r="BF51" i="1" s="1"/>
  <c r="BT50" i="1"/>
  <c r="BS50" i="1"/>
  <c r="BP50" i="1"/>
  <c r="BR51" i="1" s="1"/>
  <c r="BU50" i="1" l="1"/>
  <c r="BJ49" i="1"/>
  <c r="BY49" i="1"/>
  <c r="BD51" i="1"/>
  <c r="BF52" i="1" s="1"/>
  <c r="BH51" i="1"/>
  <c r="BG51" i="1"/>
  <c r="BI50" i="1"/>
  <c r="BS51" i="1"/>
  <c r="BT51" i="1"/>
  <c r="BP51" i="1"/>
  <c r="BR52" i="1" s="1"/>
  <c r="BX50" i="1" l="1"/>
  <c r="BY50" i="1" s="1"/>
  <c r="BV50" i="1"/>
  <c r="BJ50" i="1"/>
  <c r="BI51" i="1"/>
  <c r="BG52" i="1"/>
  <c r="BD52" i="1"/>
  <c r="BF53" i="1" s="1"/>
  <c r="BH52" i="1"/>
  <c r="BP52" i="1"/>
  <c r="BR53" i="1" s="1"/>
  <c r="BT52" i="1"/>
  <c r="BS52" i="1"/>
  <c r="BU51" i="1"/>
  <c r="BJ51" i="1" l="1"/>
  <c r="BU52" i="1"/>
  <c r="BH53" i="1"/>
  <c r="BG53" i="1"/>
  <c r="BD53" i="1"/>
  <c r="BF54" i="1" s="1"/>
  <c r="BI52" i="1"/>
  <c r="BX51" i="1"/>
  <c r="BY51" i="1" s="1"/>
  <c r="BV51" i="1"/>
  <c r="BT53" i="1"/>
  <c r="BS53" i="1"/>
  <c r="BU53" i="1" s="1"/>
  <c r="BP53" i="1"/>
  <c r="BR54" i="1" s="1"/>
  <c r="BJ52" i="1" l="1"/>
  <c r="BV52" i="1"/>
  <c r="BV53" i="1" s="1"/>
  <c r="BI53" i="1"/>
  <c r="BG54" i="1"/>
  <c r="BH54" i="1"/>
  <c r="BD54" i="1"/>
  <c r="BF55" i="1" s="1"/>
  <c r="BX52" i="1"/>
  <c r="BY52" i="1" s="1"/>
  <c r="BT54" i="1"/>
  <c r="BP54" i="1"/>
  <c r="BR55" i="1" s="1"/>
  <c r="BS54" i="1"/>
  <c r="BU54" i="1" l="1"/>
  <c r="BV54" i="1" s="1"/>
  <c r="BJ53" i="1"/>
  <c r="BX53" i="1"/>
  <c r="BY53" i="1" s="1"/>
  <c r="BP55" i="1"/>
  <c r="BR56" i="1" s="1"/>
  <c r="BT55" i="1"/>
  <c r="BS55" i="1"/>
  <c r="BD55" i="1"/>
  <c r="BF56" i="1" s="1"/>
  <c r="BG55" i="1"/>
  <c r="BH55" i="1"/>
  <c r="BI54" i="1"/>
  <c r="BJ54" i="1" l="1"/>
  <c r="BU55" i="1"/>
  <c r="BV55" i="1" s="1"/>
  <c r="BS56" i="1"/>
  <c r="BP56" i="1"/>
  <c r="BR57" i="1" s="1"/>
  <c r="BT56" i="1"/>
  <c r="BI55" i="1"/>
  <c r="BH56" i="1"/>
  <c r="BD56" i="1"/>
  <c r="BF57" i="1" s="1"/>
  <c r="BG56" i="1"/>
  <c r="BX54" i="1"/>
  <c r="BY54" i="1" s="1"/>
  <c r="BI56" i="1" l="1"/>
  <c r="BX55" i="1"/>
  <c r="BY55" i="1" s="1"/>
  <c r="BS57" i="1"/>
  <c r="BP57" i="1"/>
  <c r="BR58" i="1" s="1"/>
  <c r="BT57" i="1"/>
  <c r="BU56" i="1"/>
  <c r="BV56" i="1" s="1"/>
  <c r="BG57" i="1"/>
  <c r="BH57" i="1"/>
  <c r="BD57" i="1"/>
  <c r="BF58" i="1" s="1"/>
  <c r="BJ55" i="1"/>
  <c r="BJ56" i="1" l="1"/>
  <c r="BI57" i="1"/>
  <c r="BU57" i="1"/>
  <c r="BX56" i="1"/>
  <c r="BY56" i="1" s="1"/>
  <c r="BS58" i="1"/>
  <c r="BT58" i="1"/>
  <c r="BP58" i="1"/>
  <c r="BR59" i="1" s="1"/>
  <c r="BD58" i="1"/>
  <c r="BF59" i="1" s="1"/>
  <c r="BG58" i="1"/>
  <c r="BH58" i="1"/>
  <c r="BX57" i="1" l="1"/>
  <c r="BY57" i="1" s="1"/>
  <c r="BJ57" i="1"/>
  <c r="BV57" i="1"/>
  <c r="BU58" i="1"/>
  <c r="BT59" i="1"/>
  <c r="BP59" i="1"/>
  <c r="BR60" i="1" s="1"/>
  <c r="BS59" i="1"/>
  <c r="BH59" i="1"/>
  <c r="BD59" i="1"/>
  <c r="BF60" i="1" s="1"/>
  <c r="BG59" i="1"/>
  <c r="BI59" i="1" s="1"/>
  <c r="BI58" i="1"/>
  <c r="BV58" i="1" l="1"/>
  <c r="BU59" i="1"/>
  <c r="BS60" i="1"/>
  <c r="BT60" i="1"/>
  <c r="BP60" i="1"/>
  <c r="BR61" i="1" s="1"/>
  <c r="BH60" i="1"/>
  <c r="BD60" i="1"/>
  <c r="BF61" i="1" s="1"/>
  <c r="BG60" i="1"/>
  <c r="BX58" i="1"/>
  <c r="BY58" i="1" s="1"/>
  <c r="BJ58" i="1"/>
  <c r="BJ59" i="1" s="1"/>
  <c r="BV59" i="1" l="1"/>
  <c r="BI60" i="1"/>
  <c r="BJ60" i="1" s="1"/>
  <c r="BX59" i="1"/>
  <c r="BY59" i="1" s="1"/>
  <c r="BU60" i="1"/>
  <c r="BP61" i="1"/>
  <c r="BR62" i="1" s="1"/>
  <c r="BS61" i="1"/>
  <c r="BT61" i="1"/>
  <c r="BD61" i="1"/>
  <c r="BF62" i="1" s="1"/>
  <c r="BH61" i="1"/>
  <c r="BG61" i="1"/>
  <c r="BV60" i="1" l="1"/>
  <c r="BI61" i="1"/>
  <c r="BJ61" i="1" s="1"/>
  <c r="BX60" i="1"/>
  <c r="BY60" i="1" s="1"/>
  <c r="BU61" i="1"/>
  <c r="BP62" i="1"/>
  <c r="BR63" i="1" s="1"/>
  <c r="BS62" i="1"/>
  <c r="BT62" i="1"/>
  <c r="BH62" i="1"/>
  <c r="BG62" i="1"/>
  <c r="BI62" i="1" s="1"/>
  <c r="BD62" i="1"/>
  <c r="BF63" i="1" s="1"/>
  <c r="BV61" i="1" l="1"/>
  <c r="BX61" i="1"/>
  <c r="BY61" i="1" s="1"/>
  <c r="BU62" i="1"/>
  <c r="BP63" i="1"/>
  <c r="BR64" i="1" s="1"/>
  <c r="BS63" i="1"/>
  <c r="BT63" i="1"/>
  <c r="BD63" i="1"/>
  <c r="BF64" i="1" s="1"/>
  <c r="BG63" i="1"/>
  <c r="BH63" i="1"/>
  <c r="BI63" i="1" s="1"/>
  <c r="BJ62" i="1"/>
  <c r="BJ63" i="1" s="1"/>
  <c r="BV62" i="1" l="1"/>
  <c r="BX62" i="1"/>
  <c r="BY62" i="1" s="1"/>
  <c r="BU63" i="1"/>
  <c r="BX63" i="1" s="1"/>
  <c r="BT64" i="1"/>
  <c r="BS64" i="1"/>
  <c r="BP64" i="1"/>
  <c r="BR65" i="1" s="1"/>
  <c r="BD64" i="1"/>
  <c r="BF65" i="1" s="1"/>
  <c r="BH64" i="1"/>
  <c r="BG64" i="1"/>
  <c r="BI64" i="1" s="1"/>
  <c r="BY63" i="1" l="1"/>
  <c r="BU64" i="1"/>
  <c r="BX64" i="1" s="1"/>
  <c r="BV63" i="1"/>
  <c r="BP65" i="1"/>
  <c r="BR66" i="1" s="1"/>
  <c r="BT65" i="1"/>
  <c r="BS65" i="1"/>
  <c r="BD65" i="1"/>
  <c r="BF66" i="1" s="1"/>
  <c r="BH65" i="1"/>
  <c r="BG65" i="1"/>
  <c r="BJ64" i="1"/>
  <c r="BY64" i="1" l="1"/>
  <c r="BV64" i="1"/>
  <c r="BU65" i="1"/>
  <c r="BP66" i="1"/>
  <c r="BR67" i="1" s="1"/>
  <c r="BT66" i="1"/>
  <c r="BS66" i="1"/>
  <c r="BH66" i="1"/>
  <c r="BG66" i="1"/>
  <c r="BI66" i="1" s="1"/>
  <c r="BD66" i="1"/>
  <c r="BF67" i="1" s="1"/>
  <c r="BI65" i="1"/>
  <c r="BU66" i="1" l="1"/>
  <c r="BX66" i="1" s="1"/>
  <c r="BV65" i="1"/>
  <c r="BX65" i="1"/>
  <c r="BY65" i="1" s="1"/>
  <c r="BT67" i="1"/>
  <c r="BS67" i="1"/>
  <c r="BP67" i="1"/>
  <c r="BR68" i="1" s="1"/>
  <c r="BD67" i="1"/>
  <c r="BF68" i="1" s="1"/>
  <c r="BG67" i="1"/>
  <c r="BH67" i="1"/>
  <c r="BJ65" i="1"/>
  <c r="BJ66" i="1" s="1"/>
  <c r="BV66" i="1" l="1"/>
  <c r="BY66" i="1"/>
  <c r="BU67" i="1"/>
  <c r="BS68" i="1"/>
  <c r="BP68" i="1"/>
  <c r="BR69" i="1" s="1"/>
  <c r="BT68" i="1"/>
  <c r="BI67" i="1"/>
  <c r="BJ67" i="1" s="1"/>
  <c r="BH68" i="1"/>
  <c r="BG68" i="1"/>
  <c r="BD68" i="1"/>
  <c r="BF69" i="1" s="1"/>
  <c r="BI68" i="1" l="1"/>
  <c r="BV67" i="1"/>
  <c r="BX67" i="1"/>
  <c r="BY67" i="1" s="1"/>
  <c r="BJ68" i="1"/>
  <c r="BT69" i="1"/>
  <c r="BP69" i="1"/>
  <c r="BR70" i="1" s="1"/>
  <c r="BS69" i="1"/>
  <c r="BU68" i="1"/>
  <c r="BG69" i="1"/>
  <c r="BH69" i="1"/>
  <c r="BD69" i="1"/>
  <c r="BF70" i="1" s="1"/>
  <c r="BV68" i="1" l="1"/>
  <c r="BU69" i="1"/>
  <c r="BX68" i="1"/>
  <c r="BY68" i="1" s="1"/>
  <c r="BP70" i="1"/>
  <c r="BR71" i="1" s="1"/>
  <c r="BT70" i="1"/>
  <c r="BS70" i="1"/>
  <c r="BD70" i="1"/>
  <c r="BF71" i="1" s="1"/>
  <c r="BH70" i="1"/>
  <c r="BG70" i="1"/>
  <c r="BI69" i="1"/>
  <c r="BI70" i="1" l="1"/>
  <c r="BV69" i="1"/>
  <c r="BU70" i="1"/>
  <c r="BT71" i="1"/>
  <c r="BP71" i="1"/>
  <c r="BR72" i="1" s="1"/>
  <c r="BS71" i="1"/>
  <c r="BG71" i="1"/>
  <c r="BD71" i="1"/>
  <c r="BF72" i="1" s="1"/>
  <c r="BH71" i="1"/>
  <c r="BI71" i="1" s="1"/>
  <c r="BX69" i="1"/>
  <c r="BY69" i="1" s="1"/>
  <c r="BJ69" i="1"/>
  <c r="BV70" i="1" l="1"/>
  <c r="BX70" i="1"/>
  <c r="BY70" i="1" s="1"/>
  <c r="BJ70" i="1"/>
  <c r="BJ71" i="1" s="1"/>
  <c r="BU71" i="1"/>
  <c r="BS72" i="1"/>
  <c r="BP72" i="1"/>
  <c r="BR73" i="1" s="1"/>
  <c r="BT72" i="1"/>
  <c r="BG72" i="1"/>
  <c r="BD72" i="1"/>
  <c r="BF73" i="1" s="1"/>
  <c r="BH72" i="1"/>
  <c r="BV71" i="1" l="1"/>
  <c r="BI72" i="1"/>
  <c r="BJ72" i="1" s="1"/>
  <c r="BX71" i="1"/>
  <c r="BY71" i="1" s="1"/>
  <c r="BU72" i="1"/>
  <c r="BS73" i="1"/>
  <c r="BP73" i="1"/>
  <c r="BR74" i="1" s="1"/>
  <c r="BT73" i="1"/>
  <c r="BD73" i="1"/>
  <c r="BF74" i="1" s="1"/>
  <c r="BH73" i="1"/>
  <c r="BG73" i="1"/>
  <c r="BV72" i="1" l="1"/>
  <c r="BX72" i="1"/>
  <c r="BY72" i="1" s="1"/>
  <c r="BS74" i="1"/>
  <c r="BT74" i="1"/>
  <c r="BP74" i="1"/>
  <c r="BR75" i="1" s="1"/>
  <c r="BU73" i="1"/>
  <c r="BH74" i="1"/>
  <c r="BD74" i="1"/>
  <c r="BF75" i="1" s="1"/>
  <c r="BG74" i="1"/>
  <c r="BI73" i="1"/>
  <c r="BX73" i="1" s="1"/>
  <c r="BV73" i="1" l="1"/>
  <c r="BY73" i="1"/>
  <c r="BI74" i="1"/>
  <c r="BU74" i="1"/>
  <c r="BP75" i="1"/>
  <c r="BR76" i="1" s="1"/>
  <c r="BT75" i="1"/>
  <c r="BS75" i="1"/>
  <c r="BG75" i="1"/>
  <c r="BD75" i="1"/>
  <c r="BF76" i="1" s="1"/>
  <c r="BH75" i="1"/>
  <c r="BJ73" i="1"/>
  <c r="BV74" i="1" l="1"/>
  <c r="BU75" i="1"/>
  <c r="BJ74" i="1"/>
  <c r="BX74" i="1"/>
  <c r="BY74" i="1" s="1"/>
  <c r="BS76" i="1"/>
  <c r="BT76" i="1"/>
  <c r="BP76" i="1"/>
  <c r="BR77" i="1" s="1"/>
  <c r="BG76" i="1"/>
  <c r="BD76" i="1"/>
  <c r="BF77" i="1" s="1"/>
  <c r="BH76" i="1"/>
  <c r="BI75" i="1"/>
  <c r="BV75" i="1" l="1"/>
  <c r="BJ75" i="1"/>
  <c r="BX75" i="1"/>
  <c r="BY75" i="1" s="1"/>
  <c r="BP77" i="1"/>
  <c r="BR78" i="1" s="1"/>
  <c r="BT77" i="1"/>
  <c r="BS77" i="1"/>
  <c r="BU76" i="1"/>
  <c r="BD77" i="1"/>
  <c r="BF78" i="1" s="1"/>
  <c r="BH77" i="1"/>
  <c r="BG77" i="1"/>
  <c r="BI77" i="1" s="1"/>
  <c r="BI76" i="1"/>
  <c r="BX76" i="1" s="1"/>
  <c r="BV76" i="1" l="1"/>
  <c r="BY76" i="1"/>
  <c r="BU77" i="1"/>
  <c r="BX77" i="1" s="1"/>
  <c r="BJ76" i="1"/>
  <c r="BJ77" i="1" s="1"/>
  <c r="BT78" i="1"/>
  <c r="BP78" i="1"/>
  <c r="BR79" i="1" s="1"/>
  <c r="BS78" i="1"/>
  <c r="BH78" i="1"/>
  <c r="BG78" i="1"/>
  <c r="BD78" i="1"/>
  <c r="BF79" i="1" s="1"/>
  <c r="BY77" i="1" l="1"/>
  <c r="BI78" i="1"/>
  <c r="BJ78" i="1" s="1"/>
  <c r="BU78" i="1"/>
  <c r="BV77" i="1"/>
  <c r="BS79" i="1"/>
  <c r="BP79" i="1"/>
  <c r="BR80" i="1" s="1"/>
  <c r="BT79" i="1"/>
  <c r="BD79" i="1"/>
  <c r="BF80" i="1" s="1"/>
  <c r="BH79" i="1"/>
  <c r="BG79" i="1"/>
  <c r="BX78" i="1" l="1"/>
  <c r="BY78" i="1" s="1"/>
  <c r="BV78" i="1"/>
  <c r="BT80" i="1"/>
  <c r="BS80" i="1"/>
  <c r="BP80" i="1"/>
  <c r="BR81" i="1" s="1"/>
  <c r="BU79" i="1"/>
  <c r="BD80" i="1"/>
  <c r="BF81" i="1" s="1"/>
  <c r="BH80" i="1"/>
  <c r="BG80" i="1"/>
  <c r="BI80" i="1" s="1"/>
  <c r="BI79" i="1"/>
  <c r="BU80" i="1" l="1"/>
  <c r="BX80" i="1" s="1"/>
  <c r="BV79" i="1"/>
  <c r="BS81" i="1"/>
  <c r="BT81" i="1"/>
  <c r="BP81" i="1"/>
  <c r="BR82" i="1" s="1"/>
  <c r="BG81" i="1"/>
  <c r="BH81" i="1"/>
  <c r="BD81" i="1"/>
  <c r="BF82" i="1" s="1"/>
  <c r="BX79" i="1"/>
  <c r="BY79" i="1" s="1"/>
  <c r="BJ79" i="1"/>
  <c r="BJ80" i="1" s="1"/>
  <c r="BV80" i="1" l="1"/>
  <c r="BY80" i="1"/>
  <c r="BU81" i="1"/>
  <c r="BT82" i="1"/>
  <c r="BS82" i="1"/>
  <c r="BP82" i="1"/>
  <c r="BR83" i="1" s="1"/>
  <c r="BI81" i="1"/>
  <c r="BJ81" i="1" s="1"/>
  <c r="BH82" i="1"/>
  <c r="BD82" i="1"/>
  <c r="BF83" i="1" s="1"/>
  <c r="BG82" i="1"/>
  <c r="BV81" i="1" l="1"/>
  <c r="BX81" i="1"/>
  <c r="BY81" i="1" s="1"/>
  <c r="BU82" i="1"/>
  <c r="BS83" i="1"/>
  <c r="BT83" i="1"/>
  <c r="BP83" i="1"/>
  <c r="BR84" i="1" s="1"/>
  <c r="BI82" i="1"/>
  <c r="BH83" i="1"/>
  <c r="BD83" i="1"/>
  <c r="BF84" i="1" s="1"/>
  <c r="BG83" i="1"/>
  <c r="BI83" i="1" s="1"/>
  <c r="BV82" i="1" l="1"/>
  <c r="BX82" i="1"/>
  <c r="BY82" i="1" s="1"/>
  <c r="BU83" i="1"/>
  <c r="BX83" i="1" s="1"/>
  <c r="BS84" i="1"/>
  <c r="BP84" i="1"/>
  <c r="BR85" i="1" s="1"/>
  <c r="BT84" i="1"/>
  <c r="BJ82" i="1"/>
  <c r="BJ83" i="1" s="1"/>
  <c r="BD84" i="1"/>
  <c r="BF85" i="1" s="1"/>
  <c r="BG84" i="1"/>
  <c r="BH84" i="1"/>
  <c r="BY83" i="1" l="1"/>
  <c r="BV83" i="1"/>
  <c r="BI84" i="1"/>
  <c r="BS85" i="1"/>
  <c r="BT85" i="1"/>
  <c r="BP85" i="1"/>
  <c r="BR86" i="1" s="1"/>
  <c r="BU84" i="1"/>
  <c r="BD85" i="1"/>
  <c r="BF86" i="1" s="1"/>
  <c r="BH85" i="1"/>
  <c r="BG85" i="1"/>
  <c r="BV84" i="1" l="1"/>
  <c r="BX84" i="1"/>
  <c r="BY84" i="1" s="1"/>
  <c r="BJ84" i="1"/>
  <c r="BP86" i="1"/>
  <c r="BR87" i="1" s="1"/>
  <c r="BT86" i="1"/>
  <c r="BS86" i="1"/>
  <c r="BU85" i="1"/>
  <c r="BG86" i="1"/>
  <c r="BD86" i="1"/>
  <c r="BF87" i="1" s="1"/>
  <c r="BH86" i="1"/>
  <c r="BI85" i="1"/>
  <c r="BX85" i="1" s="1"/>
  <c r="BU86" i="1" l="1"/>
  <c r="BV85" i="1"/>
  <c r="BY85" i="1"/>
  <c r="BP87" i="1"/>
  <c r="BR88" i="1" s="1"/>
  <c r="BS87" i="1"/>
  <c r="BT87" i="1"/>
  <c r="BH87" i="1"/>
  <c r="BG87" i="1"/>
  <c r="BI87" i="1" s="1"/>
  <c r="BD87" i="1"/>
  <c r="BF88" i="1" s="1"/>
  <c r="BI86" i="1"/>
  <c r="BJ85" i="1"/>
  <c r="BJ86" i="1" s="1"/>
  <c r="BV86" i="1" l="1"/>
  <c r="BX86" i="1"/>
  <c r="BY86" i="1" s="1"/>
  <c r="BU87" i="1"/>
  <c r="BS88" i="1"/>
  <c r="BP88" i="1"/>
  <c r="BR89" i="1" s="1"/>
  <c r="BT88" i="1"/>
  <c r="BH88" i="1"/>
  <c r="BG88" i="1"/>
  <c r="BD88" i="1"/>
  <c r="BF89" i="1" s="1"/>
  <c r="BJ87" i="1"/>
  <c r="BV87" i="1" l="1"/>
  <c r="BS89" i="1"/>
  <c r="BP89" i="1"/>
  <c r="BR90" i="1" s="1"/>
  <c r="BT89" i="1"/>
  <c r="BI88" i="1"/>
  <c r="BU88" i="1"/>
  <c r="BX87" i="1"/>
  <c r="BY87" i="1" s="1"/>
  <c r="BJ88" i="1"/>
  <c r="BH89" i="1"/>
  <c r="BD89" i="1"/>
  <c r="BF90" i="1" s="1"/>
  <c r="BG89" i="1"/>
  <c r="BV88" i="1" l="1"/>
  <c r="BT90" i="1"/>
  <c r="BP90" i="1"/>
  <c r="BR91" i="1" s="1"/>
  <c r="BS90" i="1"/>
  <c r="BU89" i="1"/>
  <c r="BX88" i="1"/>
  <c r="BY88" i="1" s="1"/>
  <c r="BG90" i="1"/>
  <c r="BD90" i="1"/>
  <c r="BF91" i="1" s="1"/>
  <c r="BH90" i="1"/>
  <c r="BI89" i="1"/>
  <c r="BV89" i="1" l="1"/>
  <c r="BU90" i="1"/>
  <c r="BP91" i="1"/>
  <c r="BR92" i="1" s="1"/>
  <c r="BS91" i="1"/>
  <c r="BT91" i="1"/>
  <c r="BH91" i="1"/>
  <c r="BG91" i="1"/>
  <c r="BI91" i="1" s="1"/>
  <c r="BD91" i="1"/>
  <c r="BF92" i="1" s="1"/>
  <c r="BI90" i="1"/>
  <c r="BX89" i="1"/>
  <c r="BY89" i="1" s="1"/>
  <c r="BJ89" i="1"/>
  <c r="BJ90" i="1" s="1"/>
  <c r="BJ91" i="1" s="1"/>
  <c r="BV90" i="1" l="1"/>
  <c r="BX90" i="1"/>
  <c r="BY90" i="1" s="1"/>
  <c r="BU91" i="1"/>
  <c r="BV91" i="1" s="1"/>
  <c r="BP92" i="1"/>
  <c r="BR93" i="1" s="1"/>
  <c r="BT92" i="1"/>
  <c r="BS92" i="1"/>
  <c r="BD92" i="1"/>
  <c r="BF93" i="1" s="1"/>
  <c r="BG92" i="1"/>
  <c r="BH92" i="1"/>
  <c r="BU92" i="1" l="1"/>
  <c r="BV92" i="1"/>
  <c r="BT93" i="1"/>
  <c r="BP93" i="1"/>
  <c r="BR94" i="1" s="1"/>
  <c r="BS93" i="1"/>
  <c r="BX91" i="1"/>
  <c r="BY91" i="1" s="1"/>
  <c r="BI92" i="1"/>
  <c r="BH93" i="1"/>
  <c r="BD93" i="1"/>
  <c r="BF94" i="1" s="1"/>
  <c r="BG93" i="1"/>
  <c r="BU93" i="1" l="1"/>
  <c r="BV93" i="1" s="1"/>
  <c r="BP94" i="1"/>
  <c r="BR95" i="1" s="1"/>
  <c r="BS94" i="1"/>
  <c r="BT94" i="1"/>
  <c r="BX92" i="1"/>
  <c r="BJ92" i="1"/>
  <c r="BI93" i="1"/>
  <c r="BG94" i="1"/>
  <c r="BH94" i="1"/>
  <c r="BD94" i="1"/>
  <c r="BF95" i="1" s="1"/>
  <c r="BX93" i="1" l="1"/>
  <c r="BJ93" i="1"/>
  <c r="BU94" i="1"/>
  <c r="BV94" i="1" s="1"/>
  <c r="BT95" i="1"/>
  <c r="BP95" i="1"/>
  <c r="BR96" i="1" s="1"/>
  <c r="BS95" i="1"/>
  <c r="BI94" i="1"/>
  <c r="BG95" i="1"/>
  <c r="BH95" i="1"/>
  <c r="BD95" i="1"/>
  <c r="BF96" i="1" s="1"/>
  <c r="BY92" i="1"/>
  <c r="BU95" i="1" l="1"/>
  <c r="BV95" i="1" s="1"/>
  <c r="BY93" i="1"/>
  <c r="BT96" i="1"/>
  <c r="BP96" i="1"/>
  <c r="BR97" i="1" s="1"/>
  <c r="BS96" i="1"/>
  <c r="BH96" i="1"/>
  <c r="BD96" i="1"/>
  <c r="BF97" i="1" s="1"/>
  <c r="BG96" i="1"/>
  <c r="BI95" i="1"/>
  <c r="BX94" i="1"/>
  <c r="BJ94" i="1"/>
  <c r="BJ95" i="1" l="1"/>
  <c r="BI96" i="1"/>
  <c r="BJ96" i="1" s="1"/>
  <c r="BU96" i="1"/>
  <c r="BV96" i="1" s="1"/>
  <c r="BH97" i="1"/>
  <c r="BG97" i="1"/>
  <c r="BD97" i="1"/>
  <c r="BF98" i="1" s="1"/>
  <c r="BP97" i="1"/>
  <c r="BR98" i="1" s="1"/>
  <c r="BT97" i="1"/>
  <c r="BS97" i="1"/>
  <c r="BU97" i="1" s="1"/>
  <c r="BX95" i="1"/>
  <c r="BY94" i="1"/>
  <c r="BX96" i="1" l="1"/>
  <c r="BT98" i="1"/>
  <c r="BS98" i="1"/>
  <c r="BP98" i="1"/>
  <c r="BR99" i="1" s="1"/>
  <c r="BG98" i="1"/>
  <c r="BH98" i="1"/>
  <c r="BD98" i="1"/>
  <c r="BF99" i="1" s="1"/>
  <c r="BV97" i="1"/>
  <c r="BI97" i="1"/>
  <c r="BY95" i="1"/>
  <c r="BY96" i="1" l="1"/>
  <c r="BU98" i="1"/>
  <c r="BV98" i="1" s="1"/>
  <c r="BG99" i="1"/>
  <c r="BD99" i="1"/>
  <c r="BF100" i="1" s="1"/>
  <c r="BH99" i="1"/>
  <c r="BX97" i="1"/>
  <c r="BJ97" i="1"/>
  <c r="BI98" i="1"/>
  <c r="BS99" i="1"/>
  <c r="BP99" i="1"/>
  <c r="BR100" i="1" s="1"/>
  <c r="BT99" i="1"/>
  <c r="BY97" i="1" l="1"/>
  <c r="BX98" i="1"/>
  <c r="BI99" i="1"/>
  <c r="BT100" i="1"/>
  <c r="BS100" i="1"/>
  <c r="BP100" i="1"/>
  <c r="BR101" i="1" s="1"/>
  <c r="BJ98" i="1"/>
  <c r="BU99" i="1"/>
  <c r="BG100" i="1"/>
  <c r="BH100" i="1"/>
  <c r="BD100" i="1"/>
  <c r="BF101" i="1" s="1"/>
  <c r="BY98" i="1" l="1"/>
  <c r="BU100" i="1"/>
  <c r="BJ99" i="1"/>
  <c r="BG101" i="1"/>
  <c r="BD101" i="1"/>
  <c r="BF102" i="1" s="1"/>
  <c r="BH101" i="1"/>
  <c r="BI100" i="1"/>
  <c r="BX99" i="1"/>
  <c r="BV99" i="1"/>
  <c r="BS101" i="1"/>
  <c r="BT101" i="1"/>
  <c r="BP101" i="1"/>
  <c r="BR102" i="1" s="1"/>
  <c r="BY99" i="1" l="1"/>
  <c r="BV100" i="1"/>
  <c r="BI101" i="1"/>
  <c r="BJ100" i="1"/>
  <c r="BX100" i="1"/>
  <c r="BS102" i="1"/>
  <c r="BP102" i="1"/>
  <c r="BR103" i="1" s="1"/>
  <c r="BT102" i="1"/>
  <c r="BU101" i="1"/>
  <c r="BG102" i="1"/>
  <c r="BH102" i="1"/>
  <c r="BD102" i="1"/>
  <c r="BF103" i="1" s="1"/>
  <c r="BY100" i="1" l="1"/>
  <c r="BJ101" i="1"/>
  <c r="BX101" i="1"/>
  <c r="BH103" i="1"/>
  <c r="BD103" i="1"/>
  <c r="BF104" i="1" s="1"/>
  <c r="BG103" i="1"/>
  <c r="BI102" i="1"/>
  <c r="BV101" i="1"/>
  <c r="BP103" i="1"/>
  <c r="BR104" i="1" s="1"/>
  <c r="BS103" i="1"/>
  <c r="BT103" i="1"/>
  <c r="BU102" i="1"/>
  <c r="BY101" i="1" l="1"/>
  <c r="BX102" i="1"/>
  <c r="BI103" i="1"/>
  <c r="BU103" i="1"/>
  <c r="BH104" i="1"/>
  <c r="BD104" i="1"/>
  <c r="BF105" i="1" s="1"/>
  <c r="BG104" i="1"/>
  <c r="BS104" i="1"/>
  <c r="BT104" i="1"/>
  <c r="BP104" i="1"/>
  <c r="BR105" i="1" s="1"/>
  <c r="BV102" i="1"/>
  <c r="BJ102" i="1"/>
  <c r="BY102" i="1" l="1"/>
  <c r="BI104" i="1"/>
  <c r="BV103" i="1"/>
  <c r="BJ103" i="1"/>
  <c r="BX103" i="1"/>
  <c r="BT105" i="1"/>
  <c r="BP105" i="1"/>
  <c r="BR106" i="1" s="1"/>
  <c r="BS105" i="1"/>
  <c r="BU104" i="1"/>
  <c r="BD105" i="1"/>
  <c r="BF106" i="1" s="1"/>
  <c r="BH105" i="1"/>
  <c r="BG105" i="1"/>
  <c r="BY103" i="1" l="1"/>
  <c r="BI105" i="1"/>
  <c r="BX104" i="1"/>
  <c r="BJ104" i="1"/>
  <c r="BU105" i="1"/>
  <c r="BH106" i="1"/>
  <c r="BG106" i="1"/>
  <c r="BD106" i="1"/>
  <c r="BF107" i="1" s="1"/>
  <c r="BV104" i="1"/>
  <c r="BP106" i="1"/>
  <c r="BR107" i="1" s="1"/>
  <c r="BS106" i="1"/>
  <c r="BT106" i="1"/>
  <c r="BY104" i="1" l="1"/>
  <c r="BJ105" i="1"/>
  <c r="BX105" i="1"/>
  <c r="BV105" i="1"/>
  <c r="BU106" i="1"/>
  <c r="BI106" i="1"/>
  <c r="BP107" i="1"/>
  <c r="BR108" i="1" s="1"/>
  <c r="BS107" i="1"/>
  <c r="BT107" i="1"/>
  <c r="BD107" i="1"/>
  <c r="BF108" i="1" s="1"/>
  <c r="BH107" i="1"/>
  <c r="BG107" i="1"/>
  <c r="BY105" i="1" l="1"/>
  <c r="BJ106" i="1"/>
  <c r="BV106" i="1"/>
  <c r="BX106" i="1"/>
  <c r="BI107" i="1"/>
  <c r="BU107" i="1"/>
  <c r="BS108" i="1"/>
  <c r="BT108" i="1"/>
  <c r="BP108" i="1"/>
  <c r="BR109" i="1" s="1"/>
  <c r="BD108" i="1"/>
  <c r="BF109" i="1" s="1"/>
  <c r="BH108" i="1"/>
  <c r="BG108" i="1"/>
  <c r="BI108" i="1" l="1"/>
  <c r="BY106" i="1"/>
  <c r="BX107" i="1"/>
  <c r="BJ107" i="1"/>
  <c r="BD109" i="1"/>
  <c r="BF110" i="1" s="1"/>
  <c r="BH109" i="1"/>
  <c r="BG109" i="1"/>
  <c r="BT109" i="1"/>
  <c r="BS109" i="1"/>
  <c r="BP109" i="1"/>
  <c r="BR110" i="1" s="1"/>
  <c r="BU108" i="1"/>
  <c r="BV107" i="1"/>
  <c r="BV108" i="1" s="1"/>
  <c r="BY107" i="1" l="1"/>
  <c r="BX108" i="1"/>
  <c r="BJ108" i="1"/>
  <c r="BU109" i="1"/>
  <c r="BV109" i="1" s="1"/>
  <c r="BT110" i="1"/>
  <c r="BS110" i="1"/>
  <c r="BP110" i="1"/>
  <c r="BR111" i="1" s="1"/>
  <c r="BI109" i="1"/>
  <c r="BJ109" i="1" s="1"/>
  <c r="BG110" i="1"/>
  <c r="BH110" i="1"/>
  <c r="BD110" i="1"/>
  <c r="BF111" i="1" s="1"/>
  <c r="BY108" i="1" l="1"/>
  <c r="BI110" i="1"/>
  <c r="BJ110" i="1" s="1"/>
  <c r="BX109" i="1"/>
  <c r="BU110" i="1"/>
  <c r="BV110" i="1" s="1"/>
  <c r="BD111" i="1"/>
  <c r="BF112" i="1" s="1"/>
  <c r="BG111" i="1"/>
  <c r="BH111" i="1"/>
  <c r="BS111" i="1"/>
  <c r="BT111" i="1"/>
  <c r="BP111" i="1"/>
  <c r="BR112" i="1" s="1"/>
  <c r="BY109" i="1" l="1"/>
  <c r="BX110" i="1"/>
  <c r="BU111" i="1"/>
  <c r="BV111" i="1" s="1"/>
  <c r="BP112" i="1"/>
  <c r="BR113" i="1" s="1"/>
  <c r="BS112" i="1"/>
  <c r="BT112" i="1"/>
  <c r="BI111" i="1"/>
  <c r="BG112" i="1"/>
  <c r="BH112" i="1"/>
  <c r="BD112" i="1"/>
  <c r="BF113" i="1" s="1"/>
  <c r="BY110" i="1" l="1"/>
  <c r="BS113" i="1"/>
  <c r="BP113" i="1"/>
  <c r="BR114" i="1" s="1"/>
  <c r="BT113" i="1"/>
  <c r="BH113" i="1"/>
  <c r="BD113" i="1"/>
  <c r="BF114" i="1" s="1"/>
  <c r="BG113" i="1"/>
  <c r="BI112" i="1"/>
  <c r="BX111" i="1"/>
  <c r="BJ111" i="1"/>
  <c r="BJ112" i="1" s="1"/>
  <c r="BU112" i="1"/>
  <c r="BX112" i="1" s="1"/>
  <c r="BY111" i="1" l="1"/>
  <c r="BY112" i="1" s="1"/>
  <c r="BI113" i="1"/>
  <c r="BJ113" i="1" s="1"/>
  <c r="BG114" i="1"/>
  <c r="BD114" i="1"/>
  <c r="BF115" i="1" s="1"/>
  <c r="BH114" i="1"/>
  <c r="BT114" i="1"/>
  <c r="BS114" i="1"/>
  <c r="BU114" i="1" s="1"/>
  <c r="BP114" i="1"/>
  <c r="BR115" i="1" s="1"/>
  <c r="BU113" i="1"/>
  <c r="BV112" i="1"/>
  <c r="BV113" i="1" s="1"/>
  <c r="BV114" i="1" s="1"/>
  <c r="BX113" i="1" l="1"/>
  <c r="BY113" i="1" s="1"/>
  <c r="BI114" i="1"/>
  <c r="BJ114" i="1" s="1"/>
  <c r="BS115" i="1"/>
  <c r="BT115" i="1"/>
  <c r="BP115" i="1"/>
  <c r="BR116" i="1" s="1"/>
  <c r="BG115" i="1"/>
  <c r="BH115" i="1"/>
  <c r="BD115" i="1"/>
  <c r="BF116" i="1" s="1"/>
  <c r="BI115" i="1" l="1"/>
  <c r="BJ115" i="1" s="1"/>
  <c r="BX114" i="1"/>
  <c r="BY114" i="1" s="1"/>
  <c r="BT116" i="1"/>
  <c r="BP116" i="1"/>
  <c r="BR117" i="1" s="1"/>
  <c r="BS116" i="1"/>
  <c r="BG116" i="1"/>
  <c r="BD116" i="1"/>
  <c r="BF117" i="1" s="1"/>
  <c r="BH116" i="1"/>
  <c r="BU115" i="1"/>
  <c r="BX115" i="1" l="1"/>
  <c r="BY115" i="1" s="1"/>
  <c r="BI116" i="1"/>
  <c r="BJ116" i="1" s="1"/>
  <c r="BV115" i="1"/>
  <c r="BH117" i="1"/>
  <c r="BD117" i="1"/>
  <c r="BF118" i="1" s="1"/>
  <c r="BG117" i="1"/>
  <c r="BU116" i="1"/>
  <c r="BS117" i="1"/>
  <c r="BP117" i="1"/>
  <c r="BR118" i="1" s="1"/>
  <c r="BT117" i="1"/>
  <c r="BX116" i="1" l="1"/>
  <c r="BY116" i="1" s="1"/>
  <c r="BI117" i="1"/>
  <c r="BJ117" i="1" s="1"/>
  <c r="BP118" i="1"/>
  <c r="BR119" i="1" s="1"/>
  <c r="BT118" i="1"/>
  <c r="BS118" i="1"/>
  <c r="BD118" i="1"/>
  <c r="BF119" i="1" s="1"/>
  <c r="BG118" i="1"/>
  <c r="BH118" i="1"/>
  <c r="BV116" i="1"/>
  <c r="BU117" i="1"/>
  <c r="BX117" i="1" l="1"/>
  <c r="BY117" i="1" s="1"/>
  <c r="BU118" i="1"/>
  <c r="BV117" i="1"/>
  <c r="BI118" i="1"/>
  <c r="BJ118" i="1" s="1"/>
  <c r="BH119" i="1"/>
  <c r="BG119" i="1"/>
  <c r="BD119" i="1"/>
  <c r="BF120" i="1" s="1"/>
  <c r="BT119" i="1"/>
  <c r="BS119" i="1"/>
  <c r="BU119" i="1" s="1"/>
  <c r="BP119" i="1"/>
  <c r="BR120" i="1" s="1"/>
  <c r="BV118" i="1" l="1"/>
  <c r="BV119" i="1" s="1"/>
  <c r="BI119" i="1"/>
  <c r="BX119" i="1" s="1"/>
  <c r="BX118" i="1"/>
  <c r="BS120" i="1"/>
  <c r="BT120" i="1"/>
  <c r="BP120" i="1"/>
  <c r="BR121" i="1" s="1"/>
  <c r="BG120" i="1"/>
  <c r="BH120" i="1"/>
  <c r="BD120" i="1"/>
  <c r="BF121" i="1" s="1"/>
  <c r="BJ119" i="1" l="1"/>
  <c r="BD121" i="1"/>
  <c r="BF122" i="1" s="1"/>
  <c r="BH121" i="1"/>
  <c r="BG121" i="1"/>
  <c r="BI120" i="1"/>
  <c r="BS121" i="1"/>
  <c r="BT121" i="1"/>
  <c r="BP121" i="1"/>
  <c r="BR122" i="1" s="1"/>
  <c r="BU120" i="1"/>
  <c r="BY118" i="1"/>
  <c r="BY119" i="1" s="1"/>
  <c r="BJ120" i="1" l="1"/>
  <c r="BI121" i="1"/>
  <c r="BX120" i="1"/>
  <c r="BY120" i="1" s="1"/>
  <c r="BS122" i="1"/>
  <c r="BT122" i="1"/>
  <c r="BP122" i="1"/>
  <c r="BR123" i="1" s="1"/>
  <c r="BU121" i="1"/>
  <c r="BV120" i="1"/>
  <c r="BH122" i="1"/>
  <c r="BD122" i="1"/>
  <c r="BF123" i="1" s="1"/>
  <c r="BG122" i="1"/>
  <c r="BI122" i="1" s="1"/>
  <c r="BJ121" i="1" l="1"/>
  <c r="BJ122" i="1" s="1"/>
  <c r="BV121" i="1"/>
  <c r="BX121" i="1"/>
  <c r="BY121" i="1" s="1"/>
  <c r="BG123" i="1"/>
  <c r="BD123" i="1"/>
  <c r="BF124" i="1" s="1"/>
  <c r="BH123" i="1"/>
  <c r="BT123" i="1"/>
  <c r="BS123" i="1"/>
  <c r="BP123" i="1"/>
  <c r="BR124" i="1" s="1"/>
  <c r="BU122" i="1"/>
  <c r="BV122" i="1" l="1"/>
  <c r="BX122" i="1"/>
  <c r="BP124" i="1"/>
  <c r="BR125" i="1" s="1"/>
  <c r="BT124" i="1"/>
  <c r="BS124" i="1"/>
  <c r="BU123" i="1"/>
  <c r="BD124" i="1"/>
  <c r="BF125" i="1" s="1"/>
  <c r="BG124" i="1"/>
  <c r="BH124" i="1"/>
  <c r="BI123" i="1"/>
  <c r="BJ123" i="1" s="1"/>
  <c r="BV123" i="1" l="1"/>
  <c r="BU124" i="1"/>
  <c r="BI124" i="1"/>
  <c r="BJ124" i="1" s="1"/>
  <c r="BG125" i="1"/>
  <c r="BD125" i="1"/>
  <c r="BF126" i="1" s="1"/>
  <c r="BH125" i="1"/>
  <c r="BX123" i="1"/>
  <c r="BS125" i="1"/>
  <c r="BT125" i="1"/>
  <c r="BP125" i="1"/>
  <c r="BR126" i="1" s="1"/>
  <c r="BY122" i="1"/>
  <c r="BV124" i="1" l="1"/>
  <c r="BY123" i="1"/>
  <c r="BI125" i="1"/>
  <c r="BJ125" i="1" s="1"/>
  <c r="BX124" i="1"/>
  <c r="BS126" i="1"/>
  <c r="BT126" i="1"/>
  <c r="BP126" i="1"/>
  <c r="BR127" i="1" s="1"/>
  <c r="BU125" i="1"/>
  <c r="BH126" i="1"/>
  <c r="BG126" i="1"/>
  <c r="BD126" i="1"/>
  <c r="BF127" i="1" s="1"/>
  <c r="BV125" i="1" l="1"/>
  <c r="BY124" i="1"/>
  <c r="BX125" i="1"/>
  <c r="BI126" i="1"/>
  <c r="BJ126" i="1" s="1"/>
  <c r="BG127" i="1"/>
  <c r="BD127" i="1"/>
  <c r="BF128" i="1" s="1"/>
  <c r="BH127" i="1"/>
  <c r="BP127" i="1"/>
  <c r="BR128" i="1" s="1"/>
  <c r="BT127" i="1"/>
  <c r="BS127" i="1"/>
  <c r="BU126" i="1"/>
  <c r="BY125" i="1" l="1"/>
  <c r="BX126" i="1"/>
  <c r="BU127" i="1"/>
  <c r="BV126" i="1"/>
  <c r="BI127" i="1"/>
  <c r="BJ127" i="1" s="1"/>
  <c r="BS128" i="1"/>
  <c r="BT128" i="1"/>
  <c r="BP128" i="1"/>
  <c r="BR129" i="1" s="1"/>
  <c r="BG128" i="1"/>
  <c r="BD128" i="1"/>
  <c r="BF129" i="1" s="1"/>
  <c r="BH128" i="1"/>
  <c r="BY126" i="1" l="1"/>
  <c r="BX127" i="1"/>
  <c r="BV127" i="1"/>
  <c r="BU128" i="1"/>
  <c r="BH129" i="1"/>
  <c r="BG129" i="1"/>
  <c r="BD129" i="1"/>
  <c r="BF130" i="1" s="1"/>
  <c r="BI128" i="1"/>
  <c r="BS129" i="1"/>
  <c r="BP129" i="1"/>
  <c r="BR130" i="1" s="1"/>
  <c r="BT129" i="1"/>
  <c r="BJ128" i="1"/>
  <c r="BY127" i="1" l="1"/>
  <c r="BI129" i="1"/>
  <c r="BJ129" i="1" s="1"/>
  <c r="BV128" i="1"/>
  <c r="BT130" i="1"/>
  <c r="BP130" i="1"/>
  <c r="BR131" i="1" s="1"/>
  <c r="BS130" i="1"/>
  <c r="BU129" i="1"/>
  <c r="BG130" i="1"/>
  <c r="BH130" i="1"/>
  <c r="BD130" i="1"/>
  <c r="BF131" i="1" s="1"/>
  <c r="BX128" i="1"/>
  <c r="BY128" i="1" l="1"/>
  <c r="BX129" i="1"/>
  <c r="BU130" i="1"/>
  <c r="BG131" i="1"/>
  <c r="BH131" i="1"/>
  <c r="BD131" i="1"/>
  <c r="BF132" i="1" s="1"/>
  <c r="BI130" i="1"/>
  <c r="BJ130" i="1" s="1"/>
  <c r="BT131" i="1"/>
  <c r="BP131" i="1"/>
  <c r="BR132" i="1" s="1"/>
  <c r="BS131" i="1"/>
  <c r="BU131" i="1" s="1"/>
  <c r="BV129" i="1"/>
  <c r="BY129" i="1" l="1"/>
  <c r="BI131" i="1"/>
  <c r="BJ131" i="1" s="1"/>
  <c r="BV130" i="1"/>
  <c r="BV131" i="1" s="1"/>
  <c r="BX130" i="1"/>
  <c r="BG132" i="1"/>
  <c r="BH132" i="1"/>
  <c r="BD132" i="1"/>
  <c r="BF133" i="1" s="1"/>
  <c r="BP132" i="1"/>
  <c r="BR133" i="1" s="1"/>
  <c r="BT132" i="1"/>
  <c r="BS132" i="1"/>
  <c r="BU132" i="1" l="1"/>
  <c r="BY130" i="1"/>
  <c r="BX131" i="1"/>
  <c r="BH133" i="1"/>
  <c r="BG133" i="1"/>
  <c r="BD133" i="1"/>
  <c r="BF134" i="1" s="1"/>
  <c r="BS133" i="1"/>
  <c r="BT133" i="1"/>
  <c r="BP133" i="1"/>
  <c r="BR134" i="1" s="1"/>
  <c r="BV132" i="1"/>
  <c r="BI132" i="1"/>
  <c r="BJ132" i="1" s="1"/>
  <c r="BY131" i="1" l="1"/>
  <c r="BI133" i="1"/>
  <c r="BJ133" i="1" s="1"/>
  <c r="BX132" i="1"/>
  <c r="BY132" i="1" s="1"/>
  <c r="BP134" i="1"/>
  <c r="BR135" i="1" s="1"/>
  <c r="BT134" i="1"/>
  <c r="BS134" i="1"/>
  <c r="BU133" i="1"/>
  <c r="BV133" i="1" s="1"/>
  <c r="BH134" i="1"/>
  <c r="BG134" i="1"/>
  <c r="BD134" i="1"/>
  <c r="BF135" i="1" s="1"/>
  <c r="BI134" i="1" l="1"/>
  <c r="BJ134" i="1" s="1"/>
  <c r="BX133" i="1"/>
  <c r="BY133" i="1" s="1"/>
  <c r="BU134" i="1"/>
  <c r="BV134" i="1" s="1"/>
  <c r="BS135" i="1"/>
  <c r="BT135" i="1"/>
  <c r="BP135" i="1"/>
  <c r="BR136" i="1" s="1"/>
  <c r="BH135" i="1"/>
  <c r="BD135" i="1"/>
  <c r="BF136" i="1" s="1"/>
  <c r="BG135" i="1"/>
  <c r="BI135" i="1" s="1"/>
  <c r="BJ135" i="1" l="1"/>
  <c r="BX134" i="1"/>
  <c r="BY134" i="1" s="1"/>
  <c r="BU135" i="1"/>
  <c r="BD136" i="1"/>
  <c r="BF137" i="1" s="1"/>
  <c r="BG136" i="1"/>
  <c r="BH136" i="1"/>
  <c r="BS136" i="1"/>
  <c r="BT136" i="1"/>
  <c r="BP136" i="1"/>
  <c r="BR137" i="1" s="1"/>
  <c r="BI136" i="1" l="1"/>
  <c r="BJ136" i="1" s="1"/>
  <c r="BS137" i="1"/>
  <c r="BP137" i="1"/>
  <c r="BR138" i="1" s="1"/>
  <c r="BT137" i="1"/>
  <c r="BU136" i="1"/>
  <c r="BD137" i="1"/>
  <c r="BF138" i="1" s="1"/>
  <c r="BH137" i="1"/>
  <c r="BG137" i="1"/>
  <c r="BI137" i="1" s="1"/>
  <c r="BX135" i="1"/>
  <c r="BY135" i="1" s="1"/>
  <c r="BV135" i="1"/>
  <c r="BV136" i="1" s="1"/>
  <c r="BU137" i="1" l="1"/>
  <c r="BV137" i="1" s="1"/>
  <c r="BX136" i="1"/>
  <c r="BY136" i="1" s="1"/>
  <c r="BD138" i="1"/>
  <c r="BF139" i="1" s="1"/>
  <c r="BG138" i="1"/>
  <c r="BH138" i="1"/>
  <c r="BS138" i="1"/>
  <c r="BP138" i="1"/>
  <c r="BR139" i="1" s="1"/>
  <c r="BT138" i="1"/>
  <c r="BJ137" i="1"/>
  <c r="BX137" i="1" l="1"/>
  <c r="BY137" i="1" s="1"/>
  <c r="BU138" i="1"/>
  <c r="BV138" i="1" s="1"/>
  <c r="BS139" i="1"/>
  <c r="BT139" i="1"/>
  <c r="BP139" i="1"/>
  <c r="BR140" i="1" s="1"/>
  <c r="BI138" i="1"/>
  <c r="BG139" i="1"/>
  <c r="BD139" i="1"/>
  <c r="BF140" i="1" s="1"/>
  <c r="BH139" i="1"/>
  <c r="BJ138" i="1"/>
  <c r="BI139" i="1" l="1"/>
  <c r="BJ139" i="1" s="1"/>
  <c r="BX138" i="1"/>
  <c r="BY138" i="1" s="1"/>
  <c r="BH140" i="1"/>
  <c r="BD140" i="1"/>
  <c r="BF141" i="1" s="1"/>
  <c r="BG140" i="1"/>
  <c r="BT140" i="1"/>
  <c r="BS140" i="1"/>
  <c r="BU140" i="1" s="1"/>
  <c r="BP140" i="1"/>
  <c r="BR141" i="1" s="1"/>
  <c r="BU139" i="1"/>
  <c r="BI140" i="1" l="1"/>
  <c r="BJ140" i="1" s="1"/>
  <c r="BD141" i="1"/>
  <c r="BF142" i="1" s="1"/>
  <c r="BH141" i="1"/>
  <c r="BG141" i="1"/>
  <c r="BX139" i="1"/>
  <c r="BY139" i="1" s="1"/>
  <c r="BV139" i="1"/>
  <c r="BV140" i="1" s="1"/>
  <c r="BP141" i="1"/>
  <c r="BR142" i="1" s="1"/>
  <c r="BS141" i="1"/>
  <c r="BT141" i="1"/>
  <c r="BU141" i="1" s="1"/>
  <c r="BX140" i="1" l="1"/>
  <c r="BY140" i="1" s="1"/>
  <c r="BT142" i="1"/>
  <c r="BP142" i="1"/>
  <c r="BR143" i="1" s="1"/>
  <c r="BS142" i="1"/>
  <c r="BV141" i="1"/>
  <c r="BI141" i="1"/>
  <c r="BX141" i="1" s="1"/>
  <c r="BH142" i="1"/>
  <c r="BG142" i="1"/>
  <c r="BD142" i="1"/>
  <c r="BF143" i="1" s="1"/>
  <c r="BJ141" i="1" l="1"/>
  <c r="BI142" i="1"/>
  <c r="BU142" i="1"/>
  <c r="BV142" i="1" s="1"/>
  <c r="BD143" i="1"/>
  <c r="BF144" i="1" s="1"/>
  <c r="BH143" i="1"/>
  <c r="BG143" i="1"/>
  <c r="BY141" i="1"/>
  <c r="BS143" i="1"/>
  <c r="BT143" i="1"/>
  <c r="BP143" i="1"/>
  <c r="BR144" i="1" s="1"/>
  <c r="BJ142" i="1" l="1"/>
  <c r="BX142" i="1"/>
  <c r="BU143" i="1"/>
  <c r="BV143" i="1" s="1"/>
  <c r="BY142" i="1"/>
  <c r="BH144" i="1"/>
  <c r="BG144" i="1"/>
  <c r="BD144" i="1"/>
  <c r="BF145" i="1" s="1"/>
  <c r="BT144" i="1"/>
  <c r="BP144" i="1"/>
  <c r="BR145" i="1" s="1"/>
  <c r="BS144" i="1"/>
  <c r="BU144" i="1" s="1"/>
  <c r="BI143" i="1"/>
  <c r="BJ143" i="1" l="1"/>
  <c r="BI144" i="1"/>
  <c r="BX144" i="1" s="1"/>
  <c r="BX143" i="1"/>
  <c r="BY143" i="1" s="1"/>
  <c r="BS145" i="1"/>
  <c r="BP145" i="1"/>
  <c r="BR146" i="1" s="1"/>
  <c r="BT145" i="1"/>
  <c r="BG145" i="1"/>
  <c r="BH145" i="1"/>
  <c r="BD145" i="1"/>
  <c r="BF146" i="1" s="1"/>
  <c r="BV144" i="1"/>
  <c r="BY144" i="1" l="1"/>
  <c r="BJ144" i="1"/>
  <c r="BU145" i="1"/>
  <c r="BV145" i="1" s="1"/>
  <c r="BD146" i="1"/>
  <c r="BF147" i="1" s="1"/>
  <c r="BG146" i="1"/>
  <c r="BH146" i="1"/>
  <c r="BI145" i="1"/>
  <c r="BT146" i="1"/>
  <c r="BS146" i="1"/>
  <c r="BP146" i="1"/>
  <c r="BR147" i="1" s="1"/>
  <c r="BJ145" i="1" l="1"/>
  <c r="BU146" i="1"/>
  <c r="BV146" i="1" s="1"/>
  <c r="BI146" i="1"/>
  <c r="BG147" i="1"/>
  <c r="BH147" i="1"/>
  <c r="BD147" i="1"/>
  <c r="BF148" i="1" s="1"/>
  <c r="BP147" i="1"/>
  <c r="BR148" i="1" s="1"/>
  <c r="BS147" i="1"/>
  <c r="BT147" i="1"/>
  <c r="BX145" i="1"/>
  <c r="BY145" i="1" s="1"/>
  <c r="BX146" i="1" l="1"/>
  <c r="BY146" i="1" s="1"/>
  <c r="BI147" i="1"/>
  <c r="BJ146" i="1"/>
  <c r="BU147" i="1"/>
  <c r="BT148" i="1"/>
  <c r="BP148" i="1"/>
  <c r="BR149" i="1" s="1"/>
  <c r="BS148" i="1"/>
  <c r="BG148" i="1"/>
  <c r="BD148" i="1"/>
  <c r="BF149" i="1" s="1"/>
  <c r="BH148" i="1"/>
  <c r="BJ147" i="1" l="1"/>
  <c r="BU148" i="1"/>
  <c r="BX147" i="1"/>
  <c r="BY147" i="1" s="1"/>
  <c r="BV147" i="1"/>
  <c r="BG149" i="1"/>
  <c r="BH149" i="1"/>
  <c r="BD149" i="1"/>
  <c r="BF150" i="1" s="1"/>
  <c r="BI148" i="1"/>
  <c r="BT149" i="1"/>
  <c r="BP149" i="1"/>
  <c r="BR150" i="1" s="1"/>
  <c r="BS149" i="1"/>
  <c r="BU149" i="1" s="1"/>
  <c r="BJ148" i="1" l="1"/>
  <c r="BX148" i="1"/>
  <c r="BY148" i="1" s="1"/>
  <c r="BV148" i="1"/>
  <c r="BV149" i="1" s="1"/>
  <c r="BH150" i="1"/>
  <c r="BD150" i="1"/>
  <c r="BF151" i="1" s="1"/>
  <c r="BG150" i="1"/>
  <c r="BP150" i="1"/>
  <c r="BR151" i="1" s="1"/>
  <c r="BT150" i="1"/>
  <c r="BS150" i="1"/>
  <c r="BI149" i="1"/>
  <c r="BX149" i="1" s="1"/>
  <c r="BY149" i="1" l="1"/>
  <c r="BU150" i="1"/>
  <c r="BI150" i="1"/>
  <c r="BJ149" i="1"/>
  <c r="BT151" i="1"/>
  <c r="BS151" i="1"/>
  <c r="BP151" i="1"/>
  <c r="BR152" i="1" s="1"/>
  <c r="BG151" i="1"/>
  <c r="BH151" i="1"/>
  <c r="BD151" i="1"/>
  <c r="BF152" i="1" s="1"/>
  <c r="BJ150" i="1" l="1"/>
  <c r="BU151" i="1"/>
  <c r="BX150" i="1"/>
  <c r="BY150" i="1" s="1"/>
  <c r="BV150" i="1"/>
  <c r="BD152" i="1"/>
  <c r="BF153" i="1" s="1"/>
  <c r="BG152" i="1"/>
  <c r="BH152" i="1"/>
  <c r="BI151" i="1"/>
  <c r="BS152" i="1"/>
  <c r="BP152" i="1"/>
  <c r="BR153" i="1" s="1"/>
  <c r="BT152" i="1"/>
  <c r="BX151" i="1" l="1"/>
  <c r="BY151" i="1" s="1"/>
  <c r="BJ151" i="1"/>
  <c r="BV151" i="1"/>
  <c r="BP153" i="1"/>
  <c r="BR154" i="1" s="1"/>
  <c r="BS153" i="1"/>
  <c r="BT153" i="1"/>
  <c r="BU152" i="1"/>
  <c r="BI152" i="1"/>
  <c r="BG153" i="1"/>
  <c r="BH153" i="1"/>
  <c r="BD153" i="1"/>
  <c r="BF154" i="1" s="1"/>
  <c r="BJ152" i="1" l="1"/>
  <c r="BD154" i="1"/>
  <c r="BF155" i="1" s="1"/>
  <c r="BG154" i="1"/>
  <c r="BH154" i="1"/>
  <c r="BI153" i="1"/>
  <c r="BX152" i="1"/>
  <c r="BY152" i="1" s="1"/>
  <c r="BV152" i="1"/>
  <c r="BU153" i="1"/>
  <c r="BX153" i="1" s="1"/>
  <c r="BP154" i="1"/>
  <c r="BR155" i="1" s="1"/>
  <c r="BT154" i="1"/>
  <c r="BS154" i="1"/>
  <c r="BJ153" i="1" l="1"/>
  <c r="BU154" i="1"/>
  <c r="BP155" i="1"/>
  <c r="BR156" i="1" s="1"/>
  <c r="BT155" i="1"/>
  <c r="BS155" i="1"/>
  <c r="BY153" i="1"/>
  <c r="BI154" i="1"/>
  <c r="BV153" i="1"/>
  <c r="BG155" i="1"/>
  <c r="BD155" i="1"/>
  <c r="BF156" i="1" s="1"/>
  <c r="BH155" i="1"/>
  <c r="BI155" i="1" s="1"/>
  <c r="BJ154" i="1" l="1"/>
  <c r="BJ155" i="1" s="1"/>
  <c r="BU155" i="1"/>
  <c r="BX155" i="1" s="1"/>
  <c r="BX154" i="1"/>
  <c r="BY154" i="1" s="1"/>
  <c r="BV154" i="1"/>
  <c r="BH156" i="1"/>
  <c r="BD156" i="1"/>
  <c r="BF157" i="1" s="1"/>
  <c r="BG156" i="1"/>
  <c r="BS156" i="1"/>
  <c r="BP156" i="1"/>
  <c r="BR157" i="1" s="1"/>
  <c r="BT156" i="1"/>
  <c r="BU156" i="1" s="1"/>
  <c r="BI156" i="1" l="1"/>
  <c r="BX156" i="1" s="1"/>
  <c r="BV155" i="1"/>
  <c r="BV156" i="1" s="1"/>
  <c r="BY155" i="1"/>
  <c r="BG157" i="1"/>
  <c r="BD157" i="1"/>
  <c r="BF158" i="1" s="1"/>
  <c r="BH157" i="1"/>
  <c r="BT157" i="1"/>
  <c r="BS157" i="1"/>
  <c r="BP157" i="1"/>
  <c r="BR158" i="1" s="1"/>
  <c r="BJ156" i="1" l="1"/>
  <c r="BY156" i="1"/>
  <c r="BU157" i="1"/>
  <c r="BV157" i="1" s="1"/>
  <c r="BP158" i="1"/>
  <c r="BR159" i="1" s="1"/>
  <c r="BT158" i="1"/>
  <c r="BS158" i="1"/>
  <c r="BG158" i="1"/>
  <c r="BH158" i="1"/>
  <c r="BD158" i="1"/>
  <c r="BF159" i="1" s="1"/>
  <c r="BI157" i="1"/>
  <c r="BX157" i="1" l="1"/>
  <c r="BY157" i="1" s="1"/>
  <c r="BU158" i="1"/>
  <c r="BV158" i="1" s="1"/>
  <c r="BD159" i="1"/>
  <c r="BF160" i="1" s="1"/>
  <c r="BH159" i="1"/>
  <c r="BG159" i="1"/>
  <c r="BI158" i="1"/>
  <c r="BP159" i="1"/>
  <c r="BR160" i="1" s="1"/>
  <c r="BT159" i="1"/>
  <c r="BS159" i="1"/>
  <c r="BJ157" i="1"/>
  <c r="BJ158" i="1" s="1"/>
  <c r="BU159" i="1" l="1"/>
  <c r="BV159" i="1" s="1"/>
  <c r="BX158" i="1"/>
  <c r="BY158" i="1" s="1"/>
  <c r="BI159" i="1"/>
  <c r="BJ159" i="1" s="1"/>
  <c r="BD160" i="1"/>
  <c r="BF161" i="1" s="1"/>
  <c r="BH160" i="1"/>
  <c r="BG160" i="1"/>
  <c r="BP160" i="1"/>
  <c r="BR161" i="1" s="1"/>
  <c r="BS160" i="1"/>
  <c r="BT160" i="1"/>
  <c r="BI160" i="1" l="1"/>
  <c r="BJ160" i="1" s="1"/>
  <c r="BX159" i="1"/>
  <c r="BY159" i="1" s="1"/>
  <c r="BU160" i="1"/>
  <c r="BP161" i="1"/>
  <c r="BR162" i="1" s="1"/>
  <c r="BT161" i="1"/>
  <c r="BS161" i="1"/>
  <c r="BH161" i="1"/>
  <c r="BG161" i="1"/>
  <c r="BD161" i="1"/>
  <c r="BF162" i="1" s="1"/>
  <c r="BX160" i="1" l="1"/>
  <c r="BY160" i="1" s="1"/>
  <c r="BV160" i="1"/>
  <c r="BG162" i="1"/>
  <c r="BD162" i="1"/>
  <c r="BF163" i="1" s="1"/>
  <c r="BH162" i="1"/>
  <c r="BI161" i="1"/>
  <c r="BU161" i="1"/>
  <c r="BP162" i="1"/>
  <c r="BR163" i="1" s="1"/>
  <c r="BS162" i="1"/>
  <c r="BT162" i="1"/>
  <c r="BV161" i="1" l="1"/>
  <c r="BI162" i="1"/>
  <c r="BT163" i="1"/>
  <c r="BP163" i="1"/>
  <c r="BR164" i="1" s="1"/>
  <c r="BS163" i="1"/>
  <c r="BX161" i="1"/>
  <c r="BY161" i="1" s="1"/>
  <c r="BJ161" i="1"/>
  <c r="BU162" i="1"/>
  <c r="BD163" i="1"/>
  <c r="BF164" i="1" s="1"/>
  <c r="BG163" i="1"/>
  <c r="BH163" i="1"/>
  <c r="BV162" i="1" l="1"/>
  <c r="BU163" i="1"/>
  <c r="BX162" i="1"/>
  <c r="BY162" i="1" s="1"/>
  <c r="BJ162" i="1"/>
  <c r="BI163" i="1"/>
  <c r="BD164" i="1"/>
  <c r="BF165" i="1" s="1"/>
  <c r="BH164" i="1"/>
  <c r="BG164" i="1"/>
  <c r="BS164" i="1"/>
  <c r="BP164" i="1"/>
  <c r="BR165" i="1" s="1"/>
  <c r="BT164" i="1"/>
  <c r="BV163" i="1" l="1"/>
  <c r="BX163" i="1"/>
  <c r="BY163" i="1" s="1"/>
  <c r="BJ163" i="1"/>
  <c r="BI164" i="1"/>
  <c r="BU164" i="1"/>
  <c r="BS165" i="1"/>
  <c r="BT165" i="1"/>
  <c r="BP165" i="1"/>
  <c r="BR166" i="1" s="1"/>
  <c r="BG165" i="1"/>
  <c r="BD165" i="1"/>
  <c r="BF166" i="1" s="1"/>
  <c r="BH165" i="1"/>
  <c r="BV164" i="1" l="1"/>
  <c r="BJ164" i="1"/>
  <c r="BU165" i="1"/>
  <c r="BX164" i="1"/>
  <c r="BY164" i="1" s="1"/>
  <c r="BH166" i="1"/>
  <c r="BG166" i="1"/>
  <c r="BD166" i="1"/>
  <c r="BF167" i="1" s="1"/>
  <c r="BI165" i="1"/>
  <c r="BT166" i="1"/>
  <c r="BP166" i="1"/>
  <c r="BR167" i="1" s="1"/>
  <c r="BS166" i="1"/>
  <c r="BU166" i="1" s="1"/>
  <c r="BV165" i="1" l="1"/>
  <c r="BV166" i="1" s="1"/>
  <c r="BI166" i="1"/>
  <c r="BX166" i="1" s="1"/>
  <c r="BP167" i="1"/>
  <c r="BT167" i="1"/>
  <c r="BS167" i="1"/>
  <c r="BX165" i="1"/>
  <c r="BY165" i="1" s="1"/>
  <c r="BJ165" i="1"/>
  <c r="BD167" i="1"/>
  <c r="BG167" i="1"/>
  <c r="BH167" i="1"/>
  <c r="BJ166" i="1" l="1"/>
  <c r="BU167" i="1"/>
  <c r="BV167" i="1" s="1"/>
  <c r="BV1" i="1" s="1"/>
  <c r="BI167" i="1"/>
  <c r="BY166" i="1"/>
  <c r="BV10" i="1" l="1"/>
  <c r="BV9" i="1"/>
  <c r="BX167" i="1"/>
  <c r="BY167" i="1" s="1"/>
  <c r="BY1" i="1" s="1"/>
  <c r="BJ9" i="1"/>
  <c r="BJ10" i="1"/>
  <c r="BJ167" i="1"/>
  <c r="BJ1" i="1" s="1"/>
  <c r="BV11" i="1" l="1"/>
  <c r="BY9" i="1"/>
  <c r="BY10" i="1"/>
  <c r="BJ11" i="1"/>
  <c r="BY11" i="1" l="1"/>
</calcChain>
</file>

<file path=xl/sharedStrings.xml><?xml version="1.0" encoding="utf-8"?>
<sst xmlns="http://schemas.openxmlformats.org/spreadsheetml/2006/main" count="53" uniqueCount="42">
  <si>
    <t>date</t>
  </si>
  <si>
    <t>grand</t>
  </si>
  <si>
    <t>signal</t>
  </si>
  <si>
    <t>under</t>
  </si>
  <si>
    <t>over</t>
  </si>
  <si>
    <t>yday</t>
  </si>
  <si>
    <t>ex-date</t>
  </si>
  <si>
    <t>position</t>
  </si>
  <si>
    <t>sum</t>
  </si>
  <si>
    <t>cumsum</t>
  </si>
  <si>
    <t>BNDX</t>
  </si>
  <si>
    <t>IAGG</t>
  </si>
  <si>
    <t>BNDX log rtn</t>
  </si>
  <si>
    <t>IAGG log rtn</t>
  </si>
  <si>
    <t>BNDX div</t>
  </si>
  <si>
    <t>BNDX div cumsum</t>
  </si>
  <si>
    <t>IAGG div</t>
  </si>
  <si>
    <t>IAGG div cumsum</t>
  </si>
  <si>
    <t>BNDX div adjustment</t>
  </si>
  <si>
    <t>IAGG div adjustment</t>
  </si>
  <si>
    <t>BNDX*</t>
  </si>
  <si>
    <t>IAGG*</t>
  </si>
  <si>
    <t>IAGG/BNDX</t>
  </si>
  <si>
    <t>IAGG/BNDX avg</t>
  </si>
  <si>
    <t>IAGG/BNDX 10 dma</t>
  </si>
  <si>
    <t>IAGG/BNDX 20 dma</t>
  </si>
  <si>
    <t>BNDX x avg</t>
  </si>
  <si>
    <t>BNDX x 10 dma</t>
  </si>
  <si>
    <t>BNDX x 20 dma</t>
  </si>
  <si>
    <t>log diff BNDX x avg / IAGG</t>
  </si>
  <si>
    <t>log diff BNDX x 10 dma / IAGG</t>
  </si>
  <si>
    <t>log diff BNDX x 20 dma / IAGG</t>
  </si>
  <si>
    <t>IAGG*/BNDX*</t>
  </si>
  <si>
    <t>IAGG*/BNDX* avg</t>
  </si>
  <si>
    <t>IAGG*/BNDX* 10 dma</t>
  </si>
  <si>
    <t>IAGG*/BNDX* 20 dma</t>
  </si>
  <si>
    <t>BNDX* x avg</t>
  </si>
  <si>
    <t>BNDX* x 10 dma</t>
  </si>
  <si>
    <t>BNDX* x 20 dma</t>
  </si>
  <si>
    <t>log diff BNDX* x avg / IAGG*</t>
  </si>
  <si>
    <t>log diff BNDX* x 10 dma / IAGG*</t>
  </si>
  <si>
    <t>log diff BNDX* x 20 dma / IAGG*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</si>
</sst>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&quot;$&quot;* #,##0.0000_);_(&quot;$&quot;* \(#,##0.0000\);_(&quot;$&quot;* &quot;-&quot;??_);_(@_)"/>
    <numFmt numFmtId="165" formatCode="_(* #,##0.0000_);_(* \(#,##0.0000\);_(* &quot;-&quot;??_);_(@_)"/>
  </numFmts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sz val="11"/>
      <color rgb="FF0070C0"/>
      <name val="Aptos Narrow"/>
      <family val="2"/>
      <scheme val="minor"/>
    </font>
    <font>
      <b/>
      <sz val="11"/>
      <color rgb="FFC0000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5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7">
    <xf numFmtId="0" fontId="0" fillId="0" borderId="0" xfId="0"/>
    <xf numFmtId="14" fontId="0" fillId="0" borderId="0" xfId="0" applyNumberFormat="1"/>
    <xf numFmtId="0" fontId="18" fillId="0" borderId="0" xfId="0" applyFont="1" applyAlignment="1">
      <alignment horizontal="center"/>
    </xf>
    <xf numFmtId="164" fontId="18" fillId="0" borderId="0" xfId="2" applyNumberFormat="1" applyFont="1" applyAlignment="1">
      <alignment horizontal="center"/>
    </xf>
    <xf numFmtId="10" fontId="18" fillId="0" borderId="0" xfId="3" applyNumberFormat="1" applyFont="1" applyAlignment="1">
      <alignment horizontal="center"/>
    </xf>
    <xf numFmtId="165" fontId="18" fillId="0" borderId="0" xfId="1" applyNumberFormat="1" applyFont="1" applyAlignment="1">
      <alignment horizontal="center"/>
    </xf>
    <xf numFmtId="0" fontId="18" fillId="0" borderId="0" xfId="0" applyFont="1" applyAlignment="1">
      <alignment horizontal="right"/>
    </xf>
    <xf numFmtId="10" fontId="18" fillId="0" borderId="0" xfId="0" applyNumberFormat="1" applyFont="1" applyAlignment="1">
      <alignment horizontal="right"/>
    </xf>
    <xf numFmtId="164" fontId="0" fillId="0" borderId="0" xfId="2" applyNumberFormat="1" applyFont="1"/>
    <xf numFmtId="10" fontId="0" fillId="0" borderId="0" xfId="3" applyNumberFormat="1" applyFont="1"/>
    <xf numFmtId="165" fontId="0" fillId="0" borderId="0" xfId="1" applyNumberFormat="1" applyFont="1"/>
    <xf numFmtId="44" fontId="0" fillId="0" borderId="0" xfId="2" applyFont="1"/>
    <xf numFmtId="10" fontId="0" fillId="0" borderId="0" xfId="0" applyNumberFormat="1"/>
    <xf numFmtId="44" fontId="19" fillId="0" borderId="0" xfId="2" applyFont="1"/>
    <xf numFmtId="44" fontId="18" fillId="0" borderId="0" xfId="2" applyFont="1" applyAlignment="1">
      <alignment horizontal="right"/>
    </xf>
    <xf numFmtId="10" fontId="18" fillId="33" borderId="0" xfId="2" applyNumberFormat="1" applyFont="1" applyFill="1" applyAlignment="1">
      <alignment horizontal="right"/>
    </xf>
    <xf numFmtId="0" fontId="20" fillId="0" borderId="0" xfId="0" applyFont="1"/>
  </cellXfs>
  <cellStyles count="45">
    <cellStyle name="20% - Accent1" xfId="22" builtinId="30" customBuiltin="1"/>
    <cellStyle name="20% - Accent2" xfId="26" builtinId="34" customBuiltin="1"/>
    <cellStyle name="20% - Accent3" xfId="30" builtinId="38" customBuiltin="1"/>
    <cellStyle name="20% - Accent4" xfId="34" builtinId="42" customBuiltin="1"/>
    <cellStyle name="20% - Accent5" xfId="38" builtinId="46" customBuiltin="1"/>
    <cellStyle name="20% - Accent6" xfId="42" builtinId="50" customBuiltin="1"/>
    <cellStyle name="40% - Accent1" xfId="23" builtinId="31" customBuiltin="1"/>
    <cellStyle name="40% - Accent2" xfId="27" builtinId="35" customBuiltin="1"/>
    <cellStyle name="40% - Accent3" xfId="31" builtinId="39" customBuiltin="1"/>
    <cellStyle name="40% - Accent4" xfId="35" builtinId="43" customBuiltin="1"/>
    <cellStyle name="40% - Accent5" xfId="39" builtinId="47" customBuiltin="1"/>
    <cellStyle name="40% - Accent6" xfId="43" builtinId="51" customBuiltin="1"/>
    <cellStyle name="60% - Accent1" xfId="24" builtinId="32" customBuiltin="1"/>
    <cellStyle name="60% - Accent2" xfId="28" builtinId="36" customBuiltin="1"/>
    <cellStyle name="60% - Accent3" xfId="32" builtinId="40" customBuiltin="1"/>
    <cellStyle name="60% - Accent4" xfId="36" builtinId="44" customBuiltin="1"/>
    <cellStyle name="60% - Accent5" xfId="40" builtinId="48" customBuiltin="1"/>
    <cellStyle name="60% - Accent6" xfId="44" builtinId="52" customBuiltin="1"/>
    <cellStyle name="Accent1" xfId="21" builtinId="29" customBuiltin="1"/>
    <cellStyle name="Accent2" xfId="25" builtinId="33" customBuiltin="1"/>
    <cellStyle name="Accent3" xfId="29" builtinId="37" customBuiltin="1"/>
    <cellStyle name="Accent4" xfId="33" builtinId="41" customBuiltin="1"/>
    <cellStyle name="Accent5" xfId="37" builtinId="45" customBuiltin="1"/>
    <cellStyle name="Accent6" xfId="41" builtinId="49" customBuiltin="1"/>
    <cellStyle name="Bad" xfId="10" builtinId="27" customBuiltin="1"/>
    <cellStyle name="Calculation" xfId="14" builtinId="22" customBuiltin="1"/>
    <cellStyle name="Check Cell" xfId="16" builtinId="23" customBuiltin="1"/>
    <cellStyle name="Comma" xfId="1" builtinId="3"/>
    <cellStyle name="Currency" xfId="2" builtinId="4"/>
    <cellStyle name="Explanatory Text" xfId="19" builtinId="53" customBuiltin="1"/>
    <cellStyle name="Good" xfId="9" builtinId="26" customBuiltin="1"/>
    <cellStyle name="Heading 1" xfId="5" builtinId="16" customBuiltin="1"/>
    <cellStyle name="Heading 2" xfId="6" builtinId="17" customBuiltin="1"/>
    <cellStyle name="Heading 3" xfId="7" builtinId="18" customBuiltin="1"/>
    <cellStyle name="Heading 4" xfId="8" builtinId="19" customBuiltin="1"/>
    <cellStyle name="Input" xfId="12" builtinId="20" customBuiltin="1"/>
    <cellStyle name="Linked Cell" xfId="15" builtinId="24" customBuiltin="1"/>
    <cellStyle name="Neutral" xfId="11" builtinId="28" customBuiltin="1"/>
    <cellStyle name="Normal" xfId="0" builtinId="0"/>
    <cellStyle name="Note" xfId="18" builtinId="10" customBuiltin="1"/>
    <cellStyle name="Output" xfId="13" builtinId="21" customBuiltin="1"/>
    <cellStyle name="Percent" xfId="3" builtinId="5"/>
    <cellStyle name="Title" xfId="4" builtinId="15" customBuiltin="1"/>
    <cellStyle name="Total" xfId="20" builtinId="25" customBuiltin="1"/>
    <cellStyle name="Warning Text" xfId="17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XLU_IDU_1!$O$1</c:f>
              <c:strCache>
                <c:ptCount val="1"/>
                <c:pt idx="0">
                  <c:v> IAGG/BNDX avg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XLU_IDU_1!$O$2:$O$167</c:f>
              <c:numCache>
                <c:formatCode>_(* #,##0.0000_);_(* \(#,##0.0000\);_(* "-"??_);_(@_)</c:formatCode>
                <c:ptCount val="166"/>
                <c:pt idx="0">
                  <c:v>1.03989039569729</c:v>
                </c:pt>
                <c:pt idx="1">
                  <c:v>1.03989039569729</c:v>
                </c:pt>
                <c:pt idx="2">
                  <c:v>1.03989039569729</c:v>
                </c:pt>
                <c:pt idx="3">
                  <c:v>1.03989039569729</c:v>
                </c:pt>
                <c:pt idx="4">
                  <c:v>1.03989039569729</c:v>
                </c:pt>
                <c:pt idx="5">
                  <c:v>1.03989039569729</c:v>
                </c:pt>
                <c:pt idx="6">
                  <c:v>1.03989039569729</c:v>
                </c:pt>
                <c:pt idx="7">
                  <c:v>1.03989039569729</c:v>
                </c:pt>
                <c:pt idx="8">
                  <c:v>1.03989039569729</c:v>
                </c:pt>
                <c:pt idx="9">
                  <c:v>1.03989039569729</c:v>
                </c:pt>
                <c:pt idx="10">
                  <c:v>1.03989039569729</c:v>
                </c:pt>
                <c:pt idx="11">
                  <c:v>1.03989039569729</c:v>
                </c:pt>
                <c:pt idx="12">
                  <c:v>1.03989039569729</c:v>
                </c:pt>
                <c:pt idx="13">
                  <c:v>1.03989039569729</c:v>
                </c:pt>
                <c:pt idx="14">
                  <c:v>1.03989039569729</c:v>
                </c:pt>
                <c:pt idx="15">
                  <c:v>1.03989039569729</c:v>
                </c:pt>
                <c:pt idx="16">
                  <c:v>1.03989039569729</c:v>
                </c:pt>
                <c:pt idx="17">
                  <c:v>1.03989039569729</c:v>
                </c:pt>
                <c:pt idx="18">
                  <c:v>1.03989039569729</c:v>
                </c:pt>
                <c:pt idx="19">
                  <c:v>1.03989039569729</c:v>
                </c:pt>
                <c:pt idx="20">
                  <c:v>1.03989039569729</c:v>
                </c:pt>
                <c:pt idx="21">
                  <c:v>1.03989039569729</c:v>
                </c:pt>
                <c:pt idx="22">
                  <c:v>1.03989039569729</c:v>
                </c:pt>
                <c:pt idx="23">
                  <c:v>1.03989039569729</c:v>
                </c:pt>
                <c:pt idx="24">
                  <c:v>1.03989039569729</c:v>
                </c:pt>
                <c:pt idx="25">
                  <c:v>1.03989039569729</c:v>
                </c:pt>
                <c:pt idx="26">
                  <c:v>1.03989039569729</c:v>
                </c:pt>
                <c:pt idx="27">
                  <c:v>1.03989039569729</c:v>
                </c:pt>
                <c:pt idx="28">
                  <c:v>1.03989039569729</c:v>
                </c:pt>
                <c:pt idx="29">
                  <c:v>1.03989039569729</c:v>
                </c:pt>
                <c:pt idx="30">
                  <c:v>1.03989039569729</c:v>
                </c:pt>
                <c:pt idx="31">
                  <c:v>1.03989039569729</c:v>
                </c:pt>
                <c:pt idx="32">
                  <c:v>1.03989039569729</c:v>
                </c:pt>
                <c:pt idx="33">
                  <c:v>1.03989039569729</c:v>
                </c:pt>
                <c:pt idx="34">
                  <c:v>1.03989039569729</c:v>
                </c:pt>
                <c:pt idx="35">
                  <c:v>1.03989039569729</c:v>
                </c:pt>
                <c:pt idx="36">
                  <c:v>1.03989039569729</c:v>
                </c:pt>
                <c:pt idx="37">
                  <c:v>1.03989039569729</c:v>
                </c:pt>
                <c:pt idx="38">
                  <c:v>1.03989039569729</c:v>
                </c:pt>
                <c:pt idx="39">
                  <c:v>1.03989039569729</c:v>
                </c:pt>
                <c:pt idx="40">
                  <c:v>1.03989039569729</c:v>
                </c:pt>
                <c:pt idx="41">
                  <c:v>1.03989039569729</c:v>
                </c:pt>
                <c:pt idx="42">
                  <c:v>1.03989039569729</c:v>
                </c:pt>
                <c:pt idx="43">
                  <c:v>1.03989039569729</c:v>
                </c:pt>
                <c:pt idx="44">
                  <c:v>1.03989039569729</c:v>
                </c:pt>
                <c:pt idx="45">
                  <c:v>1.03989039569729</c:v>
                </c:pt>
                <c:pt idx="46">
                  <c:v>1.03989039569729</c:v>
                </c:pt>
                <c:pt idx="47">
                  <c:v>1.03989039569729</c:v>
                </c:pt>
                <c:pt idx="48">
                  <c:v>1.03989039569729</c:v>
                </c:pt>
                <c:pt idx="49">
                  <c:v>1.03989039569729</c:v>
                </c:pt>
                <c:pt idx="50">
                  <c:v>1.03989039569729</c:v>
                </c:pt>
                <c:pt idx="51">
                  <c:v>1.03989039569729</c:v>
                </c:pt>
                <c:pt idx="52">
                  <c:v>1.03989039569729</c:v>
                </c:pt>
                <c:pt idx="53">
                  <c:v>1.03989039569729</c:v>
                </c:pt>
                <c:pt idx="54">
                  <c:v>1.03989039569729</c:v>
                </c:pt>
                <c:pt idx="55">
                  <c:v>1.03989039569729</c:v>
                </c:pt>
                <c:pt idx="56">
                  <c:v>1.03989039569729</c:v>
                </c:pt>
                <c:pt idx="57">
                  <c:v>1.03989039569729</c:v>
                </c:pt>
                <c:pt idx="58">
                  <c:v>1.03989039569729</c:v>
                </c:pt>
                <c:pt idx="59">
                  <c:v>1.03989039569729</c:v>
                </c:pt>
                <c:pt idx="60">
                  <c:v>1.03989039569729</c:v>
                </c:pt>
                <c:pt idx="61">
                  <c:v>1.03989039569729</c:v>
                </c:pt>
                <c:pt idx="62">
                  <c:v>1.03989039569729</c:v>
                </c:pt>
                <c:pt idx="63">
                  <c:v>1.03989039569729</c:v>
                </c:pt>
                <c:pt idx="64">
                  <c:v>1.03989039569729</c:v>
                </c:pt>
                <c:pt idx="65">
                  <c:v>1.03989039569729</c:v>
                </c:pt>
                <c:pt idx="66">
                  <c:v>1.03989039569729</c:v>
                </c:pt>
                <c:pt idx="67">
                  <c:v>1.03989039569729</c:v>
                </c:pt>
                <c:pt idx="68">
                  <c:v>1.03989039569729</c:v>
                </c:pt>
                <c:pt idx="69">
                  <c:v>1.03989039569729</c:v>
                </c:pt>
                <c:pt idx="70">
                  <c:v>1.03989039569729</c:v>
                </c:pt>
                <c:pt idx="71">
                  <c:v>1.03989039569729</c:v>
                </c:pt>
                <c:pt idx="72">
                  <c:v>1.03989039569729</c:v>
                </c:pt>
                <c:pt idx="73">
                  <c:v>1.03989039569729</c:v>
                </c:pt>
                <c:pt idx="74">
                  <c:v>1.03989039569729</c:v>
                </c:pt>
                <c:pt idx="75">
                  <c:v>1.03989039569729</c:v>
                </c:pt>
                <c:pt idx="76">
                  <c:v>1.03989039569729</c:v>
                </c:pt>
                <c:pt idx="77">
                  <c:v>1.03989039569729</c:v>
                </c:pt>
                <c:pt idx="78">
                  <c:v>1.03989039569729</c:v>
                </c:pt>
                <c:pt idx="79">
                  <c:v>1.03989039569729</c:v>
                </c:pt>
                <c:pt idx="80">
                  <c:v>1.03989039569729</c:v>
                </c:pt>
                <c:pt idx="81">
                  <c:v>1.03989039569729</c:v>
                </c:pt>
                <c:pt idx="82">
                  <c:v>1.03989039569729</c:v>
                </c:pt>
                <c:pt idx="83">
                  <c:v>1.03989039569729</c:v>
                </c:pt>
                <c:pt idx="84">
                  <c:v>1.03989039569729</c:v>
                </c:pt>
                <c:pt idx="85">
                  <c:v>1.03989039569729</c:v>
                </c:pt>
                <c:pt idx="86">
                  <c:v>1.03989039569729</c:v>
                </c:pt>
                <c:pt idx="87">
                  <c:v>1.03989039569729</c:v>
                </c:pt>
                <c:pt idx="88">
                  <c:v>1.03989039569729</c:v>
                </c:pt>
                <c:pt idx="89">
                  <c:v>1.03989039569729</c:v>
                </c:pt>
                <c:pt idx="90">
                  <c:v>1.03989039569729</c:v>
                </c:pt>
                <c:pt idx="91">
                  <c:v>1.03989039569729</c:v>
                </c:pt>
                <c:pt idx="92">
                  <c:v>1.03989039569729</c:v>
                </c:pt>
                <c:pt idx="93">
                  <c:v>1.03989039569729</c:v>
                </c:pt>
                <c:pt idx="94">
                  <c:v>1.03989039569729</c:v>
                </c:pt>
                <c:pt idx="95">
                  <c:v>1.03989039569729</c:v>
                </c:pt>
                <c:pt idx="96">
                  <c:v>1.03989039569729</c:v>
                </c:pt>
                <c:pt idx="97">
                  <c:v>1.03989039569729</c:v>
                </c:pt>
                <c:pt idx="98">
                  <c:v>1.03989039569729</c:v>
                </c:pt>
                <c:pt idx="99">
                  <c:v>1.03989039569729</c:v>
                </c:pt>
                <c:pt idx="100">
                  <c:v>1.03989039569729</c:v>
                </c:pt>
                <c:pt idx="101">
                  <c:v>1.03989039569729</c:v>
                </c:pt>
                <c:pt idx="102">
                  <c:v>1.03989039569729</c:v>
                </c:pt>
                <c:pt idx="103">
                  <c:v>1.03989039569729</c:v>
                </c:pt>
                <c:pt idx="104">
                  <c:v>1.03989039569729</c:v>
                </c:pt>
                <c:pt idx="105">
                  <c:v>1.03989039569729</c:v>
                </c:pt>
                <c:pt idx="106">
                  <c:v>1.03989039569729</c:v>
                </c:pt>
                <c:pt idx="107">
                  <c:v>1.03989039569729</c:v>
                </c:pt>
                <c:pt idx="108">
                  <c:v>1.03989039569729</c:v>
                </c:pt>
                <c:pt idx="109">
                  <c:v>1.03989039569729</c:v>
                </c:pt>
                <c:pt idx="110">
                  <c:v>1.03989039569729</c:v>
                </c:pt>
                <c:pt idx="111">
                  <c:v>1.03989039569729</c:v>
                </c:pt>
                <c:pt idx="112">
                  <c:v>1.03989039569729</c:v>
                </c:pt>
                <c:pt idx="113">
                  <c:v>1.03989039569729</c:v>
                </c:pt>
                <c:pt idx="114">
                  <c:v>1.03989039569729</c:v>
                </c:pt>
                <c:pt idx="115">
                  <c:v>1.03989039569729</c:v>
                </c:pt>
                <c:pt idx="116">
                  <c:v>1.03989039569729</c:v>
                </c:pt>
                <c:pt idx="117">
                  <c:v>1.03989039569729</c:v>
                </c:pt>
                <c:pt idx="118">
                  <c:v>1.03989039569729</c:v>
                </c:pt>
                <c:pt idx="119">
                  <c:v>1.03989039569729</c:v>
                </c:pt>
                <c:pt idx="120">
                  <c:v>1.03989039569729</c:v>
                </c:pt>
                <c:pt idx="121">
                  <c:v>1.03989039569729</c:v>
                </c:pt>
                <c:pt idx="122">
                  <c:v>1.03989039569729</c:v>
                </c:pt>
                <c:pt idx="123">
                  <c:v>1.03989039569729</c:v>
                </c:pt>
                <c:pt idx="124">
                  <c:v>1.03989039569729</c:v>
                </c:pt>
                <c:pt idx="125">
                  <c:v>1.03989039569729</c:v>
                </c:pt>
                <c:pt idx="126">
                  <c:v>1.03989039569729</c:v>
                </c:pt>
                <c:pt idx="127">
                  <c:v>1.03989039569729</c:v>
                </c:pt>
                <c:pt idx="128">
                  <c:v>1.03989039569729</c:v>
                </c:pt>
                <c:pt idx="129">
                  <c:v>1.03989039569729</c:v>
                </c:pt>
                <c:pt idx="130">
                  <c:v>1.03989039569729</c:v>
                </c:pt>
                <c:pt idx="131">
                  <c:v>1.03989039569729</c:v>
                </c:pt>
                <c:pt idx="132">
                  <c:v>1.03989039569729</c:v>
                </c:pt>
                <c:pt idx="133">
                  <c:v>1.03989039569729</c:v>
                </c:pt>
                <c:pt idx="134">
                  <c:v>1.03989039569729</c:v>
                </c:pt>
                <c:pt idx="135">
                  <c:v>1.03989039569729</c:v>
                </c:pt>
                <c:pt idx="136">
                  <c:v>1.03989039569729</c:v>
                </c:pt>
                <c:pt idx="137">
                  <c:v>1.03989039569729</c:v>
                </c:pt>
                <c:pt idx="138">
                  <c:v>1.03989039569729</c:v>
                </c:pt>
                <c:pt idx="139">
                  <c:v>1.03989039569729</c:v>
                </c:pt>
                <c:pt idx="140">
                  <c:v>1.03989039569729</c:v>
                </c:pt>
                <c:pt idx="141">
                  <c:v>1.03989039569729</c:v>
                </c:pt>
                <c:pt idx="142">
                  <c:v>1.03989039569729</c:v>
                </c:pt>
                <c:pt idx="143">
                  <c:v>1.03989039569729</c:v>
                </c:pt>
                <c:pt idx="144">
                  <c:v>1.03989039569729</c:v>
                </c:pt>
                <c:pt idx="145">
                  <c:v>1.03989039569729</c:v>
                </c:pt>
                <c:pt idx="146">
                  <c:v>1.03989039569729</c:v>
                </c:pt>
                <c:pt idx="147">
                  <c:v>1.03989039569729</c:v>
                </c:pt>
                <c:pt idx="148">
                  <c:v>1.03989039569729</c:v>
                </c:pt>
                <c:pt idx="149">
                  <c:v>1.03989039569729</c:v>
                </c:pt>
                <c:pt idx="150">
                  <c:v>1.03989039569729</c:v>
                </c:pt>
                <c:pt idx="151">
                  <c:v>1.03989039569729</c:v>
                </c:pt>
                <c:pt idx="152">
                  <c:v>1.03989039569729</c:v>
                </c:pt>
                <c:pt idx="153">
                  <c:v>1.03989039569729</c:v>
                </c:pt>
                <c:pt idx="154">
                  <c:v>1.03989039569729</c:v>
                </c:pt>
                <c:pt idx="155">
                  <c:v>1.03989039569729</c:v>
                </c:pt>
                <c:pt idx="156">
                  <c:v>1.03989039569729</c:v>
                </c:pt>
                <c:pt idx="157">
                  <c:v>1.03989039569729</c:v>
                </c:pt>
                <c:pt idx="158">
                  <c:v>1.03989039569729</c:v>
                </c:pt>
                <c:pt idx="159">
                  <c:v>1.03989039569729</c:v>
                </c:pt>
                <c:pt idx="160">
                  <c:v>1.03989039569729</c:v>
                </c:pt>
                <c:pt idx="161">
                  <c:v>1.03989039569729</c:v>
                </c:pt>
                <c:pt idx="162">
                  <c:v>1.03989039569729</c:v>
                </c:pt>
                <c:pt idx="163">
                  <c:v>1.03989039569729</c:v>
                </c:pt>
                <c:pt idx="164">
                  <c:v>1.03989039569729</c:v>
                </c:pt>
                <c:pt idx="165">
                  <c:v>1.03989039569729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A44-4817-989C-0A1EF48240B3}"/>
            </c:ext>
          </c:extLst>
        </c:ser>
        <c:ser>
          <c:idx val="1"/>
          <c:order val="1"/>
          <c:tx>
            <c:strRef>
              <c:f>XLU_IDU_1!$P$1</c:f>
              <c:strCache>
                <c:ptCount val="1"/>
                <c:pt idx="0">
                  <c:v> IAGG/BNDX 10 dma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XLU_IDU_1!$P$2:$P$167</c:f>
              <c:numCache>
                <c:formatCode>_(* #,##0.0000_);_(* \(#,##0.0000\);_(* "-"??_);_(@_)</c:formatCode>
                <c:ptCount val="166"/>
                <c:pt idx="9">
                  <c:v>1.0349663907105</c:v>
                </c:pt>
                <c:pt idx="10">
                  <c:v>1.03484631654657</c:v>
                </c:pt>
                <c:pt idx="11">
                  <c:v>1.0348869169767401</c:v>
                </c:pt>
                <c:pt idx="12">
                  <c:v>1.0349289468723599</c:v>
                </c:pt>
                <c:pt idx="13">
                  <c:v>1.03499515159532</c:v>
                </c:pt>
                <c:pt idx="14">
                  <c:v>1.03506278713913</c:v>
                </c:pt>
                <c:pt idx="15">
                  <c:v>1.0350429072437499</c:v>
                </c:pt>
                <c:pt idx="16">
                  <c:v>1.0350472345922199</c:v>
                </c:pt>
                <c:pt idx="17">
                  <c:v>1.03519368789954</c:v>
                </c:pt>
                <c:pt idx="18">
                  <c:v>1.0351689314559001</c:v>
                </c:pt>
                <c:pt idx="19">
                  <c:v>1.0353144601117901</c:v>
                </c:pt>
                <c:pt idx="20">
                  <c:v>1.0354462582349899</c:v>
                </c:pt>
                <c:pt idx="21">
                  <c:v>1.0354860949964699</c:v>
                </c:pt>
                <c:pt idx="22">
                  <c:v>1.03531737303446</c:v>
                </c:pt>
                <c:pt idx="23">
                  <c:v>1.0352298493205501</c:v>
                </c:pt>
                <c:pt idx="24">
                  <c:v>1.0351607877103299</c:v>
                </c:pt>
                <c:pt idx="25">
                  <c:v>1.03511672513026</c:v>
                </c:pt>
                <c:pt idx="26">
                  <c:v>1.03496141301914</c:v>
                </c:pt>
                <c:pt idx="27">
                  <c:v>1.0348042336963901</c:v>
                </c:pt>
                <c:pt idx="28">
                  <c:v>1.03483618608905</c:v>
                </c:pt>
                <c:pt idx="29">
                  <c:v>1.0347776970771301</c:v>
                </c:pt>
                <c:pt idx="30">
                  <c:v>1.0345998171694999</c:v>
                </c:pt>
                <c:pt idx="31">
                  <c:v>1.0343795446084001</c:v>
                </c:pt>
                <c:pt idx="32">
                  <c:v>1.0343684912345099</c:v>
                </c:pt>
                <c:pt idx="33">
                  <c:v>1.03433739961063</c:v>
                </c:pt>
                <c:pt idx="34">
                  <c:v>1.0342395927616299</c:v>
                </c:pt>
                <c:pt idx="35">
                  <c:v>1.0341010993589701</c:v>
                </c:pt>
                <c:pt idx="36">
                  <c:v>1.0341383838950799</c:v>
                </c:pt>
                <c:pt idx="37">
                  <c:v>1.0339865249211799</c:v>
                </c:pt>
                <c:pt idx="38">
                  <c:v>1.0339383775134701</c:v>
                </c:pt>
                <c:pt idx="39">
                  <c:v>1.03397066025096</c:v>
                </c:pt>
                <c:pt idx="40">
                  <c:v>1.03415989823576</c:v>
                </c:pt>
                <c:pt idx="41">
                  <c:v>1.0345175219551199</c:v>
                </c:pt>
                <c:pt idx="42">
                  <c:v>1.0348714652170099</c:v>
                </c:pt>
                <c:pt idx="43">
                  <c:v>1.0353638719999401</c:v>
                </c:pt>
                <c:pt idx="44">
                  <c:v>1.0358355896715801</c:v>
                </c:pt>
                <c:pt idx="45">
                  <c:v>1.03631132038651</c:v>
                </c:pt>
                <c:pt idx="46">
                  <c:v>1.0368634619853501</c:v>
                </c:pt>
                <c:pt idx="47">
                  <c:v>1.03757932413189</c:v>
                </c:pt>
                <c:pt idx="48">
                  <c:v>1.03828867372538</c:v>
                </c:pt>
                <c:pt idx="49">
                  <c:v>1.0387140225612701</c:v>
                </c:pt>
                <c:pt idx="50">
                  <c:v>1.0388987255639099</c:v>
                </c:pt>
                <c:pt idx="51">
                  <c:v>1.0391580588096501</c:v>
                </c:pt>
                <c:pt idx="52">
                  <c:v>1.0394426036264699</c:v>
                </c:pt>
                <c:pt idx="53">
                  <c:v>1.03955703780899</c:v>
                </c:pt>
                <c:pt idx="54">
                  <c:v>1.03976360166003</c:v>
                </c:pt>
                <c:pt idx="55">
                  <c:v>1.0400025634841501</c:v>
                </c:pt>
                <c:pt idx="56">
                  <c:v>1.0400788827448</c:v>
                </c:pt>
                <c:pt idx="57">
                  <c:v>1.0402751935994199</c:v>
                </c:pt>
                <c:pt idx="58">
                  <c:v>1.0404302152807701</c:v>
                </c:pt>
                <c:pt idx="59">
                  <c:v>1.04069602894832</c:v>
                </c:pt>
                <c:pt idx="60">
                  <c:v>1.04102802438958</c:v>
                </c:pt>
                <c:pt idx="61">
                  <c:v>1.0408697482804199</c:v>
                </c:pt>
                <c:pt idx="62">
                  <c:v>1.04071730373516</c:v>
                </c:pt>
                <c:pt idx="63">
                  <c:v>1.0406696308682699</c:v>
                </c:pt>
                <c:pt idx="64">
                  <c:v>1.0405945751906001</c:v>
                </c:pt>
                <c:pt idx="65">
                  <c:v>1.04039126520759</c:v>
                </c:pt>
                <c:pt idx="66">
                  <c:v>1.0403247639162001</c:v>
                </c:pt>
                <c:pt idx="67">
                  <c:v>1.04009351129785</c:v>
                </c:pt>
                <c:pt idx="68">
                  <c:v>1.0397477457919</c:v>
                </c:pt>
                <c:pt idx="69">
                  <c:v>1.03931602586139</c:v>
                </c:pt>
                <c:pt idx="70">
                  <c:v>1.0389982805092</c:v>
                </c:pt>
                <c:pt idx="71">
                  <c:v>1.0390542532871001</c:v>
                </c:pt>
                <c:pt idx="72">
                  <c:v>1.0390450941612901</c:v>
                </c:pt>
                <c:pt idx="73">
                  <c:v>1.0389507132950999</c:v>
                </c:pt>
                <c:pt idx="74">
                  <c:v>1.0388726780323501</c:v>
                </c:pt>
                <c:pt idx="75">
                  <c:v>1.0389636531556701</c:v>
                </c:pt>
                <c:pt idx="76">
                  <c:v>1.03890455366871</c:v>
                </c:pt>
                <c:pt idx="77">
                  <c:v>1.0388904369985801</c:v>
                </c:pt>
                <c:pt idx="78">
                  <c:v>1.0389104385408301</c:v>
                </c:pt>
                <c:pt idx="79">
                  <c:v>1.0390111661089201</c:v>
                </c:pt>
                <c:pt idx="80">
                  <c:v>1.03921998727928</c:v>
                </c:pt>
                <c:pt idx="81">
                  <c:v>1.03918161836079</c:v>
                </c:pt>
                <c:pt idx="82">
                  <c:v>1.0393984282928199</c:v>
                </c:pt>
                <c:pt idx="83">
                  <c:v>1.0396842716502399</c:v>
                </c:pt>
                <c:pt idx="84">
                  <c:v>1.03993101260068</c:v>
                </c:pt>
                <c:pt idx="85">
                  <c:v>1.04007799050331</c:v>
                </c:pt>
                <c:pt idx="86">
                  <c:v>1.04026598728832</c:v>
                </c:pt>
                <c:pt idx="87">
                  <c:v>1.04047619868217</c:v>
                </c:pt>
                <c:pt idx="88">
                  <c:v>1.0407736951676501</c:v>
                </c:pt>
                <c:pt idx="89">
                  <c:v>1.04120749998534</c:v>
                </c:pt>
                <c:pt idx="90">
                  <c:v>1.04141290074102</c:v>
                </c:pt>
                <c:pt idx="91">
                  <c:v>1.04160697364949</c:v>
                </c:pt>
                <c:pt idx="92">
                  <c:v>1.04193580891016</c:v>
                </c:pt>
                <c:pt idx="93">
                  <c:v>1.04213675826615</c:v>
                </c:pt>
                <c:pt idx="94">
                  <c:v>1.0423939623521301</c:v>
                </c:pt>
                <c:pt idx="95">
                  <c:v>1.0426021581823901</c:v>
                </c:pt>
                <c:pt idx="96">
                  <c:v>1.04275654863487</c:v>
                </c:pt>
                <c:pt idx="97">
                  <c:v>1.0426803040984101</c:v>
                </c:pt>
                <c:pt idx="98">
                  <c:v>1.0425340772295699</c:v>
                </c:pt>
                <c:pt idx="99">
                  <c:v>1.0423106190868501</c:v>
                </c:pt>
                <c:pt idx="100">
                  <c:v>1.04215467879475</c:v>
                </c:pt>
                <c:pt idx="101">
                  <c:v>1.0421037080802</c:v>
                </c:pt>
                <c:pt idx="102">
                  <c:v>1.0420747077255299</c:v>
                </c:pt>
                <c:pt idx="103">
                  <c:v>1.04198776217198</c:v>
                </c:pt>
                <c:pt idx="104">
                  <c:v>1.04205163186328</c:v>
                </c:pt>
                <c:pt idx="105">
                  <c:v>1.0422245837325901</c:v>
                </c:pt>
                <c:pt idx="106">
                  <c:v>1.0424302298920001</c:v>
                </c:pt>
                <c:pt idx="107">
                  <c:v>1.0427316518632399</c:v>
                </c:pt>
                <c:pt idx="108">
                  <c:v>1.04314789121644</c:v>
                </c:pt>
                <c:pt idx="109">
                  <c:v>1.0435928594336099</c:v>
                </c:pt>
                <c:pt idx="110">
                  <c:v>1.04393172544529</c:v>
                </c:pt>
                <c:pt idx="111">
                  <c:v>1.04418620088863</c:v>
                </c:pt>
                <c:pt idx="112">
                  <c:v>1.04417159448869</c:v>
                </c:pt>
                <c:pt idx="113">
                  <c:v>1.0442841891761501</c:v>
                </c:pt>
                <c:pt idx="114">
                  <c:v>1.04421696595917</c:v>
                </c:pt>
                <c:pt idx="115">
                  <c:v>1.0442748408901299</c:v>
                </c:pt>
                <c:pt idx="116">
                  <c:v>1.04435452786578</c:v>
                </c:pt>
                <c:pt idx="117">
                  <c:v>1.04423255293754</c:v>
                </c:pt>
                <c:pt idx="118">
                  <c:v>1.04404111271051</c:v>
                </c:pt>
                <c:pt idx="119">
                  <c:v>1.04384137714745</c:v>
                </c:pt>
                <c:pt idx="120">
                  <c:v>1.0437288456259199</c:v>
                </c:pt>
                <c:pt idx="121">
                  <c:v>1.0437678023077299</c:v>
                </c:pt>
                <c:pt idx="122">
                  <c:v>1.0438565342114801</c:v>
                </c:pt>
                <c:pt idx="123">
                  <c:v>1.0433648091654899</c:v>
                </c:pt>
                <c:pt idx="124">
                  <c:v>1.0428943942147799</c:v>
                </c:pt>
                <c:pt idx="125">
                  <c:v>1.0423051396048599</c:v>
                </c:pt>
                <c:pt idx="126">
                  <c:v>1.0417872109433</c:v>
                </c:pt>
                <c:pt idx="127">
                  <c:v>1.04162757501348</c:v>
                </c:pt>
                <c:pt idx="128">
                  <c:v>1.0412539506215801</c:v>
                </c:pt>
                <c:pt idx="129">
                  <c:v>1.0408750837162499</c:v>
                </c:pt>
                <c:pt idx="130">
                  <c:v>1.04059676260149</c:v>
                </c:pt>
                <c:pt idx="131">
                  <c:v>1.0403551487806799</c:v>
                </c:pt>
                <c:pt idx="132">
                  <c:v>1.039892776878</c:v>
                </c:pt>
                <c:pt idx="133">
                  <c:v>1.0400014882497599</c:v>
                </c:pt>
                <c:pt idx="134">
                  <c:v>1.0400894196546999</c:v>
                </c:pt>
                <c:pt idx="135">
                  <c:v>1.0403104111684001</c:v>
                </c:pt>
                <c:pt idx="136">
                  <c:v>1.0403890163004299</c:v>
                </c:pt>
                <c:pt idx="137">
                  <c:v>1.04032885290794</c:v>
                </c:pt>
                <c:pt idx="138">
                  <c:v>1.0406267707653001</c:v>
                </c:pt>
                <c:pt idx="139">
                  <c:v>1.0407337229161799</c:v>
                </c:pt>
                <c:pt idx="140">
                  <c:v>1.04068946369107</c:v>
                </c:pt>
                <c:pt idx="141">
                  <c:v>1.04066608430688</c:v>
                </c:pt>
                <c:pt idx="142">
                  <c:v>1.04074732318607</c:v>
                </c:pt>
                <c:pt idx="143">
                  <c:v>1.0407958180679799</c:v>
                </c:pt>
                <c:pt idx="144">
                  <c:v>1.0409348370065701</c:v>
                </c:pt>
                <c:pt idx="145">
                  <c:v>1.0411003300973001</c:v>
                </c:pt>
                <c:pt idx="146">
                  <c:v>1.0413177415735899</c:v>
                </c:pt>
                <c:pt idx="147">
                  <c:v>1.04153080461584</c:v>
                </c:pt>
                <c:pt idx="148">
                  <c:v>1.0416402568692</c:v>
                </c:pt>
                <c:pt idx="149">
                  <c:v>1.0418986108903401</c:v>
                </c:pt>
                <c:pt idx="150">
                  <c:v>1.04232795082042</c:v>
                </c:pt>
                <c:pt idx="151">
                  <c:v>1.04265599821703</c:v>
                </c:pt>
                <c:pt idx="152">
                  <c:v>1.0429269937082899</c:v>
                </c:pt>
                <c:pt idx="153">
                  <c:v>1.04319578560036</c:v>
                </c:pt>
                <c:pt idx="154">
                  <c:v>1.0435563732583499</c:v>
                </c:pt>
                <c:pt idx="155">
                  <c:v>1.0437204476300801</c:v>
                </c:pt>
                <c:pt idx="156">
                  <c:v>1.0440279040966001</c:v>
                </c:pt>
                <c:pt idx="157">
                  <c:v>1.04413417012587</c:v>
                </c:pt>
                <c:pt idx="158">
                  <c:v>1.0443028454107199</c:v>
                </c:pt>
                <c:pt idx="159">
                  <c:v>1.0444141015613799</c:v>
                </c:pt>
                <c:pt idx="160">
                  <c:v>1.04446623382768</c:v>
                </c:pt>
                <c:pt idx="161">
                  <c:v>1.04441627870218</c:v>
                </c:pt>
                <c:pt idx="162">
                  <c:v>1.0443780790841399</c:v>
                </c:pt>
                <c:pt idx="163">
                  <c:v>1.04439719248991</c:v>
                </c:pt>
                <c:pt idx="164">
                  <c:v>1.04438754235995</c:v>
                </c:pt>
                <c:pt idx="165">
                  <c:v>1.0444810651663401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A44-4817-989C-0A1EF48240B3}"/>
            </c:ext>
          </c:extLst>
        </c:ser>
        <c:ser>
          <c:idx val="2"/>
          <c:order val="2"/>
          <c:tx>
            <c:strRef>
              <c:f>XLU_IDU_1!$Q$1</c:f>
              <c:strCache>
                <c:ptCount val="1"/>
                <c:pt idx="0">
                  <c:v> IAGG/BNDX 20 dma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XLU_IDU_1!$Q$2:$Q$167</c:f>
              <c:numCache>
                <c:formatCode>_(* #,##0.0000_);_(* \(#,##0.0000\);_(* "-"??_);_(@_)</c:formatCode>
                <c:ptCount val="166"/>
                <c:pt idx="19">
                  <c:v>1.03514042541114</c:v>
                </c:pt>
                <c:pt idx="20">
                  <c:v>1.03514628739078</c:v>
                </c:pt>
                <c:pt idx="21">
                  <c:v>1.0351865059866101</c:v>
                </c:pt>
                <c:pt idx="22">
                  <c:v>1.0351231599534101</c:v>
                </c:pt>
                <c:pt idx="23">
                  <c:v>1.03511250045794</c:v>
                </c:pt>
                <c:pt idx="24">
                  <c:v>1.03511178742473</c:v>
                </c:pt>
                <c:pt idx="25">
                  <c:v>1.0350798161870101</c:v>
                </c:pt>
                <c:pt idx="26">
                  <c:v>1.0350043238056801</c:v>
                </c:pt>
                <c:pt idx="27">
                  <c:v>1.0349989607979699</c:v>
                </c:pt>
                <c:pt idx="28">
                  <c:v>1.03500255877248</c:v>
                </c:pt>
                <c:pt idx="29">
                  <c:v>1.03504607859446</c:v>
                </c:pt>
                <c:pt idx="30">
                  <c:v>1.03502303770225</c:v>
                </c:pt>
                <c:pt idx="31">
                  <c:v>1.0349328198024399</c:v>
                </c:pt>
                <c:pt idx="32">
                  <c:v>1.0348429321344901</c:v>
                </c:pt>
                <c:pt idx="33">
                  <c:v>1.0347836244655899</c:v>
                </c:pt>
                <c:pt idx="34">
                  <c:v>1.03470019023598</c:v>
                </c:pt>
                <c:pt idx="35">
                  <c:v>1.03460891224462</c:v>
                </c:pt>
                <c:pt idx="36">
                  <c:v>1.03454989845711</c:v>
                </c:pt>
                <c:pt idx="37">
                  <c:v>1.0343953793087799</c:v>
                </c:pt>
                <c:pt idx="38">
                  <c:v>1.0343872818012601</c:v>
                </c:pt>
                <c:pt idx="39">
                  <c:v>1.0343741786640499</c:v>
                </c:pt>
                <c:pt idx="40">
                  <c:v>1.03437985770263</c:v>
                </c:pt>
                <c:pt idx="41">
                  <c:v>1.0344485332817599</c:v>
                </c:pt>
                <c:pt idx="42">
                  <c:v>1.0346199782257599</c:v>
                </c:pt>
                <c:pt idx="43">
                  <c:v>1.03485063580528</c:v>
                </c:pt>
                <c:pt idx="44">
                  <c:v>1.0350375912166001</c:v>
                </c:pt>
                <c:pt idx="45">
                  <c:v>1.0352062098727399</c:v>
                </c:pt>
                <c:pt idx="46">
                  <c:v>1.0355009229402099</c:v>
                </c:pt>
                <c:pt idx="47">
                  <c:v>1.03578292452653</c:v>
                </c:pt>
                <c:pt idx="48">
                  <c:v>1.03611352561943</c:v>
                </c:pt>
                <c:pt idx="49">
                  <c:v>1.0363423414061199</c:v>
                </c:pt>
                <c:pt idx="50">
                  <c:v>1.03652931189984</c:v>
                </c:pt>
                <c:pt idx="51">
                  <c:v>1.03683779038239</c:v>
                </c:pt>
                <c:pt idx="52">
                  <c:v>1.03715703442174</c:v>
                </c:pt>
                <c:pt idx="53">
                  <c:v>1.0374604549044599</c:v>
                </c:pt>
                <c:pt idx="54">
                  <c:v>1.0377995956657999</c:v>
                </c:pt>
                <c:pt idx="55">
                  <c:v>1.03815694193533</c:v>
                </c:pt>
                <c:pt idx="56">
                  <c:v>1.0384711723650699</c:v>
                </c:pt>
                <c:pt idx="57">
                  <c:v>1.03892725886565</c:v>
                </c:pt>
                <c:pt idx="58">
                  <c:v>1.03935944450308</c:v>
                </c:pt>
                <c:pt idx="59">
                  <c:v>1.0397050257547999</c:v>
                </c:pt>
                <c:pt idx="60">
                  <c:v>1.0399633749767501</c:v>
                </c:pt>
                <c:pt idx="61">
                  <c:v>1.04001390354503</c:v>
                </c:pt>
                <c:pt idx="62">
                  <c:v>1.0400799536808201</c:v>
                </c:pt>
                <c:pt idx="63">
                  <c:v>1.04011333433863</c:v>
                </c:pt>
                <c:pt idx="64">
                  <c:v>1.0401790884253099</c:v>
                </c:pt>
                <c:pt idx="65">
                  <c:v>1.04019691434587</c:v>
                </c:pt>
                <c:pt idx="66">
                  <c:v>1.0402018233304999</c:v>
                </c:pt>
                <c:pt idx="67">
                  <c:v>1.0401843524486301</c:v>
                </c:pt>
                <c:pt idx="68">
                  <c:v>1.04008898053634</c:v>
                </c:pt>
                <c:pt idx="69">
                  <c:v>1.0400060274048599</c:v>
                </c:pt>
                <c:pt idx="70">
                  <c:v>1.0400131524493901</c:v>
                </c:pt>
                <c:pt idx="71">
                  <c:v>1.03996200078376</c:v>
                </c:pt>
                <c:pt idx="72">
                  <c:v>1.0398811989482299</c:v>
                </c:pt>
                <c:pt idx="73">
                  <c:v>1.0398101720816899</c:v>
                </c:pt>
                <c:pt idx="74">
                  <c:v>1.0397336266114701</c:v>
                </c:pt>
                <c:pt idx="75">
                  <c:v>1.03967745918163</c:v>
                </c:pt>
                <c:pt idx="76">
                  <c:v>1.03961465879245</c:v>
                </c:pt>
                <c:pt idx="77">
                  <c:v>1.03949197414822</c:v>
                </c:pt>
                <c:pt idx="78">
                  <c:v>1.03932909216637</c:v>
                </c:pt>
                <c:pt idx="79">
                  <c:v>1.0391635959851599</c:v>
                </c:pt>
                <c:pt idx="80">
                  <c:v>1.03910913389424</c:v>
                </c:pt>
                <c:pt idx="81">
                  <c:v>1.03911793582395</c:v>
                </c:pt>
                <c:pt idx="82">
                  <c:v>1.03922176122706</c:v>
                </c:pt>
                <c:pt idx="83">
                  <c:v>1.03931749247267</c:v>
                </c:pt>
                <c:pt idx="84">
                  <c:v>1.0394018453165099</c:v>
                </c:pt>
                <c:pt idx="85">
                  <c:v>1.03952082182949</c:v>
                </c:pt>
                <c:pt idx="86">
                  <c:v>1.03958527047851</c:v>
                </c:pt>
                <c:pt idx="87">
                  <c:v>1.0396833178403799</c:v>
                </c:pt>
                <c:pt idx="88">
                  <c:v>1.0398420668542401</c:v>
                </c:pt>
                <c:pt idx="89">
                  <c:v>1.04010933304713</c:v>
                </c:pt>
                <c:pt idx="90">
                  <c:v>1.04031644401015</c:v>
                </c:pt>
                <c:pt idx="91">
                  <c:v>1.04039429600514</c:v>
                </c:pt>
                <c:pt idx="92">
                  <c:v>1.04066711860149</c:v>
                </c:pt>
                <c:pt idx="93">
                  <c:v>1.0409105149582001</c:v>
                </c:pt>
                <c:pt idx="94">
                  <c:v>1.0411624874764001</c:v>
                </c:pt>
                <c:pt idx="95">
                  <c:v>1.04134007434285</c:v>
                </c:pt>
                <c:pt idx="96">
                  <c:v>1.0415112679616001</c:v>
                </c:pt>
                <c:pt idx="97">
                  <c:v>1.04157825139029</c:v>
                </c:pt>
                <c:pt idx="98">
                  <c:v>1.04165388619861</c:v>
                </c:pt>
                <c:pt idx="99">
                  <c:v>1.0417590595360999</c:v>
                </c:pt>
                <c:pt idx="100">
                  <c:v>1.0417837897678901</c:v>
                </c:pt>
                <c:pt idx="101">
                  <c:v>1.0418553408648501</c:v>
                </c:pt>
                <c:pt idx="102">
                  <c:v>1.0420052583178501</c:v>
                </c:pt>
                <c:pt idx="103">
                  <c:v>1.0420622602190699</c:v>
                </c:pt>
                <c:pt idx="104">
                  <c:v>1.0422227971077</c:v>
                </c:pt>
                <c:pt idx="105">
                  <c:v>1.0424133709574901</c:v>
                </c:pt>
                <c:pt idx="106">
                  <c:v>1.04259338926344</c:v>
                </c:pt>
                <c:pt idx="107">
                  <c:v>1.0427059779808201</c:v>
                </c:pt>
                <c:pt idx="108">
                  <c:v>1.04284098422301</c:v>
                </c:pt>
                <c:pt idx="109">
                  <c:v>1.0429517392602301</c:v>
                </c:pt>
                <c:pt idx="110">
                  <c:v>1.04304320212002</c:v>
                </c:pt>
                <c:pt idx="111">
                  <c:v>1.04314495448442</c:v>
                </c:pt>
                <c:pt idx="112">
                  <c:v>1.04312315110711</c:v>
                </c:pt>
                <c:pt idx="113">
                  <c:v>1.0431359756740599</c:v>
                </c:pt>
                <c:pt idx="114">
                  <c:v>1.04313429891123</c:v>
                </c:pt>
                <c:pt idx="115">
                  <c:v>1.04324971231136</c:v>
                </c:pt>
                <c:pt idx="116">
                  <c:v>1.0433923788788899</c:v>
                </c:pt>
                <c:pt idx="117">
                  <c:v>1.04348210240039</c:v>
                </c:pt>
                <c:pt idx="118">
                  <c:v>1.04359450196348</c:v>
                </c:pt>
                <c:pt idx="119">
                  <c:v>1.04371711829053</c:v>
                </c:pt>
                <c:pt idx="120">
                  <c:v>1.0438302855356001</c:v>
                </c:pt>
                <c:pt idx="121">
                  <c:v>1.04397700159818</c:v>
                </c:pt>
                <c:pt idx="122">
                  <c:v>1.0440140643500899</c:v>
                </c:pt>
                <c:pt idx="123">
                  <c:v>1.0438244991708201</c:v>
                </c:pt>
                <c:pt idx="124">
                  <c:v>1.0435556800869801</c:v>
                </c:pt>
                <c:pt idx="125">
                  <c:v>1.0432899902474899</c:v>
                </c:pt>
                <c:pt idx="126">
                  <c:v>1.0430708694045401</c:v>
                </c:pt>
                <c:pt idx="127">
                  <c:v>1.0429300639755099</c:v>
                </c:pt>
                <c:pt idx="128">
                  <c:v>1.04264753166605</c:v>
                </c:pt>
                <c:pt idx="129">
                  <c:v>1.0423582304318499</c:v>
                </c:pt>
                <c:pt idx="130">
                  <c:v>1.0421628041137001</c:v>
                </c:pt>
                <c:pt idx="131">
                  <c:v>1.0420614755441999</c:v>
                </c:pt>
                <c:pt idx="132">
                  <c:v>1.04187465554474</c:v>
                </c:pt>
                <c:pt idx="133">
                  <c:v>1.0416831487076199</c:v>
                </c:pt>
                <c:pt idx="134">
                  <c:v>1.0414919069347399</c:v>
                </c:pt>
                <c:pt idx="135">
                  <c:v>1.04130777538663</c:v>
                </c:pt>
                <c:pt idx="136">
                  <c:v>1.0410881136218699</c:v>
                </c:pt>
                <c:pt idx="137">
                  <c:v>1.04097821396071</c:v>
                </c:pt>
                <c:pt idx="138">
                  <c:v>1.04094036069344</c:v>
                </c:pt>
                <c:pt idx="139">
                  <c:v>1.04080440331621</c:v>
                </c:pt>
                <c:pt idx="140">
                  <c:v>1.0406431131462801</c:v>
                </c:pt>
                <c:pt idx="141">
                  <c:v>1.0405106165437801</c:v>
                </c:pt>
                <c:pt idx="142">
                  <c:v>1.04032005003203</c:v>
                </c:pt>
                <c:pt idx="143">
                  <c:v>1.04039865315887</c:v>
                </c:pt>
                <c:pt idx="144">
                  <c:v>1.04051212833063</c:v>
                </c:pt>
                <c:pt idx="145">
                  <c:v>1.04070537063285</c:v>
                </c:pt>
                <c:pt idx="146">
                  <c:v>1.04085337893701</c:v>
                </c:pt>
                <c:pt idx="147">
                  <c:v>1.04092982876189</c:v>
                </c:pt>
                <c:pt idx="148">
                  <c:v>1.0411335138172499</c:v>
                </c:pt>
                <c:pt idx="149">
                  <c:v>1.04131616690326</c:v>
                </c:pt>
                <c:pt idx="150">
                  <c:v>1.0415087072557501</c:v>
                </c:pt>
                <c:pt idx="151">
                  <c:v>1.04166104126195</c:v>
                </c:pt>
                <c:pt idx="152">
                  <c:v>1.0418371584471799</c:v>
                </c:pt>
                <c:pt idx="153">
                  <c:v>1.04199580183417</c:v>
                </c:pt>
                <c:pt idx="154">
                  <c:v>1.04224560513246</c:v>
                </c:pt>
                <c:pt idx="155">
                  <c:v>1.04241038886369</c:v>
                </c:pt>
                <c:pt idx="156">
                  <c:v>1.0426728228350901</c:v>
                </c:pt>
                <c:pt idx="157">
                  <c:v>1.0428324873708501</c:v>
                </c:pt>
                <c:pt idx="158">
                  <c:v>1.04297155113996</c:v>
                </c:pt>
                <c:pt idx="159">
                  <c:v>1.0431563562258599</c:v>
                </c:pt>
                <c:pt idx="160">
                  <c:v>1.0433970923240501</c:v>
                </c:pt>
                <c:pt idx="161">
                  <c:v>1.0435361384596</c:v>
                </c:pt>
                <c:pt idx="162">
                  <c:v>1.0436525363962199</c:v>
                </c:pt>
                <c:pt idx="163">
                  <c:v>1.0437964890451299</c:v>
                </c:pt>
                <c:pt idx="164">
                  <c:v>1.04397195780915</c:v>
                </c:pt>
                <c:pt idx="165">
                  <c:v>1.0441007563982101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A44-4817-989C-0A1EF48240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86993888"/>
        <c:axId val="254732912"/>
      </c:lineChart>
      <c:catAx>
        <c:axId val="1686993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4732912"/>
        <c:crosses val="autoZero"/>
        <c:auto val="1"/>
        <c:lblAlgn val="ctr"/>
        <c:lblOffset val="100"/>
        <c:noMultiLvlLbl val="0"/>
      </c:catAx>
      <c:valAx>
        <c:axId val="254732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00_);_(* \(#,##0.00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699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XLU_IDU_1!$AE$1</c:f>
              <c:strCache>
                <c:ptCount val="1"/>
                <c:pt idx="0">
                  <c:v>log diff BNDX* x avg / IAGG*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XLU_IDU_1!$AE$2:$AE$167</c:f>
              <c:numCache>
                <c:formatCode>0.00%</c:formatCode>
                <c:ptCount val="166"/>
                <c:pt idx="1">
                  <c:v>4.3804366592496702E-3</c:v>
                </c:pt>
                <c:pt idx="2">
                  <c:v>4.2233412071201598E-3</c:v>
                </c:pt>
                <c:pt idx="3">
                  <c:v>4.8841285345799703E-3</c:v>
                </c:pt>
                <c:pt idx="4">
                  <c:v>5.0832722174046696E-3</c:v>
                </c:pt>
                <c:pt idx="5">
                  <c:v>4.4929722061640498E-3</c:v>
                </c:pt>
                <c:pt idx="6">
                  <c:v>4.7198586988737804E-3</c:v>
                </c:pt>
                <c:pt idx="7">
                  <c:v>4.8910613833959603E-3</c:v>
                </c:pt>
                <c:pt idx="8">
                  <c:v>5.5361121997741999E-3</c:v>
                </c:pt>
                <c:pt idx="9">
                  <c:v>5.52252032552061E-3</c:v>
                </c:pt>
                <c:pt idx="10">
                  <c:v>4.8910613833959603E-3</c:v>
                </c:pt>
                <c:pt idx="11">
                  <c:v>3.9883696242536603E-3</c:v>
                </c:pt>
                <c:pt idx="12">
                  <c:v>3.81753676587004E-3</c:v>
                </c:pt>
                <c:pt idx="13">
                  <c:v>4.2445650373364703E-3</c:v>
                </c:pt>
                <c:pt idx="14">
                  <c:v>4.4297608590040402E-3</c:v>
                </c:pt>
                <c:pt idx="15">
                  <c:v>4.6850245020656099E-3</c:v>
                </c:pt>
                <c:pt idx="16">
                  <c:v>4.6780491933045096E-3</c:v>
                </c:pt>
                <c:pt idx="17">
                  <c:v>3.47680339953511E-3</c:v>
                </c:pt>
                <c:pt idx="18">
                  <c:v>5.7755303000719396E-3</c:v>
                </c:pt>
                <c:pt idx="19">
                  <c:v>4.11629809885384E-3</c:v>
                </c:pt>
                <c:pt idx="20">
                  <c:v>3.6182343237555702E-3</c:v>
                </c:pt>
                <c:pt idx="21">
                  <c:v>3.6038264738316702E-3</c:v>
                </c:pt>
                <c:pt idx="22">
                  <c:v>5.4475678778056697E-3</c:v>
                </c:pt>
                <c:pt idx="23">
                  <c:v>5.09016541591028E-3</c:v>
                </c:pt>
                <c:pt idx="24">
                  <c:v>5.0970558222744001E-3</c:v>
                </c:pt>
                <c:pt idx="25">
                  <c:v>5.1108282653621597E-3</c:v>
                </c:pt>
                <c:pt idx="26">
                  <c:v>6.1797224629930297E-3</c:v>
                </c:pt>
                <c:pt idx="27">
                  <c:v>4.9947181170394003E-3</c:v>
                </c:pt>
                <c:pt idx="28">
                  <c:v>5.4665313538243502E-3</c:v>
                </c:pt>
                <c:pt idx="29">
                  <c:v>4.68123126365974E-3</c:v>
                </c:pt>
                <c:pt idx="30">
                  <c:v>5.3364740859013597E-3</c:v>
                </c:pt>
                <c:pt idx="31">
                  <c:v>5.7319654891182497E-3</c:v>
                </c:pt>
                <c:pt idx="32">
                  <c:v>5.5544478545062103E-3</c:v>
                </c:pt>
                <c:pt idx="33">
                  <c:v>5.3907257973863903E-3</c:v>
                </c:pt>
                <c:pt idx="34">
                  <c:v>6.0428588197356404E-3</c:v>
                </c:pt>
                <c:pt idx="35">
                  <c:v>6.4503567878847904E-3</c:v>
                </c:pt>
                <c:pt idx="36">
                  <c:v>5.8190220257777602E-3</c:v>
                </c:pt>
                <c:pt idx="37">
                  <c:v>6.4634447269113797E-3</c:v>
                </c:pt>
                <c:pt idx="38">
                  <c:v>5.9321823511829996E-3</c:v>
                </c:pt>
                <c:pt idx="39">
                  <c:v>4.3693795743971501E-3</c:v>
                </c:pt>
                <c:pt idx="40">
                  <c:v>3.50862062704283E-3</c:v>
                </c:pt>
                <c:pt idx="41">
                  <c:v>2.2791122754353401E-3</c:v>
                </c:pt>
                <c:pt idx="42">
                  <c:v>2.1376743263810602E-3</c:v>
                </c:pt>
                <c:pt idx="43">
                  <c:v>6.4124782461546799E-4</c:v>
                </c:pt>
                <c:pt idx="44">
                  <c:v>1.4895213464600199E-3</c:v>
                </c:pt>
                <c:pt idx="45">
                  <c:v>1.8565042009514E-3</c:v>
                </c:pt>
                <c:pt idx="46">
                  <c:v>4.9263222394428305E-4</c:v>
                </c:pt>
                <c:pt idx="47">
                  <c:v>-4.4131637562695101E-4</c:v>
                </c:pt>
                <c:pt idx="48">
                  <c:v>-9.0635550259209096E-4</c:v>
                </c:pt>
                <c:pt idx="49">
                  <c:v>2.6956032450671898E-4</c:v>
                </c:pt>
                <c:pt idx="50">
                  <c:v>1.72778677527349E-3</c:v>
                </c:pt>
                <c:pt idx="51">
                  <c:v>-2.1731104045414099E-4</c:v>
                </c:pt>
                <c:pt idx="52">
                  <c:v>-6.00724629930969E-4</c:v>
                </c:pt>
                <c:pt idx="53">
                  <c:v>-4.59296890352632E-4</c:v>
                </c:pt>
                <c:pt idx="54">
                  <c:v>-4.9786370481975201E-4</c:v>
                </c:pt>
                <c:pt idx="55">
                  <c:v>-4.4307189182442801E-4</c:v>
                </c:pt>
                <c:pt idx="56">
                  <c:v>-2.4137635696616199E-4</c:v>
                </c:pt>
                <c:pt idx="57">
                  <c:v>-2.3265086733459499E-3</c:v>
                </c:pt>
                <c:pt idx="58">
                  <c:v>-2.39464710773343E-3</c:v>
                </c:pt>
                <c:pt idx="59">
                  <c:v>-2.2840356482312601E-3</c:v>
                </c:pt>
                <c:pt idx="60">
                  <c:v>-1.4652313355149799E-3</c:v>
                </c:pt>
                <c:pt idx="61">
                  <c:v>1.30556329433113E-3</c:v>
                </c:pt>
                <c:pt idx="62">
                  <c:v>8.6543671289429896E-4</c:v>
                </c:pt>
                <c:pt idx="63">
                  <c:v>-9.6111742488957697E-7</c:v>
                </c:pt>
                <c:pt idx="64">
                  <c:v>2.23802656732604E-4</c:v>
                </c:pt>
                <c:pt idx="65">
                  <c:v>1.5130838008126E-3</c:v>
                </c:pt>
                <c:pt idx="66">
                  <c:v>3.98176661798307E-4</c:v>
                </c:pt>
                <c:pt idx="67">
                  <c:v>-1.0539430638737E-4</c:v>
                </c:pt>
                <c:pt idx="68">
                  <c:v>9.27932577158748E-4</c:v>
                </c:pt>
                <c:pt idx="69">
                  <c:v>1.8666858386894201E-3</c:v>
                </c:pt>
                <c:pt idx="70">
                  <c:v>1.5905246959950999E-3</c:v>
                </c:pt>
                <c:pt idx="71">
                  <c:v>7.66748780351627E-4</c:v>
                </c:pt>
                <c:pt idx="72">
                  <c:v>9.5359465727237096E-4</c:v>
                </c:pt>
                <c:pt idx="73">
                  <c:v>9.0705411135103995E-4</c:v>
                </c:pt>
                <c:pt idx="74">
                  <c:v>9.7467060249585504E-4</c:v>
                </c:pt>
                <c:pt idx="75">
                  <c:v>6.3728969176585096E-4</c:v>
                </c:pt>
                <c:pt idx="76">
                  <c:v>9.6688887908831099E-4</c:v>
                </c:pt>
                <c:pt idx="77">
                  <c:v>3.0352119497939599E-5</c:v>
                </c:pt>
                <c:pt idx="78">
                  <c:v>7.3542975067745705E-4</c:v>
                </c:pt>
                <c:pt idx="79">
                  <c:v>8.9671019675385398E-4</c:v>
                </c:pt>
                <c:pt idx="80">
                  <c:v>-4.18759326970045E-4</c:v>
                </c:pt>
                <c:pt idx="81">
                  <c:v>1.1360707816775401E-3</c:v>
                </c:pt>
                <c:pt idx="82">
                  <c:v>-1.1311504907605501E-3</c:v>
                </c:pt>
                <c:pt idx="83">
                  <c:v>-1.8404459899274001E-3</c:v>
                </c:pt>
                <c:pt idx="84">
                  <c:v>-1.39758635661914E-3</c:v>
                </c:pt>
                <c:pt idx="85">
                  <c:v>-7.7601018040800802E-4</c:v>
                </c:pt>
                <c:pt idx="86">
                  <c:v>-8.4107652486428697E-4</c:v>
                </c:pt>
                <c:pt idx="87">
                  <c:v>-1.9891451228453401E-3</c:v>
                </c:pt>
                <c:pt idx="88">
                  <c:v>-2.1234291697037099E-3</c:v>
                </c:pt>
                <c:pt idx="89">
                  <c:v>-3.2699793269297E-3</c:v>
                </c:pt>
                <c:pt idx="90">
                  <c:v>-2.39120124875448E-3</c:v>
                </c:pt>
                <c:pt idx="91">
                  <c:v>-7.3058970030569703E-4</c:v>
                </c:pt>
                <c:pt idx="92">
                  <c:v>-4.2848083341392E-3</c:v>
                </c:pt>
                <c:pt idx="93">
                  <c:v>-3.76744391290172E-3</c:v>
                </c:pt>
                <c:pt idx="94">
                  <c:v>-3.8644636453101502E-3</c:v>
                </c:pt>
                <c:pt idx="95">
                  <c:v>-2.77455270202576E-3</c:v>
                </c:pt>
                <c:pt idx="96">
                  <c:v>-2.3234091723698599E-3</c:v>
                </c:pt>
                <c:pt idx="97">
                  <c:v>-1.2571364434935701E-3</c:v>
                </c:pt>
                <c:pt idx="98">
                  <c:v>-7.1925073906781503E-4</c:v>
                </c:pt>
                <c:pt idx="99">
                  <c:v>-1.12583509776468E-3</c:v>
                </c:pt>
                <c:pt idx="100">
                  <c:v>-8.9407871817363501E-4</c:v>
                </c:pt>
                <c:pt idx="101">
                  <c:v>-2.40673000597387E-4</c:v>
                </c:pt>
                <c:pt idx="102">
                  <c:v>-4.0070832036969498E-3</c:v>
                </c:pt>
                <c:pt idx="103">
                  <c:v>-2.93413780103532E-3</c:v>
                </c:pt>
                <c:pt idx="104">
                  <c:v>-4.47610397253464E-3</c:v>
                </c:pt>
                <c:pt idx="105">
                  <c:v>-4.43174465559284E-3</c:v>
                </c:pt>
                <c:pt idx="106">
                  <c:v>-4.29445134040454E-3</c:v>
                </c:pt>
                <c:pt idx="107">
                  <c:v>-4.1479061655122097E-3</c:v>
                </c:pt>
                <c:pt idx="108">
                  <c:v>-4.7111180130991097E-3</c:v>
                </c:pt>
                <c:pt idx="109">
                  <c:v>-5.3909035280796103E-3</c:v>
                </c:pt>
                <c:pt idx="110">
                  <c:v>-4.14454846960788E-3</c:v>
                </c:pt>
                <c:pt idx="111">
                  <c:v>-2.6842333484054901E-3</c:v>
                </c:pt>
                <c:pt idx="112">
                  <c:v>-3.8671741732112302E-3</c:v>
                </c:pt>
                <c:pt idx="113">
                  <c:v>-4.0131385090251496E-3</c:v>
                </c:pt>
                <c:pt idx="114">
                  <c:v>-3.8323386754245299E-3</c:v>
                </c:pt>
                <c:pt idx="115">
                  <c:v>-4.9856785576199497E-3</c:v>
                </c:pt>
                <c:pt idx="116">
                  <c:v>-5.0571782803224699E-3</c:v>
                </c:pt>
                <c:pt idx="117">
                  <c:v>-2.9791191841365698E-3</c:v>
                </c:pt>
                <c:pt idx="118">
                  <c:v>-2.8771244514874698E-3</c:v>
                </c:pt>
                <c:pt idx="119">
                  <c:v>-3.4786663292649899E-3</c:v>
                </c:pt>
                <c:pt idx="120">
                  <c:v>-3.0662951894008198E-3</c:v>
                </c:pt>
                <c:pt idx="121">
                  <c:v>-3.0577823032432701E-3</c:v>
                </c:pt>
                <c:pt idx="122">
                  <c:v>-4.7168010313881799E-3</c:v>
                </c:pt>
                <c:pt idx="123">
                  <c:v>7.0767219463046497E-4</c:v>
                </c:pt>
                <c:pt idx="124">
                  <c:v>6.8423999041192099E-4</c:v>
                </c:pt>
                <c:pt idx="125">
                  <c:v>6.6860262828557897E-4</c:v>
                </c:pt>
                <c:pt idx="126">
                  <c:v>-8.9375211625873703E-5</c:v>
                </c:pt>
                <c:pt idx="127">
                  <c:v>-1.4473905460926E-3</c:v>
                </c:pt>
                <c:pt idx="128">
                  <c:v>7.1190688252835595E-4</c:v>
                </c:pt>
                <c:pt idx="129">
                  <c:v>1.5862364836706001E-4</c:v>
                </c:pt>
                <c:pt idx="130">
                  <c:v>-3.9447663262234502E-4</c:v>
                </c:pt>
                <c:pt idx="131">
                  <c:v>-7.3873447531030403E-4</c:v>
                </c:pt>
                <c:pt idx="132">
                  <c:v>-2.8155073374995499E-4</c:v>
                </c:pt>
                <c:pt idx="133">
                  <c:v>-3.3793286673841801E-4</c:v>
                </c:pt>
                <c:pt idx="134">
                  <c:v>-1.6156438941351901E-4</c:v>
                </c:pt>
                <c:pt idx="135">
                  <c:v>-1.4557031535346399E-3</c:v>
                </c:pt>
                <c:pt idx="136">
                  <c:v>-8.4492040034649498E-4</c:v>
                </c:pt>
                <c:pt idx="137">
                  <c:v>-8.6950526029750395E-4</c:v>
                </c:pt>
                <c:pt idx="138">
                  <c:v>-2.15092826760074E-3</c:v>
                </c:pt>
                <c:pt idx="139">
                  <c:v>-8.6950526029750395E-4</c:v>
                </c:pt>
                <c:pt idx="140">
                  <c:v>3.1060360774630403E-5</c:v>
                </c:pt>
                <c:pt idx="141">
                  <c:v>-5.1404979546968604E-4</c:v>
                </c:pt>
                <c:pt idx="142">
                  <c:v>-1.0622513855568999E-3</c:v>
                </c:pt>
                <c:pt idx="143">
                  <c:v>-8.0401275664673897E-4</c:v>
                </c:pt>
                <c:pt idx="144">
                  <c:v>-1.4973173558372999E-3</c:v>
                </c:pt>
                <c:pt idx="145">
                  <c:v>-3.0435742682025902E-3</c:v>
                </c:pt>
                <c:pt idx="146">
                  <c:v>-2.9316911392471799E-3</c:v>
                </c:pt>
                <c:pt idx="147">
                  <c:v>-2.9145310441813701E-3</c:v>
                </c:pt>
                <c:pt idx="148">
                  <c:v>-3.200652055965E-3</c:v>
                </c:pt>
                <c:pt idx="149">
                  <c:v>-3.3487053237724299E-3</c:v>
                </c:pt>
                <c:pt idx="150">
                  <c:v>-4.0892713205122099E-3</c:v>
                </c:pt>
                <c:pt idx="151">
                  <c:v>-3.66210260444522E-3</c:v>
                </c:pt>
                <c:pt idx="152">
                  <c:v>-3.66210260444522E-3</c:v>
                </c:pt>
                <c:pt idx="153">
                  <c:v>-3.3834156835543601E-3</c:v>
                </c:pt>
                <c:pt idx="154">
                  <c:v>-4.9537034814217196E-3</c:v>
                </c:pt>
                <c:pt idx="155">
                  <c:v>-4.6153479923408802E-3</c:v>
                </c:pt>
                <c:pt idx="156">
                  <c:v>-5.8753229595328296E-3</c:v>
                </c:pt>
                <c:pt idx="157">
                  <c:v>-3.9329347216197604E-3</c:v>
                </c:pt>
                <c:pt idx="158">
                  <c:v>-4.8162117069862499E-3</c:v>
                </c:pt>
                <c:pt idx="159">
                  <c:v>-4.41444392335783E-3</c:v>
                </c:pt>
                <c:pt idx="160">
                  <c:v>-4.5884254812037601E-3</c:v>
                </c:pt>
                <c:pt idx="161">
                  <c:v>-3.1833556648815098E-3</c:v>
                </c:pt>
                <c:pt idx="162">
                  <c:v>-3.2960356632899001E-3</c:v>
                </c:pt>
                <c:pt idx="163">
                  <c:v>-3.5665801982564002E-3</c:v>
                </c:pt>
                <c:pt idx="164">
                  <c:v>-4.8613582909903703E-3</c:v>
                </c:pt>
                <c:pt idx="165">
                  <c:v>-5.5101588042172104E-3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D83-4FF6-AA27-5FD3EA499F57}"/>
            </c:ext>
          </c:extLst>
        </c:ser>
        <c:ser>
          <c:idx val="1"/>
          <c:order val="1"/>
          <c:tx>
            <c:strRef>
              <c:f>XLU_IDU_1!$AF$1</c:f>
              <c:strCache>
                <c:ptCount val="1"/>
                <c:pt idx="0">
                  <c:v>log diff BNDX* x 10 dma / IAGG*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XLU_IDU_1!$AF$2:$AF$167</c:f>
              <c:numCache>
                <c:formatCode>0.00%</c:formatCode>
                <c:ptCount val="166"/>
                <c:pt idx="10">
                  <c:v>1.4469598310673E-4</c:v>
                </c:pt>
                <c:pt idx="11">
                  <c:v>-8.7401995894311499E-4</c:v>
                </c:pt>
                <c:pt idx="12">
                  <c:v>-1.0056202925549499E-3</c:v>
                </c:pt>
                <c:pt idx="13">
                  <c:v>-5.3797981363850299E-4</c:v>
                </c:pt>
                <c:pt idx="14">
                  <c:v>-2.8881573049472801E-4</c:v>
                </c:pt>
                <c:pt idx="15">
                  <c:v>3.17944350675648E-5</c:v>
                </c:pt>
                <c:pt idx="16">
                  <c:v>5.61247861593768E-6</c:v>
                </c:pt>
                <c:pt idx="17">
                  <c:v>-1.1914524842016E-3</c:v>
                </c:pt>
                <c:pt idx="18">
                  <c:v>1.24875872956199E-3</c:v>
                </c:pt>
                <c:pt idx="19">
                  <c:v>-4.3438855146738002E-4</c:v>
                </c:pt>
                <c:pt idx="20">
                  <c:v>-7.9187775667062304E-4</c:v>
                </c:pt>
                <c:pt idx="21">
                  <c:v>-6.7899120486750099E-4</c:v>
                </c:pt>
                <c:pt idx="22">
                  <c:v>1.2032224953427699E-3</c:v>
                </c:pt>
                <c:pt idx="23">
                  <c:v>6.82866894731393E-4</c:v>
                </c:pt>
                <c:pt idx="24">
                  <c:v>6.0521567556810903E-4</c:v>
                </c:pt>
                <c:pt idx="25">
                  <c:v>5.5227451493645595E-4</c:v>
                </c:pt>
                <c:pt idx="26">
                  <c:v>1.57860187812432E-3</c:v>
                </c:pt>
                <c:pt idx="27">
                  <c:v>2.43543185374391E-4</c:v>
                </c:pt>
                <c:pt idx="28">
                  <c:v>5.6347514681077504E-4</c:v>
                </c:pt>
                <c:pt idx="29">
                  <c:v>-1.90947702691153E-4</c:v>
                </c:pt>
                <c:pt idx="30">
                  <c:v>4.0777345392417798E-4</c:v>
                </c:pt>
                <c:pt idx="31">
                  <c:v>6.3134851337080496E-4</c:v>
                </c:pt>
                <c:pt idx="32">
                  <c:v>2.4090216037221101E-4</c:v>
                </c:pt>
                <c:pt idx="33">
                  <c:v>6.64940518890566E-5</c:v>
                </c:pt>
                <c:pt idx="34">
                  <c:v>6.8856806582521103E-4</c:v>
                </c:pt>
                <c:pt idx="35">
                  <c:v>1.0015016552427801E-3</c:v>
                </c:pt>
                <c:pt idx="36">
                  <c:v>2.3624949413785201E-4</c:v>
                </c:pt>
                <c:pt idx="37">
                  <c:v>9.1672656558135701E-4</c:v>
                </c:pt>
                <c:pt idx="38">
                  <c:v>2.38607514488554E-4</c:v>
                </c:pt>
                <c:pt idx="39">
                  <c:v>-1.37076117738997E-3</c:v>
                </c:pt>
                <c:pt idx="40">
                  <c:v>-2.2002975352550199E-3</c:v>
                </c:pt>
                <c:pt idx="41">
                  <c:v>-3.2468019807051101E-3</c:v>
                </c:pt>
                <c:pt idx="42">
                  <c:v>-3.0424888528273199E-3</c:v>
                </c:pt>
                <c:pt idx="43">
                  <c:v>-4.1968402130604402E-3</c:v>
                </c:pt>
                <c:pt idx="44">
                  <c:v>-2.8728654186467501E-3</c:v>
                </c:pt>
                <c:pt idx="45">
                  <c:v>-2.0503806305933701E-3</c:v>
                </c:pt>
                <c:pt idx="46">
                  <c:v>-2.9550856238419998E-3</c:v>
                </c:pt>
                <c:pt idx="47">
                  <c:v>-3.3563810032603099E-3</c:v>
                </c:pt>
                <c:pt idx="48">
                  <c:v>-3.13124715486242E-3</c:v>
                </c:pt>
                <c:pt idx="49">
                  <c:v>-1.2719067344485601E-3</c:v>
                </c:pt>
                <c:pt idx="50">
                  <c:v>5.9589919601275995E-4</c:v>
                </c:pt>
                <c:pt idx="51">
                  <c:v>-1.1713955105493101E-3</c:v>
                </c:pt>
                <c:pt idx="52">
                  <c:v>-1.3052170301351301E-3</c:v>
                </c:pt>
                <c:pt idx="53">
                  <c:v>-8.9000431228354496E-4</c:v>
                </c:pt>
                <c:pt idx="54">
                  <c:v>-8.1848531399071004E-4</c:v>
                </c:pt>
                <c:pt idx="55">
                  <c:v>-5.6500951950531203E-4</c:v>
                </c:pt>
                <c:pt idx="56">
                  <c:v>-1.33517165003762E-4</c:v>
                </c:pt>
                <c:pt idx="57">
                  <c:v>-2.14526845025366E-3</c:v>
                </c:pt>
                <c:pt idx="58">
                  <c:v>-2.0246785739777401E-3</c:v>
                </c:pt>
                <c:pt idx="59">
                  <c:v>-1.7650583398750501E-3</c:v>
                </c:pt>
                <c:pt idx="60">
                  <c:v>-6.9080227863499801E-4</c:v>
                </c:pt>
                <c:pt idx="61">
                  <c:v>2.39895436112676E-3</c:v>
                </c:pt>
                <c:pt idx="62">
                  <c:v>1.80677794175492E-3</c:v>
                </c:pt>
                <c:pt idx="63">
                  <c:v>7.9391057475787399E-4</c:v>
                </c:pt>
                <c:pt idx="64">
                  <c:v>9.7286559888714902E-4</c:v>
                </c:pt>
                <c:pt idx="65">
                  <c:v>2.19002165910314E-3</c:v>
                </c:pt>
                <c:pt idx="66">
                  <c:v>8.7971676225136403E-4</c:v>
                </c:pt>
                <c:pt idx="67">
                  <c:v>3.1222424928504399E-4</c:v>
                </c:pt>
                <c:pt idx="68">
                  <c:v>1.1232375509359501E-3</c:v>
                </c:pt>
                <c:pt idx="69">
                  <c:v>1.7294986013886399E-3</c:v>
                </c:pt>
                <c:pt idx="70">
                  <c:v>1.0380352033228001E-3</c:v>
                </c:pt>
                <c:pt idx="71">
                  <c:v>-9.1512898650036195E-5</c:v>
                </c:pt>
                <c:pt idx="72">
                  <c:v>1.4920339492964599E-4</c:v>
                </c:pt>
                <c:pt idx="73">
                  <c:v>9.3847942422877094E-5</c:v>
                </c:pt>
                <c:pt idx="74">
                  <c:v>7.0626072953964495E-5</c:v>
                </c:pt>
                <c:pt idx="75">
                  <c:v>-3.4186734552703899E-4</c:v>
                </c:pt>
                <c:pt idx="76">
                  <c:v>7.5299011560919701E-5</c:v>
                </c:pt>
                <c:pt idx="77">
                  <c:v>-9.1812247900640697E-4</c:v>
                </c:pt>
                <c:pt idx="78">
                  <c:v>-2.2663297388337501E-4</c:v>
                </c:pt>
                <c:pt idx="79">
                  <c:v>-4.6099920416469698E-5</c:v>
                </c:pt>
                <c:pt idx="80">
                  <c:v>-1.2646191376954701E-3</c:v>
                </c:pt>
                <c:pt idx="81">
                  <c:v>4.9117145672553E-4</c:v>
                </c:pt>
                <c:pt idx="82">
                  <c:v>-1.8129713792768799E-3</c:v>
                </c:pt>
                <c:pt idx="83">
                  <c:v>-2.3136533750424599E-3</c:v>
                </c:pt>
                <c:pt idx="84">
                  <c:v>-1.59582309315566E-3</c:v>
                </c:pt>
                <c:pt idx="85">
                  <c:v>-7.36952112022564E-4</c:v>
                </c:pt>
                <c:pt idx="86">
                  <c:v>-6.6069416157645705E-4</c:v>
                </c:pt>
                <c:pt idx="87">
                  <c:v>-1.6280265087007899E-3</c:v>
                </c:pt>
                <c:pt idx="88">
                  <c:v>-1.56025631166323E-3</c:v>
                </c:pt>
                <c:pt idx="89">
                  <c:v>-2.42092394378722E-3</c:v>
                </c:pt>
                <c:pt idx="90">
                  <c:v>-1.12542277035164E-3</c:v>
                </c:pt>
                <c:pt idx="91">
                  <c:v>7.3244100541407795E-4</c:v>
                </c:pt>
                <c:pt idx="92">
                  <c:v>-2.6354395992735698E-3</c:v>
                </c:pt>
                <c:pt idx="93">
                  <c:v>-1.8024250592564199E-3</c:v>
                </c:pt>
                <c:pt idx="94">
                  <c:v>-1.7066018362110701E-3</c:v>
                </c:pt>
                <c:pt idx="95">
                  <c:v>-3.6991680153605099E-4</c:v>
                </c:pt>
                <c:pt idx="96">
                  <c:v>2.8093533083751603E-4</c:v>
                </c:pt>
                <c:pt idx="97">
                  <c:v>1.4952789429251499E-3</c:v>
                </c:pt>
                <c:pt idx="98">
                  <c:v>1.9600437217366599E-3</c:v>
                </c:pt>
                <c:pt idx="99">
                  <c:v>1.4132082019235599E-3</c:v>
                </c:pt>
                <c:pt idx="100">
                  <c:v>1.43060027517602E-3</c:v>
                </c:pt>
                <c:pt idx="101">
                  <c:v>1.9343846077844501E-3</c:v>
                </c:pt>
                <c:pt idx="102">
                  <c:v>-1.8809357639200999E-3</c:v>
                </c:pt>
                <c:pt idx="103">
                  <c:v>-8.3581941318030498E-4</c:v>
                </c:pt>
                <c:pt idx="104">
                  <c:v>-2.4612241138610999E-3</c:v>
                </c:pt>
                <c:pt idx="105">
                  <c:v>-2.3555706663880198E-3</c:v>
                </c:pt>
                <c:pt idx="106">
                  <c:v>-2.0523186664405499E-3</c:v>
                </c:pt>
                <c:pt idx="107">
                  <c:v>-1.7084783242759501E-3</c:v>
                </c:pt>
                <c:pt idx="108">
                  <c:v>-1.9825788314251501E-3</c:v>
                </c:pt>
                <c:pt idx="109">
                  <c:v>-2.26326233679112E-3</c:v>
                </c:pt>
                <c:pt idx="110">
                  <c:v>-5.9043530399312E-4</c:v>
                </c:pt>
                <c:pt idx="111">
                  <c:v>1.19453804361594E-3</c:v>
                </c:pt>
                <c:pt idx="112">
                  <c:v>2.5533387887996702E-4</c:v>
                </c:pt>
                <c:pt idx="113">
                  <c:v>9.53811355531749E-5</c:v>
                </c:pt>
                <c:pt idx="114">
                  <c:v>3.840067497587E-4</c:v>
                </c:pt>
                <c:pt idx="115">
                  <c:v>-8.3370773604962397E-4</c:v>
                </c:pt>
                <c:pt idx="116">
                  <c:v>-8.4978475536138002E-4</c:v>
                </c:pt>
                <c:pt idx="117">
                  <c:v>1.3045798614481599E-3</c:v>
                </c:pt>
                <c:pt idx="118">
                  <c:v>1.2897732124378899E-3</c:v>
                </c:pt>
                <c:pt idx="119">
                  <c:v>5.0488349983536496E-4</c:v>
                </c:pt>
                <c:pt idx="120">
                  <c:v>7.2592628224180502E-4</c:v>
                </c:pt>
                <c:pt idx="121">
                  <c:v>6.2662816361037498E-4</c:v>
                </c:pt>
                <c:pt idx="122">
                  <c:v>-9.950667375929049E-4</c:v>
                </c:pt>
                <c:pt idx="123">
                  <c:v>4.5144140276268301E-3</c:v>
                </c:pt>
                <c:pt idx="124">
                  <c:v>4.0198051016362198E-3</c:v>
                </c:pt>
                <c:pt idx="125">
                  <c:v>3.55320272239474E-3</c:v>
                </c:pt>
                <c:pt idx="126">
                  <c:v>2.2300467150672102E-3</c:v>
                </c:pt>
                <c:pt idx="127">
                  <c:v>3.7500093751240501E-4</c:v>
                </c:pt>
                <c:pt idx="128">
                  <c:v>2.3810538646447301E-3</c:v>
                </c:pt>
                <c:pt idx="129">
                  <c:v>1.4690134075622499E-3</c:v>
                </c:pt>
                <c:pt idx="130">
                  <c:v>5.51990523058351E-4</c:v>
                </c:pt>
                <c:pt idx="131">
                  <c:v>-5.9694541297605298E-5</c:v>
                </c:pt>
                <c:pt idx="132">
                  <c:v>1.6527449066778199E-4</c:v>
                </c:pt>
                <c:pt idx="133">
                  <c:v>-3.3564303120217501E-4</c:v>
                </c:pt>
                <c:pt idx="134">
                  <c:v>-5.4739074662458499E-5</c:v>
                </c:pt>
                <c:pt idx="135">
                  <c:v>-1.26433210603806E-3</c:v>
                </c:pt>
                <c:pt idx="136">
                  <c:v>-4.4109835063994401E-4</c:v>
                </c:pt>
                <c:pt idx="137">
                  <c:v>-3.9012675968388798E-4</c:v>
                </c:pt>
                <c:pt idx="138">
                  <c:v>-1.72937922421052E-3</c:v>
                </c:pt>
                <c:pt idx="139">
                  <c:v>-1.6162828563854001E-4</c:v>
                </c:pt>
                <c:pt idx="140">
                  <c:v>8.4170872107020803E-4</c:v>
                </c:pt>
                <c:pt idx="141">
                  <c:v>2.5407071618766198E-4</c:v>
                </c:pt>
                <c:pt idx="142">
                  <c:v>-3.1659641008528798E-4</c:v>
                </c:pt>
                <c:pt idx="143">
                  <c:v>1.9703481367676901E-5</c:v>
                </c:pt>
                <c:pt idx="144">
                  <c:v>-6.27005992354188E-4</c:v>
                </c:pt>
                <c:pt idx="145">
                  <c:v>-2.0397019769813601E-3</c:v>
                </c:pt>
                <c:pt idx="146">
                  <c:v>-1.76884642172651E-3</c:v>
                </c:pt>
                <c:pt idx="147">
                  <c:v>-1.54287957451196E-3</c:v>
                </c:pt>
                <c:pt idx="148">
                  <c:v>-1.6244124578106999E-3</c:v>
                </c:pt>
                <c:pt idx="149">
                  <c:v>-1.66738337738205E-3</c:v>
                </c:pt>
                <c:pt idx="150">
                  <c:v>-2.15995397891752E-3</c:v>
                </c:pt>
                <c:pt idx="151">
                  <c:v>-1.32079556456577E-3</c:v>
                </c:pt>
                <c:pt idx="152">
                  <c:v>-1.0061193777675E-3</c:v>
                </c:pt>
                <c:pt idx="153">
                  <c:v>-4.6755740626383199E-4</c:v>
                </c:pt>
                <c:pt idx="154">
                  <c:v>-1.78015002317722E-3</c:v>
                </c:pt>
                <c:pt idx="155">
                  <c:v>-1.0961975162096301E-3</c:v>
                </c:pt>
                <c:pt idx="156">
                  <c:v>-2.1989586721609302E-3</c:v>
                </c:pt>
                <c:pt idx="157">
                  <c:v>3.7963596624995199E-5</c:v>
                </c:pt>
                <c:pt idx="158">
                  <c:v>-7.43533904593354E-4</c:v>
                </c:pt>
                <c:pt idx="159">
                  <c:v>-1.8023356435879E-4</c:v>
                </c:pt>
                <c:pt idx="160">
                  <c:v>-2.4768450691789999E-4</c:v>
                </c:pt>
                <c:pt idx="161">
                  <c:v>1.2072993857950101E-3</c:v>
                </c:pt>
                <c:pt idx="162">
                  <c:v>1.04678986589811E-3</c:v>
                </c:pt>
                <c:pt idx="163">
                  <c:v>7.3966957334128003E-4</c:v>
                </c:pt>
                <c:pt idx="164">
                  <c:v>-5.3680745461979205E-4</c:v>
                </c:pt>
                <c:pt idx="165">
                  <c:v>-1.1948479146911999E-3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D83-4FF6-AA27-5FD3EA499F57}"/>
            </c:ext>
          </c:extLst>
        </c:ser>
        <c:ser>
          <c:idx val="2"/>
          <c:order val="2"/>
          <c:tx>
            <c:strRef>
              <c:f>XLU_IDU_1!$AG$1</c:f>
              <c:strCache>
                <c:ptCount val="1"/>
                <c:pt idx="0">
                  <c:v>log diff BNDX* x 20 dma / IAGG*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XLU_IDU_1!$AG$2:$AG$167</c:f>
              <c:numCache>
                <c:formatCode>0.00%</c:formatCode>
                <c:ptCount val="166"/>
                <c:pt idx="20">
                  <c:v>-9.5999028331563005E-4</c:v>
                </c:pt>
                <c:pt idx="21">
                  <c:v>-9.6873516916783596E-4</c:v>
                </c:pt>
                <c:pt idx="22">
                  <c:v>9.1385853523061301E-4</c:v>
                </c:pt>
                <c:pt idx="23">
                  <c:v>4.9526133105946802E-4</c:v>
                </c:pt>
                <c:pt idx="24">
                  <c:v>4.9185388034868804E-4</c:v>
                </c:pt>
                <c:pt idx="25">
                  <c:v>5.0493747710120198E-4</c:v>
                </c:pt>
                <c:pt idx="26">
                  <c:v>1.54294444896321E-3</c:v>
                </c:pt>
                <c:pt idx="27">
                  <c:v>2.8500356878421502E-4</c:v>
                </c:pt>
                <c:pt idx="28">
                  <c:v>7.5163516382852102E-4</c:v>
                </c:pt>
                <c:pt idx="29">
                  <c:v>-3.0188625012482798E-5</c:v>
                </c:pt>
                <c:pt idx="30">
                  <c:v>6.6710134645994604E-4</c:v>
                </c:pt>
                <c:pt idx="31">
                  <c:v>1.0403317613540001E-3</c:v>
                </c:pt>
                <c:pt idx="32">
                  <c:v>7.7564521486435704E-4</c:v>
                </c:pt>
                <c:pt idx="33">
                  <c:v>5.2506575986176001E-4</c:v>
                </c:pt>
                <c:pt idx="34">
                  <c:v>1.11988634705552E-3</c:v>
                </c:pt>
                <c:pt idx="35">
                  <c:v>1.4467514259164801E-3</c:v>
                </c:pt>
                <c:pt idx="36">
                  <c:v>7.2719592258667603E-4</c:v>
                </c:pt>
                <c:pt idx="37">
                  <c:v>1.3145772915405E-3</c:v>
                </c:pt>
                <c:pt idx="38">
                  <c:v>6.3394494428989899E-4</c:v>
                </c:pt>
                <c:pt idx="39">
                  <c:v>-9.3668611496712495E-4</c:v>
                </c:pt>
                <c:pt idx="40">
                  <c:v>-1.8101126776719999E-3</c:v>
                </c:pt>
                <c:pt idx="41">
                  <c:v>-3.0341307307869001E-3</c:v>
                </c:pt>
                <c:pt idx="42">
                  <c:v>-3.1091778864284301E-3</c:v>
                </c:pt>
                <c:pt idx="43">
                  <c:v>-4.4398825250081802E-3</c:v>
                </c:pt>
                <c:pt idx="44">
                  <c:v>-3.3686944288633699E-3</c:v>
                </c:pt>
                <c:pt idx="45">
                  <c:v>-2.8210685721202101E-3</c:v>
                </c:pt>
                <c:pt idx="46">
                  <c:v>-4.0220431585641604E-3</c:v>
                </c:pt>
                <c:pt idx="47">
                  <c:v>-4.6713420703183E-3</c:v>
                </c:pt>
                <c:pt idx="48">
                  <c:v>-4.8640847774491401E-3</c:v>
                </c:pt>
                <c:pt idx="49">
                  <c:v>-3.3690399748856799E-3</c:v>
                </c:pt>
                <c:pt idx="50">
                  <c:v>-1.68999744667194E-3</c:v>
                </c:pt>
                <c:pt idx="51">
                  <c:v>-3.4546977023980699E-3</c:v>
                </c:pt>
                <c:pt idx="52">
                  <c:v>-3.5405484681118801E-3</c:v>
                </c:pt>
                <c:pt idx="53">
                  <c:v>-3.0912664966345101E-3</c:v>
                </c:pt>
                <c:pt idx="54">
                  <c:v>-2.8373259101512E-3</c:v>
                </c:pt>
                <c:pt idx="55">
                  <c:v>-2.4556923943389098E-3</c:v>
                </c:pt>
                <c:pt idx="56">
                  <c:v>-1.9097254196997599E-3</c:v>
                </c:pt>
                <c:pt idx="57">
                  <c:v>-3.69222248812904E-3</c:v>
                </c:pt>
                <c:pt idx="58">
                  <c:v>-3.3212670048036802E-3</c:v>
                </c:pt>
                <c:pt idx="59">
                  <c:v>-2.7947498447511701E-3</c:v>
                </c:pt>
                <c:pt idx="60">
                  <c:v>-1.64350634138447E-3</c:v>
                </c:pt>
                <c:pt idx="61">
                  <c:v>1.3757406120994101E-3</c:v>
                </c:pt>
                <c:pt idx="62">
                  <c:v>9.84199723226214E-4</c:v>
                </c:pt>
                <c:pt idx="63">
                  <c:v>1.81308773210048E-4</c:v>
                </c:pt>
                <c:pt idx="64">
                  <c:v>4.3816635134740698E-4</c:v>
                </c:pt>
                <c:pt idx="65">
                  <c:v>1.7906636913705501E-3</c:v>
                </c:pt>
                <c:pt idx="66">
                  <c:v>6.9289376268343798E-4</c:v>
                </c:pt>
                <c:pt idx="67">
                  <c:v>1.9404206733449099E-4</c:v>
                </c:pt>
                <c:pt idx="68">
                  <c:v>1.2105731443451599E-3</c:v>
                </c:pt>
                <c:pt idx="69">
                  <c:v>2.05763469320496E-3</c:v>
                </c:pt>
                <c:pt idx="70">
                  <c:v>1.70171456718735E-3</c:v>
                </c:pt>
                <c:pt idx="71">
                  <c:v>8.8478959272842198E-4</c:v>
                </c:pt>
                <c:pt idx="72">
                  <c:v>1.02245058822449E-3</c:v>
                </c:pt>
                <c:pt idx="73">
                  <c:v>8.9821011224467805E-4</c:v>
                </c:pt>
                <c:pt idx="74">
                  <c:v>8.9752140430250096E-4</c:v>
                </c:pt>
                <c:pt idx="75">
                  <c:v>4.8652293351331198E-4</c:v>
                </c:pt>
                <c:pt idx="76">
                  <c:v>7.6209968127138004E-4</c:v>
                </c:pt>
                <c:pt idx="77">
                  <c:v>-2.3484262562265199E-4</c:v>
                </c:pt>
                <c:pt idx="78">
                  <c:v>3.5221831277506502E-4</c:v>
                </c:pt>
                <c:pt idx="79">
                  <c:v>3.5679264804428402E-4</c:v>
                </c:pt>
                <c:pt idx="80">
                  <c:v>-1.1179232204011401E-3</c:v>
                </c:pt>
                <c:pt idx="81">
                  <c:v>3.8449597013723497E-4</c:v>
                </c:pt>
                <c:pt idx="82">
                  <c:v>-1.87425468825285E-3</c:v>
                </c:pt>
                <c:pt idx="83">
                  <c:v>-2.4836383170523898E-3</c:v>
                </c:pt>
                <c:pt idx="84">
                  <c:v>-1.9486647190796499E-3</c:v>
                </c:pt>
                <c:pt idx="85">
                  <c:v>-1.24593006961716E-3</c:v>
                </c:pt>
                <c:pt idx="86">
                  <c:v>-1.19653663643295E-3</c:v>
                </c:pt>
                <c:pt idx="87">
                  <c:v>-2.28260873574239E-3</c:v>
                </c:pt>
                <c:pt idx="88">
                  <c:v>-2.3225833100443301E-3</c:v>
                </c:pt>
                <c:pt idx="89">
                  <c:v>-3.31645534625097E-3</c:v>
                </c:pt>
                <c:pt idx="90">
                  <c:v>-2.1806845379862098E-3</c:v>
                </c:pt>
                <c:pt idx="91">
                  <c:v>-3.2096858889796401E-4</c:v>
                </c:pt>
                <c:pt idx="92">
                  <c:v>-3.8003551054859698E-3</c:v>
                </c:pt>
                <c:pt idx="93">
                  <c:v>-3.0207950604215499E-3</c:v>
                </c:pt>
                <c:pt idx="94">
                  <c:v>-2.8839572091448602E-3</c:v>
                </c:pt>
                <c:pt idx="95">
                  <c:v>-1.55200622294132E-3</c:v>
                </c:pt>
                <c:pt idx="96">
                  <c:v>-9.3031129024502904E-4</c:v>
                </c:pt>
                <c:pt idx="97">
                  <c:v>3.0034534414944E-4</c:v>
                </c:pt>
                <c:pt idx="98">
                  <c:v>9.0254266657983603E-4</c:v>
                </c:pt>
                <c:pt idx="99">
                  <c:v>5.68571251003013E-4</c:v>
                </c:pt>
                <c:pt idx="100">
                  <c:v>9.0129017648363002E-4</c:v>
                </c:pt>
                <c:pt idx="101">
                  <c:v>1.5784345292409101E-3</c:v>
                </c:pt>
                <c:pt idx="102">
                  <c:v>-2.1192967016343302E-3</c:v>
                </c:pt>
                <c:pt idx="103">
                  <c:v>-9.02466959189328E-4</c:v>
                </c:pt>
                <c:pt idx="104">
                  <c:v>-2.3897305831683201E-3</c:v>
                </c:pt>
                <c:pt idx="105">
                  <c:v>-2.1913262248422702E-3</c:v>
                </c:pt>
                <c:pt idx="106">
                  <c:v>-1.8711963521425999E-3</c:v>
                </c:pt>
                <c:pt idx="107">
                  <c:v>-1.5519723065344901E-3</c:v>
                </c:pt>
                <c:pt idx="108">
                  <c:v>-2.0072008887296201E-3</c:v>
                </c:pt>
                <c:pt idx="109">
                  <c:v>-2.5575179766570998E-3</c:v>
                </c:pt>
                <c:pt idx="110">
                  <c:v>-1.2049634515895701E-3</c:v>
                </c:pt>
                <c:pt idx="111">
                  <c:v>3.4304398183425199E-4</c:v>
                </c:pt>
                <c:pt idx="112">
                  <c:v>-7.4234824539827504E-4</c:v>
                </c:pt>
                <c:pt idx="113">
                  <c:v>-9.0921437925699797E-4</c:v>
                </c:pt>
                <c:pt idx="114">
                  <c:v>-7.1612022728852296E-4</c:v>
                </c:pt>
                <c:pt idx="115">
                  <c:v>-1.871067535768E-3</c:v>
                </c:pt>
                <c:pt idx="116">
                  <c:v>-1.8319323996610899E-3</c:v>
                </c:pt>
                <c:pt idx="117">
                  <c:v>3.8286942624789498E-4</c:v>
                </c:pt>
                <c:pt idx="118">
                  <c:v>5.7085258068034295E-4</c:v>
                </c:pt>
                <c:pt idx="119">
                  <c:v>7.7020753376051394E-5</c:v>
                </c:pt>
                <c:pt idx="120">
                  <c:v>6.0687921617367895E-4</c:v>
                </c:pt>
                <c:pt idx="121">
                  <c:v>7.2381334821566498E-4</c:v>
                </c:pt>
                <c:pt idx="122">
                  <c:v>-7.9465978099452098E-4</c:v>
                </c:pt>
                <c:pt idx="123">
                  <c:v>4.6653143171485802E-3</c:v>
                </c:pt>
                <c:pt idx="124">
                  <c:v>4.4602922303575597E-3</c:v>
                </c:pt>
                <c:pt idx="125">
                  <c:v>4.1870888646818099E-3</c:v>
                </c:pt>
                <c:pt idx="126">
                  <c:v>3.1744780687293301E-3</c:v>
                </c:pt>
                <c:pt idx="127">
                  <c:v>1.6064119726755699E-3</c:v>
                </c:pt>
                <c:pt idx="128">
                  <c:v>3.6307090501553601E-3</c:v>
                </c:pt>
                <c:pt idx="129">
                  <c:v>2.8064866653437701E-3</c:v>
                </c:pt>
                <c:pt idx="130">
                  <c:v>1.9758799704012102E-3</c:v>
                </c:pt>
                <c:pt idx="131">
                  <c:v>1.44411975620289E-3</c:v>
                </c:pt>
                <c:pt idx="132">
                  <c:v>1.80406965343399E-3</c:v>
                </c:pt>
                <c:pt idx="133">
                  <c:v>1.56839219831189E-3</c:v>
                </c:pt>
                <c:pt idx="134">
                  <c:v>1.5609339180922301E-3</c:v>
                </c:pt>
                <c:pt idx="135">
                  <c:v>8.3189102331450895E-5</c:v>
                </c:pt>
                <c:pt idx="136">
                  <c:v>5.17160278144243E-4</c:v>
                </c:pt>
                <c:pt idx="137">
                  <c:v>2.81605192279161E-4</c:v>
                </c:pt>
                <c:pt idx="138">
                  <c:v>-1.1053856922828701E-3</c:v>
                </c:pt>
                <c:pt idx="139">
                  <c:v>1.3967348433588999E-4</c:v>
                </c:pt>
                <c:pt idx="140">
                  <c:v>9.0962042460598805E-4</c:v>
                </c:pt>
                <c:pt idx="141">
                  <c:v>2.0953141928393499E-4</c:v>
                </c:pt>
                <c:pt idx="142">
                  <c:v>-4.66000123209847E-4</c:v>
                </c:pt>
                <c:pt idx="143">
                  <c:v>-3.9092537720694599E-4</c:v>
                </c:pt>
                <c:pt idx="144">
                  <c:v>-1.0086761528537999E-3</c:v>
                </c:pt>
                <c:pt idx="145">
                  <c:v>-2.44587007906225E-3</c:v>
                </c:pt>
                <c:pt idx="146">
                  <c:v>-2.1482857412091E-3</c:v>
                </c:pt>
                <c:pt idx="147">
                  <c:v>-1.9889165401616401E-3</c:v>
                </c:pt>
                <c:pt idx="148">
                  <c:v>-2.2015910714174801E-3</c:v>
                </c:pt>
                <c:pt idx="149">
                  <c:v>-2.15398741386328E-3</c:v>
                </c:pt>
                <c:pt idx="150">
                  <c:v>-2.71913204203895E-3</c:v>
                </c:pt>
                <c:pt idx="151">
                  <c:v>-2.1070794642272599E-3</c:v>
                </c:pt>
                <c:pt idx="152">
                  <c:v>-1.9608273341867699E-3</c:v>
                </c:pt>
                <c:pt idx="153">
                  <c:v>-1.5130812937123701E-3</c:v>
                </c:pt>
                <c:pt idx="154">
                  <c:v>-2.9311079551861698E-3</c:v>
                </c:pt>
                <c:pt idx="155">
                  <c:v>-2.3530457808298702E-3</c:v>
                </c:pt>
                <c:pt idx="156">
                  <c:v>-3.45492873471592E-3</c:v>
                </c:pt>
                <c:pt idx="157">
                  <c:v>-1.26081531737806E-3</c:v>
                </c:pt>
                <c:pt idx="158">
                  <c:v>-1.99097398145149E-3</c:v>
                </c:pt>
                <c:pt idx="159">
                  <c:v>-1.45586311597839E-3</c:v>
                </c:pt>
                <c:pt idx="160">
                  <c:v>-1.4526694529473499E-3</c:v>
                </c:pt>
                <c:pt idx="161">
                  <c:v>1.83150358713098E-4</c:v>
                </c:pt>
                <c:pt idx="162">
                  <c:v>2.0372439421978999E-4</c:v>
                </c:pt>
                <c:pt idx="163">
                  <c:v>4.4715474731711002E-5</c:v>
                </c:pt>
                <c:pt idx="164">
                  <c:v>-1.11214054432121E-3</c:v>
                </c:pt>
                <c:pt idx="165">
                  <c:v>-1.5928488874651799E-3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D83-4FF6-AA27-5FD3EA499F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79644688"/>
        <c:axId val="205301072"/>
      </c:lineChart>
      <c:catAx>
        <c:axId val="167964468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301072"/>
        <c:crosses val="autoZero"/>
        <c:auto val="1"/>
        <c:lblAlgn val="ctr"/>
        <c:lblOffset val="100"/>
        <c:noMultiLvlLbl val="0"/>
      </c:catAx>
      <c:valAx>
        <c:axId val="205301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96446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XLU_IDU_1!$Y$1</c:f>
              <c:strCache>
                <c:ptCount val="1"/>
                <c:pt idx="0">
                  <c:v> IAGG*/BNDX* avg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XLU_IDU_1!$Y$2:$Y$167</c:f>
              <c:numCache>
                <c:formatCode>_(* #,##0.0000_);_(* \(#,##0.0000\);_(* "-"??_);_(@_)</c:formatCode>
                <c:ptCount val="166"/>
                <c:pt idx="0">
                  <c:v>1.03989039569729</c:v>
                </c:pt>
                <c:pt idx="1">
                  <c:v>1.03989039569729</c:v>
                </c:pt>
                <c:pt idx="2">
                  <c:v>1.03989039569729</c:v>
                </c:pt>
                <c:pt idx="3">
                  <c:v>1.03989039569729</c:v>
                </c:pt>
                <c:pt idx="4">
                  <c:v>1.03989039569729</c:v>
                </c:pt>
                <c:pt idx="5">
                  <c:v>1.03989039569729</c:v>
                </c:pt>
                <c:pt idx="6">
                  <c:v>1.03989039569729</c:v>
                </c:pt>
                <c:pt idx="7">
                  <c:v>1.03989039569729</c:v>
                </c:pt>
                <c:pt idx="8">
                  <c:v>1.03989039569729</c:v>
                </c:pt>
                <c:pt idx="9">
                  <c:v>1.03989039569729</c:v>
                </c:pt>
                <c:pt idx="10">
                  <c:v>1.03989039569729</c:v>
                </c:pt>
                <c:pt idx="11">
                  <c:v>1.03989039569729</c:v>
                </c:pt>
                <c:pt idx="12">
                  <c:v>1.03989039569729</c:v>
                </c:pt>
                <c:pt idx="13">
                  <c:v>1.03989039569729</c:v>
                </c:pt>
                <c:pt idx="14">
                  <c:v>1.03989039569729</c:v>
                </c:pt>
                <c:pt idx="15">
                  <c:v>1.03989039569729</c:v>
                </c:pt>
                <c:pt idx="16">
                  <c:v>1.03989039569729</c:v>
                </c:pt>
                <c:pt idx="17">
                  <c:v>1.03989039569729</c:v>
                </c:pt>
                <c:pt idx="18">
                  <c:v>1.03989039569729</c:v>
                </c:pt>
                <c:pt idx="19">
                  <c:v>1.03989039569729</c:v>
                </c:pt>
                <c:pt idx="20">
                  <c:v>1.03989039569729</c:v>
                </c:pt>
                <c:pt idx="21">
                  <c:v>1.03989039569729</c:v>
                </c:pt>
                <c:pt idx="22">
                  <c:v>1.03989039569729</c:v>
                </c:pt>
                <c:pt idx="23">
                  <c:v>1.03989039569729</c:v>
                </c:pt>
                <c:pt idx="24">
                  <c:v>1.03989039569729</c:v>
                </c:pt>
                <c:pt idx="25">
                  <c:v>1.03989039569729</c:v>
                </c:pt>
                <c:pt idx="26">
                  <c:v>1.03989039569729</c:v>
                </c:pt>
                <c:pt idx="27">
                  <c:v>1.03989039569729</c:v>
                </c:pt>
                <c:pt idx="28">
                  <c:v>1.03989039569729</c:v>
                </c:pt>
                <c:pt idx="29">
                  <c:v>1.03989039569729</c:v>
                </c:pt>
                <c:pt idx="30">
                  <c:v>1.03989039569729</c:v>
                </c:pt>
                <c:pt idx="31">
                  <c:v>1.03989039569729</c:v>
                </c:pt>
                <c:pt idx="32">
                  <c:v>1.03989039569729</c:v>
                </c:pt>
                <c:pt idx="33">
                  <c:v>1.03989039569729</c:v>
                </c:pt>
                <c:pt idx="34">
                  <c:v>1.03989039569729</c:v>
                </c:pt>
                <c:pt idx="35">
                  <c:v>1.03989039569729</c:v>
                </c:pt>
                <c:pt idx="36">
                  <c:v>1.03989039569729</c:v>
                </c:pt>
                <c:pt idx="37">
                  <c:v>1.03989039569729</c:v>
                </c:pt>
                <c:pt idx="38">
                  <c:v>1.03989039569729</c:v>
                </c:pt>
                <c:pt idx="39">
                  <c:v>1.03989039569729</c:v>
                </c:pt>
                <c:pt idx="40">
                  <c:v>1.03989039569729</c:v>
                </c:pt>
                <c:pt idx="41">
                  <c:v>1.03989039569729</c:v>
                </c:pt>
                <c:pt idx="42">
                  <c:v>1.03989039569729</c:v>
                </c:pt>
                <c:pt idx="43">
                  <c:v>1.03989039569729</c:v>
                </c:pt>
                <c:pt idx="44">
                  <c:v>1.03989039569729</c:v>
                </c:pt>
                <c:pt idx="45">
                  <c:v>1.03989039569729</c:v>
                </c:pt>
                <c:pt idx="46">
                  <c:v>1.03989039569729</c:v>
                </c:pt>
                <c:pt idx="47">
                  <c:v>1.03989039569729</c:v>
                </c:pt>
                <c:pt idx="48">
                  <c:v>1.03989039569729</c:v>
                </c:pt>
                <c:pt idx="49">
                  <c:v>1.03989039569729</c:v>
                </c:pt>
                <c:pt idx="50">
                  <c:v>1.03989039569729</c:v>
                </c:pt>
                <c:pt idx="51">
                  <c:v>1.03989039569729</c:v>
                </c:pt>
                <c:pt idx="52">
                  <c:v>1.03989039569729</c:v>
                </c:pt>
                <c:pt idx="53">
                  <c:v>1.03989039569729</c:v>
                </c:pt>
                <c:pt idx="54">
                  <c:v>1.03989039569729</c:v>
                </c:pt>
                <c:pt idx="55">
                  <c:v>1.03989039569729</c:v>
                </c:pt>
                <c:pt idx="56">
                  <c:v>1.03989039569729</c:v>
                </c:pt>
                <c:pt idx="57">
                  <c:v>1.03989039569729</c:v>
                </c:pt>
                <c:pt idx="58">
                  <c:v>1.03989039569729</c:v>
                </c:pt>
                <c:pt idx="59">
                  <c:v>1.03989039569729</c:v>
                </c:pt>
                <c:pt idx="60">
                  <c:v>1.03989039569729</c:v>
                </c:pt>
                <c:pt idx="61">
                  <c:v>1.03989039569729</c:v>
                </c:pt>
                <c:pt idx="62">
                  <c:v>1.03989039569729</c:v>
                </c:pt>
                <c:pt idx="63">
                  <c:v>1.03989039569729</c:v>
                </c:pt>
                <c:pt idx="64">
                  <c:v>1.03989039569729</c:v>
                </c:pt>
                <c:pt idx="65">
                  <c:v>1.03989039569729</c:v>
                </c:pt>
                <c:pt idx="66">
                  <c:v>1.03989039569729</c:v>
                </c:pt>
                <c:pt idx="67">
                  <c:v>1.03989039569729</c:v>
                </c:pt>
                <c:pt idx="68">
                  <c:v>1.03989039569729</c:v>
                </c:pt>
                <c:pt idx="69">
                  <c:v>1.03989039569729</c:v>
                </c:pt>
                <c:pt idx="70">
                  <c:v>1.03989039569729</c:v>
                </c:pt>
                <c:pt idx="71">
                  <c:v>1.03989039569729</c:v>
                </c:pt>
                <c:pt idx="72">
                  <c:v>1.03989039569729</c:v>
                </c:pt>
                <c:pt idx="73">
                  <c:v>1.03989039569729</c:v>
                </c:pt>
                <c:pt idx="74">
                  <c:v>1.03989039569729</c:v>
                </c:pt>
                <c:pt idx="75">
                  <c:v>1.03989039569729</c:v>
                </c:pt>
                <c:pt idx="76">
                  <c:v>1.03989039569729</c:v>
                </c:pt>
                <c:pt idx="77">
                  <c:v>1.03989039569729</c:v>
                </c:pt>
                <c:pt idx="78">
                  <c:v>1.03989039569729</c:v>
                </c:pt>
                <c:pt idx="79">
                  <c:v>1.03989039569729</c:v>
                </c:pt>
                <c:pt idx="80">
                  <c:v>1.03989039569729</c:v>
                </c:pt>
                <c:pt idx="81">
                  <c:v>1.03989039569729</c:v>
                </c:pt>
                <c:pt idx="82">
                  <c:v>1.03989039569729</c:v>
                </c:pt>
                <c:pt idx="83">
                  <c:v>1.03989039569729</c:v>
                </c:pt>
                <c:pt idx="84">
                  <c:v>1.03989039569729</c:v>
                </c:pt>
                <c:pt idx="85">
                  <c:v>1.03989039569729</c:v>
                </c:pt>
                <c:pt idx="86">
                  <c:v>1.03989039569729</c:v>
                </c:pt>
                <c:pt idx="87">
                  <c:v>1.03989039569729</c:v>
                </c:pt>
                <c:pt idx="88">
                  <c:v>1.03989039569729</c:v>
                </c:pt>
                <c:pt idx="89">
                  <c:v>1.03989039569729</c:v>
                </c:pt>
                <c:pt idx="90">
                  <c:v>1.03989039569729</c:v>
                </c:pt>
                <c:pt idx="91">
                  <c:v>1.03989039569729</c:v>
                </c:pt>
                <c:pt idx="92">
                  <c:v>1.03989039569729</c:v>
                </c:pt>
                <c:pt idx="93">
                  <c:v>1.03989039569729</c:v>
                </c:pt>
                <c:pt idx="94">
                  <c:v>1.03989039569729</c:v>
                </c:pt>
                <c:pt idx="95">
                  <c:v>1.03989039569729</c:v>
                </c:pt>
                <c:pt idx="96">
                  <c:v>1.03989039569729</c:v>
                </c:pt>
                <c:pt idx="97">
                  <c:v>1.03989039569729</c:v>
                </c:pt>
                <c:pt idx="98">
                  <c:v>1.03989039569729</c:v>
                </c:pt>
                <c:pt idx="99">
                  <c:v>1.03989039569729</c:v>
                </c:pt>
                <c:pt idx="100">
                  <c:v>1.03989039569729</c:v>
                </c:pt>
                <c:pt idx="101">
                  <c:v>1.03989039569729</c:v>
                </c:pt>
                <c:pt idx="102">
                  <c:v>1.03989039569729</c:v>
                </c:pt>
                <c:pt idx="103">
                  <c:v>1.03989039569729</c:v>
                </c:pt>
                <c:pt idx="104">
                  <c:v>1.03989039569729</c:v>
                </c:pt>
                <c:pt idx="105">
                  <c:v>1.03989039569729</c:v>
                </c:pt>
                <c:pt idx="106">
                  <c:v>1.03989039569729</c:v>
                </c:pt>
                <c:pt idx="107">
                  <c:v>1.03989039569729</c:v>
                </c:pt>
                <c:pt idx="108">
                  <c:v>1.03989039569729</c:v>
                </c:pt>
                <c:pt idx="109">
                  <c:v>1.03989039569729</c:v>
                </c:pt>
                <c:pt idx="110">
                  <c:v>1.03989039569729</c:v>
                </c:pt>
                <c:pt idx="111">
                  <c:v>1.03989039569729</c:v>
                </c:pt>
                <c:pt idx="112">
                  <c:v>1.03989039569729</c:v>
                </c:pt>
                <c:pt idx="113">
                  <c:v>1.03989039569729</c:v>
                </c:pt>
                <c:pt idx="114">
                  <c:v>1.03989039569729</c:v>
                </c:pt>
                <c:pt idx="115">
                  <c:v>1.03989039569729</c:v>
                </c:pt>
                <c:pt idx="116">
                  <c:v>1.03989039569729</c:v>
                </c:pt>
                <c:pt idx="117">
                  <c:v>1.03989039569729</c:v>
                </c:pt>
                <c:pt idx="118">
                  <c:v>1.03989039569729</c:v>
                </c:pt>
                <c:pt idx="119">
                  <c:v>1.03989039569729</c:v>
                </c:pt>
                <c:pt idx="120">
                  <c:v>1.03989039569729</c:v>
                </c:pt>
                <c:pt idx="121">
                  <c:v>1.03989039569729</c:v>
                </c:pt>
                <c:pt idx="122">
                  <c:v>1.03989039569729</c:v>
                </c:pt>
                <c:pt idx="123">
                  <c:v>1.03989039569729</c:v>
                </c:pt>
                <c:pt idx="124">
                  <c:v>1.03989039569729</c:v>
                </c:pt>
                <c:pt idx="125">
                  <c:v>1.03989039569729</c:v>
                </c:pt>
                <c:pt idx="126">
                  <c:v>1.03989039569729</c:v>
                </c:pt>
                <c:pt idx="127">
                  <c:v>1.03989039569729</c:v>
                </c:pt>
                <c:pt idx="128">
                  <c:v>1.03989039569729</c:v>
                </c:pt>
                <c:pt idx="129">
                  <c:v>1.03989039569729</c:v>
                </c:pt>
                <c:pt idx="130">
                  <c:v>1.03989039569729</c:v>
                </c:pt>
                <c:pt idx="131">
                  <c:v>1.03989039569729</c:v>
                </c:pt>
                <c:pt idx="132">
                  <c:v>1.03989039569729</c:v>
                </c:pt>
                <c:pt idx="133">
                  <c:v>1.03989039569729</c:v>
                </c:pt>
                <c:pt idx="134">
                  <c:v>1.03989039569729</c:v>
                </c:pt>
                <c:pt idx="135">
                  <c:v>1.03989039569729</c:v>
                </c:pt>
                <c:pt idx="136">
                  <c:v>1.03989039569729</c:v>
                </c:pt>
                <c:pt idx="137">
                  <c:v>1.03989039569729</c:v>
                </c:pt>
                <c:pt idx="138">
                  <c:v>1.03989039569729</c:v>
                </c:pt>
                <c:pt idx="139">
                  <c:v>1.03989039569729</c:v>
                </c:pt>
                <c:pt idx="140">
                  <c:v>1.03989039569729</c:v>
                </c:pt>
                <c:pt idx="141">
                  <c:v>1.03989039569729</c:v>
                </c:pt>
                <c:pt idx="142">
                  <c:v>1.03989039569729</c:v>
                </c:pt>
                <c:pt idx="143">
                  <c:v>1.03989039569729</c:v>
                </c:pt>
                <c:pt idx="144">
                  <c:v>1.03989039569729</c:v>
                </c:pt>
                <c:pt idx="145">
                  <c:v>1.03989039569729</c:v>
                </c:pt>
                <c:pt idx="146">
                  <c:v>1.03989039569729</c:v>
                </c:pt>
                <c:pt idx="147">
                  <c:v>1.03989039569729</c:v>
                </c:pt>
                <c:pt idx="148">
                  <c:v>1.03989039569729</c:v>
                </c:pt>
                <c:pt idx="149">
                  <c:v>1.03989039569729</c:v>
                </c:pt>
                <c:pt idx="150">
                  <c:v>1.03989039569729</c:v>
                </c:pt>
                <c:pt idx="151">
                  <c:v>1.03989039569729</c:v>
                </c:pt>
                <c:pt idx="152">
                  <c:v>1.03989039569729</c:v>
                </c:pt>
                <c:pt idx="153">
                  <c:v>1.03989039569729</c:v>
                </c:pt>
                <c:pt idx="154">
                  <c:v>1.03989039569729</c:v>
                </c:pt>
                <c:pt idx="155">
                  <c:v>1.03989039569729</c:v>
                </c:pt>
                <c:pt idx="156">
                  <c:v>1.03989039569729</c:v>
                </c:pt>
                <c:pt idx="157">
                  <c:v>1.03989039569729</c:v>
                </c:pt>
                <c:pt idx="158">
                  <c:v>1.03989039569729</c:v>
                </c:pt>
                <c:pt idx="159">
                  <c:v>1.03989039569729</c:v>
                </c:pt>
                <c:pt idx="160">
                  <c:v>1.03989039569729</c:v>
                </c:pt>
                <c:pt idx="161">
                  <c:v>1.03989039569729</c:v>
                </c:pt>
                <c:pt idx="162">
                  <c:v>1.03989039569729</c:v>
                </c:pt>
                <c:pt idx="163">
                  <c:v>1.03989039569729</c:v>
                </c:pt>
                <c:pt idx="164">
                  <c:v>1.03989039569729</c:v>
                </c:pt>
                <c:pt idx="165">
                  <c:v>1.03989039569729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1A6-4EF2-9502-A7777730FB24}"/>
            </c:ext>
          </c:extLst>
        </c:ser>
        <c:ser>
          <c:idx val="1"/>
          <c:order val="1"/>
          <c:tx>
            <c:strRef>
              <c:f>XLU_IDU_1!$Z$1</c:f>
              <c:strCache>
                <c:ptCount val="1"/>
                <c:pt idx="0">
                  <c:v> IAGG*/BNDX* 10 dma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XLU_IDU_1!$Z$2:$Z$167</c:f>
              <c:numCache>
                <c:formatCode>_(* #,##0.0000_);_(* \(#,##0.0000\);_(* "-"??_);_(@_)</c:formatCode>
                <c:ptCount val="166"/>
                <c:pt idx="9">
                  <c:v>1.0349663907105</c:v>
                </c:pt>
                <c:pt idx="10">
                  <c:v>1.03484631654657</c:v>
                </c:pt>
                <c:pt idx="11">
                  <c:v>1.0348869169767401</c:v>
                </c:pt>
                <c:pt idx="12">
                  <c:v>1.0349289468723599</c:v>
                </c:pt>
                <c:pt idx="13">
                  <c:v>1.03499515159532</c:v>
                </c:pt>
                <c:pt idx="14">
                  <c:v>1.03506278713913</c:v>
                </c:pt>
                <c:pt idx="15">
                  <c:v>1.0350429072437499</c:v>
                </c:pt>
                <c:pt idx="16">
                  <c:v>1.0350472345922199</c:v>
                </c:pt>
                <c:pt idx="17">
                  <c:v>1.03519368789954</c:v>
                </c:pt>
                <c:pt idx="18">
                  <c:v>1.0351689314559001</c:v>
                </c:pt>
                <c:pt idx="19">
                  <c:v>1.0353144601117901</c:v>
                </c:pt>
                <c:pt idx="20">
                  <c:v>1.0354462582349899</c:v>
                </c:pt>
                <c:pt idx="21">
                  <c:v>1.0354860949964699</c:v>
                </c:pt>
                <c:pt idx="22">
                  <c:v>1.03531737303446</c:v>
                </c:pt>
                <c:pt idx="23">
                  <c:v>1.0352298493205501</c:v>
                </c:pt>
                <c:pt idx="24">
                  <c:v>1.0351607877103299</c:v>
                </c:pt>
                <c:pt idx="25">
                  <c:v>1.03511672513026</c:v>
                </c:pt>
                <c:pt idx="26">
                  <c:v>1.03496141301914</c:v>
                </c:pt>
                <c:pt idx="27">
                  <c:v>1.0348042336963901</c:v>
                </c:pt>
                <c:pt idx="28">
                  <c:v>1.03483618608905</c:v>
                </c:pt>
                <c:pt idx="29">
                  <c:v>1.0347776970771301</c:v>
                </c:pt>
                <c:pt idx="30">
                  <c:v>1.0345998171694999</c:v>
                </c:pt>
                <c:pt idx="31">
                  <c:v>1.0343795446084001</c:v>
                </c:pt>
                <c:pt idx="32">
                  <c:v>1.0343684912345099</c:v>
                </c:pt>
                <c:pt idx="33">
                  <c:v>1.03433739961063</c:v>
                </c:pt>
                <c:pt idx="34">
                  <c:v>1.0342395927616299</c:v>
                </c:pt>
                <c:pt idx="35">
                  <c:v>1.0341010993589701</c:v>
                </c:pt>
                <c:pt idx="36">
                  <c:v>1.0341383838950799</c:v>
                </c:pt>
                <c:pt idx="37">
                  <c:v>1.0339865249211799</c:v>
                </c:pt>
                <c:pt idx="38">
                  <c:v>1.0339383775134701</c:v>
                </c:pt>
                <c:pt idx="39">
                  <c:v>1.03397066025096</c:v>
                </c:pt>
                <c:pt idx="40">
                  <c:v>1.03415989823576</c:v>
                </c:pt>
                <c:pt idx="41">
                  <c:v>1.0345175219551199</c:v>
                </c:pt>
                <c:pt idx="42">
                  <c:v>1.0348714652170099</c:v>
                </c:pt>
                <c:pt idx="43">
                  <c:v>1.0353638719999401</c:v>
                </c:pt>
                <c:pt idx="44">
                  <c:v>1.0358355896715801</c:v>
                </c:pt>
                <c:pt idx="45">
                  <c:v>1.03631132038651</c:v>
                </c:pt>
                <c:pt idx="46">
                  <c:v>1.0368634619853501</c:v>
                </c:pt>
                <c:pt idx="47">
                  <c:v>1.03757932413189</c:v>
                </c:pt>
                <c:pt idx="48">
                  <c:v>1.03828867372538</c:v>
                </c:pt>
                <c:pt idx="49">
                  <c:v>1.0387140225612701</c:v>
                </c:pt>
                <c:pt idx="50">
                  <c:v>1.0388987255639099</c:v>
                </c:pt>
                <c:pt idx="51">
                  <c:v>1.0391580588096501</c:v>
                </c:pt>
                <c:pt idx="52">
                  <c:v>1.0394426036264699</c:v>
                </c:pt>
                <c:pt idx="53">
                  <c:v>1.03955703780899</c:v>
                </c:pt>
                <c:pt idx="54">
                  <c:v>1.03976360166003</c:v>
                </c:pt>
                <c:pt idx="55">
                  <c:v>1.0400025634841501</c:v>
                </c:pt>
                <c:pt idx="56">
                  <c:v>1.0400788827448</c:v>
                </c:pt>
                <c:pt idx="57">
                  <c:v>1.0402751935994199</c:v>
                </c:pt>
                <c:pt idx="58">
                  <c:v>1.0404302152807701</c:v>
                </c:pt>
                <c:pt idx="59">
                  <c:v>1.04069602894832</c:v>
                </c:pt>
                <c:pt idx="60">
                  <c:v>1.04102802438958</c:v>
                </c:pt>
                <c:pt idx="61">
                  <c:v>1.0408697482804199</c:v>
                </c:pt>
                <c:pt idx="62">
                  <c:v>1.04071730373516</c:v>
                </c:pt>
                <c:pt idx="63">
                  <c:v>1.0406696308682699</c:v>
                </c:pt>
                <c:pt idx="64">
                  <c:v>1.0405945751906001</c:v>
                </c:pt>
                <c:pt idx="65">
                  <c:v>1.04039126520759</c:v>
                </c:pt>
                <c:pt idx="66">
                  <c:v>1.0403247639162001</c:v>
                </c:pt>
                <c:pt idx="67">
                  <c:v>1.04009351129785</c:v>
                </c:pt>
                <c:pt idx="68">
                  <c:v>1.0397477457919</c:v>
                </c:pt>
                <c:pt idx="69">
                  <c:v>1.03931602586139</c:v>
                </c:pt>
                <c:pt idx="70">
                  <c:v>1.0389982805092</c:v>
                </c:pt>
                <c:pt idx="71">
                  <c:v>1.0390542532871001</c:v>
                </c:pt>
                <c:pt idx="72">
                  <c:v>1.0390450941612901</c:v>
                </c:pt>
                <c:pt idx="73">
                  <c:v>1.0389507132950999</c:v>
                </c:pt>
                <c:pt idx="74">
                  <c:v>1.0388726780323501</c:v>
                </c:pt>
                <c:pt idx="75">
                  <c:v>1.0389636531556701</c:v>
                </c:pt>
                <c:pt idx="76">
                  <c:v>1.03890455366871</c:v>
                </c:pt>
                <c:pt idx="77">
                  <c:v>1.0388904369985801</c:v>
                </c:pt>
                <c:pt idx="78">
                  <c:v>1.0389104385408301</c:v>
                </c:pt>
                <c:pt idx="79">
                  <c:v>1.0390111661089201</c:v>
                </c:pt>
                <c:pt idx="80">
                  <c:v>1.03921998727928</c:v>
                </c:pt>
                <c:pt idx="81">
                  <c:v>1.03918161836079</c:v>
                </c:pt>
                <c:pt idx="82">
                  <c:v>1.0393984282928199</c:v>
                </c:pt>
                <c:pt idx="83">
                  <c:v>1.0396842716502399</c:v>
                </c:pt>
                <c:pt idx="84">
                  <c:v>1.03993101260068</c:v>
                </c:pt>
                <c:pt idx="85">
                  <c:v>1.04007799050331</c:v>
                </c:pt>
                <c:pt idx="86">
                  <c:v>1.04026598728832</c:v>
                </c:pt>
                <c:pt idx="87">
                  <c:v>1.04047619868217</c:v>
                </c:pt>
                <c:pt idx="88">
                  <c:v>1.0407736951676501</c:v>
                </c:pt>
                <c:pt idx="89">
                  <c:v>1.04120749998534</c:v>
                </c:pt>
                <c:pt idx="90">
                  <c:v>1.04141290074102</c:v>
                </c:pt>
                <c:pt idx="91">
                  <c:v>1.04160697364949</c:v>
                </c:pt>
                <c:pt idx="92">
                  <c:v>1.04193580891016</c:v>
                </c:pt>
                <c:pt idx="93">
                  <c:v>1.04213675826615</c:v>
                </c:pt>
                <c:pt idx="94">
                  <c:v>1.0423939623521301</c:v>
                </c:pt>
                <c:pt idx="95">
                  <c:v>1.0426021581823901</c:v>
                </c:pt>
                <c:pt idx="96">
                  <c:v>1.04275654863487</c:v>
                </c:pt>
                <c:pt idx="97">
                  <c:v>1.0426803040984101</c:v>
                </c:pt>
                <c:pt idx="98">
                  <c:v>1.0425340772295699</c:v>
                </c:pt>
                <c:pt idx="99">
                  <c:v>1.0423106190868501</c:v>
                </c:pt>
                <c:pt idx="100">
                  <c:v>1.04215467879475</c:v>
                </c:pt>
                <c:pt idx="101">
                  <c:v>1.0421037080802</c:v>
                </c:pt>
                <c:pt idx="102">
                  <c:v>1.0420747077255299</c:v>
                </c:pt>
                <c:pt idx="103">
                  <c:v>1.04198776217198</c:v>
                </c:pt>
                <c:pt idx="104">
                  <c:v>1.04205163186328</c:v>
                </c:pt>
                <c:pt idx="105">
                  <c:v>1.0422245837325901</c:v>
                </c:pt>
                <c:pt idx="106">
                  <c:v>1.0424302298920001</c:v>
                </c:pt>
                <c:pt idx="107">
                  <c:v>1.0427316518632399</c:v>
                </c:pt>
                <c:pt idx="108">
                  <c:v>1.04314789121644</c:v>
                </c:pt>
                <c:pt idx="109">
                  <c:v>1.0435928594336099</c:v>
                </c:pt>
                <c:pt idx="110">
                  <c:v>1.04393172544529</c:v>
                </c:pt>
                <c:pt idx="111">
                  <c:v>1.04418620088863</c:v>
                </c:pt>
                <c:pt idx="112">
                  <c:v>1.04417159448869</c:v>
                </c:pt>
                <c:pt idx="113">
                  <c:v>1.0442841891761501</c:v>
                </c:pt>
                <c:pt idx="114">
                  <c:v>1.04421696595917</c:v>
                </c:pt>
                <c:pt idx="115">
                  <c:v>1.0442748408901299</c:v>
                </c:pt>
                <c:pt idx="116">
                  <c:v>1.04435452786578</c:v>
                </c:pt>
                <c:pt idx="117">
                  <c:v>1.04423255293754</c:v>
                </c:pt>
                <c:pt idx="118">
                  <c:v>1.04404111271051</c:v>
                </c:pt>
                <c:pt idx="119">
                  <c:v>1.04384137714745</c:v>
                </c:pt>
                <c:pt idx="120">
                  <c:v>1.0437288456259199</c:v>
                </c:pt>
                <c:pt idx="121">
                  <c:v>1.0437678023077299</c:v>
                </c:pt>
                <c:pt idx="122">
                  <c:v>1.0438565342114801</c:v>
                </c:pt>
                <c:pt idx="123">
                  <c:v>1.0433648091654899</c:v>
                </c:pt>
                <c:pt idx="124">
                  <c:v>1.0428943942147799</c:v>
                </c:pt>
                <c:pt idx="125">
                  <c:v>1.0423051396048599</c:v>
                </c:pt>
                <c:pt idx="126">
                  <c:v>1.0417872109433</c:v>
                </c:pt>
                <c:pt idx="127">
                  <c:v>1.04162757501348</c:v>
                </c:pt>
                <c:pt idx="128">
                  <c:v>1.0412539506215801</c:v>
                </c:pt>
                <c:pt idx="129">
                  <c:v>1.0408750837162499</c:v>
                </c:pt>
                <c:pt idx="130">
                  <c:v>1.04059676260149</c:v>
                </c:pt>
                <c:pt idx="131">
                  <c:v>1.0403551487806799</c:v>
                </c:pt>
                <c:pt idx="132">
                  <c:v>1.039892776878</c:v>
                </c:pt>
                <c:pt idx="133">
                  <c:v>1.0400014882497599</c:v>
                </c:pt>
                <c:pt idx="134">
                  <c:v>1.0400894196546999</c:v>
                </c:pt>
                <c:pt idx="135">
                  <c:v>1.0403104111684001</c:v>
                </c:pt>
                <c:pt idx="136">
                  <c:v>1.0403890163004299</c:v>
                </c:pt>
                <c:pt idx="137">
                  <c:v>1.04032885290794</c:v>
                </c:pt>
                <c:pt idx="138">
                  <c:v>1.0406267707653001</c:v>
                </c:pt>
                <c:pt idx="139">
                  <c:v>1.0407337229161799</c:v>
                </c:pt>
                <c:pt idx="140">
                  <c:v>1.04068946369107</c:v>
                </c:pt>
                <c:pt idx="141">
                  <c:v>1.04066608430688</c:v>
                </c:pt>
                <c:pt idx="142">
                  <c:v>1.04074732318607</c:v>
                </c:pt>
                <c:pt idx="143">
                  <c:v>1.0407958180679799</c:v>
                </c:pt>
                <c:pt idx="144">
                  <c:v>1.0409348370065701</c:v>
                </c:pt>
                <c:pt idx="145">
                  <c:v>1.0411003300973001</c:v>
                </c:pt>
                <c:pt idx="146">
                  <c:v>1.0413177415735899</c:v>
                </c:pt>
                <c:pt idx="147">
                  <c:v>1.04153080461584</c:v>
                </c:pt>
                <c:pt idx="148">
                  <c:v>1.0416402568692</c:v>
                </c:pt>
                <c:pt idx="149">
                  <c:v>1.0418986108903401</c:v>
                </c:pt>
                <c:pt idx="150">
                  <c:v>1.04232795082042</c:v>
                </c:pt>
                <c:pt idx="151">
                  <c:v>1.04265599821703</c:v>
                </c:pt>
                <c:pt idx="152">
                  <c:v>1.0429269937082899</c:v>
                </c:pt>
                <c:pt idx="153">
                  <c:v>1.04319578560036</c:v>
                </c:pt>
                <c:pt idx="154">
                  <c:v>1.0435563732583499</c:v>
                </c:pt>
                <c:pt idx="155">
                  <c:v>1.0437204476300801</c:v>
                </c:pt>
                <c:pt idx="156">
                  <c:v>1.0440279040966001</c:v>
                </c:pt>
                <c:pt idx="157">
                  <c:v>1.04413417012587</c:v>
                </c:pt>
                <c:pt idx="158">
                  <c:v>1.0443028454107199</c:v>
                </c:pt>
                <c:pt idx="159">
                  <c:v>1.0444141015613799</c:v>
                </c:pt>
                <c:pt idx="160">
                  <c:v>1.04446623382768</c:v>
                </c:pt>
                <c:pt idx="161">
                  <c:v>1.04441627870218</c:v>
                </c:pt>
                <c:pt idx="162">
                  <c:v>1.0443780790841399</c:v>
                </c:pt>
                <c:pt idx="163">
                  <c:v>1.04439719248991</c:v>
                </c:pt>
                <c:pt idx="164">
                  <c:v>1.04438754235995</c:v>
                </c:pt>
                <c:pt idx="165">
                  <c:v>1.0444810651663401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1A6-4EF2-9502-A7777730FB24}"/>
            </c:ext>
          </c:extLst>
        </c:ser>
        <c:ser>
          <c:idx val="2"/>
          <c:order val="2"/>
          <c:tx>
            <c:strRef>
              <c:f>XLU_IDU_1!$AA$1</c:f>
              <c:strCache>
                <c:ptCount val="1"/>
                <c:pt idx="0">
                  <c:v> IAGG*/BNDX* 20 dma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XLU_IDU_1!$AA$2:$AA$167</c:f>
              <c:numCache>
                <c:formatCode>_(* #,##0.0000_);_(* \(#,##0.0000\);_(* "-"??_);_(@_)</c:formatCode>
                <c:ptCount val="166"/>
                <c:pt idx="19">
                  <c:v>1.03514042541114</c:v>
                </c:pt>
                <c:pt idx="20">
                  <c:v>1.03514628739078</c:v>
                </c:pt>
                <c:pt idx="21">
                  <c:v>1.0351865059866101</c:v>
                </c:pt>
                <c:pt idx="22">
                  <c:v>1.0351231599534101</c:v>
                </c:pt>
                <c:pt idx="23">
                  <c:v>1.03511250045794</c:v>
                </c:pt>
                <c:pt idx="24">
                  <c:v>1.03511178742473</c:v>
                </c:pt>
                <c:pt idx="25">
                  <c:v>1.0350798161870101</c:v>
                </c:pt>
                <c:pt idx="26">
                  <c:v>1.0350043238056801</c:v>
                </c:pt>
                <c:pt idx="27">
                  <c:v>1.0349989607979699</c:v>
                </c:pt>
                <c:pt idx="28">
                  <c:v>1.03500255877248</c:v>
                </c:pt>
                <c:pt idx="29">
                  <c:v>1.03504607859446</c:v>
                </c:pt>
                <c:pt idx="30">
                  <c:v>1.03502303770225</c:v>
                </c:pt>
                <c:pt idx="31">
                  <c:v>1.0349328198024399</c:v>
                </c:pt>
                <c:pt idx="32">
                  <c:v>1.0348429321344901</c:v>
                </c:pt>
                <c:pt idx="33">
                  <c:v>1.0347836244655899</c:v>
                </c:pt>
                <c:pt idx="34">
                  <c:v>1.03470019023598</c:v>
                </c:pt>
                <c:pt idx="35">
                  <c:v>1.03460891224462</c:v>
                </c:pt>
                <c:pt idx="36">
                  <c:v>1.03454989845711</c:v>
                </c:pt>
                <c:pt idx="37">
                  <c:v>1.0343953793087799</c:v>
                </c:pt>
                <c:pt idx="38">
                  <c:v>1.0343872818012601</c:v>
                </c:pt>
                <c:pt idx="39">
                  <c:v>1.0343741786640499</c:v>
                </c:pt>
                <c:pt idx="40">
                  <c:v>1.03437985770263</c:v>
                </c:pt>
                <c:pt idx="41">
                  <c:v>1.0344485332817599</c:v>
                </c:pt>
                <c:pt idx="42">
                  <c:v>1.0346199782257599</c:v>
                </c:pt>
                <c:pt idx="43">
                  <c:v>1.03485063580528</c:v>
                </c:pt>
                <c:pt idx="44">
                  <c:v>1.0350375912166001</c:v>
                </c:pt>
                <c:pt idx="45">
                  <c:v>1.0352062098727399</c:v>
                </c:pt>
                <c:pt idx="46">
                  <c:v>1.0355009229402099</c:v>
                </c:pt>
                <c:pt idx="47">
                  <c:v>1.03578292452653</c:v>
                </c:pt>
                <c:pt idx="48">
                  <c:v>1.03611352561943</c:v>
                </c:pt>
                <c:pt idx="49">
                  <c:v>1.0363423414061199</c:v>
                </c:pt>
                <c:pt idx="50">
                  <c:v>1.03652931189984</c:v>
                </c:pt>
                <c:pt idx="51">
                  <c:v>1.03683779038239</c:v>
                </c:pt>
                <c:pt idx="52">
                  <c:v>1.03715703442174</c:v>
                </c:pt>
                <c:pt idx="53">
                  <c:v>1.0374604549044599</c:v>
                </c:pt>
                <c:pt idx="54">
                  <c:v>1.0377995956657999</c:v>
                </c:pt>
                <c:pt idx="55">
                  <c:v>1.03815694193533</c:v>
                </c:pt>
                <c:pt idx="56">
                  <c:v>1.0384711723650699</c:v>
                </c:pt>
                <c:pt idx="57">
                  <c:v>1.03892725886565</c:v>
                </c:pt>
                <c:pt idx="58">
                  <c:v>1.03935944450308</c:v>
                </c:pt>
                <c:pt idx="59">
                  <c:v>1.0397050257547999</c:v>
                </c:pt>
                <c:pt idx="60">
                  <c:v>1.0399633749767501</c:v>
                </c:pt>
                <c:pt idx="61">
                  <c:v>1.04001390354503</c:v>
                </c:pt>
                <c:pt idx="62">
                  <c:v>1.0400799536808201</c:v>
                </c:pt>
                <c:pt idx="63">
                  <c:v>1.04011333433863</c:v>
                </c:pt>
                <c:pt idx="64">
                  <c:v>1.0401790884253099</c:v>
                </c:pt>
                <c:pt idx="65">
                  <c:v>1.04019691434587</c:v>
                </c:pt>
                <c:pt idx="66">
                  <c:v>1.0402018233304999</c:v>
                </c:pt>
                <c:pt idx="67">
                  <c:v>1.0401843524486301</c:v>
                </c:pt>
                <c:pt idx="68">
                  <c:v>1.04008898053634</c:v>
                </c:pt>
                <c:pt idx="69">
                  <c:v>1.0400060274048599</c:v>
                </c:pt>
                <c:pt idx="70">
                  <c:v>1.0400131524493901</c:v>
                </c:pt>
                <c:pt idx="71">
                  <c:v>1.03996200078376</c:v>
                </c:pt>
                <c:pt idx="72">
                  <c:v>1.0398811989482299</c:v>
                </c:pt>
                <c:pt idx="73">
                  <c:v>1.0398101720816899</c:v>
                </c:pt>
                <c:pt idx="74">
                  <c:v>1.0397336266114701</c:v>
                </c:pt>
                <c:pt idx="75">
                  <c:v>1.03967745918163</c:v>
                </c:pt>
                <c:pt idx="76">
                  <c:v>1.03961465879245</c:v>
                </c:pt>
                <c:pt idx="77">
                  <c:v>1.03949197414822</c:v>
                </c:pt>
                <c:pt idx="78">
                  <c:v>1.03932909216637</c:v>
                </c:pt>
                <c:pt idx="79">
                  <c:v>1.0391635959851599</c:v>
                </c:pt>
                <c:pt idx="80">
                  <c:v>1.03910913389424</c:v>
                </c:pt>
                <c:pt idx="81">
                  <c:v>1.03911793582395</c:v>
                </c:pt>
                <c:pt idx="82">
                  <c:v>1.03922176122706</c:v>
                </c:pt>
                <c:pt idx="83">
                  <c:v>1.03931749247267</c:v>
                </c:pt>
                <c:pt idx="84">
                  <c:v>1.0394018453165099</c:v>
                </c:pt>
                <c:pt idx="85">
                  <c:v>1.03952082182949</c:v>
                </c:pt>
                <c:pt idx="86">
                  <c:v>1.03958527047851</c:v>
                </c:pt>
                <c:pt idx="87">
                  <c:v>1.0396833178403799</c:v>
                </c:pt>
                <c:pt idx="88">
                  <c:v>1.0398420668542401</c:v>
                </c:pt>
                <c:pt idx="89">
                  <c:v>1.04010933304713</c:v>
                </c:pt>
                <c:pt idx="90">
                  <c:v>1.04031644401015</c:v>
                </c:pt>
                <c:pt idx="91">
                  <c:v>1.04039429600514</c:v>
                </c:pt>
                <c:pt idx="92">
                  <c:v>1.04066711860149</c:v>
                </c:pt>
                <c:pt idx="93">
                  <c:v>1.0409105149582001</c:v>
                </c:pt>
                <c:pt idx="94">
                  <c:v>1.0411624874764001</c:v>
                </c:pt>
                <c:pt idx="95">
                  <c:v>1.04134007434285</c:v>
                </c:pt>
                <c:pt idx="96">
                  <c:v>1.0415112679616001</c:v>
                </c:pt>
                <c:pt idx="97">
                  <c:v>1.04157825139029</c:v>
                </c:pt>
                <c:pt idx="98">
                  <c:v>1.04165388619861</c:v>
                </c:pt>
                <c:pt idx="99">
                  <c:v>1.0417590595360999</c:v>
                </c:pt>
                <c:pt idx="100">
                  <c:v>1.0417837897678901</c:v>
                </c:pt>
                <c:pt idx="101">
                  <c:v>1.0418553408648501</c:v>
                </c:pt>
                <c:pt idx="102">
                  <c:v>1.0420052583178501</c:v>
                </c:pt>
                <c:pt idx="103">
                  <c:v>1.0420622602190699</c:v>
                </c:pt>
                <c:pt idx="104">
                  <c:v>1.0422227971077</c:v>
                </c:pt>
                <c:pt idx="105">
                  <c:v>1.0424133709574901</c:v>
                </c:pt>
                <c:pt idx="106">
                  <c:v>1.04259338926344</c:v>
                </c:pt>
                <c:pt idx="107">
                  <c:v>1.0427059779808201</c:v>
                </c:pt>
                <c:pt idx="108">
                  <c:v>1.04284098422301</c:v>
                </c:pt>
                <c:pt idx="109">
                  <c:v>1.0429517392602301</c:v>
                </c:pt>
                <c:pt idx="110">
                  <c:v>1.04304320212002</c:v>
                </c:pt>
                <c:pt idx="111">
                  <c:v>1.04314495448442</c:v>
                </c:pt>
                <c:pt idx="112">
                  <c:v>1.04312315110711</c:v>
                </c:pt>
                <c:pt idx="113">
                  <c:v>1.0431359756740599</c:v>
                </c:pt>
                <c:pt idx="114">
                  <c:v>1.04313429891123</c:v>
                </c:pt>
                <c:pt idx="115">
                  <c:v>1.04324971231136</c:v>
                </c:pt>
                <c:pt idx="116">
                  <c:v>1.0433923788788899</c:v>
                </c:pt>
                <c:pt idx="117">
                  <c:v>1.04348210240039</c:v>
                </c:pt>
                <c:pt idx="118">
                  <c:v>1.04359450196348</c:v>
                </c:pt>
                <c:pt idx="119">
                  <c:v>1.04371711829053</c:v>
                </c:pt>
                <c:pt idx="120">
                  <c:v>1.0438302855356001</c:v>
                </c:pt>
                <c:pt idx="121">
                  <c:v>1.04397700159818</c:v>
                </c:pt>
                <c:pt idx="122">
                  <c:v>1.0440140643500899</c:v>
                </c:pt>
                <c:pt idx="123">
                  <c:v>1.0438244991708201</c:v>
                </c:pt>
                <c:pt idx="124">
                  <c:v>1.0435556800869801</c:v>
                </c:pt>
                <c:pt idx="125">
                  <c:v>1.0432899902474899</c:v>
                </c:pt>
                <c:pt idx="126">
                  <c:v>1.0430708694045401</c:v>
                </c:pt>
                <c:pt idx="127">
                  <c:v>1.0429300639755099</c:v>
                </c:pt>
                <c:pt idx="128">
                  <c:v>1.04264753166605</c:v>
                </c:pt>
                <c:pt idx="129">
                  <c:v>1.0423582304318499</c:v>
                </c:pt>
                <c:pt idx="130">
                  <c:v>1.0421628041137001</c:v>
                </c:pt>
                <c:pt idx="131">
                  <c:v>1.0420614755441999</c:v>
                </c:pt>
                <c:pt idx="132">
                  <c:v>1.04187465554474</c:v>
                </c:pt>
                <c:pt idx="133">
                  <c:v>1.0416831487076199</c:v>
                </c:pt>
                <c:pt idx="134">
                  <c:v>1.0414919069347399</c:v>
                </c:pt>
                <c:pt idx="135">
                  <c:v>1.04130777538663</c:v>
                </c:pt>
                <c:pt idx="136">
                  <c:v>1.0410881136218699</c:v>
                </c:pt>
                <c:pt idx="137">
                  <c:v>1.04097821396071</c:v>
                </c:pt>
                <c:pt idx="138">
                  <c:v>1.04094036069344</c:v>
                </c:pt>
                <c:pt idx="139">
                  <c:v>1.04080440331621</c:v>
                </c:pt>
                <c:pt idx="140">
                  <c:v>1.0406431131462801</c:v>
                </c:pt>
                <c:pt idx="141">
                  <c:v>1.0405106165437801</c:v>
                </c:pt>
                <c:pt idx="142">
                  <c:v>1.04032005003203</c:v>
                </c:pt>
                <c:pt idx="143">
                  <c:v>1.04039865315887</c:v>
                </c:pt>
                <c:pt idx="144">
                  <c:v>1.04051212833063</c:v>
                </c:pt>
                <c:pt idx="145">
                  <c:v>1.04070537063285</c:v>
                </c:pt>
                <c:pt idx="146">
                  <c:v>1.04085337893701</c:v>
                </c:pt>
                <c:pt idx="147">
                  <c:v>1.04092982876189</c:v>
                </c:pt>
                <c:pt idx="148">
                  <c:v>1.0411335138172499</c:v>
                </c:pt>
                <c:pt idx="149">
                  <c:v>1.04131616690326</c:v>
                </c:pt>
                <c:pt idx="150">
                  <c:v>1.0415087072557501</c:v>
                </c:pt>
                <c:pt idx="151">
                  <c:v>1.04166104126195</c:v>
                </c:pt>
                <c:pt idx="152">
                  <c:v>1.0418371584471799</c:v>
                </c:pt>
                <c:pt idx="153">
                  <c:v>1.04199580183417</c:v>
                </c:pt>
                <c:pt idx="154">
                  <c:v>1.04224560513246</c:v>
                </c:pt>
                <c:pt idx="155">
                  <c:v>1.04241038886369</c:v>
                </c:pt>
                <c:pt idx="156">
                  <c:v>1.0426728228350901</c:v>
                </c:pt>
                <c:pt idx="157">
                  <c:v>1.0428324873708501</c:v>
                </c:pt>
                <c:pt idx="158">
                  <c:v>1.04297155113996</c:v>
                </c:pt>
                <c:pt idx="159">
                  <c:v>1.0431563562258599</c:v>
                </c:pt>
                <c:pt idx="160">
                  <c:v>1.0433970923240501</c:v>
                </c:pt>
                <c:pt idx="161">
                  <c:v>1.0435361384596</c:v>
                </c:pt>
                <c:pt idx="162">
                  <c:v>1.0436525363962199</c:v>
                </c:pt>
                <c:pt idx="163">
                  <c:v>1.0437964890451299</c:v>
                </c:pt>
                <c:pt idx="164">
                  <c:v>1.04397195780915</c:v>
                </c:pt>
                <c:pt idx="165">
                  <c:v>1.0441007563982101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1A6-4EF2-9502-A7777730FB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79547712"/>
        <c:axId val="205325072"/>
      </c:lineChart>
      <c:catAx>
        <c:axId val="167954771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325072"/>
        <c:crosses val="autoZero"/>
        <c:auto val="1"/>
        <c:lblAlgn val="ctr"/>
        <c:lblOffset val="100"/>
        <c:noMultiLvlLbl val="0"/>
      </c:catAx>
      <c:valAx>
        <c:axId val="205325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00_);_(* \(#,##0.00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95477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XLU_IDU_1!$U$1</c:f>
              <c:strCache>
                <c:ptCount val="1"/>
                <c:pt idx="0">
                  <c:v>log diff BNDX x avg / IAGG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XLU_IDU_1!$U$2:$U$167</c:f>
              <c:numCache>
                <c:formatCode>0.00%</c:formatCode>
                <c:ptCount val="166"/>
                <c:pt idx="1">
                  <c:v>4.3804366592496702E-3</c:v>
                </c:pt>
                <c:pt idx="2">
                  <c:v>4.2233412071201598E-3</c:v>
                </c:pt>
                <c:pt idx="3">
                  <c:v>4.8841285345799703E-3</c:v>
                </c:pt>
                <c:pt idx="4">
                  <c:v>5.0832722174046696E-3</c:v>
                </c:pt>
                <c:pt idx="5">
                  <c:v>4.4929722061640498E-3</c:v>
                </c:pt>
                <c:pt idx="6">
                  <c:v>4.7198586988737804E-3</c:v>
                </c:pt>
                <c:pt idx="7">
                  <c:v>4.8910613833959603E-3</c:v>
                </c:pt>
                <c:pt idx="8">
                  <c:v>5.5361121997741999E-3</c:v>
                </c:pt>
                <c:pt idx="9">
                  <c:v>5.52252032552061E-3</c:v>
                </c:pt>
                <c:pt idx="10">
                  <c:v>4.8910613833959603E-3</c:v>
                </c:pt>
                <c:pt idx="11">
                  <c:v>3.9883696242536603E-3</c:v>
                </c:pt>
                <c:pt idx="12">
                  <c:v>3.81753676587004E-3</c:v>
                </c:pt>
                <c:pt idx="13">
                  <c:v>4.2445650373364703E-3</c:v>
                </c:pt>
                <c:pt idx="14">
                  <c:v>4.4297608590040402E-3</c:v>
                </c:pt>
                <c:pt idx="15">
                  <c:v>4.6850245020656099E-3</c:v>
                </c:pt>
                <c:pt idx="16">
                  <c:v>4.6780491933045096E-3</c:v>
                </c:pt>
                <c:pt idx="17">
                  <c:v>3.47680339953511E-3</c:v>
                </c:pt>
                <c:pt idx="18">
                  <c:v>5.7755303000719396E-3</c:v>
                </c:pt>
                <c:pt idx="19">
                  <c:v>4.11629809885384E-3</c:v>
                </c:pt>
                <c:pt idx="20">
                  <c:v>3.6182343237555702E-3</c:v>
                </c:pt>
                <c:pt idx="21">
                  <c:v>3.6038264738316702E-3</c:v>
                </c:pt>
                <c:pt idx="22">
                  <c:v>5.4475678778056697E-3</c:v>
                </c:pt>
                <c:pt idx="23">
                  <c:v>5.09016541591028E-3</c:v>
                </c:pt>
                <c:pt idx="24">
                  <c:v>5.0970558222744001E-3</c:v>
                </c:pt>
                <c:pt idx="25">
                  <c:v>5.1108282653621597E-3</c:v>
                </c:pt>
                <c:pt idx="26">
                  <c:v>6.1797224629930297E-3</c:v>
                </c:pt>
                <c:pt idx="27">
                  <c:v>4.9947181170394003E-3</c:v>
                </c:pt>
                <c:pt idx="28">
                  <c:v>5.4665313538243502E-3</c:v>
                </c:pt>
                <c:pt idx="29">
                  <c:v>4.68123126365974E-3</c:v>
                </c:pt>
                <c:pt idx="30">
                  <c:v>5.3364740859013597E-3</c:v>
                </c:pt>
                <c:pt idx="31">
                  <c:v>5.7319654891182497E-3</c:v>
                </c:pt>
                <c:pt idx="32">
                  <c:v>5.5544478545062103E-3</c:v>
                </c:pt>
                <c:pt idx="33">
                  <c:v>5.3907257973863903E-3</c:v>
                </c:pt>
                <c:pt idx="34">
                  <c:v>6.0428588197356404E-3</c:v>
                </c:pt>
                <c:pt idx="35">
                  <c:v>6.4503567878847904E-3</c:v>
                </c:pt>
                <c:pt idx="36">
                  <c:v>5.8190220257777602E-3</c:v>
                </c:pt>
                <c:pt idx="37">
                  <c:v>6.4634447269113797E-3</c:v>
                </c:pt>
                <c:pt idx="38">
                  <c:v>5.9321823511829996E-3</c:v>
                </c:pt>
                <c:pt idx="39">
                  <c:v>4.3693795743971501E-3</c:v>
                </c:pt>
                <c:pt idx="40">
                  <c:v>3.50862062704283E-3</c:v>
                </c:pt>
                <c:pt idx="41">
                  <c:v>2.2791122754353401E-3</c:v>
                </c:pt>
                <c:pt idx="42">
                  <c:v>2.1376743263810602E-3</c:v>
                </c:pt>
                <c:pt idx="43">
                  <c:v>6.4124782461546799E-4</c:v>
                </c:pt>
                <c:pt idx="44">
                  <c:v>1.4895213464600199E-3</c:v>
                </c:pt>
                <c:pt idx="45">
                  <c:v>1.8565042009514E-3</c:v>
                </c:pt>
                <c:pt idx="46">
                  <c:v>4.9263222394428305E-4</c:v>
                </c:pt>
                <c:pt idx="47">
                  <c:v>-4.4131637562695101E-4</c:v>
                </c:pt>
                <c:pt idx="48">
                  <c:v>-9.0635550259209096E-4</c:v>
                </c:pt>
                <c:pt idx="49">
                  <c:v>2.6956032450671898E-4</c:v>
                </c:pt>
                <c:pt idx="50">
                  <c:v>1.72778677527349E-3</c:v>
                </c:pt>
                <c:pt idx="51">
                  <c:v>-2.1731104045414099E-4</c:v>
                </c:pt>
                <c:pt idx="52">
                  <c:v>-6.00724629930969E-4</c:v>
                </c:pt>
                <c:pt idx="53">
                  <c:v>-4.59296890352632E-4</c:v>
                </c:pt>
                <c:pt idx="54">
                  <c:v>-4.9786370481975201E-4</c:v>
                </c:pt>
                <c:pt idx="55">
                  <c:v>-4.4307189182442801E-4</c:v>
                </c:pt>
                <c:pt idx="56">
                  <c:v>-2.4137635696616199E-4</c:v>
                </c:pt>
                <c:pt idx="57">
                  <c:v>-2.3265086733459499E-3</c:v>
                </c:pt>
                <c:pt idx="58">
                  <c:v>-2.39464710773343E-3</c:v>
                </c:pt>
                <c:pt idx="59">
                  <c:v>-2.2840356482312601E-3</c:v>
                </c:pt>
                <c:pt idx="60">
                  <c:v>-1.4652313355149799E-3</c:v>
                </c:pt>
                <c:pt idx="61">
                  <c:v>1.30556329433113E-3</c:v>
                </c:pt>
                <c:pt idx="62">
                  <c:v>8.6543671289429896E-4</c:v>
                </c:pt>
                <c:pt idx="63">
                  <c:v>-9.6111742488957697E-7</c:v>
                </c:pt>
                <c:pt idx="64">
                  <c:v>2.23802656732604E-4</c:v>
                </c:pt>
                <c:pt idx="65">
                  <c:v>1.5130838008126E-3</c:v>
                </c:pt>
                <c:pt idx="66">
                  <c:v>3.98176661798307E-4</c:v>
                </c:pt>
                <c:pt idx="67">
                  <c:v>-1.0539430638737E-4</c:v>
                </c:pt>
                <c:pt idx="68">
                  <c:v>9.27932577158748E-4</c:v>
                </c:pt>
                <c:pt idx="69">
                  <c:v>1.8666858386894201E-3</c:v>
                </c:pt>
                <c:pt idx="70">
                  <c:v>1.5905246959950999E-3</c:v>
                </c:pt>
                <c:pt idx="71">
                  <c:v>7.66748780351627E-4</c:v>
                </c:pt>
                <c:pt idx="72">
                  <c:v>9.5359465727237096E-4</c:v>
                </c:pt>
                <c:pt idx="73">
                  <c:v>9.0705411135103995E-4</c:v>
                </c:pt>
                <c:pt idx="74">
                  <c:v>9.7467060249585504E-4</c:v>
                </c:pt>
                <c:pt idx="75">
                  <c:v>6.3728969176585096E-4</c:v>
                </c:pt>
                <c:pt idx="76">
                  <c:v>9.6688887908831099E-4</c:v>
                </c:pt>
                <c:pt idx="77">
                  <c:v>3.0352119497939599E-5</c:v>
                </c:pt>
                <c:pt idx="78">
                  <c:v>7.3542975067745705E-4</c:v>
                </c:pt>
                <c:pt idx="79">
                  <c:v>8.9671019675385398E-4</c:v>
                </c:pt>
                <c:pt idx="80">
                  <c:v>-4.18759326970045E-4</c:v>
                </c:pt>
                <c:pt idx="81">
                  <c:v>1.1360707816775401E-3</c:v>
                </c:pt>
                <c:pt idx="82">
                  <c:v>-1.1311504907605501E-3</c:v>
                </c:pt>
                <c:pt idx="83">
                  <c:v>-1.8404459899274001E-3</c:v>
                </c:pt>
                <c:pt idx="84">
                  <c:v>-1.39758635661914E-3</c:v>
                </c:pt>
                <c:pt idx="85">
                  <c:v>-7.7601018040800802E-4</c:v>
                </c:pt>
                <c:pt idx="86">
                  <c:v>-8.4107652486428697E-4</c:v>
                </c:pt>
                <c:pt idx="87">
                  <c:v>-1.9891451228453401E-3</c:v>
                </c:pt>
                <c:pt idx="88">
                  <c:v>-2.1234291697037099E-3</c:v>
                </c:pt>
                <c:pt idx="89">
                  <c:v>-3.2699793269297E-3</c:v>
                </c:pt>
                <c:pt idx="90">
                  <c:v>-2.39120124875448E-3</c:v>
                </c:pt>
                <c:pt idx="91">
                  <c:v>-7.3058970030569703E-4</c:v>
                </c:pt>
                <c:pt idx="92">
                  <c:v>-4.2848083341392E-3</c:v>
                </c:pt>
                <c:pt idx="93">
                  <c:v>-3.76744391290172E-3</c:v>
                </c:pt>
                <c:pt idx="94">
                  <c:v>-3.8644636453101502E-3</c:v>
                </c:pt>
                <c:pt idx="95">
                  <c:v>-2.77455270202576E-3</c:v>
                </c:pt>
                <c:pt idx="96">
                  <c:v>-2.3234091723698599E-3</c:v>
                </c:pt>
                <c:pt idx="97">
                  <c:v>-1.2571364434935701E-3</c:v>
                </c:pt>
                <c:pt idx="98">
                  <c:v>-7.1925073906781503E-4</c:v>
                </c:pt>
                <c:pt idx="99">
                  <c:v>-1.12583509776468E-3</c:v>
                </c:pt>
                <c:pt idx="100">
                  <c:v>-8.9407871817363501E-4</c:v>
                </c:pt>
                <c:pt idx="101">
                  <c:v>-2.40673000597387E-4</c:v>
                </c:pt>
                <c:pt idx="102">
                  <c:v>-4.0070832036969498E-3</c:v>
                </c:pt>
                <c:pt idx="103">
                  <c:v>-2.93413780103532E-3</c:v>
                </c:pt>
                <c:pt idx="104">
                  <c:v>-4.47610397253464E-3</c:v>
                </c:pt>
                <c:pt idx="105">
                  <c:v>-4.43174465559284E-3</c:v>
                </c:pt>
                <c:pt idx="106">
                  <c:v>-4.29445134040454E-3</c:v>
                </c:pt>
                <c:pt idx="107">
                  <c:v>-4.1479061655122097E-3</c:v>
                </c:pt>
                <c:pt idx="108">
                  <c:v>-4.7111180130991097E-3</c:v>
                </c:pt>
                <c:pt idx="109">
                  <c:v>-5.3909035280796103E-3</c:v>
                </c:pt>
                <c:pt idx="110">
                  <c:v>-4.14454846960788E-3</c:v>
                </c:pt>
                <c:pt idx="111">
                  <c:v>-2.6842333484054901E-3</c:v>
                </c:pt>
                <c:pt idx="112">
                  <c:v>-3.8671741732112302E-3</c:v>
                </c:pt>
                <c:pt idx="113">
                  <c:v>-4.0131385090251496E-3</c:v>
                </c:pt>
                <c:pt idx="114">
                  <c:v>-3.8323386754245299E-3</c:v>
                </c:pt>
                <c:pt idx="115">
                  <c:v>-4.9856785576199497E-3</c:v>
                </c:pt>
                <c:pt idx="116">
                  <c:v>-5.0571782803224699E-3</c:v>
                </c:pt>
                <c:pt idx="117">
                  <c:v>-2.9791191841365698E-3</c:v>
                </c:pt>
                <c:pt idx="118">
                  <c:v>-2.8771244514874698E-3</c:v>
                </c:pt>
                <c:pt idx="119">
                  <c:v>-3.4786663292649899E-3</c:v>
                </c:pt>
                <c:pt idx="120">
                  <c:v>-3.0662951894008198E-3</c:v>
                </c:pt>
                <c:pt idx="121">
                  <c:v>-3.0577823032432701E-3</c:v>
                </c:pt>
                <c:pt idx="122">
                  <c:v>-4.7168010313881799E-3</c:v>
                </c:pt>
                <c:pt idx="123">
                  <c:v>7.0767219463046497E-4</c:v>
                </c:pt>
                <c:pt idx="124">
                  <c:v>6.8423999041192099E-4</c:v>
                </c:pt>
                <c:pt idx="125">
                  <c:v>6.6860262828557897E-4</c:v>
                </c:pt>
                <c:pt idx="126">
                  <c:v>-8.9375211625873703E-5</c:v>
                </c:pt>
                <c:pt idx="127">
                  <c:v>-1.4473905460926E-3</c:v>
                </c:pt>
                <c:pt idx="128">
                  <c:v>7.1190688252835595E-4</c:v>
                </c:pt>
                <c:pt idx="129">
                  <c:v>1.5862364836706001E-4</c:v>
                </c:pt>
                <c:pt idx="130">
                  <c:v>-3.9447663262234502E-4</c:v>
                </c:pt>
                <c:pt idx="131">
                  <c:v>-7.3873447531030403E-4</c:v>
                </c:pt>
                <c:pt idx="132">
                  <c:v>-2.8155073374995499E-4</c:v>
                </c:pt>
                <c:pt idx="133">
                  <c:v>-3.3793286673841801E-4</c:v>
                </c:pt>
                <c:pt idx="134">
                  <c:v>-1.6156438941351901E-4</c:v>
                </c:pt>
                <c:pt idx="135">
                  <c:v>-1.4557031535346399E-3</c:v>
                </c:pt>
                <c:pt idx="136">
                  <c:v>-8.4492040034649498E-4</c:v>
                </c:pt>
                <c:pt idx="137">
                  <c:v>-8.6950526029750395E-4</c:v>
                </c:pt>
                <c:pt idx="138">
                  <c:v>-2.15092826760074E-3</c:v>
                </c:pt>
                <c:pt idx="139">
                  <c:v>-8.6950526029750395E-4</c:v>
                </c:pt>
                <c:pt idx="140">
                  <c:v>3.1060360774630403E-5</c:v>
                </c:pt>
                <c:pt idx="141">
                  <c:v>-5.1404979546968604E-4</c:v>
                </c:pt>
                <c:pt idx="142">
                  <c:v>-1.0622513855568999E-3</c:v>
                </c:pt>
                <c:pt idx="143">
                  <c:v>-8.0401275664673897E-4</c:v>
                </c:pt>
                <c:pt idx="144">
                  <c:v>-1.4973173558372999E-3</c:v>
                </c:pt>
                <c:pt idx="145">
                  <c:v>-3.0435742682025902E-3</c:v>
                </c:pt>
                <c:pt idx="146">
                  <c:v>-2.9316911392471799E-3</c:v>
                </c:pt>
                <c:pt idx="147">
                  <c:v>-2.9145310441813701E-3</c:v>
                </c:pt>
                <c:pt idx="148">
                  <c:v>-3.200652055965E-3</c:v>
                </c:pt>
                <c:pt idx="149">
                  <c:v>-3.3487053237724299E-3</c:v>
                </c:pt>
                <c:pt idx="150">
                  <c:v>-4.0892713205122099E-3</c:v>
                </c:pt>
                <c:pt idx="151">
                  <c:v>-3.66210260444522E-3</c:v>
                </c:pt>
                <c:pt idx="152">
                  <c:v>-3.66210260444522E-3</c:v>
                </c:pt>
                <c:pt idx="153">
                  <c:v>-3.3834156835543601E-3</c:v>
                </c:pt>
                <c:pt idx="154">
                  <c:v>-4.9537034814217196E-3</c:v>
                </c:pt>
                <c:pt idx="155">
                  <c:v>-4.6153479923408802E-3</c:v>
                </c:pt>
                <c:pt idx="156">
                  <c:v>-5.8753229595328296E-3</c:v>
                </c:pt>
                <c:pt idx="157">
                  <c:v>-3.9329347216197604E-3</c:v>
                </c:pt>
                <c:pt idx="158">
                  <c:v>-4.8162117069862499E-3</c:v>
                </c:pt>
                <c:pt idx="159">
                  <c:v>-4.41444392335783E-3</c:v>
                </c:pt>
                <c:pt idx="160">
                  <c:v>-4.5884254812037601E-3</c:v>
                </c:pt>
                <c:pt idx="161">
                  <c:v>-3.1833556648815098E-3</c:v>
                </c:pt>
                <c:pt idx="162">
                  <c:v>-3.2960356632899001E-3</c:v>
                </c:pt>
                <c:pt idx="163">
                  <c:v>-3.5665801982564002E-3</c:v>
                </c:pt>
                <c:pt idx="164">
                  <c:v>-4.8613582909903703E-3</c:v>
                </c:pt>
                <c:pt idx="165">
                  <c:v>-5.5101588042172104E-3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2-4334-9B53-1162DFE48A21}"/>
            </c:ext>
          </c:extLst>
        </c:ser>
        <c:ser>
          <c:idx val="1"/>
          <c:order val="1"/>
          <c:tx>
            <c:strRef>
              <c:f>XLU_IDU_1!$V$1</c:f>
              <c:strCache>
                <c:ptCount val="1"/>
                <c:pt idx="0">
                  <c:v>log diff BNDX x 10 dma / IAGG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XLU_IDU_1!$V$2:$V$167</c:f>
              <c:numCache>
                <c:formatCode>0.00%</c:formatCode>
                <c:ptCount val="166"/>
                <c:pt idx="10">
                  <c:v>1.4469598310673E-4</c:v>
                </c:pt>
                <c:pt idx="11">
                  <c:v>-8.7401995894311499E-4</c:v>
                </c:pt>
                <c:pt idx="12">
                  <c:v>-1.0056202925549499E-3</c:v>
                </c:pt>
                <c:pt idx="13">
                  <c:v>-5.3797981363850299E-4</c:v>
                </c:pt>
                <c:pt idx="14">
                  <c:v>-2.8881573049472801E-4</c:v>
                </c:pt>
                <c:pt idx="15">
                  <c:v>3.17944350675648E-5</c:v>
                </c:pt>
                <c:pt idx="16">
                  <c:v>5.61247861593768E-6</c:v>
                </c:pt>
                <c:pt idx="17">
                  <c:v>-1.1914524842016E-3</c:v>
                </c:pt>
                <c:pt idx="18">
                  <c:v>1.24875872956199E-3</c:v>
                </c:pt>
                <c:pt idx="19">
                  <c:v>-4.3438855146738002E-4</c:v>
                </c:pt>
                <c:pt idx="20">
                  <c:v>-7.9187775667062304E-4</c:v>
                </c:pt>
                <c:pt idx="21">
                  <c:v>-6.7899120486750099E-4</c:v>
                </c:pt>
                <c:pt idx="22">
                  <c:v>1.2032224953427699E-3</c:v>
                </c:pt>
                <c:pt idx="23">
                  <c:v>6.82866894731393E-4</c:v>
                </c:pt>
                <c:pt idx="24">
                  <c:v>6.0521567556810903E-4</c:v>
                </c:pt>
                <c:pt idx="25">
                  <c:v>5.5227451493645595E-4</c:v>
                </c:pt>
                <c:pt idx="26">
                  <c:v>1.57860187812432E-3</c:v>
                </c:pt>
                <c:pt idx="27">
                  <c:v>2.43543185374391E-4</c:v>
                </c:pt>
                <c:pt idx="28">
                  <c:v>5.6347514681077504E-4</c:v>
                </c:pt>
                <c:pt idx="29">
                  <c:v>-1.90947702691153E-4</c:v>
                </c:pt>
                <c:pt idx="30">
                  <c:v>4.0777345392417798E-4</c:v>
                </c:pt>
                <c:pt idx="31">
                  <c:v>6.3134851337080496E-4</c:v>
                </c:pt>
                <c:pt idx="32">
                  <c:v>2.4090216037221101E-4</c:v>
                </c:pt>
                <c:pt idx="33">
                  <c:v>6.64940518890566E-5</c:v>
                </c:pt>
                <c:pt idx="34">
                  <c:v>6.8856806582521103E-4</c:v>
                </c:pt>
                <c:pt idx="35">
                  <c:v>1.0015016552427801E-3</c:v>
                </c:pt>
                <c:pt idx="36">
                  <c:v>2.3624949413785201E-4</c:v>
                </c:pt>
                <c:pt idx="37">
                  <c:v>9.1672656558135701E-4</c:v>
                </c:pt>
                <c:pt idx="38">
                  <c:v>2.38607514488554E-4</c:v>
                </c:pt>
                <c:pt idx="39">
                  <c:v>-1.37076117738997E-3</c:v>
                </c:pt>
                <c:pt idx="40">
                  <c:v>-2.2002975352550199E-3</c:v>
                </c:pt>
                <c:pt idx="41">
                  <c:v>-3.2468019807051101E-3</c:v>
                </c:pt>
                <c:pt idx="42">
                  <c:v>-3.0424888528273199E-3</c:v>
                </c:pt>
                <c:pt idx="43">
                  <c:v>-4.1968402130604402E-3</c:v>
                </c:pt>
                <c:pt idx="44">
                  <c:v>-2.8728654186467501E-3</c:v>
                </c:pt>
                <c:pt idx="45">
                  <c:v>-2.0503806305933701E-3</c:v>
                </c:pt>
                <c:pt idx="46">
                  <c:v>-2.9550856238419998E-3</c:v>
                </c:pt>
                <c:pt idx="47">
                  <c:v>-3.3563810032603099E-3</c:v>
                </c:pt>
                <c:pt idx="48">
                  <c:v>-3.13124715486242E-3</c:v>
                </c:pt>
                <c:pt idx="49">
                  <c:v>-1.2719067344485601E-3</c:v>
                </c:pt>
                <c:pt idx="50">
                  <c:v>5.9589919601275995E-4</c:v>
                </c:pt>
                <c:pt idx="51">
                  <c:v>-1.1713955105493101E-3</c:v>
                </c:pt>
                <c:pt idx="52">
                  <c:v>-1.3052170301351301E-3</c:v>
                </c:pt>
                <c:pt idx="53">
                  <c:v>-8.9000431228354496E-4</c:v>
                </c:pt>
                <c:pt idx="54">
                  <c:v>-8.1848531399071004E-4</c:v>
                </c:pt>
                <c:pt idx="55">
                  <c:v>-5.6500951950531203E-4</c:v>
                </c:pt>
                <c:pt idx="56">
                  <c:v>-1.33517165003762E-4</c:v>
                </c:pt>
                <c:pt idx="57">
                  <c:v>-2.14526845025366E-3</c:v>
                </c:pt>
                <c:pt idx="58">
                  <c:v>-2.0246785739777401E-3</c:v>
                </c:pt>
                <c:pt idx="59">
                  <c:v>-1.7650583398750501E-3</c:v>
                </c:pt>
                <c:pt idx="60">
                  <c:v>-6.9080227863499801E-4</c:v>
                </c:pt>
                <c:pt idx="61">
                  <c:v>2.39895436112676E-3</c:v>
                </c:pt>
                <c:pt idx="62">
                  <c:v>1.80677794175492E-3</c:v>
                </c:pt>
                <c:pt idx="63">
                  <c:v>7.9391057475787399E-4</c:v>
                </c:pt>
                <c:pt idx="64">
                  <c:v>9.7286559888714902E-4</c:v>
                </c:pt>
                <c:pt idx="65">
                  <c:v>2.19002165910314E-3</c:v>
                </c:pt>
                <c:pt idx="66">
                  <c:v>8.7971676225136403E-4</c:v>
                </c:pt>
                <c:pt idx="67">
                  <c:v>3.1222424928504399E-4</c:v>
                </c:pt>
                <c:pt idx="68">
                  <c:v>1.1232375509359501E-3</c:v>
                </c:pt>
                <c:pt idx="69">
                  <c:v>1.7294986013886399E-3</c:v>
                </c:pt>
                <c:pt idx="70">
                  <c:v>1.0380352033228001E-3</c:v>
                </c:pt>
                <c:pt idx="71">
                  <c:v>-9.1512898650036195E-5</c:v>
                </c:pt>
                <c:pt idx="72">
                  <c:v>1.4920339492964599E-4</c:v>
                </c:pt>
                <c:pt idx="73">
                  <c:v>9.3847942422877094E-5</c:v>
                </c:pt>
                <c:pt idx="74">
                  <c:v>7.0626072953964495E-5</c:v>
                </c:pt>
                <c:pt idx="75">
                  <c:v>-3.4186734552703899E-4</c:v>
                </c:pt>
                <c:pt idx="76">
                  <c:v>7.5299011560919701E-5</c:v>
                </c:pt>
                <c:pt idx="77">
                  <c:v>-9.1812247900640697E-4</c:v>
                </c:pt>
                <c:pt idx="78">
                  <c:v>-2.2663297388337501E-4</c:v>
                </c:pt>
                <c:pt idx="79">
                  <c:v>-4.6099920416469698E-5</c:v>
                </c:pt>
                <c:pt idx="80">
                  <c:v>-1.2646191376954701E-3</c:v>
                </c:pt>
                <c:pt idx="81">
                  <c:v>4.9117145672553E-4</c:v>
                </c:pt>
                <c:pt idx="82">
                  <c:v>-1.8129713792768799E-3</c:v>
                </c:pt>
                <c:pt idx="83">
                  <c:v>-2.3136533750424599E-3</c:v>
                </c:pt>
                <c:pt idx="84">
                  <c:v>-1.59582309315566E-3</c:v>
                </c:pt>
                <c:pt idx="85">
                  <c:v>-7.36952112022564E-4</c:v>
                </c:pt>
                <c:pt idx="86">
                  <c:v>-6.6069416157645705E-4</c:v>
                </c:pt>
                <c:pt idx="87">
                  <c:v>-1.6280265087007899E-3</c:v>
                </c:pt>
                <c:pt idx="88">
                  <c:v>-1.56025631166323E-3</c:v>
                </c:pt>
                <c:pt idx="89">
                  <c:v>-2.42092394378722E-3</c:v>
                </c:pt>
                <c:pt idx="90">
                  <c:v>-1.12542277035164E-3</c:v>
                </c:pt>
                <c:pt idx="91">
                  <c:v>7.3244100541407795E-4</c:v>
                </c:pt>
                <c:pt idx="92">
                  <c:v>-2.6354395992735698E-3</c:v>
                </c:pt>
                <c:pt idx="93">
                  <c:v>-1.8024250592564199E-3</c:v>
                </c:pt>
                <c:pt idx="94">
                  <c:v>-1.7066018362110701E-3</c:v>
                </c:pt>
                <c:pt idx="95">
                  <c:v>-3.6991680153605099E-4</c:v>
                </c:pt>
                <c:pt idx="96">
                  <c:v>2.8093533083751603E-4</c:v>
                </c:pt>
                <c:pt idx="97">
                  <c:v>1.4952789429251499E-3</c:v>
                </c:pt>
                <c:pt idx="98">
                  <c:v>1.9600437217366599E-3</c:v>
                </c:pt>
                <c:pt idx="99">
                  <c:v>1.4132082019235599E-3</c:v>
                </c:pt>
                <c:pt idx="100">
                  <c:v>1.43060027517602E-3</c:v>
                </c:pt>
                <c:pt idx="101">
                  <c:v>1.9343846077844501E-3</c:v>
                </c:pt>
                <c:pt idx="102">
                  <c:v>-1.8809357639200999E-3</c:v>
                </c:pt>
                <c:pt idx="103">
                  <c:v>-8.3581941318030498E-4</c:v>
                </c:pt>
                <c:pt idx="104">
                  <c:v>-2.4612241138610999E-3</c:v>
                </c:pt>
                <c:pt idx="105">
                  <c:v>-2.3555706663880198E-3</c:v>
                </c:pt>
                <c:pt idx="106">
                  <c:v>-2.0523186664405499E-3</c:v>
                </c:pt>
                <c:pt idx="107">
                  <c:v>-1.7084783242759501E-3</c:v>
                </c:pt>
                <c:pt idx="108">
                  <c:v>-1.9825788314251501E-3</c:v>
                </c:pt>
                <c:pt idx="109">
                  <c:v>-2.26326233679112E-3</c:v>
                </c:pt>
                <c:pt idx="110">
                  <c:v>-5.9043530399312E-4</c:v>
                </c:pt>
                <c:pt idx="111">
                  <c:v>1.19453804361594E-3</c:v>
                </c:pt>
                <c:pt idx="112">
                  <c:v>2.5533387887996702E-4</c:v>
                </c:pt>
                <c:pt idx="113">
                  <c:v>9.53811355531749E-5</c:v>
                </c:pt>
                <c:pt idx="114">
                  <c:v>3.840067497587E-4</c:v>
                </c:pt>
                <c:pt idx="115">
                  <c:v>-8.3370773604962397E-4</c:v>
                </c:pt>
                <c:pt idx="116">
                  <c:v>-8.4978475536138002E-4</c:v>
                </c:pt>
                <c:pt idx="117">
                  <c:v>1.3045798614481599E-3</c:v>
                </c:pt>
                <c:pt idx="118">
                  <c:v>1.2897732124378899E-3</c:v>
                </c:pt>
                <c:pt idx="119">
                  <c:v>5.0488349983536496E-4</c:v>
                </c:pt>
                <c:pt idx="120">
                  <c:v>7.2592628224180502E-4</c:v>
                </c:pt>
                <c:pt idx="121">
                  <c:v>6.2662816361037498E-4</c:v>
                </c:pt>
                <c:pt idx="122">
                  <c:v>-9.950667375929049E-4</c:v>
                </c:pt>
                <c:pt idx="123">
                  <c:v>4.5144140276268301E-3</c:v>
                </c:pt>
                <c:pt idx="124">
                  <c:v>4.0198051016362198E-3</c:v>
                </c:pt>
                <c:pt idx="125">
                  <c:v>3.55320272239474E-3</c:v>
                </c:pt>
                <c:pt idx="126">
                  <c:v>2.2300467150672102E-3</c:v>
                </c:pt>
                <c:pt idx="127">
                  <c:v>3.7500093751240501E-4</c:v>
                </c:pt>
                <c:pt idx="128">
                  <c:v>2.3810538646447301E-3</c:v>
                </c:pt>
                <c:pt idx="129">
                  <c:v>1.4690134075622499E-3</c:v>
                </c:pt>
                <c:pt idx="130">
                  <c:v>5.51990523058351E-4</c:v>
                </c:pt>
                <c:pt idx="131">
                  <c:v>-5.9694541297605298E-5</c:v>
                </c:pt>
                <c:pt idx="132">
                  <c:v>1.6527449066778199E-4</c:v>
                </c:pt>
                <c:pt idx="133">
                  <c:v>-3.3564303120217501E-4</c:v>
                </c:pt>
                <c:pt idx="134">
                  <c:v>-5.4739074662458499E-5</c:v>
                </c:pt>
                <c:pt idx="135">
                  <c:v>-1.26433210603806E-3</c:v>
                </c:pt>
                <c:pt idx="136">
                  <c:v>-4.4109835063994401E-4</c:v>
                </c:pt>
                <c:pt idx="137">
                  <c:v>-3.9012675968388798E-4</c:v>
                </c:pt>
                <c:pt idx="138">
                  <c:v>-1.72937922421052E-3</c:v>
                </c:pt>
                <c:pt idx="139">
                  <c:v>-1.6162828563854001E-4</c:v>
                </c:pt>
                <c:pt idx="140">
                  <c:v>8.4170872107020803E-4</c:v>
                </c:pt>
                <c:pt idx="141">
                  <c:v>2.5407071618766198E-4</c:v>
                </c:pt>
                <c:pt idx="142">
                  <c:v>-3.1659641008528798E-4</c:v>
                </c:pt>
                <c:pt idx="143">
                  <c:v>1.9703481367676901E-5</c:v>
                </c:pt>
                <c:pt idx="144">
                  <c:v>-6.27005992354188E-4</c:v>
                </c:pt>
                <c:pt idx="145">
                  <c:v>-2.0397019769813601E-3</c:v>
                </c:pt>
                <c:pt idx="146">
                  <c:v>-1.76884642172651E-3</c:v>
                </c:pt>
                <c:pt idx="147">
                  <c:v>-1.54287957451196E-3</c:v>
                </c:pt>
                <c:pt idx="148">
                  <c:v>-1.6244124578106999E-3</c:v>
                </c:pt>
                <c:pt idx="149">
                  <c:v>-1.66738337738205E-3</c:v>
                </c:pt>
                <c:pt idx="150">
                  <c:v>-2.15995397891752E-3</c:v>
                </c:pt>
                <c:pt idx="151">
                  <c:v>-1.32079556456577E-3</c:v>
                </c:pt>
                <c:pt idx="152">
                  <c:v>-1.0061193777675E-3</c:v>
                </c:pt>
                <c:pt idx="153">
                  <c:v>-4.6755740626383199E-4</c:v>
                </c:pt>
                <c:pt idx="154">
                  <c:v>-1.78015002317722E-3</c:v>
                </c:pt>
                <c:pt idx="155">
                  <c:v>-1.0961975162096301E-3</c:v>
                </c:pt>
                <c:pt idx="156">
                  <c:v>-2.1989586721609302E-3</c:v>
                </c:pt>
                <c:pt idx="157">
                  <c:v>3.7963596624995199E-5</c:v>
                </c:pt>
                <c:pt idx="158">
                  <c:v>-7.43533904593354E-4</c:v>
                </c:pt>
                <c:pt idx="159">
                  <c:v>-1.8023356435879E-4</c:v>
                </c:pt>
                <c:pt idx="160">
                  <c:v>-2.4768450691789999E-4</c:v>
                </c:pt>
                <c:pt idx="161">
                  <c:v>1.2072993857950101E-3</c:v>
                </c:pt>
                <c:pt idx="162">
                  <c:v>1.04678986589811E-3</c:v>
                </c:pt>
                <c:pt idx="163">
                  <c:v>7.3966957334128003E-4</c:v>
                </c:pt>
                <c:pt idx="164">
                  <c:v>-5.3680745461979205E-4</c:v>
                </c:pt>
                <c:pt idx="165">
                  <c:v>-1.1948479146911999E-3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F32-4334-9B53-1162DFE48A21}"/>
            </c:ext>
          </c:extLst>
        </c:ser>
        <c:ser>
          <c:idx val="2"/>
          <c:order val="2"/>
          <c:tx>
            <c:strRef>
              <c:f>XLU_IDU_1!$W$1</c:f>
              <c:strCache>
                <c:ptCount val="1"/>
                <c:pt idx="0">
                  <c:v>log diff BNDX x 20 dma / IAGG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XLU_IDU_1!$W$2:$W$167</c:f>
              <c:numCache>
                <c:formatCode>0.00%</c:formatCode>
                <c:ptCount val="166"/>
                <c:pt idx="20">
                  <c:v>-9.5999028331563005E-4</c:v>
                </c:pt>
                <c:pt idx="21">
                  <c:v>-9.6873516916783596E-4</c:v>
                </c:pt>
                <c:pt idx="22">
                  <c:v>9.1385853523061301E-4</c:v>
                </c:pt>
                <c:pt idx="23">
                  <c:v>4.9526133105946802E-4</c:v>
                </c:pt>
                <c:pt idx="24">
                  <c:v>4.9185388034868804E-4</c:v>
                </c:pt>
                <c:pt idx="25">
                  <c:v>5.0493747710120198E-4</c:v>
                </c:pt>
                <c:pt idx="26">
                  <c:v>1.54294444896321E-3</c:v>
                </c:pt>
                <c:pt idx="27">
                  <c:v>2.8500356878421502E-4</c:v>
                </c:pt>
                <c:pt idx="28">
                  <c:v>7.5163516382852102E-4</c:v>
                </c:pt>
                <c:pt idx="29">
                  <c:v>-3.0188625012482798E-5</c:v>
                </c:pt>
                <c:pt idx="30">
                  <c:v>6.6710134645994604E-4</c:v>
                </c:pt>
                <c:pt idx="31">
                  <c:v>1.0403317613540001E-3</c:v>
                </c:pt>
                <c:pt idx="32">
                  <c:v>7.7564521486435704E-4</c:v>
                </c:pt>
                <c:pt idx="33">
                  <c:v>5.2506575986176001E-4</c:v>
                </c:pt>
                <c:pt idx="34">
                  <c:v>1.11988634705552E-3</c:v>
                </c:pt>
                <c:pt idx="35">
                  <c:v>1.4467514259164801E-3</c:v>
                </c:pt>
                <c:pt idx="36">
                  <c:v>7.2719592258667603E-4</c:v>
                </c:pt>
                <c:pt idx="37">
                  <c:v>1.3145772915405E-3</c:v>
                </c:pt>
                <c:pt idx="38">
                  <c:v>6.3394494428989899E-4</c:v>
                </c:pt>
                <c:pt idx="39">
                  <c:v>-9.3668611496712495E-4</c:v>
                </c:pt>
                <c:pt idx="40">
                  <c:v>-1.8101126776719999E-3</c:v>
                </c:pt>
                <c:pt idx="41">
                  <c:v>-3.0341307307869001E-3</c:v>
                </c:pt>
                <c:pt idx="42">
                  <c:v>-3.1091778864284301E-3</c:v>
                </c:pt>
                <c:pt idx="43">
                  <c:v>-4.4398825250081802E-3</c:v>
                </c:pt>
                <c:pt idx="44">
                  <c:v>-3.3686944288633699E-3</c:v>
                </c:pt>
                <c:pt idx="45">
                  <c:v>-2.8210685721202101E-3</c:v>
                </c:pt>
                <c:pt idx="46">
                  <c:v>-4.0220431585641604E-3</c:v>
                </c:pt>
                <c:pt idx="47">
                  <c:v>-4.6713420703183E-3</c:v>
                </c:pt>
                <c:pt idx="48">
                  <c:v>-4.8640847774491401E-3</c:v>
                </c:pt>
                <c:pt idx="49">
                  <c:v>-3.3690399748856799E-3</c:v>
                </c:pt>
                <c:pt idx="50">
                  <c:v>-1.68999744667194E-3</c:v>
                </c:pt>
                <c:pt idx="51">
                  <c:v>-3.4546977023980699E-3</c:v>
                </c:pt>
                <c:pt idx="52">
                  <c:v>-3.5405484681118801E-3</c:v>
                </c:pt>
                <c:pt idx="53">
                  <c:v>-3.0912664966345101E-3</c:v>
                </c:pt>
                <c:pt idx="54">
                  <c:v>-2.8373259101512E-3</c:v>
                </c:pt>
                <c:pt idx="55">
                  <c:v>-2.4556923943389098E-3</c:v>
                </c:pt>
                <c:pt idx="56">
                  <c:v>-1.9097254196997599E-3</c:v>
                </c:pt>
                <c:pt idx="57">
                  <c:v>-3.69222248812904E-3</c:v>
                </c:pt>
                <c:pt idx="58">
                  <c:v>-3.3212670048036802E-3</c:v>
                </c:pt>
                <c:pt idx="59">
                  <c:v>-2.7947498447511701E-3</c:v>
                </c:pt>
                <c:pt idx="60">
                  <c:v>-1.64350634138447E-3</c:v>
                </c:pt>
                <c:pt idx="61">
                  <c:v>1.3757406120994101E-3</c:v>
                </c:pt>
                <c:pt idx="62">
                  <c:v>9.84199723226214E-4</c:v>
                </c:pt>
                <c:pt idx="63">
                  <c:v>1.81308773210048E-4</c:v>
                </c:pt>
                <c:pt idx="64">
                  <c:v>4.3816635134740698E-4</c:v>
                </c:pt>
                <c:pt idx="65">
                  <c:v>1.7906636913705501E-3</c:v>
                </c:pt>
                <c:pt idx="66">
                  <c:v>6.9289376268343798E-4</c:v>
                </c:pt>
                <c:pt idx="67">
                  <c:v>1.9404206733449099E-4</c:v>
                </c:pt>
                <c:pt idx="68">
                  <c:v>1.2105731443451599E-3</c:v>
                </c:pt>
                <c:pt idx="69">
                  <c:v>2.05763469320496E-3</c:v>
                </c:pt>
                <c:pt idx="70">
                  <c:v>1.70171456718735E-3</c:v>
                </c:pt>
                <c:pt idx="71">
                  <c:v>8.8478959272842198E-4</c:v>
                </c:pt>
                <c:pt idx="72">
                  <c:v>1.02245058822449E-3</c:v>
                </c:pt>
                <c:pt idx="73">
                  <c:v>8.9821011224467805E-4</c:v>
                </c:pt>
                <c:pt idx="74">
                  <c:v>8.9752140430250096E-4</c:v>
                </c:pt>
                <c:pt idx="75">
                  <c:v>4.8652293351331198E-4</c:v>
                </c:pt>
                <c:pt idx="76">
                  <c:v>7.6209968127138004E-4</c:v>
                </c:pt>
                <c:pt idx="77">
                  <c:v>-2.3484262562265199E-4</c:v>
                </c:pt>
                <c:pt idx="78">
                  <c:v>3.5221831277506502E-4</c:v>
                </c:pt>
                <c:pt idx="79">
                  <c:v>3.5679264804428402E-4</c:v>
                </c:pt>
                <c:pt idx="80">
                  <c:v>-1.1179232204011401E-3</c:v>
                </c:pt>
                <c:pt idx="81">
                  <c:v>3.8449597013723497E-4</c:v>
                </c:pt>
                <c:pt idx="82">
                  <c:v>-1.87425468825285E-3</c:v>
                </c:pt>
                <c:pt idx="83">
                  <c:v>-2.4836383170523898E-3</c:v>
                </c:pt>
                <c:pt idx="84">
                  <c:v>-1.9486647190796499E-3</c:v>
                </c:pt>
                <c:pt idx="85">
                  <c:v>-1.24593006961716E-3</c:v>
                </c:pt>
                <c:pt idx="86">
                  <c:v>-1.19653663643295E-3</c:v>
                </c:pt>
                <c:pt idx="87">
                  <c:v>-2.28260873574239E-3</c:v>
                </c:pt>
                <c:pt idx="88">
                  <c:v>-2.3225833100443301E-3</c:v>
                </c:pt>
                <c:pt idx="89">
                  <c:v>-3.31645534625097E-3</c:v>
                </c:pt>
                <c:pt idx="90">
                  <c:v>-2.1806845379862098E-3</c:v>
                </c:pt>
                <c:pt idx="91">
                  <c:v>-3.2096858889796401E-4</c:v>
                </c:pt>
                <c:pt idx="92">
                  <c:v>-3.8003551054859698E-3</c:v>
                </c:pt>
                <c:pt idx="93">
                  <c:v>-3.0207950604215499E-3</c:v>
                </c:pt>
                <c:pt idx="94">
                  <c:v>-2.8839572091448602E-3</c:v>
                </c:pt>
                <c:pt idx="95">
                  <c:v>-1.55200622294132E-3</c:v>
                </c:pt>
                <c:pt idx="96">
                  <c:v>-9.3031129024502904E-4</c:v>
                </c:pt>
                <c:pt idx="97">
                  <c:v>3.0034534414944E-4</c:v>
                </c:pt>
                <c:pt idx="98">
                  <c:v>9.0254266657983603E-4</c:v>
                </c:pt>
                <c:pt idx="99">
                  <c:v>5.68571251003013E-4</c:v>
                </c:pt>
                <c:pt idx="100">
                  <c:v>9.0129017648363002E-4</c:v>
                </c:pt>
                <c:pt idx="101">
                  <c:v>1.5784345292409101E-3</c:v>
                </c:pt>
                <c:pt idx="102">
                  <c:v>-2.1192967016343302E-3</c:v>
                </c:pt>
                <c:pt idx="103">
                  <c:v>-9.02466959189328E-4</c:v>
                </c:pt>
                <c:pt idx="104">
                  <c:v>-2.3897305831683201E-3</c:v>
                </c:pt>
                <c:pt idx="105">
                  <c:v>-2.1913262248422702E-3</c:v>
                </c:pt>
                <c:pt idx="106">
                  <c:v>-1.8711963521425999E-3</c:v>
                </c:pt>
                <c:pt idx="107">
                  <c:v>-1.5519723065344901E-3</c:v>
                </c:pt>
                <c:pt idx="108">
                  <c:v>-2.0072008887296201E-3</c:v>
                </c:pt>
                <c:pt idx="109">
                  <c:v>-2.5575179766570998E-3</c:v>
                </c:pt>
                <c:pt idx="110">
                  <c:v>-1.2049634515895701E-3</c:v>
                </c:pt>
                <c:pt idx="111">
                  <c:v>3.4304398183425199E-4</c:v>
                </c:pt>
                <c:pt idx="112">
                  <c:v>-7.4234824539827504E-4</c:v>
                </c:pt>
                <c:pt idx="113">
                  <c:v>-9.0921437925699797E-4</c:v>
                </c:pt>
                <c:pt idx="114">
                  <c:v>-7.1612022728852296E-4</c:v>
                </c:pt>
                <c:pt idx="115">
                  <c:v>-1.871067535768E-3</c:v>
                </c:pt>
                <c:pt idx="116">
                  <c:v>-1.8319323996610899E-3</c:v>
                </c:pt>
                <c:pt idx="117">
                  <c:v>3.8286942624789498E-4</c:v>
                </c:pt>
                <c:pt idx="118">
                  <c:v>5.7085258068034295E-4</c:v>
                </c:pt>
                <c:pt idx="119">
                  <c:v>7.7020753376051394E-5</c:v>
                </c:pt>
                <c:pt idx="120">
                  <c:v>6.0687921617367895E-4</c:v>
                </c:pt>
                <c:pt idx="121">
                  <c:v>7.2381334821566498E-4</c:v>
                </c:pt>
                <c:pt idx="122">
                  <c:v>-7.9465978099452098E-4</c:v>
                </c:pt>
                <c:pt idx="123">
                  <c:v>4.6653143171485802E-3</c:v>
                </c:pt>
                <c:pt idx="124">
                  <c:v>4.4602922303575597E-3</c:v>
                </c:pt>
                <c:pt idx="125">
                  <c:v>4.1870888646818099E-3</c:v>
                </c:pt>
                <c:pt idx="126">
                  <c:v>3.1744780687293301E-3</c:v>
                </c:pt>
                <c:pt idx="127">
                  <c:v>1.6064119726755699E-3</c:v>
                </c:pt>
                <c:pt idx="128">
                  <c:v>3.6307090501553601E-3</c:v>
                </c:pt>
                <c:pt idx="129">
                  <c:v>2.8064866653437701E-3</c:v>
                </c:pt>
                <c:pt idx="130">
                  <c:v>1.9758799704012102E-3</c:v>
                </c:pt>
                <c:pt idx="131">
                  <c:v>1.44411975620289E-3</c:v>
                </c:pt>
                <c:pt idx="132">
                  <c:v>1.80406965343399E-3</c:v>
                </c:pt>
                <c:pt idx="133">
                  <c:v>1.56839219831189E-3</c:v>
                </c:pt>
                <c:pt idx="134">
                  <c:v>1.5609339180922301E-3</c:v>
                </c:pt>
                <c:pt idx="135">
                  <c:v>8.3189102331450895E-5</c:v>
                </c:pt>
                <c:pt idx="136">
                  <c:v>5.17160278144243E-4</c:v>
                </c:pt>
                <c:pt idx="137">
                  <c:v>2.81605192279161E-4</c:v>
                </c:pt>
                <c:pt idx="138">
                  <c:v>-1.1053856922828701E-3</c:v>
                </c:pt>
                <c:pt idx="139">
                  <c:v>1.3967348433588999E-4</c:v>
                </c:pt>
                <c:pt idx="140">
                  <c:v>9.0962042460598805E-4</c:v>
                </c:pt>
                <c:pt idx="141">
                  <c:v>2.0953141928393499E-4</c:v>
                </c:pt>
                <c:pt idx="142">
                  <c:v>-4.66000123209847E-4</c:v>
                </c:pt>
                <c:pt idx="143">
                  <c:v>-3.9092537720694599E-4</c:v>
                </c:pt>
                <c:pt idx="144">
                  <c:v>-1.0086761528537999E-3</c:v>
                </c:pt>
                <c:pt idx="145">
                  <c:v>-2.44587007906225E-3</c:v>
                </c:pt>
                <c:pt idx="146">
                  <c:v>-2.1482857412091E-3</c:v>
                </c:pt>
                <c:pt idx="147">
                  <c:v>-1.9889165401616401E-3</c:v>
                </c:pt>
                <c:pt idx="148">
                  <c:v>-2.2015910714174801E-3</c:v>
                </c:pt>
                <c:pt idx="149">
                  <c:v>-2.15398741386328E-3</c:v>
                </c:pt>
                <c:pt idx="150">
                  <c:v>-2.71913204203895E-3</c:v>
                </c:pt>
                <c:pt idx="151">
                  <c:v>-2.1070794642272599E-3</c:v>
                </c:pt>
                <c:pt idx="152">
                  <c:v>-1.9608273341867699E-3</c:v>
                </c:pt>
                <c:pt idx="153">
                  <c:v>-1.5130812937123701E-3</c:v>
                </c:pt>
                <c:pt idx="154">
                  <c:v>-2.9311079551861698E-3</c:v>
                </c:pt>
                <c:pt idx="155">
                  <c:v>-2.3530457808298702E-3</c:v>
                </c:pt>
                <c:pt idx="156">
                  <c:v>-3.45492873471592E-3</c:v>
                </c:pt>
                <c:pt idx="157">
                  <c:v>-1.26081531737806E-3</c:v>
                </c:pt>
                <c:pt idx="158">
                  <c:v>-1.99097398145149E-3</c:v>
                </c:pt>
                <c:pt idx="159">
                  <c:v>-1.45586311597839E-3</c:v>
                </c:pt>
                <c:pt idx="160">
                  <c:v>-1.4526694529473499E-3</c:v>
                </c:pt>
                <c:pt idx="161">
                  <c:v>1.83150358713098E-4</c:v>
                </c:pt>
                <c:pt idx="162">
                  <c:v>2.0372439421978999E-4</c:v>
                </c:pt>
                <c:pt idx="163">
                  <c:v>4.4715474731711002E-5</c:v>
                </c:pt>
                <c:pt idx="164">
                  <c:v>-1.11214054432121E-3</c:v>
                </c:pt>
                <c:pt idx="165">
                  <c:v>-1.5928488874651799E-3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F32-4334-9B53-1162DFE48A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69287584"/>
        <c:axId val="205412432"/>
      </c:lineChart>
      <c:catAx>
        <c:axId val="166928758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412432"/>
        <c:crosses val="autoZero"/>
        <c:auto val="1"/>
        <c:lblAlgn val="ctr"/>
        <c:lblOffset val="100"/>
        <c:noMultiLvlLbl val="0"/>
      </c:catAx>
      <c:valAx>
        <c:axId val="205412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9287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Lit>
              <c:formatCode>General</c:formatCode>
              <c:ptCount val="135"/>
              <c:pt idx="0">
                <c:v>0</c:v>
              </c:pt>
              <c:pt idx="1">
                <c:v>2.5655612473939916E-4</c:v>
              </c:pt>
              <c:pt idx="2">
                <c:v>1.2322882204119003E-3</c:v>
              </c:pt>
              <c:pt idx="3">
                <c:v>-5.0947972912353499E-3</c:v>
              </c:pt>
              <c:pt idx="4">
                <c:v>-2.8633555070699951E-4</c:v>
              </c:pt>
              <c:pt idx="5">
                <c:v>-4.5251554042158998E-4</c:v>
              </c:pt>
              <c:pt idx="6">
                <c:v>1.1289511372309206E-3</c:v>
              </c:pt>
              <c:pt idx="7">
                <c:v>-9.8761185406727979E-4</c:v>
              </c:pt>
              <c:pt idx="8">
                <c:v>-5.4727685673478009E-4</c:v>
              </c:pt>
              <c:pt idx="9">
                <c:v>-5.594905262751998E-4</c:v>
              </c:pt>
              <c:pt idx="10">
                <c:v>1.29597048851968E-3</c:v>
              </c:pt>
              <c:pt idx="11">
                <c:v>7.191482242066994E-5</c:v>
              </c:pt>
              <c:pt idx="12">
                <c:v>9.3164059269089015E-4</c:v>
              </c:pt>
              <c:pt idx="13">
                <c:v>5.1716490161134035E-4</c:v>
              </c:pt>
              <c:pt idx="14">
                <c:v>-1.4985850797733808E-3</c:v>
              </c:pt>
              <c:pt idx="15">
                <c:v>1.5122813474586399E-3</c:v>
              </c:pt>
              <c:pt idx="16">
                <c:v>-9.5908364865202999E-4</c:v>
              </c:pt>
              <c:pt idx="17">
                <c:v>1.9681366196250098E-5</c:v>
              </c:pt>
              <c:pt idx="18">
                <c:v>-1.3677455060214019E-3</c:v>
              </c:pt>
              <c:pt idx="19">
                <c:v>-9.5638973534810032E-4</c:v>
              </c:pt>
              <c:pt idx="20">
                <c:v>3.9978956944260007E-4</c:v>
              </c:pt>
              <c:pt idx="21">
                <c:v>3.1650783210060993E-4</c:v>
              </c:pt>
              <c:pt idx="22">
                <c:v>1.3975054026032982E-3</c:v>
              </c:pt>
              <c:pt idx="23">
                <c:v>0</c:v>
              </c:pt>
              <c:pt idx="24">
                <c:v>0</c:v>
              </c:pt>
              <c:pt idx="25">
                <c:v>0</c:v>
              </c:pt>
              <c:pt idx="26">
                <c:v>0</c:v>
              </c:pt>
              <c:pt idx="27">
                <c:v>0</c:v>
              </c:pt>
              <c:pt idx="28">
                <c:v>0</c:v>
              </c:pt>
              <c:pt idx="29">
                <c:v>0</c:v>
              </c:pt>
              <c:pt idx="30">
                <c:v>0</c:v>
              </c:pt>
              <c:pt idx="31">
                <c:v>0</c:v>
              </c:pt>
              <c:pt idx="32">
                <c:v>0</c:v>
              </c:pt>
              <c:pt idx="33">
                <c:v>0</c:v>
              </c:pt>
              <c:pt idx="34">
                <c:v>0</c:v>
              </c:pt>
              <c:pt idx="35">
                <c:v>0</c:v>
              </c:pt>
              <c:pt idx="36">
                <c:v>0</c:v>
              </c:pt>
              <c:pt idx="37">
                <c:v>0</c:v>
              </c:pt>
              <c:pt idx="38">
                <c:v>0</c:v>
              </c:pt>
              <c:pt idx="39">
                <c:v>0</c:v>
              </c:pt>
              <c:pt idx="40">
                <c:v>0</c:v>
              </c:pt>
              <c:pt idx="41">
                <c:v>0</c:v>
              </c:pt>
              <c:pt idx="42">
                <c:v>0</c:v>
              </c:pt>
              <c:pt idx="43">
                <c:v>0</c:v>
              </c:pt>
              <c:pt idx="44">
                <c:v>0</c:v>
              </c:pt>
              <c:pt idx="45">
                <c:v>0</c:v>
              </c:pt>
              <c:pt idx="46">
                <c:v>0</c:v>
              </c:pt>
              <c:pt idx="47">
                <c:v>0</c:v>
              </c:pt>
              <c:pt idx="48">
                <c:v>0</c:v>
              </c:pt>
              <c:pt idx="49">
                <c:v>0</c:v>
              </c:pt>
              <c:pt idx="50">
                <c:v>0</c:v>
              </c:pt>
              <c:pt idx="51">
                <c:v>0</c:v>
              </c:pt>
              <c:pt idx="52">
                <c:v>0</c:v>
              </c:pt>
              <c:pt idx="53">
                <c:v>0</c:v>
              </c:pt>
              <c:pt idx="54">
                <c:v>0</c:v>
              </c:pt>
              <c:pt idx="55">
                <c:v>0</c:v>
              </c:pt>
              <c:pt idx="56">
                <c:v>0</c:v>
              </c:pt>
              <c:pt idx="57">
                <c:v>0</c:v>
              </c:pt>
              <c:pt idx="58">
                <c:v>0</c:v>
              </c:pt>
              <c:pt idx="59">
                <c:v>0</c:v>
              </c:pt>
              <c:pt idx="60">
                <c:v>1.6409299811566934E-4</c:v>
              </c:pt>
              <c:pt idx="61">
                <c:v>-3.7065137416799829E-4</c:v>
              </c:pt>
              <c:pt idx="62">
                <c:v>2.2687656697265896E-3</c:v>
              </c:pt>
              <c:pt idx="63">
                <c:v>0</c:v>
              </c:pt>
              <c:pt idx="64">
                <c:v>0</c:v>
              </c:pt>
              <c:pt idx="65">
                <c:v>0</c:v>
              </c:pt>
              <c:pt idx="66">
                <c:v>0</c:v>
              </c:pt>
              <c:pt idx="67">
                <c:v>0</c:v>
              </c:pt>
              <c:pt idx="68">
                <c:v>0</c:v>
              </c:pt>
              <c:pt idx="69">
                <c:v>0</c:v>
              </c:pt>
              <c:pt idx="70">
                <c:v>0</c:v>
              </c:pt>
              <c:pt idx="71">
                <c:v>0</c:v>
              </c:pt>
              <c:pt idx="72">
                <c:v>0</c:v>
              </c:pt>
              <c:pt idx="73">
                <c:v>-3.3131496543292987E-4</c:v>
              </c:pt>
              <c:pt idx="74">
                <c:v>3.0042270948379968E-4</c:v>
              </c:pt>
              <c:pt idx="75">
                <c:v>2.0987533391123941E-3</c:v>
              </c:pt>
              <c:pt idx="76">
                <c:v>0</c:v>
              </c:pt>
              <c:pt idx="77">
                <c:v>0</c:v>
              </c:pt>
              <c:pt idx="78">
                <c:v>1.5987367691278594E-3</c:v>
              </c:pt>
              <c:pt idx="79">
                <c:v>0</c:v>
              </c:pt>
              <c:pt idx="80">
                <c:v>0</c:v>
              </c:pt>
              <c:pt idx="81">
                <c:v>0</c:v>
              </c:pt>
              <c:pt idx="82">
                <c:v>0</c:v>
              </c:pt>
              <c:pt idx="83">
                <c:v>0</c:v>
              </c:pt>
              <c:pt idx="84">
                <c:v>0</c:v>
              </c:pt>
              <c:pt idx="85">
                <c:v>0</c:v>
              </c:pt>
              <c:pt idx="86">
                <c:v>0</c:v>
              </c:pt>
              <c:pt idx="87">
                <c:v>-4.5036590465891016E-4</c:v>
              </c:pt>
              <c:pt idx="88">
                <c:v>9.9027335604300049E-4</c:v>
              </c:pt>
              <c:pt idx="89">
                <c:v>-1.8314011768762999E-3</c:v>
              </c:pt>
              <c:pt idx="90">
                <c:v>1.0530970198409373E-6</c:v>
              </c:pt>
              <c:pt idx="91">
                <c:v>-1.9532654165801012E-4</c:v>
              </c:pt>
              <c:pt idx="92">
                <c:v>0</c:v>
              </c:pt>
              <c:pt idx="93">
                <c:v>-1.108290123227555E-3</c:v>
              </c:pt>
              <c:pt idx="94">
                <c:v>1.4700961019821004E-3</c:v>
              </c:pt>
              <c:pt idx="95">
                <c:v>1.5765128411539403E-3</c:v>
              </c:pt>
              <c:pt idx="96">
                <c:v>0</c:v>
              </c:pt>
              <c:pt idx="97">
                <c:v>0</c:v>
              </c:pt>
              <c:pt idx="98">
                <c:v>0</c:v>
              </c:pt>
              <c:pt idx="99">
                <c:v>0</c:v>
              </c:pt>
              <c:pt idx="100">
                <c:v>0</c:v>
              </c:pt>
              <c:pt idx="101">
                <c:v>0</c:v>
              </c:pt>
              <c:pt idx="102">
                <c:v>0</c:v>
              </c:pt>
              <c:pt idx="103">
                <c:v>0</c:v>
              </c:pt>
              <c:pt idx="104">
                <c:v>0</c:v>
              </c:pt>
              <c:pt idx="105">
                <c:v>0</c:v>
              </c:pt>
              <c:pt idx="106">
                <c:v>0</c:v>
              </c:pt>
              <c:pt idx="107">
                <c:v>0</c:v>
              </c:pt>
              <c:pt idx="108">
                <c:v>0</c:v>
              </c:pt>
              <c:pt idx="109">
                <c:v>0</c:v>
              </c:pt>
              <c:pt idx="110">
                <c:v>0</c:v>
              </c:pt>
              <c:pt idx="111">
                <c:v>0</c:v>
              </c:pt>
              <c:pt idx="112">
                <c:v>0</c:v>
              </c:pt>
              <c:pt idx="113">
                <c:v>0</c:v>
              </c:pt>
              <c:pt idx="114">
                <c:v>-3.1087123362060973E-4</c:v>
              </c:pt>
              <c:pt idx="115">
                <c:v>-5.3091986857230038E-4</c:v>
              </c:pt>
              <c:pt idx="116">
                <c:v>1.3855393723185942E-4</c:v>
              </c:pt>
              <c:pt idx="117">
                <c:v>6.7049373454159018E-4</c:v>
              </c:pt>
              <c:pt idx="118">
                <c:v>2.0287992299430034E-4</c:v>
              </c:pt>
              <c:pt idx="119">
                <c:v>-6.6965313589710009E-4</c:v>
              </c:pt>
              <c:pt idx="120">
                <c:v>-5.7123927667679982E-4</c:v>
              </c:pt>
              <c:pt idx="121">
                <c:v>-7.5904201566300011E-4</c:v>
              </c:pt>
              <c:pt idx="122">
                <c:v>1.2379197900768031E-4</c:v>
              </c:pt>
              <c:pt idx="123">
                <c:v>1.3552481405523994E-3</c:v>
              </c:pt>
              <c:pt idx="124">
                <c:v>-1.0494934167632301E-3</c:v>
              </c:pt>
              <c:pt idx="125">
                <c:v>4.4458284337378987E-4</c:v>
              </c:pt>
              <c:pt idx="126">
                <c:v>8.6329166118799701E-4</c:v>
              </c:pt>
              <c:pt idx="127">
                <c:v>-1.0430565057380041E-4</c:v>
              </c:pt>
              <c:pt idx="128">
                <c:v>2.5898888172290989E-4</c:v>
              </c:pt>
              <c:pt idx="129">
                <c:v>3.4648672890874501E-3</c:v>
              </c:pt>
              <c:pt idx="130">
                <c:v>0</c:v>
              </c:pt>
              <c:pt idx="131">
                <c:v>0</c:v>
              </c:pt>
              <c:pt idx="132">
                <c:v>0</c:v>
              </c:pt>
              <c:pt idx="133">
                <c:v>0</c:v>
              </c:pt>
              <c:pt idx="134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3B39-4025-8414-27A35539FC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8199296"/>
        <c:axId val="1284373136"/>
      </c:lineChart>
      <c:catAx>
        <c:axId val="1288199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373136"/>
        <c:crosses val="autoZero"/>
        <c:auto val="1"/>
        <c:lblAlgn val="ctr"/>
        <c:lblOffset val="100"/>
        <c:noMultiLvlLbl val="0"/>
      </c:catAx>
      <c:valAx>
        <c:axId val="1284373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819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XLU_IDU_1!$BY$22:$BY$167</c:f>
              <c:numCache>
                <c:formatCode>0.00%</c:formatCode>
                <c:ptCount val="14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-1.22950835160753E-3</c:v>
                </c:pt>
                <c:pt idx="22">
                  <c:v>-1.3709463006619201E-3</c:v>
                </c:pt>
                <c:pt idx="23">
                  <c:v>-2.8673728024273702E-3</c:v>
                </c:pt>
                <c:pt idx="24">
                  <c:v>-2.0190992805829162E-3</c:v>
                </c:pt>
                <c:pt idx="25">
                  <c:v>-1.6521164260916083E-3</c:v>
                </c:pt>
                <c:pt idx="26">
                  <c:v>-3.0159884030986081E-3</c:v>
                </c:pt>
                <c:pt idx="27">
                  <c:v>-3.9499370026699482E-3</c:v>
                </c:pt>
                <c:pt idx="28">
                  <c:v>-4.4149761296350485E-3</c:v>
                </c:pt>
                <c:pt idx="29">
                  <c:v>-3.2390603025360281E-3</c:v>
                </c:pt>
                <c:pt idx="30">
                  <c:v>-1.7808338517692182E-3</c:v>
                </c:pt>
                <c:pt idx="31">
                  <c:v>-3.7259316674968981E-3</c:v>
                </c:pt>
                <c:pt idx="32">
                  <c:v>-4.1093452569740093E-3</c:v>
                </c:pt>
                <c:pt idx="33">
                  <c:v>-3.967917517395619E-3</c:v>
                </c:pt>
                <c:pt idx="34">
                  <c:v>-4.0064843318627788E-3</c:v>
                </c:pt>
                <c:pt idx="35">
                  <c:v>-3.951692518867669E-3</c:v>
                </c:pt>
                <c:pt idx="36">
                  <c:v>-3.7499969840093092E-3</c:v>
                </c:pt>
                <c:pt idx="37">
                  <c:v>-5.835129300388959E-3</c:v>
                </c:pt>
                <c:pt idx="38">
                  <c:v>-5.9032677347763589E-3</c:v>
                </c:pt>
                <c:pt idx="39">
                  <c:v>-5.7926562752743591E-3</c:v>
                </c:pt>
                <c:pt idx="40">
                  <c:v>-4.9738519625579791E-3</c:v>
                </c:pt>
                <c:pt idx="41">
                  <c:v>-4.9738519625579791E-3</c:v>
                </c:pt>
                <c:pt idx="42">
                  <c:v>-4.9738519625579791E-3</c:v>
                </c:pt>
                <c:pt idx="43">
                  <c:v>-4.9738519625579791E-3</c:v>
                </c:pt>
                <c:pt idx="44">
                  <c:v>-4.9738519625579791E-3</c:v>
                </c:pt>
                <c:pt idx="45">
                  <c:v>-4.9738519625579791E-3</c:v>
                </c:pt>
                <c:pt idx="46">
                  <c:v>-4.9738519625579791E-3</c:v>
                </c:pt>
                <c:pt idx="47">
                  <c:v>-4.9738519625579791E-3</c:v>
                </c:pt>
                <c:pt idx="48">
                  <c:v>-4.9738519625579791E-3</c:v>
                </c:pt>
                <c:pt idx="49">
                  <c:v>-4.9738519625579791E-3</c:v>
                </c:pt>
                <c:pt idx="50">
                  <c:v>-4.9738519625579791E-3</c:v>
                </c:pt>
                <c:pt idx="51">
                  <c:v>-4.9738519625579791E-3</c:v>
                </c:pt>
                <c:pt idx="52">
                  <c:v>-4.9738519625579791E-3</c:v>
                </c:pt>
                <c:pt idx="53">
                  <c:v>-4.9738519625579791E-3</c:v>
                </c:pt>
                <c:pt idx="54">
                  <c:v>-4.9738519625579791E-3</c:v>
                </c:pt>
                <c:pt idx="55">
                  <c:v>-4.9738519625579791E-3</c:v>
                </c:pt>
                <c:pt idx="56">
                  <c:v>-4.9738519625579791E-3</c:v>
                </c:pt>
                <c:pt idx="57">
                  <c:v>-4.9738519625579791E-3</c:v>
                </c:pt>
                <c:pt idx="58">
                  <c:v>-4.9738519625579791E-3</c:v>
                </c:pt>
                <c:pt idx="59">
                  <c:v>-4.9738519625579791E-3</c:v>
                </c:pt>
                <c:pt idx="60">
                  <c:v>-4.9738519625579791E-3</c:v>
                </c:pt>
                <c:pt idx="61">
                  <c:v>-4.9738519625579791E-3</c:v>
                </c:pt>
                <c:pt idx="62">
                  <c:v>-4.9738519625579791E-3</c:v>
                </c:pt>
                <c:pt idx="63">
                  <c:v>-5.6831474617248488E-3</c:v>
                </c:pt>
                <c:pt idx="64">
                  <c:v>-5.2402878284165426E-3</c:v>
                </c:pt>
                <c:pt idx="65">
                  <c:v>-4.6187116522054426E-3</c:v>
                </c:pt>
                <c:pt idx="66">
                  <c:v>-4.6837779966616821E-3</c:v>
                </c:pt>
                <c:pt idx="67">
                  <c:v>-5.831846594642782E-3</c:v>
                </c:pt>
                <c:pt idx="68">
                  <c:v>-5.9661306415010823E-3</c:v>
                </c:pt>
                <c:pt idx="69">
                  <c:v>-7.1126807987272125E-3</c:v>
                </c:pt>
                <c:pt idx="70">
                  <c:v>-6.2339027205518226E-3</c:v>
                </c:pt>
                <c:pt idx="71">
                  <c:v>-4.5732911721032225E-3</c:v>
                </c:pt>
                <c:pt idx="72">
                  <c:v>-8.127509805936621E-3</c:v>
                </c:pt>
                <c:pt idx="73">
                  <c:v>-7.610145384698991E-3</c:v>
                </c:pt>
                <c:pt idx="74">
                  <c:v>-7.7071651171074307E-3</c:v>
                </c:pt>
                <c:pt idx="75">
                  <c:v>-6.6172541738229304E-3</c:v>
                </c:pt>
                <c:pt idx="76">
                  <c:v>-6.1661106441671405E-3</c:v>
                </c:pt>
                <c:pt idx="77">
                  <c:v>-5.0998379152907315E-3</c:v>
                </c:pt>
                <c:pt idx="78">
                  <c:v>-5.0998379152907315E-3</c:v>
                </c:pt>
                <c:pt idx="79">
                  <c:v>-5.0998379152907315E-3</c:v>
                </c:pt>
                <c:pt idx="80">
                  <c:v>-5.0998379152907315E-3</c:v>
                </c:pt>
                <c:pt idx="81">
                  <c:v>-5.0998379152907315E-3</c:v>
                </c:pt>
                <c:pt idx="82">
                  <c:v>-5.0998379152907315E-3</c:v>
                </c:pt>
                <c:pt idx="83">
                  <c:v>-4.0268925126291316E-3</c:v>
                </c:pt>
                <c:pt idx="84">
                  <c:v>-5.5688586841284018E-3</c:v>
                </c:pt>
                <c:pt idx="85">
                  <c:v>-5.5244993671866704E-3</c:v>
                </c:pt>
                <c:pt idx="86">
                  <c:v>-5.3872060519982506E-3</c:v>
                </c:pt>
                <c:pt idx="87">
                  <c:v>-5.2406608771059507E-3</c:v>
                </c:pt>
                <c:pt idx="88">
                  <c:v>-5.8038727246929565E-3</c:v>
                </c:pt>
                <c:pt idx="89">
                  <c:v>-6.4836582396732463E-3</c:v>
                </c:pt>
                <c:pt idx="90">
                  <c:v>-5.2373031812017259E-3</c:v>
                </c:pt>
                <c:pt idx="91">
                  <c:v>-3.776988059999405E-3</c:v>
                </c:pt>
                <c:pt idx="92">
                  <c:v>-3.776988059999405E-3</c:v>
                </c:pt>
                <c:pt idx="93">
                  <c:v>-3.776988059999405E-3</c:v>
                </c:pt>
                <c:pt idx="94">
                  <c:v>-3.776988059999405E-3</c:v>
                </c:pt>
                <c:pt idx="95">
                  <c:v>-3.776988059999405E-3</c:v>
                </c:pt>
                <c:pt idx="96">
                  <c:v>-3.848487782702005E-3</c:v>
                </c:pt>
                <c:pt idx="97">
                  <c:v>-1.7704286865161548E-3</c:v>
                </c:pt>
                <c:pt idx="98">
                  <c:v>-1.7704286865161548E-3</c:v>
                </c:pt>
                <c:pt idx="99">
                  <c:v>-1.7704286865161548E-3</c:v>
                </c:pt>
                <c:pt idx="100">
                  <c:v>-1.7704286865161548E-3</c:v>
                </c:pt>
                <c:pt idx="101">
                  <c:v>-1.7704286865161548E-3</c:v>
                </c:pt>
                <c:pt idx="102">
                  <c:v>-1.7704286865161548E-3</c:v>
                </c:pt>
                <c:pt idx="103">
                  <c:v>-1.7704286865161548E-3</c:v>
                </c:pt>
                <c:pt idx="104">
                  <c:v>-1.7469964822977757E-3</c:v>
                </c:pt>
                <c:pt idx="105">
                  <c:v>-1.7313591201715216E-3</c:v>
                </c:pt>
                <c:pt idx="106">
                  <c:v>-9.7338128025997164E-4</c:v>
                </c:pt>
                <c:pt idx="107">
                  <c:v>3.8463405420671812E-4</c:v>
                </c:pt>
                <c:pt idx="108">
                  <c:v>-1.7746633744141318E-3</c:v>
                </c:pt>
                <c:pt idx="109">
                  <c:v>-1.2213801402528117E-3</c:v>
                </c:pt>
                <c:pt idx="110">
                  <c:v>-6.6827985926332231E-4</c:v>
                </c:pt>
                <c:pt idx="111">
                  <c:v>-3.2402201657557228E-4</c:v>
                </c:pt>
                <c:pt idx="112">
                  <c:v>-7.8120575813597228E-4</c:v>
                </c:pt>
                <c:pt idx="113">
                  <c:v>-7.2482362514736235E-4</c:v>
                </c:pt>
                <c:pt idx="114">
                  <c:v>-9.0119210247249044E-4</c:v>
                </c:pt>
                <c:pt idx="115">
                  <c:v>3.9294666164863944E-4</c:v>
                </c:pt>
                <c:pt idx="116">
                  <c:v>-2.178360915393255E-4</c:v>
                </c:pt>
                <c:pt idx="117">
                  <c:v>-1.9325123158822643E-4</c:v>
                </c:pt>
                <c:pt idx="118">
                  <c:v>1.0881717757149298E-3</c:v>
                </c:pt>
                <c:pt idx="119">
                  <c:v>1.0881717757149298E-3</c:v>
                </c:pt>
                <c:pt idx="120">
                  <c:v>1.0881717757149298E-3</c:v>
                </c:pt>
                <c:pt idx="121">
                  <c:v>1.0881717757149298E-3</c:v>
                </c:pt>
                <c:pt idx="122">
                  <c:v>1.0881717757149298E-3</c:v>
                </c:pt>
                <c:pt idx="123">
                  <c:v>1.0881717757149298E-3</c:v>
                </c:pt>
                <c:pt idx="124">
                  <c:v>1.0881717757149298E-3</c:v>
                </c:pt>
                <c:pt idx="125">
                  <c:v>1.0881717757149298E-3</c:v>
                </c:pt>
                <c:pt idx="126">
                  <c:v>1.2000549046701995E-3</c:v>
                </c:pt>
                <c:pt idx="127">
                  <c:v>1.2172149997359395E-3</c:v>
                </c:pt>
                <c:pt idx="128">
                  <c:v>9.3109398795224955E-4</c:v>
                </c:pt>
                <c:pt idx="129">
                  <c:v>7.8304072014489948E-4</c:v>
                </c:pt>
                <c:pt idx="130">
                  <c:v>4.2474723405169345E-5</c:v>
                </c:pt>
                <c:pt idx="131">
                  <c:v>4.6964343947209636E-4</c:v>
                </c:pt>
                <c:pt idx="132">
                  <c:v>4.6964343947209636E-4</c:v>
                </c:pt>
                <c:pt idx="133">
                  <c:v>7.4833036036285648E-4</c:v>
                </c:pt>
                <c:pt idx="134">
                  <c:v>-8.2195743750448306E-4</c:v>
                </c:pt>
                <c:pt idx="135">
                  <c:v>-4.8360194842358311E-4</c:v>
                </c:pt>
                <c:pt idx="136">
                  <c:v>-1.743576915615513E-3</c:v>
                </c:pt>
                <c:pt idx="137">
                  <c:v>1.9881132229767695E-4</c:v>
                </c:pt>
                <c:pt idx="138">
                  <c:v>-6.8446566306885307E-4</c:v>
                </c:pt>
                <c:pt idx="139">
                  <c:v>-2.8269787944034205E-4</c:v>
                </c:pt>
                <c:pt idx="140">
                  <c:v>-4.5667943728630497E-4</c:v>
                </c:pt>
                <c:pt idx="141">
                  <c:v>9.4839037903598523E-4</c:v>
                </c:pt>
                <c:pt idx="142">
                  <c:v>9.4839037903598523E-4</c:v>
                </c:pt>
                <c:pt idx="143">
                  <c:v>9.4839037903598523E-4</c:v>
                </c:pt>
                <c:pt idx="144">
                  <c:v>9.4839037903598523E-4</c:v>
                </c:pt>
                <c:pt idx="145">
                  <c:v>9.4839037903598523E-4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D36-4A94-9BDE-72A3996F8B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8199296"/>
        <c:axId val="1284373136"/>
      </c:lineChart>
      <c:catAx>
        <c:axId val="1288199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373136"/>
        <c:crosses val="autoZero"/>
        <c:auto val="1"/>
        <c:lblAlgn val="ctr"/>
        <c:lblOffset val="100"/>
        <c:noMultiLvlLbl val="0"/>
      </c:catAx>
      <c:valAx>
        <c:axId val="1284373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819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XLU_IDU_1!$BJ$22:$BJ$167</c:f>
              <c:numCache>
                <c:formatCode>0.00%</c:formatCode>
                <c:ptCount val="14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-1.22950835160753E-3</c:v>
                </c:pt>
                <c:pt idx="22">
                  <c:v>-1.3709463006619201E-3</c:v>
                </c:pt>
                <c:pt idx="23">
                  <c:v>-2.8673728024273702E-3</c:v>
                </c:pt>
                <c:pt idx="24">
                  <c:v>-2.0190992805829162E-3</c:v>
                </c:pt>
                <c:pt idx="25">
                  <c:v>-1.6521164260916083E-3</c:v>
                </c:pt>
                <c:pt idx="26">
                  <c:v>-3.0159884030986081E-3</c:v>
                </c:pt>
                <c:pt idx="27">
                  <c:v>-3.9499370026699482E-3</c:v>
                </c:pt>
                <c:pt idx="28">
                  <c:v>-4.4149761296350485E-3</c:v>
                </c:pt>
                <c:pt idx="29">
                  <c:v>-3.2390603025360281E-3</c:v>
                </c:pt>
                <c:pt idx="30">
                  <c:v>-1.7808338517692182E-3</c:v>
                </c:pt>
                <c:pt idx="31">
                  <c:v>-3.7259316674968981E-3</c:v>
                </c:pt>
                <c:pt idx="32">
                  <c:v>-4.1093452569740093E-3</c:v>
                </c:pt>
                <c:pt idx="33">
                  <c:v>-3.967917517395619E-3</c:v>
                </c:pt>
                <c:pt idx="34">
                  <c:v>-4.0064843318627788E-3</c:v>
                </c:pt>
                <c:pt idx="35">
                  <c:v>-3.951692518867669E-3</c:v>
                </c:pt>
                <c:pt idx="36">
                  <c:v>-3.7499969840093092E-3</c:v>
                </c:pt>
                <c:pt idx="37">
                  <c:v>-5.835129300388959E-3</c:v>
                </c:pt>
                <c:pt idx="38">
                  <c:v>-5.9032677347763589E-3</c:v>
                </c:pt>
                <c:pt idx="39">
                  <c:v>-5.7926562752743591E-3</c:v>
                </c:pt>
                <c:pt idx="40">
                  <c:v>-4.9738519625579791E-3</c:v>
                </c:pt>
                <c:pt idx="41">
                  <c:v>-4.9738519625579791E-3</c:v>
                </c:pt>
                <c:pt idx="42">
                  <c:v>-4.9738519625579791E-3</c:v>
                </c:pt>
                <c:pt idx="43">
                  <c:v>-4.9738519625579791E-3</c:v>
                </c:pt>
                <c:pt idx="44">
                  <c:v>-4.9738519625579791E-3</c:v>
                </c:pt>
                <c:pt idx="45">
                  <c:v>-4.9738519625579791E-3</c:v>
                </c:pt>
                <c:pt idx="46">
                  <c:v>-4.9738519625579791E-3</c:v>
                </c:pt>
                <c:pt idx="47">
                  <c:v>-4.9738519625579791E-3</c:v>
                </c:pt>
                <c:pt idx="48">
                  <c:v>-4.9738519625579791E-3</c:v>
                </c:pt>
                <c:pt idx="49">
                  <c:v>-4.9738519625579791E-3</c:v>
                </c:pt>
                <c:pt idx="50">
                  <c:v>-4.9738519625579791E-3</c:v>
                </c:pt>
                <c:pt idx="51">
                  <c:v>-4.9738519625579791E-3</c:v>
                </c:pt>
                <c:pt idx="52">
                  <c:v>-4.9738519625579791E-3</c:v>
                </c:pt>
                <c:pt idx="53">
                  <c:v>-4.9738519625579791E-3</c:v>
                </c:pt>
                <c:pt idx="54">
                  <c:v>-4.9738519625579791E-3</c:v>
                </c:pt>
                <c:pt idx="55">
                  <c:v>-4.9738519625579791E-3</c:v>
                </c:pt>
                <c:pt idx="56">
                  <c:v>-4.9738519625579791E-3</c:v>
                </c:pt>
                <c:pt idx="57">
                  <c:v>-4.9738519625579791E-3</c:v>
                </c:pt>
                <c:pt idx="58">
                  <c:v>-4.9738519625579791E-3</c:v>
                </c:pt>
                <c:pt idx="59">
                  <c:v>-4.9738519625579791E-3</c:v>
                </c:pt>
                <c:pt idx="60">
                  <c:v>-4.9738519625579791E-3</c:v>
                </c:pt>
                <c:pt idx="61">
                  <c:v>-4.9738519625579791E-3</c:v>
                </c:pt>
                <c:pt idx="62">
                  <c:v>-4.9738519625579791E-3</c:v>
                </c:pt>
                <c:pt idx="63">
                  <c:v>-5.6831474617248488E-3</c:v>
                </c:pt>
                <c:pt idx="64">
                  <c:v>-5.2402878284165426E-3</c:v>
                </c:pt>
                <c:pt idx="65">
                  <c:v>-4.6187116522054426E-3</c:v>
                </c:pt>
                <c:pt idx="66">
                  <c:v>-4.6837779966616821E-3</c:v>
                </c:pt>
                <c:pt idx="67">
                  <c:v>-5.831846594642782E-3</c:v>
                </c:pt>
                <c:pt idx="68">
                  <c:v>-5.9661306415010823E-3</c:v>
                </c:pt>
                <c:pt idx="69">
                  <c:v>-7.1126807987272125E-3</c:v>
                </c:pt>
                <c:pt idx="70">
                  <c:v>-6.2339027205518226E-3</c:v>
                </c:pt>
                <c:pt idx="71">
                  <c:v>-4.5732911721032225E-3</c:v>
                </c:pt>
                <c:pt idx="72">
                  <c:v>-8.127509805936621E-3</c:v>
                </c:pt>
                <c:pt idx="73">
                  <c:v>-7.610145384698991E-3</c:v>
                </c:pt>
                <c:pt idx="74">
                  <c:v>-7.7071651171074307E-3</c:v>
                </c:pt>
                <c:pt idx="75">
                  <c:v>-6.6172541738229304E-3</c:v>
                </c:pt>
                <c:pt idx="76">
                  <c:v>-6.1661106441671405E-3</c:v>
                </c:pt>
                <c:pt idx="77">
                  <c:v>-5.0998379152907315E-3</c:v>
                </c:pt>
                <c:pt idx="78">
                  <c:v>-5.0998379152907315E-3</c:v>
                </c:pt>
                <c:pt idx="79">
                  <c:v>-5.0998379152907315E-3</c:v>
                </c:pt>
                <c:pt idx="80">
                  <c:v>-5.0998379152907315E-3</c:v>
                </c:pt>
                <c:pt idx="81">
                  <c:v>-5.0998379152907315E-3</c:v>
                </c:pt>
                <c:pt idx="82">
                  <c:v>-5.0998379152907315E-3</c:v>
                </c:pt>
                <c:pt idx="83">
                  <c:v>-4.0268925126291316E-3</c:v>
                </c:pt>
                <c:pt idx="84">
                  <c:v>-5.5688586841284018E-3</c:v>
                </c:pt>
                <c:pt idx="85">
                  <c:v>-5.5244993671866704E-3</c:v>
                </c:pt>
                <c:pt idx="86">
                  <c:v>-5.3872060519982506E-3</c:v>
                </c:pt>
                <c:pt idx="87">
                  <c:v>-5.2406608771059507E-3</c:v>
                </c:pt>
                <c:pt idx="88">
                  <c:v>-5.8038727246929565E-3</c:v>
                </c:pt>
                <c:pt idx="89">
                  <c:v>-6.4836582396732463E-3</c:v>
                </c:pt>
                <c:pt idx="90">
                  <c:v>-5.2373031812017259E-3</c:v>
                </c:pt>
                <c:pt idx="91">
                  <c:v>-3.776988059999405E-3</c:v>
                </c:pt>
                <c:pt idx="92">
                  <c:v>-3.776988059999405E-3</c:v>
                </c:pt>
                <c:pt idx="93">
                  <c:v>-3.776988059999405E-3</c:v>
                </c:pt>
                <c:pt idx="94">
                  <c:v>-3.776988059999405E-3</c:v>
                </c:pt>
                <c:pt idx="95">
                  <c:v>-3.776988059999405E-3</c:v>
                </c:pt>
                <c:pt idx="96">
                  <c:v>-3.848487782702005E-3</c:v>
                </c:pt>
                <c:pt idx="97">
                  <c:v>-1.7704286865161548E-3</c:v>
                </c:pt>
                <c:pt idx="98">
                  <c:v>-1.7704286865161548E-3</c:v>
                </c:pt>
                <c:pt idx="99">
                  <c:v>-1.7704286865161548E-3</c:v>
                </c:pt>
                <c:pt idx="100">
                  <c:v>-1.7704286865161548E-3</c:v>
                </c:pt>
                <c:pt idx="101">
                  <c:v>-1.7704286865161548E-3</c:v>
                </c:pt>
                <c:pt idx="102">
                  <c:v>-1.7704286865161548E-3</c:v>
                </c:pt>
                <c:pt idx="103">
                  <c:v>-1.7704286865161548E-3</c:v>
                </c:pt>
                <c:pt idx="104">
                  <c:v>-1.7704286865161548E-3</c:v>
                </c:pt>
                <c:pt idx="105">
                  <c:v>-1.7704286865161548E-3</c:v>
                </c:pt>
                <c:pt idx="106">
                  <c:v>-1.7704286865161548E-3</c:v>
                </c:pt>
                <c:pt idx="107">
                  <c:v>-1.7704286865161548E-3</c:v>
                </c:pt>
                <c:pt idx="108">
                  <c:v>-1.7704286865161548E-3</c:v>
                </c:pt>
                <c:pt idx="109">
                  <c:v>-1.7704286865161548E-3</c:v>
                </c:pt>
                <c:pt idx="110">
                  <c:v>-1.7704286865161548E-3</c:v>
                </c:pt>
                <c:pt idx="111">
                  <c:v>-1.7704286865161548E-3</c:v>
                </c:pt>
                <c:pt idx="112">
                  <c:v>-1.7704286865161548E-3</c:v>
                </c:pt>
                <c:pt idx="113">
                  <c:v>-1.7704286865161548E-3</c:v>
                </c:pt>
                <c:pt idx="114">
                  <c:v>-1.7704286865161548E-3</c:v>
                </c:pt>
                <c:pt idx="115">
                  <c:v>-1.7704286865161548E-3</c:v>
                </c:pt>
                <c:pt idx="116">
                  <c:v>-1.7704286865161548E-3</c:v>
                </c:pt>
                <c:pt idx="117">
                  <c:v>-1.7704286865161548E-3</c:v>
                </c:pt>
                <c:pt idx="118">
                  <c:v>-1.7704286865161548E-3</c:v>
                </c:pt>
                <c:pt idx="119">
                  <c:v>-1.7704286865161548E-3</c:v>
                </c:pt>
                <c:pt idx="120">
                  <c:v>-1.7704286865161548E-3</c:v>
                </c:pt>
                <c:pt idx="121">
                  <c:v>-1.7704286865161548E-3</c:v>
                </c:pt>
                <c:pt idx="122">
                  <c:v>-1.7704286865161548E-3</c:v>
                </c:pt>
                <c:pt idx="123">
                  <c:v>-1.7704286865161548E-3</c:v>
                </c:pt>
                <c:pt idx="124">
                  <c:v>-1.7704286865161548E-3</c:v>
                </c:pt>
                <c:pt idx="125">
                  <c:v>-1.7704286865161548E-3</c:v>
                </c:pt>
                <c:pt idx="126">
                  <c:v>-1.658545557560885E-3</c:v>
                </c:pt>
                <c:pt idx="127">
                  <c:v>-1.641385462495145E-3</c:v>
                </c:pt>
                <c:pt idx="128">
                  <c:v>-1.927506474278835E-3</c:v>
                </c:pt>
                <c:pt idx="129">
                  <c:v>-2.0755597420861853E-3</c:v>
                </c:pt>
                <c:pt idx="130">
                  <c:v>-2.8161257388259154E-3</c:v>
                </c:pt>
                <c:pt idx="131">
                  <c:v>-2.3889570227589884E-3</c:v>
                </c:pt>
                <c:pt idx="132">
                  <c:v>-2.3889570227589884E-3</c:v>
                </c:pt>
                <c:pt idx="133">
                  <c:v>-2.1102701018682283E-3</c:v>
                </c:pt>
                <c:pt idx="134">
                  <c:v>-3.6805578997355678E-3</c:v>
                </c:pt>
                <c:pt idx="135">
                  <c:v>-3.3422024106546681E-3</c:v>
                </c:pt>
                <c:pt idx="136">
                  <c:v>-4.6021773778465985E-3</c:v>
                </c:pt>
                <c:pt idx="137">
                  <c:v>-2.6597891399334087E-3</c:v>
                </c:pt>
                <c:pt idx="138">
                  <c:v>-3.5430661252999389E-3</c:v>
                </c:pt>
                <c:pt idx="139">
                  <c:v>-3.141298341671428E-3</c:v>
                </c:pt>
                <c:pt idx="140">
                  <c:v>-3.3152798995173911E-3</c:v>
                </c:pt>
                <c:pt idx="141">
                  <c:v>-1.9102100831951008E-3</c:v>
                </c:pt>
                <c:pt idx="142">
                  <c:v>-1.9102100831951008E-3</c:v>
                </c:pt>
                <c:pt idx="143">
                  <c:v>-1.9102100831951008E-3</c:v>
                </c:pt>
                <c:pt idx="144">
                  <c:v>-1.9102100831951008E-3</c:v>
                </c:pt>
                <c:pt idx="145">
                  <c:v>-1.9102100831951008E-3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8A3-41C8-800B-ED47AF4BB0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8199296"/>
        <c:axId val="1284373136"/>
      </c:lineChart>
      <c:catAx>
        <c:axId val="1288199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373136"/>
        <c:crosses val="autoZero"/>
        <c:auto val="1"/>
        <c:lblAlgn val="ctr"/>
        <c:lblOffset val="100"/>
        <c:noMultiLvlLbl val="0"/>
      </c:catAx>
      <c:valAx>
        <c:axId val="1284373136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crossAx val="128819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XLU_IDU_1!$BV$22:$BV$167</c:f>
              <c:numCache>
                <c:formatCode>0.00%</c:formatCode>
                <c:ptCount val="14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2.3432204218379066E-5</c:v>
                </c:pt>
                <c:pt idx="105">
                  <c:v>3.9069566344633057E-5</c:v>
                </c:pt>
                <c:pt idx="106">
                  <c:v>7.9704740625618305E-4</c:v>
                </c:pt>
                <c:pt idx="107">
                  <c:v>2.1550627407228729E-3</c:v>
                </c:pt>
                <c:pt idx="108">
                  <c:v>-4.2346878979769575E-6</c:v>
                </c:pt>
                <c:pt idx="109">
                  <c:v>5.4904854626334305E-4</c:v>
                </c:pt>
                <c:pt idx="110">
                  <c:v>1.1021488272528325E-3</c:v>
                </c:pt>
                <c:pt idx="111">
                  <c:v>1.4464066699405825E-3</c:v>
                </c:pt>
                <c:pt idx="112">
                  <c:v>9.8922292838018251E-4</c:v>
                </c:pt>
                <c:pt idx="113">
                  <c:v>1.0456050613687924E-3</c:v>
                </c:pt>
                <c:pt idx="114">
                  <c:v>8.6923658404366435E-4</c:v>
                </c:pt>
                <c:pt idx="115">
                  <c:v>2.1633753481647942E-3</c:v>
                </c:pt>
                <c:pt idx="116">
                  <c:v>1.5525925949768293E-3</c:v>
                </c:pt>
                <c:pt idx="117">
                  <c:v>1.5771774549279284E-3</c:v>
                </c:pt>
                <c:pt idx="118">
                  <c:v>2.8586004622310843E-3</c:v>
                </c:pt>
                <c:pt idx="119">
                  <c:v>2.8586004622310843E-3</c:v>
                </c:pt>
                <c:pt idx="120">
                  <c:v>2.8586004622310843E-3</c:v>
                </c:pt>
                <c:pt idx="121">
                  <c:v>2.8586004622310843E-3</c:v>
                </c:pt>
                <c:pt idx="122">
                  <c:v>2.8586004622310843E-3</c:v>
                </c:pt>
                <c:pt idx="123">
                  <c:v>2.8586004622310843E-3</c:v>
                </c:pt>
                <c:pt idx="124">
                  <c:v>2.8586004622310843E-3</c:v>
                </c:pt>
                <c:pt idx="125">
                  <c:v>2.8586004622310843E-3</c:v>
                </c:pt>
                <c:pt idx="126">
                  <c:v>2.8586004622310843E-3</c:v>
                </c:pt>
                <c:pt idx="127">
                  <c:v>2.8586004622310843E-3</c:v>
                </c:pt>
                <c:pt idx="128">
                  <c:v>2.8586004622310843E-3</c:v>
                </c:pt>
                <c:pt idx="129">
                  <c:v>2.8586004622310843E-3</c:v>
                </c:pt>
                <c:pt idx="130">
                  <c:v>2.8586004622310843E-3</c:v>
                </c:pt>
                <c:pt idx="131">
                  <c:v>2.8586004622310843E-3</c:v>
                </c:pt>
                <c:pt idx="132">
                  <c:v>2.8586004622310843E-3</c:v>
                </c:pt>
                <c:pt idx="133">
                  <c:v>2.8586004622310843E-3</c:v>
                </c:pt>
                <c:pt idx="134">
                  <c:v>2.8586004622310843E-3</c:v>
                </c:pt>
                <c:pt idx="135">
                  <c:v>2.8586004622310843E-3</c:v>
                </c:pt>
                <c:pt idx="136">
                  <c:v>2.8586004622310843E-3</c:v>
                </c:pt>
                <c:pt idx="137">
                  <c:v>2.8586004622310843E-3</c:v>
                </c:pt>
                <c:pt idx="138">
                  <c:v>2.8586004622310843E-3</c:v>
                </c:pt>
                <c:pt idx="139">
                  <c:v>2.8586004622310843E-3</c:v>
                </c:pt>
                <c:pt idx="140">
                  <c:v>2.8586004622310843E-3</c:v>
                </c:pt>
                <c:pt idx="141">
                  <c:v>2.8586004622310843E-3</c:v>
                </c:pt>
                <c:pt idx="142">
                  <c:v>2.8586004622310843E-3</c:v>
                </c:pt>
                <c:pt idx="143">
                  <c:v>2.8586004622310843E-3</c:v>
                </c:pt>
                <c:pt idx="144">
                  <c:v>2.8586004622310843E-3</c:v>
                </c:pt>
                <c:pt idx="145">
                  <c:v>2.8586004622310843E-3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7D8-4E8F-AADC-963238C589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8199296"/>
        <c:axId val="1284373136"/>
      </c:lineChart>
      <c:catAx>
        <c:axId val="1288199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373136"/>
        <c:crosses val="autoZero"/>
        <c:auto val="1"/>
        <c:lblAlgn val="ctr"/>
        <c:lblOffset val="100"/>
        <c:noMultiLvlLbl val="0"/>
      </c:catAx>
      <c:valAx>
        <c:axId val="1284373136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crossAx val="128819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1</xdr:row>
      <xdr:rowOff>0</xdr:rowOff>
    </xdr:from>
    <xdr:to>
      <xdr:col>41</xdr:col>
      <xdr:colOff>304800</xdr:colOff>
      <xdr:row>16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BA03913-E5D7-41F1-9A3D-AE9AADF8B7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42</xdr:col>
      <xdr:colOff>0</xdr:colOff>
      <xdr:row>18</xdr:row>
      <xdr:rowOff>0</xdr:rowOff>
    </xdr:from>
    <xdr:to>
      <xdr:col>49</xdr:col>
      <xdr:colOff>304800</xdr:colOff>
      <xdr:row>33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3B0D1CD-F55F-41F2-8D9E-1424370DCA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42</xdr:col>
      <xdr:colOff>0</xdr:colOff>
      <xdr:row>1</xdr:row>
      <xdr:rowOff>0</xdr:rowOff>
    </xdr:from>
    <xdr:to>
      <xdr:col>49</xdr:col>
      <xdr:colOff>304800</xdr:colOff>
      <xdr:row>16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784453A-4D7C-405A-868F-A16231CA02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34</xdr:col>
      <xdr:colOff>0</xdr:colOff>
      <xdr:row>18</xdr:row>
      <xdr:rowOff>0</xdr:rowOff>
    </xdr:from>
    <xdr:to>
      <xdr:col>41</xdr:col>
      <xdr:colOff>304800</xdr:colOff>
      <xdr:row>33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7E0BE4E-16E3-4314-809B-9A9DEEC4C56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52</xdr:col>
      <xdr:colOff>0</xdr:colOff>
      <xdr:row>1</xdr:row>
      <xdr:rowOff>0</xdr:rowOff>
    </xdr:from>
    <xdr:to>
      <xdr:col>60</xdr:col>
      <xdr:colOff>447675</xdr:colOff>
      <xdr:row>15</xdr:row>
      <xdr:rowOff>76200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1CB403F-F3C2-4950-B761-E906FEF5E7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78</xdr:col>
      <xdr:colOff>0</xdr:colOff>
      <xdr:row>1</xdr:row>
      <xdr:rowOff>0</xdr:rowOff>
    </xdr:from>
    <xdr:to>
      <xdr:col>87</xdr:col>
      <xdr:colOff>478155</xdr:colOff>
      <xdr:row>15</xdr:row>
      <xdr:rowOff>76200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79060B4C-C3D6-4B54-A248-FB74B2CAC2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52</xdr:col>
      <xdr:colOff>0</xdr:colOff>
      <xdr:row>1</xdr:row>
      <xdr:rowOff>0</xdr:rowOff>
    </xdr:from>
    <xdr:to>
      <xdr:col>60</xdr:col>
      <xdr:colOff>447675</xdr:colOff>
      <xdr:row>15</xdr:row>
      <xdr:rowOff>76200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876C7B10-9AD0-4930-B4AA-1418C1390C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63</xdr:col>
      <xdr:colOff>0</xdr:colOff>
      <xdr:row>1</xdr:row>
      <xdr:rowOff>0</xdr:rowOff>
    </xdr:from>
    <xdr:to>
      <xdr:col>71</xdr:col>
      <xdr:colOff>386715</xdr:colOff>
      <xdr:row>15</xdr:row>
      <xdr:rowOff>76200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970B704E-898F-4607-AC9F-C02D5E7689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7A461E-E8D1-4854-B9FC-F31A5316BC18}">
  <dimension ref="A1:BY167"/>
  <sheetViews>
    <sheetView tabSelected="1" workbookViewId="0">
      <selection activeCell="E8" sqref="E8"/>
    </sheetView>
  </sheetViews>
  <sheetFormatPr defaultRowHeight="14.4" x14ac:dyDescent="0.3"/>
  <cols>
    <col min="1" max="1" width="9.33203125" bestFit="1" customWidth="1"/>
    <col min="2" max="3" width="10.6640625" style="8" bestFit="1" customWidth="1"/>
    <col min="4" max="5" width="10.6640625" style="9" customWidth="1"/>
    <col min="6" max="6" width="8.6640625" style="8" bestFit="1" customWidth="1"/>
    <col min="7" max="7" width="16.21875" style="8" bestFit="1" customWidth="1"/>
    <col min="8" max="8" width="9.33203125" style="8" bestFit="1" customWidth="1"/>
    <col min="9" max="9" width="17" style="8" bestFit="1" customWidth="1"/>
    <col min="10" max="10" width="18.6640625" style="8" bestFit="1" customWidth="1"/>
    <col min="11" max="11" width="19.44140625" style="8" bestFit="1" customWidth="1"/>
    <col min="12" max="13" width="10.6640625" style="8" bestFit="1" customWidth="1"/>
    <col min="14" max="14" width="10.44140625" style="10" bestFit="1" customWidth="1"/>
    <col min="15" max="15" width="13.6640625" style="10" bestFit="1" customWidth="1"/>
    <col min="16" max="17" width="17" style="10" bestFit="1" customWidth="1"/>
    <col min="18" max="18" width="10.6640625" style="8" bestFit="1" customWidth="1"/>
    <col min="19" max="20" width="13.44140625" style="8" bestFit="1" customWidth="1"/>
    <col min="21" max="21" width="20.21875" style="9" bestFit="1" customWidth="1"/>
    <col min="22" max="23" width="23.6640625" style="9" bestFit="1" customWidth="1"/>
    <col min="24" max="24" width="12.44140625" style="10" bestFit="1" customWidth="1"/>
    <col min="25" max="25" width="15.6640625" style="10" bestFit="1" customWidth="1"/>
    <col min="26" max="27" width="19.109375" style="10" bestFit="1" customWidth="1"/>
    <col min="28" max="28" width="11" style="8" bestFit="1" customWidth="1"/>
    <col min="29" max="30" width="14.44140625" style="8" bestFit="1" customWidth="1"/>
    <col min="31" max="31" width="22.33203125" style="9" bestFit="1" customWidth="1"/>
    <col min="32" max="33" width="25.77734375" style="9" bestFit="1" customWidth="1"/>
    <col min="52" max="53" width="8.88671875" style="11"/>
    <col min="58" max="58" width="13.5546875" bestFit="1" customWidth="1"/>
    <col min="59" max="59" width="9.77734375" bestFit="1" customWidth="1"/>
    <col min="60" max="60" width="10.5546875" bestFit="1" customWidth="1"/>
    <col min="61" max="61" width="9.77734375" customWidth="1"/>
    <col min="64" max="65" width="8.88671875" style="11"/>
    <col min="70" max="70" width="13.5546875" bestFit="1" customWidth="1"/>
    <col min="71" max="71" width="12.33203125" bestFit="1" customWidth="1"/>
    <col min="72" max="72" width="10.109375" bestFit="1" customWidth="1"/>
    <col min="73" max="73" width="9.77734375" customWidth="1"/>
  </cols>
  <sheetData>
    <row r="1" spans="1:77" s="2" customFormat="1" x14ac:dyDescent="0.3">
      <c r="A1" s="2" t="s">
        <v>0</v>
      </c>
      <c r="B1" s="3" t="s">
        <v>10</v>
      </c>
      <c r="C1" s="3" t="s">
        <v>11</v>
      </c>
      <c r="D1" s="4" t="s">
        <v>12</v>
      </c>
      <c r="E1" s="4" t="s">
        <v>13</v>
      </c>
      <c r="F1" s="3" t="s">
        <v>14</v>
      </c>
      <c r="G1" s="3" t="s">
        <v>15</v>
      </c>
      <c r="H1" s="3" t="s">
        <v>16</v>
      </c>
      <c r="I1" s="3" t="s">
        <v>17</v>
      </c>
      <c r="J1" s="3" t="s">
        <v>18</v>
      </c>
      <c r="K1" s="3" t="s">
        <v>19</v>
      </c>
      <c r="L1" s="3" t="s">
        <v>20</v>
      </c>
      <c r="M1" s="3" t="s">
        <v>21</v>
      </c>
      <c r="N1" s="5" t="s">
        <v>22</v>
      </c>
      <c r="O1" s="5" t="s">
        <v>23</v>
      </c>
      <c r="P1" s="5" t="s">
        <v>24</v>
      </c>
      <c r="Q1" s="5" t="s">
        <v>25</v>
      </c>
      <c r="R1" s="3" t="s">
        <v>26</v>
      </c>
      <c r="S1" s="3" t="s">
        <v>27</v>
      </c>
      <c r="T1" s="3" t="s">
        <v>28</v>
      </c>
      <c r="U1" s="4" t="s">
        <v>29</v>
      </c>
      <c r="V1" s="4" t="s">
        <v>30</v>
      </c>
      <c r="W1" s="4" t="s">
        <v>31</v>
      </c>
      <c r="X1" s="5" t="s">
        <v>32</v>
      </c>
      <c r="Y1" s="5" t="s">
        <v>33</v>
      </c>
      <c r="Z1" s="5" t="s">
        <v>34</v>
      </c>
      <c r="AA1" s="5" t="s">
        <v>35</v>
      </c>
      <c r="AB1" s="3" t="s">
        <v>36</v>
      </c>
      <c r="AC1" s="3" t="s">
        <v>37</v>
      </c>
      <c r="AD1" s="3" t="s">
        <v>38</v>
      </c>
      <c r="AE1" s="4" t="s">
        <v>39</v>
      </c>
      <c r="AF1" s="4" t="s">
        <v>40</v>
      </c>
      <c r="AG1" s="4" t="s">
        <v>41</v>
      </c>
      <c r="BG1" s="6"/>
      <c r="BH1" s="6"/>
      <c r="BI1" s="6"/>
      <c r="BJ1" s="7">
        <f>BJ167</f>
        <v>-1.9102100831951008E-3</v>
      </c>
      <c r="BS1" s="6"/>
      <c r="BT1" s="6"/>
      <c r="BU1" s="6"/>
      <c r="BV1" s="7">
        <f>BV167</f>
        <v>2.8586004622310843E-3</v>
      </c>
      <c r="BY1" s="7">
        <f>BY167</f>
        <v>9.4839037903598523E-4</v>
      </c>
    </row>
    <row r="2" spans="1:77" x14ac:dyDescent="0.3">
      <c r="A2" s="1">
        <v>46024</v>
      </c>
      <c r="B2" s="8">
        <v>48.31</v>
      </c>
      <c r="C2" s="8">
        <v>50.05</v>
      </c>
      <c r="F2" s="8">
        <v>0</v>
      </c>
      <c r="G2" s="8">
        <v>0</v>
      </c>
      <c r="H2" s="8">
        <v>0</v>
      </c>
      <c r="I2" s="8">
        <v>0</v>
      </c>
      <c r="J2" s="8">
        <v>0</v>
      </c>
      <c r="K2" s="8">
        <v>0</v>
      </c>
      <c r="L2" s="8">
        <v>48.31</v>
      </c>
      <c r="M2" s="8">
        <v>50.05</v>
      </c>
      <c r="N2" s="10">
        <v>1.0360173877044001</v>
      </c>
      <c r="O2" s="10">
        <v>1.03989039569729</v>
      </c>
      <c r="X2" s="10">
        <v>1.0360173877044001</v>
      </c>
      <c r="Y2" s="10">
        <v>1.03989039569729</v>
      </c>
    </row>
    <row r="3" spans="1:77" x14ac:dyDescent="0.3">
      <c r="A3" s="1">
        <v>46027</v>
      </c>
      <c r="B3" s="8">
        <v>48.38</v>
      </c>
      <c r="C3" s="8">
        <v>50.09</v>
      </c>
      <c r="D3" s="9">
        <v>1.44792661556586E-3</v>
      </c>
      <c r="E3" s="9">
        <v>7.9888160829585703E-4</v>
      </c>
      <c r="F3" s="8">
        <v>0</v>
      </c>
      <c r="G3" s="8">
        <v>0</v>
      </c>
      <c r="H3" s="8">
        <v>0</v>
      </c>
      <c r="I3" s="8">
        <v>0</v>
      </c>
      <c r="J3" s="8">
        <v>0</v>
      </c>
      <c r="K3" s="8">
        <v>0</v>
      </c>
      <c r="L3" s="8">
        <v>48.38</v>
      </c>
      <c r="M3" s="8">
        <v>50.09</v>
      </c>
      <c r="N3" s="10">
        <v>1.0353451839603101</v>
      </c>
      <c r="O3" s="10">
        <v>1.03989039569729</v>
      </c>
      <c r="R3" s="8">
        <v>50.309897343834997</v>
      </c>
      <c r="U3" s="9">
        <v>4.3804366592496702E-3</v>
      </c>
      <c r="X3" s="10">
        <v>1.0353451839603101</v>
      </c>
      <c r="Y3" s="10">
        <v>1.03989039569729</v>
      </c>
      <c r="AB3" s="8">
        <v>50.309897343834997</v>
      </c>
      <c r="AE3" s="9">
        <v>4.3804366592496702E-3</v>
      </c>
    </row>
    <row r="4" spans="1:77" x14ac:dyDescent="0.3">
      <c r="A4" s="1">
        <v>46028</v>
      </c>
      <c r="B4" s="8">
        <v>48.44</v>
      </c>
      <c r="C4" s="8">
        <v>50.16</v>
      </c>
      <c r="D4" s="9">
        <v>1.23941350301024E-3</v>
      </c>
      <c r="E4" s="9">
        <v>1.3965089551396599E-3</v>
      </c>
      <c r="F4" s="8">
        <v>0</v>
      </c>
      <c r="G4" s="8">
        <v>0</v>
      </c>
      <c r="H4" s="8">
        <v>0</v>
      </c>
      <c r="I4" s="8">
        <v>0</v>
      </c>
      <c r="J4" s="8">
        <v>0</v>
      </c>
      <c r="K4" s="8">
        <v>0</v>
      </c>
      <c r="L4" s="8">
        <v>48.44</v>
      </c>
      <c r="M4" s="8">
        <v>50.16</v>
      </c>
      <c r="N4" s="10">
        <v>1.0355078447563899</v>
      </c>
      <c r="O4" s="10">
        <v>1.03989039569729</v>
      </c>
      <c r="R4" s="8">
        <v>50.3722907675768</v>
      </c>
      <c r="U4" s="9">
        <v>4.2233412071201598E-3</v>
      </c>
      <c r="X4" s="10">
        <v>1.0355078447563899</v>
      </c>
      <c r="Y4" s="10">
        <v>1.03989039569729</v>
      </c>
      <c r="AB4" s="8">
        <v>50.3722907675768</v>
      </c>
      <c r="AE4" s="9">
        <v>4.2233412071201598E-3</v>
      </c>
    </row>
    <row r="5" spans="1:77" x14ac:dyDescent="0.3">
      <c r="A5" s="1">
        <v>46029</v>
      </c>
      <c r="B5" s="8">
        <v>48.53</v>
      </c>
      <c r="C5" s="8">
        <v>50.22</v>
      </c>
      <c r="D5" s="9">
        <v>1.85624473223345E-3</v>
      </c>
      <c r="E5" s="9">
        <v>1.19545740477373E-3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48.53</v>
      </c>
      <c r="M5" s="8">
        <v>50.22</v>
      </c>
      <c r="N5" s="10">
        <v>1.0348238203173199</v>
      </c>
      <c r="O5" s="10">
        <v>1.03989039569729</v>
      </c>
      <c r="R5" s="8">
        <v>50.4658809031896</v>
      </c>
      <c r="U5" s="9">
        <v>4.8841285345799703E-3</v>
      </c>
      <c r="X5" s="10">
        <v>1.0348238203173199</v>
      </c>
      <c r="Y5" s="10">
        <v>1.03989039569729</v>
      </c>
      <c r="AB5" s="8">
        <v>50.4658809031896</v>
      </c>
      <c r="AE5" s="9">
        <v>4.8841285345799703E-3</v>
      </c>
    </row>
    <row r="6" spans="1:77" x14ac:dyDescent="0.3">
      <c r="A6" s="1">
        <v>46030</v>
      </c>
      <c r="B6" s="8">
        <v>48.53</v>
      </c>
      <c r="C6" s="8">
        <v>50.21</v>
      </c>
      <c r="D6" s="9">
        <v>0</v>
      </c>
      <c r="E6" s="9">
        <v>-1.9914368282483101E-4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48.53</v>
      </c>
      <c r="M6" s="8">
        <v>50.21</v>
      </c>
      <c r="N6" s="10">
        <v>1.0346177622089401</v>
      </c>
      <c r="O6" s="10">
        <v>1.03989039569729</v>
      </c>
      <c r="R6" s="8">
        <v>50.4658809031896</v>
      </c>
      <c r="U6" s="9">
        <v>5.0832722174046696E-3</v>
      </c>
      <c r="X6" s="10">
        <v>1.0346177622089401</v>
      </c>
      <c r="Y6" s="10">
        <v>1.03989039569729</v>
      </c>
      <c r="AB6" s="8">
        <v>50.4658809031896</v>
      </c>
      <c r="AE6" s="9">
        <v>5.0832722174046696E-3</v>
      </c>
    </row>
    <row r="7" spans="1:77" x14ac:dyDescent="0.3">
      <c r="A7" s="1">
        <v>46031</v>
      </c>
      <c r="B7" s="8">
        <v>48.54</v>
      </c>
      <c r="C7" s="8">
        <v>50.25</v>
      </c>
      <c r="D7" s="9">
        <v>2.0603688133041399E-4</v>
      </c>
      <c r="E7" s="9">
        <v>7.9633689257108196E-4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48.54</v>
      </c>
      <c r="M7" s="8">
        <v>50.25</v>
      </c>
      <c r="N7" s="10">
        <v>1.0352286773794801</v>
      </c>
      <c r="O7" s="10">
        <v>1.03989039569729</v>
      </c>
      <c r="R7" s="8">
        <v>50.476279807146597</v>
      </c>
      <c r="U7" s="9">
        <v>4.4929722061640498E-3</v>
      </c>
      <c r="X7" s="10">
        <v>1.0352286773794801</v>
      </c>
      <c r="Y7" s="10">
        <v>1.03989039569729</v>
      </c>
      <c r="AB7" s="8">
        <v>50.476279807146597</v>
      </c>
      <c r="AE7" s="9">
        <v>4.4929722061640498E-3</v>
      </c>
    </row>
    <row r="8" spans="1:77" x14ac:dyDescent="0.3">
      <c r="A8" s="1">
        <v>46034</v>
      </c>
      <c r="B8" s="8">
        <v>48.58</v>
      </c>
      <c r="C8" s="8">
        <v>50.28</v>
      </c>
      <c r="D8" s="9">
        <v>8.2372327557099999E-4</v>
      </c>
      <c r="E8" s="9">
        <v>5.9683678286152496E-4</v>
      </c>
      <c r="F8" s="8">
        <v>0</v>
      </c>
      <c r="G8" s="8">
        <v>0</v>
      </c>
      <c r="H8" s="8">
        <v>0</v>
      </c>
      <c r="I8" s="8">
        <v>0</v>
      </c>
      <c r="J8" s="8">
        <v>0</v>
      </c>
      <c r="K8" s="8">
        <v>0</v>
      </c>
      <c r="L8" s="8">
        <v>48.58</v>
      </c>
      <c r="M8" s="8">
        <v>50.28</v>
      </c>
      <c r="N8" s="10">
        <v>1.0349938246191801</v>
      </c>
      <c r="O8" s="10">
        <v>1.03989039569729</v>
      </c>
      <c r="R8" s="8">
        <v>50.517875422974498</v>
      </c>
      <c r="U8" s="9">
        <v>4.7198586988737804E-3</v>
      </c>
      <c r="X8" s="10">
        <v>1.0349938246191801</v>
      </c>
      <c r="Y8" s="10">
        <v>1.03989039569729</v>
      </c>
      <c r="AB8" s="8">
        <v>50.517875422974498</v>
      </c>
      <c r="AE8" s="9">
        <v>4.7198586988737804E-3</v>
      </c>
    </row>
    <row r="9" spans="1:77" x14ac:dyDescent="0.3">
      <c r="A9" s="1">
        <v>46035</v>
      </c>
      <c r="B9" s="8">
        <v>48.54</v>
      </c>
      <c r="C9" s="8">
        <v>50.23</v>
      </c>
      <c r="D9" s="9">
        <v>-8.23723275571067E-4</v>
      </c>
      <c r="E9" s="9">
        <v>-9.9492596009337591E-4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48.54</v>
      </c>
      <c r="M9" s="8">
        <v>50.23</v>
      </c>
      <c r="N9" s="10">
        <v>1.0348166460651</v>
      </c>
      <c r="O9" s="10">
        <v>1.03989039569729</v>
      </c>
      <c r="R9" s="8">
        <v>50.476279807146597</v>
      </c>
      <c r="U9" s="9">
        <v>4.8910613833959603E-3</v>
      </c>
      <c r="X9" s="10">
        <v>1.0348166460651</v>
      </c>
      <c r="Y9" s="10">
        <v>1.03989039569729</v>
      </c>
      <c r="AB9" s="8">
        <v>50.476279807146597</v>
      </c>
      <c r="AE9" s="9">
        <v>4.8910613833959603E-3</v>
      </c>
      <c r="BJ9" s="12">
        <f>AVERAGE(BI22:BI200)</f>
        <v>-1.3083630706815759E-5</v>
      </c>
      <c r="BV9" s="12">
        <f>AVERAGE(BU22:BU200)</f>
        <v>1.957945522076085E-5</v>
      </c>
      <c r="BY9" s="12">
        <f>AVERAGE(BX22:BX200)</f>
        <v>6.4958245139451041E-6</v>
      </c>
    </row>
    <row r="10" spans="1:77" x14ac:dyDescent="0.3">
      <c r="A10" s="1">
        <v>46036</v>
      </c>
      <c r="B10" s="8">
        <v>48.61</v>
      </c>
      <c r="C10" s="8">
        <v>50.27</v>
      </c>
      <c r="D10" s="9">
        <v>1.4410707589088199E-3</v>
      </c>
      <c r="E10" s="9">
        <v>7.9601994253074E-4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48.61</v>
      </c>
      <c r="M10" s="8">
        <v>50.27</v>
      </c>
      <c r="N10" s="10">
        <v>1.0341493519851801</v>
      </c>
      <c r="O10" s="10">
        <v>1.03989039569729</v>
      </c>
      <c r="R10" s="8">
        <v>50.549072134845403</v>
      </c>
      <c r="U10" s="9">
        <v>5.5361121997741999E-3</v>
      </c>
      <c r="X10" s="10">
        <v>1.0341493519851801</v>
      </c>
      <c r="Y10" s="10">
        <v>1.03989039569729</v>
      </c>
      <c r="AB10" s="8">
        <v>50.549072134845403</v>
      </c>
      <c r="AE10" s="9">
        <v>5.5361121997741999E-3</v>
      </c>
      <c r="AZ10" s="13"/>
      <c r="BJ10" s="12">
        <f>STDEV(BI22:BI200)</f>
        <v>6.7959867135265804E-4</v>
      </c>
      <c r="BL10" s="13"/>
      <c r="BV10" s="12">
        <f>STDEV(BU22:BU200)</f>
        <v>2.8394368947772707E-4</v>
      </c>
      <c r="BY10" s="12">
        <f>STDEV(BX22:BX200)</f>
        <v>7.3688143347889925E-4</v>
      </c>
    </row>
    <row r="11" spans="1:77" x14ac:dyDescent="0.3">
      <c r="A11" s="1">
        <v>46037</v>
      </c>
      <c r="B11" s="8">
        <v>48.59</v>
      </c>
      <c r="C11" s="8">
        <v>50.25</v>
      </c>
      <c r="D11" s="9">
        <v>-4.1152263955240999E-4</v>
      </c>
      <c r="E11" s="9">
        <v>-3.97930765298797E-4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48.59</v>
      </c>
      <c r="M11" s="8">
        <v>50.25</v>
      </c>
      <c r="N11" s="10">
        <v>1.0341634081086599</v>
      </c>
      <c r="O11" s="10">
        <v>1.03989039569729</v>
      </c>
      <c r="P11" s="10">
        <v>1.0349663907105</v>
      </c>
      <c r="R11" s="8">
        <v>50.528274326931403</v>
      </c>
      <c r="U11" s="9">
        <v>5.52252032552061E-3</v>
      </c>
      <c r="X11" s="10">
        <v>1.0341634081086599</v>
      </c>
      <c r="Y11" s="10">
        <v>1.03989039569729</v>
      </c>
      <c r="Z11" s="10">
        <v>1.0349663907105</v>
      </c>
      <c r="AB11" s="8">
        <v>50.528274326931403</v>
      </c>
      <c r="AE11" s="9">
        <v>5.52252032552061E-3</v>
      </c>
      <c r="BJ11">
        <f>SQRT(252)*BJ9/BJ10</f>
        <v>-0.3056159573750527</v>
      </c>
      <c r="BV11">
        <f>SQRT(252)*BV9/BV10</f>
        <v>1.0946332932887084</v>
      </c>
      <c r="BY11">
        <f>SQRT(252)*BY9/BY10</f>
        <v>0.13993841160912818</v>
      </c>
    </row>
    <row r="12" spans="1:77" x14ac:dyDescent="0.3">
      <c r="A12" s="1">
        <v>46038</v>
      </c>
      <c r="B12" s="8">
        <v>48.54</v>
      </c>
      <c r="C12" s="8">
        <v>50.23</v>
      </c>
      <c r="D12" s="9">
        <v>-1.0295481193563899E-3</v>
      </c>
      <c r="E12" s="9">
        <v>-3.9808917723188701E-4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48.54</v>
      </c>
      <c r="M12" s="8">
        <v>50.23</v>
      </c>
      <c r="N12" s="10">
        <v>1.0348166460651</v>
      </c>
      <c r="O12" s="10">
        <v>1.03989039569729</v>
      </c>
      <c r="P12" s="10">
        <v>1.03484631654657</v>
      </c>
      <c r="R12" s="8">
        <v>50.476279807146597</v>
      </c>
      <c r="S12" s="8">
        <v>50.237268605087699</v>
      </c>
      <c r="U12" s="9">
        <v>4.8910613833959603E-3</v>
      </c>
      <c r="V12" s="9">
        <v>1.4469598310673E-4</v>
      </c>
      <c r="X12" s="10">
        <v>1.0348166460651</v>
      </c>
      <c r="Y12" s="10">
        <v>1.03989039569729</v>
      </c>
      <c r="Z12" s="10">
        <v>1.03484631654657</v>
      </c>
      <c r="AB12" s="8">
        <v>50.476279807146597</v>
      </c>
      <c r="AC12" s="8">
        <v>50.237268605087699</v>
      </c>
      <c r="AE12" s="9">
        <v>4.8910613833959603E-3</v>
      </c>
      <c r="AF12" s="9">
        <v>1.4469598310673E-4</v>
      </c>
    </row>
    <row r="13" spans="1:77" x14ac:dyDescent="0.3">
      <c r="A13" s="1">
        <v>46042</v>
      </c>
      <c r="B13" s="8">
        <v>48.39</v>
      </c>
      <c r="C13" s="8">
        <v>50.12</v>
      </c>
      <c r="D13" s="9">
        <v>-3.0950194932281398E-3</v>
      </c>
      <c r="E13" s="9">
        <v>-2.1923277340857601E-3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48.39</v>
      </c>
      <c r="M13" s="8">
        <v>50.12</v>
      </c>
      <c r="N13" s="10">
        <v>1.0357511882620301</v>
      </c>
      <c r="O13" s="10">
        <v>1.03989039569729</v>
      </c>
      <c r="P13" s="10">
        <v>1.0348869169767401</v>
      </c>
      <c r="R13" s="8">
        <v>50.320296247792001</v>
      </c>
      <c r="S13" s="8">
        <v>50.076213257688501</v>
      </c>
      <c r="U13" s="9">
        <v>3.9883696242536603E-3</v>
      </c>
      <c r="V13" s="9">
        <v>-8.7401995894311499E-4</v>
      </c>
      <c r="X13" s="10">
        <v>1.0357511882620301</v>
      </c>
      <c r="Y13" s="10">
        <v>1.03989039569729</v>
      </c>
      <c r="Z13" s="10">
        <v>1.0348869169767401</v>
      </c>
      <c r="AB13" s="8">
        <v>50.320296247792001</v>
      </c>
      <c r="AC13" s="8">
        <v>50.076213257688501</v>
      </c>
      <c r="AE13" s="9">
        <v>3.9883696242536603E-3</v>
      </c>
      <c r="AF13" s="9">
        <v>-8.7401995894311499E-4</v>
      </c>
    </row>
    <row r="14" spans="1:77" x14ac:dyDescent="0.3">
      <c r="A14" s="1">
        <v>46043</v>
      </c>
      <c r="B14" s="8">
        <v>48.43</v>
      </c>
      <c r="C14" s="8">
        <v>50.17</v>
      </c>
      <c r="D14" s="9">
        <v>8.2627560991058104E-4</v>
      </c>
      <c r="E14" s="9">
        <v>9.9710846829406197E-4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48.43</v>
      </c>
      <c r="M14" s="8">
        <v>50.17</v>
      </c>
      <c r="N14" s="10">
        <v>1.03592814371257</v>
      </c>
      <c r="O14" s="10">
        <v>1.03989039569729</v>
      </c>
      <c r="P14" s="10">
        <v>1.0349289468723599</v>
      </c>
      <c r="R14" s="8">
        <v>50.361891863619903</v>
      </c>
      <c r="S14" s="8">
        <v>50.1195733891836</v>
      </c>
      <c r="U14" s="9">
        <v>3.81753676587004E-3</v>
      </c>
      <c r="V14" s="9">
        <v>-1.0056202925549499E-3</v>
      </c>
      <c r="X14" s="10">
        <v>1.03592814371257</v>
      </c>
      <c r="Y14" s="10">
        <v>1.03989039569729</v>
      </c>
      <c r="Z14" s="10">
        <v>1.0349289468723599</v>
      </c>
      <c r="AB14" s="8">
        <v>50.361891863619903</v>
      </c>
      <c r="AC14" s="8">
        <v>50.1195733891836</v>
      </c>
      <c r="AE14" s="9">
        <v>3.81753676587004E-3</v>
      </c>
      <c r="AF14" s="9">
        <v>-1.0056202925549499E-3</v>
      </c>
    </row>
    <row r="15" spans="1:77" x14ac:dyDescent="0.3">
      <c r="A15" s="1">
        <v>46044</v>
      </c>
      <c r="B15" s="8">
        <v>48.47</v>
      </c>
      <c r="C15" s="8">
        <v>50.19</v>
      </c>
      <c r="D15" s="9">
        <v>8.2559344214694396E-4</v>
      </c>
      <c r="E15" s="9">
        <v>3.9856517068051598E-4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48.47</v>
      </c>
      <c r="M15" s="8">
        <v>50.19</v>
      </c>
      <c r="N15" s="10">
        <v>1.0354858675469301</v>
      </c>
      <c r="O15" s="10">
        <v>1.03989039569729</v>
      </c>
      <c r="P15" s="10">
        <v>1.03499515159532</v>
      </c>
      <c r="R15" s="8">
        <v>50.403487479447797</v>
      </c>
      <c r="S15" s="8">
        <v>50.163006054903299</v>
      </c>
      <c r="U15" s="9">
        <v>4.2445650373364703E-3</v>
      </c>
      <c r="V15" s="9">
        <v>-5.3797981363850299E-4</v>
      </c>
      <c r="X15" s="10">
        <v>1.0354858675469301</v>
      </c>
      <c r="Y15" s="10">
        <v>1.03989039569729</v>
      </c>
      <c r="Z15" s="10">
        <v>1.03499515159532</v>
      </c>
      <c r="AB15" s="8">
        <v>50.403487479447797</v>
      </c>
      <c r="AC15" s="8">
        <v>50.163006054903299</v>
      </c>
      <c r="AE15" s="9">
        <v>4.2445650373364703E-3</v>
      </c>
      <c r="AF15" s="9">
        <v>-5.3797981363850299E-4</v>
      </c>
    </row>
    <row r="16" spans="1:77" x14ac:dyDescent="0.3">
      <c r="A16" s="1">
        <v>46045</v>
      </c>
      <c r="B16" s="8">
        <v>48.45</v>
      </c>
      <c r="C16" s="8">
        <v>50.16</v>
      </c>
      <c r="D16" s="9">
        <v>-4.1271152050925003E-4</v>
      </c>
      <c r="E16" s="9">
        <v>-5.9790734217704902E-4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48.45</v>
      </c>
      <c r="M16" s="8">
        <v>50.16</v>
      </c>
      <c r="N16" s="10">
        <v>1.03529411764705</v>
      </c>
      <c r="O16" s="10">
        <v>1.03989039569729</v>
      </c>
      <c r="P16" s="10">
        <v>1.03506278713913</v>
      </c>
      <c r="R16" s="8">
        <v>50.382689671533797</v>
      </c>
      <c r="S16" s="8">
        <v>50.145515094793303</v>
      </c>
      <c r="U16" s="9">
        <v>4.4297608590040402E-3</v>
      </c>
      <c r="V16" s="9">
        <v>-2.8881573049472801E-4</v>
      </c>
      <c r="X16" s="10">
        <v>1.03529411764705</v>
      </c>
      <c r="Y16" s="10">
        <v>1.03989039569729</v>
      </c>
      <c r="Z16" s="10">
        <v>1.03506278713913</v>
      </c>
      <c r="AB16" s="8">
        <v>50.382689671533797</v>
      </c>
      <c r="AC16" s="8">
        <v>50.145515094793303</v>
      </c>
      <c r="AE16" s="9">
        <v>4.4297608590040402E-3</v>
      </c>
      <c r="AF16" s="9">
        <v>-2.8881573049472801E-4</v>
      </c>
    </row>
    <row r="17" spans="1:77" x14ac:dyDescent="0.3">
      <c r="A17" s="1">
        <v>46048</v>
      </c>
      <c r="B17" s="8">
        <v>48.53</v>
      </c>
      <c r="C17" s="8">
        <v>50.23</v>
      </c>
      <c r="D17" s="9">
        <v>1.6498250803494801E-3</v>
      </c>
      <c r="E17" s="9">
        <v>1.3945614372881201E-3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48.53</v>
      </c>
      <c r="M17" s="8">
        <v>50.23</v>
      </c>
      <c r="N17" s="10">
        <v>1.0350298784257099</v>
      </c>
      <c r="O17" s="10">
        <v>1.03989039569729</v>
      </c>
      <c r="P17" s="10">
        <v>1.0350429072437499</v>
      </c>
      <c r="R17" s="8">
        <v>50.4658809031896</v>
      </c>
      <c r="S17" s="8">
        <v>50.231597059862104</v>
      </c>
      <c r="U17" s="9">
        <v>4.6850245020656099E-3</v>
      </c>
      <c r="V17" s="9">
        <v>3.17944350675648E-5</v>
      </c>
      <c r="X17" s="10">
        <v>1.0350298784257099</v>
      </c>
      <c r="Y17" s="10">
        <v>1.03989039569729</v>
      </c>
      <c r="Z17" s="10">
        <v>1.0350429072437499</v>
      </c>
      <c r="AB17" s="8">
        <v>50.4658809031896</v>
      </c>
      <c r="AC17" s="8">
        <v>50.231597059862104</v>
      </c>
      <c r="AE17" s="9">
        <v>4.6850245020656099E-3</v>
      </c>
      <c r="AF17" s="9">
        <v>3.17944350675648E-5</v>
      </c>
    </row>
    <row r="18" spans="1:77" x14ac:dyDescent="0.3">
      <c r="A18" s="1">
        <v>46049</v>
      </c>
      <c r="B18" s="8">
        <v>48.52</v>
      </c>
      <c r="C18" s="8">
        <v>50.22</v>
      </c>
      <c r="D18" s="9">
        <v>-2.06079341275347E-4</v>
      </c>
      <c r="E18" s="9">
        <v>-1.9910403251438899E-4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48.52</v>
      </c>
      <c r="M18" s="8">
        <v>50.22</v>
      </c>
      <c r="N18" s="10">
        <v>1.0350370981038699</v>
      </c>
      <c r="O18" s="10">
        <v>1.03989039569729</v>
      </c>
      <c r="P18" s="10">
        <v>1.0350472345922199</v>
      </c>
      <c r="R18" s="8">
        <v>50.455481999232603</v>
      </c>
      <c r="S18" s="8">
        <v>50.220281859467001</v>
      </c>
      <c r="U18" s="9">
        <v>4.6780491933045096E-3</v>
      </c>
      <c r="V18" s="9">
        <v>5.61247861593768E-6</v>
      </c>
      <c r="X18" s="10">
        <v>1.0350370981038699</v>
      </c>
      <c r="Y18" s="10">
        <v>1.03989039569729</v>
      </c>
      <c r="Z18" s="10">
        <v>1.0350472345922199</v>
      </c>
      <c r="AB18" s="8">
        <v>50.455481999232603</v>
      </c>
      <c r="AC18" s="8">
        <v>50.220281859467001</v>
      </c>
      <c r="AE18" s="9">
        <v>4.6780491933045096E-3</v>
      </c>
      <c r="AF18" s="9">
        <v>5.61247861593768E-6</v>
      </c>
    </row>
    <row r="19" spans="1:77" x14ac:dyDescent="0.3">
      <c r="A19" s="1">
        <v>46050</v>
      </c>
      <c r="B19" s="8">
        <v>48.51</v>
      </c>
      <c r="C19" s="8">
        <v>50.27</v>
      </c>
      <c r="D19" s="9">
        <v>-2.06121818724299E-4</v>
      </c>
      <c r="E19" s="9">
        <v>9.9512397504496197E-4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48.51</v>
      </c>
      <c r="M19" s="8">
        <v>50.27</v>
      </c>
      <c r="N19" s="10">
        <v>1.03628117913832</v>
      </c>
      <c r="O19" s="10">
        <v>1.03989039569729</v>
      </c>
      <c r="P19" s="10">
        <v>1.03519368789954</v>
      </c>
      <c r="R19" s="8">
        <v>50.445083095275699</v>
      </c>
      <c r="S19" s="8">
        <v>50.210141350068803</v>
      </c>
      <c r="U19" s="9">
        <v>3.47680339953511E-3</v>
      </c>
      <c r="V19" s="9">
        <v>-1.1914524842016E-3</v>
      </c>
      <c r="X19" s="10">
        <v>1.03628117913832</v>
      </c>
      <c r="Y19" s="10">
        <v>1.03989039569729</v>
      </c>
      <c r="Z19" s="10">
        <v>1.03519368789954</v>
      </c>
      <c r="AB19" s="8">
        <v>50.445083095275699</v>
      </c>
      <c r="AC19" s="8">
        <v>50.210141350068803</v>
      </c>
      <c r="AE19" s="9">
        <v>3.47680339953511E-3</v>
      </c>
      <c r="AF19" s="9">
        <v>-1.1914524842016E-3</v>
      </c>
      <c r="BX19" s="6" t="s">
        <v>1</v>
      </c>
      <c r="BY19" s="6" t="s">
        <v>1</v>
      </c>
    </row>
    <row r="20" spans="1:77" x14ac:dyDescent="0.3">
      <c r="A20" s="1">
        <v>46051</v>
      </c>
      <c r="B20" s="8">
        <v>48.67</v>
      </c>
      <c r="C20" s="8">
        <v>50.32</v>
      </c>
      <c r="D20" s="9">
        <v>3.2928615882378198E-3</v>
      </c>
      <c r="E20" s="9">
        <v>9.9413468770123497E-4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48.67</v>
      </c>
      <c r="M20" s="8">
        <v>50.32</v>
      </c>
      <c r="N20" s="10">
        <v>1.0339017875487899</v>
      </c>
      <c r="O20" s="10">
        <v>1.03989039569729</v>
      </c>
      <c r="P20" s="10">
        <v>1.0351689314559001</v>
      </c>
      <c r="R20" s="8">
        <v>50.611465558587199</v>
      </c>
      <c r="S20" s="8">
        <v>50.382876790070902</v>
      </c>
      <c r="U20" s="9">
        <v>5.7755303000719396E-3</v>
      </c>
      <c r="V20" s="9">
        <v>1.24875872956199E-3</v>
      </c>
      <c r="X20" s="10">
        <v>1.0339017875487899</v>
      </c>
      <c r="Y20" s="10">
        <v>1.03989039569729</v>
      </c>
      <c r="Z20" s="10">
        <v>1.0351689314559001</v>
      </c>
      <c r="AB20" s="8">
        <v>50.611465558587199</v>
      </c>
      <c r="AC20" s="8">
        <v>50.382876790070902</v>
      </c>
      <c r="AE20" s="9">
        <v>5.7755303000719396E-3</v>
      </c>
      <c r="AF20" s="9">
        <v>1.24875872956199E-3</v>
      </c>
      <c r="AZ20" s="14" t="s">
        <v>2</v>
      </c>
      <c r="BA20" s="15">
        <v>-1.1209599027042093E-3</v>
      </c>
      <c r="BB20" s="6" t="s">
        <v>3</v>
      </c>
      <c r="BC20" s="6" t="s">
        <v>4</v>
      </c>
      <c r="BD20" s="6" t="s">
        <v>5</v>
      </c>
      <c r="BE20" s="6" t="s">
        <v>6</v>
      </c>
      <c r="BF20" s="6" t="s">
        <v>7</v>
      </c>
      <c r="BG20" s="6" t="str">
        <f>D1</f>
        <v>BNDX log rtn</v>
      </c>
      <c r="BH20" s="6" t="str">
        <f>E1</f>
        <v>IAGG log rtn</v>
      </c>
      <c r="BI20" s="6" t="s">
        <v>8</v>
      </c>
      <c r="BJ20" s="6" t="s">
        <v>9</v>
      </c>
      <c r="BL20" s="14" t="s">
        <v>2</v>
      </c>
      <c r="BM20" s="15">
        <v>2.2260370323622628E-3</v>
      </c>
      <c r="BN20" s="6" t="s">
        <v>4</v>
      </c>
      <c r="BO20" s="6" t="s">
        <v>3</v>
      </c>
      <c r="BP20" s="6" t="s">
        <v>5</v>
      </c>
      <c r="BQ20" s="6" t="s">
        <v>6</v>
      </c>
      <c r="BR20" s="6" t="s">
        <v>7</v>
      </c>
      <c r="BS20" s="7" t="str">
        <f>D1</f>
        <v>BNDX log rtn</v>
      </c>
      <c r="BT20" s="7" t="str">
        <f>E1</f>
        <v>IAGG log rtn</v>
      </c>
      <c r="BU20" s="6" t="s">
        <v>8</v>
      </c>
      <c r="BV20" s="6" t="s">
        <v>9</v>
      </c>
      <c r="BX20" s="6" t="s">
        <v>8</v>
      </c>
      <c r="BY20" s="6" t="s">
        <v>9</v>
      </c>
    </row>
    <row r="21" spans="1:77" x14ac:dyDescent="0.3">
      <c r="A21" s="1">
        <v>46052</v>
      </c>
      <c r="B21" s="8">
        <v>48.57</v>
      </c>
      <c r="C21" s="8">
        <v>50.3</v>
      </c>
      <c r="D21" s="9">
        <v>-2.0567674877094802E-3</v>
      </c>
      <c r="E21" s="9">
        <v>-3.97535286491591E-4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48.57</v>
      </c>
      <c r="M21" s="8">
        <v>50.3</v>
      </c>
      <c r="N21" s="10">
        <v>1.0356186946674899</v>
      </c>
      <c r="O21" s="10">
        <v>1.03989039569729</v>
      </c>
      <c r="P21" s="10">
        <v>1.0353144601117901</v>
      </c>
      <c r="Q21" s="10">
        <v>1.03514042541114</v>
      </c>
      <c r="R21" s="8">
        <v>50.507476519017501</v>
      </c>
      <c r="S21" s="8">
        <v>50.278155000813399</v>
      </c>
      <c r="U21" s="9">
        <v>4.11629809885384E-3</v>
      </c>
      <c r="V21" s="9">
        <v>-4.3438855146738002E-4</v>
      </c>
      <c r="X21" s="10">
        <v>1.0356186946674899</v>
      </c>
      <c r="Y21" s="10">
        <v>1.03989039569729</v>
      </c>
      <c r="Z21" s="10">
        <v>1.0353144601117901</v>
      </c>
      <c r="AA21" s="10">
        <v>1.03514042541114</v>
      </c>
      <c r="AB21" s="8">
        <v>50.507476519017501</v>
      </c>
      <c r="AC21" s="8">
        <v>50.278155000813399</v>
      </c>
      <c r="AE21" s="9">
        <v>4.11629809885384E-3</v>
      </c>
      <c r="AF21" s="9">
        <v>-4.3438855146738002E-4</v>
      </c>
      <c r="BA21" s="15">
        <v>0</v>
      </c>
      <c r="BE21">
        <f>IF(F22+H22&gt;0,0,1)</f>
        <v>0</v>
      </c>
      <c r="BF21" s="16">
        <v>0</v>
      </c>
      <c r="BM21" s="15">
        <v>0</v>
      </c>
      <c r="BQ21">
        <f>IF(F22+H22&gt;0,0,1)</f>
        <v>0</v>
      </c>
      <c r="BR21" s="16">
        <v>0</v>
      </c>
    </row>
    <row r="22" spans="1:77" x14ac:dyDescent="0.3">
      <c r="A22" s="1">
        <v>46055</v>
      </c>
      <c r="B22" s="8">
        <v>48.43</v>
      </c>
      <c r="C22" s="8">
        <v>50.18</v>
      </c>
      <c r="D22" s="9">
        <v>-2.8865999425156498E-3</v>
      </c>
      <c r="E22" s="9">
        <v>-2.38853616741723E-3</v>
      </c>
      <c r="F22" s="8">
        <v>0.1124</v>
      </c>
      <c r="G22" s="8">
        <v>0.1124</v>
      </c>
      <c r="H22" s="8">
        <v>0.107</v>
      </c>
      <c r="I22" s="8">
        <v>0.107</v>
      </c>
      <c r="J22" s="8">
        <v>0</v>
      </c>
      <c r="K22" s="8">
        <v>0</v>
      </c>
      <c r="L22" s="8">
        <v>48.43</v>
      </c>
      <c r="M22" s="8">
        <v>50.18</v>
      </c>
      <c r="N22" s="10">
        <v>1.0361346272971299</v>
      </c>
      <c r="O22" s="10">
        <v>1.03989039569729</v>
      </c>
      <c r="P22" s="10">
        <v>1.0354462582349899</v>
      </c>
      <c r="Q22" s="10">
        <v>1.03514628739078</v>
      </c>
      <c r="R22" s="8">
        <v>50.361891863619903</v>
      </c>
      <c r="S22" s="8">
        <v>50.140279303214001</v>
      </c>
      <c r="T22" s="8">
        <v>50.131850802661802</v>
      </c>
      <c r="U22" s="9">
        <v>3.6182343237555702E-3</v>
      </c>
      <c r="V22" s="9">
        <v>-7.9187775667062304E-4</v>
      </c>
      <c r="W22" s="9">
        <v>-9.5999028331563005E-4</v>
      </c>
      <c r="X22" s="10">
        <v>1.0361346272971299</v>
      </c>
      <c r="Y22" s="10">
        <v>1.03989039569729</v>
      </c>
      <c r="Z22" s="10">
        <v>1.0354462582349899</v>
      </c>
      <c r="AA22" s="10">
        <v>1.03514628739078</v>
      </c>
      <c r="AB22" s="8">
        <v>50.361891863619903</v>
      </c>
      <c r="AC22" s="8">
        <v>50.140279303214001</v>
      </c>
      <c r="AD22" s="8">
        <v>50.131850802661802</v>
      </c>
      <c r="AE22" s="9">
        <v>3.6182343237555702E-3</v>
      </c>
      <c r="AF22" s="9">
        <v>-7.9187775667062304E-4</v>
      </c>
      <c r="AG22" s="9">
        <v>-9.5999028331563005E-4</v>
      </c>
      <c r="AZ22" s="9"/>
      <c r="BB22">
        <f>IF($AG22&lt;BA$20,1,0)</f>
        <v>0</v>
      </c>
      <c r="BC22">
        <f>IF($AG22&gt;BA$21,1,0)</f>
        <v>0</v>
      </c>
      <c r="BD22">
        <f>BF21</f>
        <v>0</v>
      </c>
      <c r="BE22">
        <f t="shared" ref="BE22:BE85" si="0">IF(F23+H23&gt;0,0,1)</f>
        <v>1</v>
      </c>
      <c r="BF22">
        <f>IF(BB21,1,IF(BC21,0,BD21))*BE21</f>
        <v>0</v>
      </c>
      <c r="BG22" s="9">
        <f>BF22*D22</f>
        <v>0</v>
      </c>
      <c r="BH22" s="9">
        <f>-BF22*$E22</f>
        <v>0</v>
      </c>
      <c r="BI22" s="9">
        <f>BG22+BH22</f>
        <v>0</v>
      </c>
      <c r="BJ22" s="12">
        <f>BJ21+BI22</f>
        <v>0</v>
      </c>
      <c r="BL22" s="9"/>
      <c r="BN22">
        <f>IF($AG22&gt;BM$20,1,0)</f>
        <v>0</v>
      </c>
      <c r="BO22">
        <f>IF($AG22&lt;BM$21,1,0)</f>
        <v>1</v>
      </c>
      <c r="BP22">
        <f>BR21</f>
        <v>0</v>
      </c>
      <c r="BQ22">
        <f t="shared" ref="BQ22:BQ85" si="1">IF(F23+H23&gt;0,0,1)</f>
        <v>1</v>
      </c>
      <c r="BR22">
        <f>IF(BN21,1,IF(BO21,0,BP21))*BQ21</f>
        <v>0</v>
      </c>
      <c r="BS22" s="9">
        <f>-BR22*D22</f>
        <v>0</v>
      </c>
      <c r="BT22" s="9">
        <f>BR22*$E22</f>
        <v>0</v>
      </c>
      <c r="BU22" s="9">
        <f>BS22+BT22</f>
        <v>0</v>
      </c>
      <c r="BV22" s="12">
        <f>BV21+BU22</f>
        <v>0</v>
      </c>
      <c r="BX22" s="12">
        <f>BI22+BU22</f>
        <v>0</v>
      </c>
      <c r="BY22" s="12">
        <f>BY21+BX22</f>
        <v>0</v>
      </c>
    </row>
    <row r="23" spans="1:77" x14ac:dyDescent="0.3">
      <c r="A23" s="1">
        <v>46056</v>
      </c>
      <c r="B23" s="8">
        <v>48.41</v>
      </c>
      <c r="C23" s="8">
        <v>50.16</v>
      </c>
      <c r="D23" s="9">
        <v>-4.1305246353482198E-4</v>
      </c>
      <c r="E23" s="9">
        <v>-3.98644613611026E-4</v>
      </c>
      <c r="F23" s="8">
        <v>0</v>
      </c>
      <c r="G23" s="8">
        <v>0.1124</v>
      </c>
      <c r="H23" s="8">
        <v>0</v>
      </c>
      <c r="I23" s="8">
        <v>0.107</v>
      </c>
      <c r="J23" s="8">
        <v>0</v>
      </c>
      <c r="K23" s="8">
        <v>0</v>
      </c>
      <c r="L23" s="8">
        <v>48.41</v>
      </c>
      <c r="M23" s="8">
        <v>50.16</v>
      </c>
      <c r="N23" s="10">
        <v>1.0361495558768801</v>
      </c>
      <c r="O23" s="10">
        <v>1.03989039569729</v>
      </c>
      <c r="P23" s="10">
        <v>1.0354860949964699</v>
      </c>
      <c r="Q23" s="10">
        <v>1.0351865059866101</v>
      </c>
      <c r="R23" s="8">
        <v>50.341094055705902</v>
      </c>
      <c r="S23" s="8">
        <v>50.125953361156</v>
      </c>
      <c r="T23" s="8">
        <v>50.1114317725877</v>
      </c>
      <c r="U23" s="9">
        <v>3.6038264738316702E-3</v>
      </c>
      <c r="V23" s="9">
        <v>-6.7899120486750099E-4</v>
      </c>
      <c r="W23" s="9">
        <v>-9.6873516916783596E-4</v>
      </c>
      <c r="X23" s="10">
        <v>1.0361495558768801</v>
      </c>
      <c r="Y23" s="10">
        <v>1.03989039569729</v>
      </c>
      <c r="Z23" s="10">
        <v>1.0354860949964699</v>
      </c>
      <c r="AA23" s="10">
        <v>1.0351865059866101</v>
      </c>
      <c r="AB23" s="8">
        <v>50.341094055705902</v>
      </c>
      <c r="AC23" s="8">
        <v>50.125953361156</v>
      </c>
      <c r="AD23" s="8">
        <v>50.1114317725877</v>
      </c>
      <c r="AE23" s="9">
        <v>3.6038264738316702E-3</v>
      </c>
      <c r="AF23" s="9">
        <v>-6.7899120486750099E-4</v>
      </c>
      <c r="AG23" s="9">
        <v>-9.6873516916783596E-4</v>
      </c>
      <c r="AZ23" s="9"/>
      <c r="BB23">
        <f t="shared" ref="BB23:BB86" si="2">IF($AG23&lt;BA$20,1,0)</f>
        <v>0</v>
      </c>
      <c r="BC23">
        <f t="shared" ref="BC23:BC86" si="3">IF($AG23&gt;BA$21,1,0)</f>
        <v>0</v>
      </c>
      <c r="BD23">
        <f t="shared" ref="BD23:BD86" si="4">BF23</f>
        <v>0</v>
      </c>
      <c r="BE23">
        <f t="shared" si="0"/>
        <v>1</v>
      </c>
      <c r="BF23">
        <f t="shared" ref="BF23:BF86" si="5">IF(BB22,1,IF(BC22,0,BD22))*BE22</f>
        <v>0</v>
      </c>
      <c r="BG23" s="9">
        <f t="shared" ref="BG23:BG86" si="6">BF23*D23</f>
        <v>0</v>
      </c>
      <c r="BH23" s="9">
        <f t="shared" ref="BH23:BH86" si="7">-BF23*$E23</f>
        <v>0</v>
      </c>
      <c r="BI23" s="9">
        <f t="shared" ref="BI23:BI86" si="8">BG23+BH23</f>
        <v>0</v>
      </c>
      <c r="BJ23" s="12">
        <f t="shared" ref="BJ23:BJ86" si="9">BJ22+BI23</f>
        <v>0</v>
      </c>
      <c r="BL23" s="9"/>
      <c r="BN23">
        <f t="shared" ref="BN23:BN86" si="10">IF($AG23&gt;BM$20,1,0)</f>
        <v>0</v>
      </c>
      <c r="BO23">
        <f t="shared" ref="BO23:BO86" si="11">IF($AG23&lt;BM$21,1,0)</f>
        <v>1</v>
      </c>
      <c r="BP23">
        <f t="shared" ref="BP23:BP86" si="12">BR23</f>
        <v>0</v>
      </c>
      <c r="BQ23">
        <f t="shared" si="1"/>
        <v>1</v>
      </c>
      <c r="BR23">
        <f t="shared" ref="BR23:BR86" si="13">IF(BN22,1,IF(BO22,0,BP22))*BQ22</f>
        <v>0</v>
      </c>
      <c r="BS23" s="9">
        <f t="shared" ref="BS23:BS86" si="14">-BR23*D23</f>
        <v>0</v>
      </c>
      <c r="BT23" s="9">
        <f t="shared" ref="BT23:BT86" si="15">BR23*$E23</f>
        <v>0</v>
      </c>
      <c r="BU23" s="9">
        <f t="shared" ref="BU23:BU86" si="16">BS23+BT23</f>
        <v>0</v>
      </c>
      <c r="BV23" s="12">
        <f t="shared" ref="BV23:BV86" si="17">BV22+BU23</f>
        <v>0</v>
      </c>
      <c r="BX23" s="12">
        <f t="shared" ref="BX23:BX86" si="18">BI23+BU23</f>
        <v>0</v>
      </c>
      <c r="BY23" s="12">
        <f t="shared" ref="BY23:BY86" si="19">BY22+BX23</f>
        <v>0</v>
      </c>
    </row>
    <row r="24" spans="1:77" x14ac:dyDescent="0.3">
      <c r="A24" s="1">
        <v>46057</v>
      </c>
      <c r="B24" s="8">
        <v>48.48</v>
      </c>
      <c r="C24" s="8">
        <v>50.14</v>
      </c>
      <c r="D24" s="9">
        <v>1.44493780945604E-3</v>
      </c>
      <c r="E24" s="9">
        <v>-3.9880359451782298E-4</v>
      </c>
      <c r="F24" s="8">
        <v>0</v>
      </c>
      <c r="G24" s="8">
        <v>0.1124</v>
      </c>
      <c r="H24" s="8">
        <v>0</v>
      </c>
      <c r="I24" s="8">
        <v>0.107</v>
      </c>
      <c r="J24" s="8">
        <v>0</v>
      </c>
      <c r="K24" s="8">
        <v>0</v>
      </c>
      <c r="L24" s="8">
        <v>48.48</v>
      </c>
      <c r="M24" s="8">
        <v>50.14</v>
      </c>
      <c r="N24" s="10">
        <v>1.0342409240924</v>
      </c>
      <c r="O24" s="10">
        <v>1.03989039569729</v>
      </c>
      <c r="P24" s="10">
        <v>1.03531737303446</v>
      </c>
      <c r="Q24" s="10">
        <v>1.0351231599534101</v>
      </c>
      <c r="R24" s="8">
        <v>50.413886383404702</v>
      </c>
      <c r="S24" s="8">
        <v>50.2003658854292</v>
      </c>
      <c r="T24" s="8">
        <v>50.185841810230798</v>
      </c>
      <c r="U24" s="9">
        <v>5.4475678778056697E-3</v>
      </c>
      <c r="V24" s="9">
        <v>1.2032224953427699E-3</v>
      </c>
      <c r="W24" s="9">
        <v>9.1385853523061301E-4</v>
      </c>
      <c r="X24" s="10">
        <v>1.0342409240924</v>
      </c>
      <c r="Y24" s="10">
        <v>1.03989039569729</v>
      </c>
      <c r="Z24" s="10">
        <v>1.03531737303446</v>
      </c>
      <c r="AA24" s="10">
        <v>1.0351231599534101</v>
      </c>
      <c r="AB24" s="8">
        <v>50.413886383404702</v>
      </c>
      <c r="AC24" s="8">
        <v>50.2003658854292</v>
      </c>
      <c r="AD24" s="8">
        <v>50.185841810230798</v>
      </c>
      <c r="AE24" s="9">
        <v>5.4475678778056697E-3</v>
      </c>
      <c r="AF24" s="9">
        <v>1.2032224953427699E-3</v>
      </c>
      <c r="AG24" s="9">
        <v>9.1385853523061301E-4</v>
      </c>
      <c r="AZ24" s="9"/>
      <c r="BB24">
        <f t="shared" si="2"/>
        <v>0</v>
      </c>
      <c r="BC24">
        <f t="shared" si="3"/>
        <v>1</v>
      </c>
      <c r="BD24">
        <f t="shared" si="4"/>
        <v>0</v>
      </c>
      <c r="BE24">
        <f t="shared" si="0"/>
        <v>1</v>
      </c>
      <c r="BF24">
        <f t="shared" si="5"/>
        <v>0</v>
      </c>
      <c r="BG24" s="9">
        <f t="shared" si="6"/>
        <v>0</v>
      </c>
      <c r="BH24" s="9">
        <f t="shared" si="7"/>
        <v>0</v>
      </c>
      <c r="BI24" s="9">
        <f t="shared" si="8"/>
        <v>0</v>
      </c>
      <c r="BJ24" s="12">
        <f t="shared" si="9"/>
        <v>0</v>
      </c>
      <c r="BL24" s="9"/>
      <c r="BN24">
        <f t="shared" si="10"/>
        <v>0</v>
      </c>
      <c r="BO24">
        <f t="shared" si="11"/>
        <v>0</v>
      </c>
      <c r="BP24">
        <f t="shared" si="12"/>
        <v>0</v>
      </c>
      <c r="BQ24">
        <f t="shared" si="1"/>
        <v>1</v>
      </c>
      <c r="BR24">
        <f t="shared" si="13"/>
        <v>0</v>
      </c>
      <c r="BS24" s="9">
        <f t="shared" si="14"/>
        <v>0</v>
      </c>
      <c r="BT24" s="9">
        <f t="shared" si="15"/>
        <v>0</v>
      </c>
      <c r="BU24" s="9">
        <f t="shared" si="16"/>
        <v>0</v>
      </c>
      <c r="BV24" s="12">
        <f t="shared" si="17"/>
        <v>0</v>
      </c>
      <c r="BX24" s="12">
        <f t="shared" si="18"/>
        <v>0</v>
      </c>
      <c r="BY24" s="12">
        <f t="shared" si="19"/>
        <v>0</v>
      </c>
    </row>
    <row r="25" spans="1:77" x14ac:dyDescent="0.3">
      <c r="A25" s="1">
        <v>46058</v>
      </c>
      <c r="B25" s="8">
        <v>48.54</v>
      </c>
      <c r="C25" s="8">
        <v>50.22</v>
      </c>
      <c r="D25" s="9">
        <v>1.2368585373964201E-3</v>
      </c>
      <c r="E25" s="9">
        <v>1.5942609992916699E-3</v>
      </c>
      <c r="F25" s="8">
        <v>0</v>
      </c>
      <c r="G25" s="8">
        <v>0.1124</v>
      </c>
      <c r="H25" s="8">
        <v>0</v>
      </c>
      <c r="I25" s="8">
        <v>0.107</v>
      </c>
      <c r="J25" s="8">
        <v>0</v>
      </c>
      <c r="K25" s="8">
        <v>0</v>
      </c>
      <c r="L25" s="8">
        <v>48.54</v>
      </c>
      <c r="M25" s="8">
        <v>50.22</v>
      </c>
      <c r="N25" s="10">
        <v>1.0346106304079099</v>
      </c>
      <c r="O25" s="10">
        <v>1.03989039569729</v>
      </c>
      <c r="P25" s="10">
        <v>1.0352298493205501</v>
      </c>
      <c r="Q25" s="10">
        <v>1.03511250045794</v>
      </c>
      <c r="R25" s="8">
        <v>50.476279807146597</v>
      </c>
      <c r="S25" s="8">
        <v>50.254305287092699</v>
      </c>
      <c r="T25" s="8">
        <v>50.2448781841385</v>
      </c>
      <c r="U25" s="9">
        <v>5.09016541591028E-3</v>
      </c>
      <c r="V25" s="9">
        <v>6.82866894731393E-4</v>
      </c>
      <c r="W25" s="9">
        <v>4.9526133105946802E-4</v>
      </c>
      <c r="X25" s="10">
        <v>1.0346106304079099</v>
      </c>
      <c r="Y25" s="10">
        <v>1.03989039569729</v>
      </c>
      <c r="Z25" s="10">
        <v>1.0352298493205501</v>
      </c>
      <c r="AA25" s="10">
        <v>1.03511250045794</v>
      </c>
      <c r="AB25" s="8">
        <v>50.476279807146597</v>
      </c>
      <c r="AC25" s="8">
        <v>50.254305287092699</v>
      </c>
      <c r="AD25" s="8">
        <v>50.2448781841385</v>
      </c>
      <c r="AE25" s="9">
        <v>5.09016541591028E-3</v>
      </c>
      <c r="AF25" s="9">
        <v>6.82866894731393E-4</v>
      </c>
      <c r="AG25" s="9">
        <v>4.9526133105946802E-4</v>
      </c>
      <c r="AZ25" s="9"/>
      <c r="BB25">
        <f t="shared" si="2"/>
        <v>0</v>
      </c>
      <c r="BC25">
        <f t="shared" si="3"/>
        <v>1</v>
      </c>
      <c r="BD25">
        <f t="shared" si="4"/>
        <v>0</v>
      </c>
      <c r="BE25">
        <f t="shared" si="0"/>
        <v>1</v>
      </c>
      <c r="BF25">
        <f t="shared" si="5"/>
        <v>0</v>
      </c>
      <c r="BG25" s="9">
        <f t="shared" si="6"/>
        <v>0</v>
      </c>
      <c r="BH25" s="9">
        <f t="shared" si="7"/>
        <v>0</v>
      </c>
      <c r="BI25" s="9">
        <f t="shared" si="8"/>
        <v>0</v>
      </c>
      <c r="BJ25" s="12">
        <f t="shared" si="9"/>
        <v>0</v>
      </c>
      <c r="BL25" s="9"/>
      <c r="BN25">
        <f t="shared" si="10"/>
        <v>0</v>
      </c>
      <c r="BO25">
        <f t="shared" si="11"/>
        <v>0</v>
      </c>
      <c r="BP25">
        <f t="shared" si="12"/>
        <v>0</v>
      </c>
      <c r="BQ25">
        <f t="shared" si="1"/>
        <v>1</v>
      </c>
      <c r="BR25">
        <f t="shared" si="13"/>
        <v>0</v>
      </c>
      <c r="BS25" s="9">
        <f t="shared" si="14"/>
        <v>0</v>
      </c>
      <c r="BT25" s="9">
        <f t="shared" si="15"/>
        <v>0</v>
      </c>
      <c r="BU25" s="9">
        <f t="shared" si="16"/>
        <v>0</v>
      </c>
      <c r="BV25" s="12">
        <f t="shared" si="17"/>
        <v>0</v>
      </c>
      <c r="BX25" s="12">
        <f t="shared" si="18"/>
        <v>0</v>
      </c>
      <c r="BY25" s="12">
        <f t="shared" si="19"/>
        <v>0</v>
      </c>
    </row>
    <row r="26" spans="1:77" x14ac:dyDescent="0.3">
      <c r="A26" s="1">
        <v>46059</v>
      </c>
      <c r="B26" s="8">
        <v>48.55</v>
      </c>
      <c r="C26" s="8">
        <v>50.23</v>
      </c>
      <c r="D26" s="9">
        <v>2.0599443887856601E-4</v>
      </c>
      <c r="E26" s="9">
        <v>1.991040325144E-4</v>
      </c>
      <c r="F26" s="8">
        <v>0</v>
      </c>
      <c r="G26" s="8">
        <v>0.1124</v>
      </c>
      <c r="H26" s="8">
        <v>0</v>
      </c>
      <c r="I26" s="8">
        <v>0.107</v>
      </c>
      <c r="J26" s="8">
        <v>0</v>
      </c>
      <c r="K26" s="8">
        <v>0</v>
      </c>
      <c r="L26" s="8">
        <v>48.55</v>
      </c>
      <c r="M26" s="8">
        <v>50.23</v>
      </c>
      <c r="N26" s="10">
        <v>1.0346035015447901</v>
      </c>
      <c r="O26" s="10">
        <v>1.03989039569729</v>
      </c>
      <c r="P26" s="10">
        <v>1.0351607877103299</v>
      </c>
      <c r="Q26" s="10">
        <v>1.03511178742473</v>
      </c>
      <c r="R26" s="8">
        <v>50.486678711103501</v>
      </c>
      <c r="S26" s="8">
        <v>50.260409184513101</v>
      </c>
      <c r="T26" s="8">
        <v>50.254711897232902</v>
      </c>
      <c r="U26" s="9">
        <v>5.0970558222744001E-3</v>
      </c>
      <c r="V26" s="9">
        <v>6.0521567556810903E-4</v>
      </c>
      <c r="W26" s="9">
        <v>4.9185388034868804E-4</v>
      </c>
      <c r="X26" s="10">
        <v>1.0346035015447901</v>
      </c>
      <c r="Y26" s="10">
        <v>1.03989039569729</v>
      </c>
      <c r="Z26" s="10">
        <v>1.0351607877103299</v>
      </c>
      <c r="AA26" s="10">
        <v>1.03511178742473</v>
      </c>
      <c r="AB26" s="8">
        <v>50.486678711103501</v>
      </c>
      <c r="AC26" s="8">
        <v>50.260409184513101</v>
      </c>
      <c r="AD26" s="8">
        <v>50.254711897232902</v>
      </c>
      <c r="AE26" s="9">
        <v>5.0970558222744001E-3</v>
      </c>
      <c r="AF26" s="9">
        <v>6.0521567556810903E-4</v>
      </c>
      <c r="AG26" s="9">
        <v>4.9185388034868804E-4</v>
      </c>
      <c r="AZ26" s="9"/>
      <c r="BB26">
        <f t="shared" si="2"/>
        <v>0</v>
      </c>
      <c r="BC26">
        <f t="shared" si="3"/>
        <v>1</v>
      </c>
      <c r="BD26">
        <f t="shared" si="4"/>
        <v>0</v>
      </c>
      <c r="BE26">
        <f t="shared" si="0"/>
        <v>1</v>
      </c>
      <c r="BF26">
        <f t="shared" si="5"/>
        <v>0</v>
      </c>
      <c r="BG26" s="9">
        <f t="shared" si="6"/>
        <v>0</v>
      </c>
      <c r="BH26" s="9">
        <f t="shared" si="7"/>
        <v>0</v>
      </c>
      <c r="BI26" s="9">
        <f t="shared" si="8"/>
        <v>0</v>
      </c>
      <c r="BJ26" s="12">
        <f t="shared" si="9"/>
        <v>0</v>
      </c>
      <c r="BL26" s="9"/>
      <c r="BN26">
        <f t="shared" si="10"/>
        <v>0</v>
      </c>
      <c r="BO26">
        <f t="shared" si="11"/>
        <v>0</v>
      </c>
      <c r="BP26">
        <f t="shared" si="12"/>
        <v>0</v>
      </c>
      <c r="BQ26">
        <f t="shared" si="1"/>
        <v>1</v>
      </c>
      <c r="BR26">
        <f t="shared" si="13"/>
        <v>0</v>
      </c>
      <c r="BS26" s="9">
        <f t="shared" si="14"/>
        <v>0</v>
      </c>
      <c r="BT26" s="9">
        <f t="shared" si="15"/>
        <v>0</v>
      </c>
      <c r="BU26" s="9">
        <f t="shared" si="16"/>
        <v>0</v>
      </c>
      <c r="BV26" s="12">
        <f t="shared" si="17"/>
        <v>0</v>
      </c>
      <c r="BX26" s="12">
        <f t="shared" si="18"/>
        <v>0</v>
      </c>
      <c r="BY26" s="12">
        <f t="shared" si="19"/>
        <v>0</v>
      </c>
    </row>
    <row r="27" spans="1:77" x14ac:dyDescent="0.3">
      <c r="A27" s="1">
        <v>46062</v>
      </c>
      <c r="B27" s="8">
        <v>48.57</v>
      </c>
      <c r="C27" s="8">
        <v>50.25</v>
      </c>
      <c r="D27" s="9">
        <v>4.11861620319493E-4</v>
      </c>
      <c r="E27" s="9">
        <v>3.9808917723178103E-4</v>
      </c>
      <c r="F27" s="8">
        <v>0</v>
      </c>
      <c r="G27" s="8">
        <v>0.1124</v>
      </c>
      <c r="H27" s="8">
        <v>0</v>
      </c>
      <c r="I27" s="8">
        <v>0.107</v>
      </c>
      <c r="J27" s="8">
        <v>0</v>
      </c>
      <c r="K27" s="8">
        <v>0</v>
      </c>
      <c r="L27" s="8">
        <v>48.57</v>
      </c>
      <c r="M27" s="8">
        <v>50.25</v>
      </c>
      <c r="N27" s="10">
        <v>1.03458925262507</v>
      </c>
      <c r="O27" s="10">
        <v>1.03989039569729</v>
      </c>
      <c r="P27" s="10">
        <v>1.03511672513026</v>
      </c>
      <c r="Q27" s="10">
        <v>1.0350798161870101</v>
      </c>
      <c r="R27" s="8">
        <v>50.507476519017501</v>
      </c>
      <c r="S27" s="8">
        <v>50.277759459090802</v>
      </c>
      <c r="T27" s="8">
        <v>50.275379515219299</v>
      </c>
      <c r="U27" s="9">
        <v>5.1108282653621597E-3</v>
      </c>
      <c r="V27" s="9">
        <v>5.5227451493645595E-4</v>
      </c>
      <c r="W27" s="9">
        <v>5.0493747710120198E-4</v>
      </c>
      <c r="X27" s="10">
        <v>1.03458925262507</v>
      </c>
      <c r="Y27" s="10">
        <v>1.03989039569729</v>
      </c>
      <c r="Z27" s="10">
        <v>1.03511672513026</v>
      </c>
      <c r="AA27" s="10">
        <v>1.0350798161870101</v>
      </c>
      <c r="AB27" s="8">
        <v>50.507476519017501</v>
      </c>
      <c r="AC27" s="8">
        <v>50.277759459090802</v>
      </c>
      <c r="AD27" s="8">
        <v>50.275379515219299</v>
      </c>
      <c r="AE27" s="9">
        <v>5.1108282653621597E-3</v>
      </c>
      <c r="AF27" s="9">
        <v>5.5227451493645595E-4</v>
      </c>
      <c r="AG27" s="9">
        <v>5.0493747710120198E-4</v>
      </c>
      <c r="AZ27" s="9"/>
      <c r="BB27">
        <f t="shared" si="2"/>
        <v>0</v>
      </c>
      <c r="BC27">
        <f t="shared" si="3"/>
        <v>1</v>
      </c>
      <c r="BD27">
        <f t="shared" si="4"/>
        <v>0</v>
      </c>
      <c r="BE27">
        <f t="shared" si="0"/>
        <v>1</v>
      </c>
      <c r="BF27">
        <f t="shared" si="5"/>
        <v>0</v>
      </c>
      <c r="BG27" s="9">
        <f t="shared" si="6"/>
        <v>0</v>
      </c>
      <c r="BH27" s="9">
        <f t="shared" si="7"/>
        <v>0</v>
      </c>
      <c r="BI27" s="9">
        <f t="shared" si="8"/>
        <v>0</v>
      </c>
      <c r="BJ27" s="12">
        <f t="shared" si="9"/>
        <v>0</v>
      </c>
      <c r="BL27" s="9"/>
      <c r="BN27">
        <f t="shared" si="10"/>
        <v>0</v>
      </c>
      <c r="BO27">
        <f t="shared" si="11"/>
        <v>0</v>
      </c>
      <c r="BP27">
        <f t="shared" si="12"/>
        <v>0</v>
      </c>
      <c r="BQ27">
        <f t="shared" si="1"/>
        <v>1</v>
      </c>
      <c r="BR27">
        <f t="shared" si="13"/>
        <v>0</v>
      </c>
      <c r="BS27" s="9">
        <f t="shared" si="14"/>
        <v>0</v>
      </c>
      <c r="BT27" s="9">
        <f t="shared" si="15"/>
        <v>0</v>
      </c>
      <c r="BU27" s="9">
        <f t="shared" si="16"/>
        <v>0</v>
      </c>
      <c r="BV27" s="12">
        <f t="shared" si="17"/>
        <v>0</v>
      </c>
      <c r="BX27" s="12">
        <f t="shared" si="18"/>
        <v>0</v>
      </c>
      <c r="BY27" s="12">
        <f t="shared" si="19"/>
        <v>0</v>
      </c>
    </row>
    <row r="28" spans="1:77" x14ac:dyDescent="0.3">
      <c r="A28" s="1">
        <v>46063</v>
      </c>
      <c r="B28" s="8">
        <v>48.68</v>
      </c>
      <c r="C28" s="8">
        <v>50.31</v>
      </c>
      <c r="D28" s="9">
        <v>2.2622117616730398E-3</v>
      </c>
      <c r="E28" s="9">
        <v>1.1933175640420101E-3</v>
      </c>
      <c r="F28" s="8">
        <v>0</v>
      </c>
      <c r="G28" s="8">
        <v>0.1124</v>
      </c>
      <c r="H28" s="8">
        <v>0</v>
      </c>
      <c r="I28" s="8">
        <v>0.107</v>
      </c>
      <c r="J28" s="8">
        <v>0</v>
      </c>
      <c r="K28" s="8">
        <v>0</v>
      </c>
      <c r="L28" s="8">
        <v>48.68</v>
      </c>
      <c r="M28" s="8">
        <v>50.31</v>
      </c>
      <c r="N28" s="10">
        <v>1.0334839769926001</v>
      </c>
      <c r="O28" s="10">
        <v>1.03989039569729</v>
      </c>
      <c r="P28" s="10">
        <v>1.03496141301914</v>
      </c>
      <c r="Q28" s="10">
        <v>1.0350043238056801</v>
      </c>
      <c r="R28" s="8">
        <v>50.621864462544202</v>
      </c>
      <c r="S28" s="8">
        <v>50.389482179341499</v>
      </c>
      <c r="T28" s="8">
        <v>50.3876854519837</v>
      </c>
      <c r="U28" s="9">
        <v>6.1797224629930297E-3</v>
      </c>
      <c r="V28" s="9">
        <v>1.57860187812432E-3</v>
      </c>
      <c r="W28" s="9">
        <v>1.54294444896321E-3</v>
      </c>
      <c r="X28" s="10">
        <v>1.0334839769926001</v>
      </c>
      <c r="Y28" s="10">
        <v>1.03989039569729</v>
      </c>
      <c r="Z28" s="10">
        <v>1.03496141301914</v>
      </c>
      <c r="AA28" s="10">
        <v>1.0350043238056801</v>
      </c>
      <c r="AB28" s="8">
        <v>50.621864462544202</v>
      </c>
      <c r="AC28" s="8">
        <v>50.389482179341499</v>
      </c>
      <c r="AD28" s="8">
        <v>50.3876854519837</v>
      </c>
      <c r="AE28" s="9">
        <v>6.1797224629930297E-3</v>
      </c>
      <c r="AF28" s="9">
        <v>1.57860187812432E-3</v>
      </c>
      <c r="AG28" s="9">
        <v>1.54294444896321E-3</v>
      </c>
      <c r="AZ28" s="9"/>
      <c r="BB28">
        <f t="shared" si="2"/>
        <v>0</v>
      </c>
      <c r="BC28">
        <f t="shared" si="3"/>
        <v>1</v>
      </c>
      <c r="BD28">
        <f t="shared" si="4"/>
        <v>0</v>
      </c>
      <c r="BE28">
        <f t="shared" si="0"/>
        <v>1</v>
      </c>
      <c r="BF28">
        <f t="shared" si="5"/>
        <v>0</v>
      </c>
      <c r="BG28" s="9">
        <f t="shared" si="6"/>
        <v>0</v>
      </c>
      <c r="BH28" s="9">
        <f t="shared" si="7"/>
        <v>0</v>
      </c>
      <c r="BI28" s="9">
        <f t="shared" si="8"/>
        <v>0</v>
      </c>
      <c r="BJ28" s="12">
        <f t="shared" si="9"/>
        <v>0</v>
      </c>
      <c r="BL28" s="9"/>
      <c r="BN28">
        <f t="shared" si="10"/>
        <v>0</v>
      </c>
      <c r="BO28">
        <f t="shared" si="11"/>
        <v>0</v>
      </c>
      <c r="BP28">
        <f t="shared" si="12"/>
        <v>0</v>
      </c>
      <c r="BQ28">
        <f t="shared" si="1"/>
        <v>1</v>
      </c>
      <c r="BR28">
        <f t="shared" si="13"/>
        <v>0</v>
      </c>
      <c r="BS28" s="9">
        <f t="shared" si="14"/>
        <v>0</v>
      </c>
      <c r="BT28" s="9">
        <f t="shared" si="15"/>
        <v>0</v>
      </c>
      <c r="BU28" s="9">
        <f t="shared" si="16"/>
        <v>0</v>
      </c>
      <c r="BV28" s="12">
        <f t="shared" si="17"/>
        <v>0</v>
      </c>
      <c r="BX28" s="12">
        <f t="shared" si="18"/>
        <v>0</v>
      </c>
      <c r="BY28" s="12">
        <f t="shared" si="19"/>
        <v>0</v>
      </c>
    </row>
    <row r="29" spans="1:77" x14ac:dyDescent="0.3">
      <c r="A29" s="1">
        <v>46064</v>
      </c>
      <c r="B29" s="8">
        <v>48.69</v>
      </c>
      <c r="C29" s="8">
        <v>50.38</v>
      </c>
      <c r="D29" s="9">
        <v>2.0540207528300599E-4</v>
      </c>
      <c r="E29" s="9">
        <v>1.3904064212368801E-3</v>
      </c>
      <c r="F29" s="8">
        <v>0</v>
      </c>
      <c r="G29" s="8">
        <v>0.1124</v>
      </c>
      <c r="H29" s="8">
        <v>0</v>
      </c>
      <c r="I29" s="8">
        <v>0.107</v>
      </c>
      <c r="J29" s="8">
        <v>0</v>
      </c>
      <c r="K29" s="8">
        <v>0</v>
      </c>
      <c r="L29" s="8">
        <v>48.69</v>
      </c>
      <c r="M29" s="8">
        <v>50.38</v>
      </c>
      <c r="N29" s="10">
        <v>1.03470938591086</v>
      </c>
      <c r="O29" s="10">
        <v>1.03989039569729</v>
      </c>
      <c r="P29" s="10">
        <v>1.0348042336963901</v>
      </c>
      <c r="Q29" s="10">
        <v>1.0349989607979699</v>
      </c>
      <c r="R29" s="8">
        <v>50.632263366501199</v>
      </c>
      <c r="S29" s="8">
        <v>50.392271199901998</v>
      </c>
      <c r="T29" s="8">
        <v>50.394360526098701</v>
      </c>
      <c r="U29" s="9">
        <v>4.9947181170394003E-3</v>
      </c>
      <c r="V29" s="9">
        <v>2.43543185374391E-4</v>
      </c>
      <c r="W29" s="9">
        <v>2.8500356878421502E-4</v>
      </c>
      <c r="X29" s="10">
        <v>1.03470938591086</v>
      </c>
      <c r="Y29" s="10">
        <v>1.03989039569729</v>
      </c>
      <c r="Z29" s="10">
        <v>1.0348042336963901</v>
      </c>
      <c r="AA29" s="10">
        <v>1.0349989607979699</v>
      </c>
      <c r="AB29" s="8">
        <v>50.632263366501199</v>
      </c>
      <c r="AC29" s="8">
        <v>50.392271199901998</v>
      </c>
      <c r="AD29" s="8">
        <v>50.394360526098701</v>
      </c>
      <c r="AE29" s="9">
        <v>4.9947181170394003E-3</v>
      </c>
      <c r="AF29" s="9">
        <v>2.43543185374391E-4</v>
      </c>
      <c r="AG29" s="9">
        <v>2.8500356878421502E-4</v>
      </c>
      <c r="AZ29" s="9"/>
      <c r="BB29">
        <f t="shared" si="2"/>
        <v>0</v>
      </c>
      <c r="BC29">
        <f t="shared" si="3"/>
        <v>1</v>
      </c>
      <c r="BD29">
        <f t="shared" si="4"/>
        <v>0</v>
      </c>
      <c r="BE29">
        <f t="shared" si="0"/>
        <v>1</v>
      </c>
      <c r="BF29">
        <f t="shared" si="5"/>
        <v>0</v>
      </c>
      <c r="BG29" s="9">
        <f t="shared" si="6"/>
        <v>0</v>
      </c>
      <c r="BH29" s="9">
        <f t="shared" si="7"/>
        <v>0</v>
      </c>
      <c r="BI29" s="9">
        <f t="shared" si="8"/>
        <v>0</v>
      </c>
      <c r="BJ29" s="12">
        <f t="shared" si="9"/>
        <v>0</v>
      </c>
      <c r="BL29" s="9"/>
      <c r="BN29">
        <f t="shared" si="10"/>
        <v>0</v>
      </c>
      <c r="BO29">
        <f t="shared" si="11"/>
        <v>0</v>
      </c>
      <c r="BP29">
        <f t="shared" si="12"/>
        <v>0</v>
      </c>
      <c r="BQ29">
        <f t="shared" si="1"/>
        <v>1</v>
      </c>
      <c r="BR29">
        <f t="shared" si="13"/>
        <v>0</v>
      </c>
      <c r="BS29" s="9">
        <f t="shared" si="14"/>
        <v>0</v>
      </c>
      <c r="BT29" s="9">
        <f t="shared" si="15"/>
        <v>0</v>
      </c>
      <c r="BU29" s="9">
        <f t="shared" si="16"/>
        <v>0</v>
      </c>
      <c r="BV29" s="12">
        <f t="shared" si="17"/>
        <v>0</v>
      </c>
      <c r="BX29" s="12">
        <f t="shared" si="18"/>
        <v>0</v>
      </c>
      <c r="BY29" s="12">
        <f t="shared" si="19"/>
        <v>0</v>
      </c>
    </row>
    <row r="30" spans="1:77" x14ac:dyDescent="0.3">
      <c r="A30" s="1">
        <v>46065</v>
      </c>
      <c r="B30" s="8">
        <v>48.8</v>
      </c>
      <c r="C30" s="8">
        <v>50.47</v>
      </c>
      <c r="D30" s="9">
        <v>2.2566426644919299E-3</v>
      </c>
      <c r="E30" s="9">
        <v>1.78482942770673E-3</v>
      </c>
      <c r="F30" s="8">
        <v>0</v>
      </c>
      <c r="G30" s="8">
        <v>0.1124</v>
      </c>
      <c r="H30" s="8">
        <v>0</v>
      </c>
      <c r="I30" s="8">
        <v>0.107</v>
      </c>
      <c r="J30" s="8">
        <v>0</v>
      </c>
      <c r="K30" s="8">
        <v>0</v>
      </c>
      <c r="L30" s="8">
        <v>48.8</v>
      </c>
      <c r="M30" s="8">
        <v>50.47</v>
      </c>
      <c r="N30" s="10">
        <v>1.03422131147541</v>
      </c>
      <c r="O30" s="10">
        <v>1.03989039569729</v>
      </c>
      <c r="P30" s="10">
        <v>1.03483618608905</v>
      </c>
      <c r="Q30" s="10">
        <v>1.03500255877248</v>
      </c>
      <c r="R30" s="8">
        <v>50.7466513100279</v>
      </c>
      <c r="S30" s="8">
        <v>50.4984466043841</v>
      </c>
      <c r="T30" s="8">
        <v>50.507949286940999</v>
      </c>
      <c r="U30" s="9">
        <v>5.4665313538243502E-3</v>
      </c>
      <c r="V30" s="9">
        <v>5.6347514681077504E-4</v>
      </c>
      <c r="W30" s="9">
        <v>7.5163516382852102E-4</v>
      </c>
      <c r="X30" s="10">
        <v>1.03422131147541</v>
      </c>
      <c r="Y30" s="10">
        <v>1.03989039569729</v>
      </c>
      <c r="Z30" s="10">
        <v>1.03483618608905</v>
      </c>
      <c r="AA30" s="10">
        <v>1.03500255877248</v>
      </c>
      <c r="AB30" s="8">
        <v>50.7466513100279</v>
      </c>
      <c r="AC30" s="8">
        <v>50.4984466043841</v>
      </c>
      <c r="AD30" s="8">
        <v>50.507949286940999</v>
      </c>
      <c r="AE30" s="9">
        <v>5.4665313538243502E-3</v>
      </c>
      <c r="AF30" s="9">
        <v>5.6347514681077504E-4</v>
      </c>
      <c r="AG30" s="9">
        <v>7.5163516382852102E-4</v>
      </c>
      <c r="AZ30" s="9"/>
      <c r="BB30">
        <f t="shared" si="2"/>
        <v>0</v>
      </c>
      <c r="BC30">
        <f t="shared" si="3"/>
        <v>1</v>
      </c>
      <c r="BD30">
        <f t="shared" si="4"/>
        <v>0</v>
      </c>
      <c r="BE30">
        <f t="shared" si="0"/>
        <v>1</v>
      </c>
      <c r="BF30">
        <f t="shared" si="5"/>
        <v>0</v>
      </c>
      <c r="BG30" s="9">
        <f t="shared" si="6"/>
        <v>0</v>
      </c>
      <c r="BH30" s="9">
        <f t="shared" si="7"/>
        <v>0</v>
      </c>
      <c r="BI30" s="9">
        <f t="shared" si="8"/>
        <v>0</v>
      </c>
      <c r="BJ30" s="12">
        <f t="shared" si="9"/>
        <v>0</v>
      </c>
      <c r="BL30" s="9"/>
      <c r="BN30">
        <f t="shared" si="10"/>
        <v>0</v>
      </c>
      <c r="BO30">
        <f t="shared" si="11"/>
        <v>0</v>
      </c>
      <c r="BP30">
        <f t="shared" si="12"/>
        <v>0</v>
      </c>
      <c r="BQ30">
        <f t="shared" si="1"/>
        <v>1</v>
      </c>
      <c r="BR30">
        <f t="shared" si="13"/>
        <v>0</v>
      </c>
      <c r="BS30" s="9">
        <f t="shared" si="14"/>
        <v>0</v>
      </c>
      <c r="BT30" s="9">
        <f t="shared" si="15"/>
        <v>0</v>
      </c>
      <c r="BU30" s="9">
        <f t="shared" si="16"/>
        <v>0</v>
      </c>
      <c r="BV30" s="12">
        <f t="shared" si="17"/>
        <v>0</v>
      </c>
      <c r="BX30" s="12">
        <f t="shared" si="18"/>
        <v>0</v>
      </c>
      <c r="BY30" s="12">
        <f t="shared" si="19"/>
        <v>0</v>
      </c>
    </row>
    <row r="31" spans="1:77" x14ac:dyDescent="0.3">
      <c r="A31" s="1">
        <v>46066</v>
      </c>
      <c r="B31" s="8">
        <v>48.81</v>
      </c>
      <c r="C31" s="8">
        <v>50.52</v>
      </c>
      <c r="D31" s="9">
        <v>2.04897039954737E-4</v>
      </c>
      <c r="E31" s="9">
        <v>9.901971301193779E-4</v>
      </c>
      <c r="F31" s="8">
        <v>0</v>
      </c>
      <c r="G31" s="8">
        <v>0.1124</v>
      </c>
      <c r="H31" s="8">
        <v>0</v>
      </c>
      <c r="I31" s="8">
        <v>0.107</v>
      </c>
      <c r="J31" s="8">
        <v>0</v>
      </c>
      <c r="K31" s="8">
        <v>0</v>
      </c>
      <c r="L31" s="8">
        <v>48.81</v>
      </c>
      <c r="M31" s="8">
        <v>50.52</v>
      </c>
      <c r="N31" s="10">
        <v>1.0350338045482399</v>
      </c>
      <c r="O31" s="10">
        <v>1.03989039569729</v>
      </c>
      <c r="P31" s="10">
        <v>1.0347776970771301</v>
      </c>
      <c r="Q31" s="10">
        <v>1.03504607859446</v>
      </c>
      <c r="R31" s="8">
        <v>50.757050213984797</v>
      </c>
      <c r="S31" s="8">
        <v>50.510354243006901</v>
      </c>
      <c r="T31" s="8">
        <v>50.518474893684903</v>
      </c>
      <c r="U31" s="9">
        <v>4.68123126365974E-3</v>
      </c>
      <c r="V31" s="9">
        <v>-1.90947702691153E-4</v>
      </c>
      <c r="W31" s="9">
        <v>-3.0188625012482798E-5</v>
      </c>
      <c r="X31" s="10">
        <v>1.0350338045482399</v>
      </c>
      <c r="Y31" s="10">
        <v>1.03989039569729</v>
      </c>
      <c r="Z31" s="10">
        <v>1.0347776970771301</v>
      </c>
      <c r="AA31" s="10">
        <v>1.03504607859446</v>
      </c>
      <c r="AB31" s="8">
        <v>50.757050213984797</v>
      </c>
      <c r="AC31" s="8">
        <v>50.510354243006901</v>
      </c>
      <c r="AD31" s="8">
        <v>50.518474893684903</v>
      </c>
      <c r="AE31" s="9">
        <v>4.68123126365974E-3</v>
      </c>
      <c r="AF31" s="9">
        <v>-1.90947702691153E-4</v>
      </c>
      <c r="AG31" s="9">
        <v>-3.0188625012482798E-5</v>
      </c>
      <c r="AZ31" s="9"/>
      <c r="BB31">
        <f t="shared" si="2"/>
        <v>0</v>
      </c>
      <c r="BC31">
        <f t="shared" si="3"/>
        <v>0</v>
      </c>
      <c r="BD31">
        <f t="shared" si="4"/>
        <v>0</v>
      </c>
      <c r="BE31">
        <f t="shared" si="0"/>
        <v>1</v>
      </c>
      <c r="BF31">
        <f t="shared" si="5"/>
        <v>0</v>
      </c>
      <c r="BG31" s="9">
        <f t="shared" si="6"/>
        <v>0</v>
      </c>
      <c r="BH31" s="9">
        <f t="shared" si="7"/>
        <v>0</v>
      </c>
      <c r="BI31" s="9">
        <f t="shared" si="8"/>
        <v>0</v>
      </c>
      <c r="BJ31" s="12">
        <f t="shared" si="9"/>
        <v>0</v>
      </c>
      <c r="BL31" s="9"/>
      <c r="BN31">
        <f t="shared" si="10"/>
        <v>0</v>
      </c>
      <c r="BO31">
        <f t="shared" si="11"/>
        <v>1</v>
      </c>
      <c r="BP31">
        <f t="shared" si="12"/>
        <v>0</v>
      </c>
      <c r="BQ31">
        <f t="shared" si="1"/>
        <v>1</v>
      </c>
      <c r="BR31">
        <f t="shared" si="13"/>
        <v>0</v>
      </c>
      <c r="BS31" s="9">
        <f t="shared" si="14"/>
        <v>0</v>
      </c>
      <c r="BT31" s="9">
        <f t="shared" si="15"/>
        <v>0</v>
      </c>
      <c r="BU31" s="9">
        <f t="shared" si="16"/>
        <v>0</v>
      </c>
      <c r="BV31" s="12">
        <f t="shared" si="17"/>
        <v>0</v>
      </c>
      <c r="BX31" s="12">
        <f t="shared" si="18"/>
        <v>0</v>
      </c>
      <c r="BY31" s="12">
        <f t="shared" si="19"/>
        <v>0</v>
      </c>
    </row>
    <row r="32" spans="1:77" x14ac:dyDescent="0.3">
      <c r="A32" s="1">
        <v>46070</v>
      </c>
      <c r="B32" s="8">
        <v>48.9</v>
      </c>
      <c r="C32" s="8">
        <v>50.58</v>
      </c>
      <c r="D32" s="9">
        <v>1.8421865817701999E-3</v>
      </c>
      <c r="E32" s="9">
        <v>1.1869437595286201E-3</v>
      </c>
      <c r="F32" s="8">
        <v>0</v>
      </c>
      <c r="G32" s="8">
        <v>0.1124</v>
      </c>
      <c r="H32" s="8">
        <v>0</v>
      </c>
      <c r="I32" s="8">
        <v>0.107</v>
      </c>
      <c r="J32" s="8">
        <v>0</v>
      </c>
      <c r="K32" s="8">
        <v>0</v>
      </c>
      <c r="L32" s="8">
        <v>48.9</v>
      </c>
      <c r="M32" s="8">
        <v>50.58</v>
      </c>
      <c r="N32" s="10">
        <v>1.03435582822085</v>
      </c>
      <c r="O32" s="10">
        <v>1.03989039569729</v>
      </c>
      <c r="P32" s="10">
        <v>1.0345998171694999</v>
      </c>
      <c r="Q32" s="10">
        <v>1.03502303770225</v>
      </c>
      <c r="R32" s="8">
        <v>50.850640349597597</v>
      </c>
      <c r="S32" s="8">
        <v>50.600629387071798</v>
      </c>
      <c r="T32" s="8">
        <v>50.613753243269201</v>
      </c>
      <c r="U32" s="9">
        <v>5.3364740859013597E-3</v>
      </c>
      <c r="V32" s="9">
        <v>4.0777345392417798E-4</v>
      </c>
      <c r="W32" s="9">
        <v>6.6710134645994604E-4</v>
      </c>
      <c r="X32" s="10">
        <v>1.03435582822085</v>
      </c>
      <c r="Y32" s="10">
        <v>1.03989039569729</v>
      </c>
      <c r="Z32" s="10">
        <v>1.0345998171694999</v>
      </c>
      <c r="AA32" s="10">
        <v>1.03502303770225</v>
      </c>
      <c r="AB32" s="8">
        <v>50.850640349597597</v>
      </c>
      <c r="AC32" s="8">
        <v>50.600629387071798</v>
      </c>
      <c r="AD32" s="8">
        <v>50.613753243269201</v>
      </c>
      <c r="AE32" s="9">
        <v>5.3364740859013597E-3</v>
      </c>
      <c r="AF32" s="9">
        <v>4.0777345392417798E-4</v>
      </c>
      <c r="AG32" s="9">
        <v>6.6710134645994604E-4</v>
      </c>
      <c r="AZ32" s="9"/>
      <c r="BB32">
        <f t="shared" si="2"/>
        <v>0</v>
      </c>
      <c r="BC32">
        <f t="shared" si="3"/>
        <v>1</v>
      </c>
      <c r="BD32">
        <f t="shared" si="4"/>
        <v>0</v>
      </c>
      <c r="BE32">
        <f t="shared" si="0"/>
        <v>1</v>
      </c>
      <c r="BF32">
        <f t="shared" si="5"/>
        <v>0</v>
      </c>
      <c r="BG32" s="9">
        <f t="shared" si="6"/>
        <v>0</v>
      </c>
      <c r="BH32" s="9">
        <f t="shared" si="7"/>
        <v>0</v>
      </c>
      <c r="BI32" s="9">
        <f t="shared" si="8"/>
        <v>0</v>
      </c>
      <c r="BJ32" s="12">
        <f t="shared" si="9"/>
        <v>0</v>
      </c>
      <c r="BL32" s="9"/>
      <c r="BN32">
        <f t="shared" si="10"/>
        <v>0</v>
      </c>
      <c r="BO32">
        <f t="shared" si="11"/>
        <v>0</v>
      </c>
      <c r="BP32">
        <f t="shared" si="12"/>
        <v>0</v>
      </c>
      <c r="BQ32">
        <f t="shared" si="1"/>
        <v>1</v>
      </c>
      <c r="BR32">
        <f t="shared" si="13"/>
        <v>0</v>
      </c>
      <c r="BS32" s="9">
        <f t="shared" si="14"/>
        <v>0</v>
      </c>
      <c r="BT32" s="9">
        <f t="shared" si="15"/>
        <v>0</v>
      </c>
      <c r="BU32" s="9">
        <f t="shared" si="16"/>
        <v>0</v>
      </c>
      <c r="BV32" s="12">
        <f t="shared" si="17"/>
        <v>0</v>
      </c>
      <c r="BX32" s="12">
        <f t="shared" si="18"/>
        <v>0</v>
      </c>
      <c r="BY32" s="12">
        <f t="shared" si="19"/>
        <v>0</v>
      </c>
    </row>
    <row r="33" spans="1:77" x14ac:dyDescent="0.3">
      <c r="A33" s="1">
        <v>46071</v>
      </c>
      <c r="B33" s="8">
        <v>48.9</v>
      </c>
      <c r="C33" s="8">
        <v>50.56</v>
      </c>
      <c r="D33" s="9">
        <v>0</v>
      </c>
      <c r="E33" s="9">
        <v>-3.9549140321703098E-4</v>
      </c>
      <c r="F33" s="8">
        <v>0</v>
      </c>
      <c r="G33" s="8">
        <v>0.1124</v>
      </c>
      <c r="H33" s="8">
        <v>0</v>
      </c>
      <c r="I33" s="8">
        <v>0.107</v>
      </c>
      <c r="J33" s="8">
        <v>0</v>
      </c>
      <c r="K33" s="8">
        <v>0</v>
      </c>
      <c r="L33" s="8">
        <v>48.9</v>
      </c>
      <c r="M33" s="8">
        <v>50.56</v>
      </c>
      <c r="N33" s="10">
        <v>1.0339468302658399</v>
      </c>
      <c r="O33" s="10">
        <v>1.03989039569729</v>
      </c>
      <c r="P33" s="10">
        <v>1.0343795446084001</v>
      </c>
      <c r="Q33" s="10">
        <v>1.0349328198024399</v>
      </c>
      <c r="R33" s="8">
        <v>50.850640349597597</v>
      </c>
      <c r="S33" s="8">
        <v>50.591931059588802</v>
      </c>
      <c r="T33" s="8">
        <v>50.612626543639998</v>
      </c>
      <c r="U33" s="9">
        <v>5.7319654891182497E-3</v>
      </c>
      <c r="V33" s="9">
        <v>6.3134851337080496E-4</v>
      </c>
      <c r="W33" s="9">
        <v>1.0403317613540001E-3</v>
      </c>
      <c r="X33" s="10">
        <v>1.0339468302658399</v>
      </c>
      <c r="Y33" s="10">
        <v>1.03989039569729</v>
      </c>
      <c r="Z33" s="10">
        <v>1.0343795446084001</v>
      </c>
      <c r="AA33" s="10">
        <v>1.0349328198024399</v>
      </c>
      <c r="AB33" s="8">
        <v>50.850640349597597</v>
      </c>
      <c r="AC33" s="8">
        <v>50.591931059588802</v>
      </c>
      <c r="AD33" s="8">
        <v>50.612626543639998</v>
      </c>
      <c r="AE33" s="9">
        <v>5.7319654891182497E-3</v>
      </c>
      <c r="AF33" s="9">
        <v>6.3134851337080496E-4</v>
      </c>
      <c r="AG33" s="9">
        <v>1.0403317613540001E-3</v>
      </c>
      <c r="AZ33" s="9"/>
      <c r="BB33">
        <f t="shared" si="2"/>
        <v>0</v>
      </c>
      <c r="BC33">
        <f t="shared" si="3"/>
        <v>1</v>
      </c>
      <c r="BD33">
        <f t="shared" si="4"/>
        <v>0</v>
      </c>
      <c r="BE33">
        <f t="shared" si="0"/>
        <v>1</v>
      </c>
      <c r="BF33">
        <f t="shared" si="5"/>
        <v>0</v>
      </c>
      <c r="BG33" s="9">
        <f t="shared" si="6"/>
        <v>0</v>
      </c>
      <c r="BH33" s="9">
        <f t="shared" si="7"/>
        <v>0</v>
      </c>
      <c r="BI33" s="9">
        <f t="shared" si="8"/>
        <v>0</v>
      </c>
      <c r="BJ33" s="12">
        <f t="shared" si="9"/>
        <v>0</v>
      </c>
      <c r="BL33" s="9"/>
      <c r="BN33">
        <f t="shared" si="10"/>
        <v>0</v>
      </c>
      <c r="BO33">
        <f t="shared" si="11"/>
        <v>0</v>
      </c>
      <c r="BP33">
        <f t="shared" si="12"/>
        <v>0</v>
      </c>
      <c r="BQ33">
        <f t="shared" si="1"/>
        <v>1</v>
      </c>
      <c r="BR33">
        <f t="shared" si="13"/>
        <v>0</v>
      </c>
      <c r="BS33" s="9">
        <f t="shared" si="14"/>
        <v>0</v>
      </c>
      <c r="BT33" s="9">
        <f t="shared" si="15"/>
        <v>0</v>
      </c>
      <c r="BU33" s="9">
        <f t="shared" si="16"/>
        <v>0</v>
      </c>
      <c r="BV33" s="12">
        <f t="shared" si="17"/>
        <v>0</v>
      </c>
      <c r="BX33" s="12">
        <f t="shared" si="18"/>
        <v>0</v>
      </c>
      <c r="BY33" s="12">
        <f t="shared" si="19"/>
        <v>0</v>
      </c>
    </row>
    <row r="34" spans="1:77" x14ac:dyDescent="0.3">
      <c r="A34" s="1">
        <v>46072</v>
      </c>
      <c r="B34" s="8">
        <v>48.93</v>
      </c>
      <c r="C34" s="8">
        <v>50.6</v>
      </c>
      <c r="D34" s="9">
        <v>6.1330882020584803E-4</v>
      </c>
      <c r="E34" s="9">
        <v>7.9082645481777004E-4</v>
      </c>
      <c r="F34" s="8">
        <v>0</v>
      </c>
      <c r="G34" s="8">
        <v>0.1124</v>
      </c>
      <c r="H34" s="8">
        <v>0</v>
      </c>
      <c r="I34" s="8">
        <v>0.107</v>
      </c>
      <c r="J34" s="8">
        <v>0</v>
      </c>
      <c r="K34" s="8">
        <v>0</v>
      </c>
      <c r="L34" s="8">
        <v>48.93</v>
      </c>
      <c r="M34" s="8">
        <v>50.6</v>
      </c>
      <c r="N34" s="10">
        <v>1.0341303903535599</v>
      </c>
      <c r="O34" s="10">
        <v>1.03989039569729</v>
      </c>
      <c r="P34" s="10">
        <v>1.0343684912345099</v>
      </c>
      <c r="Q34" s="10">
        <v>1.0348429321344901</v>
      </c>
      <c r="R34" s="8">
        <v>50.881837061468502</v>
      </c>
      <c r="S34" s="8">
        <v>50.6121911176891</v>
      </c>
      <c r="T34" s="8">
        <v>50.639262872933401</v>
      </c>
      <c r="U34" s="9">
        <v>5.5544478545062103E-3</v>
      </c>
      <c r="V34" s="9">
        <v>2.4090216037221101E-4</v>
      </c>
      <c r="W34" s="9">
        <v>7.7564521486435704E-4</v>
      </c>
      <c r="X34" s="10">
        <v>1.0341303903535599</v>
      </c>
      <c r="Y34" s="10">
        <v>1.03989039569729</v>
      </c>
      <c r="Z34" s="10">
        <v>1.0343684912345099</v>
      </c>
      <c r="AA34" s="10">
        <v>1.0348429321344901</v>
      </c>
      <c r="AB34" s="8">
        <v>50.881837061468502</v>
      </c>
      <c r="AC34" s="8">
        <v>50.6121911176891</v>
      </c>
      <c r="AD34" s="8">
        <v>50.639262872933401</v>
      </c>
      <c r="AE34" s="9">
        <v>5.5544478545062103E-3</v>
      </c>
      <c r="AF34" s="9">
        <v>2.4090216037221101E-4</v>
      </c>
      <c r="AG34" s="9">
        <v>7.7564521486435704E-4</v>
      </c>
      <c r="AZ34" s="9"/>
      <c r="BB34">
        <f t="shared" si="2"/>
        <v>0</v>
      </c>
      <c r="BC34">
        <f t="shared" si="3"/>
        <v>1</v>
      </c>
      <c r="BD34">
        <f t="shared" si="4"/>
        <v>0</v>
      </c>
      <c r="BE34">
        <f t="shared" si="0"/>
        <v>1</v>
      </c>
      <c r="BF34">
        <f t="shared" si="5"/>
        <v>0</v>
      </c>
      <c r="BG34" s="9">
        <f t="shared" si="6"/>
        <v>0</v>
      </c>
      <c r="BH34" s="9">
        <f t="shared" si="7"/>
        <v>0</v>
      </c>
      <c r="BI34" s="9">
        <f t="shared" si="8"/>
        <v>0</v>
      </c>
      <c r="BJ34" s="12">
        <f t="shared" si="9"/>
        <v>0</v>
      </c>
      <c r="BL34" s="9"/>
      <c r="BN34">
        <f t="shared" si="10"/>
        <v>0</v>
      </c>
      <c r="BO34">
        <f t="shared" si="11"/>
        <v>0</v>
      </c>
      <c r="BP34">
        <f t="shared" si="12"/>
        <v>0</v>
      </c>
      <c r="BQ34">
        <f t="shared" si="1"/>
        <v>1</v>
      </c>
      <c r="BR34">
        <f t="shared" si="13"/>
        <v>0</v>
      </c>
      <c r="BS34" s="9">
        <f t="shared" si="14"/>
        <v>0</v>
      </c>
      <c r="BT34" s="9">
        <f t="shared" si="15"/>
        <v>0</v>
      </c>
      <c r="BU34" s="9">
        <f t="shared" si="16"/>
        <v>0</v>
      </c>
      <c r="BV34" s="12">
        <f t="shared" si="17"/>
        <v>0</v>
      </c>
      <c r="BX34" s="12">
        <f t="shared" si="18"/>
        <v>0</v>
      </c>
      <c r="BY34" s="12">
        <f t="shared" si="19"/>
        <v>0</v>
      </c>
    </row>
    <row r="35" spans="1:77" x14ac:dyDescent="0.3">
      <c r="A35" s="1">
        <v>46073</v>
      </c>
      <c r="B35" s="8">
        <v>48.98</v>
      </c>
      <c r="C35" s="8">
        <v>50.66</v>
      </c>
      <c r="D35" s="9">
        <v>1.0213462229894501E-3</v>
      </c>
      <c r="E35" s="9">
        <v>1.18506828010929E-3</v>
      </c>
      <c r="F35" s="8">
        <v>0</v>
      </c>
      <c r="G35" s="8">
        <v>0.1124</v>
      </c>
      <c r="H35" s="8">
        <v>0</v>
      </c>
      <c r="I35" s="8">
        <v>0.107</v>
      </c>
      <c r="J35" s="8">
        <v>0</v>
      </c>
      <c r="K35" s="8">
        <v>0</v>
      </c>
      <c r="L35" s="8">
        <v>48.98</v>
      </c>
      <c r="M35" s="8">
        <v>50.66</v>
      </c>
      <c r="N35" s="10">
        <v>1.03429971416904</v>
      </c>
      <c r="O35" s="10">
        <v>1.03989039569729</v>
      </c>
      <c r="P35" s="10">
        <v>1.03433739961063</v>
      </c>
      <c r="Q35" s="10">
        <v>1.0347836244655899</v>
      </c>
      <c r="R35" s="8">
        <v>50.933831581253401</v>
      </c>
      <c r="S35" s="8">
        <v>50.663368700666702</v>
      </c>
      <c r="T35" s="8">
        <v>50.6866068159473</v>
      </c>
      <c r="U35" s="9">
        <v>5.3907257973863903E-3</v>
      </c>
      <c r="V35" s="9">
        <v>6.64940518890566E-5</v>
      </c>
      <c r="W35" s="9">
        <v>5.2506575986176001E-4</v>
      </c>
      <c r="X35" s="10">
        <v>1.03429971416904</v>
      </c>
      <c r="Y35" s="10">
        <v>1.03989039569729</v>
      </c>
      <c r="Z35" s="10">
        <v>1.03433739961063</v>
      </c>
      <c r="AA35" s="10">
        <v>1.0347836244655899</v>
      </c>
      <c r="AB35" s="8">
        <v>50.933831581253401</v>
      </c>
      <c r="AC35" s="8">
        <v>50.663368700666702</v>
      </c>
      <c r="AD35" s="8">
        <v>50.6866068159473</v>
      </c>
      <c r="AE35" s="9">
        <v>5.3907257973863903E-3</v>
      </c>
      <c r="AF35" s="9">
        <v>6.64940518890566E-5</v>
      </c>
      <c r="AG35" s="9">
        <v>5.2506575986176001E-4</v>
      </c>
      <c r="AZ35" s="9"/>
      <c r="BB35">
        <f t="shared" si="2"/>
        <v>0</v>
      </c>
      <c r="BC35">
        <f t="shared" si="3"/>
        <v>1</v>
      </c>
      <c r="BD35">
        <f t="shared" si="4"/>
        <v>0</v>
      </c>
      <c r="BE35">
        <f t="shared" si="0"/>
        <v>1</v>
      </c>
      <c r="BF35">
        <f t="shared" si="5"/>
        <v>0</v>
      </c>
      <c r="BG35" s="9">
        <f t="shared" si="6"/>
        <v>0</v>
      </c>
      <c r="BH35" s="9">
        <f t="shared" si="7"/>
        <v>0</v>
      </c>
      <c r="BI35" s="9">
        <f t="shared" si="8"/>
        <v>0</v>
      </c>
      <c r="BJ35" s="12">
        <f t="shared" si="9"/>
        <v>0</v>
      </c>
      <c r="BL35" s="9"/>
      <c r="BN35">
        <f t="shared" si="10"/>
        <v>0</v>
      </c>
      <c r="BO35">
        <f t="shared" si="11"/>
        <v>0</v>
      </c>
      <c r="BP35">
        <f t="shared" si="12"/>
        <v>0</v>
      </c>
      <c r="BQ35">
        <f t="shared" si="1"/>
        <v>1</v>
      </c>
      <c r="BR35">
        <f t="shared" si="13"/>
        <v>0</v>
      </c>
      <c r="BS35" s="9">
        <f t="shared" si="14"/>
        <v>0</v>
      </c>
      <c r="BT35" s="9">
        <f t="shared" si="15"/>
        <v>0</v>
      </c>
      <c r="BU35" s="9">
        <f t="shared" si="16"/>
        <v>0</v>
      </c>
      <c r="BV35" s="12">
        <f t="shared" si="17"/>
        <v>0</v>
      </c>
      <c r="BX35" s="12">
        <f t="shared" si="18"/>
        <v>0</v>
      </c>
      <c r="BY35" s="12">
        <f t="shared" si="19"/>
        <v>0</v>
      </c>
    </row>
    <row r="36" spans="1:77" x14ac:dyDescent="0.3">
      <c r="A36" s="1">
        <v>46076</v>
      </c>
      <c r="B36" s="8">
        <v>49.07</v>
      </c>
      <c r="C36" s="8">
        <v>50.72</v>
      </c>
      <c r="D36" s="9">
        <v>1.8357985777904199E-3</v>
      </c>
      <c r="E36" s="9">
        <v>1.18366555544127E-3</v>
      </c>
      <c r="F36" s="8">
        <v>0</v>
      </c>
      <c r="G36" s="8">
        <v>0.1124</v>
      </c>
      <c r="H36" s="8">
        <v>0</v>
      </c>
      <c r="I36" s="8">
        <v>0.107</v>
      </c>
      <c r="J36" s="8">
        <v>0</v>
      </c>
      <c r="K36" s="8">
        <v>0</v>
      </c>
      <c r="L36" s="8">
        <v>49.07</v>
      </c>
      <c r="M36" s="8">
        <v>50.72</v>
      </c>
      <c r="N36" s="10">
        <v>1.03362543305481</v>
      </c>
      <c r="O36" s="10">
        <v>1.03989039569729</v>
      </c>
      <c r="P36" s="10">
        <v>1.0342395927616299</v>
      </c>
      <c r="Q36" s="10">
        <v>1.03470019023598</v>
      </c>
      <c r="R36" s="8">
        <v>51.027421716866101</v>
      </c>
      <c r="S36" s="8">
        <v>50.754936198893702</v>
      </c>
      <c r="T36" s="8">
        <v>50.776832452526797</v>
      </c>
      <c r="U36" s="9">
        <v>6.0428588197356404E-3</v>
      </c>
      <c r="V36" s="9">
        <v>6.8856806582521103E-4</v>
      </c>
      <c r="W36" s="9">
        <v>1.11988634705552E-3</v>
      </c>
      <c r="X36" s="10">
        <v>1.03362543305481</v>
      </c>
      <c r="Y36" s="10">
        <v>1.03989039569729</v>
      </c>
      <c r="Z36" s="10">
        <v>1.0342395927616299</v>
      </c>
      <c r="AA36" s="10">
        <v>1.03470019023598</v>
      </c>
      <c r="AB36" s="8">
        <v>51.027421716866101</v>
      </c>
      <c r="AC36" s="8">
        <v>50.754936198893702</v>
      </c>
      <c r="AD36" s="8">
        <v>50.776832452526797</v>
      </c>
      <c r="AE36" s="9">
        <v>6.0428588197356404E-3</v>
      </c>
      <c r="AF36" s="9">
        <v>6.8856806582521103E-4</v>
      </c>
      <c r="AG36" s="9">
        <v>1.11988634705552E-3</v>
      </c>
      <c r="AZ36" s="9"/>
      <c r="BB36">
        <f t="shared" si="2"/>
        <v>0</v>
      </c>
      <c r="BC36">
        <f t="shared" si="3"/>
        <v>1</v>
      </c>
      <c r="BD36">
        <f t="shared" si="4"/>
        <v>0</v>
      </c>
      <c r="BE36">
        <f t="shared" si="0"/>
        <v>1</v>
      </c>
      <c r="BF36">
        <f t="shared" si="5"/>
        <v>0</v>
      </c>
      <c r="BG36" s="9">
        <f t="shared" si="6"/>
        <v>0</v>
      </c>
      <c r="BH36" s="9">
        <f t="shared" si="7"/>
        <v>0</v>
      </c>
      <c r="BI36" s="9">
        <f t="shared" si="8"/>
        <v>0</v>
      </c>
      <c r="BJ36" s="12">
        <f t="shared" si="9"/>
        <v>0</v>
      </c>
      <c r="BL36" s="9"/>
      <c r="BN36">
        <f t="shared" si="10"/>
        <v>0</v>
      </c>
      <c r="BO36">
        <f t="shared" si="11"/>
        <v>0</v>
      </c>
      <c r="BP36">
        <f t="shared" si="12"/>
        <v>0</v>
      </c>
      <c r="BQ36">
        <f t="shared" si="1"/>
        <v>1</v>
      </c>
      <c r="BR36">
        <f t="shared" si="13"/>
        <v>0</v>
      </c>
      <c r="BS36" s="9">
        <f t="shared" si="14"/>
        <v>0</v>
      </c>
      <c r="BT36" s="9">
        <f t="shared" si="15"/>
        <v>0</v>
      </c>
      <c r="BU36" s="9">
        <f t="shared" si="16"/>
        <v>0</v>
      </c>
      <c r="BV36" s="12">
        <f t="shared" si="17"/>
        <v>0</v>
      </c>
      <c r="BX36" s="12">
        <f t="shared" si="18"/>
        <v>0</v>
      </c>
      <c r="BY36" s="12">
        <f t="shared" si="19"/>
        <v>0</v>
      </c>
    </row>
    <row r="37" spans="1:77" x14ac:dyDescent="0.3">
      <c r="A37" s="1">
        <v>46077</v>
      </c>
      <c r="B37" s="8">
        <v>49.09</v>
      </c>
      <c r="C37" s="8">
        <v>50.72</v>
      </c>
      <c r="D37" s="9">
        <v>4.0749796814923102E-4</v>
      </c>
      <c r="E37" s="9">
        <v>0</v>
      </c>
      <c r="F37" s="8">
        <v>0</v>
      </c>
      <c r="G37" s="8">
        <v>0.1124</v>
      </c>
      <c r="H37" s="8">
        <v>0</v>
      </c>
      <c r="I37" s="8">
        <v>0.107</v>
      </c>
      <c r="J37" s="8">
        <v>0</v>
      </c>
      <c r="K37" s="8">
        <v>0</v>
      </c>
      <c r="L37" s="8">
        <v>49.09</v>
      </c>
      <c r="M37" s="8">
        <v>50.72</v>
      </c>
      <c r="N37" s="10">
        <v>1.03320431859849</v>
      </c>
      <c r="O37" s="10">
        <v>1.03989039569729</v>
      </c>
      <c r="P37" s="10">
        <v>1.0341010993589701</v>
      </c>
      <c r="Q37" s="10">
        <v>1.03460891224462</v>
      </c>
      <c r="R37" s="8">
        <v>51.048219524780102</v>
      </c>
      <c r="S37" s="8">
        <v>50.770821608668598</v>
      </c>
      <c r="T37" s="8">
        <v>50.793432338684397</v>
      </c>
      <c r="U37" s="9">
        <v>6.4503567878847904E-3</v>
      </c>
      <c r="V37" s="9">
        <v>1.0015016552427801E-3</v>
      </c>
      <c r="W37" s="9">
        <v>1.4467514259164801E-3</v>
      </c>
      <c r="X37" s="10">
        <v>1.03320431859849</v>
      </c>
      <c r="Y37" s="10">
        <v>1.03989039569729</v>
      </c>
      <c r="Z37" s="10">
        <v>1.0341010993589701</v>
      </c>
      <c r="AA37" s="10">
        <v>1.03460891224462</v>
      </c>
      <c r="AB37" s="8">
        <v>51.048219524780102</v>
      </c>
      <c r="AC37" s="8">
        <v>50.770821608668598</v>
      </c>
      <c r="AD37" s="8">
        <v>50.793432338684397</v>
      </c>
      <c r="AE37" s="9">
        <v>6.4503567878847904E-3</v>
      </c>
      <c r="AF37" s="9">
        <v>1.0015016552427801E-3</v>
      </c>
      <c r="AG37" s="9">
        <v>1.4467514259164801E-3</v>
      </c>
      <c r="AZ37" s="9"/>
      <c r="BB37">
        <f t="shared" si="2"/>
        <v>0</v>
      </c>
      <c r="BC37">
        <f t="shared" si="3"/>
        <v>1</v>
      </c>
      <c r="BD37">
        <f t="shared" si="4"/>
        <v>0</v>
      </c>
      <c r="BE37">
        <f t="shared" si="0"/>
        <v>1</v>
      </c>
      <c r="BF37">
        <f t="shared" si="5"/>
        <v>0</v>
      </c>
      <c r="BG37" s="9">
        <f t="shared" si="6"/>
        <v>0</v>
      </c>
      <c r="BH37" s="9">
        <f t="shared" si="7"/>
        <v>0</v>
      </c>
      <c r="BI37" s="9">
        <f t="shared" si="8"/>
        <v>0</v>
      </c>
      <c r="BJ37" s="12">
        <f t="shared" si="9"/>
        <v>0</v>
      </c>
      <c r="BL37" s="9"/>
      <c r="BN37">
        <f t="shared" si="10"/>
        <v>0</v>
      </c>
      <c r="BO37">
        <f t="shared" si="11"/>
        <v>0</v>
      </c>
      <c r="BP37">
        <f t="shared" si="12"/>
        <v>0</v>
      </c>
      <c r="BQ37">
        <f t="shared" si="1"/>
        <v>1</v>
      </c>
      <c r="BR37">
        <f t="shared" si="13"/>
        <v>0</v>
      </c>
      <c r="BS37" s="9">
        <f t="shared" si="14"/>
        <v>0</v>
      </c>
      <c r="BT37" s="9">
        <f t="shared" si="15"/>
        <v>0</v>
      </c>
      <c r="BU37" s="9">
        <f t="shared" si="16"/>
        <v>0</v>
      </c>
      <c r="BV37" s="12">
        <f t="shared" si="17"/>
        <v>0</v>
      </c>
      <c r="BX37" s="12">
        <f t="shared" si="18"/>
        <v>0</v>
      </c>
      <c r="BY37" s="12">
        <f t="shared" si="19"/>
        <v>0</v>
      </c>
    </row>
    <row r="38" spans="1:77" x14ac:dyDescent="0.3">
      <c r="A38" s="1">
        <v>46078</v>
      </c>
      <c r="B38" s="8">
        <v>49.03</v>
      </c>
      <c r="C38" s="8">
        <v>50.69</v>
      </c>
      <c r="D38" s="9">
        <v>-1.22299240681923E-3</v>
      </c>
      <c r="E38" s="9">
        <v>-5.9165764471254398E-4</v>
      </c>
      <c r="F38" s="8">
        <v>0</v>
      </c>
      <c r="G38" s="8">
        <v>0.1124</v>
      </c>
      <c r="H38" s="8">
        <v>0</v>
      </c>
      <c r="I38" s="8">
        <v>0.107</v>
      </c>
      <c r="J38" s="8">
        <v>0</v>
      </c>
      <c r="K38" s="8">
        <v>0</v>
      </c>
      <c r="L38" s="8">
        <v>49.03</v>
      </c>
      <c r="M38" s="8">
        <v>50.69</v>
      </c>
      <c r="N38" s="10">
        <v>1.0338568223536599</v>
      </c>
      <c r="O38" s="10">
        <v>1.03989039569729</v>
      </c>
      <c r="P38" s="10">
        <v>1.0341383838950799</v>
      </c>
      <c r="Q38" s="10">
        <v>1.03454989845711</v>
      </c>
      <c r="R38" s="8">
        <v>50.985826101038199</v>
      </c>
      <c r="S38" s="8">
        <v>50.701976901570603</v>
      </c>
      <c r="T38" s="8">
        <v>50.726874967353801</v>
      </c>
      <c r="U38" s="9">
        <v>5.8190220257777602E-3</v>
      </c>
      <c r="V38" s="9">
        <v>2.3624949413785201E-4</v>
      </c>
      <c r="W38" s="9">
        <v>7.2719592258667603E-4</v>
      </c>
      <c r="X38" s="10">
        <v>1.0338568223536599</v>
      </c>
      <c r="Y38" s="10">
        <v>1.03989039569729</v>
      </c>
      <c r="Z38" s="10">
        <v>1.0341383838950799</v>
      </c>
      <c r="AA38" s="10">
        <v>1.03454989845711</v>
      </c>
      <c r="AB38" s="8">
        <v>50.985826101038199</v>
      </c>
      <c r="AC38" s="8">
        <v>50.701976901570603</v>
      </c>
      <c r="AD38" s="8">
        <v>50.726874967353801</v>
      </c>
      <c r="AE38" s="9">
        <v>5.8190220257777602E-3</v>
      </c>
      <c r="AF38" s="9">
        <v>2.3624949413785201E-4</v>
      </c>
      <c r="AG38" s="9">
        <v>7.2719592258667603E-4</v>
      </c>
      <c r="AZ38" s="9"/>
      <c r="BB38">
        <f t="shared" si="2"/>
        <v>0</v>
      </c>
      <c r="BC38">
        <f t="shared" si="3"/>
        <v>1</v>
      </c>
      <c r="BD38">
        <f t="shared" si="4"/>
        <v>0</v>
      </c>
      <c r="BE38">
        <f t="shared" si="0"/>
        <v>1</v>
      </c>
      <c r="BF38">
        <f t="shared" si="5"/>
        <v>0</v>
      </c>
      <c r="BG38" s="9">
        <f t="shared" si="6"/>
        <v>0</v>
      </c>
      <c r="BH38" s="9">
        <f t="shared" si="7"/>
        <v>0</v>
      </c>
      <c r="BI38" s="9">
        <f t="shared" si="8"/>
        <v>0</v>
      </c>
      <c r="BJ38" s="12">
        <f t="shared" si="9"/>
        <v>0</v>
      </c>
      <c r="BL38" s="9"/>
      <c r="BN38">
        <f t="shared" si="10"/>
        <v>0</v>
      </c>
      <c r="BO38">
        <f t="shared" si="11"/>
        <v>0</v>
      </c>
      <c r="BP38">
        <f t="shared" si="12"/>
        <v>0</v>
      </c>
      <c r="BQ38">
        <f t="shared" si="1"/>
        <v>1</v>
      </c>
      <c r="BR38">
        <f t="shared" si="13"/>
        <v>0</v>
      </c>
      <c r="BS38" s="9">
        <f t="shared" si="14"/>
        <v>0</v>
      </c>
      <c r="BT38" s="9">
        <f t="shared" si="15"/>
        <v>0</v>
      </c>
      <c r="BU38" s="9">
        <f t="shared" si="16"/>
        <v>0</v>
      </c>
      <c r="BV38" s="12">
        <f t="shared" si="17"/>
        <v>0</v>
      </c>
      <c r="BX38" s="12">
        <f t="shared" si="18"/>
        <v>0</v>
      </c>
      <c r="BY38" s="12">
        <f t="shared" si="19"/>
        <v>0</v>
      </c>
    </row>
    <row r="39" spans="1:77" x14ac:dyDescent="0.3">
      <c r="A39" s="1">
        <v>46079</v>
      </c>
      <c r="B39" s="8">
        <v>49.11</v>
      </c>
      <c r="C39" s="8">
        <v>50.74</v>
      </c>
      <c r="D39" s="9">
        <v>1.6303243880113601E-3</v>
      </c>
      <c r="E39" s="9">
        <v>9.8590168687799303E-4</v>
      </c>
      <c r="F39" s="8">
        <v>0</v>
      </c>
      <c r="G39" s="8">
        <v>0.1124</v>
      </c>
      <c r="H39" s="8">
        <v>0</v>
      </c>
      <c r="I39" s="8">
        <v>0.107</v>
      </c>
      <c r="J39" s="8">
        <v>0</v>
      </c>
      <c r="K39" s="8">
        <v>0</v>
      </c>
      <c r="L39" s="8">
        <v>49.11</v>
      </c>
      <c r="M39" s="8">
        <v>50.74</v>
      </c>
      <c r="N39" s="10">
        <v>1.0331907961718501</v>
      </c>
      <c r="O39" s="10">
        <v>1.03989039569729</v>
      </c>
      <c r="P39" s="10">
        <v>1.0339865249211799</v>
      </c>
      <c r="Q39" s="10">
        <v>1.0343953793087799</v>
      </c>
      <c r="R39" s="8">
        <v>51.069017332694003</v>
      </c>
      <c r="S39" s="8">
        <v>50.786536033087401</v>
      </c>
      <c r="T39" s="8">
        <v>50.806745513228698</v>
      </c>
      <c r="U39" s="9">
        <v>6.4634447269113797E-3</v>
      </c>
      <c r="V39" s="9">
        <v>9.1672656558135701E-4</v>
      </c>
      <c r="W39" s="9">
        <v>1.3145772915405E-3</v>
      </c>
      <c r="X39" s="10">
        <v>1.0331907961718501</v>
      </c>
      <c r="Y39" s="10">
        <v>1.03989039569729</v>
      </c>
      <c r="Z39" s="10">
        <v>1.0339865249211799</v>
      </c>
      <c r="AA39" s="10">
        <v>1.0343953793087799</v>
      </c>
      <c r="AB39" s="8">
        <v>51.069017332694003</v>
      </c>
      <c r="AC39" s="8">
        <v>50.786536033087401</v>
      </c>
      <c r="AD39" s="8">
        <v>50.806745513228698</v>
      </c>
      <c r="AE39" s="9">
        <v>6.4634447269113797E-3</v>
      </c>
      <c r="AF39" s="9">
        <v>9.1672656558135701E-4</v>
      </c>
      <c r="AG39" s="9">
        <v>1.3145772915405E-3</v>
      </c>
      <c r="AZ39" s="9"/>
      <c r="BB39">
        <f t="shared" si="2"/>
        <v>0</v>
      </c>
      <c r="BC39">
        <f t="shared" si="3"/>
        <v>1</v>
      </c>
      <c r="BD39">
        <f t="shared" si="4"/>
        <v>0</v>
      </c>
      <c r="BE39">
        <f t="shared" si="0"/>
        <v>1</v>
      </c>
      <c r="BF39">
        <f t="shared" si="5"/>
        <v>0</v>
      </c>
      <c r="BG39" s="9">
        <f t="shared" si="6"/>
        <v>0</v>
      </c>
      <c r="BH39" s="9">
        <f t="shared" si="7"/>
        <v>0</v>
      </c>
      <c r="BI39" s="9">
        <f t="shared" si="8"/>
        <v>0</v>
      </c>
      <c r="BJ39" s="12">
        <f t="shared" si="9"/>
        <v>0</v>
      </c>
      <c r="BL39" s="9"/>
      <c r="BN39">
        <f t="shared" si="10"/>
        <v>0</v>
      </c>
      <c r="BO39">
        <f t="shared" si="11"/>
        <v>0</v>
      </c>
      <c r="BP39">
        <f t="shared" si="12"/>
        <v>0</v>
      </c>
      <c r="BQ39">
        <f t="shared" si="1"/>
        <v>1</v>
      </c>
      <c r="BR39">
        <f t="shared" si="13"/>
        <v>0</v>
      </c>
      <c r="BS39" s="9">
        <f t="shared" si="14"/>
        <v>0</v>
      </c>
      <c r="BT39" s="9">
        <f t="shared" si="15"/>
        <v>0</v>
      </c>
      <c r="BU39" s="9">
        <f t="shared" si="16"/>
        <v>0</v>
      </c>
      <c r="BV39" s="12">
        <f t="shared" si="17"/>
        <v>0</v>
      </c>
      <c r="BX39" s="12">
        <f t="shared" si="18"/>
        <v>0</v>
      </c>
      <c r="BY39" s="12">
        <f t="shared" si="19"/>
        <v>0</v>
      </c>
    </row>
    <row r="40" spans="1:77" x14ac:dyDescent="0.3">
      <c r="A40" s="1">
        <v>46080</v>
      </c>
      <c r="B40" s="8">
        <v>49.2</v>
      </c>
      <c r="C40" s="8">
        <v>50.86</v>
      </c>
      <c r="D40" s="9">
        <v>1.8309434471093301E-3</v>
      </c>
      <c r="E40" s="9">
        <v>2.36220582283768E-3</v>
      </c>
      <c r="F40" s="8">
        <v>0</v>
      </c>
      <c r="G40" s="8">
        <v>0.1124</v>
      </c>
      <c r="H40" s="8">
        <v>0</v>
      </c>
      <c r="I40" s="8">
        <v>0.107</v>
      </c>
      <c r="J40" s="8">
        <v>0</v>
      </c>
      <c r="K40" s="8">
        <v>0</v>
      </c>
      <c r="L40" s="8">
        <v>49.2</v>
      </c>
      <c r="M40" s="8">
        <v>50.86</v>
      </c>
      <c r="N40" s="10">
        <v>1.0337398373983699</v>
      </c>
      <c r="O40" s="10">
        <v>1.03989039569729</v>
      </c>
      <c r="P40" s="10">
        <v>1.0339383775134701</v>
      </c>
      <c r="Q40" s="10">
        <v>1.0343872818012601</v>
      </c>
      <c r="R40" s="8">
        <v>51.162607468306803</v>
      </c>
      <c r="S40" s="8">
        <v>50.872137026122097</v>
      </c>
      <c r="T40" s="8">
        <v>50.892252661992401</v>
      </c>
      <c r="U40" s="9">
        <v>5.9321823511829996E-3</v>
      </c>
      <c r="V40" s="9">
        <v>2.38607514488554E-4</v>
      </c>
      <c r="W40" s="9">
        <v>6.3394494428989899E-4</v>
      </c>
      <c r="X40" s="10">
        <v>1.0337398373983699</v>
      </c>
      <c r="Y40" s="10">
        <v>1.03989039569729</v>
      </c>
      <c r="Z40" s="10">
        <v>1.0339383775134701</v>
      </c>
      <c r="AA40" s="10">
        <v>1.0343872818012601</v>
      </c>
      <c r="AB40" s="8">
        <v>51.162607468306803</v>
      </c>
      <c r="AC40" s="8">
        <v>50.872137026122097</v>
      </c>
      <c r="AD40" s="8">
        <v>50.892252661992401</v>
      </c>
      <c r="AE40" s="9">
        <v>5.9321823511829996E-3</v>
      </c>
      <c r="AF40" s="9">
        <v>2.38607514488554E-4</v>
      </c>
      <c r="AG40" s="9">
        <v>6.3394494428989899E-4</v>
      </c>
      <c r="AZ40" s="9"/>
      <c r="BB40">
        <f t="shared" si="2"/>
        <v>0</v>
      </c>
      <c r="BC40">
        <f t="shared" si="3"/>
        <v>1</v>
      </c>
      <c r="BD40">
        <f t="shared" si="4"/>
        <v>0</v>
      </c>
      <c r="BE40">
        <f t="shared" si="0"/>
        <v>0</v>
      </c>
      <c r="BF40">
        <f t="shared" si="5"/>
        <v>0</v>
      </c>
      <c r="BG40" s="9">
        <f t="shared" si="6"/>
        <v>0</v>
      </c>
      <c r="BH40" s="9">
        <f t="shared" si="7"/>
        <v>0</v>
      </c>
      <c r="BI40" s="9">
        <f t="shared" si="8"/>
        <v>0</v>
      </c>
      <c r="BJ40" s="12">
        <f t="shared" si="9"/>
        <v>0</v>
      </c>
      <c r="BL40" s="9"/>
      <c r="BN40">
        <f t="shared" si="10"/>
        <v>0</v>
      </c>
      <c r="BO40">
        <f t="shared" si="11"/>
        <v>0</v>
      </c>
      <c r="BP40">
        <f t="shared" si="12"/>
        <v>0</v>
      </c>
      <c r="BQ40">
        <f t="shared" si="1"/>
        <v>0</v>
      </c>
      <c r="BR40">
        <f t="shared" si="13"/>
        <v>0</v>
      </c>
      <c r="BS40" s="9">
        <f t="shared" si="14"/>
        <v>0</v>
      </c>
      <c r="BT40" s="9">
        <f t="shared" si="15"/>
        <v>0</v>
      </c>
      <c r="BU40" s="9">
        <f t="shared" si="16"/>
        <v>0</v>
      </c>
      <c r="BV40" s="12">
        <f t="shared" si="17"/>
        <v>0</v>
      </c>
      <c r="BX40" s="12">
        <f t="shared" si="18"/>
        <v>0</v>
      </c>
      <c r="BY40" s="12">
        <f t="shared" si="19"/>
        <v>0</v>
      </c>
    </row>
    <row r="41" spans="1:77" x14ac:dyDescent="0.3">
      <c r="A41" s="1">
        <v>46083</v>
      </c>
      <c r="B41" s="8">
        <v>48.93</v>
      </c>
      <c r="C41" s="8">
        <v>50.66</v>
      </c>
      <c r="D41" s="9">
        <v>-5.50291819723035E-3</v>
      </c>
      <c r="E41" s="9">
        <v>-3.9401154204444502E-3</v>
      </c>
      <c r="F41" s="8">
        <v>9.98E-2</v>
      </c>
      <c r="G41" s="8">
        <v>0.2122</v>
      </c>
      <c r="H41" s="8">
        <v>0</v>
      </c>
      <c r="I41" s="8">
        <v>0.107</v>
      </c>
      <c r="J41" s="8">
        <v>0</v>
      </c>
      <c r="K41" s="8">
        <v>0</v>
      </c>
      <c r="L41" s="8">
        <v>48.93</v>
      </c>
      <c r="M41" s="8">
        <v>50.66</v>
      </c>
      <c r="N41" s="10">
        <v>1.03535663192315</v>
      </c>
      <c r="O41" s="10">
        <v>1.03989039569729</v>
      </c>
      <c r="P41" s="10">
        <v>1.03397066025096</v>
      </c>
      <c r="Q41" s="10">
        <v>1.0343741786640499</v>
      </c>
      <c r="R41" s="8">
        <v>50.881837061468502</v>
      </c>
      <c r="S41" s="8">
        <v>50.590604811734401</v>
      </c>
      <c r="T41" s="8">
        <v>50.612569698535999</v>
      </c>
      <c r="U41" s="9">
        <v>4.3693795743971501E-3</v>
      </c>
      <c r="V41" s="9">
        <v>-1.37076117738997E-3</v>
      </c>
      <c r="W41" s="9">
        <v>-9.3668611496712495E-4</v>
      </c>
      <c r="X41" s="10">
        <v>1.03535663192315</v>
      </c>
      <c r="Y41" s="10">
        <v>1.03989039569729</v>
      </c>
      <c r="Z41" s="10">
        <v>1.03397066025096</v>
      </c>
      <c r="AA41" s="10">
        <v>1.0343741786640499</v>
      </c>
      <c r="AB41" s="8">
        <v>50.881837061468502</v>
      </c>
      <c r="AC41" s="8">
        <v>50.590604811734401</v>
      </c>
      <c r="AD41" s="8">
        <v>50.612569698535999</v>
      </c>
      <c r="AE41" s="9">
        <v>4.3693795743971501E-3</v>
      </c>
      <c r="AF41" s="9">
        <v>-1.37076117738997E-3</v>
      </c>
      <c r="AG41" s="9">
        <v>-9.3668611496712495E-4</v>
      </c>
      <c r="AZ41" s="9"/>
      <c r="BB41">
        <f t="shared" si="2"/>
        <v>0</v>
      </c>
      <c r="BC41">
        <f t="shared" si="3"/>
        <v>0</v>
      </c>
      <c r="BD41">
        <f t="shared" si="4"/>
        <v>0</v>
      </c>
      <c r="BE41">
        <f t="shared" si="0"/>
        <v>1</v>
      </c>
      <c r="BF41">
        <f t="shared" si="5"/>
        <v>0</v>
      </c>
      <c r="BG41" s="9">
        <f t="shared" si="6"/>
        <v>0</v>
      </c>
      <c r="BH41" s="9">
        <f t="shared" si="7"/>
        <v>0</v>
      </c>
      <c r="BI41" s="9">
        <f t="shared" si="8"/>
        <v>0</v>
      </c>
      <c r="BJ41" s="12">
        <f t="shared" si="9"/>
        <v>0</v>
      </c>
      <c r="BL41" s="9"/>
      <c r="BN41">
        <f t="shared" si="10"/>
        <v>0</v>
      </c>
      <c r="BO41">
        <f t="shared" si="11"/>
        <v>1</v>
      </c>
      <c r="BP41">
        <f t="shared" si="12"/>
        <v>0</v>
      </c>
      <c r="BQ41">
        <f t="shared" si="1"/>
        <v>1</v>
      </c>
      <c r="BR41">
        <f t="shared" si="13"/>
        <v>0</v>
      </c>
      <c r="BS41" s="9">
        <f t="shared" si="14"/>
        <v>0</v>
      </c>
      <c r="BT41" s="9">
        <f t="shared" si="15"/>
        <v>0</v>
      </c>
      <c r="BU41" s="9">
        <f t="shared" si="16"/>
        <v>0</v>
      </c>
      <c r="BV41" s="12">
        <f t="shared" si="17"/>
        <v>0</v>
      </c>
      <c r="BX41" s="12">
        <f t="shared" si="18"/>
        <v>0</v>
      </c>
      <c r="BY41" s="12">
        <f t="shared" si="19"/>
        <v>0</v>
      </c>
    </row>
    <row r="42" spans="1:77" x14ac:dyDescent="0.3">
      <c r="A42" s="1">
        <v>46084</v>
      </c>
      <c r="B42" s="8">
        <v>48.83</v>
      </c>
      <c r="C42" s="8">
        <v>50.6</v>
      </c>
      <c r="D42" s="9">
        <v>-2.0458272274633499E-3</v>
      </c>
      <c r="E42" s="9">
        <v>-1.1850682801092501E-3</v>
      </c>
      <c r="F42" s="8">
        <v>0</v>
      </c>
      <c r="G42" s="8">
        <v>0.2122</v>
      </c>
      <c r="H42" s="8">
        <v>0</v>
      </c>
      <c r="I42" s="8">
        <v>0.107</v>
      </c>
      <c r="J42" s="8">
        <v>0</v>
      </c>
      <c r="K42" s="8">
        <v>0</v>
      </c>
      <c r="L42" s="8">
        <v>48.83</v>
      </c>
      <c r="M42" s="8">
        <v>50.6</v>
      </c>
      <c r="N42" s="10">
        <v>1.03624820806881</v>
      </c>
      <c r="O42" s="10">
        <v>1.03989039569729</v>
      </c>
      <c r="P42" s="10">
        <v>1.03415989823576</v>
      </c>
      <c r="Q42" s="10">
        <v>1.03437985770263</v>
      </c>
      <c r="R42" s="8">
        <v>50.777848021898798</v>
      </c>
      <c r="S42" s="8">
        <v>50.488787340054699</v>
      </c>
      <c r="T42" s="8">
        <v>50.508491144165603</v>
      </c>
      <c r="U42" s="9">
        <v>3.50862062704283E-3</v>
      </c>
      <c r="V42" s="9">
        <v>-2.2002975352550199E-3</v>
      </c>
      <c r="W42" s="9">
        <v>-1.8101126776719999E-3</v>
      </c>
      <c r="X42" s="10">
        <v>1.03624820806881</v>
      </c>
      <c r="Y42" s="10">
        <v>1.03989039569729</v>
      </c>
      <c r="Z42" s="10">
        <v>1.03415989823576</v>
      </c>
      <c r="AA42" s="10">
        <v>1.03437985770263</v>
      </c>
      <c r="AB42" s="8">
        <v>50.777848021898798</v>
      </c>
      <c r="AC42" s="8">
        <v>50.488787340054699</v>
      </c>
      <c r="AD42" s="8">
        <v>50.508491144165603</v>
      </c>
      <c r="AE42" s="9">
        <v>3.50862062704283E-3</v>
      </c>
      <c r="AF42" s="9">
        <v>-2.2002975352550199E-3</v>
      </c>
      <c r="AG42" s="9">
        <v>-1.8101126776719999E-3</v>
      </c>
      <c r="AZ42" s="9"/>
      <c r="BB42">
        <f t="shared" si="2"/>
        <v>1</v>
      </c>
      <c r="BC42">
        <f t="shared" si="3"/>
        <v>0</v>
      </c>
      <c r="BD42">
        <f t="shared" si="4"/>
        <v>0</v>
      </c>
      <c r="BE42">
        <f t="shared" si="0"/>
        <v>1</v>
      </c>
      <c r="BF42">
        <f t="shared" si="5"/>
        <v>0</v>
      </c>
      <c r="BG42" s="9">
        <f t="shared" si="6"/>
        <v>0</v>
      </c>
      <c r="BH42" s="9">
        <f t="shared" si="7"/>
        <v>0</v>
      </c>
      <c r="BI42" s="9">
        <f t="shared" si="8"/>
        <v>0</v>
      </c>
      <c r="BJ42" s="12">
        <f t="shared" si="9"/>
        <v>0</v>
      </c>
      <c r="BL42" s="9"/>
      <c r="BN42">
        <f t="shared" si="10"/>
        <v>0</v>
      </c>
      <c r="BO42">
        <f t="shared" si="11"/>
        <v>1</v>
      </c>
      <c r="BP42">
        <f t="shared" si="12"/>
        <v>0</v>
      </c>
      <c r="BQ42">
        <f t="shared" si="1"/>
        <v>1</v>
      </c>
      <c r="BR42">
        <f t="shared" si="13"/>
        <v>0</v>
      </c>
      <c r="BS42" s="9">
        <f t="shared" si="14"/>
        <v>0</v>
      </c>
      <c r="BT42" s="9">
        <f t="shared" si="15"/>
        <v>0</v>
      </c>
      <c r="BU42" s="9">
        <f t="shared" si="16"/>
        <v>0</v>
      </c>
      <c r="BV42" s="12">
        <f t="shared" si="17"/>
        <v>0</v>
      </c>
      <c r="BX42" s="12">
        <f t="shared" si="18"/>
        <v>0</v>
      </c>
      <c r="BY42" s="12">
        <f t="shared" si="19"/>
        <v>0</v>
      </c>
    </row>
    <row r="43" spans="1:77" x14ac:dyDescent="0.3">
      <c r="A43" s="1">
        <v>46085</v>
      </c>
      <c r="B43" s="8">
        <v>48.77</v>
      </c>
      <c r="C43" s="8">
        <v>50.6</v>
      </c>
      <c r="D43" s="9">
        <v>-1.22950835160753E-3</v>
      </c>
      <c r="E43" s="9">
        <v>0</v>
      </c>
      <c r="F43" s="8">
        <v>0</v>
      </c>
      <c r="G43" s="8">
        <v>0.2122</v>
      </c>
      <c r="H43" s="8">
        <v>0</v>
      </c>
      <c r="I43" s="8">
        <v>0.107</v>
      </c>
      <c r="J43" s="8">
        <v>0</v>
      </c>
      <c r="K43" s="8">
        <v>0</v>
      </c>
      <c r="L43" s="8">
        <v>48.77</v>
      </c>
      <c r="M43" s="8">
        <v>50.6</v>
      </c>
      <c r="N43" s="10">
        <v>1.0375230674595</v>
      </c>
      <c r="O43" s="10">
        <v>1.03989039569729</v>
      </c>
      <c r="P43" s="10">
        <v>1.0345175219551199</v>
      </c>
      <c r="Q43" s="10">
        <v>1.0344485332817599</v>
      </c>
      <c r="R43" s="8">
        <v>50.715454598157002</v>
      </c>
      <c r="S43" s="8">
        <v>50.4359782369581</v>
      </c>
      <c r="T43" s="8">
        <v>50.446705660157498</v>
      </c>
      <c r="U43" s="9">
        <v>2.2791122754353401E-3</v>
      </c>
      <c r="V43" s="9">
        <v>-3.2468019807051101E-3</v>
      </c>
      <c r="W43" s="9">
        <v>-3.0341307307869001E-3</v>
      </c>
      <c r="X43" s="10">
        <v>1.0375230674595</v>
      </c>
      <c r="Y43" s="10">
        <v>1.03989039569729</v>
      </c>
      <c r="Z43" s="10">
        <v>1.0345175219551199</v>
      </c>
      <c r="AA43" s="10">
        <v>1.0344485332817599</v>
      </c>
      <c r="AB43" s="8">
        <v>50.715454598157002</v>
      </c>
      <c r="AC43" s="8">
        <v>50.4359782369581</v>
      </c>
      <c r="AD43" s="8">
        <v>50.446705660157498</v>
      </c>
      <c r="AE43" s="9">
        <v>2.2791122754353401E-3</v>
      </c>
      <c r="AF43" s="9">
        <v>-3.2468019807051101E-3</v>
      </c>
      <c r="AG43" s="9">
        <v>-3.0341307307869001E-3</v>
      </c>
      <c r="AZ43" s="9"/>
      <c r="BB43">
        <f t="shared" si="2"/>
        <v>1</v>
      </c>
      <c r="BC43">
        <f t="shared" si="3"/>
        <v>0</v>
      </c>
      <c r="BD43">
        <f t="shared" si="4"/>
        <v>1</v>
      </c>
      <c r="BE43">
        <f t="shared" si="0"/>
        <v>1</v>
      </c>
      <c r="BF43">
        <f t="shared" si="5"/>
        <v>1</v>
      </c>
      <c r="BG43" s="9">
        <f t="shared" si="6"/>
        <v>-1.22950835160753E-3</v>
      </c>
      <c r="BH43" s="9">
        <f t="shared" si="7"/>
        <v>0</v>
      </c>
      <c r="BI43" s="9">
        <f t="shared" si="8"/>
        <v>-1.22950835160753E-3</v>
      </c>
      <c r="BJ43" s="12">
        <f t="shared" si="9"/>
        <v>-1.22950835160753E-3</v>
      </c>
      <c r="BL43" s="9"/>
      <c r="BN43">
        <f t="shared" si="10"/>
        <v>0</v>
      </c>
      <c r="BO43">
        <f t="shared" si="11"/>
        <v>1</v>
      </c>
      <c r="BP43">
        <f t="shared" si="12"/>
        <v>0</v>
      </c>
      <c r="BQ43">
        <f t="shared" si="1"/>
        <v>1</v>
      </c>
      <c r="BR43">
        <f t="shared" si="13"/>
        <v>0</v>
      </c>
      <c r="BS43" s="9">
        <f t="shared" si="14"/>
        <v>0</v>
      </c>
      <c r="BT43" s="9">
        <f t="shared" si="15"/>
        <v>0</v>
      </c>
      <c r="BU43" s="9">
        <f t="shared" si="16"/>
        <v>0</v>
      </c>
      <c r="BV43" s="12">
        <f t="shared" si="17"/>
        <v>0</v>
      </c>
      <c r="BX43" s="12">
        <f t="shared" si="18"/>
        <v>-1.22950835160753E-3</v>
      </c>
      <c r="BY43" s="12">
        <f t="shared" si="19"/>
        <v>-1.22950835160753E-3</v>
      </c>
    </row>
    <row r="44" spans="1:77" x14ac:dyDescent="0.3">
      <c r="A44" s="1">
        <v>46086</v>
      </c>
      <c r="B44" s="8">
        <v>48.58</v>
      </c>
      <c r="C44" s="8">
        <v>50.41</v>
      </c>
      <c r="D44" s="9">
        <v>-3.9034461479348602E-3</v>
      </c>
      <c r="E44" s="9">
        <v>-3.7620081988804701E-3</v>
      </c>
      <c r="F44" s="8">
        <v>0</v>
      </c>
      <c r="G44" s="8">
        <v>0.2122</v>
      </c>
      <c r="H44" s="8">
        <v>0</v>
      </c>
      <c r="I44" s="8">
        <v>0.107</v>
      </c>
      <c r="J44" s="8">
        <v>0</v>
      </c>
      <c r="K44" s="8">
        <v>0</v>
      </c>
      <c r="L44" s="8">
        <v>48.58</v>
      </c>
      <c r="M44" s="8">
        <v>50.41</v>
      </c>
      <c r="N44" s="10">
        <v>1.0376698229724099</v>
      </c>
      <c r="O44" s="10">
        <v>1.03989039569729</v>
      </c>
      <c r="P44" s="10">
        <v>1.0348714652170099</v>
      </c>
      <c r="Q44" s="10">
        <v>1.0346199782257599</v>
      </c>
      <c r="R44" s="8">
        <v>50.517875422974498</v>
      </c>
      <c r="S44" s="8">
        <v>50.256861216580099</v>
      </c>
      <c r="T44" s="8">
        <v>50.253509746828101</v>
      </c>
      <c r="U44" s="9">
        <v>2.1376743263810602E-3</v>
      </c>
      <c r="V44" s="9">
        <v>-3.0424888528273199E-3</v>
      </c>
      <c r="W44" s="9">
        <v>-3.1091778864284301E-3</v>
      </c>
      <c r="X44" s="10">
        <v>1.0376698229724099</v>
      </c>
      <c r="Y44" s="10">
        <v>1.03989039569729</v>
      </c>
      <c r="Z44" s="10">
        <v>1.0348714652170099</v>
      </c>
      <c r="AA44" s="10">
        <v>1.0346199782257599</v>
      </c>
      <c r="AB44" s="8">
        <v>50.517875422974498</v>
      </c>
      <c r="AC44" s="8">
        <v>50.256861216580099</v>
      </c>
      <c r="AD44" s="8">
        <v>50.253509746828101</v>
      </c>
      <c r="AE44" s="9">
        <v>2.1376743263810602E-3</v>
      </c>
      <c r="AF44" s="9">
        <v>-3.0424888528273199E-3</v>
      </c>
      <c r="AG44" s="9">
        <v>-3.1091778864284301E-3</v>
      </c>
      <c r="AZ44" s="9"/>
      <c r="BB44">
        <f t="shared" si="2"/>
        <v>1</v>
      </c>
      <c r="BC44">
        <f t="shared" si="3"/>
        <v>0</v>
      </c>
      <c r="BD44">
        <f t="shared" si="4"/>
        <v>1</v>
      </c>
      <c r="BE44">
        <f t="shared" si="0"/>
        <v>1</v>
      </c>
      <c r="BF44">
        <f t="shared" si="5"/>
        <v>1</v>
      </c>
      <c r="BG44" s="9">
        <f t="shared" si="6"/>
        <v>-3.9034461479348602E-3</v>
      </c>
      <c r="BH44" s="9">
        <f t="shared" si="7"/>
        <v>3.7620081988804701E-3</v>
      </c>
      <c r="BI44" s="9">
        <f t="shared" si="8"/>
        <v>-1.414379490543901E-4</v>
      </c>
      <c r="BJ44" s="12">
        <f t="shared" si="9"/>
        <v>-1.3709463006619201E-3</v>
      </c>
      <c r="BL44" s="9"/>
      <c r="BN44">
        <f t="shared" si="10"/>
        <v>0</v>
      </c>
      <c r="BO44">
        <f t="shared" si="11"/>
        <v>1</v>
      </c>
      <c r="BP44">
        <f t="shared" si="12"/>
        <v>0</v>
      </c>
      <c r="BQ44">
        <f t="shared" si="1"/>
        <v>1</v>
      </c>
      <c r="BR44">
        <f t="shared" si="13"/>
        <v>0</v>
      </c>
      <c r="BS44" s="9">
        <f t="shared" si="14"/>
        <v>0</v>
      </c>
      <c r="BT44" s="9">
        <f t="shared" si="15"/>
        <v>0</v>
      </c>
      <c r="BU44" s="9">
        <f t="shared" si="16"/>
        <v>0</v>
      </c>
      <c r="BV44" s="12">
        <f t="shared" si="17"/>
        <v>0</v>
      </c>
      <c r="BX44" s="12">
        <f t="shared" si="18"/>
        <v>-1.414379490543901E-4</v>
      </c>
      <c r="BY44" s="12">
        <f t="shared" si="19"/>
        <v>-1.3709463006619201E-3</v>
      </c>
    </row>
    <row r="45" spans="1:77" x14ac:dyDescent="0.3">
      <c r="A45" s="1">
        <v>46087</v>
      </c>
      <c r="B45" s="8">
        <v>48.44</v>
      </c>
      <c r="C45" s="8">
        <v>50.34</v>
      </c>
      <c r="D45" s="9">
        <v>-2.8860048891349798E-3</v>
      </c>
      <c r="E45" s="9">
        <v>-1.3895783873695299E-3</v>
      </c>
      <c r="F45" s="8">
        <v>0</v>
      </c>
      <c r="G45" s="8">
        <v>0.2122</v>
      </c>
      <c r="H45" s="8">
        <v>0</v>
      </c>
      <c r="I45" s="8">
        <v>0.107</v>
      </c>
      <c r="J45" s="8">
        <v>0</v>
      </c>
      <c r="K45" s="8">
        <v>0</v>
      </c>
      <c r="L45" s="8">
        <v>48.44</v>
      </c>
      <c r="M45" s="8">
        <v>50.34</v>
      </c>
      <c r="N45" s="10">
        <v>1.0392237819983401</v>
      </c>
      <c r="O45" s="10">
        <v>1.03989039569729</v>
      </c>
      <c r="P45" s="10">
        <v>1.0353638719999401</v>
      </c>
      <c r="Q45" s="10">
        <v>1.03485063580528</v>
      </c>
      <c r="R45" s="8">
        <v>50.3722907675768</v>
      </c>
      <c r="S45" s="8">
        <v>50.1291737751121</v>
      </c>
      <c r="T45" s="8">
        <v>50.116991745256101</v>
      </c>
      <c r="U45" s="9">
        <v>6.4124782461546799E-4</v>
      </c>
      <c r="V45" s="9">
        <v>-4.1968402130604402E-3</v>
      </c>
      <c r="W45" s="9">
        <v>-4.4398825250081802E-3</v>
      </c>
      <c r="X45" s="10">
        <v>1.0392237819983401</v>
      </c>
      <c r="Y45" s="10">
        <v>1.03989039569729</v>
      </c>
      <c r="Z45" s="10">
        <v>1.0353638719999401</v>
      </c>
      <c r="AA45" s="10">
        <v>1.03485063580528</v>
      </c>
      <c r="AB45" s="8">
        <v>50.3722907675768</v>
      </c>
      <c r="AC45" s="8">
        <v>50.1291737751121</v>
      </c>
      <c r="AD45" s="8">
        <v>50.116991745256101</v>
      </c>
      <c r="AE45" s="9">
        <v>6.4124782461546799E-4</v>
      </c>
      <c r="AF45" s="9">
        <v>-4.1968402130604402E-3</v>
      </c>
      <c r="AG45" s="9">
        <v>-4.4398825250081802E-3</v>
      </c>
      <c r="AZ45" s="9"/>
      <c r="BB45">
        <f t="shared" si="2"/>
        <v>1</v>
      </c>
      <c r="BC45">
        <f t="shared" si="3"/>
        <v>0</v>
      </c>
      <c r="BD45">
        <f t="shared" si="4"/>
        <v>1</v>
      </c>
      <c r="BE45">
        <f t="shared" si="0"/>
        <v>1</v>
      </c>
      <c r="BF45">
        <f t="shared" si="5"/>
        <v>1</v>
      </c>
      <c r="BG45" s="9">
        <f t="shared" si="6"/>
        <v>-2.8860048891349798E-3</v>
      </c>
      <c r="BH45" s="9">
        <f t="shared" si="7"/>
        <v>1.3895783873695299E-3</v>
      </c>
      <c r="BI45" s="9">
        <f t="shared" si="8"/>
        <v>-1.4964265017654499E-3</v>
      </c>
      <c r="BJ45" s="12">
        <f t="shared" si="9"/>
        <v>-2.8673728024273702E-3</v>
      </c>
      <c r="BL45" s="9"/>
      <c r="BN45">
        <f t="shared" si="10"/>
        <v>0</v>
      </c>
      <c r="BO45">
        <f t="shared" si="11"/>
        <v>1</v>
      </c>
      <c r="BP45">
        <f t="shared" si="12"/>
        <v>0</v>
      </c>
      <c r="BQ45">
        <f t="shared" si="1"/>
        <v>1</v>
      </c>
      <c r="BR45">
        <f t="shared" si="13"/>
        <v>0</v>
      </c>
      <c r="BS45" s="9">
        <f t="shared" si="14"/>
        <v>0</v>
      </c>
      <c r="BT45" s="9">
        <f t="shared" si="15"/>
        <v>0</v>
      </c>
      <c r="BU45" s="9">
        <f t="shared" si="16"/>
        <v>0</v>
      </c>
      <c r="BV45" s="12">
        <f t="shared" si="17"/>
        <v>0</v>
      </c>
      <c r="BX45" s="12">
        <f t="shared" si="18"/>
        <v>-1.4964265017654499E-3</v>
      </c>
      <c r="BY45" s="12">
        <f t="shared" si="19"/>
        <v>-2.8673728024273702E-3</v>
      </c>
    </row>
    <row r="46" spans="1:77" x14ac:dyDescent="0.3">
      <c r="A46" s="1">
        <v>46090</v>
      </c>
      <c r="B46" s="8">
        <v>48.51</v>
      </c>
      <c r="C46" s="8">
        <v>50.37</v>
      </c>
      <c r="D46" s="9">
        <v>1.44404357223362E-3</v>
      </c>
      <c r="E46" s="9">
        <v>5.9577005038916595E-4</v>
      </c>
      <c r="F46" s="8">
        <v>0</v>
      </c>
      <c r="G46" s="8">
        <v>0.2122</v>
      </c>
      <c r="H46" s="8">
        <v>0</v>
      </c>
      <c r="I46" s="8">
        <v>0.107</v>
      </c>
      <c r="J46" s="8">
        <v>0</v>
      </c>
      <c r="K46" s="8">
        <v>0</v>
      </c>
      <c r="L46" s="8">
        <v>48.51</v>
      </c>
      <c r="M46" s="8">
        <v>50.37</v>
      </c>
      <c r="N46" s="10">
        <v>1.0383426097711801</v>
      </c>
      <c r="O46" s="10">
        <v>1.03989039569729</v>
      </c>
      <c r="P46" s="10">
        <v>1.0358355896715801</v>
      </c>
      <c r="Q46" s="10">
        <v>1.0350375912166001</v>
      </c>
      <c r="R46" s="8">
        <v>50.445083095275699</v>
      </c>
      <c r="S46" s="8">
        <v>50.225501430717202</v>
      </c>
      <c r="T46" s="8">
        <v>50.200604342914502</v>
      </c>
      <c r="U46" s="9">
        <v>1.4895213464600199E-3</v>
      </c>
      <c r="V46" s="9">
        <v>-2.8728654186467501E-3</v>
      </c>
      <c r="W46" s="9">
        <v>-3.3686944288633699E-3</v>
      </c>
      <c r="X46" s="10">
        <v>1.0383426097711801</v>
      </c>
      <c r="Y46" s="10">
        <v>1.03989039569729</v>
      </c>
      <c r="Z46" s="10">
        <v>1.0358355896715801</v>
      </c>
      <c r="AA46" s="10">
        <v>1.0350375912166001</v>
      </c>
      <c r="AB46" s="8">
        <v>50.445083095275699</v>
      </c>
      <c r="AC46" s="8">
        <v>50.225501430717202</v>
      </c>
      <c r="AD46" s="8">
        <v>50.200604342914502</v>
      </c>
      <c r="AE46" s="9">
        <v>1.4895213464600199E-3</v>
      </c>
      <c r="AF46" s="9">
        <v>-2.8728654186467501E-3</v>
      </c>
      <c r="AG46" s="9">
        <v>-3.3686944288633699E-3</v>
      </c>
      <c r="AZ46" s="9"/>
      <c r="BB46">
        <f t="shared" si="2"/>
        <v>1</v>
      </c>
      <c r="BC46">
        <f t="shared" si="3"/>
        <v>0</v>
      </c>
      <c r="BD46">
        <f t="shared" si="4"/>
        <v>1</v>
      </c>
      <c r="BE46">
        <f t="shared" si="0"/>
        <v>1</v>
      </c>
      <c r="BF46">
        <f t="shared" si="5"/>
        <v>1</v>
      </c>
      <c r="BG46" s="9">
        <f t="shared" si="6"/>
        <v>1.44404357223362E-3</v>
      </c>
      <c r="BH46" s="9">
        <f t="shared" si="7"/>
        <v>-5.9577005038916595E-4</v>
      </c>
      <c r="BI46" s="9">
        <f t="shared" si="8"/>
        <v>8.4827352184445402E-4</v>
      </c>
      <c r="BJ46" s="12">
        <f t="shared" si="9"/>
        <v>-2.0190992805829162E-3</v>
      </c>
      <c r="BL46" s="9"/>
      <c r="BN46">
        <f t="shared" si="10"/>
        <v>0</v>
      </c>
      <c r="BO46">
        <f t="shared" si="11"/>
        <v>1</v>
      </c>
      <c r="BP46">
        <f t="shared" si="12"/>
        <v>0</v>
      </c>
      <c r="BQ46">
        <f t="shared" si="1"/>
        <v>1</v>
      </c>
      <c r="BR46">
        <f t="shared" si="13"/>
        <v>0</v>
      </c>
      <c r="BS46" s="9">
        <f t="shared" si="14"/>
        <v>0</v>
      </c>
      <c r="BT46" s="9">
        <f t="shared" si="15"/>
        <v>0</v>
      </c>
      <c r="BU46" s="9">
        <f t="shared" si="16"/>
        <v>0</v>
      </c>
      <c r="BV46" s="12">
        <f t="shared" si="17"/>
        <v>0</v>
      </c>
      <c r="BX46" s="12">
        <f t="shared" si="18"/>
        <v>8.4827352184445402E-4</v>
      </c>
      <c r="BY46" s="12">
        <f t="shared" si="19"/>
        <v>-2.0190992805829162E-3</v>
      </c>
    </row>
    <row r="47" spans="1:77" x14ac:dyDescent="0.3">
      <c r="A47" s="1">
        <v>46091</v>
      </c>
      <c r="B47" s="8">
        <v>48.47</v>
      </c>
      <c r="C47" s="8">
        <v>50.31</v>
      </c>
      <c r="D47" s="9">
        <v>-8.2491239984056205E-4</v>
      </c>
      <c r="E47" s="9">
        <v>-1.1918952543318699E-3</v>
      </c>
      <c r="F47" s="8">
        <v>0</v>
      </c>
      <c r="G47" s="8">
        <v>0.2122</v>
      </c>
      <c r="H47" s="8">
        <v>0</v>
      </c>
      <c r="I47" s="8">
        <v>0.107</v>
      </c>
      <c r="J47" s="8">
        <v>0</v>
      </c>
      <c r="K47" s="8">
        <v>0</v>
      </c>
      <c r="L47" s="8">
        <v>48.47</v>
      </c>
      <c r="M47" s="8">
        <v>50.31</v>
      </c>
      <c r="N47" s="10">
        <v>1.0379616257478801</v>
      </c>
      <c r="O47" s="10">
        <v>1.03989039569729</v>
      </c>
      <c r="P47" s="10">
        <v>1.03631132038651</v>
      </c>
      <c r="Q47" s="10">
        <v>1.0352062098727399</v>
      </c>
      <c r="R47" s="8">
        <v>50.403487479447797</v>
      </c>
      <c r="S47" s="8">
        <v>50.206951031381401</v>
      </c>
      <c r="T47" s="8">
        <v>50.168272046268903</v>
      </c>
      <c r="U47" s="9">
        <v>1.8565042009514E-3</v>
      </c>
      <c r="V47" s="9">
        <v>-2.0503806305933701E-3</v>
      </c>
      <c r="W47" s="9">
        <v>-2.8210685721202101E-3</v>
      </c>
      <c r="X47" s="10">
        <v>1.0379616257478801</v>
      </c>
      <c r="Y47" s="10">
        <v>1.03989039569729</v>
      </c>
      <c r="Z47" s="10">
        <v>1.03631132038651</v>
      </c>
      <c r="AA47" s="10">
        <v>1.0352062098727399</v>
      </c>
      <c r="AB47" s="8">
        <v>50.403487479447797</v>
      </c>
      <c r="AC47" s="8">
        <v>50.206951031381401</v>
      </c>
      <c r="AD47" s="8">
        <v>50.168272046268903</v>
      </c>
      <c r="AE47" s="9">
        <v>1.8565042009514E-3</v>
      </c>
      <c r="AF47" s="9">
        <v>-2.0503806305933701E-3</v>
      </c>
      <c r="AG47" s="9">
        <v>-2.8210685721202101E-3</v>
      </c>
      <c r="AZ47" s="9"/>
      <c r="BB47">
        <f t="shared" si="2"/>
        <v>1</v>
      </c>
      <c r="BC47">
        <f t="shared" si="3"/>
        <v>0</v>
      </c>
      <c r="BD47">
        <f t="shared" si="4"/>
        <v>1</v>
      </c>
      <c r="BE47">
        <f t="shared" si="0"/>
        <v>1</v>
      </c>
      <c r="BF47">
        <f t="shared" si="5"/>
        <v>1</v>
      </c>
      <c r="BG47" s="9">
        <f t="shared" si="6"/>
        <v>-8.2491239984056205E-4</v>
      </c>
      <c r="BH47" s="9">
        <f t="shared" si="7"/>
        <v>1.1918952543318699E-3</v>
      </c>
      <c r="BI47" s="9">
        <f t="shared" si="8"/>
        <v>3.6698285449130786E-4</v>
      </c>
      <c r="BJ47" s="12">
        <f t="shared" si="9"/>
        <v>-1.6521164260916083E-3</v>
      </c>
      <c r="BL47" s="9"/>
      <c r="BN47">
        <f t="shared" si="10"/>
        <v>0</v>
      </c>
      <c r="BO47">
        <f t="shared" si="11"/>
        <v>1</v>
      </c>
      <c r="BP47">
        <f t="shared" si="12"/>
        <v>0</v>
      </c>
      <c r="BQ47">
        <f t="shared" si="1"/>
        <v>1</v>
      </c>
      <c r="BR47">
        <f t="shared" si="13"/>
        <v>0</v>
      </c>
      <c r="BS47" s="9">
        <f t="shared" si="14"/>
        <v>0</v>
      </c>
      <c r="BT47" s="9">
        <f t="shared" si="15"/>
        <v>0</v>
      </c>
      <c r="BU47" s="9">
        <f t="shared" si="16"/>
        <v>0</v>
      </c>
      <c r="BV47" s="12">
        <f t="shared" si="17"/>
        <v>0</v>
      </c>
      <c r="BX47" s="12">
        <f t="shared" si="18"/>
        <v>3.6698285449130786E-4</v>
      </c>
      <c r="BY47" s="12">
        <f t="shared" si="19"/>
        <v>-1.6521164260916083E-3</v>
      </c>
    </row>
    <row r="48" spans="1:77" x14ac:dyDescent="0.3">
      <c r="A48" s="1">
        <v>46092</v>
      </c>
      <c r="B48" s="8">
        <v>48.25</v>
      </c>
      <c r="C48" s="8">
        <v>50.15</v>
      </c>
      <c r="D48" s="9">
        <v>-4.5492220722896798E-3</v>
      </c>
      <c r="E48" s="9">
        <v>-3.1853500952826802E-3</v>
      </c>
      <c r="F48" s="8">
        <v>0</v>
      </c>
      <c r="G48" s="8">
        <v>0.2122</v>
      </c>
      <c r="H48" s="8">
        <v>0</v>
      </c>
      <c r="I48" s="8">
        <v>0.107</v>
      </c>
      <c r="J48" s="8">
        <v>0</v>
      </c>
      <c r="K48" s="8">
        <v>0</v>
      </c>
      <c r="L48" s="8">
        <v>48.25</v>
      </c>
      <c r="M48" s="8">
        <v>50.15</v>
      </c>
      <c r="N48" s="10">
        <v>1.0393782383419601</v>
      </c>
      <c r="O48" s="10">
        <v>1.03989039569729</v>
      </c>
      <c r="P48" s="10">
        <v>1.0368634619853501</v>
      </c>
      <c r="Q48" s="10">
        <v>1.0355009229402099</v>
      </c>
      <c r="R48" s="8">
        <v>50.174711592394402</v>
      </c>
      <c r="S48" s="8">
        <v>50.002021208649502</v>
      </c>
      <c r="T48" s="8">
        <v>49.948699626360003</v>
      </c>
      <c r="U48" s="9">
        <v>4.9263222394428305E-4</v>
      </c>
      <c r="V48" s="9">
        <v>-2.9550856238419998E-3</v>
      </c>
      <c r="W48" s="9">
        <v>-4.0220431585641604E-3</v>
      </c>
      <c r="X48" s="10">
        <v>1.0393782383419601</v>
      </c>
      <c r="Y48" s="10">
        <v>1.03989039569729</v>
      </c>
      <c r="Z48" s="10">
        <v>1.0368634619853501</v>
      </c>
      <c r="AA48" s="10">
        <v>1.0355009229402099</v>
      </c>
      <c r="AB48" s="8">
        <v>50.174711592394402</v>
      </c>
      <c r="AC48" s="8">
        <v>50.002021208649502</v>
      </c>
      <c r="AD48" s="8">
        <v>49.948699626360003</v>
      </c>
      <c r="AE48" s="9">
        <v>4.9263222394428305E-4</v>
      </c>
      <c r="AF48" s="9">
        <v>-2.9550856238419998E-3</v>
      </c>
      <c r="AG48" s="9">
        <v>-4.0220431585641604E-3</v>
      </c>
      <c r="AZ48" s="9"/>
      <c r="BB48">
        <f t="shared" si="2"/>
        <v>1</v>
      </c>
      <c r="BC48">
        <f t="shared" si="3"/>
        <v>0</v>
      </c>
      <c r="BD48">
        <f t="shared" si="4"/>
        <v>1</v>
      </c>
      <c r="BE48">
        <f t="shared" si="0"/>
        <v>1</v>
      </c>
      <c r="BF48">
        <f t="shared" si="5"/>
        <v>1</v>
      </c>
      <c r="BG48" s="9">
        <f t="shared" si="6"/>
        <v>-4.5492220722896798E-3</v>
      </c>
      <c r="BH48" s="9">
        <f t="shared" si="7"/>
        <v>3.1853500952826802E-3</v>
      </c>
      <c r="BI48" s="9">
        <f t="shared" si="8"/>
        <v>-1.3638719770069996E-3</v>
      </c>
      <c r="BJ48" s="12">
        <f t="shared" si="9"/>
        <v>-3.0159884030986081E-3</v>
      </c>
      <c r="BL48" s="9"/>
      <c r="BN48">
        <f t="shared" si="10"/>
        <v>0</v>
      </c>
      <c r="BO48">
        <f t="shared" si="11"/>
        <v>1</v>
      </c>
      <c r="BP48">
        <f t="shared" si="12"/>
        <v>0</v>
      </c>
      <c r="BQ48">
        <f t="shared" si="1"/>
        <v>1</v>
      </c>
      <c r="BR48">
        <f t="shared" si="13"/>
        <v>0</v>
      </c>
      <c r="BS48" s="9">
        <f t="shared" si="14"/>
        <v>0</v>
      </c>
      <c r="BT48" s="9">
        <f t="shared" si="15"/>
        <v>0</v>
      </c>
      <c r="BU48" s="9">
        <f t="shared" si="16"/>
        <v>0</v>
      </c>
      <c r="BV48" s="12">
        <f t="shared" si="17"/>
        <v>0</v>
      </c>
      <c r="BX48" s="12">
        <f t="shared" si="18"/>
        <v>-1.3638719770069996E-3</v>
      </c>
      <c r="BY48" s="12">
        <f t="shared" si="19"/>
        <v>-3.0159884030986081E-3</v>
      </c>
    </row>
    <row r="49" spans="1:77" x14ac:dyDescent="0.3">
      <c r="A49" s="1">
        <v>46093</v>
      </c>
      <c r="B49" s="8">
        <v>48.08</v>
      </c>
      <c r="C49" s="8">
        <v>50.02</v>
      </c>
      <c r="D49" s="9">
        <v>-3.5295375580427701E-3</v>
      </c>
      <c r="E49" s="9">
        <v>-2.5955889584714301E-3</v>
      </c>
      <c r="F49" s="8">
        <v>0</v>
      </c>
      <c r="G49" s="8">
        <v>0.2122</v>
      </c>
      <c r="H49" s="8">
        <v>0</v>
      </c>
      <c r="I49" s="8">
        <v>0.107</v>
      </c>
      <c r="J49" s="8">
        <v>0</v>
      </c>
      <c r="K49" s="8">
        <v>0</v>
      </c>
      <c r="L49" s="8">
        <v>48.08</v>
      </c>
      <c r="M49" s="8">
        <v>50.02</v>
      </c>
      <c r="N49" s="10">
        <v>1.0403494176372701</v>
      </c>
      <c r="O49" s="10">
        <v>1.03989039569729</v>
      </c>
      <c r="P49" s="10">
        <v>1.03757932413189</v>
      </c>
      <c r="Q49" s="10">
        <v>1.03578292452653</v>
      </c>
      <c r="R49" s="8">
        <v>49.997930225125799</v>
      </c>
      <c r="S49" s="8">
        <v>49.852395252255597</v>
      </c>
      <c r="T49" s="8">
        <v>49.786884374965503</v>
      </c>
      <c r="U49" s="9">
        <v>-4.4131637562695101E-4</v>
      </c>
      <c r="V49" s="9">
        <v>-3.3563810032603099E-3</v>
      </c>
      <c r="W49" s="9">
        <v>-4.6713420703183E-3</v>
      </c>
      <c r="X49" s="10">
        <v>1.0403494176372701</v>
      </c>
      <c r="Y49" s="10">
        <v>1.03989039569729</v>
      </c>
      <c r="Z49" s="10">
        <v>1.03757932413189</v>
      </c>
      <c r="AA49" s="10">
        <v>1.03578292452653</v>
      </c>
      <c r="AB49" s="8">
        <v>49.997930225125799</v>
      </c>
      <c r="AC49" s="8">
        <v>49.852395252255597</v>
      </c>
      <c r="AD49" s="8">
        <v>49.786884374965503</v>
      </c>
      <c r="AE49" s="9">
        <v>-4.4131637562695101E-4</v>
      </c>
      <c r="AF49" s="9">
        <v>-3.3563810032603099E-3</v>
      </c>
      <c r="AG49" s="9">
        <v>-4.6713420703183E-3</v>
      </c>
      <c r="AZ49" s="9"/>
      <c r="BB49">
        <f t="shared" si="2"/>
        <v>1</v>
      </c>
      <c r="BC49">
        <f t="shared" si="3"/>
        <v>0</v>
      </c>
      <c r="BD49">
        <f t="shared" si="4"/>
        <v>1</v>
      </c>
      <c r="BE49">
        <f t="shared" si="0"/>
        <v>1</v>
      </c>
      <c r="BF49">
        <f t="shared" si="5"/>
        <v>1</v>
      </c>
      <c r="BG49" s="9">
        <f t="shared" si="6"/>
        <v>-3.5295375580427701E-3</v>
      </c>
      <c r="BH49" s="9">
        <f t="shared" si="7"/>
        <v>2.5955889584714301E-3</v>
      </c>
      <c r="BI49" s="9">
        <f t="shared" si="8"/>
        <v>-9.3394859957134004E-4</v>
      </c>
      <c r="BJ49" s="12">
        <f t="shared" si="9"/>
        <v>-3.9499370026699482E-3</v>
      </c>
      <c r="BL49" s="9"/>
      <c r="BN49">
        <f t="shared" si="10"/>
        <v>0</v>
      </c>
      <c r="BO49">
        <f t="shared" si="11"/>
        <v>1</v>
      </c>
      <c r="BP49">
        <f t="shared" si="12"/>
        <v>0</v>
      </c>
      <c r="BQ49">
        <f t="shared" si="1"/>
        <v>1</v>
      </c>
      <c r="BR49">
        <f t="shared" si="13"/>
        <v>0</v>
      </c>
      <c r="BS49" s="9">
        <f t="shared" si="14"/>
        <v>0</v>
      </c>
      <c r="BT49" s="9">
        <f t="shared" si="15"/>
        <v>0</v>
      </c>
      <c r="BU49" s="9">
        <f t="shared" si="16"/>
        <v>0</v>
      </c>
      <c r="BV49" s="12">
        <f t="shared" si="17"/>
        <v>0</v>
      </c>
      <c r="BX49" s="12">
        <f t="shared" si="18"/>
        <v>-9.3394859957134004E-4</v>
      </c>
      <c r="BY49" s="12">
        <f t="shared" si="19"/>
        <v>-3.9499370026699482E-3</v>
      </c>
    </row>
    <row r="50" spans="1:77" x14ac:dyDescent="0.3">
      <c r="A50" s="1">
        <v>46094</v>
      </c>
      <c r="B50" s="8">
        <v>48</v>
      </c>
      <c r="C50" s="8">
        <v>49.96</v>
      </c>
      <c r="D50" s="9">
        <v>-1.6652793190612E-3</v>
      </c>
      <c r="E50" s="9">
        <v>-1.2002401920961001E-3</v>
      </c>
      <c r="F50" s="8">
        <v>0</v>
      </c>
      <c r="G50" s="8">
        <v>0.2122</v>
      </c>
      <c r="H50" s="8">
        <v>0</v>
      </c>
      <c r="I50" s="8">
        <v>0.107</v>
      </c>
      <c r="J50" s="8">
        <v>0</v>
      </c>
      <c r="K50" s="8">
        <v>0</v>
      </c>
      <c r="L50" s="8">
        <v>48</v>
      </c>
      <c r="M50" s="8">
        <v>49.96</v>
      </c>
      <c r="N50" s="10">
        <v>1.0408333333333299</v>
      </c>
      <c r="O50" s="10">
        <v>1.03989039569729</v>
      </c>
      <c r="P50" s="10">
        <v>1.03828867372538</v>
      </c>
      <c r="Q50" s="10">
        <v>1.03611352561943</v>
      </c>
      <c r="R50" s="8">
        <v>49.914738993470003</v>
      </c>
      <c r="S50" s="8">
        <v>49.803807558330703</v>
      </c>
      <c r="T50" s="8">
        <v>49.717580377273698</v>
      </c>
      <c r="U50" s="9">
        <v>-9.0635550259209096E-4</v>
      </c>
      <c r="V50" s="9">
        <v>-3.13124715486242E-3</v>
      </c>
      <c r="W50" s="9">
        <v>-4.8640847774491401E-3</v>
      </c>
      <c r="X50" s="10">
        <v>1.0408333333333299</v>
      </c>
      <c r="Y50" s="10">
        <v>1.03989039569729</v>
      </c>
      <c r="Z50" s="10">
        <v>1.03828867372538</v>
      </c>
      <c r="AA50" s="10">
        <v>1.03611352561943</v>
      </c>
      <c r="AB50" s="8">
        <v>49.914738993470003</v>
      </c>
      <c r="AC50" s="8">
        <v>49.803807558330703</v>
      </c>
      <c r="AD50" s="8">
        <v>49.717580377273698</v>
      </c>
      <c r="AE50" s="9">
        <v>-9.0635550259209096E-4</v>
      </c>
      <c r="AF50" s="9">
        <v>-3.13124715486242E-3</v>
      </c>
      <c r="AG50" s="9">
        <v>-4.8640847774491401E-3</v>
      </c>
      <c r="AZ50" s="9"/>
      <c r="BB50">
        <f t="shared" si="2"/>
        <v>1</v>
      </c>
      <c r="BC50">
        <f t="shared" si="3"/>
        <v>0</v>
      </c>
      <c r="BD50">
        <f t="shared" si="4"/>
        <v>1</v>
      </c>
      <c r="BE50">
        <f t="shared" si="0"/>
        <v>1</v>
      </c>
      <c r="BF50">
        <f t="shared" si="5"/>
        <v>1</v>
      </c>
      <c r="BG50" s="9">
        <f t="shared" si="6"/>
        <v>-1.6652793190612E-3</v>
      </c>
      <c r="BH50" s="9">
        <f t="shared" si="7"/>
        <v>1.2002401920961001E-3</v>
      </c>
      <c r="BI50" s="9">
        <f t="shared" si="8"/>
        <v>-4.6503912696509988E-4</v>
      </c>
      <c r="BJ50" s="12">
        <f t="shared" si="9"/>
        <v>-4.4149761296350485E-3</v>
      </c>
      <c r="BL50" s="9"/>
      <c r="BN50">
        <f t="shared" si="10"/>
        <v>0</v>
      </c>
      <c r="BO50">
        <f t="shared" si="11"/>
        <v>1</v>
      </c>
      <c r="BP50">
        <f t="shared" si="12"/>
        <v>0</v>
      </c>
      <c r="BQ50">
        <f t="shared" si="1"/>
        <v>1</v>
      </c>
      <c r="BR50">
        <f t="shared" si="13"/>
        <v>0</v>
      </c>
      <c r="BS50" s="9">
        <f t="shared" si="14"/>
        <v>0</v>
      </c>
      <c r="BT50" s="9">
        <f t="shared" si="15"/>
        <v>0</v>
      </c>
      <c r="BU50" s="9">
        <f t="shared" si="16"/>
        <v>0</v>
      </c>
      <c r="BV50" s="12">
        <f t="shared" si="17"/>
        <v>0</v>
      </c>
      <c r="BX50" s="12">
        <f t="shared" si="18"/>
        <v>-4.6503912696509988E-4</v>
      </c>
      <c r="BY50" s="12">
        <f t="shared" si="19"/>
        <v>-4.4149761296350485E-3</v>
      </c>
    </row>
    <row r="51" spans="1:77" x14ac:dyDescent="0.3">
      <c r="A51" s="1">
        <v>46097</v>
      </c>
      <c r="B51" s="8">
        <v>48.22</v>
      </c>
      <c r="C51" s="8">
        <v>50.13</v>
      </c>
      <c r="D51" s="9">
        <v>4.5728618451341104E-3</v>
      </c>
      <c r="E51" s="9">
        <v>3.39694601803509E-3</v>
      </c>
      <c r="F51" s="8">
        <v>0</v>
      </c>
      <c r="G51" s="8">
        <v>0.2122</v>
      </c>
      <c r="H51" s="8">
        <v>0</v>
      </c>
      <c r="I51" s="8">
        <v>0.107</v>
      </c>
      <c r="J51" s="8">
        <v>0</v>
      </c>
      <c r="K51" s="8">
        <v>0</v>
      </c>
      <c r="L51" s="8">
        <v>48.22</v>
      </c>
      <c r="M51" s="8">
        <v>50.13</v>
      </c>
      <c r="N51" s="10">
        <v>1.03961012028204</v>
      </c>
      <c r="O51" s="10">
        <v>1.03989039569729</v>
      </c>
      <c r="P51" s="10">
        <v>1.0387140225612701</v>
      </c>
      <c r="Q51" s="10">
        <v>1.0363423414061199</v>
      </c>
      <c r="R51" s="8">
        <v>50.143514880523398</v>
      </c>
      <c r="S51" s="8">
        <v>50.066279847038103</v>
      </c>
      <c r="T51" s="8">
        <v>49.961394205368997</v>
      </c>
      <c r="U51" s="9">
        <v>2.6956032450671898E-4</v>
      </c>
      <c r="V51" s="9">
        <v>-1.2719067344485601E-3</v>
      </c>
      <c r="W51" s="9">
        <v>-3.3690399748856799E-3</v>
      </c>
      <c r="X51" s="10">
        <v>1.03961012028204</v>
      </c>
      <c r="Y51" s="10">
        <v>1.03989039569729</v>
      </c>
      <c r="Z51" s="10">
        <v>1.0387140225612701</v>
      </c>
      <c r="AA51" s="10">
        <v>1.0363423414061199</v>
      </c>
      <c r="AB51" s="8">
        <v>50.143514880523398</v>
      </c>
      <c r="AC51" s="8">
        <v>50.066279847038103</v>
      </c>
      <c r="AD51" s="8">
        <v>49.961394205368997</v>
      </c>
      <c r="AE51" s="9">
        <v>2.6956032450671898E-4</v>
      </c>
      <c r="AF51" s="9">
        <v>-1.2719067344485601E-3</v>
      </c>
      <c r="AG51" s="9">
        <v>-3.3690399748856799E-3</v>
      </c>
      <c r="AZ51" s="9"/>
      <c r="BB51">
        <f t="shared" si="2"/>
        <v>1</v>
      </c>
      <c r="BC51">
        <f t="shared" si="3"/>
        <v>0</v>
      </c>
      <c r="BD51">
        <f t="shared" si="4"/>
        <v>1</v>
      </c>
      <c r="BE51">
        <f t="shared" si="0"/>
        <v>1</v>
      </c>
      <c r="BF51">
        <f t="shared" si="5"/>
        <v>1</v>
      </c>
      <c r="BG51" s="9">
        <f t="shared" si="6"/>
        <v>4.5728618451341104E-3</v>
      </c>
      <c r="BH51" s="9">
        <f t="shared" si="7"/>
        <v>-3.39694601803509E-3</v>
      </c>
      <c r="BI51" s="9">
        <f t="shared" si="8"/>
        <v>1.1759158270990204E-3</v>
      </c>
      <c r="BJ51" s="12">
        <f t="shared" si="9"/>
        <v>-3.2390603025360281E-3</v>
      </c>
      <c r="BL51" s="9"/>
      <c r="BN51">
        <f t="shared" si="10"/>
        <v>0</v>
      </c>
      <c r="BO51">
        <f t="shared" si="11"/>
        <v>1</v>
      </c>
      <c r="BP51">
        <f t="shared" si="12"/>
        <v>0</v>
      </c>
      <c r="BQ51">
        <f t="shared" si="1"/>
        <v>1</v>
      </c>
      <c r="BR51">
        <f t="shared" si="13"/>
        <v>0</v>
      </c>
      <c r="BS51" s="9">
        <f t="shared" si="14"/>
        <v>0</v>
      </c>
      <c r="BT51" s="9">
        <f t="shared" si="15"/>
        <v>0</v>
      </c>
      <c r="BU51" s="9">
        <f t="shared" si="16"/>
        <v>0</v>
      </c>
      <c r="BV51" s="12">
        <f t="shared" si="17"/>
        <v>0</v>
      </c>
      <c r="BX51" s="12">
        <f t="shared" si="18"/>
        <v>1.1759158270990204E-3</v>
      </c>
      <c r="BY51" s="12">
        <f t="shared" si="19"/>
        <v>-3.2390603025360281E-3</v>
      </c>
    </row>
    <row r="52" spans="1:77" x14ac:dyDescent="0.3">
      <c r="A52" s="1">
        <v>46098</v>
      </c>
      <c r="B52" s="8">
        <v>48.3</v>
      </c>
      <c r="C52" s="8">
        <v>50.14</v>
      </c>
      <c r="D52" s="9">
        <v>1.65768790550198E-3</v>
      </c>
      <c r="E52" s="9">
        <v>1.9946145473516999E-4</v>
      </c>
      <c r="F52" s="8">
        <v>0</v>
      </c>
      <c r="G52" s="8">
        <v>0.2122</v>
      </c>
      <c r="H52" s="8">
        <v>0</v>
      </c>
      <c r="I52" s="8">
        <v>0.107</v>
      </c>
      <c r="J52" s="8">
        <v>0</v>
      </c>
      <c r="K52" s="8">
        <v>0</v>
      </c>
      <c r="L52" s="8">
        <v>48.3</v>
      </c>
      <c r="M52" s="8">
        <v>50.14</v>
      </c>
      <c r="N52" s="10">
        <v>1.03809523809523</v>
      </c>
      <c r="O52" s="10">
        <v>1.03989039569729</v>
      </c>
      <c r="P52" s="10">
        <v>1.0388987255639099</v>
      </c>
      <c r="Q52" s="10">
        <v>1.03652931189984</v>
      </c>
      <c r="R52" s="8">
        <v>50.226706112179201</v>
      </c>
      <c r="S52" s="8">
        <v>50.1698872897096</v>
      </c>
      <c r="T52" s="8">
        <v>50.055335089915602</v>
      </c>
      <c r="U52" s="9">
        <v>1.72778677527349E-3</v>
      </c>
      <c r="V52" s="9">
        <v>5.9589919601275995E-4</v>
      </c>
      <c r="W52" s="9">
        <v>-1.68999744667194E-3</v>
      </c>
      <c r="X52" s="10">
        <v>1.03809523809523</v>
      </c>
      <c r="Y52" s="10">
        <v>1.03989039569729</v>
      </c>
      <c r="Z52" s="10">
        <v>1.0388987255639099</v>
      </c>
      <c r="AA52" s="10">
        <v>1.03652931189984</v>
      </c>
      <c r="AB52" s="8">
        <v>50.226706112179201</v>
      </c>
      <c r="AC52" s="8">
        <v>50.1698872897096</v>
      </c>
      <c r="AD52" s="8">
        <v>50.055335089915602</v>
      </c>
      <c r="AE52" s="9">
        <v>1.72778677527349E-3</v>
      </c>
      <c r="AF52" s="9">
        <v>5.9589919601275995E-4</v>
      </c>
      <c r="AG52" s="9">
        <v>-1.68999744667194E-3</v>
      </c>
      <c r="AZ52" s="9"/>
      <c r="BB52">
        <f t="shared" si="2"/>
        <v>1</v>
      </c>
      <c r="BC52">
        <f t="shared" si="3"/>
        <v>0</v>
      </c>
      <c r="BD52">
        <f t="shared" si="4"/>
        <v>1</v>
      </c>
      <c r="BE52">
        <f t="shared" si="0"/>
        <v>1</v>
      </c>
      <c r="BF52">
        <f t="shared" si="5"/>
        <v>1</v>
      </c>
      <c r="BG52" s="9">
        <f t="shared" si="6"/>
        <v>1.65768790550198E-3</v>
      </c>
      <c r="BH52" s="9">
        <f t="shared" si="7"/>
        <v>-1.9946145473516999E-4</v>
      </c>
      <c r="BI52" s="9">
        <f t="shared" si="8"/>
        <v>1.4582264507668099E-3</v>
      </c>
      <c r="BJ52" s="12">
        <f t="shared" si="9"/>
        <v>-1.7808338517692182E-3</v>
      </c>
      <c r="BL52" s="9"/>
      <c r="BN52">
        <f t="shared" si="10"/>
        <v>0</v>
      </c>
      <c r="BO52">
        <f t="shared" si="11"/>
        <v>1</v>
      </c>
      <c r="BP52">
        <f t="shared" si="12"/>
        <v>0</v>
      </c>
      <c r="BQ52">
        <f t="shared" si="1"/>
        <v>1</v>
      </c>
      <c r="BR52">
        <f t="shared" si="13"/>
        <v>0</v>
      </c>
      <c r="BS52" s="9">
        <f t="shared" si="14"/>
        <v>0</v>
      </c>
      <c r="BT52" s="9">
        <f t="shared" si="15"/>
        <v>0</v>
      </c>
      <c r="BU52" s="9">
        <f t="shared" si="16"/>
        <v>0</v>
      </c>
      <c r="BV52" s="12">
        <f t="shared" si="17"/>
        <v>0</v>
      </c>
      <c r="BX52" s="12">
        <f t="shared" si="18"/>
        <v>1.4582264507668099E-3</v>
      </c>
      <c r="BY52" s="12">
        <f t="shared" si="19"/>
        <v>-1.7808338517692182E-3</v>
      </c>
    </row>
    <row r="53" spans="1:77" x14ac:dyDescent="0.3">
      <c r="A53" s="1">
        <v>46099</v>
      </c>
      <c r="B53" s="8">
        <v>48.11</v>
      </c>
      <c r="C53" s="8">
        <v>50.04</v>
      </c>
      <c r="D53" s="9">
        <v>-3.9415049471646299E-3</v>
      </c>
      <c r="E53" s="9">
        <v>-1.9964071314369498E-3</v>
      </c>
      <c r="F53" s="8">
        <v>0</v>
      </c>
      <c r="G53" s="8">
        <v>0.2122</v>
      </c>
      <c r="H53" s="8">
        <v>0</v>
      </c>
      <c r="I53" s="8">
        <v>0.107</v>
      </c>
      <c r="J53" s="8">
        <v>0</v>
      </c>
      <c r="K53" s="8">
        <v>0</v>
      </c>
      <c r="L53" s="8">
        <v>48.11</v>
      </c>
      <c r="M53" s="8">
        <v>50.04</v>
      </c>
      <c r="N53" s="10">
        <v>1.0401163999168499</v>
      </c>
      <c r="O53" s="10">
        <v>1.03989039569729</v>
      </c>
      <c r="P53" s="10">
        <v>1.0391580588096501</v>
      </c>
      <c r="Q53" s="10">
        <v>1.03683779038239</v>
      </c>
      <c r="R53" s="8">
        <v>50.029126936996697</v>
      </c>
      <c r="S53" s="8">
        <v>49.9814176868801</v>
      </c>
      <c r="T53" s="8">
        <v>49.867425195501298</v>
      </c>
      <c r="U53" s="9">
        <v>-2.1731104045414099E-4</v>
      </c>
      <c r="V53" s="9">
        <v>-1.1713955105493101E-3</v>
      </c>
      <c r="W53" s="9">
        <v>-3.4546977023980699E-3</v>
      </c>
      <c r="X53" s="10">
        <v>1.0401163999168499</v>
      </c>
      <c r="Y53" s="10">
        <v>1.03989039569729</v>
      </c>
      <c r="Z53" s="10">
        <v>1.0391580588096501</v>
      </c>
      <c r="AA53" s="10">
        <v>1.03683779038239</v>
      </c>
      <c r="AB53" s="8">
        <v>50.029126936996697</v>
      </c>
      <c r="AC53" s="8">
        <v>49.9814176868801</v>
      </c>
      <c r="AD53" s="8">
        <v>49.867425195501298</v>
      </c>
      <c r="AE53" s="9">
        <v>-2.1731104045414099E-4</v>
      </c>
      <c r="AF53" s="9">
        <v>-1.1713955105493101E-3</v>
      </c>
      <c r="AG53" s="9">
        <v>-3.4546977023980699E-3</v>
      </c>
      <c r="AZ53" s="9"/>
      <c r="BB53">
        <f t="shared" si="2"/>
        <v>1</v>
      </c>
      <c r="BC53">
        <f t="shared" si="3"/>
        <v>0</v>
      </c>
      <c r="BD53">
        <f t="shared" si="4"/>
        <v>1</v>
      </c>
      <c r="BE53">
        <f t="shared" si="0"/>
        <v>1</v>
      </c>
      <c r="BF53">
        <f t="shared" si="5"/>
        <v>1</v>
      </c>
      <c r="BG53" s="9">
        <f t="shared" si="6"/>
        <v>-3.9415049471646299E-3</v>
      </c>
      <c r="BH53" s="9">
        <f t="shared" si="7"/>
        <v>1.9964071314369498E-3</v>
      </c>
      <c r="BI53" s="9">
        <f t="shared" si="8"/>
        <v>-1.9450978157276801E-3</v>
      </c>
      <c r="BJ53" s="12">
        <f t="shared" si="9"/>
        <v>-3.7259316674968981E-3</v>
      </c>
      <c r="BL53" s="9"/>
      <c r="BN53">
        <f t="shared" si="10"/>
        <v>0</v>
      </c>
      <c r="BO53">
        <f t="shared" si="11"/>
        <v>1</v>
      </c>
      <c r="BP53">
        <f t="shared" si="12"/>
        <v>0</v>
      </c>
      <c r="BQ53">
        <f t="shared" si="1"/>
        <v>1</v>
      </c>
      <c r="BR53">
        <f t="shared" si="13"/>
        <v>0</v>
      </c>
      <c r="BS53" s="9">
        <f t="shared" si="14"/>
        <v>0</v>
      </c>
      <c r="BT53" s="9">
        <f t="shared" si="15"/>
        <v>0</v>
      </c>
      <c r="BU53" s="9">
        <f t="shared" si="16"/>
        <v>0</v>
      </c>
      <c r="BV53" s="12">
        <f t="shared" si="17"/>
        <v>0</v>
      </c>
      <c r="BX53" s="12">
        <f t="shared" si="18"/>
        <v>-1.9450978157276801E-3</v>
      </c>
      <c r="BY53" s="12">
        <f t="shared" si="19"/>
        <v>-3.7259316674968981E-3</v>
      </c>
    </row>
    <row r="54" spans="1:77" x14ac:dyDescent="0.3">
      <c r="A54" s="1">
        <v>46100</v>
      </c>
      <c r="B54" s="8">
        <v>48.13</v>
      </c>
      <c r="C54" s="8">
        <v>50.08</v>
      </c>
      <c r="D54" s="9">
        <v>4.1562760365565298E-4</v>
      </c>
      <c r="E54" s="9">
        <v>7.9904119313276402E-4</v>
      </c>
      <c r="F54" s="8">
        <v>0</v>
      </c>
      <c r="G54" s="8">
        <v>0.2122</v>
      </c>
      <c r="H54" s="8">
        <v>0</v>
      </c>
      <c r="I54" s="8">
        <v>0.107</v>
      </c>
      <c r="J54" s="8">
        <v>0</v>
      </c>
      <c r="K54" s="8">
        <v>0</v>
      </c>
      <c r="L54" s="8">
        <v>48.13</v>
      </c>
      <c r="M54" s="8">
        <v>50.08</v>
      </c>
      <c r="N54" s="10">
        <v>1.04051527114066</v>
      </c>
      <c r="O54" s="10">
        <v>1.03989039569729</v>
      </c>
      <c r="P54" s="10">
        <v>1.0394426036264699</v>
      </c>
      <c r="Q54" s="10">
        <v>1.03715703442174</v>
      </c>
      <c r="R54" s="8">
        <v>50.049924744910697</v>
      </c>
      <c r="S54" s="8">
        <v>50.014677370508601</v>
      </c>
      <c r="T54" s="8">
        <v>49.903002851104503</v>
      </c>
      <c r="U54" s="9">
        <v>-6.00724629930969E-4</v>
      </c>
      <c r="V54" s="9">
        <v>-1.3052170301351301E-3</v>
      </c>
      <c r="W54" s="9">
        <v>-3.5405484681118801E-3</v>
      </c>
      <c r="X54" s="10">
        <v>1.04051527114066</v>
      </c>
      <c r="Y54" s="10">
        <v>1.03989039569729</v>
      </c>
      <c r="Z54" s="10">
        <v>1.0394426036264699</v>
      </c>
      <c r="AA54" s="10">
        <v>1.03715703442174</v>
      </c>
      <c r="AB54" s="8">
        <v>50.049924744910697</v>
      </c>
      <c r="AC54" s="8">
        <v>50.014677370508601</v>
      </c>
      <c r="AD54" s="8">
        <v>49.903002851104503</v>
      </c>
      <c r="AE54" s="9">
        <v>-6.00724629930969E-4</v>
      </c>
      <c r="AF54" s="9">
        <v>-1.3052170301351301E-3</v>
      </c>
      <c r="AG54" s="9">
        <v>-3.5405484681118801E-3</v>
      </c>
      <c r="AZ54" s="9"/>
      <c r="BB54">
        <f t="shared" si="2"/>
        <v>1</v>
      </c>
      <c r="BC54">
        <f t="shared" si="3"/>
        <v>0</v>
      </c>
      <c r="BD54">
        <f t="shared" si="4"/>
        <v>1</v>
      </c>
      <c r="BE54">
        <f t="shared" si="0"/>
        <v>1</v>
      </c>
      <c r="BF54">
        <f t="shared" si="5"/>
        <v>1</v>
      </c>
      <c r="BG54" s="9">
        <f t="shared" si="6"/>
        <v>4.1562760365565298E-4</v>
      </c>
      <c r="BH54" s="9">
        <f t="shared" si="7"/>
        <v>-7.9904119313276402E-4</v>
      </c>
      <c r="BI54" s="9">
        <f t="shared" si="8"/>
        <v>-3.8341358947711104E-4</v>
      </c>
      <c r="BJ54" s="12">
        <f t="shared" si="9"/>
        <v>-4.1093452569740093E-3</v>
      </c>
      <c r="BL54" s="9"/>
      <c r="BN54">
        <f t="shared" si="10"/>
        <v>0</v>
      </c>
      <c r="BO54">
        <f t="shared" si="11"/>
        <v>1</v>
      </c>
      <c r="BP54">
        <f t="shared" si="12"/>
        <v>0</v>
      </c>
      <c r="BQ54">
        <f t="shared" si="1"/>
        <v>1</v>
      </c>
      <c r="BR54">
        <f t="shared" si="13"/>
        <v>0</v>
      </c>
      <c r="BS54" s="9">
        <f t="shared" si="14"/>
        <v>0</v>
      </c>
      <c r="BT54" s="9">
        <f t="shared" si="15"/>
        <v>0</v>
      </c>
      <c r="BU54" s="9">
        <f t="shared" si="16"/>
        <v>0</v>
      </c>
      <c r="BV54" s="12">
        <f t="shared" si="17"/>
        <v>0</v>
      </c>
      <c r="BX54" s="12">
        <f t="shared" si="18"/>
        <v>-3.8341358947711104E-4</v>
      </c>
      <c r="BY54" s="12">
        <f t="shared" si="19"/>
        <v>-4.1093452569740093E-3</v>
      </c>
    </row>
    <row r="55" spans="1:77" x14ac:dyDescent="0.3">
      <c r="A55" s="1">
        <v>46101</v>
      </c>
      <c r="B55" s="8">
        <v>47.81</v>
      </c>
      <c r="C55" s="8">
        <v>49.74</v>
      </c>
      <c r="D55" s="9">
        <v>-6.6708606770059901E-3</v>
      </c>
      <c r="E55" s="9">
        <v>-6.8122884165843804E-3</v>
      </c>
      <c r="F55" s="8">
        <v>0</v>
      </c>
      <c r="G55" s="8">
        <v>0.2122</v>
      </c>
      <c r="H55" s="8">
        <v>0</v>
      </c>
      <c r="I55" s="8">
        <v>0.107</v>
      </c>
      <c r="J55" s="8">
        <v>0</v>
      </c>
      <c r="K55" s="8">
        <v>0</v>
      </c>
      <c r="L55" s="8">
        <v>47.81</v>
      </c>
      <c r="M55" s="8">
        <v>49.74</v>
      </c>
      <c r="N55" s="10">
        <v>1.0403681238234599</v>
      </c>
      <c r="O55" s="10">
        <v>1.03989039569729</v>
      </c>
      <c r="P55" s="10">
        <v>1.03955703780899</v>
      </c>
      <c r="Q55" s="10">
        <v>1.0374604549044599</v>
      </c>
      <c r="R55" s="8">
        <v>49.717159818287598</v>
      </c>
      <c r="S55" s="8">
        <v>49.695750879381897</v>
      </c>
      <c r="T55" s="8">
        <v>49.586477815703702</v>
      </c>
      <c r="U55" s="9">
        <v>-4.59296890352632E-4</v>
      </c>
      <c r="V55" s="9">
        <v>-8.9000431228354496E-4</v>
      </c>
      <c r="W55" s="9">
        <v>-3.0912664966345101E-3</v>
      </c>
      <c r="X55" s="10">
        <v>1.0403681238234599</v>
      </c>
      <c r="Y55" s="10">
        <v>1.03989039569729</v>
      </c>
      <c r="Z55" s="10">
        <v>1.03955703780899</v>
      </c>
      <c r="AA55" s="10">
        <v>1.0374604549044599</v>
      </c>
      <c r="AB55" s="8">
        <v>49.717159818287598</v>
      </c>
      <c r="AC55" s="8">
        <v>49.695750879381897</v>
      </c>
      <c r="AD55" s="8">
        <v>49.586477815703702</v>
      </c>
      <c r="AE55" s="9">
        <v>-4.59296890352632E-4</v>
      </c>
      <c r="AF55" s="9">
        <v>-8.9000431228354496E-4</v>
      </c>
      <c r="AG55" s="9">
        <v>-3.0912664966345101E-3</v>
      </c>
      <c r="AZ55" s="9"/>
      <c r="BB55">
        <f t="shared" si="2"/>
        <v>1</v>
      </c>
      <c r="BC55">
        <f t="shared" si="3"/>
        <v>0</v>
      </c>
      <c r="BD55">
        <f t="shared" si="4"/>
        <v>1</v>
      </c>
      <c r="BE55">
        <f t="shared" si="0"/>
        <v>1</v>
      </c>
      <c r="BF55">
        <f t="shared" si="5"/>
        <v>1</v>
      </c>
      <c r="BG55" s="9">
        <f t="shared" si="6"/>
        <v>-6.6708606770059901E-3</v>
      </c>
      <c r="BH55" s="9">
        <f t="shared" si="7"/>
        <v>6.8122884165843804E-3</v>
      </c>
      <c r="BI55" s="9">
        <f t="shared" si="8"/>
        <v>1.4142773957839024E-4</v>
      </c>
      <c r="BJ55" s="12">
        <f t="shared" si="9"/>
        <v>-3.967917517395619E-3</v>
      </c>
      <c r="BL55" s="9"/>
      <c r="BN55">
        <f t="shared" si="10"/>
        <v>0</v>
      </c>
      <c r="BO55">
        <f t="shared" si="11"/>
        <v>1</v>
      </c>
      <c r="BP55">
        <f t="shared" si="12"/>
        <v>0</v>
      </c>
      <c r="BQ55">
        <f t="shared" si="1"/>
        <v>1</v>
      </c>
      <c r="BR55">
        <f t="shared" si="13"/>
        <v>0</v>
      </c>
      <c r="BS55" s="9">
        <f t="shared" si="14"/>
        <v>0</v>
      </c>
      <c r="BT55" s="9">
        <f t="shared" si="15"/>
        <v>0</v>
      </c>
      <c r="BU55" s="9">
        <f t="shared" si="16"/>
        <v>0</v>
      </c>
      <c r="BV55" s="12">
        <f t="shared" si="17"/>
        <v>0</v>
      </c>
      <c r="BX55" s="12">
        <f t="shared" si="18"/>
        <v>1.4142773957839024E-4</v>
      </c>
      <c r="BY55" s="12">
        <f t="shared" si="19"/>
        <v>-3.967917517395619E-3</v>
      </c>
    </row>
    <row r="56" spans="1:77" x14ac:dyDescent="0.3">
      <c r="A56" s="1">
        <v>46104</v>
      </c>
      <c r="B56" s="8">
        <v>48.01</v>
      </c>
      <c r="C56" s="8">
        <v>49.95</v>
      </c>
      <c r="D56" s="9">
        <v>4.1744999048368399E-3</v>
      </c>
      <c r="E56" s="9">
        <v>4.2130667193039997E-3</v>
      </c>
      <c r="F56" s="8">
        <v>0</v>
      </c>
      <c r="G56" s="8">
        <v>0.2122</v>
      </c>
      <c r="H56" s="8">
        <v>0</v>
      </c>
      <c r="I56" s="8">
        <v>0.107</v>
      </c>
      <c r="J56" s="8">
        <v>0</v>
      </c>
      <c r="K56" s="8">
        <v>0</v>
      </c>
      <c r="L56" s="8">
        <v>48.01</v>
      </c>
      <c r="M56" s="8">
        <v>49.95</v>
      </c>
      <c r="N56" s="10">
        <v>1.0404082482815999</v>
      </c>
      <c r="O56" s="10">
        <v>1.03989039569729</v>
      </c>
      <c r="P56" s="10">
        <v>1.03976360166003</v>
      </c>
      <c r="Q56" s="10">
        <v>1.0377995956657999</v>
      </c>
      <c r="R56" s="8">
        <v>49.925137897427</v>
      </c>
      <c r="S56" s="8">
        <v>49.9091333852096</v>
      </c>
      <c r="T56" s="8">
        <v>49.8084764399634</v>
      </c>
      <c r="U56" s="9">
        <v>-4.9786370481975201E-4</v>
      </c>
      <c r="V56" s="9">
        <v>-8.1848531399071004E-4</v>
      </c>
      <c r="W56" s="9">
        <v>-2.8373259101512E-3</v>
      </c>
      <c r="X56" s="10">
        <v>1.0404082482815999</v>
      </c>
      <c r="Y56" s="10">
        <v>1.03989039569729</v>
      </c>
      <c r="Z56" s="10">
        <v>1.03976360166003</v>
      </c>
      <c r="AA56" s="10">
        <v>1.0377995956657999</v>
      </c>
      <c r="AB56" s="8">
        <v>49.925137897427</v>
      </c>
      <c r="AC56" s="8">
        <v>49.9091333852096</v>
      </c>
      <c r="AD56" s="8">
        <v>49.8084764399634</v>
      </c>
      <c r="AE56" s="9">
        <v>-4.9786370481975201E-4</v>
      </c>
      <c r="AF56" s="9">
        <v>-8.1848531399071004E-4</v>
      </c>
      <c r="AG56" s="9">
        <v>-2.8373259101512E-3</v>
      </c>
      <c r="AZ56" s="9"/>
      <c r="BB56">
        <f t="shared" si="2"/>
        <v>1</v>
      </c>
      <c r="BC56">
        <f t="shared" si="3"/>
        <v>0</v>
      </c>
      <c r="BD56">
        <f t="shared" si="4"/>
        <v>1</v>
      </c>
      <c r="BE56">
        <f t="shared" si="0"/>
        <v>1</v>
      </c>
      <c r="BF56">
        <f t="shared" si="5"/>
        <v>1</v>
      </c>
      <c r="BG56" s="9">
        <f t="shared" si="6"/>
        <v>4.1744999048368399E-3</v>
      </c>
      <c r="BH56" s="9">
        <f t="shared" si="7"/>
        <v>-4.2130667193039997E-3</v>
      </c>
      <c r="BI56" s="9">
        <f t="shared" si="8"/>
        <v>-3.8566814467159809E-5</v>
      </c>
      <c r="BJ56" s="12">
        <f t="shared" si="9"/>
        <v>-4.0064843318627788E-3</v>
      </c>
      <c r="BL56" s="9"/>
      <c r="BN56">
        <f t="shared" si="10"/>
        <v>0</v>
      </c>
      <c r="BO56">
        <f t="shared" si="11"/>
        <v>1</v>
      </c>
      <c r="BP56">
        <f t="shared" si="12"/>
        <v>0</v>
      </c>
      <c r="BQ56">
        <f t="shared" si="1"/>
        <v>1</v>
      </c>
      <c r="BR56">
        <f t="shared" si="13"/>
        <v>0</v>
      </c>
      <c r="BS56" s="9">
        <f t="shared" si="14"/>
        <v>0</v>
      </c>
      <c r="BT56" s="9">
        <f t="shared" si="15"/>
        <v>0</v>
      </c>
      <c r="BU56" s="9">
        <f t="shared" si="16"/>
        <v>0</v>
      </c>
      <c r="BV56" s="12">
        <f t="shared" si="17"/>
        <v>0</v>
      </c>
      <c r="BX56" s="12">
        <f t="shared" si="18"/>
        <v>-3.8566814467159809E-5</v>
      </c>
      <c r="BY56" s="12">
        <f t="shared" si="19"/>
        <v>-4.0064843318627788E-3</v>
      </c>
    </row>
    <row r="57" spans="1:77" x14ac:dyDescent="0.3">
      <c r="A57" s="1">
        <v>46105</v>
      </c>
      <c r="B57" s="8">
        <v>47.83</v>
      </c>
      <c r="C57" s="8">
        <v>49.76</v>
      </c>
      <c r="D57" s="9">
        <v>-3.7562648506434498E-3</v>
      </c>
      <c r="E57" s="9">
        <v>-3.8110566636385601E-3</v>
      </c>
      <c r="F57" s="8">
        <v>0</v>
      </c>
      <c r="G57" s="8">
        <v>0.2122</v>
      </c>
      <c r="H57" s="8">
        <v>0</v>
      </c>
      <c r="I57" s="8">
        <v>0.107</v>
      </c>
      <c r="J57" s="8">
        <v>0</v>
      </c>
      <c r="K57" s="8">
        <v>0</v>
      </c>
      <c r="L57" s="8">
        <v>47.83</v>
      </c>
      <c r="M57" s="8">
        <v>49.76</v>
      </c>
      <c r="N57" s="10">
        <v>1.04035124398912</v>
      </c>
      <c r="O57" s="10">
        <v>1.03989039569729</v>
      </c>
      <c r="P57" s="10">
        <v>1.0400025634841501</v>
      </c>
      <c r="Q57" s="10">
        <v>1.03815694193533</v>
      </c>
      <c r="R57" s="8">
        <v>49.737957626201499</v>
      </c>
      <c r="S57" s="8">
        <v>49.731893067399298</v>
      </c>
      <c r="T57" s="8">
        <v>49.637954660695499</v>
      </c>
      <c r="U57" s="9">
        <v>-4.4307189182442801E-4</v>
      </c>
      <c r="V57" s="9">
        <v>-5.6500951950531203E-4</v>
      </c>
      <c r="W57" s="9">
        <v>-2.4556923943389098E-3</v>
      </c>
      <c r="X57" s="10">
        <v>1.04035124398912</v>
      </c>
      <c r="Y57" s="10">
        <v>1.03989039569729</v>
      </c>
      <c r="Z57" s="10">
        <v>1.0400025634841501</v>
      </c>
      <c r="AA57" s="10">
        <v>1.03815694193533</v>
      </c>
      <c r="AB57" s="8">
        <v>49.737957626201499</v>
      </c>
      <c r="AC57" s="8">
        <v>49.731893067399298</v>
      </c>
      <c r="AD57" s="8">
        <v>49.637954660695499</v>
      </c>
      <c r="AE57" s="9">
        <v>-4.4307189182442801E-4</v>
      </c>
      <c r="AF57" s="9">
        <v>-5.6500951950531203E-4</v>
      </c>
      <c r="AG57" s="9">
        <v>-2.4556923943389098E-3</v>
      </c>
      <c r="AZ57" s="9"/>
      <c r="BB57">
        <f t="shared" si="2"/>
        <v>1</v>
      </c>
      <c r="BC57">
        <f t="shared" si="3"/>
        <v>0</v>
      </c>
      <c r="BD57">
        <f t="shared" si="4"/>
        <v>1</v>
      </c>
      <c r="BE57">
        <f t="shared" si="0"/>
        <v>1</v>
      </c>
      <c r="BF57">
        <f t="shared" si="5"/>
        <v>1</v>
      </c>
      <c r="BG57" s="9">
        <f t="shared" si="6"/>
        <v>-3.7562648506434498E-3</v>
      </c>
      <c r="BH57" s="9">
        <f t="shared" si="7"/>
        <v>3.8110566636385601E-3</v>
      </c>
      <c r="BI57" s="9">
        <f t="shared" si="8"/>
        <v>5.479181299511025E-5</v>
      </c>
      <c r="BJ57" s="12">
        <f t="shared" si="9"/>
        <v>-3.951692518867669E-3</v>
      </c>
      <c r="BL57" s="9"/>
      <c r="BN57">
        <f t="shared" si="10"/>
        <v>0</v>
      </c>
      <c r="BO57">
        <f t="shared" si="11"/>
        <v>1</v>
      </c>
      <c r="BP57">
        <f t="shared" si="12"/>
        <v>0</v>
      </c>
      <c r="BQ57">
        <f t="shared" si="1"/>
        <v>1</v>
      </c>
      <c r="BR57">
        <f t="shared" si="13"/>
        <v>0</v>
      </c>
      <c r="BS57" s="9">
        <f t="shared" si="14"/>
        <v>0</v>
      </c>
      <c r="BT57" s="9">
        <f t="shared" si="15"/>
        <v>0</v>
      </c>
      <c r="BU57" s="9">
        <f t="shared" si="16"/>
        <v>0</v>
      </c>
      <c r="BV57" s="12">
        <f t="shared" si="17"/>
        <v>0</v>
      </c>
      <c r="BX57" s="12">
        <f t="shared" si="18"/>
        <v>5.479181299511025E-5</v>
      </c>
      <c r="BY57" s="12">
        <f t="shared" si="19"/>
        <v>-3.951692518867669E-3</v>
      </c>
    </row>
    <row r="58" spans="1:77" x14ac:dyDescent="0.3">
      <c r="A58" s="1">
        <v>46106</v>
      </c>
      <c r="B58" s="8">
        <v>48.08</v>
      </c>
      <c r="C58" s="8">
        <v>50.01</v>
      </c>
      <c r="D58" s="9">
        <v>5.2132325347466696E-3</v>
      </c>
      <c r="E58" s="9">
        <v>5.0115369998883098E-3</v>
      </c>
      <c r="F58" s="8">
        <v>0</v>
      </c>
      <c r="G58" s="8">
        <v>0.2122</v>
      </c>
      <c r="H58" s="8">
        <v>0</v>
      </c>
      <c r="I58" s="8">
        <v>0.107</v>
      </c>
      <c r="J58" s="8">
        <v>0</v>
      </c>
      <c r="K58" s="8">
        <v>0</v>
      </c>
      <c r="L58" s="8">
        <v>48.08</v>
      </c>
      <c r="M58" s="8">
        <v>50.01</v>
      </c>
      <c r="N58" s="10">
        <v>1.0401414309484101</v>
      </c>
      <c r="O58" s="10">
        <v>1.03989039569729</v>
      </c>
      <c r="P58" s="10">
        <v>1.0400788827448</v>
      </c>
      <c r="Q58" s="10">
        <v>1.0384711723650699</v>
      </c>
      <c r="R58" s="8">
        <v>49.997930225125799</v>
      </c>
      <c r="S58" s="8">
        <v>50.003323252318197</v>
      </c>
      <c r="T58" s="8">
        <v>49.914585768251001</v>
      </c>
      <c r="U58" s="9">
        <v>-2.4137635696616199E-4</v>
      </c>
      <c r="V58" s="9">
        <v>-1.33517165003762E-4</v>
      </c>
      <c r="W58" s="9">
        <v>-1.9097254196997599E-3</v>
      </c>
      <c r="X58" s="10">
        <v>1.0401414309484101</v>
      </c>
      <c r="Y58" s="10">
        <v>1.03989039569729</v>
      </c>
      <c r="Z58" s="10">
        <v>1.0400788827448</v>
      </c>
      <c r="AA58" s="10">
        <v>1.0384711723650699</v>
      </c>
      <c r="AB58" s="8">
        <v>49.997930225125799</v>
      </c>
      <c r="AC58" s="8">
        <v>50.003323252318197</v>
      </c>
      <c r="AD58" s="8">
        <v>49.914585768251001</v>
      </c>
      <c r="AE58" s="9">
        <v>-2.4137635696616199E-4</v>
      </c>
      <c r="AF58" s="9">
        <v>-1.33517165003762E-4</v>
      </c>
      <c r="AG58" s="9">
        <v>-1.9097254196997599E-3</v>
      </c>
      <c r="AZ58" s="9"/>
      <c r="BB58">
        <f t="shared" si="2"/>
        <v>1</v>
      </c>
      <c r="BC58">
        <f t="shared" si="3"/>
        <v>0</v>
      </c>
      <c r="BD58">
        <f t="shared" si="4"/>
        <v>1</v>
      </c>
      <c r="BE58">
        <f t="shared" si="0"/>
        <v>1</v>
      </c>
      <c r="BF58">
        <f t="shared" si="5"/>
        <v>1</v>
      </c>
      <c r="BG58" s="9">
        <f t="shared" si="6"/>
        <v>5.2132325347466696E-3</v>
      </c>
      <c r="BH58" s="9">
        <f t="shared" si="7"/>
        <v>-5.0115369998883098E-3</v>
      </c>
      <c r="BI58" s="9">
        <f t="shared" si="8"/>
        <v>2.0169553485835986E-4</v>
      </c>
      <c r="BJ58" s="12">
        <f t="shared" si="9"/>
        <v>-3.7499969840093092E-3</v>
      </c>
      <c r="BL58" s="9"/>
      <c r="BN58">
        <f t="shared" si="10"/>
        <v>0</v>
      </c>
      <c r="BO58">
        <f t="shared" si="11"/>
        <v>1</v>
      </c>
      <c r="BP58">
        <f t="shared" si="12"/>
        <v>0</v>
      </c>
      <c r="BQ58">
        <f t="shared" si="1"/>
        <v>1</v>
      </c>
      <c r="BR58">
        <f t="shared" si="13"/>
        <v>0</v>
      </c>
      <c r="BS58" s="9">
        <f t="shared" si="14"/>
        <v>0</v>
      </c>
      <c r="BT58" s="9">
        <f t="shared" si="15"/>
        <v>0</v>
      </c>
      <c r="BU58" s="9">
        <f t="shared" si="16"/>
        <v>0</v>
      </c>
      <c r="BV58" s="12">
        <f t="shared" si="17"/>
        <v>0</v>
      </c>
      <c r="BX58" s="12">
        <f t="shared" si="18"/>
        <v>2.0169553485835986E-4</v>
      </c>
      <c r="BY58" s="12">
        <f t="shared" si="19"/>
        <v>-3.7499969840093092E-3</v>
      </c>
    </row>
    <row r="59" spans="1:77" x14ac:dyDescent="0.3">
      <c r="A59" s="1">
        <v>46107</v>
      </c>
      <c r="B59" s="8">
        <v>47.74</v>
      </c>
      <c r="C59" s="8">
        <v>49.76</v>
      </c>
      <c r="D59" s="9">
        <v>-7.0966693162679796E-3</v>
      </c>
      <c r="E59" s="9">
        <v>-5.0115369998883297E-3</v>
      </c>
      <c r="F59" s="8">
        <v>0</v>
      </c>
      <c r="G59" s="8">
        <v>0.2122</v>
      </c>
      <c r="H59" s="8">
        <v>0</v>
      </c>
      <c r="I59" s="8">
        <v>0.107</v>
      </c>
      <c r="J59" s="8">
        <v>0</v>
      </c>
      <c r="K59" s="8">
        <v>0</v>
      </c>
      <c r="L59" s="8">
        <v>47.74</v>
      </c>
      <c r="M59" s="8">
        <v>49.76</v>
      </c>
      <c r="N59" s="10">
        <v>1.04231252618349</v>
      </c>
      <c r="O59" s="10">
        <v>1.03989039569729</v>
      </c>
      <c r="P59" s="10">
        <v>1.0402751935994199</v>
      </c>
      <c r="Q59" s="10">
        <v>1.03892725886565</v>
      </c>
      <c r="R59" s="8">
        <v>49.644367490588699</v>
      </c>
      <c r="S59" s="8">
        <v>49.653365862236797</v>
      </c>
      <c r="T59" s="8">
        <v>49.576613768708697</v>
      </c>
      <c r="U59" s="9">
        <v>-2.3265086733459499E-3</v>
      </c>
      <c r="V59" s="9">
        <v>-2.14526845025366E-3</v>
      </c>
      <c r="W59" s="9">
        <v>-3.69222248812904E-3</v>
      </c>
      <c r="X59" s="10">
        <v>1.04231252618349</v>
      </c>
      <c r="Y59" s="10">
        <v>1.03989039569729</v>
      </c>
      <c r="Z59" s="10">
        <v>1.0402751935994199</v>
      </c>
      <c r="AA59" s="10">
        <v>1.03892725886565</v>
      </c>
      <c r="AB59" s="8">
        <v>49.644367490588699</v>
      </c>
      <c r="AC59" s="8">
        <v>49.653365862236797</v>
      </c>
      <c r="AD59" s="8">
        <v>49.576613768708697</v>
      </c>
      <c r="AE59" s="9">
        <v>-2.3265086733459499E-3</v>
      </c>
      <c r="AF59" s="9">
        <v>-2.14526845025366E-3</v>
      </c>
      <c r="AG59" s="9">
        <v>-3.69222248812904E-3</v>
      </c>
      <c r="AZ59" s="9"/>
      <c r="BB59">
        <f t="shared" si="2"/>
        <v>1</v>
      </c>
      <c r="BC59">
        <f t="shared" si="3"/>
        <v>0</v>
      </c>
      <c r="BD59">
        <f t="shared" si="4"/>
        <v>1</v>
      </c>
      <c r="BE59">
        <f t="shared" si="0"/>
        <v>1</v>
      </c>
      <c r="BF59">
        <f t="shared" si="5"/>
        <v>1</v>
      </c>
      <c r="BG59" s="9">
        <f t="shared" si="6"/>
        <v>-7.0966693162679796E-3</v>
      </c>
      <c r="BH59" s="9">
        <f t="shared" si="7"/>
        <v>5.0115369998883297E-3</v>
      </c>
      <c r="BI59" s="9">
        <f t="shared" si="8"/>
        <v>-2.0851323163796499E-3</v>
      </c>
      <c r="BJ59" s="12">
        <f t="shared" si="9"/>
        <v>-5.835129300388959E-3</v>
      </c>
      <c r="BL59" s="9"/>
      <c r="BN59">
        <f t="shared" si="10"/>
        <v>0</v>
      </c>
      <c r="BO59">
        <f t="shared" si="11"/>
        <v>1</v>
      </c>
      <c r="BP59">
        <f t="shared" si="12"/>
        <v>0</v>
      </c>
      <c r="BQ59">
        <f t="shared" si="1"/>
        <v>1</v>
      </c>
      <c r="BR59">
        <f t="shared" si="13"/>
        <v>0</v>
      </c>
      <c r="BS59" s="9">
        <f t="shared" si="14"/>
        <v>0</v>
      </c>
      <c r="BT59" s="9">
        <f t="shared" si="15"/>
        <v>0</v>
      </c>
      <c r="BU59" s="9">
        <f t="shared" si="16"/>
        <v>0</v>
      </c>
      <c r="BV59" s="12">
        <f t="shared" si="17"/>
        <v>0</v>
      </c>
      <c r="BX59" s="12">
        <f t="shared" si="18"/>
        <v>-2.0851323163796499E-3</v>
      </c>
      <c r="BY59" s="12">
        <f t="shared" si="19"/>
        <v>-5.835129300388959E-3</v>
      </c>
    </row>
    <row r="60" spans="1:77" x14ac:dyDescent="0.3">
      <c r="A60" s="1">
        <v>46108</v>
      </c>
      <c r="B60" s="8">
        <v>47.66</v>
      </c>
      <c r="C60" s="8">
        <v>49.68</v>
      </c>
      <c r="D60" s="9">
        <v>-1.6771492400880601E-3</v>
      </c>
      <c r="E60" s="9">
        <v>-1.60901080570066E-3</v>
      </c>
      <c r="F60" s="8">
        <v>0</v>
      </c>
      <c r="G60" s="8">
        <v>0.2122</v>
      </c>
      <c r="H60" s="8">
        <v>0</v>
      </c>
      <c r="I60" s="8">
        <v>0.107</v>
      </c>
      <c r="J60" s="8">
        <v>0</v>
      </c>
      <c r="K60" s="8">
        <v>0</v>
      </c>
      <c r="L60" s="8">
        <v>47.66</v>
      </c>
      <c r="M60" s="8">
        <v>49.68</v>
      </c>
      <c r="N60" s="10">
        <v>1.0423835501468699</v>
      </c>
      <c r="O60" s="10">
        <v>1.03989039569729</v>
      </c>
      <c r="P60" s="10">
        <v>1.0404302152807701</v>
      </c>
      <c r="Q60" s="10">
        <v>1.03935944450308</v>
      </c>
      <c r="R60" s="8">
        <v>49.561176258932903</v>
      </c>
      <c r="S60" s="8">
        <v>49.5795157269485</v>
      </c>
      <c r="T60" s="8">
        <v>49.515273157537202</v>
      </c>
      <c r="U60" s="9">
        <v>-2.39464710773343E-3</v>
      </c>
      <c r="V60" s="9">
        <v>-2.0246785739777401E-3</v>
      </c>
      <c r="W60" s="9">
        <v>-3.3212670048036802E-3</v>
      </c>
      <c r="X60" s="10">
        <v>1.0423835501468699</v>
      </c>
      <c r="Y60" s="10">
        <v>1.03989039569729</v>
      </c>
      <c r="Z60" s="10">
        <v>1.0404302152807701</v>
      </c>
      <c r="AA60" s="10">
        <v>1.03935944450308</v>
      </c>
      <c r="AB60" s="8">
        <v>49.561176258932903</v>
      </c>
      <c r="AC60" s="8">
        <v>49.5795157269485</v>
      </c>
      <c r="AD60" s="8">
        <v>49.515273157537202</v>
      </c>
      <c r="AE60" s="9">
        <v>-2.39464710773343E-3</v>
      </c>
      <c r="AF60" s="9">
        <v>-2.0246785739777401E-3</v>
      </c>
      <c r="AG60" s="9">
        <v>-3.3212670048036802E-3</v>
      </c>
      <c r="AZ60" s="9"/>
      <c r="BB60">
        <f t="shared" si="2"/>
        <v>1</v>
      </c>
      <c r="BC60">
        <f t="shared" si="3"/>
        <v>0</v>
      </c>
      <c r="BD60">
        <f t="shared" si="4"/>
        <v>1</v>
      </c>
      <c r="BE60">
        <f t="shared" si="0"/>
        <v>1</v>
      </c>
      <c r="BF60">
        <f t="shared" si="5"/>
        <v>1</v>
      </c>
      <c r="BG60" s="9">
        <f t="shared" si="6"/>
        <v>-1.6771492400880601E-3</v>
      </c>
      <c r="BH60" s="9">
        <f t="shared" si="7"/>
        <v>1.60901080570066E-3</v>
      </c>
      <c r="BI60" s="9">
        <f t="shared" si="8"/>
        <v>-6.8138434387400105E-5</v>
      </c>
      <c r="BJ60" s="12">
        <f t="shared" si="9"/>
        <v>-5.9032677347763589E-3</v>
      </c>
      <c r="BL60" s="9"/>
      <c r="BN60">
        <f t="shared" si="10"/>
        <v>0</v>
      </c>
      <c r="BO60">
        <f t="shared" si="11"/>
        <v>1</v>
      </c>
      <c r="BP60">
        <f t="shared" si="12"/>
        <v>0</v>
      </c>
      <c r="BQ60">
        <f t="shared" si="1"/>
        <v>1</v>
      </c>
      <c r="BR60">
        <f t="shared" si="13"/>
        <v>0</v>
      </c>
      <c r="BS60" s="9">
        <f t="shared" si="14"/>
        <v>0</v>
      </c>
      <c r="BT60" s="9">
        <f t="shared" si="15"/>
        <v>0</v>
      </c>
      <c r="BU60" s="9">
        <f t="shared" si="16"/>
        <v>0</v>
      </c>
      <c r="BV60" s="12">
        <f t="shared" si="17"/>
        <v>0</v>
      </c>
      <c r="BX60" s="12">
        <f t="shared" si="18"/>
        <v>-6.8138434387400105E-5</v>
      </c>
      <c r="BY60" s="12">
        <f t="shared" si="19"/>
        <v>-5.9032677347763589E-3</v>
      </c>
    </row>
    <row r="61" spans="1:77" x14ac:dyDescent="0.3">
      <c r="A61" s="1">
        <v>46111</v>
      </c>
      <c r="B61" s="8">
        <v>47.79</v>
      </c>
      <c r="C61" s="8">
        <v>49.81</v>
      </c>
      <c r="D61" s="9">
        <v>2.72394091947081E-3</v>
      </c>
      <c r="E61" s="9">
        <v>2.6133294599688102E-3</v>
      </c>
      <c r="F61" s="8">
        <v>0</v>
      </c>
      <c r="G61" s="8">
        <v>0.2122</v>
      </c>
      <c r="H61" s="8">
        <v>0</v>
      </c>
      <c r="I61" s="8">
        <v>0.107</v>
      </c>
      <c r="J61" s="8">
        <v>0</v>
      </c>
      <c r="K61" s="8">
        <v>0</v>
      </c>
      <c r="L61" s="8">
        <v>47.79</v>
      </c>
      <c r="M61" s="8">
        <v>49.81</v>
      </c>
      <c r="N61" s="10">
        <v>1.0422682569575199</v>
      </c>
      <c r="O61" s="10">
        <v>1.03989039569729</v>
      </c>
      <c r="P61" s="10">
        <v>1.04069602894832</v>
      </c>
      <c r="Q61" s="10">
        <v>1.0397050257547999</v>
      </c>
      <c r="R61" s="8">
        <v>49.696362010373598</v>
      </c>
      <c r="S61" s="8">
        <v>49.722159988268402</v>
      </c>
      <c r="T61" s="8">
        <v>49.670987852802298</v>
      </c>
      <c r="U61" s="9">
        <v>-2.2840356482312601E-3</v>
      </c>
      <c r="V61" s="9">
        <v>-1.7650583398750501E-3</v>
      </c>
      <c r="W61" s="9">
        <v>-2.7947498447511701E-3</v>
      </c>
      <c r="X61" s="10">
        <v>1.0422682569575199</v>
      </c>
      <c r="Y61" s="10">
        <v>1.03989039569729</v>
      </c>
      <c r="Z61" s="10">
        <v>1.04069602894832</v>
      </c>
      <c r="AA61" s="10">
        <v>1.0397050257547999</v>
      </c>
      <c r="AB61" s="8">
        <v>49.696362010373598</v>
      </c>
      <c r="AC61" s="8">
        <v>49.722159988268402</v>
      </c>
      <c r="AD61" s="8">
        <v>49.670987852802298</v>
      </c>
      <c r="AE61" s="9">
        <v>-2.2840356482312601E-3</v>
      </c>
      <c r="AF61" s="9">
        <v>-1.7650583398750501E-3</v>
      </c>
      <c r="AG61" s="9">
        <v>-2.7947498447511701E-3</v>
      </c>
      <c r="AZ61" s="9"/>
      <c r="BB61">
        <f t="shared" si="2"/>
        <v>1</v>
      </c>
      <c r="BC61">
        <f t="shared" si="3"/>
        <v>0</v>
      </c>
      <c r="BD61">
        <f t="shared" si="4"/>
        <v>1</v>
      </c>
      <c r="BE61">
        <f t="shared" si="0"/>
        <v>1</v>
      </c>
      <c r="BF61">
        <f t="shared" si="5"/>
        <v>1</v>
      </c>
      <c r="BG61" s="9">
        <f t="shared" si="6"/>
        <v>2.72394091947081E-3</v>
      </c>
      <c r="BH61" s="9">
        <f t="shared" si="7"/>
        <v>-2.6133294599688102E-3</v>
      </c>
      <c r="BI61" s="9">
        <f t="shared" si="8"/>
        <v>1.1061145950199986E-4</v>
      </c>
      <c r="BJ61" s="12">
        <f t="shared" si="9"/>
        <v>-5.7926562752743591E-3</v>
      </c>
      <c r="BL61" s="9"/>
      <c r="BN61">
        <f t="shared" si="10"/>
        <v>0</v>
      </c>
      <c r="BO61">
        <f t="shared" si="11"/>
        <v>1</v>
      </c>
      <c r="BP61">
        <f t="shared" si="12"/>
        <v>0</v>
      </c>
      <c r="BQ61">
        <f t="shared" si="1"/>
        <v>1</v>
      </c>
      <c r="BR61">
        <f t="shared" si="13"/>
        <v>0</v>
      </c>
      <c r="BS61" s="9">
        <f t="shared" si="14"/>
        <v>0</v>
      </c>
      <c r="BT61" s="9">
        <f t="shared" si="15"/>
        <v>0</v>
      </c>
      <c r="BU61" s="9">
        <f t="shared" si="16"/>
        <v>0</v>
      </c>
      <c r="BV61" s="12">
        <f t="shared" si="17"/>
        <v>0</v>
      </c>
      <c r="BX61" s="12">
        <f t="shared" si="18"/>
        <v>1.1061145950199986E-4</v>
      </c>
      <c r="BY61" s="12">
        <f t="shared" si="19"/>
        <v>-5.7926562752743591E-3</v>
      </c>
    </row>
    <row r="62" spans="1:77" x14ac:dyDescent="0.3">
      <c r="A62" s="1">
        <v>46112</v>
      </c>
      <c r="B62" s="8">
        <v>48.05</v>
      </c>
      <c r="C62" s="8">
        <v>50.04</v>
      </c>
      <c r="D62" s="9">
        <v>5.4257228262346302E-3</v>
      </c>
      <c r="E62" s="9">
        <v>4.6069185135182503E-3</v>
      </c>
      <c r="F62" s="8">
        <v>0</v>
      </c>
      <c r="G62" s="8">
        <v>0.2122</v>
      </c>
      <c r="H62" s="8">
        <v>0</v>
      </c>
      <c r="I62" s="8">
        <v>0.107</v>
      </c>
      <c r="J62" s="8">
        <v>0</v>
      </c>
      <c r="K62" s="8">
        <v>0</v>
      </c>
      <c r="L62" s="8">
        <v>48.05</v>
      </c>
      <c r="M62" s="8">
        <v>50.04</v>
      </c>
      <c r="N62" s="10">
        <v>1.0414151925077999</v>
      </c>
      <c r="O62" s="10">
        <v>1.03989039569729</v>
      </c>
      <c r="P62" s="10">
        <v>1.04102802438958</v>
      </c>
      <c r="Q62" s="10">
        <v>1.0399633749767501</v>
      </c>
      <c r="R62" s="8">
        <v>49.966733513254901</v>
      </c>
      <c r="S62" s="8">
        <v>50.005444190967097</v>
      </c>
      <c r="T62" s="8">
        <v>49.957826487518197</v>
      </c>
      <c r="U62" s="9">
        <v>-1.4652313355149799E-3</v>
      </c>
      <c r="V62" s="9">
        <v>-6.9080227863499801E-4</v>
      </c>
      <c r="W62" s="9">
        <v>-1.64350634138447E-3</v>
      </c>
      <c r="X62" s="10">
        <v>1.0414151925077999</v>
      </c>
      <c r="Y62" s="10">
        <v>1.03989039569729</v>
      </c>
      <c r="Z62" s="10">
        <v>1.04102802438958</v>
      </c>
      <c r="AA62" s="10">
        <v>1.0399633749767501</v>
      </c>
      <c r="AB62" s="8">
        <v>49.966733513254901</v>
      </c>
      <c r="AC62" s="8">
        <v>50.005444190967097</v>
      </c>
      <c r="AD62" s="8">
        <v>49.957826487518197</v>
      </c>
      <c r="AE62" s="9">
        <v>-1.4652313355149799E-3</v>
      </c>
      <c r="AF62" s="9">
        <v>-6.9080227863499801E-4</v>
      </c>
      <c r="AG62" s="9">
        <v>-1.64350634138447E-3</v>
      </c>
      <c r="AZ62" s="9"/>
      <c r="BB62">
        <f t="shared" si="2"/>
        <v>1</v>
      </c>
      <c r="BC62">
        <f t="shared" si="3"/>
        <v>0</v>
      </c>
      <c r="BD62">
        <f t="shared" si="4"/>
        <v>1</v>
      </c>
      <c r="BE62">
        <f t="shared" si="0"/>
        <v>0</v>
      </c>
      <c r="BF62">
        <f t="shared" si="5"/>
        <v>1</v>
      </c>
      <c r="BG62" s="9">
        <f t="shared" si="6"/>
        <v>5.4257228262346302E-3</v>
      </c>
      <c r="BH62" s="9">
        <f t="shared" si="7"/>
        <v>-4.6069185135182503E-3</v>
      </c>
      <c r="BI62" s="9">
        <f t="shared" si="8"/>
        <v>8.1880431271637993E-4</v>
      </c>
      <c r="BJ62" s="12">
        <f t="shared" si="9"/>
        <v>-4.9738519625579791E-3</v>
      </c>
      <c r="BL62" s="9"/>
      <c r="BN62">
        <f t="shared" si="10"/>
        <v>0</v>
      </c>
      <c r="BO62">
        <f t="shared" si="11"/>
        <v>1</v>
      </c>
      <c r="BP62">
        <f t="shared" si="12"/>
        <v>0</v>
      </c>
      <c r="BQ62">
        <f t="shared" si="1"/>
        <v>0</v>
      </c>
      <c r="BR62">
        <f t="shared" si="13"/>
        <v>0</v>
      </c>
      <c r="BS62" s="9">
        <f t="shared" si="14"/>
        <v>0</v>
      </c>
      <c r="BT62" s="9">
        <f t="shared" si="15"/>
        <v>0</v>
      </c>
      <c r="BU62" s="9">
        <f t="shared" si="16"/>
        <v>0</v>
      </c>
      <c r="BV62" s="12">
        <f t="shared" si="17"/>
        <v>0</v>
      </c>
      <c r="BX62" s="12">
        <f t="shared" si="18"/>
        <v>8.1880431271637993E-4</v>
      </c>
      <c r="BY62" s="12">
        <f t="shared" si="19"/>
        <v>-4.9738519625579791E-3</v>
      </c>
    </row>
    <row r="63" spans="1:77" x14ac:dyDescent="0.3">
      <c r="A63" s="1">
        <v>46113</v>
      </c>
      <c r="B63" s="8">
        <v>48.01</v>
      </c>
      <c r="C63" s="8">
        <v>49.86</v>
      </c>
      <c r="D63" s="9">
        <v>-8.3281287345248302E-4</v>
      </c>
      <c r="E63" s="9">
        <v>-3.60360750329854E-3</v>
      </c>
      <c r="F63" s="8">
        <v>0.11169999999999999</v>
      </c>
      <c r="G63" s="8">
        <v>0.32389999999999902</v>
      </c>
      <c r="H63" s="8">
        <v>0.1908</v>
      </c>
      <c r="I63" s="8">
        <v>0.29780000000000001</v>
      </c>
      <c r="J63" s="8">
        <v>0</v>
      </c>
      <c r="K63" s="8">
        <v>0</v>
      </c>
      <c r="L63" s="8">
        <v>48.01</v>
      </c>
      <c r="M63" s="8">
        <v>49.86</v>
      </c>
      <c r="N63" s="10">
        <v>1.03853363882524</v>
      </c>
      <c r="O63" s="10">
        <v>1.03989039569729</v>
      </c>
      <c r="P63" s="10">
        <v>1.0408697482804199</v>
      </c>
      <c r="Q63" s="10">
        <v>1.04001390354503</v>
      </c>
      <c r="R63" s="8">
        <v>49.925137897427</v>
      </c>
      <c r="S63" s="8">
        <v>49.979755450943898</v>
      </c>
      <c r="T63" s="8">
        <v>49.928641632633799</v>
      </c>
      <c r="U63" s="9">
        <v>1.30556329433113E-3</v>
      </c>
      <c r="V63" s="9">
        <v>2.39895436112676E-3</v>
      </c>
      <c r="W63" s="9">
        <v>1.3757406120994101E-3</v>
      </c>
      <c r="X63" s="10">
        <v>1.03853363882524</v>
      </c>
      <c r="Y63" s="10">
        <v>1.03989039569729</v>
      </c>
      <c r="Z63" s="10">
        <v>1.0408697482804199</v>
      </c>
      <c r="AA63" s="10">
        <v>1.04001390354503</v>
      </c>
      <c r="AB63" s="8">
        <v>49.925137897427</v>
      </c>
      <c r="AC63" s="8">
        <v>49.979755450943898</v>
      </c>
      <c r="AD63" s="8">
        <v>49.928641632633799</v>
      </c>
      <c r="AE63" s="9">
        <v>1.30556329433113E-3</v>
      </c>
      <c r="AF63" s="9">
        <v>2.39895436112676E-3</v>
      </c>
      <c r="AG63" s="9">
        <v>1.3757406120994101E-3</v>
      </c>
      <c r="AZ63" s="9"/>
      <c r="BB63">
        <f t="shared" si="2"/>
        <v>0</v>
      </c>
      <c r="BC63">
        <f t="shared" si="3"/>
        <v>1</v>
      </c>
      <c r="BD63">
        <f t="shared" si="4"/>
        <v>0</v>
      </c>
      <c r="BE63">
        <f t="shared" si="0"/>
        <v>1</v>
      </c>
      <c r="BF63">
        <f t="shared" si="5"/>
        <v>0</v>
      </c>
      <c r="BG63" s="9">
        <f t="shared" si="6"/>
        <v>0</v>
      </c>
      <c r="BH63" s="9">
        <f t="shared" si="7"/>
        <v>0</v>
      </c>
      <c r="BI63" s="9">
        <f t="shared" si="8"/>
        <v>0</v>
      </c>
      <c r="BJ63" s="12">
        <f t="shared" si="9"/>
        <v>-4.9738519625579791E-3</v>
      </c>
      <c r="BL63" s="9"/>
      <c r="BN63">
        <f t="shared" si="10"/>
        <v>0</v>
      </c>
      <c r="BO63">
        <f t="shared" si="11"/>
        <v>0</v>
      </c>
      <c r="BP63">
        <f t="shared" si="12"/>
        <v>0</v>
      </c>
      <c r="BQ63">
        <f t="shared" si="1"/>
        <v>1</v>
      </c>
      <c r="BR63">
        <f t="shared" si="13"/>
        <v>0</v>
      </c>
      <c r="BS63" s="9">
        <f t="shared" si="14"/>
        <v>0</v>
      </c>
      <c r="BT63" s="9">
        <f t="shared" si="15"/>
        <v>0</v>
      </c>
      <c r="BU63" s="9">
        <f t="shared" si="16"/>
        <v>0</v>
      </c>
      <c r="BV63" s="12">
        <f t="shared" si="17"/>
        <v>0</v>
      </c>
      <c r="BX63" s="12">
        <f t="shared" si="18"/>
        <v>0</v>
      </c>
      <c r="BY63" s="12">
        <f t="shared" si="19"/>
        <v>-4.9738519625579791E-3</v>
      </c>
    </row>
    <row r="64" spans="1:77" x14ac:dyDescent="0.3">
      <c r="A64" s="1">
        <v>46114</v>
      </c>
      <c r="B64" s="8">
        <v>47.96</v>
      </c>
      <c r="C64" s="8">
        <v>49.83</v>
      </c>
      <c r="D64" s="9">
        <v>-1.0419923835353799E-3</v>
      </c>
      <c r="E64" s="9">
        <v>-6.01865802098673E-4</v>
      </c>
      <c r="F64" s="8">
        <v>0</v>
      </c>
      <c r="G64" s="8">
        <v>0.32389999999999902</v>
      </c>
      <c r="H64" s="8">
        <v>0</v>
      </c>
      <c r="I64" s="8">
        <v>0.29780000000000001</v>
      </c>
      <c r="J64" s="8">
        <v>0</v>
      </c>
      <c r="K64" s="8">
        <v>0</v>
      </c>
      <c r="L64" s="8">
        <v>47.96</v>
      </c>
      <c r="M64" s="8">
        <v>49.83</v>
      </c>
      <c r="N64" s="10">
        <v>1.03899082568807</v>
      </c>
      <c r="O64" s="10">
        <v>1.03989039569729</v>
      </c>
      <c r="P64" s="10">
        <v>1.04071730373516</v>
      </c>
      <c r="Q64" s="10">
        <v>1.0400799536808201</v>
      </c>
      <c r="R64" s="8">
        <v>49.873143377642101</v>
      </c>
      <c r="S64" s="8">
        <v>49.920113127529</v>
      </c>
      <c r="T64" s="8">
        <v>49.87906681402</v>
      </c>
      <c r="U64" s="9">
        <v>8.6543671289429896E-4</v>
      </c>
      <c r="V64" s="9">
        <v>1.80677794175492E-3</v>
      </c>
      <c r="W64" s="9">
        <v>9.84199723226214E-4</v>
      </c>
      <c r="X64" s="10">
        <v>1.03899082568807</v>
      </c>
      <c r="Y64" s="10">
        <v>1.03989039569729</v>
      </c>
      <c r="Z64" s="10">
        <v>1.04071730373516</v>
      </c>
      <c r="AA64" s="10">
        <v>1.0400799536808201</v>
      </c>
      <c r="AB64" s="8">
        <v>49.873143377642101</v>
      </c>
      <c r="AC64" s="8">
        <v>49.920113127529</v>
      </c>
      <c r="AD64" s="8">
        <v>49.87906681402</v>
      </c>
      <c r="AE64" s="9">
        <v>8.6543671289429896E-4</v>
      </c>
      <c r="AF64" s="9">
        <v>1.80677794175492E-3</v>
      </c>
      <c r="AG64" s="9">
        <v>9.84199723226214E-4</v>
      </c>
      <c r="AZ64" s="9"/>
      <c r="BB64">
        <f t="shared" si="2"/>
        <v>0</v>
      </c>
      <c r="BC64">
        <f t="shared" si="3"/>
        <v>1</v>
      </c>
      <c r="BD64">
        <f t="shared" si="4"/>
        <v>0</v>
      </c>
      <c r="BE64">
        <f t="shared" si="0"/>
        <v>1</v>
      </c>
      <c r="BF64">
        <f t="shared" si="5"/>
        <v>0</v>
      </c>
      <c r="BG64" s="9">
        <f t="shared" si="6"/>
        <v>0</v>
      </c>
      <c r="BH64" s="9">
        <f t="shared" si="7"/>
        <v>0</v>
      </c>
      <c r="BI64" s="9">
        <f t="shared" si="8"/>
        <v>0</v>
      </c>
      <c r="BJ64" s="12">
        <f t="shared" si="9"/>
        <v>-4.9738519625579791E-3</v>
      </c>
      <c r="BL64" s="9"/>
      <c r="BN64">
        <f t="shared" si="10"/>
        <v>0</v>
      </c>
      <c r="BO64">
        <f t="shared" si="11"/>
        <v>0</v>
      </c>
      <c r="BP64">
        <f t="shared" si="12"/>
        <v>0</v>
      </c>
      <c r="BQ64">
        <f t="shared" si="1"/>
        <v>1</v>
      </c>
      <c r="BR64">
        <f t="shared" si="13"/>
        <v>0</v>
      </c>
      <c r="BS64" s="9">
        <f t="shared" si="14"/>
        <v>0</v>
      </c>
      <c r="BT64" s="9">
        <f t="shared" si="15"/>
        <v>0</v>
      </c>
      <c r="BU64" s="9">
        <f t="shared" si="16"/>
        <v>0</v>
      </c>
      <c r="BV64" s="12">
        <f t="shared" si="17"/>
        <v>0</v>
      </c>
      <c r="BX64" s="12">
        <f t="shared" si="18"/>
        <v>0</v>
      </c>
      <c r="BY64" s="12">
        <f t="shared" si="19"/>
        <v>-4.9738519625579791E-3</v>
      </c>
    </row>
    <row r="65" spans="1:77" x14ac:dyDescent="0.3">
      <c r="A65" s="1">
        <v>46118</v>
      </c>
      <c r="B65" s="8">
        <v>47.88</v>
      </c>
      <c r="C65" s="8">
        <v>49.79</v>
      </c>
      <c r="D65" s="9">
        <v>-1.6694494695410401E-3</v>
      </c>
      <c r="E65" s="9">
        <v>-8.0305163922186201E-4</v>
      </c>
      <c r="F65" s="8">
        <v>0</v>
      </c>
      <c r="G65" s="8">
        <v>0.32389999999999902</v>
      </c>
      <c r="H65" s="8">
        <v>0</v>
      </c>
      <c r="I65" s="8">
        <v>0.29780000000000001</v>
      </c>
      <c r="J65" s="8">
        <v>0</v>
      </c>
      <c r="K65" s="8">
        <v>0</v>
      </c>
      <c r="L65" s="8">
        <v>47.88</v>
      </c>
      <c r="M65" s="8">
        <v>49.79</v>
      </c>
      <c r="N65" s="10">
        <v>1.0398913951545501</v>
      </c>
      <c r="O65" s="10">
        <v>1.03989039569729</v>
      </c>
      <c r="P65" s="10">
        <v>1.0406696308682699</v>
      </c>
      <c r="Q65" s="10">
        <v>1.04011333433863</v>
      </c>
      <c r="R65" s="8">
        <v>49.789952145986398</v>
      </c>
      <c r="S65" s="8">
        <v>49.829544502839603</v>
      </c>
      <c r="T65" s="8">
        <v>49.799028182237699</v>
      </c>
      <c r="U65" s="9">
        <v>-9.6111742488957697E-7</v>
      </c>
      <c r="V65" s="9">
        <v>7.9391057475787399E-4</v>
      </c>
      <c r="W65" s="9">
        <v>1.81308773210048E-4</v>
      </c>
      <c r="X65" s="10">
        <v>1.0398913951545501</v>
      </c>
      <c r="Y65" s="10">
        <v>1.03989039569729</v>
      </c>
      <c r="Z65" s="10">
        <v>1.0406696308682699</v>
      </c>
      <c r="AA65" s="10">
        <v>1.04011333433863</v>
      </c>
      <c r="AB65" s="8">
        <v>49.789952145986398</v>
      </c>
      <c r="AC65" s="8">
        <v>49.829544502839603</v>
      </c>
      <c r="AD65" s="8">
        <v>49.799028182237699</v>
      </c>
      <c r="AE65" s="9">
        <v>-9.6111742488957697E-7</v>
      </c>
      <c r="AF65" s="9">
        <v>7.9391057475787399E-4</v>
      </c>
      <c r="AG65" s="9">
        <v>1.81308773210048E-4</v>
      </c>
      <c r="AZ65" s="9"/>
      <c r="BB65">
        <f t="shared" si="2"/>
        <v>0</v>
      </c>
      <c r="BC65">
        <f t="shared" si="3"/>
        <v>1</v>
      </c>
      <c r="BD65">
        <f t="shared" si="4"/>
        <v>0</v>
      </c>
      <c r="BE65">
        <f t="shared" si="0"/>
        <v>1</v>
      </c>
      <c r="BF65">
        <f t="shared" si="5"/>
        <v>0</v>
      </c>
      <c r="BG65" s="9">
        <f t="shared" si="6"/>
        <v>0</v>
      </c>
      <c r="BH65" s="9">
        <f t="shared" si="7"/>
        <v>0</v>
      </c>
      <c r="BI65" s="9">
        <f t="shared" si="8"/>
        <v>0</v>
      </c>
      <c r="BJ65" s="12">
        <f t="shared" si="9"/>
        <v>-4.9738519625579791E-3</v>
      </c>
      <c r="BL65" s="9"/>
      <c r="BN65">
        <f t="shared" si="10"/>
        <v>0</v>
      </c>
      <c r="BO65">
        <f t="shared" si="11"/>
        <v>0</v>
      </c>
      <c r="BP65">
        <f t="shared" si="12"/>
        <v>0</v>
      </c>
      <c r="BQ65">
        <f t="shared" si="1"/>
        <v>1</v>
      </c>
      <c r="BR65">
        <f t="shared" si="13"/>
        <v>0</v>
      </c>
      <c r="BS65" s="9">
        <f t="shared" si="14"/>
        <v>0</v>
      </c>
      <c r="BT65" s="9">
        <f t="shared" si="15"/>
        <v>0</v>
      </c>
      <c r="BU65" s="9">
        <f t="shared" si="16"/>
        <v>0</v>
      </c>
      <c r="BV65" s="12">
        <f t="shared" si="17"/>
        <v>0</v>
      </c>
      <c r="BX65" s="12">
        <f t="shared" si="18"/>
        <v>0</v>
      </c>
      <c r="BY65" s="12">
        <f t="shared" si="19"/>
        <v>-4.9738519625579791E-3</v>
      </c>
    </row>
    <row r="66" spans="1:77" x14ac:dyDescent="0.3">
      <c r="A66" s="1">
        <v>46119</v>
      </c>
      <c r="B66" s="8">
        <v>47.91</v>
      </c>
      <c r="C66" s="8">
        <v>49.81</v>
      </c>
      <c r="D66" s="9">
        <v>6.2637020525834397E-4</v>
      </c>
      <c r="E66" s="9">
        <v>4.01606431100628E-4</v>
      </c>
      <c r="F66" s="8">
        <v>0</v>
      </c>
      <c r="G66" s="8">
        <v>0.32389999999999902</v>
      </c>
      <c r="H66" s="8">
        <v>0</v>
      </c>
      <c r="I66" s="8">
        <v>0.29780000000000001</v>
      </c>
      <c r="J66" s="8">
        <v>0</v>
      </c>
      <c r="K66" s="8">
        <v>0</v>
      </c>
      <c r="L66" s="8">
        <v>47.91</v>
      </c>
      <c r="M66" s="8">
        <v>49.81</v>
      </c>
      <c r="N66" s="10">
        <v>1.0396576915049001</v>
      </c>
      <c r="O66" s="10">
        <v>1.03989039569729</v>
      </c>
      <c r="P66" s="10">
        <v>1.0405945751906001</v>
      </c>
      <c r="Q66" s="10">
        <v>1.0401790884253099</v>
      </c>
      <c r="R66" s="8">
        <v>49.821148857857303</v>
      </c>
      <c r="S66" s="8">
        <v>49.858482014898897</v>
      </c>
      <c r="T66" s="8">
        <v>49.8318298481638</v>
      </c>
      <c r="U66" s="9">
        <v>2.23802656732604E-4</v>
      </c>
      <c r="V66" s="9">
        <v>9.7286559888714902E-4</v>
      </c>
      <c r="W66" s="9">
        <v>4.3816635134740698E-4</v>
      </c>
      <c r="X66" s="10">
        <v>1.0396576915049001</v>
      </c>
      <c r="Y66" s="10">
        <v>1.03989039569729</v>
      </c>
      <c r="Z66" s="10">
        <v>1.0405945751906001</v>
      </c>
      <c r="AA66" s="10">
        <v>1.0401790884253099</v>
      </c>
      <c r="AB66" s="8">
        <v>49.821148857857303</v>
      </c>
      <c r="AC66" s="8">
        <v>49.858482014898897</v>
      </c>
      <c r="AD66" s="8">
        <v>49.8318298481638</v>
      </c>
      <c r="AE66" s="9">
        <v>2.23802656732604E-4</v>
      </c>
      <c r="AF66" s="9">
        <v>9.7286559888714902E-4</v>
      </c>
      <c r="AG66" s="9">
        <v>4.3816635134740698E-4</v>
      </c>
      <c r="AZ66" s="9"/>
      <c r="BB66">
        <f t="shared" si="2"/>
        <v>0</v>
      </c>
      <c r="BC66">
        <f t="shared" si="3"/>
        <v>1</v>
      </c>
      <c r="BD66">
        <f t="shared" si="4"/>
        <v>0</v>
      </c>
      <c r="BE66">
        <f t="shared" si="0"/>
        <v>1</v>
      </c>
      <c r="BF66">
        <f t="shared" si="5"/>
        <v>0</v>
      </c>
      <c r="BG66" s="9">
        <f t="shared" si="6"/>
        <v>0</v>
      </c>
      <c r="BH66" s="9">
        <f t="shared" si="7"/>
        <v>0</v>
      </c>
      <c r="BI66" s="9">
        <f t="shared" si="8"/>
        <v>0</v>
      </c>
      <c r="BJ66" s="12">
        <f t="shared" si="9"/>
        <v>-4.9738519625579791E-3</v>
      </c>
      <c r="BL66" s="9"/>
      <c r="BN66">
        <f t="shared" si="10"/>
        <v>0</v>
      </c>
      <c r="BO66">
        <f t="shared" si="11"/>
        <v>0</v>
      </c>
      <c r="BP66">
        <f t="shared" si="12"/>
        <v>0</v>
      </c>
      <c r="BQ66">
        <f t="shared" si="1"/>
        <v>1</v>
      </c>
      <c r="BR66">
        <f t="shared" si="13"/>
        <v>0</v>
      </c>
      <c r="BS66" s="9">
        <f t="shared" si="14"/>
        <v>0</v>
      </c>
      <c r="BT66" s="9">
        <f t="shared" si="15"/>
        <v>0</v>
      </c>
      <c r="BU66" s="9">
        <f t="shared" si="16"/>
        <v>0</v>
      </c>
      <c r="BV66" s="12">
        <f t="shared" si="17"/>
        <v>0</v>
      </c>
      <c r="BX66" s="12">
        <f t="shared" si="18"/>
        <v>0</v>
      </c>
      <c r="BY66" s="12">
        <f t="shared" si="19"/>
        <v>-4.9738519625579791E-3</v>
      </c>
    </row>
    <row r="67" spans="1:77" x14ac:dyDescent="0.3">
      <c r="A67" s="1">
        <v>46120</v>
      </c>
      <c r="B67" s="8">
        <v>48.28</v>
      </c>
      <c r="C67" s="8">
        <v>50.13</v>
      </c>
      <c r="D67" s="9">
        <v>7.6931453343001398E-3</v>
      </c>
      <c r="E67" s="9">
        <v>6.4038641902200997E-3</v>
      </c>
      <c r="F67" s="8">
        <v>0</v>
      </c>
      <c r="G67" s="8">
        <v>0.32389999999999902</v>
      </c>
      <c r="H67" s="8">
        <v>0</v>
      </c>
      <c r="I67" s="8">
        <v>0.29780000000000001</v>
      </c>
      <c r="J67" s="8">
        <v>0</v>
      </c>
      <c r="K67" s="8">
        <v>0</v>
      </c>
      <c r="L67" s="8">
        <v>48.28</v>
      </c>
      <c r="M67" s="8">
        <v>50.13</v>
      </c>
      <c r="N67" s="10">
        <v>1.0383181441590701</v>
      </c>
      <c r="O67" s="10">
        <v>1.03989039569729</v>
      </c>
      <c r="P67" s="10">
        <v>1.04039126520759</v>
      </c>
      <c r="Q67" s="10">
        <v>1.04019691434587</v>
      </c>
      <c r="R67" s="8">
        <v>50.2059083042653</v>
      </c>
      <c r="S67" s="8">
        <v>50.239906090202197</v>
      </c>
      <c r="T67" s="8">
        <v>50.2198463891743</v>
      </c>
      <c r="U67" s="9">
        <v>1.5130838008126E-3</v>
      </c>
      <c r="V67" s="9">
        <v>2.19002165910314E-3</v>
      </c>
      <c r="W67" s="9">
        <v>1.7906636913705501E-3</v>
      </c>
      <c r="X67" s="10">
        <v>1.0383181441590701</v>
      </c>
      <c r="Y67" s="10">
        <v>1.03989039569729</v>
      </c>
      <c r="Z67" s="10">
        <v>1.04039126520759</v>
      </c>
      <c r="AA67" s="10">
        <v>1.04019691434587</v>
      </c>
      <c r="AB67" s="8">
        <v>50.2059083042653</v>
      </c>
      <c r="AC67" s="8">
        <v>50.239906090202197</v>
      </c>
      <c r="AD67" s="8">
        <v>50.2198463891743</v>
      </c>
      <c r="AE67" s="9">
        <v>1.5130838008126E-3</v>
      </c>
      <c r="AF67" s="9">
        <v>2.19002165910314E-3</v>
      </c>
      <c r="AG67" s="9">
        <v>1.7906636913705501E-3</v>
      </c>
      <c r="AZ67" s="9"/>
      <c r="BB67">
        <f t="shared" si="2"/>
        <v>0</v>
      </c>
      <c r="BC67">
        <f t="shared" si="3"/>
        <v>1</v>
      </c>
      <c r="BD67">
        <f t="shared" si="4"/>
        <v>0</v>
      </c>
      <c r="BE67">
        <f t="shared" si="0"/>
        <v>1</v>
      </c>
      <c r="BF67">
        <f t="shared" si="5"/>
        <v>0</v>
      </c>
      <c r="BG67" s="9">
        <f t="shared" si="6"/>
        <v>0</v>
      </c>
      <c r="BH67" s="9">
        <f t="shared" si="7"/>
        <v>0</v>
      </c>
      <c r="BI67" s="9">
        <f t="shared" si="8"/>
        <v>0</v>
      </c>
      <c r="BJ67" s="12">
        <f t="shared" si="9"/>
        <v>-4.9738519625579791E-3</v>
      </c>
      <c r="BL67" s="9"/>
      <c r="BN67">
        <f t="shared" si="10"/>
        <v>0</v>
      </c>
      <c r="BO67">
        <f t="shared" si="11"/>
        <v>0</v>
      </c>
      <c r="BP67">
        <f t="shared" si="12"/>
        <v>0</v>
      </c>
      <c r="BQ67">
        <f t="shared" si="1"/>
        <v>1</v>
      </c>
      <c r="BR67">
        <f t="shared" si="13"/>
        <v>0</v>
      </c>
      <c r="BS67" s="9">
        <f t="shared" si="14"/>
        <v>0</v>
      </c>
      <c r="BT67" s="9">
        <f t="shared" si="15"/>
        <v>0</v>
      </c>
      <c r="BU67" s="9">
        <f t="shared" si="16"/>
        <v>0</v>
      </c>
      <c r="BV67" s="12">
        <f t="shared" si="17"/>
        <v>0</v>
      </c>
      <c r="BX67" s="12">
        <f t="shared" si="18"/>
        <v>0</v>
      </c>
      <c r="BY67" s="12">
        <f t="shared" si="19"/>
        <v>-4.9738519625579791E-3</v>
      </c>
    </row>
    <row r="68" spans="1:77" x14ac:dyDescent="0.3">
      <c r="A68" s="1">
        <v>46121</v>
      </c>
      <c r="B68" s="8">
        <v>48.13</v>
      </c>
      <c r="C68" s="8">
        <v>50.03</v>
      </c>
      <c r="D68" s="9">
        <v>-3.1117129143126902E-3</v>
      </c>
      <c r="E68" s="9">
        <v>-1.99680577529844E-3</v>
      </c>
      <c r="F68" s="8">
        <v>0</v>
      </c>
      <c r="G68" s="8">
        <v>0.32389999999999902</v>
      </c>
      <c r="H68" s="8">
        <v>0</v>
      </c>
      <c r="I68" s="8">
        <v>0.29780000000000001</v>
      </c>
      <c r="J68" s="8">
        <v>0</v>
      </c>
      <c r="K68" s="8">
        <v>0</v>
      </c>
      <c r="L68" s="8">
        <v>48.13</v>
      </c>
      <c r="M68" s="8">
        <v>50.03</v>
      </c>
      <c r="N68" s="10">
        <v>1.03947641803449</v>
      </c>
      <c r="O68" s="10">
        <v>1.03989039569729</v>
      </c>
      <c r="P68" s="10">
        <v>1.0403247639162001</v>
      </c>
      <c r="Q68" s="10">
        <v>1.0402018233304999</v>
      </c>
      <c r="R68" s="8">
        <v>50.049924744910697</v>
      </c>
      <c r="S68" s="8">
        <v>50.0740315944416</v>
      </c>
      <c r="T68" s="8">
        <v>50.064677487467002</v>
      </c>
      <c r="U68" s="9">
        <v>3.98176661798307E-4</v>
      </c>
      <c r="V68" s="9">
        <v>8.7971676225136403E-4</v>
      </c>
      <c r="W68" s="9">
        <v>6.9289376268343798E-4</v>
      </c>
      <c r="X68" s="10">
        <v>1.03947641803449</v>
      </c>
      <c r="Y68" s="10">
        <v>1.03989039569729</v>
      </c>
      <c r="Z68" s="10">
        <v>1.0403247639162001</v>
      </c>
      <c r="AA68" s="10">
        <v>1.0402018233304999</v>
      </c>
      <c r="AB68" s="8">
        <v>50.049924744910697</v>
      </c>
      <c r="AC68" s="8">
        <v>50.0740315944416</v>
      </c>
      <c r="AD68" s="8">
        <v>50.064677487467002</v>
      </c>
      <c r="AE68" s="9">
        <v>3.98176661798307E-4</v>
      </c>
      <c r="AF68" s="9">
        <v>8.7971676225136403E-4</v>
      </c>
      <c r="AG68" s="9">
        <v>6.9289376268343798E-4</v>
      </c>
      <c r="AZ68" s="9"/>
      <c r="BB68">
        <f t="shared" si="2"/>
        <v>0</v>
      </c>
      <c r="BC68">
        <f t="shared" si="3"/>
        <v>1</v>
      </c>
      <c r="BD68">
        <f t="shared" si="4"/>
        <v>0</v>
      </c>
      <c r="BE68">
        <f t="shared" si="0"/>
        <v>1</v>
      </c>
      <c r="BF68">
        <f t="shared" si="5"/>
        <v>0</v>
      </c>
      <c r="BG68" s="9">
        <f t="shared" si="6"/>
        <v>0</v>
      </c>
      <c r="BH68" s="9">
        <f t="shared" si="7"/>
        <v>0</v>
      </c>
      <c r="BI68" s="9">
        <f t="shared" si="8"/>
        <v>0</v>
      </c>
      <c r="BJ68" s="12">
        <f t="shared" si="9"/>
        <v>-4.9738519625579791E-3</v>
      </c>
      <c r="BL68" s="9"/>
      <c r="BN68">
        <f t="shared" si="10"/>
        <v>0</v>
      </c>
      <c r="BO68">
        <f t="shared" si="11"/>
        <v>0</v>
      </c>
      <c r="BP68">
        <f t="shared" si="12"/>
        <v>0</v>
      </c>
      <c r="BQ68">
        <f t="shared" si="1"/>
        <v>1</v>
      </c>
      <c r="BR68">
        <f t="shared" si="13"/>
        <v>0</v>
      </c>
      <c r="BS68" s="9">
        <f t="shared" si="14"/>
        <v>0</v>
      </c>
      <c r="BT68" s="9">
        <f t="shared" si="15"/>
        <v>0</v>
      </c>
      <c r="BU68" s="9">
        <f t="shared" si="16"/>
        <v>0</v>
      </c>
      <c r="BV68" s="12">
        <f t="shared" si="17"/>
        <v>0</v>
      </c>
      <c r="BX68" s="12">
        <f t="shared" si="18"/>
        <v>0</v>
      </c>
      <c r="BY68" s="12">
        <f t="shared" si="19"/>
        <v>-4.9738519625579791E-3</v>
      </c>
    </row>
    <row r="69" spans="1:77" x14ac:dyDescent="0.3">
      <c r="A69" s="1">
        <v>46122</v>
      </c>
      <c r="B69" s="8">
        <v>48</v>
      </c>
      <c r="C69" s="8">
        <v>49.92</v>
      </c>
      <c r="D69" s="9">
        <v>-2.7046724071270799E-3</v>
      </c>
      <c r="E69" s="9">
        <v>-2.2011014389414401E-3</v>
      </c>
      <c r="F69" s="8">
        <v>0</v>
      </c>
      <c r="G69" s="8">
        <v>0.32389999999999902</v>
      </c>
      <c r="H69" s="8">
        <v>0</v>
      </c>
      <c r="I69" s="8">
        <v>0.29780000000000001</v>
      </c>
      <c r="J69" s="8">
        <v>0</v>
      </c>
      <c r="K69" s="8">
        <v>0</v>
      </c>
      <c r="L69" s="8">
        <v>48</v>
      </c>
      <c r="M69" s="8">
        <v>49.92</v>
      </c>
      <c r="N69" s="10">
        <v>1.04</v>
      </c>
      <c r="O69" s="10">
        <v>1.03989039569729</v>
      </c>
      <c r="P69" s="10">
        <v>1.04009351129785</v>
      </c>
      <c r="Q69" s="10">
        <v>1.0401843524486301</v>
      </c>
      <c r="R69" s="8">
        <v>49.914738993470003</v>
      </c>
      <c r="S69" s="8">
        <v>49.935588667977697</v>
      </c>
      <c r="T69" s="8">
        <v>49.929687519864103</v>
      </c>
      <c r="U69" s="9">
        <v>-1.0539430638737E-4</v>
      </c>
      <c r="V69" s="9">
        <v>3.1222424928504399E-4</v>
      </c>
      <c r="W69" s="9">
        <v>1.9404206733449099E-4</v>
      </c>
      <c r="X69" s="10">
        <v>1.04</v>
      </c>
      <c r="Y69" s="10">
        <v>1.03989039569729</v>
      </c>
      <c r="Z69" s="10">
        <v>1.04009351129785</v>
      </c>
      <c r="AA69" s="10">
        <v>1.0401843524486301</v>
      </c>
      <c r="AB69" s="8">
        <v>49.914738993470003</v>
      </c>
      <c r="AC69" s="8">
        <v>49.935588667977697</v>
      </c>
      <c r="AD69" s="8">
        <v>49.929687519864103</v>
      </c>
      <c r="AE69" s="9">
        <v>-1.0539430638737E-4</v>
      </c>
      <c r="AF69" s="9">
        <v>3.1222424928504399E-4</v>
      </c>
      <c r="AG69" s="9">
        <v>1.9404206733449099E-4</v>
      </c>
      <c r="AZ69" s="9"/>
      <c r="BB69">
        <f t="shared" si="2"/>
        <v>0</v>
      </c>
      <c r="BC69">
        <f t="shared" si="3"/>
        <v>1</v>
      </c>
      <c r="BD69">
        <f t="shared" si="4"/>
        <v>0</v>
      </c>
      <c r="BE69">
        <f t="shared" si="0"/>
        <v>1</v>
      </c>
      <c r="BF69">
        <f t="shared" si="5"/>
        <v>0</v>
      </c>
      <c r="BG69" s="9">
        <f t="shared" si="6"/>
        <v>0</v>
      </c>
      <c r="BH69" s="9">
        <f t="shared" si="7"/>
        <v>0</v>
      </c>
      <c r="BI69" s="9">
        <f t="shared" si="8"/>
        <v>0</v>
      </c>
      <c r="BJ69" s="12">
        <f t="shared" si="9"/>
        <v>-4.9738519625579791E-3</v>
      </c>
      <c r="BL69" s="9"/>
      <c r="BN69">
        <f t="shared" si="10"/>
        <v>0</v>
      </c>
      <c r="BO69">
        <f t="shared" si="11"/>
        <v>0</v>
      </c>
      <c r="BP69">
        <f t="shared" si="12"/>
        <v>0</v>
      </c>
      <c r="BQ69">
        <f t="shared" si="1"/>
        <v>1</v>
      </c>
      <c r="BR69">
        <f t="shared" si="13"/>
        <v>0</v>
      </c>
      <c r="BS69" s="9">
        <f t="shared" si="14"/>
        <v>0</v>
      </c>
      <c r="BT69" s="9">
        <f t="shared" si="15"/>
        <v>0</v>
      </c>
      <c r="BU69" s="9">
        <f t="shared" si="16"/>
        <v>0</v>
      </c>
      <c r="BV69" s="12">
        <f t="shared" si="17"/>
        <v>0</v>
      </c>
      <c r="BX69" s="12">
        <f t="shared" si="18"/>
        <v>0</v>
      </c>
      <c r="BY69" s="12">
        <f t="shared" si="19"/>
        <v>-4.9738519625579791E-3</v>
      </c>
    </row>
    <row r="70" spans="1:77" x14ac:dyDescent="0.3">
      <c r="A70" s="1">
        <v>46125</v>
      </c>
      <c r="B70" s="8">
        <v>48.04</v>
      </c>
      <c r="C70" s="8">
        <v>49.91</v>
      </c>
      <c r="D70" s="9">
        <v>8.3298630389177098E-4</v>
      </c>
      <c r="E70" s="9">
        <v>-2.0034057965443401E-4</v>
      </c>
      <c r="F70" s="8">
        <v>0</v>
      </c>
      <c r="G70" s="8">
        <v>0.32389999999999902</v>
      </c>
      <c r="H70" s="8">
        <v>0</v>
      </c>
      <c r="I70" s="8">
        <v>0.29780000000000001</v>
      </c>
      <c r="J70" s="8">
        <v>0</v>
      </c>
      <c r="K70" s="8">
        <v>0</v>
      </c>
      <c r="L70" s="8">
        <v>48.04</v>
      </c>
      <c r="M70" s="8">
        <v>49.91</v>
      </c>
      <c r="N70" s="10">
        <v>1.0389258950874201</v>
      </c>
      <c r="O70" s="10">
        <v>1.03989039569729</v>
      </c>
      <c r="P70" s="10">
        <v>1.0397477457919</v>
      </c>
      <c r="Q70" s="10">
        <v>1.04008898053634</v>
      </c>
      <c r="R70" s="8">
        <v>49.956334609297897</v>
      </c>
      <c r="S70" s="8">
        <v>49.966092282748903</v>
      </c>
      <c r="T70" s="8">
        <v>49.970456291632601</v>
      </c>
      <c r="U70" s="9">
        <v>9.27932577158748E-4</v>
      </c>
      <c r="V70" s="9">
        <v>1.1232375509359501E-3</v>
      </c>
      <c r="W70" s="9">
        <v>1.2105731443451599E-3</v>
      </c>
      <c r="X70" s="10">
        <v>1.0389258950874201</v>
      </c>
      <c r="Y70" s="10">
        <v>1.03989039569729</v>
      </c>
      <c r="Z70" s="10">
        <v>1.0397477457919</v>
      </c>
      <c r="AA70" s="10">
        <v>1.04008898053634</v>
      </c>
      <c r="AB70" s="8">
        <v>49.956334609297897</v>
      </c>
      <c r="AC70" s="8">
        <v>49.966092282748903</v>
      </c>
      <c r="AD70" s="8">
        <v>49.970456291632601</v>
      </c>
      <c r="AE70" s="9">
        <v>9.27932577158748E-4</v>
      </c>
      <c r="AF70" s="9">
        <v>1.1232375509359501E-3</v>
      </c>
      <c r="AG70" s="9">
        <v>1.2105731443451599E-3</v>
      </c>
      <c r="AZ70" s="9"/>
      <c r="BB70">
        <f t="shared" si="2"/>
        <v>0</v>
      </c>
      <c r="BC70">
        <f t="shared" si="3"/>
        <v>1</v>
      </c>
      <c r="BD70">
        <f t="shared" si="4"/>
        <v>0</v>
      </c>
      <c r="BE70">
        <f t="shared" si="0"/>
        <v>1</v>
      </c>
      <c r="BF70">
        <f t="shared" si="5"/>
        <v>0</v>
      </c>
      <c r="BG70" s="9">
        <f t="shared" si="6"/>
        <v>0</v>
      </c>
      <c r="BH70" s="9">
        <f t="shared" si="7"/>
        <v>0</v>
      </c>
      <c r="BI70" s="9">
        <f t="shared" si="8"/>
        <v>0</v>
      </c>
      <c r="BJ70" s="12">
        <f t="shared" si="9"/>
        <v>-4.9738519625579791E-3</v>
      </c>
      <c r="BL70" s="9"/>
      <c r="BN70">
        <f t="shared" si="10"/>
        <v>0</v>
      </c>
      <c r="BO70">
        <f t="shared" si="11"/>
        <v>0</v>
      </c>
      <c r="BP70">
        <f t="shared" si="12"/>
        <v>0</v>
      </c>
      <c r="BQ70">
        <f t="shared" si="1"/>
        <v>1</v>
      </c>
      <c r="BR70">
        <f t="shared" si="13"/>
        <v>0</v>
      </c>
      <c r="BS70" s="9">
        <f t="shared" si="14"/>
        <v>0</v>
      </c>
      <c r="BT70" s="9">
        <f t="shared" si="15"/>
        <v>0</v>
      </c>
      <c r="BU70" s="9">
        <f t="shared" si="16"/>
        <v>0</v>
      </c>
      <c r="BV70" s="12">
        <f t="shared" si="17"/>
        <v>0</v>
      </c>
      <c r="BX70" s="12">
        <f t="shared" si="18"/>
        <v>0</v>
      </c>
      <c r="BY70" s="12">
        <f t="shared" si="19"/>
        <v>-4.9738519625579791E-3</v>
      </c>
    </row>
    <row r="71" spans="1:77" x14ac:dyDescent="0.3">
      <c r="A71" s="1">
        <v>46126</v>
      </c>
      <c r="B71" s="8">
        <v>48.22</v>
      </c>
      <c r="C71" s="8">
        <v>50.05</v>
      </c>
      <c r="D71" s="9">
        <v>3.7398755412422898E-3</v>
      </c>
      <c r="E71" s="9">
        <v>2.8011222797117699E-3</v>
      </c>
      <c r="F71" s="8">
        <v>0</v>
      </c>
      <c r="G71" s="8">
        <v>0.32389999999999902</v>
      </c>
      <c r="H71" s="8">
        <v>0</v>
      </c>
      <c r="I71" s="8">
        <v>0.29780000000000001</v>
      </c>
      <c r="J71" s="8">
        <v>0</v>
      </c>
      <c r="K71" s="8">
        <v>0</v>
      </c>
      <c r="L71" s="8">
        <v>48.22</v>
      </c>
      <c r="M71" s="8">
        <v>50.05</v>
      </c>
      <c r="N71" s="10">
        <v>1.03795105765242</v>
      </c>
      <c r="O71" s="10">
        <v>1.03989039569729</v>
      </c>
      <c r="P71" s="10">
        <v>1.03931602586139</v>
      </c>
      <c r="Q71" s="10">
        <v>1.0400060274048599</v>
      </c>
      <c r="R71" s="8">
        <v>50.143514880523398</v>
      </c>
      <c r="S71" s="8">
        <v>50.136636302085797</v>
      </c>
      <c r="T71" s="8">
        <v>50.153090641462498</v>
      </c>
      <c r="U71" s="9">
        <v>1.8666858386894201E-3</v>
      </c>
      <c r="V71" s="9">
        <v>1.7294986013886399E-3</v>
      </c>
      <c r="W71" s="9">
        <v>2.05763469320496E-3</v>
      </c>
      <c r="X71" s="10">
        <v>1.03795105765242</v>
      </c>
      <c r="Y71" s="10">
        <v>1.03989039569729</v>
      </c>
      <c r="Z71" s="10">
        <v>1.03931602586139</v>
      </c>
      <c r="AA71" s="10">
        <v>1.0400060274048599</v>
      </c>
      <c r="AB71" s="8">
        <v>50.143514880523398</v>
      </c>
      <c r="AC71" s="8">
        <v>50.136636302085797</v>
      </c>
      <c r="AD71" s="8">
        <v>50.153090641462498</v>
      </c>
      <c r="AE71" s="9">
        <v>1.8666858386894201E-3</v>
      </c>
      <c r="AF71" s="9">
        <v>1.7294986013886399E-3</v>
      </c>
      <c r="AG71" s="9">
        <v>2.05763469320496E-3</v>
      </c>
      <c r="AZ71" s="9"/>
      <c r="BB71">
        <f t="shared" si="2"/>
        <v>0</v>
      </c>
      <c r="BC71">
        <f t="shared" si="3"/>
        <v>1</v>
      </c>
      <c r="BD71">
        <f t="shared" si="4"/>
        <v>0</v>
      </c>
      <c r="BE71">
        <f t="shared" si="0"/>
        <v>1</v>
      </c>
      <c r="BF71">
        <f t="shared" si="5"/>
        <v>0</v>
      </c>
      <c r="BG71" s="9">
        <f t="shared" si="6"/>
        <v>0</v>
      </c>
      <c r="BH71" s="9">
        <f t="shared" si="7"/>
        <v>0</v>
      </c>
      <c r="BI71" s="9">
        <f t="shared" si="8"/>
        <v>0</v>
      </c>
      <c r="BJ71" s="12">
        <f t="shared" si="9"/>
        <v>-4.9738519625579791E-3</v>
      </c>
      <c r="BL71" s="9"/>
      <c r="BN71">
        <f t="shared" si="10"/>
        <v>0</v>
      </c>
      <c r="BO71">
        <f t="shared" si="11"/>
        <v>0</v>
      </c>
      <c r="BP71">
        <f t="shared" si="12"/>
        <v>0</v>
      </c>
      <c r="BQ71">
        <f t="shared" si="1"/>
        <v>1</v>
      </c>
      <c r="BR71">
        <f t="shared" si="13"/>
        <v>0</v>
      </c>
      <c r="BS71" s="9">
        <f t="shared" si="14"/>
        <v>0</v>
      </c>
      <c r="BT71" s="9">
        <f t="shared" si="15"/>
        <v>0</v>
      </c>
      <c r="BU71" s="9">
        <f t="shared" si="16"/>
        <v>0</v>
      </c>
      <c r="BV71" s="12">
        <f t="shared" si="17"/>
        <v>0</v>
      </c>
      <c r="BX71" s="12">
        <f t="shared" si="18"/>
        <v>0</v>
      </c>
      <c r="BY71" s="12">
        <f t="shared" si="19"/>
        <v>-4.9738519625579791E-3</v>
      </c>
    </row>
    <row r="72" spans="1:77" x14ac:dyDescent="0.3">
      <c r="A72" s="1">
        <v>46127</v>
      </c>
      <c r="B72" s="8">
        <v>48.12</v>
      </c>
      <c r="C72" s="8">
        <v>49.96</v>
      </c>
      <c r="D72" s="9">
        <v>-2.07598164654688E-3</v>
      </c>
      <c r="E72" s="9">
        <v>-1.7998205038525299E-3</v>
      </c>
      <c r="F72" s="8">
        <v>0</v>
      </c>
      <c r="G72" s="8">
        <v>0.32389999999999902</v>
      </c>
      <c r="H72" s="8">
        <v>0</v>
      </c>
      <c r="I72" s="8">
        <v>0.29780000000000001</v>
      </c>
      <c r="J72" s="8">
        <v>0</v>
      </c>
      <c r="K72" s="8">
        <v>0</v>
      </c>
      <c r="L72" s="8">
        <v>48.12</v>
      </c>
      <c r="M72" s="8">
        <v>49.96</v>
      </c>
      <c r="N72" s="10">
        <v>1.0382377389858599</v>
      </c>
      <c r="O72" s="10">
        <v>1.03989039569729</v>
      </c>
      <c r="P72" s="10">
        <v>1.0389982805092</v>
      </c>
      <c r="Q72" s="10">
        <v>1.0400131524493901</v>
      </c>
      <c r="R72" s="8">
        <v>50.039525840953701</v>
      </c>
      <c r="S72" s="8">
        <v>50.011887164450499</v>
      </c>
      <c r="T72" s="8">
        <v>50.045090038722002</v>
      </c>
      <c r="U72" s="9">
        <v>1.5905246959950999E-3</v>
      </c>
      <c r="V72" s="9">
        <v>1.0380352033228001E-3</v>
      </c>
      <c r="W72" s="9">
        <v>1.70171456718735E-3</v>
      </c>
      <c r="X72" s="10">
        <v>1.0382377389858599</v>
      </c>
      <c r="Y72" s="10">
        <v>1.03989039569729</v>
      </c>
      <c r="Z72" s="10">
        <v>1.0389982805092</v>
      </c>
      <c r="AA72" s="10">
        <v>1.0400131524493901</v>
      </c>
      <c r="AB72" s="8">
        <v>50.039525840953701</v>
      </c>
      <c r="AC72" s="8">
        <v>50.011887164450499</v>
      </c>
      <c r="AD72" s="8">
        <v>50.045090038722002</v>
      </c>
      <c r="AE72" s="9">
        <v>1.5905246959950999E-3</v>
      </c>
      <c r="AF72" s="9">
        <v>1.0380352033228001E-3</v>
      </c>
      <c r="AG72" s="9">
        <v>1.70171456718735E-3</v>
      </c>
      <c r="AZ72" s="9"/>
      <c r="BB72">
        <f t="shared" si="2"/>
        <v>0</v>
      </c>
      <c r="BC72">
        <f t="shared" si="3"/>
        <v>1</v>
      </c>
      <c r="BD72">
        <f t="shared" si="4"/>
        <v>0</v>
      </c>
      <c r="BE72">
        <f t="shared" si="0"/>
        <v>1</v>
      </c>
      <c r="BF72">
        <f t="shared" si="5"/>
        <v>0</v>
      </c>
      <c r="BG72" s="9">
        <f t="shared" si="6"/>
        <v>0</v>
      </c>
      <c r="BH72" s="9">
        <f t="shared" si="7"/>
        <v>0</v>
      </c>
      <c r="BI72" s="9">
        <f t="shared" si="8"/>
        <v>0</v>
      </c>
      <c r="BJ72" s="12">
        <f t="shared" si="9"/>
        <v>-4.9738519625579791E-3</v>
      </c>
      <c r="BL72" s="9"/>
      <c r="BN72">
        <f t="shared" si="10"/>
        <v>0</v>
      </c>
      <c r="BO72">
        <f t="shared" si="11"/>
        <v>0</v>
      </c>
      <c r="BP72">
        <f t="shared" si="12"/>
        <v>0</v>
      </c>
      <c r="BQ72">
        <f t="shared" si="1"/>
        <v>1</v>
      </c>
      <c r="BR72">
        <f t="shared" si="13"/>
        <v>0</v>
      </c>
      <c r="BS72" s="9">
        <f t="shared" si="14"/>
        <v>0</v>
      </c>
      <c r="BT72" s="9">
        <f t="shared" si="15"/>
        <v>0</v>
      </c>
      <c r="BU72" s="9">
        <f t="shared" si="16"/>
        <v>0</v>
      </c>
      <c r="BV72" s="12">
        <f t="shared" si="17"/>
        <v>0</v>
      </c>
      <c r="BX72" s="12">
        <f t="shared" si="18"/>
        <v>0</v>
      </c>
      <c r="BY72" s="12">
        <f t="shared" si="19"/>
        <v>-4.9738519625579791E-3</v>
      </c>
    </row>
    <row r="73" spans="1:77" x14ac:dyDescent="0.3">
      <c r="A73" s="1">
        <v>46128</v>
      </c>
      <c r="B73" s="8">
        <v>48.09</v>
      </c>
      <c r="C73" s="8">
        <v>49.97</v>
      </c>
      <c r="D73" s="9">
        <v>-6.2363581690672899E-4</v>
      </c>
      <c r="E73" s="9">
        <v>2.0014009873676799E-4</v>
      </c>
      <c r="F73" s="8">
        <v>0</v>
      </c>
      <c r="G73" s="8">
        <v>0.32389999999999902</v>
      </c>
      <c r="H73" s="8">
        <v>0</v>
      </c>
      <c r="I73" s="8">
        <v>0.29780000000000001</v>
      </c>
      <c r="J73" s="8">
        <v>0</v>
      </c>
      <c r="K73" s="8">
        <v>0</v>
      </c>
      <c r="L73" s="8">
        <v>48.09</v>
      </c>
      <c r="M73" s="8">
        <v>49.97</v>
      </c>
      <c r="N73" s="10">
        <v>1.0390933666042801</v>
      </c>
      <c r="O73" s="10">
        <v>1.03989039569729</v>
      </c>
      <c r="P73" s="10">
        <v>1.0390542532871001</v>
      </c>
      <c r="Q73" s="10">
        <v>1.03996200078376</v>
      </c>
      <c r="R73" s="8">
        <v>50.008329129082803</v>
      </c>
      <c r="S73" s="8">
        <v>49.965427309687698</v>
      </c>
      <c r="T73" s="8">
        <v>50.014232501291403</v>
      </c>
      <c r="U73" s="9">
        <v>7.66748780351627E-4</v>
      </c>
      <c r="V73" s="9">
        <v>-9.1512898650036195E-5</v>
      </c>
      <c r="W73" s="9">
        <v>8.8478959272842198E-4</v>
      </c>
      <c r="X73" s="10">
        <v>1.0390933666042801</v>
      </c>
      <c r="Y73" s="10">
        <v>1.03989039569729</v>
      </c>
      <c r="Z73" s="10">
        <v>1.0390542532871001</v>
      </c>
      <c r="AA73" s="10">
        <v>1.03996200078376</v>
      </c>
      <c r="AB73" s="8">
        <v>50.008329129082803</v>
      </c>
      <c r="AC73" s="8">
        <v>49.965427309687698</v>
      </c>
      <c r="AD73" s="8">
        <v>50.014232501291403</v>
      </c>
      <c r="AE73" s="9">
        <v>7.66748780351627E-4</v>
      </c>
      <c r="AF73" s="9">
        <v>-9.1512898650036195E-5</v>
      </c>
      <c r="AG73" s="9">
        <v>8.8478959272842198E-4</v>
      </c>
      <c r="AZ73" s="9"/>
      <c r="BB73">
        <f t="shared" si="2"/>
        <v>0</v>
      </c>
      <c r="BC73">
        <f t="shared" si="3"/>
        <v>1</v>
      </c>
      <c r="BD73">
        <f t="shared" si="4"/>
        <v>0</v>
      </c>
      <c r="BE73">
        <f t="shared" si="0"/>
        <v>1</v>
      </c>
      <c r="BF73">
        <f t="shared" si="5"/>
        <v>0</v>
      </c>
      <c r="BG73" s="9">
        <f t="shared" si="6"/>
        <v>0</v>
      </c>
      <c r="BH73" s="9">
        <f t="shared" si="7"/>
        <v>0</v>
      </c>
      <c r="BI73" s="9">
        <f t="shared" si="8"/>
        <v>0</v>
      </c>
      <c r="BJ73" s="12">
        <f t="shared" si="9"/>
        <v>-4.9738519625579791E-3</v>
      </c>
      <c r="BL73" s="9"/>
      <c r="BN73">
        <f t="shared" si="10"/>
        <v>0</v>
      </c>
      <c r="BO73">
        <f t="shared" si="11"/>
        <v>0</v>
      </c>
      <c r="BP73">
        <f t="shared" si="12"/>
        <v>0</v>
      </c>
      <c r="BQ73">
        <f t="shared" si="1"/>
        <v>1</v>
      </c>
      <c r="BR73">
        <f t="shared" si="13"/>
        <v>0</v>
      </c>
      <c r="BS73" s="9">
        <f t="shared" si="14"/>
        <v>0</v>
      </c>
      <c r="BT73" s="9">
        <f t="shared" si="15"/>
        <v>0</v>
      </c>
      <c r="BU73" s="9">
        <f t="shared" si="16"/>
        <v>0</v>
      </c>
      <c r="BV73" s="12">
        <f t="shared" si="17"/>
        <v>0</v>
      </c>
      <c r="BX73" s="12">
        <f t="shared" si="18"/>
        <v>0</v>
      </c>
      <c r="BY73" s="12">
        <f t="shared" si="19"/>
        <v>-4.9738519625579791E-3</v>
      </c>
    </row>
    <row r="74" spans="1:77" x14ac:dyDescent="0.3">
      <c r="A74" s="1">
        <v>46129</v>
      </c>
      <c r="B74" s="8">
        <v>48.33</v>
      </c>
      <c r="C74" s="8">
        <v>50.21</v>
      </c>
      <c r="D74" s="9">
        <v>4.9782305674212404E-3</v>
      </c>
      <c r="E74" s="9">
        <v>4.79138469050059E-3</v>
      </c>
      <c r="F74" s="8">
        <v>0</v>
      </c>
      <c r="G74" s="8">
        <v>0.32389999999999902</v>
      </c>
      <c r="H74" s="8">
        <v>0</v>
      </c>
      <c r="I74" s="8">
        <v>0.29780000000000001</v>
      </c>
      <c r="J74" s="8">
        <v>0</v>
      </c>
      <c r="K74" s="8">
        <v>0</v>
      </c>
      <c r="L74" s="8">
        <v>48.33</v>
      </c>
      <c r="M74" s="8">
        <v>50.21</v>
      </c>
      <c r="N74" s="10">
        <v>1.0388992344299599</v>
      </c>
      <c r="O74" s="10">
        <v>1.03989039569729</v>
      </c>
      <c r="P74" s="10">
        <v>1.0390450941612901</v>
      </c>
      <c r="Q74" s="10">
        <v>1.0398811989482299</v>
      </c>
      <c r="R74" s="8">
        <v>50.257902824050099</v>
      </c>
      <c r="S74" s="8">
        <v>50.217492061366002</v>
      </c>
      <c r="T74" s="8">
        <v>50.261363497879401</v>
      </c>
      <c r="U74" s="9">
        <v>9.5359465727237096E-4</v>
      </c>
      <c r="V74" s="9">
        <v>1.4920339492964599E-4</v>
      </c>
      <c r="W74" s="9">
        <v>1.02245058822449E-3</v>
      </c>
      <c r="X74" s="10">
        <v>1.0388992344299599</v>
      </c>
      <c r="Y74" s="10">
        <v>1.03989039569729</v>
      </c>
      <c r="Z74" s="10">
        <v>1.0390450941612901</v>
      </c>
      <c r="AA74" s="10">
        <v>1.0398811989482299</v>
      </c>
      <c r="AB74" s="8">
        <v>50.257902824050099</v>
      </c>
      <c r="AC74" s="8">
        <v>50.217492061366002</v>
      </c>
      <c r="AD74" s="8">
        <v>50.261363497879401</v>
      </c>
      <c r="AE74" s="9">
        <v>9.5359465727237096E-4</v>
      </c>
      <c r="AF74" s="9">
        <v>1.4920339492964599E-4</v>
      </c>
      <c r="AG74" s="9">
        <v>1.02245058822449E-3</v>
      </c>
      <c r="AZ74" s="9"/>
      <c r="BB74">
        <f t="shared" si="2"/>
        <v>0</v>
      </c>
      <c r="BC74">
        <f t="shared" si="3"/>
        <v>1</v>
      </c>
      <c r="BD74">
        <f t="shared" si="4"/>
        <v>0</v>
      </c>
      <c r="BE74">
        <f t="shared" si="0"/>
        <v>1</v>
      </c>
      <c r="BF74">
        <f t="shared" si="5"/>
        <v>0</v>
      </c>
      <c r="BG74" s="9">
        <f t="shared" si="6"/>
        <v>0</v>
      </c>
      <c r="BH74" s="9">
        <f t="shared" si="7"/>
        <v>0</v>
      </c>
      <c r="BI74" s="9">
        <f t="shared" si="8"/>
        <v>0</v>
      </c>
      <c r="BJ74" s="12">
        <f t="shared" si="9"/>
        <v>-4.9738519625579791E-3</v>
      </c>
      <c r="BL74" s="9"/>
      <c r="BN74">
        <f t="shared" si="10"/>
        <v>0</v>
      </c>
      <c r="BO74">
        <f t="shared" si="11"/>
        <v>0</v>
      </c>
      <c r="BP74">
        <f t="shared" si="12"/>
        <v>0</v>
      </c>
      <c r="BQ74">
        <f t="shared" si="1"/>
        <v>1</v>
      </c>
      <c r="BR74">
        <f t="shared" si="13"/>
        <v>0</v>
      </c>
      <c r="BS74" s="9">
        <f t="shared" si="14"/>
        <v>0</v>
      </c>
      <c r="BT74" s="9">
        <f t="shared" si="15"/>
        <v>0</v>
      </c>
      <c r="BU74" s="9">
        <f t="shared" si="16"/>
        <v>0</v>
      </c>
      <c r="BV74" s="12">
        <f t="shared" si="17"/>
        <v>0</v>
      </c>
      <c r="BX74" s="12">
        <f t="shared" si="18"/>
        <v>0</v>
      </c>
      <c r="BY74" s="12">
        <f t="shared" si="19"/>
        <v>-4.9738519625579791E-3</v>
      </c>
    </row>
    <row r="75" spans="1:77" x14ac:dyDescent="0.3">
      <c r="A75" s="1">
        <v>46132</v>
      </c>
      <c r="B75" s="8">
        <v>48.27</v>
      </c>
      <c r="C75" s="8">
        <v>50.15</v>
      </c>
      <c r="D75" s="9">
        <v>-1.24223618459105E-3</v>
      </c>
      <c r="E75" s="9">
        <v>-1.1956956386695999E-3</v>
      </c>
      <c r="F75" s="8">
        <v>0</v>
      </c>
      <c r="G75" s="8">
        <v>0.32389999999999902</v>
      </c>
      <c r="H75" s="8">
        <v>0</v>
      </c>
      <c r="I75" s="8">
        <v>0.29780000000000001</v>
      </c>
      <c r="J75" s="8">
        <v>0</v>
      </c>
      <c r="K75" s="8">
        <v>0</v>
      </c>
      <c r="L75" s="8">
        <v>48.27</v>
      </c>
      <c r="M75" s="8">
        <v>50.15</v>
      </c>
      <c r="N75" s="10">
        <v>1.0389475864926401</v>
      </c>
      <c r="O75" s="10">
        <v>1.03989039569729</v>
      </c>
      <c r="P75" s="10">
        <v>1.0389507132950999</v>
      </c>
      <c r="Q75" s="10">
        <v>1.0398101720816899</v>
      </c>
      <c r="R75" s="8">
        <v>50.195509400308303</v>
      </c>
      <c r="S75" s="8">
        <v>50.1547066951658</v>
      </c>
      <c r="T75" s="8">
        <v>50.195065473231097</v>
      </c>
      <c r="U75" s="9">
        <v>9.0705411135103995E-4</v>
      </c>
      <c r="V75" s="9">
        <v>9.3847942422877094E-5</v>
      </c>
      <c r="W75" s="9">
        <v>8.9821011224467805E-4</v>
      </c>
      <c r="X75" s="10">
        <v>1.0389475864926401</v>
      </c>
      <c r="Y75" s="10">
        <v>1.03989039569729</v>
      </c>
      <c r="Z75" s="10">
        <v>1.0389507132950999</v>
      </c>
      <c r="AA75" s="10">
        <v>1.0398101720816899</v>
      </c>
      <c r="AB75" s="8">
        <v>50.195509400308303</v>
      </c>
      <c r="AC75" s="8">
        <v>50.1547066951658</v>
      </c>
      <c r="AD75" s="8">
        <v>50.195065473231097</v>
      </c>
      <c r="AE75" s="9">
        <v>9.0705411135103995E-4</v>
      </c>
      <c r="AF75" s="9">
        <v>9.3847942422877094E-5</v>
      </c>
      <c r="AG75" s="9">
        <v>8.9821011224467805E-4</v>
      </c>
      <c r="AZ75" s="9"/>
      <c r="BB75">
        <f t="shared" si="2"/>
        <v>0</v>
      </c>
      <c r="BC75">
        <f t="shared" si="3"/>
        <v>1</v>
      </c>
      <c r="BD75">
        <f t="shared" si="4"/>
        <v>0</v>
      </c>
      <c r="BE75">
        <f t="shared" si="0"/>
        <v>1</v>
      </c>
      <c r="BF75">
        <f t="shared" si="5"/>
        <v>0</v>
      </c>
      <c r="BG75" s="9">
        <f t="shared" si="6"/>
        <v>0</v>
      </c>
      <c r="BH75" s="9">
        <f t="shared" si="7"/>
        <v>0</v>
      </c>
      <c r="BI75" s="9">
        <f t="shared" si="8"/>
        <v>0</v>
      </c>
      <c r="BJ75" s="12">
        <f t="shared" si="9"/>
        <v>-4.9738519625579791E-3</v>
      </c>
      <c r="BL75" s="9"/>
      <c r="BN75">
        <f t="shared" si="10"/>
        <v>0</v>
      </c>
      <c r="BO75">
        <f t="shared" si="11"/>
        <v>0</v>
      </c>
      <c r="BP75">
        <f t="shared" si="12"/>
        <v>0</v>
      </c>
      <c r="BQ75">
        <f t="shared" si="1"/>
        <v>1</v>
      </c>
      <c r="BR75">
        <f t="shared" si="13"/>
        <v>0</v>
      </c>
      <c r="BS75" s="9">
        <f t="shared" si="14"/>
        <v>0</v>
      </c>
      <c r="BT75" s="9">
        <f t="shared" si="15"/>
        <v>0</v>
      </c>
      <c r="BU75" s="9">
        <f t="shared" si="16"/>
        <v>0</v>
      </c>
      <c r="BV75" s="12">
        <f t="shared" si="17"/>
        <v>0</v>
      </c>
      <c r="BX75" s="12">
        <f t="shared" si="18"/>
        <v>0</v>
      </c>
      <c r="BY75" s="12">
        <f t="shared" si="19"/>
        <v>-4.9738519625579791E-3</v>
      </c>
    </row>
    <row r="76" spans="1:77" x14ac:dyDescent="0.3">
      <c r="A76" s="1">
        <v>46133</v>
      </c>
      <c r="B76" s="8">
        <v>48.1</v>
      </c>
      <c r="C76" s="8">
        <v>49.97</v>
      </c>
      <c r="D76" s="9">
        <v>-3.5280725606860299E-3</v>
      </c>
      <c r="E76" s="9">
        <v>-3.5956890518308799E-3</v>
      </c>
      <c r="F76" s="8">
        <v>0</v>
      </c>
      <c r="G76" s="8">
        <v>0.32389999999999902</v>
      </c>
      <c r="H76" s="8">
        <v>0</v>
      </c>
      <c r="I76" s="8">
        <v>0.29780000000000001</v>
      </c>
      <c r="J76" s="8">
        <v>0</v>
      </c>
      <c r="K76" s="8">
        <v>0</v>
      </c>
      <c r="L76" s="8">
        <v>48.1</v>
      </c>
      <c r="M76" s="8">
        <v>49.97</v>
      </c>
      <c r="N76" s="10">
        <v>1.03887733887733</v>
      </c>
      <c r="O76" s="10">
        <v>1.03989039569729</v>
      </c>
      <c r="P76" s="10">
        <v>1.0388726780323501</v>
      </c>
      <c r="Q76" s="10">
        <v>1.0397336266114701</v>
      </c>
      <c r="R76" s="8">
        <v>50.0187280330398</v>
      </c>
      <c r="S76" s="8">
        <v>49.973529309494602</v>
      </c>
      <c r="T76" s="8">
        <v>50.0148692771292</v>
      </c>
      <c r="U76" s="9">
        <v>9.7467060249585504E-4</v>
      </c>
      <c r="V76" s="9">
        <v>7.0626072953964495E-5</v>
      </c>
      <c r="W76" s="9">
        <v>8.9752140430250096E-4</v>
      </c>
      <c r="X76" s="10">
        <v>1.03887733887733</v>
      </c>
      <c r="Y76" s="10">
        <v>1.03989039569729</v>
      </c>
      <c r="Z76" s="10">
        <v>1.0388726780323501</v>
      </c>
      <c r="AA76" s="10">
        <v>1.0397336266114701</v>
      </c>
      <c r="AB76" s="8">
        <v>50.0187280330398</v>
      </c>
      <c r="AC76" s="8">
        <v>49.973529309494602</v>
      </c>
      <c r="AD76" s="8">
        <v>50.0148692771292</v>
      </c>
      <c r="AE76" s="9">
        <v>9.7467060249585504E-4</v>
      </c>
      <c r="AF76" s="9">
        <v>7.0626072953964495E-5</v>
      </c>
      <c r="AG76" s="9">
        <v>8.9752140430250096E-4</v>
      </c>
      <c r="AZ76" s="9"/>
      <c r="BB76">
        <f t="shared" si="2"/>
        <v>0</v>
      </c>
      <c r="BC76">
        <f t="shared" si="3"/>
        <v>1</v>
      </c>
      <c r="BD76">
        <f t="shared" si="4"/>
        <v>0</v>
      </c>
      <c r="BE76">
        <f t="shared" si="0"/>
        <v>1</v>
      </c>
      <c r="BF76">
        <f t="shared" si="5"/>
        <v>0</v>
      </c>
      <c r="BG76" s="9">
        <f t="shared" si="6"/>
        <v>0</v>
      </c>
      <c r="BH76" s="9">
        <f t="shared" si="7"/>
        <v>0</v>
      </c>
      <c r="BI76" s="9">
        <f t="shared" si="8"/>
        <v>0</v>
      </c>
      <c r="BJ76" s="12">
        <f t="shared" si="9"/>
        <v>-4.9738519625579791E-3</v>
      </c>
      <c r="BL76" s="9"/>
      <c r="BN76">
        <f t="shared" si="10"/>
        <v>0</v>
      </c>
      <c r="BO76">
        <f t="shared" si="11"/>
        <v>0</v>
      </c>
      <c r="BP76">
        <f t="shared" si="12"/>
        <v>0</v>
      </c>
      <c r="BQ76">
        <f t="shared" si="1"/>
        <v>1</v>
      </c>
      <c r="BR76">
        <f t="shared" si="13"/>
        <v>0</v>
      </c>
      <c r="BS76" s="9">
        <f t="shared" si="14"/>
        <v>0</v>
      </c>
      <c r="BT76" s="9">
        <f t="shared" si="15"/>
        <v>0</v>
      </c>
      <c r="BU76" s="9">
        <f t="shared" si="16"/>
        <v>0</v>
      </c>
      <c r="BV76" s="12">
        <f t="shared" si="17"/>
        <v>0</v>
      </c>
      <c r="BX76" s="12">
        <f t="shared" si="18"/>
        <v>0</v>
      </c>
      <c r="BY76" s="12">
        <f t="shared" si="19"/>
        <v>-4.9738519625579791E-3</v>
      </c>
    </row>
    <row r="77" spans="1:77" x14ac:dyDescent="0.3">
      <c r="A77" s="1">
        <v>46134</v>
      </c>
      <c r="B77" s="8">
        <v>48.18</v>
      </c>
      <c r="C77" s="8">
        <v>50.07</v>
      </c>
      <c r="D77" s="9">
        <v>1.6618200750098001E-3</v>
      </c>
      <c r="E77" s="9">
        <v>1.99920098573969E-3</v>
      </c>
      <c r="F77" s="8">
        <v>0</v>
      </c>
      <c r="G77" s="8">
        <v>0.32389999999999902</v>
      </c>
      <c r="H77" s="8">
        <v>0</v>
      </c>
      <c r="I77" s="8">
        <v>0.29780000000000001</v>
      </c>
      <c r="J77" s="8">
        <v>0</v>
      </c>
      <c r="K77" s="8">
        <v>0</v>
      </c>
      <c r="L77" s="8">
        <v>48.18</v>
      </c>
      <c r="M77" s="8">
        <v>50.07</v>
      </c>
      <c r="N77" s="10">
        <v>1.03922789539227</v>
      </c>
      <c r="O77" s="10">
        <v>1.03989039569729</v>
      </c>
      <c r="P77" s="10">
        <v>1.0389636531556701</v>
      </c>
      <c r="Q77" s="10">
        <v>1.03967745918163</v>
      </c>
      <c r="R77" s="8">
        <v>50.101919264695503</v>
      </c>
      <c r="S77" s="8">
        <v>50.052885627598599</v>
      </c>
      <c r="T77" s="8">
        <v>50.094366130140898</v>
      </c>
      <c r="U77" s="9">
        <v>6.3728969176585096E-4</v>
      </c>
      <c r="V77" s="9">
        <v>-3.4186734552703899E-4</v>
      </c>
      <c r="W77" s="9">
        <v>4.8652293351331198E-4</v>
      </c>
      <c r="X77" s="10">
        <v>1.03922789539227</v>
      </c>
      <c r="Y77" s="10">
        <v>1.03989039569729</v>
      </c>
      <c r="Z77" s="10">
        <v>1.0389636531556701</v>
      </c>
      <c r="AA77" s="10">
        <v>1.03967745918163</v>
      </c>
      <c r="AB77" s="8">
        <v>50.101919264695503</v>
      </c>
      <c r="AC77" s="8">
        <v>50.052885627598599</v>
      </c>
      <c r="AD77" s="8">
        <v>50.094366130140898</v>
      </c>
      <c r="AE77" s="9">
        <v>6.3728969176585096E-4</v>
      </c>
      <c r="AF77" s="9">
        <v>-3.4186734552703899E-4</v>
      </c>
      <c r="AG77" s="9">
        <v>4.8652293351331198E-4</v>
      </c>
      <c r="AZ77" s="9"/>
      <c r="BB77">
        <f t="shared" si="2"/>
        <v>0</v>
      </c>
      <c r="BC77">
        <f t="shared" si="3"/>
        <v>1</v>
      </c>
      <c r="BD77">
        <f t="shared" si="4"/>
        <v>0</v>
      </c>
      <c r="BE77">
        <f t="shared" si="0"/>
        <v>1</v>
      </c>
      <c r="BF77">
        <f t="shared" si="5"/>
        <v>0</v>
      </c>
      <c r="BG77" s="9">
        <f t="shared" si="6"/>
        <v>0</v>
      </c>
      <c r="BH77" s="9">
        <f t="shared" si="7"/>
        <v>0</v>
      </c>
      <c r="BI77" s="9">
        <f t="shared" si="8"/>
        <v>0</v>
      </c>
      <c r="BJ77" s="12">
        <f t="shared" si="9"/>
        <v>-4.9738519625579791E-3</v>
      </c>
      <c r="BL77" s="9"/>
      <c r="BN77">
        <f t="shared" si="10"/>
        <v>0</v>
      </c>
      <c r="BO77">
        <f t="shared" si="11"/>
        <v>0</v>
      </c>
      <c r="BP77">
        <f t="shared" si="12"/>
        <v>0</v>
      </c>
      <c r="BQ77">
        <f t="shared" si="1"/>
        <v>1</v>
      </c>
      <c r="BR77">
        <f t="shared" si="13"/>
        <v>0</v>
      </c>
      <c r="BS77" s="9">
        <f t="shared" si="14"/>
        <v>0</v>
      </c>
      <c r="BT77" s="9">
        <f t="shared" si="15"/>
        <v>0</v>
      </c>
      <c r="BU77" s="9">
        <f t="shared" si="16"/>
        <v>0</v>
      </c>
      <c r="BV77" s="12">
        <f t="shared" si="17"/>
        <v>0</v>
      </c>
      <c r="BX77" s="12">
        <f t="shared" si="18"/>
        <v>0</v>
      </c>
      <c r="BY77" s="12">
        <f t="shared" si="19"/>
        <v>-4.9738519625579791E-3</v>
      </c>
    </row>
    <row r="78" spans="1:77" x14ac:dyDescent="0.3">
      <c r="A78" s="1">
        <v>46135</v>
      </c>
      <c r="B78" s="8">
        <v>48.09</v>
      </c>
      <c r="C78" s="8">
        <v>49.96</v>
      </c>
      <c r="D78" s="9">
        <v>-1.86974189715392E-3</v>
      </c>
      <c r="E78" s="9">
        <v>-2.1993410844764502E-3</v>
      </c>
      <c r="F78" s="8">
        <v>0</v>
      </c>
      <c r="G78" s="8">
        <v>0.32389999999999902</v>
      </c>
      <c r="H78" s="8">
        <v>0</v>
      </c>
      <c r="I78" s="8">
        <v>0.29780000000000001</v>
      </c>
      <c r="J78" s="8">
        <v>0</v>
      </c>
      <c r="K78" s="8">
        <v>0</v>
      </c>
      <c r="L78" s="8">
        <v>48.09</v>
      </c>
      <c r="M78" s="8">
        <v>49.96</v>
      </c>
      <c r="N78" s="10">
        <v>1.0388854231648901</v>
      </c>
      <c r="O78" s="10">
        <v>1.03989039569729</v>
      </c>
      <c r="P78" s="10">
        <v>1.03890455366871</v>
      </c>
      <c r="Q78" s="10">
        <v>1.03961465879245</v>
      </c>
      <c r="R78" s="8">
        <v>50.008329129082803</v>
      </c>
      <c r="S78" s="8">
        <v>49.963762080256203</v>
      </c>
      <c r="T78" s="8">
        <v>49.998089012044701</v>
      </c>
      <c r="U78" s="9">
        <v>9.6688887908831099E-4</v>
      </c>
      <c r="V78" s="9">
        <v>7.5299011560919701E-5</v>
      </c>
      <c r="W78" s="9">
        <v>7.6209968127138004E-4</v>
      </c>
      <c r="X78" s="10">
        <v>1.0388854231648901</v>
      </c>
      <c r="Y78" s="10">
        <v>1.03989039569729</v>
      </c>
      <c r="Z78" s="10">
        <v>1.03890455366871</v>
      </c>
      <c r="AA78" s="10">
        <v>1.03961465879245</v>
      </c>
      <c r="AB78" s="8">
        <v>50.008329129082803</v>
      </c>
      <c r="AC78" s="8">
        <v>49.963762080256203</v>
      </c>
      <c r="AD78" s="8">
        <v>49.998089012044701</v>
      </c>
      <c r="AE78" s="9">
        <v>9.6688887908831099E-4</v>
      </c>
      <c r="AF78" s="9">
        <v>7.5299011560919701E-5</v>
      </c>
      <c r="AG78" s="9">
        <v>7.6209968127138004E-4</v>
      </c>
      <c r="AZ78" s="9"/>
      <c r="BB78">
        <f t="shared" si="2"/>
        <v>0</v>
      </c>
      <c r="BC78">
        <f t="shared" si="3"/>
        <v>1</v>
      </c>
      <c r="BD78">
        <f t="shared" si="4"/>
        <v>0</v>
      </c>
      <c r="BE78">
        <f t="shared" si="0"/>
        <v>1</v>
      </c>
      <c r="BF78">
        <f t="shared" si="5"/>
        <v>0</v>
      </c>
      <c r="BG78" s="9">
        <f t="shared" si="6"/>
        <v>0</v>
      </c>
      <c r="BH78" s="9">
        <f t="shared" si="7"/>
        <v>0</v>
      </c>
      <c r="BI78" s="9">
        <f t="shared" si="8"/>
        <v>0</v>
      </c>
      <c r="BJ78" s="12">
        <f t="shared" si="9"/>
        <v>-4.9738519625579791E-3</v>
      </c>
      <c r="BL78" s="9"/>
      <c r="BN78">
        <f t="shared" si="10"/>
        <v>0</v>
      </c>
      <c r="BO78">
        <f t="shared" si="11"/>
        <v>0</v>
      </c>
      <c r="BP78">
        <f t="shared" si="12"/>
        <v>0</v>
      </c>
      <c r="BQ78">
        <f t="shared" si="1"/>
        <v>1</v>
      </c>
      <c r="BR78">
        <f t="shared" si="13"/>
        <v>0</v>
      </c>
      <c r="BS78" s="9">
        <f t="shared" si="14"/>
        <v>0</v>
      </c>
      <c r="BT78" s="9">
        <f t="shared" si="15"/>
        <v>0</v>
      </c>
      <c r="BU78" s="9">
        <f t="shared" si="16"/>
        <v>0</v>
      </c>
      <c r="BV78" s="12">
        <f t="shared" si="17"/>
        <v>0</v>
      </c>
      <c r="BX78" s="12">
        <f t="shared" si="18"/>
        <v>0</v>
      </c>
      <c r="BY78" s="12">
        <f t="shared" si="19"/>
        <v>-4.9738519625579791E-3</v>
      </c>
    </row>
    <row r="79" spans="1:77" x14ac:dyDescent="0.3">
      <c r="A79" s="1">
        <v>46136</v>
      </c>
      <c r="B79" s="8">
        <v>48.17</v>
      </c>
      <c r="C79" s="8">
        <v>50.09</v>
      </c>
      <c r="D79" s="9">
        <v>1.6621653525581599E-3</v>
      </c>
      <c r="E79" s="9">
        <v>2.5987021121485002E-3</v>
      </c>
      <c r="F79" s="8">
        <v>0</v>
      </c>
      <c r="G79" s="8">
        <v>0.32389999999999902</v>
      </c>
      <c r="H79" s="8">
        <v>0</v>
      </c>
      <c r="I79" s="8">
        <v>0.29780000000000001</v>
      </c>
      <c r="J79" s="8">
        <v>0</v>
      </c>
      <c r="K79" s="8">
        <v>0</v>
      </c>
      <c r="L79" s="8">
        <v>48.17</v>
      </c>
      <c r="M79" s="8">
        <v>50.09</v>
      </c>
      <c r="N79" s="10">
        <v>1.03985883329873</v>
      </c>
      <c r="O79" s="10">
        <v>1.03989039569729</v>
      </c>
      <c r="P79" s="10">
        <v>1.0388904369985801</v>
      </c>
      <c r="Q79" s="10">
        <v>1.03949197414822</v>
      </c>
      <c r="R79" s="8">
        <v>50.091520360738599</v>
      </c>
      <c r="S79" s="8">
        <v>50.044032350221798</v>
      </c>
      <c r="T79" s="8">
        <v>50.0782381140327</v>
      </c>
      <c r="U79" s="9">
        <v>3.0352119497939599E-5</v>
      </c>
      <c r="V79" s="9">
        <v>-9.1812247900640697E-4</v>
      </c>
      <c r="W79" s="9">
        <v>-2.3484262562265199E-4</v>
      </c>
      <c r="X79" s="10">
        <v>1.03985883329873</v>
      </c>
      <c r="Y79" s="10">
        <v>1.03989039569729</v>
      </c>
      <c r="Z79" s="10">
        <v>1.0388904369985801</v>
      </c>
      <c r="AA79" s="10">
        <v>1.03949197414822</v>
      </c>
      <c r="AB79" s="8">
        <v>50.091520360738599</v>
      </c>
      <c r="AC79" s="8">
        <v>50.044032350221798</v>
      </c>
      <c r="AD79" s="8">
        <v>50.0782381140327</v>
      </c>
      <c r="AE79" s="9">
        <v>3.0352119497939599E-5</v>
      </c>
      <c r="AF79" s="9">
        <v>-9.1812247900640697E-4</v>
      </c>
      <c r="AG79" s="9">
        <v>-2.3484262562265199E-4</v>
      </c>
      <c r="AZ79" s="9"/>
      <c r="BB79">
        <f t="shared" si="2"/>
        <v>0</v>
      </c>
      <c r="BC79">
        <f t="shared" si="3"/>
        <v>0</v>
      </c>
      <c r="BD79">
        <f t="shared" si="4"/>
        <v>0</v>
      </c>
      <c r="BE79">
        <f t="shared" si="0"/>
        <v>1</v>
      </c>
      <c r="BF79">
        <f t="shared" si="5"/>
        <v>0</v>
      </c>
      <c r="BG79" s="9">
        <f t="shared" si="6"/>
        <v>0</v>
      </c>
      <c r="BH79" s="9">
        <f t="shared" si="7"/>
        <v>0</v>
      </c>
      <c r="BI79" s="9">
        <f t="shared" si="8"/>
        <v>0</v>
      </c>
      <c r="BJ79" s="12">
        <f t="shared" si="9"/>
        <v>-4.9738519625579791E-3</v>
      </c>
      <c r="BL79" s="9"/>
      <c r="BN79">
        <f t="shared" si="10"/>
        <v>0</v>
      </c>
      <c r="BO79">
        <f t="shared" si="11"/>
        <v>1</v>
      </c>
      <c r="BP79">
        <f t="shared" si="12"/>
        <v>0</v>
      </c>
      <c r="BQ79">
        <f t="shared" si="1"/>
        <v>1</v>
      </c>
      <c r="BR79">
        <f t="shared" si="13"/>
        <v>0</v>
      </c>
      <c r="BS79" s="9">
        <f t="shared" si="14"/>
        <v>0</v>
      </c>
      <c r="BT79" s="9">
        <f t="shared" si="15"/>
        <v>0</v>
      </c>
      <c r="BU79" s="9">
        <f t="shared" si="16"/>
        <v>0</v>
      </c>
      <c r="BV79" s="12">
        <f t="shared" si="17"/>
        <v>0</v>
      </c>
      <c r="BX79" s="12">
        <f t="shared" si="18"/>
        <v>0</v>
      </c>
      <c r="BY79" s="12">
        <f t="shared" si="19"/>
        <v>-4.9738519625579791E-3</v>
      </c>
    </row>
    <row r="80" spans="1:77" x14ac:dyDescent="0.3">
      <c r="A80" s="1">
        <v>46139</v>
      </c>
      <c r="B80" s="8">
        <v>48.05</v>
      </c>
      <c r="C80" s="8">
        <v>49.93</v>
      </c>
      <c r="D80" s="9">
        <v>-2.49428522582804E-3</v>
      </c>
      <c r="E80" s="9">
        <v>-3.1993628570075299E-3</v>
      </c>
      <c r="F80" s="8">
        <v>0</v>
      </c>
      <c r="G80" s="8">
        <v>0.32389999999999902</v>
      </c>
      <c r="H80" s="8">
        <v>0</v>
      </c>
      <c r="I80" s="8">
        <v>0.29780000000000001</v>
      </c>
      <c r="J80" s="8">
        <v>0</v>
      </c>
      <c r="K80" s="8">
        <v>0</v>
      </c>
      <c r="L80" s="8">
        <v>48.05</v>
      </c>
      <c r="M80" s="8">
        <v>49.93</v>
      </c>
      <c r="N80" s="10">
        <v>1.03912591050988</v>
      </c>
      <c r="O80" s="10">
        <v>1.03989039569729</v>
      </c>
      <c r="P80" s="10">
        <v>1.0389104385408301</v>
      </c>
      <c r="Q80" s="10">
        <v>1.03932909216637</v>
      </c>
      <c r="R80" s="8">
        <v>49.966733513254901</v>
      </c>
      <c r="S80" s="8">
        <v>49.918685497782</v>
      </c>
      <c r="T80" s="8">
        <v>49.947589357821897</v>
      </c>
      <c r="U80" s="9">
        <v>7.3542975067745705E-4</v>
      </c>
      <c r="V80" s="9">
        <v>-2.2663297388337501E-4</v>
      </c>
      <c r="W80" s="9">
        <v>3.5221831277506502E-4</v>
      </c>
      <c r="X80" s="10">
        <v>1.03912591050988</v>
      </c>
      <c r="Y80" s="10">
        <v>1.03989039569729</v>
      </c>
      <c r="Z80" s="10">
        <v>1.0389104385408301</v>
      </c>
      <c r="AA80" s="10">
        <v>1.03932909216637</v>
      </c>
      <c r="AB80" s="8">
        <v>49.966733513254901</v>
      </c>
      <c r="AC80" s="8">
        <v>49.918685497782</v>
      </c>
      <c r="AD80" s="8">
        <v>49.947589357821897</v>
      </c>
      <c r="AE80" s="9">
        <v>7.3542975067745705E-4</v>
      </c>
      <c r="AF80" s="9">
        <v>-2.2663297388337501E-4</v>
      </c>
      <c r="AG80" s="9">
        <v>3.5221831277506502E-4</v>
      </c>
      <c r="AZ80" s="9"/>
      <c r="BB80">
        <f t="shared" si="2"/>
        <v>0</v>
      </c>
      <c r="BC80">
        <f t="shared" si="3"/>
        <v>1</v>
      </c>
      <c r="BD80">
        <f t="shared" si="4"/>
        <v>0</v>
      </c>
      <c r="BE80">
        <f t="shared" si="0"/>
        <v>1</v>
      </c>
      <c r="BF80">
        <f t="shared" si="5"/>
        <v>0</v>
      </c>
      <c r="BG80" s="9">
        <f t="shared" si="6"/>
        <v>0</v>
      </c>
      <c r="BH80" s="9">
        <f t="shared" si="7"/>
        <v>0</v>
      </c>
      <c r="BI80" s="9">
        <f t="shared" si="8"/>
        <v>0</v>
      </c>
      <c r="BJ80" s="12">
        <f t="shared" si="9"/>
        <v>-4.9738519625579791E-3</v>
      </c>
      <c r="BL80" s="9"/>
      <c r="BN80">
        <f t="shared" si="10"/>
        <v>0</v>
      </c>
      <c r="BO80">
        <f t="shared" si="11"/>
        <v>0</v>
      </c>
      <c r="BP80">
        <f t="shared" si="12"/>
        <v>0</v>
      </c>
      <c r="BQ80">
        <f t="shared" si="1"/>
        <v>1</v>
      </c>
      <c r="BR80">
        <f t="shared" si="13"/>
        <v>0</v>
      </c>
      <c r="BS80" s="9">
        <f t="shared" si="14"/>
        <v>0</v>
      </c>
      <c r="BT80" s="9">
        <f t="shared" si="15"/>
        <v>0</v>
      </c>
      <c r="BU80" s="9">
        <f t="shared" si="16"/>
        <v>0</v>
      </c>
      <c r="BV80" s="12">
        <f t="shared" si="17"/>
        <v>0</v>
      </c>
      <c r="BX80" s="12">
        <f t="shared" si="18"/>
        <v>0</v>
      </c>
      <c r="BY80" s="12">
        <f t="shared" si="19"/>
        <v>-4.9738519625579791E-3</v>
      </c>
    </row>
    <row r="81" spans="1:77" x14ac:dyDescent="0.3">
      <c r="A81" s="1">
        <v>46140</v>
      </c>
      <c r="B81" s="8">
        <v>48</v>
      </c>
      <c r="C81" s="8">
        <v>49.87</v>
      </c>
      <c r="D81" s="9">
        <v>-1.0411245084104999E-3</v>
      </c>
      <c r="E81" s="9">
        <v>-1.2024049544868099E-3</v>
      </c>
      <c r="F81" s="8">
        <v>0</v>
      </c>
      <c r="G81" s="8">
        <v>0.32389999999999902</v>
      </c>
      <c r="H81" s="8">
        <v>0</v>
      </c>
      <c r="I81" s="8">
        <v>0.29780000000000001</v>
      </c>
      <c r="J81" s="8">
        <v>0</v>
      </c>
      <c r="K81" s="8">
        <v>0</v>
      </c>
      <c r="L81" s="8">
        <v>48</v>
      </c>
      <c r="M81" s="8">
        <v>49.87</v>
      </c>
      <c r="N81" s="10">
        <v>1.0389583333333301</v>
      </c>
      <c r="O81" s="10">
        <v>1.03989039569729</v>
      </c>
      <c r="P81" s="10">
        <v>1.0390111661089201</v>
      </c>
      <c r="Q81" s="10">
        <v>1.0391635959851599</v>
      </c>
      <c r="R81" s="8">
        <v>49.914738993470003</v>
      </c>
      <c r="S81" s="8">
        <v>49.867701049959898</v>
      </c>
      <c r="T81" s="8">
        <v>49.887796423985698</v>
      </c>
      <c r="U81" s="9">
        <v>8.9671019675385398E-4</v>
      </c>
      <c r="V81" s="9">
        <v>-4.6099920416469698E-5</v>
      </c>
      <c r="W81" s="9">
        <v>3.5679264804428402E-4</v>
      </c>
      <c r="X81" s="10">
        <v>1.0389583333333301</v>
      </c>
      <c r="Y81" s="10">
        <v>1.03989039569729</v>
      </c>
      <c r="Z81" s="10">
        <v>1.0390111661089201</v>
      </c>
      <c r="AA81" s="10">
        <v>1.0391635959851599</v>
      </c>
      <c r="AB81" s="8">
        <v>49.914738993470003</v>
      </c>
      <c r="AC81" s="8">
        <v>49.867701049959898</v>
      </c>
      <c r="AD81" s="8">
        <v>49.887796423985698</v>
      </c>
      <c r="AE81" s="9">
        <v>8.9671019675385398E-4</v>
      </c>
      <c r="AF81" s="9">
        <v>-4.6099920416469698E-5</v>
      </c>
      <c r="AG81" s="9">
        <v>3.5679264804428402E-4</v>
      </c>
      <c r="AZ81" s="9"/>
      <c r="BB81">
        <f t="shared" si="2"/>
        <v>0</v>
      </c>
      <c r="BC81">
        <f t="shared" si="3"/>
        <v>1</v>
      </c>
      <c r="BD81">
        <f t="shared" si="4"/>
        <v>0</v>
      </c>
      <c r="BE81">
        <f t="shared" si="0"/>
        <v>1</v>
      </c>
      <c r="BF81">
        <f t="shared" si="5"/>
        <v>0</v>
      </c>
      <c r="BG81" s="9">
        <f t="shared" si="6"/>
        <v>0</v>
      </c>
      <c r="BH81" s="9">
        <f t="shared" si="7"/>
        <v>0</v>
      </c>
      <c r="BI81" s="9">
        <f t="shared" si="8"/>
        <v>0</v>
      </c>
      <c r="BJ81" s="12">
        <f t="shared" si="9"/>
        <v>-4.9738519625579791E-3</v>
      </c>
      <c r="BL81" s="9"/>
      <c r="BN81">
        <f t="shared" si="10"/>
        <v>0</v>
      </c>
      <c r="BO81">
        <f t="shared" si="11"/>
        <v>0</v>
      </c>
      <c r="BP81">
        <f t="shared" si="12"/>
        <v>0</v>
      </c>
      <c r="BQ81">
        <f t="shared" si="1"/>
        <v>1</v>
      </c>
      <c r="BR81">
        <f t="shared" si="13"/>
        <v>0</v>
      </c>
      <c r="BS81" s="9">
        <f t="shared" si="14"/>
        <v>0</v>
      </c>
      <c r="BT81" s="9">
        <f t="shared" si="15"/>
        <v>0</v>
      </c>
      <c r="BU81" s="9">
        <f t="shared" si="16"/>
        <v>0</v>
      </c>
      <c r="BV81" s="12">
        <f t="shared" si="17"/>
        <v>0</v>
      </c>
      <c r="BX81" s="12">
        <f t="shared" si="18"/>
        <v>0</v>
      </c>
      <c r="BY81" s="12">
        <f t="shared" si="19"/>
        <v>-4.9738519625579791E-3</v>
      </c>
    </row>
    <row r="82" spans="1:77" x14ac:dyDescent="0.3">
      <c r="A82" s="1">
        <v>46141</v>
      </c>
      <c r="B82" s="8">
        <v>47.86</v>
      </c>
      <c r="C82" s="8">
        <v>49.79</v>
      </c>
      <c r="D82" s="9">
        <v>-2.9209284276636698E-3</v>
      </c>
      <c r="E82" s="9">
        <v>-1.60545890393975E-3</v>
      </c>
      <c r="F82" s="8">
        <v>0</v>
      </c>
      <c r="G82" s="8">
        <v>0.32389999999999902</v>
      </c>
      <c r="H82" s="8">
        <v>0</v>
      </c>
      <c r="I82" s="8">
        <v>0.29780000000000001</v>
      </c>
      <c r="J82" s="8">
        <v>0</v>
      </c>
      <c r="K82" s="8">
        <v>0</v>
      </c>
      <c r="L82" s="8">
        <v>47.86</v>
      </c>
      <c r="M82" s="8">
        <v>49.79</v>
      </c>
      <c r="N82" s="10">
        <v>1.0403259506895099</v>
      </c>
      <c r="O82" s="10">
        <v>1.03989039569729</v>
      </c>
      <c r="P82" s="10">
        <v>1.03921998727928</v>
      </c>
      <c r="Q82" s="10">
        <v>1.03910913389424</v>
      </c>
      <c r="R82" s="8">
        <v>49.769154338072397</v>
      </c>
      <c r="S82" s="8">
        <v>49.727074409973</v>
      </c>
      <c r="T82" s="8">
        <v>49.734369703849801</v>
      </c>
      <c r="U82" s="9">
        <v>-4.18759326970045E-4</v>
      </c>
      <c r="V82" s="9">
        <v>-1.2646191376954701E-3</v>
      </c>
      <c r="W82" s="9">
        <v>-1.1179232204011401E-3</v>
      </c>
      <c r="X82" s="10">
        <v>1.0403259506895099</v>
      </c>
      <c r="Y82" s="10">
        <v>1.03989039569729</v>
      </c>
      <c r="Z82" s="10">
        <v>1.03921998727928</v>
      </c>
      <c r="AA82" s="10">
        <v>1.03910913389424</v>
      </c>
      <c r="AB82" s="8">
        <v>49.769154338072397</v>
      </c>
      <c r="AC82" s="8">
        <v>49.727074409973</v>
      </c>
      <c r="AD82" s="8">
        <v>49.734369703849801</v>
      </c>
      <c r="AE82" s="9">
        <v>-4.18759326970045E-4</v>
      </c>
      <c r="AF82" s="9">
        <v>-1.2646191376954701E-3</v>
      </c>
      <c r="AG82" s="9">
        <v>-1.1179232204011401E-3</v>
      </c>
      <c r="AZ82" s="9"/>
      <c r="BB82">
        <f t="shared" si="2"/>
        <v>0</v>
      </c>
      <c r="BC82">
        <f t="shared" si="3"/>
        <v>0</v>
      </c>
      <c r="BD82">
        <f t="shared" si="4"/>
        <v>0</v>
      </c>
      <c r="BE82">
        <f t="shared" si="0"/>
        <v>1</v>
      </c>
      <c r="BF82">
        <f t="shared" si="5"/>
        <v>0</v>
      </c>
      <c r="BG82" s="9">
        <f t="shared" si="6"/>
        <v>0</v>
      </c>
      <c r="BH82" s="9">
        <f t="shared" si="7"/>
        <v>0</v>
      </c>
      <c r="BI82" s="9">
        <f t="shared" si="8"/>
        <v>0</v>
      </c>
      <c r="BJ82" s="12">
        <f t="shared" si="9"/>
        <v>-4.9738519625579791E-3</v>
      </c>
      <c r="BL82" s="9"/>
      <c r="BN82">
        <f t="shared" si="10"/>
        <v>0</v>
      </c>
      <c r="BO82">
        <f t="shared" si="11"/>
        <v>1</v>
      </c>
      <c r="BP82">
        <f t="shared" si="12"/>
        <v>0</v>
      </c>
      <c r="BQ82">
        <f t="shared" si="1"/>
        <v>1</v>
      </c>
      <c r="BR82">
        <f t="shared" si="13"/>
        <v>0</v>
      </c>
      <c r="BS82" s="9">
        <f t="shared" si="14"/>
        <v>0</v>
      </c>
      <c r="BT82" s="9">
        <f t="shared" si="15"/>
        <v>0</v>
      </c>
      <c r="BU82" s="9">
        <f t="shared" si="16"/>
        <v>0</v>
      </c>
      <c r="BV82" s="12">
        <f t="shared" si="17"/>
        <v>0</v>
      </c>
      <c r="BX82" s="12">
        <f t="shared" si="18"/>
        <v>0</v>
      </c>
      <c r="BY82" s="12">
        <f t="shared" si="19"/>
        <v>-4.9738519625579791E-3</v>
      </c>
    </row>
    <row r="83" spans="1:77" x14ac:dyDescent="0.3">
      <c r="A83" s="1">
        <v>46142</v>
      </c>
      <c r="B83" s="8">
        <v>48.05</v>
      </c>
      <c r="C83" s="8">
        <v>49.91</v>
      </c>
      <c r="D83" s="9">
        <v>3.9620529360741797E-3</v>
      </c>
      <c r="E83" s="9">
        <v>2.4072228274265401E-3</v>
      </c>
      <c r="F83" s="8">
        <v>0</v>
      </c>
      <c r="G83" s="8">
        <v>0.32389999999999902</v>
      </c>
      <c r="H83" s="8">
        <v>0</v>
      </c>
      <c r="I83" s="8">
        <v>0.29780000000000001</v>
      </c>
      <c r="J83" s="8">
        <v>0</v>
      </c>
      <c r="K83" s="8">
        <v>0</v>
      </c>
      <c r="L83" s="8">
        <v>48.05</v>
      </c>
      <c r="M83" s="8">
        <v>49.91</v>
      </c>
      <c r="N83" s="10">
        <v>1.0387096774193501</v>
      </c>
      <c r="O83" s="10">
        <v>1.03989039569729</v>
      </c>
      <c r="P83" s="10">
        <v>1.03918161836079</v>
      </c>
      <c r="Q83" s="10">
        <v>1.03911793582395</v>
      </c>
      <c r="R83" s="8">
        <v>49.966733513254901</v>
      </c>
      <c r="S83" s="8">
        <v>49.934520388769698</v>
      </c>
      <c r="T83" s="8">
        <v>49.929193883618503</v>
      </c>
      <c r="U83" s="9">
        <v>1.1360707816775401E-3</v>
      </c>
      <c r="V83" s="9">
        <v>4.9117145672553E-4</v>
      </c>
      <c r="W83" s="9">
        <v>3.8449597013723497E-4</v>
      </c>
      <c r="X83" s="10">
        <v>1.0387096774193501</v>
      </c>
      <c r="Y83" s="10">
        <v>1.03989039569729</v>
      </c>
      <c r="Z83" s="10">
        <v>1.03918161836079</v>
      </c>
      <c r="AA83" s="10">
        <v>1.03911793582395</v>
      </c>
      <c r="AB83" s="8">
        <v>49.966733513254901</v>
      </c>
      <c r="AC83" s="8">
        <v>49.934520388769698</v>
      </c>
      <c r="AD83" s="8">
        <v>49.929193883618503</v>
      </c>
      <c r="AE83" s="9">
        <v>1.1360707816775401E-3</v>
      </c>
      <c r="AF83" s="9">
        <v>4.9117145672553E-4</v>
      </c>
      <c r="AG83" s="9">
        <v>3.8449597013723497E-4</v>
      </c>
      <c r="AZ83" s="9"/>
      <c r="BB83">
        <f t="shared" si="2"/>
        <v>0</v>
      </c>
      <c r="BC83">
        <f t="shared" si="3"/>
        <v>1</v>
      </c>
      <c r="BD83">
        <f t="shared" si="4"/>
        <v>0</v>
      </c>
      <c r="BE83">
        <f t="shared" si="0"/>
        <v>0</v>
      </c>
      <c r="BF83">
        <f t="shared" si="5"/>
        <v>0</v>
      </c>
      <c r="BG83" s="9">
        <f t="shared" si="6"/>
        <v>0</v>
      </c>
      <c r="BH83" s="9">
        <f t="shared" si="7"/>
        <v>0</v>
      </c>
      <c r="BI83" s="9">
        <f t="shared" si="8"/>
        <v>0</v>
      </c>
      <c r="BJ83" s="12">
        <f t="shared" si="9"/>
        <v>-4.9738519625579791E-3</v>
      </c>
      <c r="BL83" s="9"/>
      <c r="BN83">
        <f t="shared" si="10"/>
        <v>0</v>
      </c>
      <c r="BO83">
        <f t="shared" si="11"/>
        <v>0</v>
      </c>
      <c r="BP83">
        <f t="shared" si="12"/>
        <v>0</v>
      </c>
      <c r="BQ83">
        <f t="shared" si="1"/>
        <v>0</v>
      </c>
      <c r="BR83">
        <f t="shared" si="13"/>
        <v>0</v>
      </c>
      <c r="BS83" s="9">
        <f t="shared" si="14"/>
        <v>0</v>
      </c>
      <c r="BT83" s="9">
        <f t="shared" si="15"/>
        <v>0</v>
      </c>
      <c r="BU83" s="9">
        <f t="shared" si="16"/>
        <v>0</v>
      </c>
      <c r="BV83" s="12">
        <f t="shared" si="17"/>
        <v>0</v>
      </c>
      <c r="BX83" s="12">
        <f t="shared" si="18"/>
        <v>0</v>
      </c>
      <c r="BY83" s="12">
        <f t="shared" si="19"/>
        <v>-4.9738519625579791E-3</v>
      </c>
    </row>
    <row r="84" spans="1:77" x14ac:dyDescent="0.3">
      <c r="A84" s="1">
        <v>46143</v>
      </c>
      <c r="B84" s="8">
        <v>47.97</v>
      </c>
      <c r="C84" s="8">
        <v>49.94</v>
      </c>
      <c r="D84" s="9">
        <v>-1.6663199023288801E-3</v>
      </c>
      <c r="E84" s="9">
        <v>6.0090137010929796E-4</v>
      </c>
      <c r="F84" s="8">
        <v>0.11260000000000001</v>
      </c>
      <c r="G84" s="8">
        <v>0.4365</v>
      </c>
      <c r="H84" s="8">
        <v>0</v>
      </c>
      <c r="I84" s="8">
        <v>0.29780000000000001</v>
      </c>
      <c r="J84" s="8">
        <v>0</v>
      </c>
      <c r="K84" s="8">
        <v>0</v>
      </c>
      <c r="L84" s="8">
        <v>47.97</v>
      </c>
      <c r="M84" s="8">
        <v>49.94</v>
      </c>
      <c r="N84" s="10">
        <v>1.0410673337502601</v>
      </c>
      <c r="O84" s="10">
        <v>1.03989039569729</v>
      </c>
      <c r="P84" s="10">
        <v>1.0393984282928199</v>
      </c>
      <c r="Q84" s="10">
        <v>1.03922176122706</v>
      </c>
      <c r="R84" s="8">
        <v>49.883542281599098</v>
      </c>
      <c r="S84" s="8">
        <v>49.849542232767298</v>
      </c>
      <c r="T84" s="8">
        <v>49.846487381474901</v>
      </c>
      <c r="U84" s="9">
        <v>-1.1311504907605501E-3</v>
      </c>
      <c r="V84" s="9">
        <v>-1.8129713792768799E-3</v>
      </c>
      <c r="W84" s="9">
        <v>-1.87425468825285E-3</v>
      </c>
      <c r="X84" s="10">
        <v>1.0410673337502601</v>
      </c>
      <c r="Y84" s="10">
        <v>1.03989039569729</v>
      </c>
      <c r="Z84" s="10">
        <v>1.0393984282928199</v>
      </c>
      <c r="AA84" s="10">
        <v>1.03922176122706</v>
      </c>
      <c r="AB84" s="8">
        <v>49.883542281599098</v>
      </c>
      <c r="AC84" s="8">
        <v>49.849542232767298</v>
      </c>
      <c r="AD84" s="8">
        <v>49.846487381474901</v>
      </c>
      <c r="AE84" s="9">
        <v>-1.1311504907605501E-3</v>
      </c>
      <c r="AF84" s="9">
        <v>-1.8129713792768799E-3</v>
      </c>
      <c r="AG84" s="9">
        <v>-1.87425468825285E-3</v>
      </c>
      <c r="AZ84" s="9"/>
      <c r="BB84">
        <f t="shared" si="2"/>
        <v>1</v>
      </c>
      <c r="BC84">
        <f t="shared" si="3"/>
        <v>0</v>
      </c>
      <c r="BD84">
        <f t="shared" si="4"/>
        <v>0</v>
      </c>
      <c r="BE84">
        <f t="shared" si="0"/>
        <v>1</v>
      </c>
      <c r="BF84">
        <f t="shared" si="5"/>
        <v>0</v>
      </c>
      <c r="BG84" s="9">
        <f t="shared" si="6"/>
        <v>0</v>
      </c>
      <c r="BH84" s="9">
        <f t="shared" si="7"/>
        <v>0</v>
      </c>
      <c r="BI84" s="9">
        <f t="shared" si="8"/>
        <v>0</v>
      </c>
      <c r="BJ84" s="12">
        <f t="shared" si="9"/>
        <v>-4.9738519625579791E-3</v>
      </c>
      <c r="BL84" s="9"/>
      <c r="BN84">
        <f t="shared" si="10"/>
        <v>0</v>
      </c>
      <c r="BO84">
        <f t="shared" si="11"/>
        <v>1</v>
      </c>
      <c r="BP84">
        <f t="shared" si="12"/>
        <v>0</v>
      </c>
      <c r="BQ84">
        <f t="shared" si="1"/>
        <v>1</v>
      </c>
      <c r="BR84">
        <f t="shared" si="13"/>
        <v>0</v>
      </c>
      <c r="BS84" s="9">
        <f t="shared" si="14"/>
        <v>0</v>
      </c>
      <c r="BT84" s="9">
        <f t="shared" si="15"/>
        <v>0</v>
      </c>
      <c r="BU84" s="9">
        <f t="shared" si="16"/>
        <v>0</v>
      </c>
      <c r="BV84" s="12">
        <f t="shared" si="17"/>
        <v>0</v>
      </c>
      <c r="BX84" s="12">
        <f t="shared" si="18"/>
        <v>0</v>
      </c>
      <c r="BY84" s="12">
        <f t="shared" si="19"/>
        <v>-4.9738519625579791E-3</v>
      </c>
    </row>
    <row r="85" spans="1:77" x14ac:dyDescent="0.3">
      <c r="A85" s="1">
        <v>46146</v>
      </c>
      <c r="B85" s="8">
        <v>47.84</v>
      </c>
      <c r="C85" s="8">
        <v>49.84</v>
      </c>
      <c r="D85" s="9">
        <v>-2.7137058715961601E-3</v>
      </c>
      <c r="E85" s="9">
        <v>-2.00441037242929E-3</v>
      </c>
      <c r="F85" s="8">
        <v>0</v>
      </c>
      <c r="G85" s="8">
        <v>0.4365</v>
      </c>
      <c r="H85" s="8">
        <v>0</v>
      </c>
      <c r="I85" s="8">
        <v>0.29780000000000001</v>
      </c>
      <c r="J85" s="8">
        <v>0</v>
      </c>
      <c r="K85" s="8">
        <v>0</v>
      </c>
      <c r="L85" s="8">
        <v>47.84</v>
      </c>
      <c r="M85" s="8">
        <v>49.84</v>
      </c>
      <c r="N85" s="10">
        <v>1.0418060200668799</v>
      </c>
      <c r="O85" s="10">
        <v>1.03989039569729</v>
      </c>
      <c r="P85" s="10">
        <v>1.0396842716502399</v>
      </c>
      <c r="Q85" s="10">
        <v>1.03931749247267</v>
      </c>
      <c r="R85" s="8">
        <v>49.748356530158503</v>
      </c>
      <c r="S85" s="8">
        <v>49.724820809528701</v>
      </c>
      <c r="T85" s="8">
        <v>49.716369057102597</v>
      </c>
      <c r="U85" s="9">
        <v>-1.8404459899274001E-3</v>
      </c>
      <c r="V85" s="9">
        <v>-2.3136533750424599E-3</v>
      </c>
      <c r="W85" s="9">
        <v>-2.4836383170523898E-3</v>
      </c>
      <c r="X85" s="10">
        <v>1.0418060200668799</v>
      </c>
      <c r="Y85" s="10">
        <v>1.03989039569729</v>
      </c>
      <c r="Z85" s="10">
        <v>1.0396842716502399</v>
      </c>
      <c r="AA85" s="10">
        <v>1.03931749247267</v>
      </c>
      <c r="AB85" s="8">
        <v>49.748356530158503</v>
      </c>
      <c r="AC85" s="8">
        <v>49.724820809528701</v>
      </c>
      <c r="AD85" s="8">
        <v>49.716369057102597</v>
      </c>
      <c r="AE85" s="9">
        <v>-1.8404459899274001E-3</v>
      </c>
      <c r="AF85" s="9">
        <v>-2.3136533750424599E-3</v>
      </c>
      <c r="AG85" s="9">
        <v>-2.4836383170523898E-3</v>
      </c>
      <c r="AZ85" s="9"/>
      <c r="BB85">
        <f t="shared" si="2"/>
        <v>1</v>
      </c>
      <c r="BC85">
        <f t="shared" si="3"/>
        <v>0</v>
      </c>
      <c r="BD85">
        <f t="shared" si="4"/>
        <v>1</v>
      </c>
      <c r="BE85">
        <f t="shared" si="0"/>
        <v>1</v>
      </c>
      <c r="BF85">
        <f t="shared" si="5"/>
        <v>1</v>
      </c>
      <c r="BG85" s="9">
        <f t="shared" si="6"/>
        <v>-2.7137058715961601E-3</v>
      </c>
      <c r="BH85" s="9">
        <f t="shared" si="7"/>
        <v>2.00441037242929E-3</v>
      </c>
      <c r="BI85" s="9">
        <f t="shared" si="8"/>
        <v>-7.0929549916687014E-4</v>
      </c>
      <c r="BJ85" s="12">
        <f t="shared" si="9"/>
        <v>-5.6831474617248488E-3</v>
      </c>
      <c r="BL85" s="9"/>
      <c r="BN85">
        <f t="shared" si="10"/>
        <v>0</v>
      </c>
      <c r="BO85">
        <f t="shared" si="11"/>
        <v>1</v>
      </c>
      <c r="BP85">
        <f t="shared" si="12"/>
        <v>0</v>
      </c>
      <c r="BQ85">
        <f t="shared" si="1"/>
        <v>1</v>
      </c>
      <c r="BR85">
        <f t="shared" si="13"/>
        <v>0</v>
      </c>
      <c r="BS85" s="9">
        <f t="shared" si="14"/>
        <v>0</v>
      </c>
      <c r="BT85" s="9">
        <f t="shared" si="15"/>
        <v>0</v>
      </c>
      <c r="BU85" s="9">
        <f t="shared" si="16"/>
        <v>0</v>
      </c>
      <c r="BV85" s="12">
        <f t="shared" si="17"/>
        <v>0</v>
      </c>
      <c r="BX85" s="12">
        <f t="shared" si="18"/>
        <v>-7.0929549916687014E-4</v>
      </c>
      <c r="BY85" s="12">
        <f t="shared" si="19"/>
        <v>-5.6831474617248488E-3</v>
      </c>
    </row>
    <row r="86" spans="1:77" x14ac:dyDescent="0.3">
      <c r="A86" s="1">
        <v>46147</v>
      </c>
      <c r="B86" s="8">
        <v>47.89</v>
      </c>
      <c r="C86" s="8">
        <v>49.87</v>
      </c>
      <c r="D86" s="9">
        <v>1.0446047121416501E-3</v>
      </c>
      <c r="E86" s="9">
        <v>6.0174507883334403E-4</v>
      </c>
      <c r="F86" s="8">
        <v>0</v>
      </c>
      <c r="G86" s="8">
        <v>0.4365</v>
      </c>
      <c r="H86" s="8">
        <v>0</v>
      </c>
      <c r="I86" s="8">
        <v>0.29780000000000001</v>
      </c>
      <c r="J86" s="8">
        <v>0</v>
      </c>
      <c r="K86" s="8">
        <v>0</v>
      </c>
      <c r="L86" s="8">
        <v>47.89</v>
      </c>
      <c r="M86" s="8">
        <v>49.87</v>
      </c>
      <c r="N86" s="10">
        <v>1.0413447483817</v>
      </c>
      <c r="O86" s="10">
        <v>1.03989039569729</v>
      </c>
      <c r="P86" s="10">
        <v>1.03993101260068</v>
      </c>
      <c r="Q86" s="10">
        <v>1.0394018453165099</v>
      </c>
      <c r="R86" s="8">
        <v>49.800351049943302</v>
      </c>
      <c r="S86" s="8">
        <v>49.790479769330403</v>
      </c>
      <c r="T86" s="8">
        <v>49.772914714516503</v>
      </c>
      <c r="U86" s="9">
        <v>-1.39758635661914E-3</v>
      </c>
      <c r="V86" s="9">
        <v>-1.59582309315566E-3</v>
      </c>
      <c r="W86" s="9">
        <v>-1.9486647190796499E-3</v>
      </c>
      <c r="X86" s="10">
        <v>1.0413447483817</v>
      </c>
      <c r="Y86" s="10">
        <v>1.03989039569729</v>
      </c>
      <c r="Z86" s="10">
        <v>1.03993101260068</v>
      </c>
      <c r="AA86" s="10">
        <v>1.0394018453165099</v>
      </c>
      <c r="AB86" s="8">
        <v>49.800351049943302</v>
      </c>
      <c r="AC86" s="8">
        <v>49.790479769330403</v>
      </c>
      <c r="AD86" s="8">
        <v>49.772914714516503</v>
      </c>
      <c r="AE86" s="9">
        <v>-1.39758635661914E-3</v>
      </c>
      <c r="AF86" s="9">
        <v>-1.59582309315566E-3</v>
      </c>
      <c r="AG86" s="9">
        <v>-1.9486647190796499E-3</v>
      </c>
      <c r="AZ86" s="9"/>
      <c r="BB86">
        <f t="shared" si="2"/>
        <v>1</v>
      </c>
      <c r="BC86">
        <f t="shared" si="3"/>
        <v>0</v>
      </c>
      <c r="BD86">
        <f t="shared" si="4"/>
        <v>1</v>
      </c>
      <c r="BE86">
        <f t="shared" ref="BE86:BE149" si="20">IF(F87+H87&gt;0,0,1)</f>
        <v>1</v>
      </c>
      <c r="BF86">
        <f t="shared" si="5"/>
        <v>1</v>
      </c>
      <c r="BG86" s="9">
        <f t="shared" si="6"/>
        <v>1.0446047121416501E-3</v>
      </c>
      <c r="BH86" s="9">
        <f t="shared" si="7"/>
        <v>-6.0174507883334403E-4</v>
      </c>
      <c r="BI86" s="9">
        <f t="shared" si="8"/>
        <v>4.4285963330830606E-4</v>
      </c>
      <c r="BJ86" s="12">
        <f t="shared" si="9"/>
        <v>-5.2402878284165426E-3</v>
      </c>
      <c r="BL86" s="9"/>
      <c r="BN86">
        <f t="shared" si="10"/>
        <v>0</v>
      </c>
      <c r="BO86">
        <f t="shared" si="11"/>
        <v>1</v>
      </c>
      <c r="BP86">
        <f t="shared" si="12"/>
        <v>0</v>
      </c>
      <c r="BQ86">
        <f t="shared" ref="BQ86:BQ149" si="21">IF(F87+H87&gt;0,0,1)</f>
        <v>1</v>
      </c>
      <c r="BR86">
        <f t="shared" si="13"/>
        <v>0</v>
      </c>
      <c r="BS86" s="9">
        <f t="shared" si="14"/>
        <v>0</v>
      </c>
      <c r="BT86" s="9">
        <f t="shared" si="15"/>
        <v>0</v>
      </c>
      <c r="BU86" s="9">
        <f t="shared" si="16"/>
        <v>0</v>
      </c>
      <c r="BV86" s="12">
        <f t="shared" si="17"/>
        <v>0</v>
      </c>
      <c r="BX86" s="12">
        <f t="shared" si="18"/>
        <v>4.4285963330830606E-4</v>
      </c>
      <c r="BY86" s="12">
        <f t="shared" si="19"/>
        <v>-5.2402878284165426E-3</v>
      </c>
    </row>
    <row r="87" spans="1:77" x14ac:dyDescent="0.3">
      <c r="A87" s="1">
        <v>46148</v>
      </c>
      <c r="B87" s="8">
        <v>48.16</v>
      </c>
      <c r="C87" s="8">
        <v>50.12</v>
      </c>
      <c r="D87" s="9">
        <v>5.6220866460475298E-3</v>
      </c>
      <c r="E87" s="9">
        <v>5.0005104698364299E-3</v>
      </c>
      <c r="F87" s="8">
        <v>0</v>
      </c>
      <c r="G87" s="8">
        <v>0.4365</v>
      </c>
      <c r="H87" s="8">
        <v>0</v>
      </c>
      <c r="I87" s="8">
        <v>0.29780000000000001</v>
      </c>
      <c r="J87" s="8">
        <v>0</v>
      </c>
      <c r="K87" s="8">
        <v>0</v>
      </c>
      <c r="L87" s="8">
        <v>48.16</v>
      </c>
      <c r="M87" s="8">
        <v>50.12</v>
      </c>
      <c r="N87" s="10">
        <v>1.0406976744186001</v>
      </c>
      <c r="O87" s="10">
        <v>1.03989039569729</v>
      </c>
      <c r="P87" s="10">
        <v>1.04007799050331</v>
      </c>
      <c r="Q87" s="10">
        <v>1.03952082182949</v>
      </c>
      <c r="R87" s="8">
        <v>50.081121456781602</v>
      </c>
      <c r="S87" s="8">
        <v>50.083077566848999</v>
      </c>
      <c r="T87" s="8">
        <v>50.0575928704435</v>
      </c>
      <c r="U87" s="9">
        <v>-7.7601018040800802E-4</v>
      </c>
      <c r="V87" s="9">
        <v>-7.36952112022564E-4</v>
      </c>
      <c r="W87" s="9">
        <v>-1.24593006961716E-3</v>
      </c>
      <c r="X87" s="10">
        <v>1.0406976744186001</v>
      </c>
      <c r="Y87" s="10">
        <v>1.03989039569729</v>
      </c>
      <c r="Z87" s="10">
        <v>1.04007799050331</v>
      </c>
      <c r="AA87" s="10">
        <v>1.03952082182949</v>
      </c>
      <c r="AB87" s="8">
        <v>50.081121456781602</v>
      </c>
      <c r="AC87" s="8">
        <v>50.083077566848999</v>
      </c>
      <c r="AD87" s="8">
        <v>50.0575928704435</v>
      </c>
      <c r="AE87" s="9">
        <v>-7.7601018040800802E-4</v>
      </c>
      <c r="AF87" s="9">
        <v>-7.36952112022564E-4</v>
      </c>
      <c r="AG87" s="9">
        <v>-1.24593006961716E-3</v>
      </c>
      <c r="AZ87" s="9"/>
      <c r="BB87">
        <f t="shared" ref="BB87:BB150" si="22">IF($AG87&lt;BA$20,1,0)</f>
        <v>1</v>
      </c>
      <c r="BC87">
        <f t="shared" ref="BC87:BC150" si="23">IF($AG87&gt;BA$21,1,0)</f>
        <v>0</v>
      </c>
      <c r="BD87">
        <f t="shared" ref="BD87:BD150" si="24">BF87</f>
        <v>1</v>
      </c>
      <c r="BE87">
        <f t="shared" si="20"/>
        <v>1</v>
      </c>
      <c r="BF87">
        <f t="shared" ref="BF87:BF150" si="25">IF(BB86,1,IF(BC86,0,BD86))*BE86</f>
        <v>1</v>
      </c>
      <c r="BG87" s="9">
        <f t="shared" ref="BG87:BG150" si="26">BF87*D87</f>
        <v>5.6220866460475298E-3</v>
      </c>
      <c r="BH87" s="9">
        <f t="shared" ref="BH87:BH150" si="27">-BF87*$E87</f>
        <v>-5.0005104698364299E-3</v>
      </c>
      <c r="BI87" s="9">
        <f t="shared" ref="BI87:BI150" si="28">BG87+BH87</f>
        <v>6.2157617621109995E-4</v>
      </c>
      <c r="BJ87" s="12">
        <f t="shared" ref="BJ87:BJ150" si="29">BJ86+BI87</f>
        <v>-4.6187116522054426E-3</v>
      </c>
      <c r="BL87" s="9"/>
      <c r="BN87">
        <f t="shared" ref="BN87:BN150" si="30">IF($AG87&gt;BM$20,1,0)</f>
        <v>0</v>
      </c>
      <c r="BO87">
        <f t="shared" ref="BO87:BO150" si="31">IF($AG87&lt;BM$21,1,0)</f>
        <v>1</v>
      </c>
      <c r="BP87">
        <f t="shared" ref="BP87:BP150" si="32">BR87</f>
        <v>0</v>
      </c>
      <c r="BQ87">
        <f t="shared" si="21"/>
        <v>1</v>
      </c>
      <c r="BR87">
        <f t="shared" ref="BR87:BR150" si="33">IF(BN86,1,IF(BO86,0,BP86))*BQ86</f>
        <v>0</v>
      </c>
      <c r="BS87" s="9">
        <f t="shared" ref="BS87:BS150" si="34">-BR87*D87</f>
        <v>0</v>
      </c>
      <c r="BT87" s="9">
        <f t="shared" ref="BT87:BT150" si="35">BR87*$E87</f>
        <v>0</v>
      </c>
      <c r="BU87" s="9">
        <f t="shared" ref="BU87:BU150" si="36">BS87+BT87</f>
        <v>0</v>
      </c>
      <c r="BV87" s="12">
        <f t="shared" ref="BV87:BV150" si="37">BV86+BU87</f>
        <v>0</v>
      </c>
      <c r="BX87" s="12">
        <f t="shared" ref="BX87:BX150" si="38">BI87+BU87</f>
        <v>6.2157617621109995E-4</v>
      </c>
      <c r="BY87" s="12">
        <f t="shared" ref="BY87:BY150" si="39">BY86+BX87</f>
        <v>-4.6187116522054426E-3</v>
      </c>
    </row>
    <row r="88" spans="1:77" x14ac:dyDescent="0.3">
      <c r="A88" s="1">
        <v>46149</v>
      </c>
      <c r="B88" s="8">
        <v>48.08</v>
      </c>
      <c r="C88" s="8">
        <v>50.04</v>
      </c>
      <c r="D88" s="9">
        <v>-1.66251077361341E-3</v>
      </c>
      <c r="E88" s="9">
        <v>-1.59744442915717E-3</v>
      </c>
      <c r="F88" s="8">
        <v>0</v>
      </c>
      <c r="G88" s="8">
        <v>0.4365</v>
      </c>
      <c r="H88" s="8">
        <v>0</v>
      </c>
      <c r="I88" s="8">
        <v>0.29780000000000001</v>
      </c>
      <c r="J88" s="8">
        <v>0</v>
      </c>
      <c r="K88" s="8">
        <v>0</v>
      </c>
      <c r="L88" s="8">
        <v>48.08</v>
      </c>
      <c r="M88" s="8">
        <v>50.04</v>
      </c>
      <c r="N88" s="10">
        <v>1.0407653910149699</v>
      </c>
      <c r="O88" s="10">
        <v>1.03989039569729</v>
      </c>
      <c r="P88" s="10">
        <v>1.04026598728832</v>
      </c>
      <c r="Q88" s="10">
        <v>1.03958527047851</v>
      </c>
      <c r="R88" s="8">
        <v>49.997930225125799</v>
      </c>
      <c r="S88" s="8">
        <v>50.006949783399499</v>
      </c>
      <c r="T88" s="8">
        <v>49.980161113562097</v>
      </c>
      <c r="U88" s="9">
        <v>-8.4107652486428697E-4</v>
      </c>
      <c r="V88" s="9">
        <v>-6.6069416157645705E-4</v>
      </c>
      <c r="W88" s="9">
        <v>-1.19653663643295E-3</v>
      </c>
      <c r="X88" s="10">
        <v>1.0407653910149699</v>
      </c>
      <c r="Y88" s="10">
        <v>1.03989039569729</v>
      </c>
      <c r="Z88" s="10">
        <v>1.04026598728832</v>
      </c>
      <c r="AA88" s="10">
        <v>1.03958527047851</v>
      </c>
      <c r="AB88" s="8">
        <v>49.997930225125799</v>
      </c>
      <c r="AC88" s="8">
        <v>50.006949783399499</v>
      </c>
      <c r="AD88" s="8">
        <v>49.980161113562097</v>
      </c>
      <c r="AE88" s="9">
        <v>-8.4107652486428697E-4</v>
      </c>
      <c r="AF88" s="9">
        <v>-6.6069416157645705E-4</v>
      </c>
      <c r="AG88" s="9">
        <v>-1.19653663643295E-3</v>
      </c>
      <c r="AZ88" s="9"/>
      <c r="BB88">
        <f t="shared" si="22"/>
        <v>1</v>
      </c>
      <c r="BC88">
        <f t="shared" si="23"/>
        <v>0</v>
      </c>
      <c r="BD88">
        <f t="shared" si="24"/>
        <v>1</v>
      </c>
      <c r="BE88">
        <f t="shared" si="20"/>
        <v>1</v>
      </c>
      <c r="BF88">
        <f t="shared" si="25"/>
        <v>1</v>
      </c>
      <c r="BG88" s="9">
        <f t="shared" si="26"/>
        <v>-1.66251077361341E-3</v>
      </c>
      <c r="BH88" s="9">
        <f t="shared" si="27"/>
        <v>1.59744442915717E-3</v>
      </c>
      <c r="BI88" s="9">
        <f t="shared" si="28"/>
        <v>-6.5066344456239916E-5</v>
      </c>
      <c r="BJ88" s="12">
        <f t="shared" si="29"/>
        <v>-4.6837779966616821E-3</v>
      </c>
      <c r="BL88" s="9"/>
      <c r="BN88">
        <f t="shared" si="30"/>
        <v>0</v>
      </c>
      <c r="BO88">
        <f t="shared" si="31"/>
        <v>1</v>
      </c>
      <c r="BP88">
        <f t="shared" si="32"/>
        <v>0</v>
      </c>
      <c r="BQ88">
        <f t="shared" si="21"/>
        <v>1</v>
      </c>
      <c r="BR88">
        <f t="shared" si="33"/>
        <v>0</v>
      </c>
      <c r="BS88" s="9">
        <f t="shared" si="34"/>
        <v>0</v>
      </c>
      <c r="BT88" s="9">
        <f t="shared" si="35"/>
        <v>0</v>
      </c>
      <c r="BU88" s="9">
        <f t="shared" si="36"/>
        <v>0</v>
      </c>
      <c r="BV88" s="12">
        <f t="shared" si="37"/>
        <v>0</v>
      </c>
      <c r="BX88" s="12">
        <f t="shared" si="38"/>
        <v>-6.5066344456239916E-5</v>
      </c>
      <c r="BY88" s="12">
        <f t="shared" si="39"/>
        <v>-4.6837779966616821E-3</v>
      </c>
    </row>
    <row r="89" spans="1:77" x14ac:dyDescent="0.3">
      <c r="A89" s="1">
        <v>46150</v>
      </c>
      <c r="B89" s="8">
        <v>48.14</v>
      </c>
      <c r="C89" s="8">
        <v>50.16</v>
      </c>
      <c r="D89" s="9">
        <v>1.24714212797375E-3</v>
      </c>
      <c r="E89" s="9">
        <v>2.3952107259548501E-3</v>
      </c>
      <c r="F89" s="8">
        <v>0</v>
      </c>
      <c r="G89" s="8">
        <v>0.4365</v>
      </c>
      <c r="H89" s="8">
        <v>0</v>
      </c>
      <c r="I89" s="8">
        <v>0.29780000000000001</v>
      </c>
      <c r="J89" s="8">
        <v>0</v>
      </c>
      <c r="K89" s="8">
        <v>0</v>
      </c>
      <c r="L89" s="8">
        <v>48.14</v>
      </c>
      <c r="M89" s="8">
        <v>50.16</v>
      </c>
      <c r="N89" s="10">
        <v>1.04196094723722</v>
      </c>
      <c r="O89" s="10">
        <v>1.03989039569729</v>
      </c>
      <c r="P89" s="10">
        <v>1.04047619868217</v>
      </c>
      <c r="Q89" s="10">
        <v>1.0396833178403799</v>
      </c>
      <c r="R89" s="8">
        <v>50.060323648867701</v>
      </c>
      <c r="S89" s="8">
        <v>50.0784046280599</v>
      </c>
      <c r="T89" s="8">
        <v>50.045634920835901</v>
      </c>
      <c r="U89" s="9">
        <v>-1.9891451228453401E-3</v>
      </c>
      <c r="V89" s="9">
        <v>-1.6280265087007899E-3</v>
      </c>
      <c r="W89" s="9">
        <v>-2.28260873574239E-3</v>
      </c>
      <c r="X89" s="10">
        <v>1.04196094723722</v>
      </c>
      <c r="Y89" s="10">
        <v>1.03989039569729</v>
      </c>
      <c r="Z89" s="10">
        <v>1.04047619868217</v>
      </c>
      <c r="AA89" s="10">
        <v>1.0396833178403799</v>
      </c>
      <c r="AB89" s="8">
        <v>50.060323648867701</v>
      </c>
      <c r="AC89" s="8">
        <v>50.0784046280599</v>
      </c>
      <c r="AD89" s="8">
        <v>50.045634920835901</v>
      </c>
      <c r="AE89" s="9">
        <v>-1.9891451228453401E-3</v>
      </c>
      <c r="AF89" s="9">
        <v>-1.6280265087007899E-3</v>
      </c>
      <c r="AG89" s="9">
        <v>-2.28260873574239E-3</v>
      </c>
      <c r="AZ89" s="9"/>
      <c r="BB89">
        <f t="shared" si="22"/>
        <v>1</v>
      </c>
      <c r="BC89">
        <f t="shared" si="23"/>
        <v>0</v>
      </c>
      <c r="BD89">
        <f t="shared" si="24"/>
        <v>1</v>
      </c>
      <c r="BE89">
        <f t="shared" si="20"/>
        <v>1</v>
      </c>
      <c r="BF89">
        <f t="shared" si="25"/>
        <v>1</v>
      </c>
      <c r="BG89" s="9">
        <f t="shared" si="26"/>
        <v>1.24714212797375E-3</v>
      </c>
      <c r="BH89" s="9">
        <f t="shared" si="27"/>
        <v>-2.3952107259548501E-3</v>
      </c>
      <c r="BI89" s="9">
        <f t="shared" si="28"/>
        <v>-1.1480685979811001E-3</v>
      </c>
      <c r="BJ89" s="12">
        <f t="shared" si="29"/>
        <v>-5.831846594642782E-3</v>
      </c>
      <c r="BL89" s="9"/>
      <c r="BN89">
        <f t="shared" si="30"/>
        <v>0</v>
      </c>
      <c r="BO89">
        <f t="shared" si="31"/>
        <v>1</v>
      </c>
      <c r="BP89">
        <f t="shared" si="32"/>
        <v>0</v>
      </c>
      <c r="BQ89">
        <f t="shared" si="21"/>
        <v>1</v>
      </c>
      <c r="BR89">
        <f t="shared" si="33"/>
        <v>0</v>
      </c>
      <c r="BS89" s="9">
        <f t="shared" si="34"/>
        <v>0</v>
      </c>
      <c r="BT89" s="9">
        <f t="shared" si="35"/>
        <v>0</v>
      </c>
      <c r="BU89" s="9">
        <f t="shared" si="36"/>
        <v>0</v>
      </c>
      <c r="BV89" s="12">
        <f t="shared" si="37"/>
        <v>0</v>
      </c>
      <c r="BX89" s="12">
        <f t="shared" si="38"/>
        <v>-1.1480685979811001E-3</v>
      </c>
      <c r="BY89" s="12">
        <f t="shared" si="39"/>
        <v>-5.831846594642782E-3</v>
      </c>
    </row>
    <row r="90" spans="1:77" x14ac:dyDescent="0.3">
      <c r="A90" s="1">
        <v>46153</v>
      </c>
      <c r="B90" s="8">
        <v>47.98</v>
      </c>
      <c r="C90" s="8">
        <v>50</v>
      </c>
      <c r="D90" s="9">
        <v>-3.3291749433774702E-3</v>
      </c>
      <c r="E90" s="9">
        <v>-3.1948908965191698E-3</v>
      </c>
      <c r="F90" s="8">
        <v>0</v>
      </c>
      <c r="G90" s="8">
        <v>0.4365</v>
      </c>
      <c r="H90" s="8">
        <v>0</v>
      </c>
      <c r="I90" s="8">
        <v>0.29780000000000001</v>
      </c>
      <c r="J90" s="8">
        <v>0</v>
      </c>
      <c r="K90" s="8">
        <v>0</v>
      </c>
      <c r="L90" s="8">
        <v>47.98</v>
      </c>
      <c r="M90" s="8">
        <v>50</v>
      </c>
      <c r="N90" s="10">
        <v>1.0421008753647301</v>
      </c>
      <c r="O90" s="10">
        <v>1.03989039569729</v>
      </c>
      <c r="P90" s="10">
        <v>1.0407736951676501</v>
      </c>
      <c r="Q90" s="10">
        <v>1.0398420668542401</v>
      </c>
      <c r="R90" s="8">
        <v>49.893941185556102</v>
      </c>
      <c r="S90" s="8">
        <v>49.922048012770702</v>
      </c>
      <c r="T90" s="8">
        <v>49.884005589981399</v>
      </c>
      <c r="U90" s="9">
        <v>-2.1234291697037099E-3</v>
      </c>
      <c r="V90" s="9">
        <v>-1.56025631166323E-3</v>
      </c>
      <c r="W90" s="9">
        <v>-2.3225833100443301E-3</v>
      </c>
      <c r="X90" s="10">
        <v>1.0421008753647301</v>
      </c>
      <c r="Y90" s="10">
        <v>1.03989039569729</v>
      </c>
      <c r="Z90" s="10">
        <v>1.0407736951676501</v>
      </c>
      <c r="AA90" s="10">
        <v>1.0398420668542401</v>
      </c>
      <c r="AB90" s="8">
        <v>49.893941185556102</v>
      </c>
      <c r="AC90" s="8">
        <v>49.922048012770702</v>
      </c>
      <c r="AD90" s="8">
        <v>49.884005589981399</v>
      </c>
      <c r="AE90" s="9">
        <v>-2.1234291697037099E-3</v>
      </c>
      <c r="AF90" s="9">
        <v>-1.56025631166323E-3</v>
      </c>
      <c r="AG90" s="9">
        <v>-2.3225833100443301E-3</v>
      </c>
      <c r="AZ90" s="9"/>
      <c r="BB90">
        <f t="shared" si="22"/>
        <v>1</v>
      </c>
      <c r="BC90">
        <f t="shared" si="23"/>
        <v>0</v>
      </c>
      <c r="BD90">
        <f t="shared" si="24"/>
        <v>1</v>
      </c>
      <c r="BE90">
        <f t="shared" si="20"/>
        <v>1</v>
      </c>
      <c r="BF90">
        <f t="shared" si="25"/>
        <v>1</v>
      </c>
      <c r="BG90" s="9">
        <f t="shared" si="26"/>
        <v>-3.3291749433774702E-3</v>
      </c>
      <c r="BH90" s="9">
        <f t="shared" si="27"/>
        <v>3.1948908965191698E-3</v>
      </c>
      <c r="BI90" s="9">
        <f t="shared" si="28"/>
        <v>-1.3428404685830037E-4</v>
      </c>
      <c r="BJ90" s="12">
        <f t="shared" si="29"/>
        <v>-5.9661306415010823E-3</v>
      </c>
      <c r="BL90" s="9"/>
      <c r="BN90">
        <f t="shared" si="30"/>
        <v>0</v>
      </c>
      <c r="BO90">
        <f t="shared" si="31"/>
        <v>1</v>
      </c>
      <c r="BP90">
        <f t="shared" si="32"/>
        <v>0</v>
      </c>
      <c r="BQ90">
        <f t="shared" si="21"/>
        <v>1</v>
      </c>
      <c r="BR90">
        <f t="shared" si="33"/>
        <v>0</v>
      </c>
      <c r="BS90" s="9">
        <f t="shared" si="34"/>
        <v>0</v>
      </c>
      <c r="BT90" s="9">
        <f t="shared" si="35"/>
        <v>0</v>
      </c>
      <c r="BU90" s="9">
        <f t="shared" si="36"/>
        <v>0</v>
      </c>
      <c r="BV90" s="12">
        <f t="shared" si="37"/>
        <v>0</v>
      </c>
      <c r="BX90" s="12">
        <f t="shared" si="38"/>
        <v>-1.3428404685830037E-4</v>
      </c>
      <c r="BY90" s="12">
        <f t="shared" si="39"/>
        <v>-5.9661306415010823E-3</v>
      </c>
    </row>
    <row r="91" spans="1:77" x14ac:dyDescent="0.3">
      <c r="A91" s="1">
        <v>46154</v>
      </c>
      <c r="B91" s="8">
        <v>47.81</v>
      </c>
      <c r="C91" s="8">
        <v>49.88</v>
      </c>
      <c r="D91" s="9">
        <v>-3.5494347735364399E-3</v>
      </c>
      <c r="E91" s="9">
        <v>-2.4028846163103102E-3</v>
      </c>
      <c r="F91" s="8">
        <v>0</v>
      </c>
      <c r="G91" s="8">
        <v>0.4365</v>
      </c>
      <c r="H91" s="8">
        <v>0</v>
      </c>
      <c r="I91" s="8">
        <v>0.29780000000000001</v>
      </c>
      <c r="J91" s="8">
        <v>0</v>
      </c>
      <c r="K91" s="8">
        <v>0</v>
      </c>
      <c r="L91" s="8">
        <v>47.81</v>
      </c>
      <c r="M91" s="8">
        <v>49.88</v>
      </c>
      <c r="N91" s="10">
        <v>1.0432963815101399</v>
      </c>
      <c r="O91" s="10">
        <v>1.03989039569729</v>
      </c>
      <c r="P91" s="10">
        <v>1.04120749998534</v>
      </c>
      <c r="Q91" s="10">
        <v>1.04010933304713</v>
      </c>
      <c r="R91" s="8">
        <v>49.717159818287598</v>
      </c>
      <c r="S91" s="8">
        <v>49.7593903659658</v>
      </c>
      <c r="T91" s="8">
        <v>49.714849216301403</v>
      </c>
      <c r="U91" s="9">
        <v>-3.2699793269297E-3</v>
      </c>
      <c r="V91" s="9">
        <v>-2.42092394378722E-3</v>
      </c>
      <c r="W91" s="9">
        <v>-3.31645534625097E-3</v>
      </c>
      <c r="X91" s="10">
        <v>1.0432963815101399</v>
      </c>
      <c r="Y91" s="10">
        <v>1.03989039569729</v>
      </c>
      <c r="Z91" s="10">
        <v>1.04120749998534</v>
      </c>
      <c r="AA91" s="10">
        <v>1.04010933304713</v>
      </c>
      <c r="AB91" s="8">
        <v>49.717159818287598</v>
      </c>
      <c r="AC91" s="8">
        <v>49.7593903659658</v>
      </c>
      <c r="AD91" s="8">
        <v>49.714849216301403</v>
      </c>
      <c r="AE91" s="9">
        <v>-3.2699793269297E-3</v>
      </c>
      <c r="AF91" s="9">
        <v>-2.42092394378722E-3</v>
      </c>
      <c r="AG91" s="9">
        <v>-3.31645534625097E-3</v>
      </c>
      <c r="AZ91" s="9"/>
      <c r="BB91">
        <f t="shared" si="22"/>
        <v>1</v>
      </c>
      <c r="BC91">
        <f t="shared" si="23"/>
        <v>0</v>
      </c>
      <c r="BD91">
        <f t="shared" si="24"/>
        <v>1</v>
      </c>
      <c r="BE91">
        <f t="shared" si="20"/>
        <v>1</v>
      </c>
      <c r="BF91">
        <f t="shared" si="25"/>
        <v>1</v>
      </c>
      <c r="BG91" s="9">
        <f t="shared" si="26"/>
        <v>-3.5494347735364399E-3</v>
      </c>
      <c r="BH91" s="9">
        <f t="shared" si="27"/>
        <v>2.4028846163103102E-3</v>
      </c>
      <c r="BI91" s="9">
        <f t="shared" si="28"/>
        <v>-1.1465501572261298E-3</v>
      </c>
      <c r="BJ91" s="12">
        <f t="shared" si="29"/>
        <v>-7.1126807987272125E-3</v>
      </c>
      <c r="BL91" s="9"/>
      <c r="BN91">
        <f t="shared" si="30"/>
        <v>0</v>
      </c>
      <c r="BO91">
        <f t="shared" si="31"/>
        <v>1</v>
      </c>
      <c r="BP91">
        <f t="shared" si="32"/>
        <v>0</v>
      </c>
      <c r="BQ91">
        <f t="shared" si="21"/>
        <v>1</v>
      </c>
      <c r="BR91">
        <f t="shared" si="33"/>
        <v>0</v>
      </c>
      <c r="BS91" s="9">
        <f t="shared" si="34"/>
        <v>0</v>
      </c>
      <c r="BT91" s="9">
        <f t="shared" si="35"/>
        <v>0</v>
      </c>
      <c r="BU91" s="9">
        <f t="shared" si="36"/>
        <v>0</v>
      </c>
      <c r="BV91" s="12">
        <f t="shared" si="37"/>
        <v>0</v>
      </c>
      <c r="BX91" s="12">
        <f t="shared" si="38"/>
        <v>-1.1465501572261298E-3</v>
      </c>
      <c r="BY91" s="12">
        <f t="shared" si="39"/>
        <v>-7.1126807987272125E-3</v>
      </c>
    </row>
    <row r="92" spans="1:77" x14ac:dyDescent="0.3">
      <c r="A92" s="1">
        <v>46155</v>
      </c>
      <c r="B92" s="8">
        <v>47.9</v>
      </c>
      <c r="C92" s="8">
        <v>49.93</v>
      </c>
      <c r="D92" s="9">
        <v>1.88068177885747E-3</v>
      </c>
      <c r="E92" s="9">
        <v>1.00190370068208E-3</v>
      </c>
      <c r="F92" s="8">
        <v>0</v>
      </c>
      <c r="G92" s="8">
        <v>0.4365</v>
      </c>
      <c r="H92" s="8">
        <v>0</v>
      </c>
      <c r="I92" s="8">
        <v>0.29780000000000001</v>
      </c>
      <c r="J92" s="8">
        <v>0</v>
      </c>
      <c r="K92" s="8">
        <v>0</v>
      </c>
      <c r="L92" s="8">
        <v>47.9</v>
      </c>
      <c r="M92" s="8">
        <v>49.93</v>
      </c>
      <c r="N92" s="10">
        <v>1.04237995824634</v>
      </c>
      <c r="O92" s="10">
        <v>1.03989039569729</v>
      </c>
      <c r="P92" s="10">
        <v>1.04141290074102</v>
      </c>
      <c r="Q92" s="10">
        <v>1.04031644401015</v>
      </c>
      <c r="R92" s="8">
        <v>49.810749953900299</v>
      </c>
      <c r="S92" s="8">
        <v>49.873839249297802</v>
      </c>
      <c r="T92" s="8">
        <v>49.821237052957599</v>
      </c>
      <c r="U92" s="9">
        <v>-2.39120124875448E-3</v>
      </c>
      <c r="V92" s="9">
        <v>-1.12542277035164E-3</v>
      </c>
      <c r="W92" s="9">
        <v>-2.1806845379862098E-3</v>
      </c>
      <c r="X92" s="10">
        <v>1.04237995824634</v>
      </c>
      <c r="Y92" s="10">
        <v>1.03989039569729</v>
      </c>
      <c r="Z92" s="10">
        <v>1.04141290074102</v>
      </c>
      <c r="AA92" s="10">
        <v>1.04031644401015</v>
      </c>
      <c r="AB92" s="8">
        <v>49.810749953900299</v>
      </c>
      <c r="AC92" s="8">
        <v>49.873839249297802</v>
      </c>
      <c r="AD92" s="8">
        <v>49.821237052957599</v>
      </c>
      <c r="AE92" s="9">
        <v>-2.39120124875448E-3</v>
      </c>
      <c r="AF92" s="9">
        <v>-1.12542277035164E-3</v>
      </c>
      <c r="AG92" s="9">
        <v>-2.1806845379862098E-3</v>
      </c>
      <c r="AZ92" s="9"/>
      <c r="BB92">
        <f t="shared" si="22"/>
        <v>1</v>
      </c>
      <c r="BC92">
        <f t="shared" si="23"/>
        <v>0</v>
      </c>
      <c r="BD92">
        <f t="shared" si="24"/>
        <v>1</v>
      </c>
      <c r="BE92">
        <f t="shared" si="20"/>
        <v>1</v>
      </c>
      <c r="BF92">
        <f t="shared" si="25"/>
        <v>1</v>
      </c>
      <c r="BG92" s="9">
        <f t="shared" si="26"/>
        <v>1.88068177885747E-3</v>
      </c>
      <c r="BH92" s="9">
        <f t="shared" si="27"/>
        <v>-1.00190370068208E-3</v>
      </c>
      <c r="BI92" s="9">
        <f t="shared" si="28"/>
        <v>8.7877807817538997E-4</v>
      </c>
      <c r="BJ92" s="12">
        <f t="shared" si="29"/>
        <v>-6.2339027205518226E-3</v>
      </c>
      <c r="BL92" s="9"/>
      <c r="BN92">
        <f t="shared" si="30"/>
        <v>0</v>
      </c>
      <c r="BO92">
        <f t="shared" si="31"/>
        <v>1</v>
      </c>
      <c r="BP92">
        <f t="shared" si="32"/>
        <v>0</v>
      </c>
      <c r="BQ92">
        <f t="shared" si="21"/>
        <v>1</v>
      </c>
      <c r="BR92">
        <f t="shared" si="33"/>
        <v>0</v>
      </c>
      <c r="BS92" s="9">
        <f t="shared" si="34"/>
        <v>0</v>
      </c>
      <c r="BT92" s="9">
        <f t="shared" si="35"/>
        <v>0</v>
      </c>
      <c r="BU92" s="9">
        <f t="shared" si="36"/>
        <v>0</v>
      </c>
      <c r="BV92" s="12">
        <f t="shared" si="37"/>
        <v>0</v>
      </c>
      <c r="BX92" s="12">
        <f t="shared" si="38"/>
        <v>8.7877807817538997E-4</v>
      </c>
      <c r="BY92" s="12">
        <f t="shared" si="39"/>
        <v>-6.2339027205518226E-3</v>
      </c>
    </row>
    <row r="93" spans="1:77" x14ac:dyDescent="0.3">
      <c r="A93" s="1">
        <v>46156</v>
      </c>
      <c r="B93" s="8">
        <v>47.97</v>
      </c>
      <c r="C93" s="8">
        <v>49.92</v>
      </c>
      <c r="D93" s="9">
        <v>1.4603110971029901E-3</v>
      </c>
      <c r="E93" s="9">
        <v>-2.0030045134560999E-4</v>
      </c>
      <c r="F93" s="8">
        <v>0</v>
      </c>
      <c r="G93" s="8">
        <v>0.4365</v>
      </c>
      <c r="H93" s="8">
        <v>0</v>
      </c>
      <c r="I93" s="8">
        <v>0.29780000000000001</v>
      </c>
      <c r="J93" s="8">
        <v>0</v>
      </c>
      <c r="K93" s="8">
        <v>0</v>
      </c>
      <c r="L93" s="8">
        <v>47.97</v>
      </c>
      <c r="M93" s="8">
        <v>49.92</v>
      </c>
      <c r="N93" s="10">
        <v>1.04065040650406</v>
      </c>
      <c r="O93" s="10">
        <v>1.03989039569729</v>
      </c>
      <c r="P93" s="10">
        <v>1.04160697364949</v>
      </c>
      <c r="Q93" s="10">
        <v>1.04039429600514</v>
      </c>
      <c r="R93" s="8">
        <v>49.883542281599098</v>
      </c>
      <c r="S93" s="8">
        <v>49.956576848546902</v>
      </c>
      <c r="T93" s="8">
        <v>49.903979819167098</v>
      </c>
      <c r="U93" s="9">
        <v>-7.3058970030569703E-4</v>
      </c>
      <c r="V93" s="9">
        <v>7.3244100541407795E-4</v>
      </c>
      <c r="W93" s="9">
        <v>-3.2096858889796401E-4</v>
      </c>
      <c r="X93" s="10">
        <v>1.04065040650406</v>
      </c>
      <c r="Y93" s="10">
        <v>1.03989039569729</v>
      </c>
      <c r="Z93" s="10">
        <v>1.04160697364949</v>
      </c>
      <c r="AA93" s="10">
        <v>1.04039429600514</v>
      </c>
      <c r="AB93" s="8">
        <v>49.883542281599098</v>
      </c>
      <c r="AC93" s="8">
        <v>49.956576848546902</v>
      </c>
      <c r="AD93" s="8">
        <v>49.903979819167098</v>
      </c>
      <c r="AE93" s="9">
        <v>-7.3058970030569703E-4</v>
      </c>
      <c r="AF93" s="9">
        <v>7.3244100541407795E-4</v>
      </c>
      <c r="AG93" s="9">
        <v>-3.2096858889796401E-4</v>
      </c>
      <c r="AZ93" s="9"/>
      <c r="BB93">
        <f t="shared" si="22"/>
        <v>0</v>
      </c>
      <c r="BC93">
        <f t="shared" si="23"/>
        <v>0</v>
      </c>
      <c r="BD93">
        <f t="shared" si="24"/>
        <v>1</v>
      </c>
      <c r="BE93">
        <f t="shared" si="20"/>
        <v>1</v>
      </c>
      <c r="BF93">
        <f t="shared" si="25"/>
        <v>1</v>
      </c>
      <c r="BG93" s="9">
        <f t="shared" si="26"/>
        <v>1.4603110971029901E-3</v>
      </c>
      <c r="BH93" s="9">
        <f t="shared" si="27"/>
        <v>2.0030045134560999E-4</v>
      </c>
      <c r="BI93" s="9">
        <f t="shared" si="28"/>
        <v>1.6606115484486001E-3</v>
      </c>
      <c r="BJ93" s="12">
        <f t="shared" si="29"/>
        <v>-4.5732911721032225E-3</v>
      </c>
      <c r="BL93" s="9"/>
      <c r="BN93">
        <f t="shared" si="30"/>
        <v>0</v>
      </c>
      <c r="BO93">
        <f t="shared" si="31"/>
        <v>1</v>
      </c>
      <c r="BP93">
        <f t="shared" si="32"/>
        <v>0</v>
      </c>
      <c r="BQ93">
        <f t="shared" si="21"/>
        <v>1</v>
      </c>
      <c r="BR93">
        <f t="shared" si="33"/>
        <v>0</v>
      </c>
      <c r="BS93" s="9">
        <f t="shared" si="34"/>
        <v>0</v>
      </c>
      <c r="BT93" s="9">
        <f t="shared" si="35"/>
        <v>0</v>
      </c>
      <c r="BU93" s="9">
        <f t="shared" si="36"/>
        <v>0</v>
      </c>
      <c r="BV93" s="12">
        <f t="shared" si="37"/>
        <v>0</v>
      </c>
      <c r="BX93" s="12">
        <f t="shared" si="38"/>
        <v>1.6606115484486001E-3</v>
      </c>
      <c r="BY93" s="12">
        <f t="shared" si="39"/>
        <v>-4.5732911721032225E-3</v>
      </c>
    </row>
    <row r="94" spans="1:77" x14ac:dyDescent="0.3">
      <c r="A94" s="1">
        <v>46157</v>
      </c>
      <c r="B94" s="8">
        <v>47.57</v>
      </c>
      <c r="C94" s="8">
        <v>49.68</v>
      </c>
      <c r="D94" s="9">
        <v>-8.3735050697823898E-3</v>
      </c>
      <c r="E94" s="9">
        <v>-4.8192864359489903E-3</v>
      </c>
      <c r="F94" s="8">
        <v>0</v>
      </c>
      <c r="G94" s="8">
        <v>0.4365</v>
      </c>
      <c r="H94" s="8">
        <v>0</v>
      </c>
      <c r="I94" s="8">
        <v>0.29780000000000001</v>
      </c>
      <c r="J94" s="8">
        <v>0</v>
      </c>
      <c r="K94" s="8">
        <v>0</v>
      </c>
      <c r="L94" s="8">
        <v>47.57</v>
      </c>
      <c r="M94" s="8">
        <v>49.68</v>
      </c>
      <c r="N94" s="10">
        <v>1.0443556863569401</v>
      </c>
      <c r="O94" s="10">
        <v>1.03989039569729</v>
      </c>
      <c r="P94" s="10">
        <v>1.04193580891016</v>
      </c>
      <c r="Q94" s="10">
        <v>1.04066711860149</v>
      </c>
      <c r="R94" s="8">
        <v>49.467586123320203</v>
      </c>
      <c r="S94" s="8">
        <v>49.549243736506497</v>
      </c>
      <c r="T94" s="8">
        <v>49.491556660964697</v>
      </c>
      <c r="U94" s="9">
        <v>-4.2848083341392E-3</v>
      </c>
      <c r="V94" s="9">
        <v>-2.6354395992735698E-3</v>
      </c>
      <c r="W94" s="9">
        <v>-3.8003551054859698E-3</v>
      </c>
      <c r="X94" s="10">
        <v>1.0443556863569401</v>
      </c>
      <c r="Y94" s="10">
        <v>1.03989039569729</v>
      </c>
      <c r="Z94" s="10">
        <v>1.04193580891016</v>
      </c>
      <c r="AA94" s="10">
        <v>1.04066711860149</v>
      </c>
      <c r="AB94" s="8">
        <v>49.467586123320203</v>
      </c>
      <c r="AC94" s="8">
        <v>49.549243736506497</v>
      </c>
      <c r="AD94" s="8">
        <v>49.491556660964697</v>
      </c>
      <c r="AE94" s="9">
        <v>-4.2848083341392E-3</v>
      </c>
      <c r="AF94" s="9">
        <v>-2.6354395992735698E-3</v>
      </c>
      <c r="AG94" s="9">
        <v>-3.8003551054859698E-3</v>
      </c>
      <c r="AZ94" s="9"/>
      <c r="BB94">
        <f t="shared" si="22"/>
        <v>1</v>
      </c>
      <c r="BC94">
        <f t="shared" si="23"/>
        <v>0</v>
      </c>
      <c r="BD94">
        <f t="shared" si="24"/>
        <v>1</v>
      </c>
      <c r="BE94">
        <f t="shared" si="20"/>
        <v>1</v>
      </c>
      <c r="BF94">
        <f t="shared" si="25"/>
        <v>1</v>
      </c>
      <c r="BG94" s="9">
        <f t="shared" si="26"/>
        <v>-8.3735050697823898E-3</v>
      </c>
      <c r="BH94" s="9">
        <f t="shared" si="27"/>
        <v>4.8192864359489903E-3</v>
      </c>
      <c r="BI94" s="9">
        <f t="shared" si="28"/>
        <v>-3.5542186338333994E-3</v>
      </c>
      <c r="BJ94" s="12">
        <f t="shared" si="29"/>
        <v>-8.127509805936621E-3</v>
      </c>
      <c r="BL94" s="9"/>
      <c r="BN94">
        <f t="shared" si="30"/>
        <v>0</v>
      </c>
      <c r="BO94">
        <f t="shared" si="31"/>
        <v>1</v>
      </c>
      <c r="BP94">
        <f t="shared" si="32"/>
        <v>0</v>
      </c>
      <c r="BQ94">
        <f t="shared" si="21"/>
        <v>1</v>
      </c>
      <c r="BR94">
        <f t="shared" si="33"/>
        <v>0</v>
      </c>
      <c r="BS94" s="9">
        <f t="shared" si="34"/>
        <v>0</v>
      </c>
      <c r="BT94" s="9">
        <f t="shared" si="35"/>
        <v>0</v>
      </c>
      <c r="BU94" s="9">
        <f t="shared" si="36"/>
        <v>0</v>
      </c>
      <c r="BV94" s="12">
        <f t="shared" si="37"/>
        <v>0</v>
      </c>
      <c r="BX94" s="12">
        <f t="shared" si="38"/>
        <v>-3.5542186338333994E-3</v>
      </c>
      <c r="BY94" s="12">
        <f t="shared" si="39"/>
        <v>-8.127509805936621E-3</v>
      </c>
    </row>
    <row r="95" spans="1:77" x14ac:dyDescent="0.3">
      <c r="A95" s="1">
        <v>46160</v>
      </c>
      <c r="B95" s="8">
        <v>47.7</v>
      </c>
      <c r="C95" s="8">
        <v>49.79</v>
      </c>
      <c r="D95" s="9">
        <v>2.7290874501055599E-3</v>
      </c>
      <c r="E95" s="9">
        <v>2.2117230288679298E-3</v>
      </c>
      <c r="F95" s="8">
        <v>0</v>
      </c>
      <c r="G95" s="8">
        <v>0.4365</v>
      </c>
      <c r="H95" s="8">
        <v>0</v>
      </c>
      <c r="I95" s="8">
        <v>0.29780000000000001</v>
      </c>
      <c r="J95" s="8">
        <v>0</v>
      </c>
      <c r="K95" s="8">
        <v>0</v>
      </c>
      <c r="L95" s="8">
        <v>47.7</v>
      </c>
      <c r="M95" s="8">
        <v>49.79</v>
      </c>
      <c r="N95" s="10">
        <v>1.0438155136268299</v>
      </c>
      <c r="O95" s="10">
        <v>1.03989039569729</v>
      </c>
      <c r="P95" s="10">
        <v>1.04213675826615</v>
      </c>
      <c r="Q95" s="10">
        <v>1.0409105149582001</v>
      </c>
      <c r="R95" s="8">
        <v>49.602771874760897</v>
      </c>
      <c r="S95" s="8">
        <v>49.700338085014799</v>
      </c>
      <c r="T95" s="8">
        <v>49.639821557291199</v>
      </c>
      <c r="U95" s="9">
        <v>-3.76744391290172E-3</v>
      </c>
      <c r="V95" s="9">
        <v>-1.8024250592564199E-3</v>
      </c>
      <c r="W95" s="9">
        <v>-3.0207950604215499E-3</v>
      </c>
      <c r="X95" s="10">
        <v>1.0438155136268299</v>
      </c>
      <c r="Y95" s="10">
        <v>1.03989039569729</v>
      </c>
      <c r="Z95" s="10">
        <v>1.04213675826615</v>
      </c>
      <c r="AA95" s="10">
        <v>1.0409105149582001</v>
      </c>
      <c r="AB95" s="8">
        <v>49.602771874760897</v>
      </c>
      <c r="AC95" s="8">
        <v>49.700338085014799</v>
      </c>
      <c r="AD95" s="8">
        <v>49.639821557291199</v>
      </c>
      <c r="AE95" s="9">
        <v>-3.76744391290172E-3</v>
      </c>
      <c r="AF95" s="9">
        <v>-1.8024250592564199E-3</v>
      </c>
      <c r="AG95" s="9">
        <v>-3.0207950604215499E-3</v>
      </c>
      <c r="AZ95" s="9"/>
      <c r="BB95">
        <f t="shared" si="22"/>
        <v>1</v>
      </c>
      <c r="BC95">
        <f t="shared" si="23"/>
        <v>0</v>
      </c>
      <c r="BD95">
        <f t="shared" si="24"/>
        <v>1</v>
      </c>
      <c r="BE95">
        <f t="shared" si="20"/>
        <v>1</v>
      </c>
      <c r="BF95">
        <f t="shared" si="25"/>
        <v>1</v>
      </c>
      <c r="BG95" s="9">
        <f t="shared" si="26"/>
        <v>2.7290874501055599E-3</v>
      </c>
      <c r="BH95" s="9">
        <f t="shared" si="27"/>
        <v>-2.2117230288679298E-3</v>
      </c>
      <c r="BI95" s="9">
        <f t="shared" si="28"/>
        <v>5.1736442123763004E-4</v>
      </c>
      <c r="BJ95" s="12">
        <f t="shared" si="29"/>
        <v>-7.610145384698991E-3</v>
      </c>
      <c r="BL95" s="9"/>
      <c r="BN95">
        <f t="shared" si="30"/>
        <v>0</v>
      </c>
      <c r="BO95">
        <f t="shared" si="31"/>
        <v>1</v>
      </c>
      <c r="BP95">
        <f t="shared" si="32"/>
        <v>0</v>
      </c>
      <c r="BQ95">
        <f t="shared" si="21"/>
        <v>1</v>
      </c>
      <c r="BR95">
        <f t="shared" si="33"/>
        <v>0</v>
      </c>
      <c r="BS95" s="9">
        <f t="shared" si="34"/>
        <v>0</v>
      </c>
      <c r="BT95" s="9">
        <f t="shared" si="35"/>
        <v>0</v>
      </c>
      <c r="BU95" s="9">
        <f t="shared" si="36"/>
        <v>0</v>
      </c>
      <c r="BV95" s="12">
        <f t="shared" si="37"/>
        <v>0</v>
      </c>
      <c r="BX95" s="12">
        <f t="shared" si="38"/>
        <v>5.1736442123763004E-4</v>
      </c>
      <c r="BY95" s="12">
        <f t="shared" si="39"/>
        <v>-7.610145384698991E-3</v>
      </c>
    </row>
    <row r="96" spans="1:77" x14ac:dyDescent="0.3">
      <c r="A96" s="1">
        <v>46161</v>
      </c>
      <c r="B96" s="8">
        <v>47.59</v>
      </c>
      <c r="C96" s="8">
        <v>49.68</v>
      </c>
      <c r="D96" s="9">
        <v>-2.3087427612763999E-3</v>
      </c>
      <c r="E96" s="9">
        <v>-2.2117230288679602E-3</v>
      </c>
      <c r="F96" s="8">
        <v>0</v>
      </c>
      <c r="G96" s="8">
        <v>0.4365</v>
      </c>
      <c r="H96" s="8">
        <v>0</v>
      </c>
      <c r="I96" s="8">
        <v>0.29780000000000001</v>
      </c>
      <c r="J96" s="8">
        <v>0</v>
      </c>
      <c r="K96" s="8">
        <v>0</v>
      </c>
      <c r="L96" s="8">
        <v>47.59</v>
      </c>
      <c r="M96" s="8">
        <v>49.68</v>
      </c>
      <c r="N96" s="10">
        <v>1.0439167892414301</v>
      </c>
      <c r="O96" s="10">
        <v>1.03989039569729</v>
      </c>
      <c r="P96" s="10">
        <v>1.0423939623521301</v>
      </c>
      <c r="Q96" s="10">
        <v>1.0411624874764001</v>
      </c>
      <c r="R96" s="8">
        <v>49.488383931234097</v>
      </c>
      <c r="S96" s="8">
        <v>49.595288325886401</v>
      </c>
      <c r="T96" s="8">
        <v>49.536931406860901</v>
      </c>
      <c r="U96" s="9">
        <v>-3.8644636453101502E-3</v>
      </c>
      <c r="V96" s="9">
        <v>-1.7066018362110701E-3</v>
      </c>
      <c r="W96" s="9">
        <v>-2.8839572091448602E-3</v>
      </c>
      <c r="X96" s="10">
        <v>1.0439167892414301</v>
      </c>
      <c r="Y96" s="10">
        <v>1.03989039569729</v>
      </c>
      <c r="Z96" s="10">
        <v>1.0423939623521301</v>
      </c>
      <c r="AA96" s="10">
        <v>1.0411624874764001</v>
      </c>
      <c r="AB96" s="8">
        <v>49.488383931234097</v>
      </c>
      <c r="AC96" s="8">
        <v>49.595288325886401</v>
      </c>
      <c r="AD96" s="8">
        <v>49.536931406860901</v>
      </c>
      <c r="AE96" s="9">
        <v>-3.8644636453101502E-3</v>
      </c>
      <c r="AF96" s="9">
        <v>-1.7066018362110701E-3</v>
      </c>
      <c r="AG96" s="9">
        <v>-2.8839572091448602E-3</v>
      </c>
      <c r="AZ96" s="9"/>
      <c r="BB96">
        <f t="shared" si="22"/>
        <v>1</v>
      </c>
      <c r="BC96">
        <f t="shared" si="23"/>
        <v>0</v>
      </c>
      <c r="BD96">
        <f t="shared" si="24"/>
        <v>1</v>
      </c>
      <c r="BE96">
        <f t="shared" si="20"/>
        <v>1</v>
      </c>
      <c r="BF96">
        <f t="shared" si="25"/>
        <v>1</v>
      </c>
      <c r="BG96" s="9">
        <f t="shared" si="26"/>
        <v>-2.3087427612763999E-3</v>
      </c>
      <c r="BH96" s="9">
        <f t="shared" si="27"/>
        <v>2.2117230288679602E-3</v>
      </c>
      <c r="BI96" s="9">
        <f t="shared" si="28"/>
        <v>-9.7019732408439724E-5</v>
      </c>
      <c r="BJ96" s="12">
        <f t="shared" si="29"/>
        <v>-7.7071651171074307E-3</v>
      </c>
      <c r="BL96" s="9"/>
      <c r="BN96">
        <f t="shared" si="30"/>
        <v>0</v>
      </c>
      <c r="BO96">
        <f t="shared" si="31"/>
        <v>1</v>
      </c>
      <c r="BP96">
        <f t="shared" si="32"/>
        <v>0</v>
      </c>
      <c r="BQ96">
        <f t="shared" si="21"/>
        <v>1</v>
      </c>
      <c r="BR96">
        <f t="shared" si="33"/>
        <v>0</v>
      </c>
      <c r="BS96" s="9">
        <f t="shared" si="34"/>
        <v>0</v>
      </c>
      <c r="BT96" s="9">
        <f t="shared" si="35"/>
        <v>0</v>
      </c>
      <c r="BU96" s="9">
        <f t="shared" si="36"/>
        <v>0</v>
      </c>
      <c r="BV96" s="12">
        <f t="shared" si="37"/>
        <v>0</v>
      </c>
      <c r="BX96" s="12">
        <f t="shared" si="38"/>
        <v>-9.7019732408439724E-5</v>
      </c>
      <c r="BY96" s="12">
        <f t="shared" si="39"/>
        <v>-7.7071651171074307E-3</v>
      </c>
    </row>
    <row r="97" spans="1:77" x14ac:dyDescent="0.3">
      <c r="A97" s="1">
        <v>46162</v>
      </c>
      <c r="B97" s="8">
        <v>47.92</v>
      </c>
      <c r="C97" s="8">
        <v>49.97</v>
      </c>
      <c r="D97" s="9">
        <v>6.9102986741747304E-3</v>
      </c>
      <c r="E97" s="9">
        <v>5.8203877308902301E-3</v>
      </c>
      <c r="F97" s="8">
        <v>0</v>
      </c>
      <c r="G97" s="8">
        <v>0.4365</v>
      </c>
      <c r="H97" s="8">
        <v>0</v>
      </c>
      <c r="I97" s="8">
        <v>0.29780000000000001</v>
      </c>
      <c r="J97" s="8">
        <v>0</v>
      </c>
      <c r="K97" s="8">
        <v>0</v>
      </c>
      <c r="L97" s="8">
        <v>47.92</v>
      </c>
      <c r="M97" s="8">
        <v>49.97</v>
      </c>
      <c r="N97" s="10">
        <v>1.0427796327212</v>
      </c>
      <c r="O97" s="10">
        <v>1.03989039569729</v>
      </c>
      <c r="P97" s="10">
        <v>1.0426021581823901</v>
      </c>
      <c r="Q97" s="10">
        <v>1.04134007434285</v>
      </c>
      <c r="R97" s="8">
        <v>49.831547761814299</v>
      </c>
      <c r="S97" s="8">
        <v>49.951518675914102</v>
      </c>
      <c r="T97" s="8">
        <v>49.892506399869497</v>
      </c>
      <c r="U97" s="9">
        <v>-2.77455270202576E-3</v>
      </c>
      <c r="V97" s="9">
        <v>-3.6991680153605099E-4</v>
      </c>
      <c r="W97" s="9">
        <v>-1.55200622294132E-3</v>
      </c>
      <c r="X97" s="10">
        <v>1.0427796327212</v>
      </c>
      <c r="Y97" s="10">
        <v>1.03989039569729</v>
      </c>
      <c r="Z97" s="10">
        <v>1.0426021581823901</v>
      </c>
      <c r="AA97" s="10">
        <v>1.04134007434285</v>
      </c>
      <c r="AB97" s="8">
        <v>49.831547761814299</v>
      </c>
      <c r="AC97" s="8">
        <v>49.951518675914102</v>
      </c>
      <c r="AD97" s="8">
        <v>49.892506399869497</v>
      </c>
      <c r="AE97" s="9">
        <v>-2.77455270202576E-3</v>
      </c>
      <c r="AF97" s="9">
        <v>-3.6991680153605099E-4</v>
      </c>
      <c r="AG97" s="9">
        <v>-1.55200622294132E-3</v>
      </c>
      <c r="AZ97" s="9"/>
      <c r="BB97">
        <f t="shared" si="22"/>
        <v>1</v>
      </c>
      <c r="BC97">
        <f t="shared" si="23"/>
        <v>0</v>
      </c>
      <c r="BD97">
        <f t="shared" si="24"/>
        <v>1</v>
      </c>
      <c r="BE97">
        <f t="shared" si="20"/>
        <v>1</v>
      </c>
      <c r="BF97">
        <f t="shared" si="25"/>
        <v>1</v>
      </c>
      <c r="BG97" s="9">
        <f t="shared" si="26"/>
        <v>6.9102986741747304E-3</v>
      </c>
      <c r="BH97" s="9">
        <f t="shared" si="27"/>
        <v>-5.8203877308902301E-3</v>
      </c>
      <c r="BI97" s="9">
        <f t="shared" si="28"/>
        <v>1.0899109432845003E-3</v>
      </c>
      <c r="BJ97" s="12">
        <f t="shared" si="29"/>
        <v>-6.6172541738229304E-3</v>
      </c>
      <c r="BL97" s="9"/>
      <c r="BN97">
        <f t="shared" si="30"/>
        <v>0</v>
      </c>
      <c r="BO97">
        <f t="shared" si="31"/>
        <v>1</v>
      </c>
      <c r="BP97">
        <f t="shared" si="32"/>
        <v>0</v>
      </c>
      <c r="BQ97">
        <f t="shared" si="21"/>
        <v>1</v>
      </c>
      <c r="BR97">
        <f t="shared" si="33"/>
        <v>0</v>
      </c>
      <c r="BS97" s="9">
        <f t="shared" si="34"/>
        <v>0</v>
      </c>
      <c r="BT97" s="9">
        <f t="shared" si="35"/>
        <v>0</v>
      </c>
      <c r="BU97" s="9">
        <f t="shared" si="36"/>
        <v>0</v>
      </c>
      <c r="BV97" s="12">
        <f t="shared" si="37"/>
        <v>0</v>
      </c>
      <c r="BX97" s="12">
        <f t="shared" si="38"/>
        <v>1.0899109432845003E-3</v>
      </c>
      <c r="BY97" s="12">
        <f t="shared" si="39"/>
        <v>-6.6172541738229304E-3</v>
      </c>
    </row>
    <row r="98" spans="1:77" x14ac:dyDescent="0.3">
      <c r="A98" s="1">
        <v>46163</v>
      </c>
      <c r="B98" s="8">
        <v>47.98</v>
      </c>
      <c r="C98" s="8">
        <v>50.01</v>
      </c>
      <c r="D98" s="9">
        <v>1.2513036043544899E-3</v>
      </c>
      <c r="E98" s="9">
        <v>8.0016007469869998E-4</v>
      </c>
      <c r="F98" s="8">
        <v>0</v>
      </c>
      <c r="G98" s="8">
        <v>0.4365</v>
      </c>
      <c r="H98" s="8">
        <v>0</v>
      </c>
      <c r="I98" s="8">
        <v>0.29780000000000001</v>
      </c>
      <c r="J98" s="8">
        <v>0</v>
      </c>
      <c r="K98" s="8">
        <v>0</v>
      </c>
      <c r="L98" s="8">
        <v>47.98</v>
      </c>
      <c r="M98" s="8">
        <v>50.01</v>
      </c>
      <c r="N98" s="10">
        <v>1.0423092955397999</v>
      </c>
      <c r="O98" s="10">
        <v>1.03989039569729</v>
      </c>
      <c r="P98" s="10">
        <v>1.04275654863487</v>
      </c>
      <c r="Q98" s="10">
        <v>1.0415112679616001</v>
      </c>
      <c r="R98" s="8">
        <v>49.893941185556102</v>
      </c>
      <c r="S98" s="8">
        <v>50.0240515495911</v>
      </c>
      <c r="T98" s="8">
        <v>49.963496766970103</v>
      </c>
      <c r="U98" s="9">
        <v>-2.3234091723698599E-3</v>
      </c>
      <c r="V98" s="9">
        <v>2.8093533083751603E-4</v>
      </c>
      <c r="W98" s="9">
        <v>-9.3031129024502904E-4</v>
      </c>
      <c r="X98" s="10">
        <v>1.0423092955397999</v>
      </c>
      <c r="Y98" s="10">
        <v>1.03989039569729</v>
      </c>
      <c r="Z98" s="10">
        <v>1.04275654863487</v>
      </c>
      <c r="AA98" s="10">
        <v>1.0415112679616001</v>
      </c>
      <c r="AB98" s="8">
        <v>49.893941185556102</v>
      </c>
      <c r="AC98" s="8">
        <v>50.0240515495911</v>
      </c>
      <c r="AD98" s="8">
        <v>49.963496766970103</v>
      </c>
      <c r="AE98" s="9">
        <v>-2.3234091723698599E-3</v>
      </c>
      <c r="AF98" s="9">
        <v>2.8093533083751603E-4</v>
      </c>
      <c r="AG98" s="9">
        <v>-9.3031129024502904E-4</v>
      </c>
      <c r="AZ98" s="9"/>
      <c r="BB98">
        <f t="shared" si="22"/>
        <v>0</v>
      </c>
      <c r="BC98">
        <f t="shared" si="23"/>
        <v>0</v>
      </c>
      <c r="BD98">
        <f t="shared" si="24"/>
        <v>1</v>
      </c>
      <c r="BE98">
        <f t="shared" si="20"/>
        <v>1</v>
      </c>
      <c r="BF98">
        <f t="shared" si="25"/>
        <v>1</v>
      </c>
      <c r="BG98" s="9">
        <f t="shared" si="26"/>
        <v>1.2513036043544899E-3</v>
      </c>
      <c r="BH98" s="9">
        <f t="shared" si="27"/>
        <v>-8.0016007469869998E-4</v>
      </c>
      <c r="BI98" s="9">
        <f t="shared" si="28"/>
        <v>4.5114352965578992E-4</v>
      </c>
      <c r="BJ98" s="12">
        <f t="shared" si="29"/>
        <v>-6.1661106441671405E-3</v>
      </c>
      <c r="BL98" s="9"/>
      <c r="BN98">
        <f t="shared" si="30"/>
        <v>0</v>
      </c>
      <c r="BO98">
        <f t="shared" si="31"/>
        <v>1</v>
      </c>
      <c r="BP98">
        <f t="shared" si="32"/>
        <v>0</v>
      </c>
      <c r="BQ98">
        <f t="shared" si="21"/>
        <v>1</v>
      </c>
      <c r="BR98">
        <f t="shared" si="33"/>
        <v>0</v>
      </c>
      <c r="BS98" s="9">
        <f t="shared" si="34"/>
        <v>0</v>
      </c>
      <c r="BT98" s="9">
        <f t="shared" si="35"/>
        <v>0</v>
      </c>
      <c r="BU98" s="9">
        <f t="shared" si="36"/>
        <v>0</v>
      </c>
      <c r="BV98" s="12">
        <f t="shared" si="37"/>
        <v>0</v>
      </c>
      <c r="BX98" s="12">
        <f t="shared" si="38"/>
        <v>4.5114352965578992E-4</v>
      </c>
      <c r="BY98" s="12">
        <f t="shared" si="39"/>
        <v>-6.1661106441671405E-3</v>
      </c>
    </row>
    <row r="99" spans="1:77" x14ac:dyDescent="0.3">
      <c r="A99" s="1">
        <v>46164</v>
      </c>
      <c r="B99" s="8">
        <v>48.06</v>
      </c>
      <c r="C99" s="8">
        <v>50.04</v>
      </c>
      <c r="D99" s="9">
        <v>1.66597289677452E-3</v>
      </c>
      <c r="E99" s="9">
        <v>5.9970016789811099E-4</v>
      </c>
      <c r="F99" s="8">
        <v>0</v>
      </c>
      <c r="G99" s="8">
        <v>0.4365</v>
      </c>
      <c r="H99" s="8">
        <v>0</v>
      </c>
      <c r="I99" s="8">
        <v>0.29780000000000001</v>
      </c>
      <c r="J99" s="8">
        <v>0</v>
      </c>
      <c r="K99" s="8">
        <v>0</v>
      </c>
      <c r="L99" s="8">
        <v>48.06</v>
      </c>
      <c r="M99" s="8">
        <v>50.04</v>
      </c>
      <c r="N99" s="10">
        <v>1.04119850187265</v>
      </c>
      <c r="O99" s="10">
        <v>1.03989039569729</v>
      </c>
      <c r="P99" s="10">
        <v>1.0426803040984101</v>
      </c>
      <c r="Q99" s="10">
        <v>1.04157825139029</v>
      </c>
      <c r="R99" s="8">
        <v>49.977132417211898</v>
      </c>
      <c r="S99" s="8">
        <v>50.114879727392001</v>
      </c>
      <c r="T99" s="8">
        <v>50.055031538234502</v>
      </c>
      <c r="U99" s="9">
        <v>-1.2571364434935701E-3</v>
      </c>
      <c r="V99" s="9">
        <v>1.4952789429251499E-3</v>
      </c>
      <c r="W99" s="9">
        <v>3.0034534414944E-4</v>
      </c>
      <c r="X99" s="10">
        <v>1.04119850187265</v>
      </c>
      <c r="Y99" s="10">
        <v>1.03989039569729</v>
      </c>
      <c r="Z99" s="10">
        <v>1.0426803040984101</v>
      </c>
      <c r="AA99" s="10">
        <v>1.04157825139029</v>
      </c>
      <c r="AB99" s="8">
        <v>49.977132417211898</v>
      </c>
      <c r="AC99" s="8">
        <v>50.114879727392001</v>
      </c>
      <c r="AD99" s="8">
        <v>50.055031538234502</v>
      </c>
      <c r="AE99" s="9">
        <v>-1.2571364434935701E-3</v>
      </c>
      <c r="AF99" s="9">
        <v>1.4952789429251499E-3</v>
      </c>
      <c r="AG99" s="9">
        <v>3.0034534414944E-4</v>
      </c>
      <c r="AZ99" s="9"/>
      <c r="BB99">
        <f t="shared" si="22"/>
        <v>0</v>
      </c>
      <c r="BC99">
        <f t="shared" si="23"/>
        <v>1</v>
      </c>
      <c r="BD99">
        <f t="shared" si="24"/>
        <v>1</v>
      </c>
      <c r="BE99">
        <f t="shared" si="20"/>
        <v>1</v>
      </c>
      <c r="BF99">
        <f t="shared" si="25"/>
        <v>1</v>
      </c>
      <c r="BG99" s="9">
        <f t="shared" si="26"/>
        <v>1.66597289677452E-3</v>
      </c>
      <c r="BH99" s="9">
        <f t="shared" si="27"/>
        <v>-5.9970016789811099E-4</v>
      </c>
      <c r="BI99" s="9">
        <f t="shared" si="28"/>
        <v>1.0662727288764089E-3</v>
      </c>
      <c r="BJ99" s="12">
        <f t="shared" si="29"/>
        <v>-5.0998379152907315E-3</v>
      </c>
      <c r="BL99" s="9"/>
      <c r="BN99">
        <f t="shared" si="30"/>
        <v>0</v>
      </c>
      <c r="BO99">
        <f t="shared" si="31"/>
        <v>0</v>
      </c>
      <c r="BP99">
        <f t="shared" si="32"/>
        <v>0</v>
      </c>
      <c r="BQ99">
        <f t="shared" si="21"/>
        <v>1</v>
      </c>
      <c r="BR99">
        <f t="shared" si="33"/>
        <v>0</v>
      </c>
      <c r="BS99" s="9">
        <f t="shared" si="34"/>
        <v>0</v>
      </c>
      <c r="BT99" s="9">
        <f t="shared" si="35"/>
        <v>0</v>
      </c>
      <c r="BU99" s="9">
        <f t="shared" si="36"/>
        <v>0</v>
      </c>
      <c r="BV99" s="12">
        <f t="shared" si="37"/>
        <v>0</v>
      </c>
      <c r="BX99" s="12">
        <f t="shared" si="38"/>
        <v>1.0662727288764089E-3</v>
      </c>
      <c r="BY99" s="12">
        <f t="shared" si="39"/>
        <v>-5.0998379152907315E-3</v>
      </c>
    </row>
    <row r="100" spans="1:77" x14ac:dyDescent="0.3">
      <c r="A100" s="1">
        <v>46168</v>
      </c>
      <c r="B100" s="8">
        <v>48.23</v>
      </c>
      <c r="C100" s="8">
        <v>50.19</v>
      </c>
      <c r="D100" s="9">
        <v>3.5310037725574698E-3</v>
      </c>
      <c r="E100" s="9">
        <v>2.9931180681318798E-3</v>
      </c>
      <c r="F100" s="8">
        <v>0</v>
      </c>
      <c r="G100" s="8">
        <v>0.4365</v>
      </c>
      <c r="H100" s="8">
        <v>0</v>
      </c>
      <c r="I100" s="8">
        <v>0.29780000000000001</v>
      </c>
      <c r="J100" s="8">
        <v>0</v>
      </c>
      <c r="K100" s="8">
        <v>0</v>
      </c>
      <c r="L100" s="8">
        <v>48.23</v>
      </c>
      <c r="M100" s="8">
        <v>50.19</v>
      </c>
      <c r="N100" s="10">
        <v>1.04063860667634</v>
      </c>
      <c r="O100" s="10">
        <v>1.03989039569729</v>
      </c>
      <c r="P100" s="10">
        <v>1.0425340772295699</v>
      </c>
      <c r="Q100" s="10">
        <v>1.04165388619861</v>
      </c>
      <c r="R100" s="8">
        <v>50.153913784480402</v>
      </c>
      <c r="S100" s="8">
        <v>50.288471066666602</v>
      </c>
      <c r="T100" s="8">
        <v>50.235319064553899</v>
      </c>
      <c r="U100" s="9">
        <v>-7.1925073906781503E-4</v>
      </c>
      <c r="V100" s="9">
        <v>1.9600437217366599E-3</v>
      </c>
      <c r="W100" s="9">
        <v>9.0254266657983603E-4</v>
      </c>
      <c r="X100" s="10">
        <v>1.04063860667634</v>
      </c>
      <c r="Y100" s="10">
        <v>1.03989039569729</v>
      </c>
      <c r="Z100" s="10">
        <v>1.0425340772295699</v>
      </c>
      <c r="AA100" s="10">
        <v>1.04165388619861</v>
      </c>
      <c r="AB100" s="8">
        <v>50.153913784480402</v>
      </c>
      <c r="AC100" s="8">
        <v>50.288471066666602</v>
      </c>
      <c r="AD100" s="8">
        <v>50.235319064553899</v>
      </c>
      <c r="AE100" s="9">
        <v>-7.1925073906781503E-4</v>
      </c>
      <c r="AF100" s="9">
        <v>1.9600437217366599E-3</v>
      </c>
      <c r="AG100" s="9">
        <v>9.0254266657983603E-4</v>
      </c>
      <c r="AZ100" s="9"/>
      <c r="BB100">
        <f t="shared" si="22"/>
        <v>0</v>
      </c>
      <c r="BC100">
        <f t="shared" si="23"/>
        <v>1</v>
      </c>
      <c r="BD100">
        <f t="shared" si="24"/>
        <v>0</v>
      </c>
      <c r="BE100">
        <f t="shared" si="20"/>
        <v>1</v>
      </c>
      <c r="BF100">
        <f t="shared" si="25"/>
        <v>0</v>
      </c>
      <c r="BG100" s="9">
        <f t="shared" si="26"/>
        <v>0</v>
      </c>
      <c r="BH100" s="9">
        <f t="shared" si="27"/>
        <v>0</v>
      </c>
      <c r="BI100" s="9">
        <f t="shared" si="28"/>
        <v>0</v>
      </c>
      <c r="BJ100" s="12">
        <f t="shared" si="29"/>
        <v>-5.0998379152907315E-3</v>
      </c>
      <c r="BL100" s="9"/>
      <c r="BN100">
        <f t="shared" si="30"/>
        <v>0</v>
      </c>
      <c r="BO100">
        <f t="shared" si="31"/>
        <v>0</v>
      </c>
      <c r="BP100">
        <f t="shared" si="32"/>
        <v>0</v>
      </c>
      <c r="BQ100">
        <f t="shared" si="21"/>
        <v>1</v>
      </c>
      <c r="BR100">
        <f t="shared" si="33"/>
        <v>0</v>
      </c>
      <c r="BS100" s="9">
        <f t="shared" si="34"/>
        <v>0</v>
      </c>
      <c r="BT100" s="9">
        <f t="shared" si="35"/>
        <v>0</v>
      </c>
      <c r="BU100" s="9">
        <f t="shared" si="36"/>
        <v>0</v>
      </c>
      <c r="BV100" s="12">
        <f t="shared" si="37"/>
        <v>0</v>
      </c>
      <c r="BX100" s="12">
        <f t="shared" si="38"/>
        <v>0</v>
      </c>
      <c r="BY100" s="12">
        <f t="shared" si="39"/>
        <v>-5.0998379152907315E-3</v>
      </c>
    </row>
    <row r="101" spans="1:77" x14ac:dyDescent="0.3">
      <c r="A101" s="1">
        <v>46169</v>
      </c>
      <c r="B101" s="8">
        <v>48.22</v>
      </c>
      <c r="C101" s="8">
        <v>50.2</v>
      </c>
      <c r="D101" s="9">
        <v>-2.0736132785551101E-4</v>
      </c>
      <c r="E101" s="9">
        <v>1.9922303084125601E-4</v>
      </c>
      <c r="F101" s="8">
        <v>0</v>
      </c>
      <c r="G101" s="8">
        <v>0.4365</v>
      </c>
      <c r="H101" s="8">
        <v>0</v>
      </c>
      <c r="I101" s="8">
        <v>0.29780000000000001</v>
      </c>
      <c r="J101" s="8">
        <v>0</v>
      </c>
      <c r="K101" s="8">
        <v>0</v>
      </c>
      <c r="L101" s="8">
        <v>48.22</v>
      </c>
      <c r="M101" s="8">
        <v>50.2</v>
      </c>
      <c r="N101" s="10">
        <v>1.0410618000829499</v>
      </c>
      <c r="O101" s="10">
        <v>1.03989039569729</v>
      </c>
      <c r="P101" s="10">
        <v>1.0423106190868501</v>
      </c>
      <c r="Q101" s="10">
        <v>1.0417590595360999</v>
      </c>
      <c r="R101" s="8">
        <v>50.143514880523398</v>
      </c>
      <c r="S101" s="8">
        <v>50.270993204010203</v>
      </c>
      <c r="T101" s="8">
        <v>50.228550392497397</v>
      </c>
      <c r="U101" s="9">
        <v>-1.12583509776468E-3</v>
      </c>
      <c r="V101" s="9">
        <v>1.4132082019235599E-3</v>
      </c>
      <c r="W101" s="9">
        <v>5.68571251003013E-4</v>
      </c>
      <c r="X101" s="10">
        <v>1.0410618000829499</v>
      </c>
      <c r="Y101" s="10">
        <v>1.03989039569729</v>
      </c>
      <c r="Z101" s="10">
        <v>1.0423106190868501</v>
      </c>
      <c r="AA101" s="10">
        <v>1.0417590595360999</v>
      </c>
      <c r="AB101" s="8">
        <v>50.143514880523398</v>
      </c>
      <c r="AC101" s="8">
        <v>50.270993204010203</v>
      </c>
      <c r="AD101" s="8">
        <v>50.228550392497397</v>
      </c>
      <c r="AE101" s="9">
        <v>-1.12583509776468E-3</v>
      </c>
      <c r="AF101" s="9">
        <v>1.4132082019235599E-3</v>
      </c>
      <c r="AG101" s="9">
        <v>5.68571251003013E-4</v>
      </c>
      <c r="AZ101" s="9"/>
      <c r="BB101">
        <f t="shared" si="22"/>
        <v>0</v>
      </c>
      <c r="BC101">
        <f t="shared" si="23"/>
        <v>1</v>
      </c>
      <c r="BD101">
        <f t="shared" si="24"/>
        <v>0</v>
      </c>
      <c r="BE101">
        <f t="shared" si="20"/>
        <v>1</v>
      </c>
      <c r="BF101">
        <f t="shared" si="25"/>
        <v>0</v>
      </c>
      <c r="BG101" s="9">
        <f t="shared" si="26"/>
        <v>0</v>
      </c>
      <c r="BH101" s="9">
        <f t="shared" si="27"/>
        <v>0</v>
      </c>
      <c r="BI101" s="9">
        <f t="shared" si="28"/>
        <v>0</v>
      </c>
      <c r="BJ101" s="12">
        <f t="shared" si="29"/>
        <v>-5.0998379152907315E-3</v>
      </c>
      <c r="BL101" s="9"/>
      <c r="BN101">
        <f t="shared" si="30"/>
        <v>0</v>
      </c>
      <c r="BO101">
        <f t="shared" si="31"/>
        <v>0</v>
      </c>
      <c r="BP101">
        <f t="shared" si="32"/>
        <v>0</v>
      </c>
      <c r="BQ101">
        <f t="shared" si="21"/>
        <v>1</v>
      </c>
      <c r="BR101">
        <f t="shared" si="33"/>
        <v>0</v>
      </c>
      <c r="BS101" s="9">
        <f t="shared" si="34"/>
        <v>0</v>
      </c>
      <c r="BT101" s="9">
        <f t="shared" si="35"/>
        <v>0</v>
      </c>
      <c r="BU101" s="9">
        <f t="shared" si="36"/>
        <v>0</v>
      </c>
      <c r="BV101" s="12">
        <f t="shared" si="37"/>
        <v>0</v>
      </c>
      <c r="BX101" s="12">
        <f t="shared" si="38"/>
        <v>0</v>
      </c>
      <c r="BY101" s="12">
        <f t="shared" si="39"/>
        <v>-5.0998379152907315E-3</v>
      </c>
    </row>
    <row r="102" spans="1:77" x14ac:dyDescent="0.3">
      <c r="A102" s="1">
        <v>46170</v>
      </c>
      <c r="B102" s="8">
        <v>48.26</v>
      </c>
      <c r="C102" s="8">
        <v>50.23</v>
      </c>
      <c r="D102" s="9">
        <v>8.2918744386055703E-4</v>
      </c>
      <c r="E102" s="9">
        <v>5.9743106426965497E-4</v>
      </c>
      <c r="F102" s="8">
        <v>0</v>
      </c>
      <c r="G102" s="8">
        <v>0.4365</v>
      </c>
      <c r="H102" s="8">
        <v>0</v>
      </c>
      <c r="I102" s="8">
        <v>0.29780000000000001</v>
      </c>
      <c r="J102" s="8">
        <v>0</v>
      </c>
      <c r="K102" s="8">
        <v>0</v>
      </c>
      <c r="L102" s="8">
        <v>48.26</v>
      </c>
      <c r="M102" s="8">
        <v>50.23</v>
      </c>
      <c r="N102" s="10">
        <v>1.04082055532532</v>
      </c>
      <c r="O102" s="10">
        <v>1.03989039569729</v>
      </c>
      <c r="P102" s="10">
        <v>1.04215467879475</v>
      </c>
      <c r="Q102" s="10">
        <v>1.0417837897678901</v>
      </c>
      <c r="R102" s="8">
        <v>50.1851104963513</v>
      </c>
      <c r="S102" s="8">
        <v>50.301910477131798</v>
      </c>
      <c r="T102" s="8">
        <v>50.275292213212097</v>
      </c>
      <c r="U102" s="9">
        <v>-8.9407871817363501E-4</v>
      </c>
      <c r="V102" s="9">
        <v>1.43060027517602E-3</v>
      </c>
      <c r="W102" s="9">
        <v>9.0129017648363002E-4</v>
      </c>
      <c r="X102" s="10">
        <v>1.04082055532532</v>
      </c>
      <c r="Y102" s="10">
        <v>1.03989039569729</v>
      </c>
      <c r="Z102" s="10">
        <v>1.04215467879475</v>
      </c>
      <c r="AA102" s="10">
        <v>1.0417837897678901</v>
      </c>
      <c r="AB102" s="8">
        <v>50.1851104963513</v>
      </c>
      <c r="AC102" s="8">
        <v>50.301910477131798</v>
      </c>
      <c r="AD102" s="8">
        <v>50.275292213212097</v>
      </c>
      <c r="AE102" s="9">
        <v>-8.9407871817363501E-4</v>
      </c>
      <c r="AF102" s="9">
        <v>1.43060027517602E-3</v>
      </c>
      <c r="AG102" s="9">
        <v>9.0129017648363002E-4</v>
      </c>
      <c r="AZ102" s="9"/>
      <c r="BB102">
        <f t="shared" si="22"/>
        <v>0</v>
      </c>
      <c r="BC102">
        <f t="shared" si="23"/>
        <v>1</v>
      </c>
      <c r="BD102">
        <f t="shared" si="24"/>
        <v>0</v>
      </c>
      <c r="BE102">
        <f t="shared" si="20"/>
        <v>1</v>
      </c>
      <c r="BF102">
        <f t="shared" si="25"/>
        <v>0</v>
      </c>
      <c r="BG102" s="9">
        <f t="shared" si="26"/>
        <v>0</v>
      </c>
      <c r="BH102" s="9">
        <f t="shared" si="27"/>
        <v>0</v>
      </c>
      <c r="BI102" s="9">
        <f t="shared" si="28"/>
        <v>0</v>
      </c>
      <c r="BJ102" s="12">
        <f t="shared" si="29"/>
        <v>-5.0998379152907315E-3</v>
      </c>
      <c r="BL102" s="9"/>
      <c r="BN102">
        <f t="shared" si="30"/>
        <v>0</v>
      </c>
      <c r="BO102">
        <f t="shared" si="31"/>
        <v>0</v>
      </c>
      <c r="BP102">
        <f t="shared" si="32"/>
        <v>0</v>
      </c>
      <c r="BQ102">
        <f t="shared" si="21"/>
        <v>1</v>
      </c>
      <c r="BR102">
        <f t="shared" si="33"/>
        <v>0</v>
      </c>
      <c r="BS102" s="9">
        <f t="shared" si="34"/>
        <v>0</v>
      </c>
      <c r="BT102" s="9">
        <f t="shared" si="35"/>
        <v>0</v>
      </c>
      <c r="BU102" s="9">
        <f t="shared" si="36"/>
        <v>0</v>
      </c>
      <c r="BV102" s="12">
        <f t="shared" si="37"/>
        <v>0</v>
      </c>
      <c r="BX102" s="12">
        <f t="shared" si="38"/>
        <v>0</v>
      </c>
      <c r="BY102" s="12">
        <f t="shared" si="39"/>
        <v>-5.0998379152907315E-3</v>
      </c>
    </row>
    <row r="103" spans="1:77" x14ac:dyDescent="0.3">
      <c r="A103" s="1">
        <v>46171</v>
      </c>
      <c r="B103" s="8">
        <v>48.33</v>
      </c>
      <c r="C103" s="8">
        <v>50.27</v>
      </c>
      <c r="D103" s="9">
        <v>1.44942566010706E-3</v>
      </c>
      <c r="E103" s="9">
        <v>7.9601994253074E-4</v>
      </c>
      <c r="F103" s="8">
        <v>0</v>
      </c>
      <c r="G103" s="8">
        <v>0.4365</v>
      </c>
      <c r="H103" s="8">
        <v>0</v>
      </c>
      <c r="I103" s="8">
        <v>0.29780000000000001</v>
      </c>
      <c r="J103" s="8">
        <v>0</v>
      </c>
      <c r="K103" s="8">
        <v>0</v>
      </c>
      <c r="L103" s="8">
        <v>48.33</v>
      </c>
      <c r="M103" s="8">
        <v>50.27</v>
      </c>
      <c r="N103" s="10">
        <v>1.04014069935857</v>
      </c>
      <c r="O103" s="10">
        <v>1.03989039569729</v>
      </c>
      <c r="P103" s="10">
        <v>1.0421037080802</v>
      </c>
      <c r="Q103" s="10">
        <v>1.0418553408648501</v>
      </c>
      <c r="R103" s="8">
        <v>50.257902824050099</v>
      </c>
      <c r="S103" s="8">
        <v>50.367335626150599</v>
      </c>
      <c r="T103" s="8">
        <v>50.349410559482102</v>
      </c>
      <c r="U103" s="9">
        <v>-2.40673000597387E-4</v>
      </c>
      <c r="V103" s="9">
        <v>1.9343846077844501E-3</v>
      </c>
      <c r="W103" s="9">
        <v>1.5784345292409101E-3</v>
      </c>
      <c r="X103" s="10">
        <v>1.04014069935857</v>
      </c>
      <c r="Y103" s="10">
        <v>1.03989039569729</v>
      </c>
      <c r="Z103" s="10">
        <v>1.0421037080802</v>
      </c>
      <c r="AA103" s="10">
        <v>1.0418553408648501</v>
      </c>
      <c r="AB103" s="8">
        <v>50.257902824050099</v>
      </c>
      <c r="AC103" s="8">
        <v>50.367335626150599</v>
      </c>
      <c r="AD103" s="8">
        <v>50.349410559482102</v>
      </c>
      <c r="AE103" s="9">
        <v>-2.40673000597387E-4</v>
      </c>
      <c r="AF103" s="9">
        <v>1.9343846077844501E-3</v>
      </c>
      <c r="AG103" s="9">
        <v>1.5784345292409101E-3</v>
      </c>
      <c r="AZ103" s="9"/>
      <c r="BB103">
        <f t="shared" si="22"/>
        <v>0</v>
      </c>
      <c r="BC103">
        <f t="shared" si="23"/>
        <v>1</v>
      </c>
      <c r="BD103">
        <f t="shared" si="24"/>
        <v>0</v>
      </c>
      <c r="BE103">
        <f t="shared" si="20"/>
        <v>0</v>
      </c>
      <c r="BF103">
        <f t="shared" si="25"/>
        <v>0</v>
      </c>
      <c r="BG103" s="9">
        <f t="shared" si="26"/>
        <v>0</v>
      </c>
      <c r="BH103" s="9">
        <f t="shared" si="27"/>
        <v>0</v>
      </c>
      <c r="BI103" s="9">
        <f t="shared" si="28"/>
        <v>0</v>
      </c>
      <c r="BJ103" s="12">
        <f t="shared" si="29"/>
        <v>-5.0998379152907315E-3</v>
      </c>
      <c r="BL103" s="9"/>
      <c r="BN103">
        <f t="shared" si="30"/>
        <v>0</v>
      </c>
      <c r="BO103">
        <f t="shared" si="31"/>
        <v>0</v>
      </c>
      <c r="BP103">
        <f t="shared" si="32"/>
        <v>0</v>
      </c>
      <c r="BQ103">
        <f t="shared" si="21"/>
        <v>0</v>
      </c>
      <c r="BR103">
        <f t="shared" si="33"/>
        <v>0</v>
      </c>
      <c r="BS103" s="9">
        <f t="shared" si="34"/>
        <v>0</v>
      </c>
      <c r="BT103" s="9">
        <f t="shared" si="35"/>
        <v>0</v>
      </c>
      <c r="BU103" s="9">
        <f t="shared" si="36"/>
        <v>0</v>
      </c>
      <c r="BV103" s="12">
        <f t="shared" si="37"/>
        <v>0</v>
      </c>
      <c r="BX103" s="12">
        <f t="shared" si="38"/>
        <v>0</v>
      </c>
      <c r="BY103" s="12">
        <f t="shared" si="39"/>
        <v>-5.0998379152907315E-3</v>
      </c>
    </row>
    <row r="104" spans="1:77" x14ac:dyDescent="0.3">
      <c r="A104" s="1">
        <v>46174</v>
      </c>
      <c r="B104" s="8">
        <v>48.11</v>
      </c>
      <c r="C104" s="8">
        <v>50.23</v>
      </c>
      <c r="D104" s="9">
        <v>-4.5624301456303196E-3</v>
      </c>
      <c r="E104" s="9">
        <v>-7.9601994253063895E-4</v>
      </c>
      <c r="F104" s="8">
        <v>0.11409999999999999</v>
      </c>
      <c r="G104" s="8">
        <v>0.55059999999999998</v>
      </c>
      <c r="H104" s="8">
        <v>0</v>
      </c>
      <c r="I104" s="8">
        <v>0.29780000000000001</v>
      </c>
      <c r="J104" s="8">
        <v>0</v>
      </c>
      <c r="K104" s="8">
        <v>0</v>
      </c>
      <c r="L104" s="8">
        <v>48.11</v>
      </c>
      <c r="M104" s="8">
        <v>50.23</v>
      </c>
      <c r="N104" s="10">
        <v>1.0440656828102199</v>
      </c>
      <c r="O104" s="10">
        <v>1.03989039569729</v>
      </c>
      <c r="P104" s="10">
        <v>1.0420747077255299</v>
      </c>
      <c r="Q104" s="10">
        <v>1.0420052583178501</v>
      </c>
      <c r="R104" s="8">
        <v>50.029126936996697</v>
      </c>
      <c r="S104" s="8">
        <v>50.135609395738797</v>
      </c>
      <c r="T104" s="8">
        <v>50.123660449008</v>
      </c>
      <c r="U104" s="9">
        <v>-4.0070832036969498E-3</v>
      </c>
      <c r="V104" s="9">
        <v>-1.8809357639200999E-3</v>
      </c>
      <c r="W104" s="9">
        <v>-2.1192967016343302E-3</v>
      </c>
      <c r="X104" s="10">
        <v>1.0440656828102199</v>
      </c>
      <c r="Y104" s="10">
        <v>1.03989039569729</v>
      </c>
      <c r="Z104" s="10">
        <v>1.0420747077255299</v>
      </c>
      <c r="AA104" s="10">
        <v>1.0420052583178501</v>
      </c>
      <c r="AB104" s="8">
        <v>50.029126936996697</v>
      </c>
      <c r="AC104" s="8">
        <v>50.135609395738797</v>
      </c>
      <c r="AD104" s="8">
        <v>50.123660449008</v>
      </c>
      <c r="AE104" s="9">
        <v>-4.0070832036969498E-3</v>
      </c>
      <c r="AF104" s="9">
        <v>-1.8809357639200999E-3</v>
      </c>
      <c r="AG104" s="9">
        <v>-2.1192967016343302E-3</v>
      </c>
      <c r="AZ104" s="9"/>
      <c r="BB104">
        <f t="shared" si="22"/>
        <v>1</v>
      </c>
      <c r="BC104">
        <f t="shared" si="23"/>
        <v>0</v>
      </c>
      <c r="BD104">
        <f t="shared" si="24"/>
        <v>0</v>
      </c>
      <c r="BE104">
        <f t="shared" si="20"/>
        <v>1</v>
      </c>
      <c r="BF104">
        <f t="shared" si="25"/>
        <v>0</v>
      </c>
      <c r="BG104" s="9">
        <f t="shared" si="26"/>
        <v>0</v>
      </c>
      <c r="BH104" s="9">
        <f t="shared" si="27"/>
        <v>0</v>
      </c>
      <c r="BI104" s="9">
        <f t="shared" si="28"/>
        <v>0</v>
      </c>
      <c r="BJ104" s="12">
        <f t="shared" si="29"/>
        <v>-5.0998379152907315E-3</v>
      </c>
      <c r="BL104" s="9"/>
      <c r="BN104">
        <f t="shared" si="30"/>
        <v>0</v>
      </c>
      <c r="BO104">
        <f t="shared" si="31"/>
        <v>1</v>
      </c>
      <c r="BP104">
        <f t="shared" si="32"/>
        <v>0</v>
      </c>
      <c r="BQ104">
        <f t="shared" si="21"/>
        <v>1</v>
      </c>
      <c r="BR104">
        <f t="shared" si="33"/>
        <v>0</v>
      </c>
      <c r="BS104" s="9">
        <f t="shared" si="34"/>
        <v>0</v>
      </c>
      <c r="BT104" s="9">
        <f t="shared" si="35"/>
        <v>0</v>
      </c>
      <c r="BU104" s="9">
        <f t="shared" si="36"/>
        <v>0</v>
      </c>
      <c r="BV104" s="12">
        <f t="shared" si="37"/>
        <v>0</v>
      </c>
      <c r="BX104" s="12">
        <f t="shared" si="38"/>
        <v>0</v>
      </c>
      <c r="BY104" s="12">
        <f t="shared" si="39"/>
        <v>-5.0998379152907315E-3</v>
      </c>
    </row>
    <row r="105" spans="1:77" x14ac:dyDescent="0.3">
      <c r="A105" s="1">
        <v>46175</v>
      </c>
      <c r="B105" s="8">
        <v>48.2</v>
      </c>
      <c r="C105" s="8">
        <v>50.27</v>
      </c>
      <c r="D105" s="9">
        <v>1.86896534519234E-3</v>
      </c>
      <c r="E105" s="9">
        <v>7.9601994253074E-4</v>
      </c>
      <c r="F105" s="8">
        <v>0</v>
      </c>
      <c r="G105" s="8">
        <v>0.55059999999999998</v>
      </c>
      <c r="H105" s="8">
        <v>0</v>
      </c>
      <c r="I105" s="8">
        <v>0.29780000000000001</v>
      </c>
      <c r="J105" s="8">
        <v>0</v>
      </c>
      <c r="K105" s="8">
        <v>0</v>
      </c>
      <c r="L105" s="8">
        <v>48.2</v>
      </c>
      <c r="M105" s="8">
        <v>50.27</v>
      </c>
      <c r="N105" s="10">
        <v>1.0429460580912799</v>
      </c>
      <c r="O105" s="10">
        <v>1.03989039569729</v>
      </c>
      <c r="P105" s="10">
        <v>1.04198776217198</v>
      </c>
      <c r="Q105" s="10">
        <v>1.0420622602190699</v>
      </c>
      <c r="R105" s="8">
        <v>50.122717072609497</v>
      </c>
      <c r="S105" s="8">
        <v>50.228000912370803</v>
      </c>
      <c r="T105" s="8">
        <v>50.2246534509203</v>
      </c>
      <c r="U105" s="9">
        <v>-2.93413780103532E-3</v>
      </c>
      <c r="V105" s="9">
        <v>-8.3581941318030498E-4</v>
      </c>
      <c r="W105" s="9">
        <v>-9.02466959189328E-4</v>
      </c>
      <c r="X105" s="10">
        <v>1.0429460580912799</v>
      </c>
      <c r="Y105" s="10">
        <v>1.03989039569729</v>
      </c>
      <c r="Z105" s="10">
        <v>1.04198776217198</v>
      </c>
      <c r="AA105" s="10">
        <v>1.0420622602190699</v>
      </c>
      <c r="AB105" s="8">
        <v>50.122717072609497</v>
      </c>
      <c r="AC105" s="8">
        <v>50.228000912370803</v>
      </c>
      <c r="AD105" s="8">
        <v>50.2246534509203</v>
      </c>
      <c r="AE105" s="9">
        <v>-2.93413780103532E-3</v>
      </c>
      <c r="AF105" s="9">
        <v>-8.3581941318030498E-4</v>
      </c>
      <c r="AG105" s="9">
        <v>-9.02466959189328E-4</v>
      </c>
      <c r="AZ105" s="9"/>
      <c r="BB105">
        <f t="shared" si="22"/>
        <v>0</v>
      </c>
      <c r="BC105">
        <f t="shared" si="23"/>
        <v>0</v>
      </c>
      <c r="BD105">
        <f t="shared" si="24"/>
        <v>1</v>
      </c>
      <c r="BE105">
        <f t="shared" si="20"/>
        <v>1</v>
      </c>
      <c r="BF105">
        <f t="shared" si="25"/>
        <v>1</v>
      </c>
      <c r="BG105" s="9">
        <f t="shared" si="26"/>
        <v>1.86896534519234E-3</v>
      </c>
      <c r="BH105" s="9">
        <f t="shared" si="27"/>
        <v>-7.9601994253074E-4</v>
      </c>
      <c r="BI105" s="9">
        <f t="shared" si="28"/>
        <v>1.0729454026615999E-3</v>
      </c>
      <c r="BJ105" s="12">
        <f t="shared" si="29"/>
        <v>-4.0268925126291316E-3</v>
      </c>
      <c r="BL105" s="9"/>
      <c r="BN105">
        <f t="shared" si="30"/>
        <v>0</v>
      </c>
      <c r="BO105">
        <f t="shared" si="31"/>
        <v>1</v>
      </c>
      <c r="BP105">
        <f t="shared" si="32"/>
        <v>0</v>
      </c>
      <c r="BQ105">
        <f t="shared" si="21"/>
        <v>1</v>
      </c>
      <c r="BR105">
        <f t="shared" si="33"/>
        <v>0</v>
      </c>
      <c r="BS105" s="9">
        <f t="shared" si="34"/>
        <v>0</v>
      </c>
      <c r="BT105" s="9">
        <f t="shared" si="35"/>
        <v>0</v>
      </c>
      <c r="BU105" s="9">
        <f t="shared" si="36"/>
        <v>0</v>
      </c>
      <c r="BV105" s="12">
        <f t="shared" si="37"/>
        <v>0</v>
      </c>
      <c r="BX105" s="12">
        <f t="shared" si="38"/>
        <v>1.0729454026615999E-3</v>
      </c>
      <c r="BY105" s="12">
        <f t="shared" si="39"/>
        <v>-4.0268925126291316E-3</v>
      </c>
    </row>
    <row r="106" spans="1:77" x14ac:dyDescent="0.3">
      <c r="A106" s="1">
        <v>46176</v>
      </c>
      <c r="B106" s="8">
        <v>48.03</v>
      </c>
      <c r="C106" s="8">
        <v>50.17</v>
      </c>
      <c r="D106" s="9">
        <v>-3.5332053798215902E-3</v>
      </c>
      <c r="E106" s="9">
        <v>-1.99123920832232E-3</v>
      </c>
      <c r="F106" s="8">
        <v>0</v>
      </c>
      <c r="G106" s="8">
        <v>0.55059999999999998</v>
      </c>
      <c r="H106" s="8">
        <v>0</v>
      </c>
      <c r="I106" s="8">
        <v>0.29780000000000001</v>
      </c>
      <c r="J106" s="8">
        <v>0</v>
      </c>
      <c r="K106" s="8">
        <v>0</v>
      </c>
      <c r="L106" s="8">
        <v>48.03</v>
      </c>
      <c r="M106" s="8">
        <v>50.17</v>
      </c>
      <c r="N106" s="10">
        <v>1.0445554861544799</v>
      </c>
      <c r="O106" s="10">
        <v>1.03989039569729</v>
      </c>
      <c r="P106" s="10">
        <v>1.04205163186328</v>
      </c>
      <c r="Q106" s="10">
        <v>1.0422227971077</v>
      </c>
      <c r="R106" s="8">
        <v>49.945935705341</v>
      </c>
      <c r="S106" s="8">
        <v>50.046672217120197</v>
      </c>
      <c r="T106" s="8">
        <v>50.050250358321897</v>
      </c>
      <c r="U106" s="9">
        <v>-4.47610397253464E-3</v>
      </c>
      <c r="V106" s="9">
        <v>-2.4612241138610999E-3</v>
      </c>
      <c r="W106" s="9">
        <v>-2.3897305831683201E-3</v>
      </c>
      <c r="X106" s="10">
        <v>1.0445554861544799</v>
      </c>
      <c r="Y106" s="10">
        <v>1.03989039569729</v>
      </c>
      <c r="Z106" s="10">
        <v>1.04205163186328</v>
      </c>
      <c r="AA106" s="10">
        <v>1.0422227971077</v>
      </c>
      <c r="AB106" s="8">
        <v>49.945935705341</v>
      </c>
      <c r="AC106" s="8">
        <v>50.046672217120197</v>
      </c>
      <c r="AD106" s="8">
        <v>50.050250358321897</v>
      </c>
      <c r="AE106" s="9">
        <v>-4.47610397253464E-3</v>
      </c>
      <c r="AF106" s="9">
        <v>-2.4612241138610999E-3</v>
      </c>
      <c r="AG106" s="9">
        <v>-2.3897305831683201E-3</v>
      </c>
      <c r="AZ106" s="9"/>
      <c r="BB106">
        <f t="shared" si="22"/>
        <v>1</v>
      </c>
      <c r="BC106">
        <f t="shared" si="23"/>
        <v>0</v>
      </c>
      <c r="BD106">
        <f t="shared" si="24"/>
        <v>1</v>
      </c>
      <c r="BE106">
        <f t="shared" si="20"/>
        <v>1</v>
      </c>
      <c r="BF106">
        <f t="shared" si="25"/>
        <v>1</v>
      </c>
      <c r="BG106" s="9">
        <f t="shared" si="26"/>
        <v>-3.5332053798215902E-3</v>
      </c>
      <c r="BH106" s="9">
        <f t="shared" si="27"/>
        <v>1.99123920832232E-3</v>
      </c>
      <c r="BI106" s="9">
        <f t="shared" si="28"/>
        <v>-1.5419661714992702E-3</v>
      </c>
      <c r="BJ106" s="12">
        <f t="shared" si="29"/>
        <v>-5.5688586841284018E-3</v>
      </c>
      <c r="BL106" s="9"/>
      <c r="BN106">
        <f t="shared" si="30"/>
        <v>0</v>
      </c>
      <c r="BO106">
        <f t="shared" si="31"/>
        <v>1</v>
      </c>
      <c r="BP106">
        <f t="shared" si="32"/>
        <v>0</v>
      </c>
      <c r="BQ106">
        <f t="shared" si="21"/>
        <v>1</v>
      </c>
      <c r="BR106">
        <f t="shared" si="33"/>
        <v>0</v>
      </c>
      <c r="BS106" s="9">
        <f t="shared" si="34"/>
        <v>0</v>
      </c>
      <c r="BT106" s="9">
        <f t="shared" si="35"/>
        <v>0</v>
      </c>
      <c r="BU106" s="9">
        <f t="shared" si="36"/>
        <v>0</v>
      </c>
      <c r="BV106" s="12">
        <f t="shared" si="37"/>
        <v>0</v>
      </c>
      <c r="BX106" s="12">
        <f t="shared" si="38"/>
        <v>-1.5419661714992702E-3</v>
      </c>
      <c r="BY106" s="12">
        <f t="shared" si="39"/>
        <v>-5.5688586841284018E-3</v>
      </c>
    </row>
    <row r="107" spans="1:77" x14ac:dyDescent="0.3">
      <c r="A107" s="1">
        <v>46177</v>
      </c>
      <c r="B107" s="8">
        <v>48.08</v>
      </c>
      <c r="C107" s="8">
        <v>50.22</v>
      </c>
      <c r="D107" s="9">
        <v>1.04047455021898E-3</v>
      </c>
      <c r="E107" s="9">
        <v>9.961152332772481E-4</v>
      </c>
      <c r="F107" s="8">
        <v>0</v>
      </c>
      <c r="G107" s="8">
        <v>0.55059999999999998</v>
      </c>
      <c r="H107" s="8">
        <v>0</v>
      </c>
      <c r="I107" s="8">
        <v>0.29780000000000001</v>
      </c>
      <c r="J107" s="8">
        <v>0</v>
      </c>
      <c r="K107" s="8">
        <v>0</v>
      </c>
      <c r="L107" s="8">
        <v>48.08</v>
      </c>
      <c r="M107" s="8">
        <v>50.22</v>
      </c>
      <c r="N107" s="10">
        <v>1.0445091514142999</v>
      </c>
      <c r="O107" s="10">
        <v>1.03989039569729</v>
      </c>
      <c r="P107" s="10">
        <v>1.0422245837325901</v>
      </c>
      <c r="Q107" s="10">
        <v>1.0424133709574901</v>
      </c>
      <c r="R107" s="8">
        <v>49.997930225125799</v>
      </c>
      <c r="S107" s="8">
        <v>50.101842459986798</v>
      </c>
      <c r="T107" s="8">
        <v>50.110072084938601</v>
      </c>
      <c r="U107" s="9">
        <v>-4.43174465559284E-3</v>
      </c>
      <c r="V107" s="9">
        <v>-2.3555706663880198E-3</v>
      </c>
      <c r="W107" s="9">
        <v>-2.1913262248422702E-3</v>
      </c>
      <c r="X107" s="10">
        <v>1.0445091514142999</v>
      </c>
      <c r="Y107" s="10">
        <v>1.03989039569729</v>
      </c>
      <c r="Z107" s="10">
        <v>1.0422245837325901</v>
      </c>
      <c r="AA107" s="10">
        <v>1.0424133709574901</v>
      </c>
      <c r="AB107" s="8">
        <v>49.997930225125799</v>
      </c>
      <c r="AC107" s="8">
        <v>50.101842459986798</v>
      </c>
      <c r="AD107" s="8">
        <v>50.110072084938601</v>
      </c>
      <c r="AE107" s="9">
        <v>-4.43174465559284E-3</v>
      </c>
      <c r="AF107" s="9">
        <v>-2.3555706663880198E-3</v>
      </c>
      <c r="AG107" s="9">
        <v>-2.1913262248422702E-3</v>
      </c>
      <c r="AZ107" s="9"/>
      <c r="BB107">
        <f t="shared" si="22"/>
        <v>1</v>
      </c>
      <c r="BC107">
        <f t="shared" si="23"/>
        <v>0</v>
      </c>
      <c r="BD107">
        <f t="shared" si="24"/>
        <v>1</v>
      </c>
      <c r="BE107">
        <f t="shared" si="20"/>
        <v>1</v>
      </c>
      <c r="BF107">
        <f t="shared" si="25"/>
        <v>1</v>
      </c>
      <c r="BG107" s="9">
        <f t="shared" si="26"/>
        <v>1.04047455021898E-3</v>
      </c>
      <c r="BH107" s="9">
        <f t="shared" si="27"/>
        <v>-9.961152332772481E-4</v>
      </c>
      <c r="BI107" s="9">
        <f t="shared" si="28"/>
        <v>4.4359316941731865E-5</v>
      </c>
      <c r="BJ107" s="12">
        <f t="shared" si="29"/>
        <v>-5.5244993671866704E-3</v>
      </c>
      <c r="BL107" s="9"/>
      <c r="BN107">
        <f t="shared" si="30"/>
        <v>0</v>
      </c>
      <c r="BO107">
        <f t="shared" si="31"/>
        <v>1</v>
      </c>
      <c r="BP107">
        <f t="shared" si="32"/>
        <v>0</v>
      </c>
      <c r="BQ107">
        <f t="shared" si="21"/>
        <v>1</v>
      </c>
      <c r="BR107">
        <f t="shared" si="33"/>
        <v>0</v>
      </c>
      <c r="BS107" s="9">
        <f t="shared" si="34"/>
        <v>0</v>
      </c>
      <c r="BT107" s="9">
        <f t="shared" si="35"/>
        <v>0</v>
      </c>
      <c r="BU107" s="9">
        <f t="shared" si="36"/>
        <v>0</v>
      </c>
      <c r="BV107" s="12">
        <f t="shared" si="37"/>
        <v>0</v>
      </c>
      <c r="BX107" s="12">
        <f t="shared" si="38"/>
        <v>4.4359316941731865E-5</v>
      </c>
      <c r="BY107" s="12">
        <f t="shared" si="39"/>
        <v>-5.5244993671866704E-3</v>
      </c>
    </row>
    <row r="108" spans="1:77" x14ac:dyDescent="0.3">
      <c r="A108" s="1">
        <v>46178</v>
      </c>
      <c r="B108" s="8">
        <v>48.01</v>
      </c>
      <c r="C108" s="8">
        <v>50.14</v>
      </c>
      <c r="D108" s="9">
        <v>-1.45696768410315E-3</v>
      </c>
      <c r="E108" s="9">
        <v>-1.59426099929157E-3</v>
      </c>
      <c r="F108" s="8">
        <v>0</v>
      </c>
      <c r="G108" s="8">
        <v>0.55059999999999998</v>
      </c>
      <c r="H108" s="8">
        <v>0</v>
      </c>
      <c r="I108" s="8">
        <v>0.29780000000000001</v>
      </c>
      <c r="J108" s="8">
        <v>0</v>
      </c>
      <c r="K108" s="8">
        <v>0</v>
      </c>
      <c r="L108" s="8">
        <v>48.01</v>
      </c>
      <c r="M108" s="8">
        <v>50.14</v>
      </c>
      <c r="N108" s="10">
        <v>1.04436575713393</v>
      </c>
      <c r="O108" s="10">
        <v>1.03989039569729</v>
      </c>
      <c r="P108" s="10">
        <v>1.0424302298920001</v>
      </c>
      <c r="Q108" s="10">
        <v>1.04259338926344</v>
      </c>
      <c r="R108" s="8">
        <v>49.925137897427</v>
      </c>
      <c r="S108" s="8">
        <v>50.037202265001902</v>
      </c>
      <c r="T108" s="8">
        <v>50.046265939669297</v>
      </c>
      <c r="U108" s="9">
        <v>-4.29445134040454E-3</v>
      </c>
      <c r="V108" s="9">
        <v>-2.0523186664405499E-3</v>
      </c>
      <c r="W108" s="9">
        <v>-1.8711963521425999E-3</v>
      </c>
      <c r="X108" s="10">
        <v>1.04436575713393</v>
      </c>
      <c r="Y108" s="10">
        <v>1.03989039569729</v>
      </c>
      <c r="Z108" s="10">
        <v>1.0424302298920001</v>
      </c>
      <c r="AA108" s="10">
        <v>1.04259338926344</v>
      </c>
      <c r="AB108" s="8">
        <v>49.925137897427</v>
      </c>
      <c r="AC108" s="8">
        <v>50.037202265001902</v>
      </c>
      <c r="AD108" s="8">
        <v>50.046265939669297</v>
      </c>
      <c r="AE108" s="9">
        <v>-4.29445134040454E-3</v>
      </c>
      <c r="AF108" s="9">
        <v>-2.0523186664405499E-3</v>
      </c>
      <c r="AG108" s="9">
        <v>-1.8711963521425999E-3</v>
      </c>
      <c r="AZ108" s="9"/>
      <c r="BB108">
        <f t="shared" si="22"/>
        <v>1</v>
      </c>
      <c r="BC108">
        <f t="shared" si="23"/>
        <v>0</v>
      </c>
      <c r="BD108">
        <f t="shared" si="24"/>
        <v>1</v>
      </c>
      <c r="BE108">
        <f t="shared" si="20"/>
        <v>1</v>
      </c>
      <c r="BF108">
        <f t="shared" si="25"/>
        <v>1</v>
      </c>
      <c r="BG108" s="9">
        <f t="shared" si="26"/>
        <v>-1.45696768410315E-3</v>
      </c>
      <c r="BH108" s="9">
        <f t="shared" si="27"/>
        <v>1.59426099929157E-3</v>
      </c>
      <c r="BI108" s="9">
        <f t="shared" si="28"/>
        <v>1.3729331518841999E-4</v>
      </c>
      <c r="BJ108" s="12">
        <f t="shared" si="29"/>
        <v>-5.3872060519982506E-3</v>
      </c>
      <c r="BL108" s="9"/>
      <c r="BN108">
        <f t="shared" si="30"/>
        <v>0</v>
      </c>
      <c r="BO108">
        <f t="shared" si="31"/>
        <v>1</v>
      </c>
      <c r="BP108">
        <f t="shared" si="32"/>
        <v>0</v>
      </c>
      <c r="BQ108">
        <f t="shared" si="21"/>
        <v>1</v>
      </c>
      <c r="BR108">
        <f t="shared" si="33"/>
        <v>0</v>
      </c>
      <c r="BS108" s="9">
        <f t="shared" si="34"/>
        <v>0</v>
      </c>
      <c r="BT108" s="9">
        <f t="shared" si="35"/>
        <v>0</v>
      </c>
      <c r="BU108" s="9">
        <f t="shared" si="36"/>
        <v>0</v>
      </c>
      <c r="BV108" s="12">
        <f t="shared" si="37"/>
        <v>0</v>
      </c>
      <c r="BX108" s="12">
        <f t="shared" si="38"/>
        <v>1.3729331518841999E-4</v>
      </c>
      <c r="BY108" s="12">
        <f t="shared" si="39"/>
        <v>-5.3872060519982506E-3</v>
      </c>
    </row>
    <row r="109" spans="1:77" x14ac:dyDescent="0.3">
      <c r="A109" s="1">
        <v>46181</v>
      </c>
      <c r="B109" s="8">
        <v>47.95</v>
      </c>
      <c r="C109" s="8">
        <v>50.07</v>
      </c>
      <c r="D109" s="9">
        <v>-1.2505212134016001E-3</v>
      </c>
      <c r="E109" s="9">
        <v>-1.3970663882939E-3</v>
      </c>
      <c r="F109" s="8">
        <v>0</v>
      </c>
      <c r="G109" s="8">
        <v>0.55059999999999998</v>
      </c>
      <c r="H109" s="8">
        <v>0</v>
      </c>
      <c r="I109" s="8">
        <v>0.29780000000000001</v>
      </c>
      <c r="J109" s="8">
        <v>0</v>
      </c>
      <c r="K109" s="8">
        <v>0</v>
      </c>
      <c r="L109" s="8">
        <v>47.95</v>
      </c>
      <c r="M109" s="8">
        <v>50.07</v>
      </c>
      <c r="N109" s="10">
        <v>1.0442127215849799</v>
      </c>
      <c r="O109" s="10">
        <v>1.03989039569729</v>
      </c>
      <c r="P109" s="10">
        <v>1.0427316518632399</v>
      </c>
      <c r="Q109" s="10">
        <v>1.0427059779808201</v>
      </c>
      <c r="R109" s="8">
        <v>49.862744473685197</v>
      </c>
      <c r="S109" s="8">
        <v>49.984529523321797</v>
      </c>
      <c r="T109" s="8">
        <v>49.992353015181997</v>
      </c>
      <c r="U109" s="9">
        <v>-4.1479061655122097E-3</v>
      </c>
      <c r="V109" s="9">
        <v>-1.7084783242759501E-3</v>
      </c>
      <c r="W109" s="9">
        <v>-1.5519723065344901E-3</v>
      </c>
      <c r="X109" s="10">
        <v>1.0442127215849799</v>
      </c>
      <c r="Y109" s="10">
        <v>1.03989039569729</v>
      </c>
      <c r="Z109" s="10">
        <v>1.0427316518632399</v>
      </c>
      <c r="AA109" s="10">
        <v>1.0427059779808201</v>
      </c>
      <c r="AB109" s="8">
        <v>49.862744473685197</v>
      </c>
      <c r="AC109" s="8">
        <v>49.984529523321797</v>
      </c>
      <c r="AD109" s="8">
        <v>49.992353015181997</v>
      </c>
      <c r="AE109" s="9">
        <v>-4.1479061655122097E-3</v>
      </c>
      <c r="AF109" s="9">
        <v>-1.7084783242759501E-3</v>
      </c>
      <c r="AG109" s="9">
        <v>-1.5519723065344901E-3</v>
      </c>
      <c r="AZ109" s="9"/>
      <c r="BB109">
        <f t="shared" si="22"/>
        <v>1</v>
      </c>
      <c r="BC109">
        <f t="shared" si="23"/>
        <v>0</v>
      </c>
      <c r="BD109">
        <f t="shared" si="24"/>
        <v>1</v>
      </c>
      <c r="BE109">
        <f t="shared" si="20"/>
        <v>1</v>
      </c>
      <c r="BF109">
        <f t="shared" si="25"/>
        <v>1</v>
      </c>
      <c r="BG109" s="9">
        <f t="shared" si="26"/>
        <v>-1.2505212134016001E-3</v>
      </c>
      <c r="BH109" s="9">
        <f t="shared" si="27"/>
        <v>1.3970663882939E-3</v>
      </c>
      <c r="BI109" s="9">
        <f t="shared" si="28"/>
        <v>1.4654517489229996E-4</v>
      </c>
      <c r="BJ109" s="12">
        <f t="shared" si="29"/>
        <v>-5.2406608771059507E-3</v>
      </c>
      <c r="BL109" s="9"/>
      <c r="BN109">
        <f t="shared" si="30"/>
        <v>0</v>
      </c>
      <c r="BO109">
        <f t="shared" si="31"/>
        <v>1</v>
      </c>
      <c r="BP109">
        <f t="shared" si="32"/>
        <v>0</v>
      </c>
      <c r="BQ109">
        <f t="shared" si="21"/>
        <v>1</v>
      </c>
      <c r="BR109">
        <f t="shared" si="33"/>
        <v>0</v>
      </c>
      <c r="BS109" s="9">
        <f t="shared" si="34"/>
        <v>0</v>
      </c>
      <c r="BT109" s="9">
        <f t="shared" si="35"/>
        <v>0</v>
      </c>
      <c r="BU109" s="9">
        <f t="shared" si="36"/>
        <v>0</v>
      </c>
      <c r="BV109" s="12">
        <f t="shared" si="37"/>
        <v>0</v>
      </c>
      <c r="BX109" s="12">
        <f t="shared" si="38"/>
        <v>1.4654517489229996E-4</v>
      </c>
      <c r="BY109" s="12">
        <f t="shared" si="39"/>
        <v>-5.2406608771059507E-3</v>
      </c>
    </row>
    <row r="110" spans="1:77" x14ac:dyDescent="0.3">
      <c r="A110" s="1">
        <v>46182</v>
      </c>
      <c r="B110" s="8">
        <v>47.99</v>
      </c>
      <c r="C110" s="8">
        <v>50.14</v>
      </c>
      <c r="D110" s="9">
        <v>8.3385454070701397E-4</v>
      </c>
      <c r="E110" s="9">
        <v>1.39706638829402E-3</v>
      </c>
      <c r="F110" s="8">
        <v>0</v>
      </c>
      <c r="G110" s="8">
        <v>0.55059999999999998</v>
      </c>
      <c r="H110" s="8">
        <v>0</v>
      </c>
      <c r="I110" s="8">
        <v>0.29780000000000001</v>
      </c>
      <c r="J110" s="8">
        <v>0</v>
      </c>
      <c r="K110" s="8">
        <v>0</v>
      </c>
      <c r="L110" s="8">
        <v>47.99</v>
      </c>
      <c r="M110" s="8">
        <v>50.14</v>
      </c>
      <c r="N110" s="10">
        <v>1.0448010002083701</v>
      </c>
      <c r="O110" s="10">
        <v>1.03989039569729</v>
      </c>
      <c r="P110" s="10">
        <v>1.04314789121644</v>
      </c>
      <c r="Q110" s="10">
        <v>1.04284098422301</v>
      </c>
      <c r="R110" s="8">
        <v>49.904340089513099</v>
      </c>
      <c r="S110" s="8">
        <v>50.040691972916903</v>
      </c>
      <c r="T110" s="8">
        <v>50.039459883299998</v>
      </c>
      <c r="U110" s="9">
        <v>-4.7111180130991097E-3</v>
      </c>
      <c r="V110" s="9">
        <v>-1.9825788314251501E-3</v>
      </c>
      <c r="W110" s="9">
        <v>-2.0072008887296201E-3</v>
      </c>
      <c r="X110" s="10">
        <v>1.0448010002083701</v>
      </c>
      <c r="Y110" s="10">
        <v>1.03989039569729</v>
      </c>
      <c r="Z110" s="10">
        <v>1.04314789121644</v>
      </c>
      <c r="AA110" s="10">
        <v>1.04284098422301</v>
      </c>
      <c r="AB110" s="8">
        <v>49.904340089513099</v>
      </c>
      <c r="AC110" s="8">
        <v>50.040691972916903</v>
      </c>
      <c r="AD110" s="8">
        <v>50.039459883299998</v>
      </c>
      <c r="AE110" s="9">
        <v>-4.7111180130991097E-3</v>
      </c>
      <c r="AF110" s="9">
        <v>-1.9825788314251501E-3</v>
      </c>
      <c r="AG110" s="9">
        <v>-2.0072008887296201E-3</v>
      </c>
      <c r="AZ110" s="9"/>
      <c r="BB110">
        <f t="shared" si="22"/>
        <v>1</v>
      </c>
      <c r="BC110">
        <f t="shared" si="23"/>
        <v>0</v>
      </c>
      <c r="BD110">
        <f t="shared" si="24"/>
        <v>1</v>
      </c>
      <c r="BE110">
        <f t="shared" si="20"/>
        <v>1</v>
      </c>
      <c r="BF110">
        <f t="shared" si="25"/>
        <v>1</v>
      </c>
      <c r="BG110" s="9">
        <f t="shared" si="26"/>
        <v>8.3385454070701397E-4</v>
      </c>
      <c r="BH110" s="9">
        <f t="shared" si="27"/>
        <v>-1.39706638829402E-3</v>
      </c>
      <c r="BI110" s="9">
        <f t="shared" si="28"/>
        <v>-5.6321184758700599E-4</v>
      </c>
      <c r="BJ110" s="12">
        <f t="shared" si="29"/>
        <v>-5.8038727246929565E-3</v>
      </c>
      <c r="BL110" s="9"/>
      <c r="BN110">
        <f t="shared" si="30"/>
        <v>0</v>
      </c>
      <c r="BO110">
        <f t="shared" si="31"/>
        <v>1</v>
      </c>
      <c r="BP110">
        <f t="shared" si="32"/>
        <v>0</v>
      </c>
      <c r="BQ110">
        <f t="shared" si="21"/>
        <v>1</v>
      </c>
      <c r="BR110">
        <f t="shared" si="33"/>
        <v>0</v>
      </c>
      <c r="BS110" s="9">
        <f t="shared" si="34"/>
        <v>0</v>
      </c>
      <c r="BT110" s="9">
        <f t="shared" si="35"/>
        <v>0</v>
      </c>
      <c r="BU110" s="9">
        <f t="shared" si="36"/>
        <v>0</v>
      </c>
      <c r="BV110" s="12">
        <f t="shared" si="37"/>
        <v>0</v>
      </c>
      <c r="BX110" s="12">
        <f t="shared" si="38"/>
        <v>-5.6321184758700599E-4</v>
      </c>
      <c r="BY110" s="12">
        <f t="shared" si="39"/>
        <v>-5.8038727246929565E-3</v>
      </c>
    </row>
    <row r="111" spans="1:77" x14ac:dyDescent="0.3">
      <c r="A111" s="1">
        <v>46183</v>
      </c>
      <c r="B111" s="8">
        <v>47.9</v>
      </c>
      <c r="C111" s="8">
        <v>50.08</v>
      </c>
      <c r="D111" s="9">
        <v>-1.87715145328463E-3</v>
      </c>
      <c r="E111" s="9">
        <v>-1.19736593830434E-3</v>
      </c>
      <c r="F111" s="8">
        <v>0</v>
      </c>
      <c r="G111" s="8">
        <v>0.55059999999999998</v>
      </c>
      <c r="H111" s="8">
        <v>0</v>
      </c>
      <c r="I111" s="8">
        <v>0.29780000000000001</v>
      </c>
      <c r="J111" s="8">
        <v>0</v>
      </c>
      <c r="K111" s="8">
        <v>0</v>
      </c>
      <c r="L111" s="8">
        <v>47.9</v>
      </c>
      <c r="M111" s="8">
        <v>50.08</v>
      </c>
      <c r="N111" s="10">
        <v>1.04551148225469</v>
      </c>
      <c r="O111" s="10">
        <v>1.03989039569729</v>
      </c>
      <c r="P111" s="10">
        <v>1.0435928594336099</v>
      </c>
      <c r="Q111" s="10">
        <v>1.0429517392602301</v>
      </c>
      <c r="R111" s="8">
        <v>49.810749953900299</v>
      </c>
      <c r="S111" s="8">
        <v>49.966783989267697</v>
      </c>
      <c r="T111" s="8">
        <v>49.952083144282199</v>
      </c>
      <c r="U111" s="9">
        <v>-5.3909035280796103E-3</v>
      </c>
      <c r="V111" s="9">
        <v>-2.26326233679112E-3</v>
      </c>
      <c r="W111" s="9">
        <v>-2.5575179766570998E-3</v>
      </c>
      <c r="X111" s="10">
        <v>1.04551148225469</v>
      </c>
      <c r="Y111" s="10">
        <v>1.03989039569729</v>
      </c>
      <c r="Z111" s="10">
        <v>1.0435928594336099</v>
      </c>
      <c r="AA111" s="10">
        <v>1.0429517392602301</v>
      </c>
      <c r="AB111" s="8">
        <v>49.810749953900299</v>
      </c>
      <c r="AC111" s="8">
        <v>49.966783989267697</v>
      </c>
      <c r="AD111" s="8">
        <v>49.952083144282199</v>
      </c>
      <c r="AE111" s="9">
        <v>-5.3909035280796103E-3</v>
      </c>
      <c r="AF111" s="9">
        <v>-2.26326233679112E-3</v>
      </c>
      <c r="AG111" s="9">
        <v>-2.5575179766570998E-3</v>
      </c>
      <c r="AZ111" s="9"/>
      <c r="BB111">
        <f t="shared" si="22"/>
        <v>1</v>
      </c>
      <c r="BC111">
        <f t="shared" si="23"/>
        <v>0</v>
      </c>
      <c r="BD111">
        <f t="shared" si="24"/>
        <v>1</v>
      </c>
      <c r="BE111">
        <f t="shared" si="20"/>
        <v>1</v>
      </c>
      <c r="BF111">
        <f t="shared" si="25"/>
        <v>1</v>
      </c>
      <c r="BG111" s="9">
        <f t="shared" si="26"/>
        <v>-1.87715145328463E-3</v>
      </c>
      <c r="BH111" s="9">
        <f t="shared" si="27"/>
        <v>1.19736593830434E-3</v>
      </c>
      <c r="BI111" s="9">
        <f t="shared" si="28"/>
        <v>-6.7978551498028999E-4</v>
      </c>
      <c r="BJ111" s="12">
        <f t="shared" si="29"/>
        <v>-6.4836582396732463E-3</v>
      </c>
      <c r="BL111" s="9"/>
      <c r="BN111">
        <f t="shared" si="30"/>
        <v>0</v>
      </c>
      <c r="BO111">
        <f t="shared" si="31"/>
        <v>1</v>
      </c>
      <c r="BP111">
        <f t="shared" si="32"/>
        <v>0</v>
      </c>
      <c r="BQ111">
        <f t="shared" si="21"/>
        <v>1</v>
      </c>
      <c r="BR111">
        <f t="shared" si="33"/>
        <v>0</v>
      </c>
      <c r="BS111" s="9">
        <f t="shared" si="34"/>
        <v>0</v>
      </c>
      <c r="BT111" s="9">
        <f t="shared" si="35"/>
        <v>0</v>
      </c>
      <c r="BU111" s="9">
        <f t="shared" si="36"/>
        <v>0</v>
      </c>
      <c r="BV111" s="12">
        <f t="shared" si="37"/>
        <v>0</v>
      </c>
      <c r="BX111" s="12">
        <f t="shared" si="38"/>
        <v>-6.7978551498028999E-4</v>
      </c>
      <c r="BY111" s="12">
        <f t="shared" si="39"/>
        <v>-6.4836582396732463E-3</v>
      </c>
    </row>
    <row r="112" spans="1:77" x14ac:dyDescent="0.3">
      <c r="A112" s="1">
        <v>46184</v>
      </c>
      <c r="B112" s="8">
        <v>48.18</v>
      </c>
      <c r="C112" s="8">
        <v>50.31</v>
      </c>
      <c r="D112" s="9">
        <v>5.8284927698557002E-3</v>
      </c>
      <c r="E112" s="9">
        <v>4.5821377113841799E-3</v>
      </c>
      <c r="F112" s="8">
        <v>0</v>
      </c>
      <c r="G112" s="8">
        <v>0.55059999999999998</v>
      </c>
      <c r="H112" s="8">
        <v>0</v>
      </c>
      <c r="I112" s="8">
        <v>0.29780000000000001</v>
      </c>
      <c r="J112" s="8">
        <v>0</v>
      </c>
      <c r="K112" s="8">
        <v>0</v>
      </c>
      <c r="L112" s="8">
        <v>48.18</v>
      </c>
      <c r="M112" s="8">
        <v>50.31</v>
      </c>
      <c r="N112" s="10">
        <v>1.0442092154420901</v>
      </c>
      <c r="O112" s="10">
        <v>1.03989039569729</v>
      </c>
      <c r="P112" s="10">
        <v>1.04393172544529</v>
      </c>
      <c r="Q112" s="10">
        <v>1.04304320212002</v>
      </c>
      <c r="R112" s="8">
        <v>50.101919264695503</v>
      </c>
      <c r="S112" s="8">
        <v>50.280303967511799</v>
      </c>
      <c r="T112" s="8">
        <v>50.249414797558302</v>
      </c>
      <c r="U112" s="9">
        <v>-4.14454846960788E-3</v>
      </c>
      <c r="V112" s="9">
        <v>-5.9043530399312E-4</v>
      </c>
      <c r="W112" s="9">
        <v>-1.2049634515895701E-3</v>
      </c>
      <c r="X112" s="10">
        <v>1.0442092154420901</v>
      </c>
      <c r="Y112" s="10">
        <v>1.03989039569729</v>
      </c>
      <c r="Z112" s="10">
        <v>1.04393172544529</v>
      </c>
      <c r="AA112" s="10">
        <v>1.04304320212002</v>
      </c>
      <c r="AB112" s="8">
        <v>50.101919264695503</v>
      </c>
      <c r="AC112" s="8">
        <v>50.280303967511799</v>
      </c>
      <c r="AD112" s="8">
        <v>50.249414797558302</v>
      </c>
      <c r="AE112" s="9">
        <v>-4.14454846960788E-3</v>
      </c>
      <c r="AF112" s="9">
        <v>-5.9043530399312E-4</v>
      </c>
      <c r="AG112" s="9">
        <v>-1.2049634515895701E-3</v>
      </c>
      <c r="AZ112" s="9"/>
      <c r="BB112">
        <f t="shared" si="22"/>
        <v>1</v>
      </c>
      <c r="BC112">
        <f t="shared" si="23"/>
        <v>0</v>
      </c>
      <c r="BD112">
        <f t="shared" si="24"/>
        <v>1</v>
      </c>
      <c r="BE112">
        <f t="shared" si="20"/>
        <v>1</v>
      </c>
      <c r="BF112">
        <f t="shared" si="25"/>
        <v>1</v>
      </c>
      <c r="BG112" s="9">
        <f t="shared" si="26"/>
        <v>5.8284927698557002E-3</v>
      </c>
      <c r="BH112" s="9">
        <f t="shared" si="27"/>
        <v>-4.5821377113841799E-3</v>
      </c>
      <c r="BI112" s="9">
        <f t="shared" si="28"/>
        <v>1.2463550584715204E-3</v>
      </c>
      <c r="BJ112" s="12">
        <f t="shared" si="29"/>
        <v>-5.2373031812017259E-3</v>
      </c>
      <c r="BL112" s="9"/>
      <c r="BN112">
        <f t="shared" si="30"/>
        <v>0</v>
      </c>
      <c r="BO112">
        <f t="shared" si="31"/>
        <v>1</v>
      </c>
      <c r="BP112">
        <f t="shared" si="32"/>
        <v>0</v>
      </c>
      <c r="BQ112">
        <f t="shared" si="21"/>
        <v>1</v>
      </c>
      <c r="BR112">
        <f t="shared" si="33"/>
        <v>0</v>
      </c>
      <c r="BS112" s="9">
        <f t="shared" si="34"/>
        <v>0</v>
      </c>
      <c r="BT112" s="9">
        <f t="shared" si="35"/>
        <v>0</v>
      </c>
      <c r="BU112" s="9">
        <f t="shared" si="36"/>
        <v>0</v>
      </c>
      <c r="BV112" s="12">
        <f t="shared" si="37"/>
        <v>0</v>
      </c>
      <c r="BX112" s="12">
        <f t="shared" si="38"/>
        <v>1.2463550584715204E-3</v>
      </c>
      <c r="BY112" s="12">
        <f t="shared" si="39"/>
        <v>-5.2373031812017259E-3</v>
      </c>
    </row>
    <row r="113" spans="1:77" x14ac:dyDescent="0.3">
      <c r="A113" s="1">
        <v>46185</v>
      </c>
      <c r="B113" s="8">
        <v>48.26</v>
      </c>
      <c r="C113" s="8">
        <v>50.32</v>
      </c>
      <c r="D113" s="9">
        <v>1.65906301016022E-3</v>
      </c>
      <c r="E113" s="9">
        <v>1.98747888957899E-4</v>
      </c>
      <c r="F113" s="8">
        <v>0</v>
      </c>
      <c r="G113" s="8">
        <v>0.55059999999999998</v>
      </c>
      <c r="H113" s="8">
        <v>0</v>
      </c>
      <c r="I113" s="8">
        <v>0.29780000000000001</v>
      </c>
      <c r="J113" s="8">
        <v>0</v>
      </c>
      <c r="K113" s="8">
        <v>0</v>
      </c>
      <c r="L113" s="8">
        <v>48.26</v>
      </c>
      <c r="M113" s="8">
        <v>50.32</v>
      </c>
      <c r="N113" s="10">
        <v>1.0426854537919601</v>
      </c>
      <c r="O113" s="10">
        <v>1.03989039569729</v>
      </c>
      <c r="P113" s="10">
        <v>1.04418620088863</v>
      </c>
      <c r="Q113" s="10">
        <v>1.04314495448442</v>
      </c>
      <c r="R113" s="8">
        <v>50.1851104963513</v>
      </c>
      <c r="S113" s="8">
        <v>50.38014506999</v>
      </c>
      <c r="T113" s="8">
        <v>50.337264934312401</v>
      </c>
      <c r="U113" s="9">
        <v>-2.6842333484054901E-3</v>
      </c>
      <c r="V113" s="9">
        <v>1.19453804361594E-3</v>
      </c>
      <c r="W113" s="9">
        <v>3.4304398183425199E-4</v>
      </c>
      <c r="X113" s="10">
        <v>1.0426854537919601</v>
      </c>
      <c r="Y113" s="10">
        <v>1.03989039569729</v>
      </c>
      <c r="Z113" s="10">
        <v>1.04418620088863</v>
      </c>
      <c r="AA113" s="10">
        <v>1.04314495448442</v>
      </c>
      <c r="AB113" s="8">
        <v>50.1851104963513</v>
      </c>
      <c r="AC113" s="8">
        <v>50.38014506999</v>
      </c>
      <c r="AD113" s="8">
        <v>50.337264934312401</v>
      </c>
      <c r="AE113" s="9">
        <v>-2.6842333484054901E-3</v>
      </c>
      <c r="AF113" s="9">
        <v>1.19453804361594E-3</v>
      </c>
      <c r="AG113" s="9">
        <v>3.4304398183425199E-4</v>
      </c>
      <c r="AZ113" s="9"/>
      <c r="BB113">
        <f t="shared" si="22"/>
        <v>0</v>
      </c>
      <c r="BC113">
        <f t="shared" si="23"/>
        <v>1</v>
      </c>
      <c r="BD113">
        <f t="shared" si="24"/>
        <v>1</v>
      </c>
      <c r="BE113">
        <f t="shared" si="20"/>
        <v>1</v>
      </c>
      <c r="BF113">
        <f t="shared" si="25"/>
        <v>1</v>
      </c>
      <c r="BG113" s="9">
        <f t="shared" si="26"/>
        <v>1.65906301016022E-3</v>
      </c>
      <c r="BH113" s="9">
        <f t="shared" si="27"/>
        <v>-1.98747888957899E-4</v>
      </c>
      <c r="BI113" s="9">
        <f t="shared" si="28"/>
        <v>1.460315121202321E-3</v>
      </c>
      <c r="BJ113" s="12">
        <f t="shared" si="29"/>
        <v>-3.776988059999405E-3</v>
      </c>
      <c r="BL113" s="9"/>
      <c r="BN113">
        <f t="shared" si="30"/>
        <v>0</v>
      </c>
      <c r="BO113">
        <f t="shared" si="31"/>
        <v>0</v>
      </c>
      <c r="BP113">
        <f t="shared" si="32"/>
        <v>0</v>
      </c>
      <c r="BQ113">
        <f t="shared" si="21"/>
        <v>1</v>
      </c>
      <c r="BR113">
        <f t="shared" si="33"/>
        <v>0</v>
      </c>
      <c r="BS113" s="9">
        <f t="shared" si="34"/>
        <v>0</v>
      </c>
      <c r="BT113" s="9">
        <f t="shared" si="35"/>
        <v>0</v>
      </c>
      <c r="BU113" s="9">
        <f t="shared" si="36"/>
        <v>0</v>
      </c>
      <c r="BV113" s="12">
        <f t="shared" si="37"/>
        <v>0</v>
      </c>
      <c r="BX113" s="12">
        <f t="shared" si="38"/>
        <v>1.460315121202321E-3</v>
      </c>
      <c r="BY113" s="12">
        <f t="shared" si="39"/>
        <v>-3.776988059999405E-3</v>
      </c>
    </row>
    <row r="114" spans="1:77" x14ac:dyDescent="0.3">
      <c r="A114" s="1">
        <v>46188</v>
      </c>
      <c r="B114" s="8">
        <v>48.27</v>
      </c>
      <c r="C114" s="8">
        <v>50.39</v>
      </c>
      <c r="D114" s="9">
        <v>2.0718947551602099E-4</v>
      </c>
      <c r="E114" s="9">
        <v>1.3901303003216201E-3</v>
      </c>
      <c r="F114" s="8">
        <v>0</v>
      </c>
      <c r="G114" s="8">
        <v>0.55059999999999998</v>
      </c>
      <c r="H114" s="8">
        <v>0</v>
      </c>
      <c r="I114" s="8">
        <v>0.29780000000000001</v>
      </c>
      <c r="J114" s="8">
        <v>0</v>
      </c>
      <c r="K114" s="8">
        <v>0</v>
      </c>
      <c r="L114" s="8">
        <v>48.27</v>
      </c>
      <c r="M114" s="8">
        <v>50.39</v>
      </c>
      <c r="N114" s="10">
        <v>1.0439196188108499</v>
      </c>
      <c r="O114" s="10">
        <v>1.03989039569729</v>
      </c>
      <c r="P114" s="10">
        <v>1.04417159448869</v>
      </c>
      <c r="Q114" s="10">
        <v>1.04312315110711</v>
      </c>
      <c r="R114" s="8">
        <v>50.195509400308303</v>
      </c>
      <c r="S114" s="8">
        <v>50.402867916894401</v>
      </c>
      <c r="T114" s="8">
        <v>50.352606952963001</v>
      </c>
      <c r="U114" s="9">
        <v>-3.8671741732112302E-3</v>
      </c>
      <c r="V114" s="9">
        <v>2.5533387887996702E-4</v>
      </c>
      <c r="W114" s="9">
        <v>-7.4234824539827504E-4</v>
      </c>
      <c r="X114" s="10">
        <v>1.0439196188108499</v>
      </c>
      <c r="Y114" s="10">
        <v>1.03989039569729</v>
      </c>
      <c r="Z114" s="10">
        <v>1.04417159448869</v>
      </c>
      <c r="AA114" s="10">
        <v>1.04312315110711</v>
      </c>
      <c r="AB114" s="8">
        <v>50.195509400308303</v>
      </c>
      <c r="AC114" s="8">
        <v>50.402867916894401</v>
      </c>
      <c r="AD114" s="8">
        <v>50.352606952963001</v>
      </c>
      <c r="AE114" s="9">
        <v>-3.8671741732112302E-3</v>
      </c>
      <c r="AF114" s="9">
        <v>2.5533387887996702E-4</v>
      </c>
      <c r="AG114" s="9">
        <v>-7.4234824539827504E-4</v>
      </c>
      <c r="AZ114" s="9"/>
      <c r="BB114">
        <f t="shared" si="22"/>
        <v>0</v>
      </c>
      <c r="BC114">
        <f t="shared" si="23"/>
        <v>0</v>
      </c>
      <c r="BD114">
        <f t="shared" si="24"/>
        <v>0</v>
      </c>
      <c r="BE114">
        <f t="shared" si="20"/>
        <v>1</v>
      </c>
      <c r="BF114">
        <f t="shared" si="25"/>
        <v>0</v>
      </c>
      <c r="BG114" s="9">
        <f t="shared" si="26"/>
        <v>0</v>
      </c>
      <c r="BH114" s="9">
        <f t="shared" si="27"/>
        <v>0</v>
      </c>
      <c r="BI114" s="9">
        <f t="shared" si="28"/>
        <v>0</v>
      </c>
      <c r="BJ114" s="12">
        <f t="shared" si="29"/>
        <v>-3.776988059999405E-3</v>
      </c>
      <c r="BL114" s="9"/>
      <c r="BN114">
        <f t="shared" si="30"/>
        <v>0</v>
      </c>
      <c r="BO114">
        <f t="shared" si="31"/>
        <v>1</v>
      </c>
      <c r="BP114">
        <f t="shared" si="32"/>
        <v>0</v>
      </c>
      <c r="BQ114">
        <f t="shared" si="21"/>
        <v>1</v>
      </c>
      <c r="BR114">
        <f t="shared" si="33"/>
        <v>0</v>
      </c>
      <c r="BS114" s="9">
        <f t="shared" si="34"/>
        <v>0</v>
      </c>
      <c r="BT114" s="9">
        <f t="shared" si="35"/>
        <v>0</v>
      </c>
      <c r="BU114" s="9">
        <f t="shared" si="36"/>
        <v>0</v>
      </c>
      <c r="BV114" s="12">
        <f t="shared" si="37"/>
        <v>0</v>
      </c>
      <c r="BX114" s="12">
        <f t="shared" si="38"/>
        <v>0</v>
      </c>
      <c r="BY114" s="12">
        <f t="shared" si="39"/>
        <v>-3.776988059999405E-3</v>
      </c>
    </row>
    <row r="115" spans="1:77" x14ac:dyDescent="0.3">
      <c r="A115" s="1">
        <v>46189</v>
      </c>
      <c r="B115" s="8">
        <v>48.33</v>
      </c>
      <c r="C115" s="8">
        <v>50.46</v>
      </c>
      <c r="D115" s="9">
        <v>1.2422361845911101E-3</v>
      </c>
      <c r="E115" s="9">
        <v>1.3882005204049401E-3</v>
      </c>
      <c r="F115" s="8">
        <v>0</v>
      </c>
      <c r="G115" s="8">
        <v>0.55059999999999998</v>
      </c>
      <c r="H115" s="8">
        <v>0</v>
      </c>
      <c r="I115" s="8">
        <v>0.29780000000000001</v>
      </c>
      <c r="J115" s="8">
        <v>0</v>
      </c>
      <c r="K115" s="8">
        <v>0</v>
      </c>
      <c r="L115" s="8">
        <v>48.33</v>
      </c>
      <c r="M115" s="8">
        <v>50.46</v>
      </c>
      <c r="N115" s="10">
        <v>1.0440720049658501</v>
      </c>
      <c r="O115" s="10">
        <v>1.03989039569729</v>
      </c>
      <c r="P115" s="10">
        <v>1.0442841891761501</v>
      </c>
      <c r="Q115" s="10">
        <v>1.0431359756740599</v>
      </c>
      <c r="R115" s="8">
        <v>50.257902824050099</v>
      </c>
      <c r="S115" s="8">
        <v>50.464813161638702</v>
      </c>
      <c r="T115" s="8">
        <v>50.414141893006899</v>
      </c>
      <c r="U115" s="9">
        <v>-4.0131385090251496E-3</v>
      </c>
      <c r="V115" s="9">
        <v>9.53811355531749E-5</v>
      </c>
      <c r="W115" s="9">
        <v>-9.0921437925699797E-4</v>
      </c>
      <c r="X115" s="10">
        <v>1.0440720049658501</v>
      </c>
      <c r="Y115" s="10">
        <v>1.03989039569729</v>
      </c>
      <c r="Z115" s="10">
        <v>1.0442841891761501</v>
      </c>
      <c r="AA115" s="10">
        <v>1.0431359756740599</v>
      </c>
      <c r="AB115" s="8">
        <v>50.257902824050099</v>
      </c>
      <c r="AC115" s="8">
        <v>50.464813161638702</v>
      </c>
      <c r="AD115" s="8">
        <v>50.414141893006899</v>
      </c>
      <c r="AE115" s="9">
        <v>-4.0131385090251496E-3</v>
      </c>
      <c r="AF115" s="9">
        <v>9.53811355531749E-5</v>
      </c>
      <c r="AG115" s="9">
        <v>-9.0921437925699797E-4</v>
      </c>
      <c r="AZ115" s="9"/>
      <c r="BB115">
        <f t="shared" si="22"/>
        <v>0</v>
      </c>
      <c r="BC115">
        <f t="shared" si="23"/>
        <v>0</v>
      </c>
      <c r="BD115">
        <f t="shared" si="24"/>
        <v>0</v>
      </c>
      <c r="BE115">
        <f t="shared" si="20"/>
        <v>1</v>
      </c>
      <c r="BF115">
        <f t="shared" si="25"/>
        <v>0</v>
      </c>
      <c r="BG115" s="9">
        <f t="shared" si="26"/>
        <v>0</v>
      </c>
      <c r="BH115" s="9">
        <f t="shared" si="27"/>
        <v>0</v>
      </c>
      <c r="BI115" s="9">
        <f t="shared" si="28"/>
        <v>0</v>
      </c>
      <c r="BJ115" s="12">
        <f t="shared" si="29"/>
        <v>-3.776988059999405E-3</v>
      </c>
      <c r="BL115" s="9"/>
      <c r="BN115">
        <f t="shared" si="30"/>
        <v>0</v>
      </c>
      <c r="BO115">
        <f t="shared" si="31"/>
        <v>1</v>
      </c>
      <c r="BP115">
        <f t="shared" si="32"/>
        <v>0</v>
      </c>
      <c r="BQ115">
        <f t="shared" si="21"/>
        <v>1</v>
      </c>
      <c r="BR115">
        <f t="shared" si="33"/>
        <v>0</v>
      </c>
      <c r="BS115" s="9">
        <f t="shared" si="34"/>
        <v>0</v>
      </c>
      <c r="BT115" s="9">
        <f t="shared" si="35"/>
        <v>0</v>
      </c>
      <c r="BU115" s="9">
        <f t="shared" si="36"/>
        <v>0</v>
      </c>
      <c r="BV115" s="12">
        <f t="shared" si="37"/>
        <v>0</v>
      </c>
      <c r="BX115" s="12">
        <f t="shared" si="38"/>
        <v>0</v>
      </c>
      <c r="BY115" s="12">
        <f t="shared" si="39"/>
        <v>-3.776988059999405E-3</v>
      </c>
    </row>
    <row r="116" spans="1:77" x14ac:dyDescent="0.3">
      <c r="A116" s="1">
        <v>46190</v>
      </c>
      <c r="B116" s="8">
        <v>48.31</v>
      </c>
      <c r="C116" s="8">
        <v>50.43</v>
      </c>
      <c r="D116" s="9">
        <v>-4.1390729067732702E-4</v>
      </c>
      <c r="E116" s="9">
        <v>-5.9470712427777599E-4</v>
      </c>
      <c r="F116" s="8">
        <v>0</v>
      </c>
      <c r="G116" s="8">
        <v>0.55059999999999998</v>
      </c>
      <c r="H116" s="8">
        <v>0</v>
      </c>
      <c r="I116" s="8">
        <v>0.29780000000000001</v>
      </c>
      <c r="J116" s="8">
        <v>0</v>
      </c>
      <c r="K116" s="8">
        <v>0</v>
      </c>
      <c r="L116" s="8">
        <v>48.31</v>
      </c>
      <c r="M116" s="8">
        <v>50.43</v>
      </c>
      <c r="N116" s="10">
        <v>1.0438832539846801</v>
      </c>
      <c r="O116" s="10">
        <v>1.03989039569729</v>
      </c>
      <c r="P116" s="10">
        <v>1.04421696595917</v>
      </c>
      <c r="Q116" s="10">
        <v>1.04313429891123</v>
      </c>
      <c r="R116" s="8">
        <v>50.237105016136198</v>
      </c>
      <c r="S116" s="8">
        <v>50.449369179100003</v>
      </c>
      <c r="T116" s="8">
        <v>50.3938989848142</v>
      </c>
      <c r="U116" s="9">
        <v>-3.8323386754245299E-3</v>
      </c>
      <c r="V116" s="9">
        <v>3.840067497587E-4</v>
      </c>
      <c r="W116" s="9">
        <v>-7.1612022728852296E-4</v>
      </c>
      <c r="X116" s="10">
        <v>1.0438832539846801</v>
      </c>
      <c r="Y116" s="10">
        <v>1.03989039569729</v>
      </c>
      <c r="Z116" s="10">
        <v>1.04421696595917</v>
      </c>
      <c r="AA116" s="10">
        <v>1.04313429891123</v>
      </c>
      <c r="AB116" s="8">
        <v>50.237105016136198</v>
      </c>
      <c r="AC116" s="8">
        <v>50.449369179100003</v>
      </c>
      <c r="AD116" s="8">
        <v>50.3938989848142</v>
      </c>
      <c r="AE116" s="9">
        <v>-3.8323386754245299E-3</v>
      </c>
      <c r="AF116" s="9">
        <v>3.840067497587E-4</v>
      </c>
      <c r="AG116" s="9">
        <v>-7.1612022728852296E-4</v>
      </c>
      <c r="AZ116" s="9"/>
      <c r="BB116">
        <f t="shared" si="22"/>
        <v>0</v>
      </c>
      <c r="BC116">
        <f t="shared" si="23"/>
        <v>0</v>
      </c>
      <c r="BD116">
        <f t="shared" si="24"/>
        <v>0</v>
      </c>
      <c r="BE116">
        <f t="shared" si="20"/>
        <v>1</v>
      </c>
      <c r="BF116">
        <f t="shared" si="25"/>
        <v>0</v>
      </c>
      <c r="BG116" s="9">
        <f t="shared" si="26"/>
        <v>0</v>
      </c>
      <c r="BH116" s="9">
        <f t="shared" si="27"/>
        <v>0</v>
      </c>
      <c r="BI116" s="9">
        <f t="shared" si="28"/>
        <v>0</v>
      </c>
      <c r="BJ116" s="12">
        <f t="shared" si="29"/>
        <v>-3.776988059999405E-3</v>
      </c>
      <c r="BL116" s="9"/>
      <c r="BN116">
        <f t="shared" si="30"/>
        <v>0</v>
      </c>
      <c r="BO116">
        <f t="shared" si="31"/>
        <v>1</v>
      </c>
      <c r="BP116">
        <f t="shared" si="32"/>
        <v>0</v>
      </c>
      <c r="BQ116">
        <f t="shared" si="21"/>
        <v>1</v>
      </c>
      <c r="BR116">
        <f t="shared" si="33"/>
        <v>0</v>
      </c>
      <c r="BS116" s="9">
        <f t="shared" si="34"/>
        <v>0</v>
      </c>
      <c r="BT116" s="9">
        <f t="shared" si="35"/>
        <v>0</v>
      </c>
      <c r="BU116" s="9">
        <f t="shared" si="36"/>
        <v>0</v>
      </c>
      <c r="BV116" s="12">
        <f t="shared" si="37"/>
        <v>0</v>
      </c>
      <c r="BX116" s="12">
        <f t="shared" si="38"/>
        <v>0</v>
      </c>
      <c r="BY116" s="12">
        <f t="shared" si="39"/>
        <v>-3.776988059999405E-3</v>
      </c>
    </row>
    <row r="117" spans="1:77" x14ac:dyDescent="0.3">
      <c r="A117" s="1">
        <v>46191</v>
      </c>
      <c r="B117" s="8">
        <v>48.35</v>
      </c>
      <c r="C117" s="8">
        <v>50.53</v>
      </c>
      <c r="D117" s="9">
        <v>8.2764333298801604E-4</v>
      </c>
      <c r="E117" s="9">
        <v>1.98098321518328E-3</v>
      </c>
      <c r="F117" s="8">
        <v>0</v>
      </c>
      <c r="G117" s="8">
        <v>0.55059999999999998</v>
      </c>
      <c r="H117" s="8">
        <v>0</v>
      </c>
      <c r="I117" s="8">
        <v>0.29780000000000001</v>
      </c>
      <c r="J117" s="8">
        <v>0</v>
      </c>
      <c r="K117" s="8">
        <v>0</v>
      </c>
      <c r="L117" s="8">
        <v>48.35</v>
      </c>
      <c r="M117" s="8">
        <v>50.53</v>
      </c>
      <c r="N117" s="10">
        <v>1.04508790072388</v>
      </c>
      <c r="O117" s="10">
        <v>1.03989039569729</v>
      </c>
      <c r="P117" s="10">
        <v>1.0442748408901299</v>
      </c>
      <c r="Q117" s="10">
        <v>1.04324971231136</v>
      </c>
      <c r="R117" s="8">
        <v>50.278700631964099</v>
      </c>
      <c r="S117" s="8">
        <v>50.487890304126097</v>
      </c>
      <c r="T117" s="8">
        <v>50.435543352358003</v>
      </c>
      <c r="U117" s="9">
        <v>-4.9856785576199497E-3</v>
      </c>
      <c r="V117" s="9">
        <v>-8.3370773604962397E-4</v>
      </c>
      <c r="W117" s="9">
        <v>-1.871067535768E-3</v>
      </c>
      <c r="X117" s="10">
        <v>1.04508790072388</v>
      </c>
      <c r="Y117" s="10">
        <v>1.03989039569729</v>
      </c>
      <c r="Z117" s="10">
        <v>1.0442748408901299</v>
      </c>
      <c r="AA117" s="10">
        <v>1.04324971231136</v>
      </c>
      <c r="AB117" s="8">
        <v>50.278700631964099</v>
      </c>
      <c r="AC117" s="8">
        <v>50.487890304126097</v>
      </c>
      <c r="AD117" s="8">
        <v>50.435543352358003</v>
      </c>
      <c r="AE117" s="9">
        <v>-4.9856785576199497E-3</v>
      </c>
      <c r="AF117" s="9">
        <v>-8.3370773604962397E-4</v>
      </c>
      <c r="AG117" s="9">
        <v>-1.871067535768E-3</v>
      </c>
      <c r="AZ117" s="9"/>
      <c r="BB117">
        <f t="shared" si="22"/>
        <v>1</v>
      </c>
      <c r="BC117">
        <f t="shared" si="23"/>
        <v>0</v>
      </c>
      <c r="BD117">
        <f t="shared" si="24"/>
        <v>0</v>
      </c>
      <c r="BE117">
        <f t="shared" si="20"/>
        <v>1</v>
      </c>
      <c r="BF117">
        <f t="shared" si="25"/>
        <v>0</v>
      </c>
      <c r="BG117" s="9">
        <f t="shared" si="26"/>
        <v>0</v>
      </c>
      <c r="BH117" s="9">
        <f t="shared" si="27"/>
        <v>0</v>
      </c>
      <c r="BI117" s="9">
        <f t="shared" si="28"/>
        <v>0</v>
      </c>
      <c r="BJ117" s="12">
        <f t="shared" si="29"/>
        <v>-3.776988059999405E-3</v>
      </c>
      <c r="BL117" s="9"/>
      <c r="BN117">
        <f t="shared" si="30"/>
        <v>0</v>
      </c>
      <c r="BO117">
        <f t="shared" si="31"/>
        <v>1</v>
      </c>
      <c r="BP117">
        <f t="shared" si="32"/>
        <v>0</v>
      </c>
      <c r="BQ117">
        <f t="shared" si="21"/>
        <v>1</v>
      </c>
      <c r="BR117">
        <f t="shared" si="33"/>
        <v>0</v>
      </c>
      <c r="BS117" s="9">
        <f t="shared" si="34"/>
        <v>0</v>
      </c>
      <c r="BT117" s="9">
        <f t="shared" si="35"/>
        <v>0</v>
      </c>
      <c r="BU117" s="9">
        <f t="shared" si="36"/>
        <v>0</v>
      </c>
      <c r="BV117" s="12">
        <f t="shared" si="37"/>
        <v>0</v>
      </c>
      <c r="BX117" s="12">
        <f t="shared" si="38"/>
        <v>0</v>
      </c>
      <c r="BY117" s="12">
        <f t="shared" si="39"/>
        <v>-3.776988059999405E-3</v>
      </c>
    </row>
    <row r="118" spans="1:77" x14ac:dyDescent="0.3">
      <c r="A118" s="1">
        <v>46195</v>
      </c>
      <c r="B118" s="8">
        <v>48.27</v>
      </c>
      <c r="C118" s="8">
        <v>50.45</v>
      </c>
      <c r="D118" s="9">
        <v>-1.6559722269017701E-3</v>
      </c>
      <c r="E118" s="9">
        <v>-1.58447250419917E-3</v>
      </c>
      <c r="F118" s="8">
        <v>0</v>
      </c>
      <c r="G118" s="8">
        <v>0.55059999999999998</v>
      </c>
      <c r="H118" s="8">
        <v>0</v>
      </c>
      <c r="I118" s="8">
        <v>0.29780000000000001</v>
      </c>
      <c r="J118" s="8">
        <v>0</v>
      </c>
      <c r="K118" s="8">
        <v>0</v>
      </c>
      <c r="L118" s="8">
        <v>48.27</v>
      </c>
      <c r="M118" s="8">
        <v>50.45</v>
      </c>
      <c r="N118" s="10">
        <v>1.0451626268904</v>
      </c>
      <c r="O118" s="10">
        <v>1.03989039569729</v>
      </c>
      <c r="P118" s="10">
        <v>1.04435452786578</v>
      </c>
      <c r="Q118" s="10">
        <v>1.0433923788788899</v>
      </c>
      <c r="R118" s="8">
        <v>50.195509400308303</v>
      </c>
      <c r="S118" s="8">
        <v>50.407146569766702</v>
      </c>
      <c r="T118" s="8">
        <v>50.357663613269501</v>
      </c>
      <c r="U118" s="9">
        <v>-5.0571782803224699E-3</v>
      </c>
      <c r="V118" s="9">
        <v>-8.4978475536138002E-4</v>
      </c>
      <c r="W118" s="9">
        <v>-1.8319323996610899E-3</v>
      </c>
      <c r="X118" s="10">
        <v>1.0451626268904</v>
      </c>
      <c r="Y118" s="10">
        <v>1.03989039569729</v>
      </c>
      <c r="Z118" s="10">
        <v>1.04435452786578</v>
      </c>
      <c r="AA118" s="10">
        <v>1.0433923788788899</v>
      </c>
      <c r="AB118" s="8">
        <v>50.195509400308303</v>
      </c>
      <c r="AC118" s="8">
        <v>50.407146569766702</v>
      </c>
      <c r="AD118" s="8">
        <v>50.357663613269501</v>
      </c>
      <c r="AE118" s="9">
        <v>-5.0571782803224699E-3</v>
      </c>
      <c r="AF118" s="9">
        <v>-8.4978475536138002E-4</v>
      </c>
      <c r="AG118" s="9">
        <v>-1.8319323996610899E-3</v>
      </c>
      <c r="AZ118" s="9"/>
      <c r="BB118">
        <f t="shared" si="22"/>
        <v>1</v>
      </c>
      <c r="BC118">
        <f t="shared" si="23"/>
        <v>0</v>
      </c>
      <c r="BD118">
        <f t="shared" si="24"/>
        <v>1</v>
      </c>
      <c r="BE118">
        <f t="shared" si="20"/>
        <v>1</v>
      </c>
      <c r="BF118">
        <f t="shared" si="25"/>
        <v>1</v>
      </c>
      <c r="BG118" s="9">
        <f t="shared" si="26"/>
        <v>-1.6559722269017701E-3</v>
      </c>
      <c r="BH118" s="9">
        <f t="shared" si="27"/>
        <v>1.58447250419917E-3</v>
      </c>
      <c r="BI118" s="9">
        <f t="shared" si="28"/>
        <v>-7.1499722702600063E-5</v>
      </c>
      <c r="BJ118" s="12">
        <f t="shared" si="29"/>
        <v>-3.848487782702005E-3</v>
      </c>
      <c r="BL118" s="9"/>
      <c r="BN118">
        <f t="shared" si="30"/>
        <v>0</v>
      </c>
      <c r="BO118">
        <f t="shared" si="31"/>
        <v>1</v>
      </c>
      <c r="BP118">
        <f t="shared" si="32"/>
        <v>0</v>
      </c>
      <c r="BQ118">
        <f t="shared" si="21"/>
        <v>1</v>
      </c>
      <c r="BR118">
        <f t="shared" si="33"/>
        <v>0</v>
      </c>
      <c r="BS118" s="9">
        <f t="shared" si="34"/>
        <v>0</v>
      </c>
      <c r="BT118" s="9">
        <f t="shared" si="35"/>
        <v>0</v>
      </c>
      <c r="BU118" s="9">
        <f t="shared" si="36"/>
        <v>0</v>
      </c>
      <c r="BV118" s="12">
        <f t="shared" si="37"/>
        <v>0</v>
      </c>
      <c r="BX118" s="12">
        <f t="shared" si="38"/>
        <v>-7.1499722702600063E-5</v>
      </c>
      <c r="BY118" s="12">
        <f t="shared" si="39"/>
        <v>-3.848487782702005E-3</v>
      </c>
    </row>
    <row r="119" spans="1:77" x14ac:dyDescent="0.3">
      <c r="A119" s="1">
        <v>46196</v>
      </c>
      <c r="B119" s="8">
        <v>48.38</v>
      </c>
      <c r="C119" s="8">
        <v>50.46</v>
      </c>
      <c r="D119" s="9">
        <v>2.2762555094796E-3</v>
      </c>
      <c r="E119" s="9">
        <v>1.9819641329375001E-4</v>
      </c>
      <c r="F119" s="8">
        <v>0</v>
      </c>
      <c r="G119" s="8">
        <v>0.55059999999999998</v>
      </c>
      <c r="H119" s="8">
        <v>0</v>
      </c>
      <c r="I119" s="8">
        <v>0.29780000000000001</v>
      </c>
      <c r="J119" s="8">
        <v>0</v>
      </c>
      <c r="K119" s="8">
        <v>0</v>
      </c>
      <c r="L119" s="8">
        <v>48.38</v>
      </c>
      <c r="M119" s="8">
        <v>50.46</v>
      </c>
      <c r="N119" s="10">
        <v>1.0429929723025999</v>
      </c>
      <c r="O119" s="10">
        <v>1.03989039569729</v>
      </c>
      <c r="P119" s="10">
        <v>1.04423255293754</v>
      </c>
      <c r="Q119" s="10">
        <v>1.04348210240039</v>
      </c>
      <c r="R119" s="8">
        <v>50.309897343834997</v>
      </c>
      <c r="S119" s="8">
        <v>50.525872058146398</v>
      </c>
      <c r="T119" s="8">
        <v>50.479323290160899</v>
      </c>
      <c r="U119" s="9">
        <v>-2.9791191841365698E-3</v>
      </c>
      <c r="V119" s="9">
        <v>1.3045798614481599E-3</v>
      </c>
      <c r="W119" s="9">
        <v>3.8286942624789498E-4</v>
      </c>
      <c r="X119" s="10">
        <v>1.0429929723025999</v>
      </c>
      <c r="Y119" s="10">
        <v>1.03989039569729</v>
      </c>
      <c r="Z119" s="10">
        <v>1.04423255293754</v>
      </c>
      <c r="AA119" s="10">
        <v>1.04348210240039</v>
      </c>
      <c r="AB119" s="8">
        <v>50.309897343834997</v>
      </c>
      <c r="AC119" s="8">
        <v>50.525872058146398</v>
      </c>
      <c r="AD119" s="8">
        <v>50.479323290160899</v>
      </c>
      <c r="AE119" s="9">
        <v>-2.9791191841365698E-3</v>
      </c>
      <c r="AF119" s="9">
        <v>1.3045798614481599E-3</v>
      </c>
      <c r="AG119" s="9">
        <v>3.8286942624789498E-4</v>
      </c>
      <c r="AZ119" s="9"/>
      <c r="BB119">
        <f t="shared" si="22"/>
        <v>0</v>
      </c>
      <c r="BC119">
        <f t="shared" si="23"/>
        <v>1</v>
      </c>
      <c r="BD119">
        <f t="shared" si="24"/>
        <v>1</v>
      </c>
      <c r="BE119">
        <f t="shared" si="20"/>
        <v>1</v>
      </c>
      <c r="BF119">
        <f t="shared" si="25"/>
        <v>1</v>
      </c>
      <c r="BG119" s="9">
        <f t="shared" si="26"/>
        <v>2.2762555094796E-3</v>
      </c>
      <c r="BH119" s="9">
        <f t="shared" si="27"/>
        <v>-1.9819641329375001E-4</v>
      </c>
      <c r="BI119" s="9">
        <f t="shared" si="28"/>
        <v>2.0780590961858502E-3</v>
      </c>
      <c r="BJ119" s="12">
        <f t="shared" si="29"/>
        <v>-1.7704286865161548E-3</v>
      </c>
      <c r="BL119" s="9"/>
      <c r="BN119">
        <f t="shared" si="30"/>
        <v>0</v>
      </c>
      <c r="BO119">
        <f t="shared" si="31"/>
        <v>0</v>
      </c>
      <c r="BP119">
        <f t="shared" si="32"/>
        <v>0</v>
      </c>
      <c r="BQ119">
        <f t="shared" si="21"/>
        <v>1</v>
      </c>
      <c r="BR119">
        <f t="shared" si="33"/>
        <v>0</v>
      </c>
      <c r="BS119" s="9">
        <f t="shared" si="34"/>
        <v>0</v>
      </c>
      <c r="BT119" s="9">
        <f t="shared" si="35"/>
        <v>0</v>
      </c>
      <c r="BU119" s="9">
        <f t="shared" si="36"/>
        <v>0</v>
      </c>
      <c r="BV119" s="12">
        <f t="shared" si="37"/>
        <v>0</v>
      </c>
      <c r="BX119" s="12">
        <f t="shared" si="38"/>
        <v>2.0780590961858502E-3</v>
      </c>
      <c r="BY119" s="12">
        <f t="shared" si="39"/>
        <v>-1.7704286865161548E-3</v>
      </c>
    </row>
    <row r="120" spans="1:77" x14ac:dyDescent="0.3">
      <c r="A120" s="1">
        <v>46197</v>
      </c>
      <c r="B120" s="8">
        <v>48.5</v>
      </c>
      <c r="C120" s="8">
        <v>50.58</v>
      </c>
      <c r="D120" s="9">
        <v>2.4772927615561899E-3</v>
      </c>
      <c r="E120" s="9">
        <v>2.3752980289072599E-3</v>
      </c>
      <c r="F120" s="8">
        <v>0</v>
      </c>
      <c r="G120" s="8">
        <v>0.55059999999999998</v>
      </c>
      <c r="H120" s="8">
        <v>0</v>
      </c>
      <c r="I120" s="8">
        <v>0.29780000000000001</v>
      </c>
      <c r="J120" s="8">
        <v>0</v>
      </c>
      <c r="K120" s="8">
        <v>0</v>
      </c>
      <c r="L120" s="8">
        <v>48.5</v>
      </c>
      <c r="M120" s="8">
        <v>50.58</v>
      </c>
      <c r="N120" s="10">
        <v>1.0428865979381401</v>
      </c>
      <c r="O120" s="10">
        <v>1.03989039569729</v>
      </c>
      <c r="P120" s="10">
        <v>1.04404111271051</v>
      </c>
      <c r="Q120" s="10">
        <v>1.04359450196348</v>
      </c>
      <c r="R120" s="8">
        <v>50.434684191318702</v>
      </c>
      <c r="S120" s="8">
        <v>50.645278817470803</v>
      </c>
      <c r="T120" s="8">
        <v>50.608881966418998</v>
      </c>
      <c r="U120" s="9">
        <v>-2.8771244514874698E-3</v>
      </c>
      <c r="V120" s="9">
        <v>1.2897732124378899E-3</v>
      </c>
      <c r="W120" s="9">
        <v>5.7085258068034295E-4</v>
      </c>
      <c r="X120" s="10">
        <v>1.0428865979381401</v>
      </c>
      <c r="Y120" s="10">
        <v>1.03989039569729</v>
      </c>
      <c r="Z120" s="10">
        <v>1.04404111271051</v>
      </c>
      <c r="AA120" s="10">
        <v>1.04359450196348</v>
      </c>
      <c r="AB120" s="8">
        <v>50.434684191318702</v>
      </c>
      <c r="AC120" s="8">
        <v>50.645278817470803</v>
      </c>
      <c r="AD120" s="8">
        <v>50.608881966418998</v>
      </c>
      <c r="AE120" s="9">
        <v>-2.8771244514874698E-3</v>
      </c>
      <c r="AF120" s="9">
        <v>1.2897732124378899E-3</v>
      </c>
      <c r="AG120" s="9">
        <v>5.7085258068034295E-4</v>
      </c>
      <c r="AZ120" s="9"/>
      <c r="BB120">
        <f t="shared" si="22"/>
        <v>0</v>
      </c>
      <c r="BC120">
        <f t="shared" si="23"/>
        <v>1</v>
      </c>
      <c r="BD120">
        <f t="shared" si="24"/>
        <v>0</v>
      </c>
      <c r="BE120">
        <f t="shared" si="20"/>
        <v>1</v>
      </c>
      <c r="BF120">
        <f t="shared" si="25"/>
        <v>0</v>
      </c>
      <c r="BG120" s="9">
        <f t="shared" si="26"/>
        <v>0</v>
      </c>
      <c r="BH120" s="9">
        <f t="shared" si="27"/>
        <v>0</v>
      </c>
      <c r="BI120" s="9">
        <f t="shared" si="28"/>
        <v>0</v>
      </c>
      <c r="BJ120" s="12">
        <f t="shared" si="29"/>
        <v>-1.7704286865161548E-3</v>
      </c>
      <c r="BL120" s="9"/>
      <c r="BN120">
        <f t="shared" si="30"/>
        <v>0</v>
      </c>
      <c r="BO120">
        <f t="shared" si="31"/>
        <v>0</v>
      </c>
      <c r="BP120">
        <f t="shared" si="32"/>
        <v>0</v>
      </c>
      <c r="BQ120">
        <f t="shared" si="21"/>
        <v>1</v>
      </c>
      <c r="BR120">
        <f t="shared" si="33"/>
        <v>0</v>
      </c>
      <c r="BS120" s="9">
        <f t="shared" si="34"/>
        <v>0</v>
      </c>
      <c r="BT120" s="9">
        <f t="shared" si="35"/>
        <v>0</v>
      </c>
      <c r="BU120" s="9">
        <f t="shared" si="36"/>
        <v>0</v>
      </c>
      <c r="BV120" s="12">
        <f t="shared" si="37"/>
        <v>0</v>
      </c>
      <c r="BX120" s="12">
        <f t="shared" si="38"/>
        <v>0</v>
      </c>
      <c r="BY120" s="12">
        <f t="shared" si="39"/>
        <v>-1.7704286865161548E-3</v>
      </c>
    </row>
    <row r="121" spans="1:77" x14ac:dyDescent="0.3">
      <c r="A121" s="1">
        <v>46198</v>
      </c>
      <c r="B121" s="8">
        <v>48.49</v>
      </c>
      <c r="C121" s="8">
        <v>50.6</v>
      </c>
      <c r="D121" s="9">
        <v>-2.0620682617653599E-4</v>
      </c>
      <c r="E121" s="9">
        <v>3.9533505160080601E-4</v>
      </c>
      <c r="F121" s="8">
        <v>0</v>
      </c>
      <c r="G121" s="8">
        <v>0.55059999999999998</v>
      </c>
      <c r="H121" s="8">
        <v>0</v>
      </c>
      <c r="I121" s="8">
        <v>0.29780000000000001</v>
      </c>
      <c r="J121" s="8">
        <v>0</v>
      </c>
      <c r="K121" s="8">
        <v>0</v>
      </c>
      <c r="L121" s="8">
        <v>48.49</v>
      </c>
      <c r="M121" s="8">
        <v>50.6</v>
      </c>
      <c r="N121" s="10">
        <v>1.04351412662404</v>
      </c>
      <c r="O121" s="10">
        <v>1.03989039569729</v>
      </c>
      <c r="P121" s="10">
        <v>1.04384137714745</v>
      </c>
      <c r="Q121" s="10">
        <v>1.04371711829053</v>
      </c>
      <c r="R121" s="8">
        <v>50.424285287361698</v>
      </c>
      <c r="S121" s="8">
        <v>50.625553555332999</v>
      </c>
      <c r="T121" s="8">
        <v>50.603897400209199</v>
      </c>
      <c r="U121" s="9">
        <v>-3.4786663292649899E-3</v>
      </c>
      <c r="V121" s="9">
        <v>5.0488349983536496E-4</v>
      </c>
      <c r="W121" s="9">
        <v>7.7020753376051394E-5</v>
      </c>
      <c r="X121" s="10">
        <v>1.04351412662404</v>
      </c>
      <c r="Y121" s="10">
        <v>1.03989039569729</v>
      </c>
      <c r="Z121" s="10">
        <v>1.04384137714745</v>
      </c>
      <c r="AA121" s="10">
        <v>1.04371711829053</v>
      </c>
      <c r="AB121" s="8">
        <v>50.424285287361698</v>
      </c>
      <c r="AC121" s="8">
        <v>50.625553555332999</v>
      </c>
      <c r="AD121" s="8">
        <v>50.603897400209199</v>
      </c>
      <c r="AE121" s="9">
        <v>-3.4786663292649899E-3</v>
      </c>
      <c r="AF121" s="9">
        <v>5.0488349983536496E-4</v>
      </c>
      <c r="AG121" s="9">
        <v>7.7020753376051394E-5</v>
      </c>
      <c r="AZ121" s="9"/>
      <c r="BB121">
        <f t="shared" si="22"/>
        <v>0</v>
      </c>
      <c r="BC121">
        <f t="shared" si="23"/>
        <v>1</v>
      </c>
      <c r="BD121">
        <f t="shared" si="24"/>
        <v>0</v>
      </c>
      <c r="BE121">
        <f t="shared" si="20"/>
        <v>1</v>
      </c>
      <c r="BF121">
        <f t="shared" si="25"/>
        <v>0</v>
      </c>
      <c r="BG121" s="9">
        <f t="shared" si="26"/>
        <v>0</v>
      </c>
      <c r="BH121" s="9">
        <f t="shared" si="27"/>
        <v>0</v>
      </c>
      <c r="BI121" s="9">
        <f t="shared" si="28"/>
        <v>0</v>
      </c>
      <c r="BJ121" s="12">
        <f t="shared" si="29"/>
        <v>-1.7704286865161548E-3</v>
      </c>
      <c r="BL121" s="9"/>
      <c r="BN121">
        <f t="shared" si="30"/>
        <v>0</v>
      </c>
      <c r="BO121">
        <f t="shared" si="31"/>
        <v>0</v>
      </c>
      <c r="BP121">
        <f t="shared" si="32"/>
        <v>0</v>
      </c>
      <c r="BQ121">
        <f t="shared" si="21"/>
        <v>1</v>
      </c>
      <c r="BR121">
        <f t="shared" si="33"/>
        <v>0</v>
      </c>
      <c r="BS121" s="9">
        <f t="shared" si="34"/>
        <v>0</v>
      </c>
      <c r="BT121" s="9">
        <f t="shared" si="35"/>
        <v>0</v>
      </c>
      <c r="BU121" s="9">
        <f t="shared" si="36"/>
        <v>0</v>
      </c>
      <c r="BV121" s="12">
        <f t="shared" si="37"/>
        <v>0</v>
      </c>
      <c r="BX121" s="12">
        <f t="shared" si="38"/>
        <v>0</v>
      </c>
      <c r="BY121" s="12">
        <f t="shared" si="39"/>
        <v>-1.7704286865161548E-3</v>
      </c>
    </row>
    <row r="122" spans="1:77" x14ac:dyDescent="0.3">
      <c r="A122" s="1">
        <v>46199</v>
      </c>
      <c r="B122" s="8">
        <v>48.51</v>
      </c>
      <c r="C122" s="8">
        <v>50.6</v>
      </c>
      <c r="D122" s="9">
        <v>4.1237113986408898E-4</v>
      </c>
      <c r="E122" s="9">
        <v>0</v>
      </c>
      <c r="F122" s="8">
        <v>0</v>
      </c>
      <c r="G122" s="8">
        <v>0.55059999999999998</v>
      </c>
      <c r="H122" s="8">
        <v>0</v>
      </c>
      <c r="I122" s="8">
        <v>0.29780000000000001</v>
      </c>
      <c r="J122" s="8">
        <v>0</v>
      </c>
      <c r="K122" s="8">
        <v>0</v>
      </c>
      <c r="L122" s="8">
        <v>48.51</v>
      </c>
      <c r="M122" s="8">
        <v>50.6</v>
      </c>
      <c r="N122" s="10">
        <v>1.04308390022675</v>
      </c>
      <c r="O122" s="10">
        <v>1.03989039569729</v>
      </c>
      <c r="P122" s="10">
        <v>1.0437288456259199</v>
      </c>
      <c r="Q122" s="10">
        <v>1.0438302855356001</v>
      </c>
      <c r="R122" s="8">
        <v>50.445083095275699</v>
      </c>
      <c r="S122" s="8">
        <v>50.636745205422898</v>
      </c>
      <c r="T122" s="8">
        <v>50.630717408273902</v>
      </c>
      <c r="U122" s="9">
        <v>-3.0662951894008198E-3</v>
      </c>
      <c r="V122" s="9">
        <v>7.2592628224180502E-4</v>
      </c>
      <c r="W122" s="9">
        <v>6.0687921617367895E-4</v>
      </c>
      <c r="X122" s="10">
        <v>1.04308390022675</v>
      </c>
      <c r="Y122" s="10">
        <v>1.03989039569729</v>
      </c>
      <c r="Z122" s="10">
        <v>1.0437288456259199</v>
      </c>
      <c r="AA122" s="10">
        <v>1.0438302855356001</v>
      </c>
      <c r="AB122" s="8">
        <v>50.445083095275699</v>
      </c>
      <c r="AC122" s="8">
        <v>50.636745205422898</v>
      </c>
      <c r="AD122" s="8">
        <v>50.630717408273902</v>
      </c>
      <c r="AE122" s="9">
        <v>-3.0662951894008198E-3</v>
      </c>
      <c r="AF122" s="9">
        <v>7.2592628224180502E-4</v>
      </c>
      <c r="AG122" s="9">
        <v>6.0687921617367895E-4</v>
      </c>
      <c r="AZ122" s="9"/>
      <c r="BB122">
        <f t="shared" si="22"/>
        <v>0</v>
      </c>
      <c r="BC122">
        <f t="shared" si="23"/>
        <v>1</v>
      </c>
      <c r="BD122">
        <f t="shared" si="24"/>
        <v>0</v>
      </c>
      <c r="BE122">
        <f t="shared" si="20"/>
        <v>1</v>
      </c>
      <c r="BF122">
        <f t="shared" si="25"/>
        <v>0</v>
      </c>
      <c r="BG122" s="9">
        <f t="shared" si="26"/>
        <v>0</v>
      </c>
      <c r="BH122" s="9">
        <f t="shared" si="27"/>
        <v>0</v>
      </c>
      <c r="BI122" s="9">
        <f t="shared" si="28"/>
        <v>0</v>
      </c>
      <c r="BJ122" s="12">
        <f t="shared" si="29"/>
        <v>-1.7704286865161548E-3</v>
      </c>
      <c r="BL122" s="9"/>
      <c r="BN122">
        <f t="shared" si="30"/>
        <v>0</v>
      </c>
      <c r="BO122">
        <f t="shared" si="31"/>
        <v>0</v>
      </c>
      <c r="BP122">
        <f t="shared" si="32"/>
        <v>0</v>
      </c>
      <c r="BQ122">
        <f t="shared" si="21"/>
        <v>1</v>
      </c>
      <c r="BR122">
        <f t="shared" si="33"/>
        <v>0</v>
      </c>
      <c r="BS122" s="9">
        <f t="shared" si="34"/>
        <v>0</v>
      </c>
      <c r="BT122" s="9">
        <f t="shared" si="35"/>
        <v>0</v>
      </c>
      <c r="BU122" s="9">
        <f t="shared" si="36"/>
        <v>0</v>
      </c>
      <c r="BV122" s="12">
        <f t="shared" si="37"/>
        <v>0</v>
      </c>
      <c r="BX122" s="12">
        <f t="shared" si="38"/>
        <v>0</v>
      </c>
      <c r="BY122" s="12">
        <f t="shared" si="39"/>
        <v>-1.7704286865161548E-3</v>
      </c>
    </row>
    <row r="123" spans="1:77" x14ac:dyDescent="0.3">
      <c r="A123" s="1">
        <v>46202</v>
      </c>
      <c r="B123" s="8">
        <v>48.52</v>
      </c>
      <c r="C123" s="8">
        <v>50.61</v>
      </c>
      <c r="D123" s="9">
        <v>2.06121818724327E-4</v>
      </c>
      <c r="E123" s="9">
        <v>1.9760893256665099E-4</v>
      </c>
      <c r="F123" s="8">
        <v>0</v>
      </c>
      <c r="G123" s="8">
        <v>0.55059999999999998</v>
      </c>
      <c r="H123" s="8">
        <v>0</v>
      </c>
      <c r="I123" s="8">
        <v>0.29780000000000001</v>
      </c>
      <c r="J123" s="8">
        <v>0</v>
      </c>
      <c r="K123" s="8">
        <v>0</v>
      </c>
      <c r="L123" s="8">
        <v>48.52</v>
      </c>
      <c r="M123" s="8">
        <v>50.61</v>
      </c>
      <c r="N123" s="10">
        <v>1.0430750206100501</v>
      </c>
      <c r="O123" s="10">
        <v>1.03989039569729</v>
      </c>
      <c r="P123" s="10">
        <v>1.0437678023077299</v>
      </c>
      <c r="Q123" s="10">
        <v>1.04397700159818</v>
      </c>
      <c r="R123" s="8">
        <v>50.455481999232603</v>
      </c>
      <c r="S123" s="8">
        <v>50.641723589769597</v>
      </c>
      <c r="T123" s="8">
        <v>50.646645454187698</v>
      </c>
      <c r="U123" s="9">
        <v>-3.0577823032432701E-3</v>
      </c>
      <c r="V123" s="9">
        <v>6.2662816361037498E-4</v>
      </c>
      <c r="W123" s="9">
        <v>7.2381334821566498E-4</v>
      </c>
      <c r="X123" s="10">
        <v>1.0430750206100501</v>
      </c>
      <c r="Y123" s="10">
        <v>1.03989039569729</v>
      </c>
      <c r="Z123" s="10">
        <v>1.0437678023077299</v>
      </c>
      <c r="AA123" s="10">
        <v>1.04397700159818</v>
      </c>
      <c r="AB123" s="8">
        <v>50.455481999232603</v>
      </c>
      <c r="AC123" s="8">
        <v>50.641723589769597</v>
      </c>
      <c r="AD123" s="8">
        <v>50.646645454187698</v>
      </c>
      <c r="AE123" s="9">
        <v>-3.0577823032432701E-3</v>
      </c>
      <c r="AF123" s="9">
        <v>6.2662816361037498E-4</v>
      </c>
      <c r="AG123" s="9">
        <v>7.2381334821566498E-4</v>
      </c>
      <c r="AZ123" s="9"/>
      <c r="BB123">
        <f t="shared" si="22"/>
        <v>0</v>
      </c>
      <c r="BC123">
        <f t="shared" si="23"/>
        <v>1</v>
      </c>
      <c r="BD123">
        <f t="shared" si="24"/>
        <v>0</v>
      </c>
      <c r="BE123">
        <f t="shared" si="20"/>
        <v>1</v>
      </c>
      <c r="BF123">
        <f t="shared" si="25"/>
        <v>0</v>
      </c>
      <c r="BG123" s="9">
        <f t="shared" si="26"/>
        <v>0</v>
      </c>
      <c r="BH123" s="9">
        <f t="shared" si="27"/>
        <v>0</v>
      </c>
      <c r="BI123" s="9">
        <f t="shared" si="28"/>
        <v>0</v>
      </c>
      <c r="BJ123" s="12">
        <f t="shared" si="29"/>
        <v>-1.7704286865161548E-3</v>
      </c>
      <c r="BL123" s="9"/>
      <c r="BN123">
        <f t="shared" si="30"/>
        <v>0</v>
      </c>
      <c r="BO123">
        <f t="shared" si="31"/>
        <v>0</v>
      </c>
      <c r="BP123">
        <f t="shared" si="32"/>
        <v>0</v>
      </c>
      <c r="BQ123">
        <f t="shared" si="21"/>
        <v>1</v>
      </c>
      <c r="BR123">
        <f t="shared" si="33"/>
        <v>0</v>
      </c>
      <c r="BS123" s="9">
        <f t="shared" si="34"/>
        <v>0</v>
      </c>
      <c r="BT123" s="9">
        <f t="shared" si="35"/>
        <v>0</v>
      </c>
      <c r="BU123" s="9">
        <f t="shared" si="36"/>
        <v>0</v>
      </c>
      <c r="BV123" s="12">
        <f t="shared" si="37"/>
        <v>0</v>
      </c>
      <c r="BX123" s="12">
        <f t="shared" si="38"/>
        <v>0</v>
      </c>
      <c r="BY123" s="12">
        <f t="shared" si="39"/>
        <v>-1.7704286865161548E-3</v>
      </c>
    </row>
    <row r="124" spans="1:77" x14ac:dyDescent="0.3">
      <c r="A124" s="1">
        <v>46203</v>
      </c>
      <c r="B124" s="8">
        <v>48.43</v>
      </c>
      <c r="C124" s="8">
        <v>50.6</v>
      </c>
      <c r="D124" s="9">
        <v>-1.8566276607117299E-3</v>
      </c>
      <c r="E124" s="9">
        <v>-1.9760893256676201E-4</v>
      </c>
      <c r="F124" s="8">
        <v>0</v>
      </c>
      <c r="G124" s="8">
        <v>0.55059999999999998</v>
      </c>
      <c r="H124" s="8">
        <v>0</v>
      </c>
      <c r="I124" s="8">
        <v>0.29780000000000001</v>
      </c>
      <c r="J124" s="8">
        <v>0</v>
      </c>
      <c r="K124" s="8">
        <v>0</v>
      </c>
      <c r="L124" s="8">
        <v>48.43</v>
      </c>
      <c r="M124" s="8">
        <v>50.6</v>
      </c>
      <c r="N124" s="10">
        <v>1.0448069378484399</v>
      </c>
      <c r="O124" s="10">
        <v>1.03989039569729</v>
      </c>
      <c r="P124" s="10">
        <v>1.0438565342114801</v>
      </c>
      <c r="Q124" s="10">
        <v>1.0440140643500899</v>
      </c>
      <c r="R124" s="8">
        <v>50.361891863619903</v>
      </c>
      <c r="S124" s="8">
        <v>50.549674665763298</v>
      </c>
      <c r="T124" s="8">
        <v>50.5598061873999</v>
      </c>
      <c r="U124" s="9">
        <v>-4.7168010313881799E-3</v>
      </c>
      <c r="V124" s="9">
        <v>-9.950667375929049E-4</v>
      </c>
      <c r="W124" s="9">
        <v>-7.9465978099452098E-4</v>
      </c>
      <c r="X124" s="10">
        <v>1.0448069378484399</v>
      </c>
      <c r="Y124" s="10">
        <v>1.03989039569729</v>
      </c>
      <c r="Z124" s="10">
        <v>1.0438565342114801</v>
      </c>
      <c r="AA124" s="10">
        <v>1.0440140643500899</v>
      </c>
      <c r="AB124" s="8">
        <v>50.361891863619903</v>
      </c>
      <c r="AC124" s="8">
        <v>50.549674665763298</v>
      </c>
      <c r="AD124" s="8">
        <v>50.5598061873999</v>
      </c>
      <c r="AE124" s="9">
        <v>-4.7168010313881799E-3</v>
      </c>
      <c r="AF124" s="9">
        <v>-9.950667375929049E-4</v>
      </c>
      <c r="AG124" s="9">
        <v>-7.9465978099452098E-4</v>
      </c>
      <c r="AZ124" s="9"/>
      <c r="BB124">
        <f t="shared" si="22"/>
        <v>0</v>
      </c>
      <c r="BC124">
        <f t="shared" si="23"/>
        <v>0</v>
      </c>
      <c r="BD124">
        <f t="shared" si="24"/>
        <v>0</v>
      </c>
      <c r="BE124">
        <f t="shared" si="20"/>
        <v>0</v>
      </c>
      <c r="BF124">
        <f t="shared" si="25"/>
        <v>0</v>
      </c>
      <c r="BG124" s="9">
        <f t="shared" si="26"/>
        <v>0</v>
      </c>
      <c r="BH124" s="9">
        <f t="shared" si="27"/>
        <v>0</v>
      </c>
      <c r="BI124" s="9">
        <f t="shared" si="28"/>
        <v>0</v>
      </c>
      <c r="BJ124" s="12">
        <f t="shared" si="29"/>
        <v>-1.7704286865161548E-3</v>
      </c>
      <c r="BL124" s="9"/>
      <c r="BN124">
        <f t="shared" si="30"/>
        <v>0</v>
      </c>
      <c r="BO124">
        <f t="shared" si="31"/>
        <v>1</v>
      </c>
      <c r="BP124">
        <f t="shared" si="32"/>
        <v>0</v>
      </c>
      <c r="BQ124">
        <f t="shared" si="21"/>
        <v>0</v>
      </c>
      <c r="BR124">
        <f t="shared" si="33"/>
        <v>0</v>
      </c>
      <c r="BS124" s="9">
        <f t="shared" si="34"/>
        <v>0</v>
      </c>
      <c r="BT124" s="9">
        <f t="shared" si="35"/>
        <v>0</v>
      </c>
      <c r="BU124" s="9">
        <f t="shared" si="36"/>
        <v>0</v>
      </c>
      <c r="BV124" s="12">
        <f t="shared" si="37"/>
        <v>0</v>
      </c>
      <c r="BX124" s="12">
        <f t="shared" si="38"/>
        <v>0</v>
      </c>
      <c r="BY124" s="12">
        <f t="shared" si="39"/>
        <v>-1.7704286865161548E-3</v>
      </c>
    </row>
    <row r="125" spans="1:77" x14ac:dyDescent="0.3">
      <c r="A125" s="1">
        <v>46204</v>
      </c>
      <c r="B125" s="8">
        <v>48.27</v>
      </c>
      <c r="C125" s="8">
        <v>50.16</v>
      </c>
      <c r="D125" s="9">
        <v>-3.3092067427361498E-3</v>
      </c>
      <c r="E125" s="9">
        <v>-8.7336799687546592E-3</v>
      </c>
      <c r="F125" s="8">
        <v>0.11119999999999999</v>
      </c>
      <c r="G125" s="8">
        <v>0.66179999999999894</v>
      </c>
      <c r="H125" s="8">
        <v>0.4153</v>
      </c>
      <c r="I125" s="8">
        <v>0.71309999999999996</v>
      </c>
      <c r="J125" s="8">
        <v>0</v>
      </c>
      <c r="K125" s="8">
        <v>0</v>
      </c>
      <c r="L125" s="8">
        <v>48.27</v>
      </c>
      <c r="M125" s="8">
        <v>50.16</v>
      </c>
      <c r="N125" s="10">
        <v>1.0391547545058999</v>
      </c>
      <c r="O125" s="10">
        <v>1.03989039569729</v>
      </c>
      <c r="P125" s="10">
        <v>1.0433648091654899</v>
      </c>
      <c r="Q125" s="10">
        <v>1.0438244991708201</v>
      </c>
      <c r="R125" s="8">
        <v>50.195509400308303</v>
      </c>
      <c r="S125" s="8">
        <v>50.386954906388503</v>
      </c>
      <c r="T125" s="8">
        <v>50.394558886178999</v>
      </c>
      <c r="U125" s="9">
        <v>7.0767219463046497E-4</v>
      </c>
      <c r="V125" s="9">
        <v>4.5144140276268301E-3</v>
      </c>
      <c r="W125" s="9">
        <v>4.6653143171485802E-3</v>
      </c>
      <c r="X125" s="10">
        <v>1.0391547545058999</v>
      </c>
      <c r="Y125" s="10">
        <v>1.03989039569729</v>
      </c>
      <c r="Z125" s="10">
        <v>1.0433648091654899</v>
      </c>
      <c r="AA125" s="10">
        <v>1.0438244991708201</v>
      </c>
      <c r="AB125" s="8">
        <v>50.195509400308303</v>
      </c>
      <c r="AC125" s="8">
        <v>50.386954906388503</v>
      </c>
      <c r="AD125" s="8">
        <v>50.394558886178999</v>
      </c>
      <c r="AE125" s="9">
        <v>7.0767219463046497E-4</v>
      </c>
      <c r="AF125" s="9">
        <v>4.5144140276268301E-3</v>
      </c>
      <c r="AG125" s="9">
        <v>4.6653143171485802E-3</v>
      </c>
      <c r="AZ125" s="9"/>
      <c r="BB125">
        <f t="shared" si="22"/>
        <v>0</v>
      </c>
      <c r="BC125">
        <f t="shared" si="23"/>
        <v>1</v>
      </c>
      <c r="BD125">
        <f t="shared" si="24"/>
        <v>0</v>
      </c>
      <c r="BE125">
        <f t="shared" si="20"/>
        <v>1</v>
      </c>
      <c r="BF125">
        <f t="shared" si="25"/>
        <v>0</v>
      </c>
      <c r="BG125" s="9">
        <f t="shared" si="26"/>
        <v>0</v>
      </c>
      <c r="BH125" s="9">
        <f t="shared" si="27"/>
        <v>0</v>
      </c>
      <c r="BI125" s="9">
        <f t="shared" si="28"/>
        <v>0</v>
      </c>
      <c r="BJ125" s="12">
        <f t="shared" si="29"/>
        <v>-1.7704286865161548E-3</v>
      </c>
      <c r="BL125" s="9"/>
      <c r="BN125">
        <f t="shared" si="30"/>
        <v>1</v>
      </c>
      <c r="BO125">
        <f t="shared" si="31"/>
        <v>0</v>
      </c>
      <c r="BP125">
        <f t="shared" si="32"/>
        <v>0</v>
      </c>
      <c r="BQ125">
        <f t="shared" si="21"/>
        <v>1</v>
      </c>
      <c r="BR125">
        <f t="shared" si="33"/>
        <v>0</v>
      </c>
      <c r="BS125" s="9">
        <f t="shared" si="34"/>
        <v>0</v>
      </c>
      <c r="BT125" s="9">
        <f t="shared" si="35"/>
        <v>0</v>
      </c>
      <c r="BU125" s="9">
        <f t="shared" si="36"/>
        <v>0</v>
      </c>
      <c r="BV125" s="12">
        <f t="shared" si="37"/>
        <v>0</v>
      </c>
      <c r="BX125" s="12">
        <f t="shared" si="38"/>
        <v>0</v>
      </c>
      <c r="BY125" s="12">
        <f t="shared" si="39"/>
        <v>-1.7704286865161548E-3</v>
      </c>
    </row>
    <row r="126" spans="1:77" x14ac:dyDescent="0.3">
      <c r="A126" s="1">
        <v>46205</v>
      </c>
      <c r="B126" s="8">
        <v>48.24</v>
      </c>
      <c r="C126" s="8">
        <v>50.13</v>
      </c>
      <c r="D126" s="9">
        <v>-6.2169725347150403E-4</v>
      </c>
      <c r="E126" s="9">
        <v>-5.9826504925312497E-4</v>
      </c>
      <c r="F126" s="8">
        <v>0</v>
      </c>
      <c r="G126" s="8">
        <v>0.66179999999999894</v>
      </c>
      <c r="H126" s="8">
        <v>0</v>
      </c>
      <c r="I126" s="8">
        <v>0.71309999999999996</v>
      </c>
      <c r="J126" s="8">
        <v>0</v>
      </c>
      <c r="K126" s="8">
        <v>0</v>
      </c>
      <c r="L126" s="8">
        <v>48.24</v>
      </c>
      <c r="M126" s="8">
        <v>50.13</v>
      </c>
      <c r="N126" s="10">
        <v>1.03917910447761</v>
      </c>
      <c r="O126" s="10">
        <v>1.03989039569729</v>
      </c>
      <c r="P126" s="10">
        <v>1.0428943942147799</v>
      </c>
      <c r="Q126" s="10">
        <v>1.0435556800869801</v>
      </c>
      <c r="R126" s="8">
        <v>50.164312688437398</v>
      </c>
      <c r="S126" s="8">
        <v>50.331918394143401</v>
      </c>
      <c r="T126" s="8">
        <v>50.354093840000502</v>
      </c>
      <c r="U126" s="9">
        <v>6.8423999041192099E-4</v>
      </c>
      <c r="V126" s="9">
        <v>4.0198051016362198E-3</v>
      </c>
      <c r="W126" s="9">
        <v>4.4602922303575597E-3</v>
      </c>
      <c r="X126" s="10">
        <v>1.03917910447761</v>
      </c>
      <c r="Y126" s="10">
        <v>1.03989039569729</v>
      </c>
      <c r="Z126" s="10">
        <v>1.0428943942147799</v>
      </c>
      <c r="AA126" s="10">
        <v>1.0435556800869801</v>
      </c>
      <c r="AB126" s="8">
        <v>50.164312688437398</v>
      </c>
      <c r="AC126" s="8">
        <v>50.331918394143401</v>
      </c>
      <c r="AD126" s="8">
        <v>50.354093840000502</v>
      </c>
      <c r="AE126" s="9">
        <v>6.8423999041192099E-4</v>
      </c>
      <c r="AF126" s="9">
        <v>4.0198051016362198E-3</v>
      </c>
      <c r="AG126" s="9">
        <v>4.4602922303575597E-3</v>
      </c>
      <c r="AZ126" s="9"/>
      <c r="BB126">
        <f t="shared" si="22"/>
        <v>0</v>
      </c>
      <c r="BC126">
        <f t="shared" si="23"/>
        <v>1</v>
      </c>
      <c r="BD126">
        <f t="shared" si="24"/>
        <v>0</v>
      </c>
      <c r="BE126">
        <f t="shared" si="20"/>
        <v>1</v>
      </c>
      <c r="BF126">
        <f t="shared" si="25"/>
        <v>0</v>
      </c>
      <c r="BG126" s="9">
        <f t="shared" si="26"/>
        <v>0</v>
      </c>
      <c r="BH126" s="9">
        <f t="shared" si="27"/>
        <v>0</v>
      </c>
      <c r="BI126" s="9">
        <f t="shared" si="28"/>
        <v>0</v>
      </c>
      <c r="BJ126" s="12">
        <f t="shared" si="29"/>
        <v>-1.7704286865161548E-3</v>
      </c>
      <c r="BL126" s="9"/>
      <c r="BN126">
        <f t="shared" si="30"/>
        <v>1</v>
      </c>
      <c r="BO126">
        <f t="shared" si="31"/>
        <v>0</v>
      </c>
      <c r="BP126">
        <f t="shared" si="32"/>
        <v>1</v>
      </c>
      <c r="BQ126">
        <f t="shared" si="21"/>
        <v>1</v>
      </c>
      <c r="BR126">
        <f t="shared" si="33"/>
        <v>1</v>
      </c>
      <c r="BS126" s="9">
        <f t="shared" si="34"/>
        <v>6.2169725347150403E-4</v>
      </c>
      <c r="BT126" s="9">
        <f t="shared" si="35"/>
        <v>-5.9826504925312497E-4</v>
      </c>
      <c r="BU126" s="9">
        <f t="shared" si="36"/>
        <v>2.3432204218379066E-5</v>
      </c>
      <c r="BV126" s="12">
        <f t="shared" si="37"/>
        <v>2.3432204218379066E-5</v>
      </c>
      <c r="BX126" s="12">
        <f t="shared" si="38"/>
        <v>2.3432204218379066E-5</v>
      </c>
      <c r="BY126" s="12">
        <f t="shared" si="39"/>
        <v>-1.7469964822977757E-3</v>
      </c>
    </row>
    <row r="127" spans="1:77" x14ac:dyDescent="0.3">
      <c r="A127" s="1">
        <v>46209</v>
      </c>
      <c r="B127" s="8">
        <v>48.22</v>
      </c>
      <c r="C127" s="8">
        <v>50.11</v>
      </c>
      <c r="D127" s="9">
        <v>-4.1467966590509299E-4</v>
      </c>
      <c r="E127" s="9">
        <v>-3.99042303778839E-4</v>
      </c>
      <c r="F127" s="8">
        <v>0</v>
      </c>
      <c r="G127" s="8">
        <v>0.66179999999999894</v>
      </c>
      <c r="H127" s="8">
        <v>0</v>
      </c>
      <c r="I127" s="8">
        <v>0.71309999999999996</v>
      </c>
      <c r="J127" s="8">
        <v>0</v>
      </c>
      <c r="K127" s="8">
        <v>0</v>
      </c>
      <c r="L127" s="8">
        <v>48.22</v>
      </c>
      <c r="M127" s="8">
        <v>50.11</v>
      </c>
      <c r="N127" s="10">
        <v>1.03919535462463</v>
      </c>
      <c r="O127" s="10">
        <v>1.03989039569729</v>
      </c>
      <c r="P127" s="10">
        <v>1.0423051396048599</v>
      </c>
      <c r="Q127" s="10">
        <v>1.0432899902474899</v>
      </c>
      <c r="R127" s="8">
        <v>50.143514880523398</v>
      </c>
      <c r="S127" s="8">
        <v>50.288367689036903</v>
      </c>
      <c r="T127" s="8">
        <v>50.3202548937942</v>
      </c>
      <c r="U127" s="9">
        <v>6.6860262828557897E-4</v>
      </c>
      <c r="V127" s="9">
        <v>3.55320272239474E-3</v>
      </c>
      <c r="W127" s="9">
        <v>4.1870888646818099E-3</v>
      </c>
      <c r="X127" s="10">
        <v>1.03919535462463</v>
      </c>
      <c r="Y127" s="10">
        <v>1.03989039569729</v>
      </c>
      <c r="Z127" s="10">
        <v>1.0423051396048599</v>
      </c>
      <c r="AA127" s="10">
        <v>1.0432899902474899</v>
      </c>
      <c r="AB127" s="8">
        <v>50.143514880523398</v>
      </c>
      <c r="AC127" s="8">
        <v>50.288367689036903</v>
      </c>
      <c r="AD127" s="8">
        <v>50.3202548937942</v>
      </c>
      <c r="AE127" s="9">
        <v>6.6860262828557897E-4</v>
      </c>
      <c r="AF127" s="9">
        <v>3.55320272239474E-3</v>
      </c>
      <c r="AG127" s="9">
        <v>4.1870888646818099E-3</v>
      </c>
      <c r="AZ127" s="9"/>
      <c r="BB127">
        <f t="shared" si="22"/>
        <v>0</v>
      </c>
      <c r="BC127">
        <f t="shared" si="23"/>
        <v>1</v>
      </c>
      <c r="BD127">
        <f t="shared" si="24"/>
        <v>0</v>
      </c>
      <c r="BE127">
        <f t="shared" si="20"/>
        <v>1</v>
      </c>
      <c r="BF127">
        <f t="shared" si="25"/>
        <v>0</v>
      </c>
      <c r="BG127" s="9">
        <f t="shared" si="26"/>
        <v>0</v>
      </c>
      <c r="BH127" s="9">
        <f t="shared" si="27"/>
        <v>0</v>
      </c>
      <c r="BI127" s="9">
        <f t="shared" si="28"/>
        <v>0</v>
      </c>
      <c r="BJ127" s="12">
        <f t="shared" si="29"/>
        <v>-1.7704286865161548E-3</v>
      </c>
      <c r="BL127" s="9"/>
      <c r="BN127">
        <f t="shared" si="30"/>
        <v>1</v>
      </c>
      <c r="BO127">
        <f t="shared" si="31"/>
        <v>0</v>
      </c>
      <c r="BP127">
        <f t="shared" si="32"/>
        <v>1</v>
      </c>
      <c r="BQ127">
        <f t="shared" si="21"/>
        <v>1</v>
      </c>
      <c r="BR127">
        <f t="shared" si="33"/>
        <v>1</v>
      </c>
      <c r="BS127" s="9">
        <f t="shared" si="34"/>
        <v>4.1467966590509299E-4</v>
      </c>
      <c r="BT127" s="9">
        <f t="shared" si="35"/>
        <v>-3.99042303778839E-4</v>
      </c>
      <c r="BU127" s="9">
        <f t="shared" si="36"/>
        <v>1.5637362126253991E-5</v>
      </c>
      <c r="BV127" s="12">
        <f t="shared" si="37"/>
        <v>3.9069566344633057E-5</v>
      </c>
      <c r="BX127" s="12">
        <f t="shared" si="38"/>
        <v>1.5637362126253991E-5</v>
      </c>
      <c r="BY127" s="12">
        <f t="shared" si="39"/>
        <v>-1.7313591201715216E-3</v>
      </c>
    </row>
    <row r="128" spans="1:77" x14ac:dyDescent="0.3">
      <c r="A128" s="1">
        <v>46210</v>
      </c>
      <c r="B128" s="8">
        <v>48.02</v>
      </c>
      <c r="C128" s="8">
        <v>49.94</v>
      </c>
      <c r="D128" s="9">
        <v>-4.1562819599177498E-3</v>
      </c>
      <c r="E128" s="9">
        <v>-3.3983041200061999E-3</v>
      </c>
      <c r="F128" s="8">
        <v>0</v>
      </c>
      <c r="G128" s="8">
        <v>0.66179999999999894</v>
      </c>
      <c r="H128" s="8">
        <v>0</v>
      </c>
      <c r="I128" s="8">
        <v>0.71309999999999996</v>
      </c>
      <c r="J128" s="8">
        <v>0</v>
      </c>
      <c r="K128" s="8">
        <v>0</v>
      </c>
      <c r="L128" s="8">
        <v>48.02</v>
      </c>
      <c r="M128" s="8">
        <v>49.94</v>
      </c>
      <c r="N128" s="10">
        <v>1.0399833402748799</v>
      </c>
      <c r="O128" s="10">
        <v>1.03989039569729</v>
      </c>
      <c r="P128" s="10">
        <v>1.0417872109433</v>
      </c>
      <c r="Q128" s="10">
        <v>1.0430708694045401</v>
      </c>
      <c r="R128" s="8">
        <v>49.935536801384004</v>
      </c>
      <c r="S128" s="8">
        <v>50.051492803825397</v>
      </c>
      <c r="T128" s="8">
        <v>50.098785331684802</v>
      </c>
      <c r="U128" s="9">
        <v>-8.9375211625873703E-5</v>
      </c>
      <c r="V128" s="9">
        <v>2.2300467150672102E-3</v>
      </c>
      <c r="W128" s="9">
        <v>3.1744780687293301E-3</v>
      </c>
      <c r="X128" s="10">
        <v>1.0399833402748799</v>
      </c>
      <c r="Y128" s="10">
        <v>1.03989039569729</v>
      </c>
      <c r="Z128" s="10">
        <v>1.0417872109433</v>
      </c>
      <c r="AA128" s="10">
        <v>1.0430708694045401</v>
      </c>
      <c r="AB128" s="8">
        <v>49.935536801384004</v>
      </c>
      <c r="AC128" s="8">
        <v>50.051492803825397</v>
      </c>
      <c r="AD128" s="8">
        <v>50.098785331684802</v>
      </c>
      <c r="AE128" s="9">
        <v>-8.9375211625873703E-5</v>
      </c>
      <c r="AF128" s="9">
        <v>2.2300467150672102E-3</v>
      </c>
      <c r="AG128" s="9">
        <v>3.1744780687293301E-3</v>
      </c>
      <c r="AZ128" s="9"/>
      <c r="BB128">
        <f t="shared" si="22"/>
        <v>0</v>
      </c>
      <c r="BC128">
        <f t="shared" si="23"/>
        <v>1</v>
      </c>
      <c r="BD128">
        <f t="shared" si="24"/>
        <v>0</v>
      </c>
      <c r="BE128">
        <f t="shared" si="20"/>
        <v>1</v>
      </c>
      <c r="BF128">
        <f t="shared" si="25"/>
        <v>0</v>
      </c>
      <c r="BG128" s="9">
        <f t="shared" si="26"/>
        <v>0</v>
      </c>
      <c r="BH128" s="9">
        <f t="shared" si="27"/>
        <v>0</v>
      </c>
      <c r="BI128" s="9">
        <f t="shared" si="28"/>
        <v>0</v>
      </c>
      <c r="BJ128" s="12">
        <f t="shared" si="29"/>
        <v>-1.7704286865161548E-3</v>
      </c>
      <c r="BL128" s="9"/>
      <c r="BN128">
        <f t="shared" si="30"/>
        <v>1</v>
      </c>
      <c r="BO128">
        <f t="shared" si="31"/>
        <v>0</v>
      </c>
      <c r="BP128">
        <f t="shared" si="32"/>
        <v>1</v>
      </c>
      <c r="BQ128">
        <f t="shared" si="21"/>
        <v>1</v>
      </c>
      <c r="BR128">
        <f t="shared" si="33"/>
        <v>1</v>
      </c>
      <c r="BS128" s="9">
        <f t="shared" si="34"/>
        <v>4.1562819599177498E-3</v>
      </c>
      <c r="BT128" s="9">
        <f t="shared" si="35"/>
        <v>-3.3983041200061999E-3</v>
      </c>
      <c r="BU128" s="9">
        <f t="shared" si="36"/>
        <v>7.5797783991154999E-4</v>
      </c>
      <c r="BV128" s="12">
        <f t="shared" si="37"/>
        <v>7.9704740625618305E-4</v>
      </c>
      <c r="BX128" s="12">
        <f t="shared" si="38"/>
        <v>7.5797783991154999E-4</v>
      </c>
      <c r="BY128" s="12">
        <f t="shared" si="39"/>
        <v>-9.7338128025997164E-4</v>
      </c>
    </row>
    <row r="129" spans="1:77" x14ac:dyDescent="0.3">
      <c r="A129" s="1">
        <v>46211</v>
      </c>
      <c r="B129" s="8">
        <v>47.83</v>
      </c>
      <c r="C129" s="8">
        <v>49.81</v>
      </c>
      <c r="D129" s="9">
        <v>-3.9645331009017697E-3</v>
      </c>
      <c r="E129" s="9">
        <v>-2.6065177664350799E-3</v>
      </c>
      <c r="F129" s="8">
        <v>0</v>
      </c>
      <c r="G129" s="8">
        <v>0.66179999999999894</v>
      </c>
      <c r="H129" s="8">
        <v>0</v>
      </c>
      <c r="I129" s="8">
        <v>0.71309999999999996</v>
      </c>
      <c r="J129" s="8">
        <v>0</v>
      </c>
      <c r="K129" s="8">
        <v>0</v>
      </c>
      <c r="L129" s="8">
        <v>47.83</v>
      </c>
      <c r="M129" s="8">
        <v>49.81</v>
      </c>
      <c r="N129" s="10">
        <v>1.0413966130043899</v>
      </c>
      <c r="O129" s="10">
        <v>1.03989039569729</v>
      </c>
      <c r="P129" s="10">
        <v>1.04162757501348</v>
      </c>
      <c r="Q129" s="10">
        <v>1.0429300639755099</v>
      </c>
      <c r="R129" s="8">
        <v>49.737957626201499</v>
      </c>
      <c r="S129" s="8">
        <v>49.828682299418404</v>
      </c>
      <c r="T129" s="8">
        <v>49.890079683619298</v>
      </c>
      <c r="U129" s="9">
        <v>-1.4473905460926E-3</v>
      </c>
      <c r="V129" s="9">
        <v>3.7500093751240501E-4</v>
      </c>
      <c r="W129" s="9">
        <v>1.6064119726755699E-3</v>
      </c>
      <c r="X129" s="10">
        <v>1.0413966130043899</v>
      </c>
      <c r="Y129" s="10">
        <v>1.03989039569729</v>
      </c>
      <c r="Z129" s="10">
        <v>1.04162757501348</v>
      </c>
      <c r="AA129" s="10">
        <v>1.0429300639755099</v>
      </c>
      <c r="AB129" s="8">
        <v>49.737957626201499</v>
      </c>
      <c r="AC129" s="8">
        <v>49.828682299418404</v>
      </c>
      <c r="AD129" s="8">
        <v>49.890079683619298</v>
      </c>
      <c r="AE129" s="9">
        <v>-1.4473905460926E-3</v>
      </c>
      <c r="AF129" s="9">
        <v>3.7500093751240501E-4</v>
      </c>
      <c r="AG129" s="9">
        <v>1.6064119726755699E-3</v>
      </c>
      <c r="AZ129" s="9"/>
      <c r="BB129">
        <f t="shared" si="22"/>
        <v>0</v>
      </c>
      <c r="BC129">
        <f t="shared" si="23"/>
        <v>1</v>
      </c>
      <c r="BD129">
        <f t="shared" si="24"/>
        <v>0</v>
      </c>
      <c r="BE129">
        <f t="shared" si="20"/>
        <v>1</v>
      </c>
      <c r="BF129">
        <f t="shared" si="25"/>
        <v>0</v>
      </c>
      <c r="BG129" s="9">
        <f t="shared" si="26"/>
        <v>0</v>
      </c>
      <c r="BH129" s="9">
        <f t="shared" si="27"/>
        <v>0</v>
      </c>
      <c r="BI129" s="9">
        <f t="shared" si="28"/>
        <v>0</v>
      </c>
      <c r="BJ129" s="12">
        <f t="shared" si="29"/>
        <v>-1.7704286865161548E-3</v>
      </c>
      <c r="BL129" s="9"/>
      <c r="BN129">
        <f t="shared" si="30"/>
        <v>0</v>
      </c>
      <c r="BO129">
        <f t="shared" si="31"/>
        <v>0</v>
      </c>
      <c r="BP129">
        <f t="shared" si="32"/>
        <v>1</v>
      </c>
      <c r="BQ129">
        <f t="shared" si="21"/>
        <v>1</v>
      </c>
      <c r="BR129">
        <f t="shared" si="33"/>
        <v>1</v>
      </c>
      <c r="BS129" s="9">
        <f t="shared" si="34"/>
        <v>3.9645331009017697E-3</v>
      </c>
      <c r="BT129" s="9">
        <f t="shared" si="35"/>
        <v>-2.6065177664350799E-3</v>
      </c>
      <c r="BU129" s="9">
        <f t="shared" si="36"/>
        <v>1.3580153344666898E-3</v>
      </c>
      <c r="BV129" s="12">
        <f t="shared" si="37"/>
        <v>2.1550627407228729E-3</v>
      </c>
      <c r="BX129" s="12">
        <f t="shared" si="38"/>
        <v>1.3580153344666898E-3</v>
      </c>
      <c r="BY129" s="12">
        <f t="shared" si="39"/>
        <v>3.8463405420671812E-4</v>
      </c>
    </row>
    <row r="130" spans="1:77" x14ac:dyDescent="0.3">
      <c r="A130" s="1">
        <v>46212</v>
      </c>
      <c r="B130" s="8">
        <v>48.02</v>
      </c>
      <c r="C130" s="8">
        <v>49.9</v>
      </c>
      <c r="D130" s="9">
        <v>3.9645331009017801E-3</v>
      </c>
      <c r="E130" s="9">
        <v>1.80523567228093E-3</v>
      </c>
      <c r="F130" s="8">
        <v>0</v>
      </c>
      <c r="G130" s="8">
        <v>0.66179999999999894</v>
      </c>
      <c r="H130" s="8">
        <v>0</v>
      </c>
      <c r="I130" s="8">
        <v>0.71309999999999996</v>
      </c>
      <c r="J130" s="8">
        <v>0</v>
      </c>
      <c r="K130" s="8">
        <v>0</v>
      </c>
      <c r="L130" s="8">
        <v>48.02</v>
      </c>
      <c r="M130" s="8">
        <v>49.9</v>
      </c>
      <c r="N130" s="10">
        <v>1.03915035401915</v>
      </c>
      <c r="O130" s="10">
        <v>1.03989039569729</v>
      </c>
      <c r="P130" s="10">
        <v>1.0412539506215801</v>
      </c>
      <c r="Q130" s="10">
        <v>1.04264753166605</v>
      </c>
      <c r="R130" s="8">
        <v>49.935536801384004</v>
      </c>
      <c r="S130" s="8">
        <v>50.018956152147602</v>
      </c>
      <c r="T130" s="8">
        <v>50.081501672104203</v>
      </c>
      <c r="U130" s="9">
        <v>7.1190688252835595E-4</v>
      </c>
      <c r="V130" s="9">
        <v>2.3810538646447301E-3</v>
      </c>
      <c r="W130" s="9">
        <v>3.6307090501553601E-3</v>
      </c>
      <c r="X130" s="10">
        <v>1.03915035401915</v>
      </c>
      <c r="Y130" s="10">
        <v>1.03989039569729</v>
      </c>
      <c r="Z130" s="10">
        <v>1.0412539506215801</v>
      </c>
      <c r="AA130" s="10">
        <v>1.04264753166605</v>
      </c>
      <c r="AB130" s="8">
        <v>49.935536801384004</v>
      </c>
      <c r="AC130" s="8">
        <v>50.018956152147602</v>
      </c>
      <c r="AD130" s="8">
        <v>50.081501672104203</v>
      </c>
      <c r="AE130" s="9">
        <v>7.1190688252835595E-4</v>
      </c>
      <c r="AF130" s="9">
        <v>2.3810538646447301E-3</v>
      </c>
      <c r="AG130" s="9">
        <v>3.6307090501553601E-3</v>
      </c>
      <c r="AZ130" s="9"/>
      <c r="BB130">
        <f t="shared" si="22"/>
        <v>0</v>
      </c>
      <c r="BC130">
        <f t="shared" si="23"/>
        <v>1</v>
      </c>
      <c r="BD130">
        <f t="shared" si="24"/>
        <v>0</v>
      </c>
      <c r="BE130">
        <f t="shared" si="20"/>
        <v>1</v>
      </c>
      <c r="BF130">
        <f t="shared" si="25"/>
        <v>0</v>
      </c>
      <c r="BG130" s="9">
        <f t="shared" si="26"/>
        <v>0</v>
      </c>
      <c r="BH130" s="9">
        <f t="shared" si="27"/>
        <v>0</v>
      </c>
      <c r="BI130" s="9">
        <f t="shared" si="28"/>
        <v>0</v>
      </c>
      <c r="BJ130" s="12">
        <f t="shared" si="29"/>
        <v>-1.7704286865161548E-3</v>
      </c>
      <c r="BL130" s="9"/>
      <c r="BN130">
        <f t="shared" si="30"/>
        <v>1</v>
      </c>
      <c r="BO130">
        <f t="shared" si="31"/>
        <v>0</v>
      </c>
      <c r="BP130">
        <f t="shared" si="32"/>
        <v>1</v>
      </c>
      <c r="BQ130">
        <f t="shared" si="21"/>
        <v>1</v>
      </c>
      <c r="BR130">
        <f t="shared" si="33"/>
        <v>1</v>
      </c>
      <c r="BS130" s="9">
        <f t="shared" si="34"/>
        <v>-3.9645331009017801E-3</v>
      </c>
      <c r="BT130" s="9">
        <f t="shared" si="35"/>
        <v>1.80523567228093E-3</v>
      </c>
      <c r="BU130" s="9">
        <f t="shared" si="36"/>
        <v>-2.1592974286208499E-3</v>
      </c>
      <c r="BV130" s="12">
        <f t="shared" si="37"/>
        <v>-4.2346878979769575E-6</v>
      </c>
      <c r="BX130" s="12">
        <f t="shared" si="38"/>
        <v>-2.1592974286208499E-3</v>
      </c>
      <c r="BY130" s="12">
        <f t="shared" si="39"/>
        <v>-1.7746633744141318E-3</v>
      </c>
    </row>
    <row r="131" spans="1:77" x14ac:dyDescent="0.3">
      <c r="A131" s="1">
        <v>46213</v>
      </c>
      <c r="B131" s="8">
        <v>48.08</v>
      </c>
      <c r="C131" s="8">
        <v>49.99</v>
      </c>
      <c r="D131" s="9">
        <v>1.24869943384479E-3</v>
      </c>
      <c r="E131" s="9">
        <v>1.80198266800611E-3</v>
      </c>
      <c r="F131" s="8">
        <v>0</v>
      </c>
      <c r="G131" s="8">
        <v>0.66179999999999894</v>
      </c>
      <c r="H131" s="8">
        <v>0</v>
      </c>
      <c r="I131" s="8">
        <v>0.71309999999999996</v>
      </c>
      <c r="J131" s="8">
        <v>0</v>
      </c>
      <c r="K131" s="8">
        <v>0</v>
      </c>
      <c r="L131" s="8">
        <v>48.08</v>
      </c>
      <c r="M131" s="8">
        <v>49.99</v>
      </c>
      <c r="N131" s="10">
        <v>1.03972545757071</v>
      </c>
      <c r="O131" s="10">
        <v>1.03989039569729</v>
      </c>
      <c r="P131" s="10">
        <v>1.0408750837162499</v>
      </c>
      <c r="Q131" s="10">
        <v>1.0423582304318499</v>
      </c>
      <c r="R131" s="8">
        <v>49.997930225125799</v>
      </c>
      <c r="S131" s="8">
        <v>50.063489945885998</v>
      </c>
      <c r="T131" s="8">
        <v>50.130493322503803</v>
      </c>
      <c r="U131" s="9">
        <v>1.5862364836706001E-4</v>
      </c>
      <c r="V131" s="9">
        <v>1.4690134075622499E-3</v>
      </c>
      <c r="W131" s="9">
        <v>2.8064866653437701E-3</v>
      </c>
      <c r="X131" s="10">
        <v>1.03972545757071</v>
      </c>
      <c r="Y131" s="10">
        <v>1.03989039569729</v>
      </c>
      <c r="Z131" s="10">
        <v>1.0408750837162499</v>
      </c>
      <c r="AA131" s="10">
        <v>1.0423582304318499</v>
      </c>
      <c r="AB131" s="8">
        <v>49.997930225125799</v>
      </c>
      <c r="AC131" s="8">
        <v>50.063489945885998</v>
      </c>
      <c r="AD131" s="8">
        <v>50.130493322503803</v>
      </c>
      <c r="AE131" s="9">
        <v>1.5862364836706001E-4</v>
      </c>
      <c r="AF131" s="9">
        <v>1.4690134075622499E-3</v>
      </c>
      <c r="AG131" s="9">
        <v>2.8064866653437701E-3</v>
      </c>
      <c r="AZ131" s="9"/>
      <c r="BB131">
        <f t="shared" si="22"/>
        <v>0</v>
      </c>
      <c r="BC131">
        <f t="shared" si="23"/>
        <v>1</v>
      </c>
      <c r="BD131">
        <f t="shared" si="24"/>
        <v>0</v>
      </c>
      <c r="BE131">
        <f t="shared" si="20"/>
        <v>1</v>
      </c>
      <c r="BF131">
        <f t="shared" si="25"/>
        <v>0</v>
      </c>
      <c r="BG131" s="9">
        <f t="shared" si="26"/>
        <v>0</v>
      </c>
      <c r="BH131" s="9">
        <f t="shared" si="27"/>
        <v>0</v>
      </c>
      <c r="BI131" s="9">
        <f t="shared" si="28"/>
        <v>0</v>
      </c>
      <c r="BJ131" s="12">
        <f t="shared" si="29"/>
        <v>-1.7704286865161548E-3</v>
      </c>
      <c r="BL131" s="9"/>
      <c r="BN131">
        <f t="shared" si="30"/>
        <v>1</v>
      </c>
      <c r="BO131">
        <f t="shared" si="31"/>
        <v>0</v>
      </c>
      <c r="BP131">
        <f t="shared" si="32"/>
        <v>1</v>
      </c>
      <c r="BQ131">
        <f t="shared" si="21"/>
        <v>1</v>
      </c>
      <c r="BR131">
        <f t="shared" si="33"/>
        <v>1</v>
      </c>
      <c r="BS131" s="9">
        <f t="shared" si="34"/>
        <v>-1.24869943384479E-3</v>
      </c>
      <c r="BT131" s="9">
        <f t="shared" si="35"/>
        <v>1.80198266800611E-3</v>
      </c>
      <c r="BU131" s="9">
        <f t="shared" si="36"/>
        <v>5.5328323416132001E-4</v>
      </c>
      <c r="BV131" s="12">
        <f t="shared" si="37"/>
        <v>5.4904854626334305E-4</v>
      </c>
      <c r="BX131" s="12">
        <f t="shared" si="38"/>
        <v>5.5328323416132001E-4</v>
      </c>
      <c r="BY131" s="12">
        <f t="shared" si="39"/>
        <v>-1.2213801402528117E-3</v>
      </c>
    </row>
    <row r="132" spans="1:77" x14ac:dyDescent="0.3">
      <c r="A132" s="1">
        <v>46216</v>
      </c>
      <c r="B132" s="8">
        <v>47.89</v>
      </c>
      <c r="C132" s="8">
        <v>49.82</v>
      </c>
      <c r="D132" s="9">
        <v>-3.9595758724341396E-3</v>
      </c>
      <c r="E132" s="9">
        <v>-3.4064755914446502E-3</v>
      </c>
      <c r="F132" s="8">
        <v>0</v>
      </c>
      <c r="G132" s="8">
        <v>0.66179999999999894</v>
      </c>
      <c r="H132" s="8">
        <v>0</v>
      </c>
      <c r="I132" s="8">
        <v>0.71309999999999996</v>
      </c>
      <c r="J132" s="8">
        <v>0</v>
      </c>
      <c r="K132" s="8">
        <v>0</v>
      </c>
      <c r="L132" s="8">
        <v>47.89</v>
      </c>
      <c r="M132" s="8">
        <v>49.82</v>
      </c>
      <c r="N132" s="10">
        <v>1.04030068907913</v>
      </c>
      <c r="O132" s="10">
        <v>1.03989039569729</v>
      </c>
      <c r="P132" s="10">
        <v>1.04059676260149</v>
      </c>
      <c r="Q132" s="10">
        <v>1.0421628041137001</v>
      </c>
      <c r="R132" s="8">
        <v>49.800351049943302</v>
      </c>
      <c r="S132" s="8">
        <v>49.847507759171499</v>
      </c>
      <c r="T132" s="8">
        <v>49.918535655381497</v>
      </c>
      <c r="U132" s="9">
        <v>-3.9447663262234502E-4</v>
      </c>
      <c r="V132" s="9">
        <v>5.51990523058351E-4</v>
      </c>
      <c r="W132" s="9">
        <v>1.9758799704012102E-3</v>
      </c>
      <c r="X132" s="10">
        <v>1.04030068907913</v>
      </c>
      <c r="Y132" s="10">
        <v>1.03989039569729</v>
      </c>
      <c r="Z132" s="10">
        <v>1.04059676260149</v>
      </c>
      <c r="AA132" s="10">
        <v>1.0421628041137001</v>
      </c>
      <c r="AB132" s="8">
        <v>49.800351049943302</v>
      </c>
      <c r="AC132" s="8">
        <v>49.847507759171499</v>
      </c>
      <c r="AD132" s="8">
        <v>49.918535655381497</v>
      </c>
      <c r="AE132" s="9">
        <v>-3.9447663262234502E-4</v>
      </c>
      <c r="AF132" s="9">
        <v>5.51990523058351E-4</v>
      </c>
      <c r="AG132" s="9">
        <v>1.9758799704012102E-3</v>
      </c>
      <c r="AZ132" s="9"/>
      <c r="BB132">
        <f t="shared" si="22"/>
        <v>0</v>
      </c>
      <c r="BC132">
        <f t="shared" si="23"/>
        <v>1</v>
      </c>
      <c r="BD132">
        <f t="shared" si="24"/>
        <v>0</v>
      </c>
      <c r="BE132">
        <f t="shared" si="20"/>
        <v>1</v>
      </c>
      <c r="BF132">
        <f t="shared" si="25"/>
        <v>0</v>
      </c>
      <c r="BG132" s="9">
        <f t="shared" si="26"/>
        <v>0</v>
      </c>
      <c r="BH132" s="9">
        <f t="shared" si="27"/>
        <v>0</v>
      </c>
      <c r="BI132" s="9">
        <f t="shared" si="28"/>
        <v>0</v>
      </c>
      <c r="BJ132" s="12">
        <f t="shared" si="29"/>
        <v>-1.7704286865161548E-3</v>
      </c>
      <c r="BL132" s="9"/>
      <c r="BN132">
        <f t="shared" si="30"/>
        <v>0</v>
      </c>
      <c r="BO132">
        <f t="shared" si="31"/>
        <v>0</v>
      </c>
      <c r="BP132">
        <f t="shared" si="32"/>
        <v>1</v>
      </c>
      <c r="BQ132">
        <f t="shared" si="21"/>
        <v>1</v>
      </c>
      <c r="BR132">
        <f t="shared" si="33"/>
        <v>1</v>
      </c>
      <c r="BS132" s="9">
        <f t="shared" si="34"/>
        <v>3.9595758724341396E-3</v>
      </c>
      <c r="BT132" s="9">
        <f t="shared" si="35"/>
        <v>-3.4064755914446502E-3</v>
      </c>
      <c r="BU132" s="9">
        <f t="shared" si="36"/>
        <v>5.5310028098948943E-4</v>
      </c>
      <c r="BV132" s="12">
        <f t="shared" si="37"/>
        <v>1.1021488272528325E-3</v>
      </c>
      <c r="BX132" s="12">
        <f t="shared" si="38"/>
        <v>5.5310028098948943E-4</v>
      </c>
      <c r="BY132" s="12">
        <f t="shared" si="39"/>
        <v>-6.6827985926332231E-4</v>
      </c>
    </row>
    <row r="133" spans="1:77" x14ac:dyDescent="0.3">
      <c r="A133" s="1">
        <v>46217</v>
      </c>
      <c r="B133" s="8">
        <v>47.96</v>
      </c>
      <c r="C133" s="8">
        <v>49.91</v>
      </c>
      <c r="D133" s="9">
        <v>1.4606158047955899E-3</v>
      </c>
      <c r="E133" s="9">
        <v>1.80487364748334E-3</v>
      </c>
      <c r="F133" s="8">
        <v>0</v>
      </c>
      <c r="G133" s="8">
        <v>0.66179999999999894</v>
      </c>
      <c r="H133" s="8">
        <v>0</v>
      </c>
      <c r="I133" s="8">
        <v>0.71309999999999996</v>
      </c>
      <c r="J133" s="8">
        <v>0</v>
      </c>
      <c r="K133" s="8">
        <v>0</v>
      </c>
      <c r="L133" s="8">
        <v>47.96</v>
      </c>
      <c r="M133" s="8">
        <v>49.91</v>
      </c>
      <c r="N133" s="10">
        <v>1.040658882402</v>
      </c>
      <c r="O133" s="10">
        <v>1.03989039569729</v>
      </c>
      <c r="P133" s="10">
        <v>1.0403551487806799</v>
      </c>
      <c r="Q133" s="10">
        <v>1.0420614755441999</v>
      </c>
      <c r="R133" s="8">
        <v>49.873143377642101</v>
      </c>
      <c r="S133" s="8">
        <v>49.907020734367599</v>
      </c>
      <c r="T133" s="8">
        <v>49.982128085293397</v>
      </c>
      <c r="U133" s="9">
        <v>-7.3873447531030403E-4</v>
      </c>
      <c r="V133" s="9">
        <v>-5.9694541297605298E-5</v>
      </c>
      <c r="W133" s="9">
        <v>1.44411975620289E-3</v>
      </c>
      <c r="X133" s="10">
        <v>1.040658882402</v>
      </c>
      <c r="Y133" s="10">
        <v>1.03989039569729</v>
      </c>
      <c r="Z133" s="10">
        <v>1.0403551487806799</v>
      </c>
      <c r="AA133" s="10">
        <v>1.0420614755441999</v>
      </c>
      <c r="AB133" s="8">
        <v>49.873143377642101</v>
      </c>
      <c r="AC133" s="8">
        <v>49.907020734367599</v>
      </c>
      <c r="AD133" s="8">
        <v>49.982128085293397</v>
      </c>
      <c r="AE133" s="9">
        <v>-7.3873447531030403E-4</v>
      </c>
      <c r="AF133" s="9">
        <v>-5.9694541297605298E-5</v>
      </c>
      <c r="AG133" s="9">
        <v>1.44411975620289E-3</v>
      </c>
      <c r="AZ133" s="9"/>
      <c r="BB133">
        <f t="shared" si="22"/>
        <v>0</v>
      </c>
      <c r="BC133">
        <f t="shared" si="23"/>
        <v>1</v>
      </c>
      <c r="BD133">
        <f t="shared" si="24"/>
        <v>0</v>
      </c>
      <c r="BE133">
        <f t="shared" si="20"/>
        <v>1</v>
      </c>
      <c r="BF133">
        <f t="shared" si="25"/>
        <v>0</v>
      </c>
      <c r="BG133" s="9">
        <f t="shared" si="26"/>
        <v>0</v>
      </c>
      <c r="BH133" s="9">
        <f t="shared" si="27"/>
        <v>0</v>
      </c>
      <c r="BI133" s="9">
        <f t="shared" si="28"/>
        <v>0</v>
      </c>
      <c r="BJ133" s="12">
        <f t="shared" si="29"/>
        <v>-1.7704286865161548E-3</v>
      </c>
      <c r="BL133" s="9"/>
      <c r="BN133">
        <f t="shared" si="30"/>
        <v>0</v>
      </c>
      <c r="BO133">
        <f t="shared" si="31"/>
        <v>0</v>
      </c>
      <c r="BP133">
        <f t="shared" si="32"/>
        <v>1</v>
      </c>
      <c r="BQ133">
        <f t="shared" si="21"/>
        <v>1</v>
      </c>
      <c r="BR133">
        <f t="shared" si="33"/>
        <v>1</v>
      </c>
      <c r="BS133" s="9">
        <f t="shared" si="34"/>
        <v>-1.4606158047955899E-3</v>
      </c>
      <c r="BT133" s="9">
        <f t="shared" si="35"/>
        <v>1.80487364748334E-3</v>
      </c>
      <c r="BU133" s="9">
        <f t="shared" si="36"/>
        <v>3.4425784268775003E-4</v>
      </c>
      <c r="BV133" s="12">
        <f t="shared" si="37"/>
        <v>1.4464066699405825E-3</v>
      </c>
      <c r="BX133" s="12">
        <f t="shared" si="38"/>
        <v>3.4425784268775003E-4</v>
      </c>
      <c r="BY133" s="12">
        <f t="shared" si="39"/>
        <v>-3.2402201657557228E-4</v>
      </c>
    </row>
    <row r="134" spans="1:77" x14ac:dyDescent="0.3">
      <c r="A134" s="1">
        <v>46218</v>
      </c>
      <c r="B134" s="8">
        <v>48.03</v>
      </c>
      <c r="C134" s="8">
        <v>49.96</v>
      </c>
      <c r="D134" s="9">
        <v>1.4584855174194699E-3</v>
      </c>
      <c r="E134" s="9">
        <v>1.0013017758590699E-3</v>
      </c>
      <c r="F134" s="8">
        <v>0</v>
      </c>
      <c r="G134" s="8">
        <v>0.66179999999999894</v>
      </c>
      <c r="H134" s="8">
        <v>0</v>
      </c>
      <c r="I134" s="8">
        <v>0.71309999999999996</v>
      </c>
      <c r="J134" s="8">
        <v>0</v>
      </c>
      <c r="K134" s="8">
        <v>0</v>
      </c>
      <c r="L134" s="8">
        <v>48.03</v>
      </c>
      <c r="M134" s="8">
        <v>49.96</v>
      </c>
      <c r="N134" s="10">
        <v>1.0401832188215601</v>
      </c>
      <c r="O134" s="10">
        <v>1.03989039569729</v>
      </c>
      <c r="P134" s="10">
        <v>1.039892776878</v>
      </c>
      <c r="Q134" s="10">
        <v>1.04187465554474</v>
      </c>
      <c r="R134" s="8">
        <v>49.945935705341</v>
      </c>
      <c r="S134" s="8">
        <v>49.968257795936402</v>
      </c>
      <c r="T134" s="8">
        <v>50.050212670388298</v>
      </c>
      <c r="U134" s="9">
        <v>-2.8155073374995499E-4</v>
      </c>
      <c r="V134" s="9">
        <v>1.6527449066778199E-4</v>
      </c>
      <c r="W134" s="9">
        <v>1.80406965343399E-3</v>
      </c>
      <c r="X134" s="10">
        <v>1.0401832188215601</v>
      </c>
      <c r="Y134" s="10">
        <v>1.03989039569729</v>
      </c>
      <c r="Z134" s="10">
        <v>1.039892776878</v>
      </c>
      <c r="AA134" s="10">
        <v>1.04187465554474</v>
      </c>
      <c r="AB134" s="8">
        <v>49.945935705341</v>
      </c>
      <c r="AC134" s="8">
        <v>49.968257795936402</v>
      </c>
      <c r="AD134" s="8">
        <v>50.050212670388298</v>
      </c>
      <c r="AE134" s="9">
        <v>-2.8155073374995499E-4</v>
      </c>
      <c r="AF134" s="9">
        <v>1.6527449066778199E-4</v>
      </c>
      <c r="AG134" s="9">
        <v>1.80406965343399E-3</v>
      </c>
      <c r="AZ134" s="9"/>
      <c r="BB134">
        <f t="shared" si="22"/>
        <v>0</v>
      </c>
      <c r="BC134">
        <f t="shared" si="23"/>
        <v>1</v>
      </c>
      <c r="BD134">
        <f t="shared" si="24"/>
        <v>0</v>
      </c>
      <c r="BE134">
        <f t="shared" si="20"/>
        <v>1</v>
      </c>
      <c r="BF134">
        <f t="shared" si="25"/>
        <v>0</v>
      </c>
      <c r="BG134" s="9">
        <f t="shared" si="26"/>
        <v>0</v>
      </c>
      <c r="BH134" s="9">
        <f t="shared" si="27"/>
        <v>0</v>
      </c>
      <c r="BI134" s="9">
        <f t="shared" si="28"/>
        <v>0</v>
      </c>
      <c r="BJ134" s="12">
        <f t="shared" si="29"/>
        <v>-1.7704286865161548E-3</v>
      </c>
      <c r="BL134" s="9"/>
      <c r="BN134">
        <f t="shared" si="30"/>
        <v>0</v>
      </c>
      <c r="BO134">
        <f t="shared" si="31"/>
        <v>0</v>
      </c>
      <c r="BP134">
        <f t="shared" si="32"/>
        <v>1</v>
      </c>
      <c r="BQ134">
        <f t="shared" si="21"/>
        <v>1</v>
      </c>
      <c r="BR134">
        <f t="shared" si="33"/>
        <v>1</v>
      </c>
      <c r="BS134" s="9">
        <f t="shared" si="34"/>
        <v>-1.4584855174194699E-3</v>
      </c>
      <c r="BT134" s="9">
        <f t="shared" si="35"/>
        <v>1.0013017758590699E-3</v>
      </c>
      <c r="BU134" s="9">
        <f t="shared" si="36"/>
        <v>-4.571837415604E-4</v>
      </c>
      <c r="BV134" s="12">
        <f t="shared" si="37"/>
        <v>9.8922292838018251E-4</v>
      </c>
      <c r="BX134" s="12">
        <f t="shared" si="38"/>
        <v>-4.571837415604E-4</v>
      </c>
      <c r="BY134" s="12">
        <f t="shared" si="39"/>
        <v>-7.8120575813597228E-4</v>
      </c>
    </row>
    <row r="135" spans="1:77" x14ac:dyDescent="0.3">
      <c r="A135" s="1">
        <v>46219</v>
      </c>
      <c r="B135" s="8">
        <v>47.96</v>
      </c>
      <c r="C135" s="8">
        <v>49.89</v>
      </c>
      <c r="D135" s="9">
        <v>-1.4584855174195599E-3</v>
      </c>
      <c r="E135" s="9">
        <v>-1.40210338443095E-3</v>
      </c>
      <c r="F135" s="8">
        <v>0</v>
      </c>
      <c r="G135" s="8">
        <v>0.66179999999999894</v>
      </c>
      <c r="H135" s="8">
        <v>0</v>
      </c>
      <c r="I135" s="8">
        <v>0.71309999999999996</v>
      </c>
      <c r="J135" s="8">
        <v>0</v>
      </c>
      <c r="K135" s="8">
        <v>0</v>
      </c>
      <c r="L135" s="8">
        <v>47.96</v>
      </c>
      <c r="M135" s="8">
        <v>49.89</v>
      </c>
      <c r="N135" s="10">
        <v>1.0402418682235099</v>
      </c>
      <c r="O135" s="10">
        <v>1.03989039569729</v>
      </c>
      <c r="P135" s="10">
        <v>1.0400014882497599</v>
      </c>
      <c r="Q135" s="10">
        <v>1.0416831487076199</v>
      </c>
      <c r="R135" s="8">
        <v>49.873143377642101</v>
      </c>
      <c r="S135" s="8">
        <v>49.873257579068898</v>
      </c>
      <c r="T135" s="8">
        <v>49.968308479925902</v>
      </c>
      <c r="U135" s="9">
        <v>-3.3793286673841801E-4</v>
      </c>
      <c r="V135" s="9">
        <v>-3.3564303120217501E-4</v>
      </c>
      <c r="W135" s="9">
        <v>1.56839219831189E-3</v>
      </c>
      <c r="X135" s="10">
        <v>1.0402418682235099</v>
      </c>
      <c r="Y135" s="10">
        <v>1.03989039569729</v>
      </c>
      <c r="Z135" s="10">
        <v>1.0400014882497599</v>
      </c>
      <c r="AA135" s="10">
        <v>1.0416831487076199</v>
      </c>
      <c r="AB135" s="8">
        <v>49.873143377642101</v>
      </c>
      <c r="AC135" s="8">
        <v>49.873257579068898</v>
      </c>
      <c r="AD135" s="8">
        <v>49.968308479925902</v>
      </c>
      <c r="AE135" s="9">
        <v>-3.3793286673841801E-4</v>
      </c>
      <c r="AF135" s="9">
        <v>-3.3564303120217501E-4</v>
      </c>
      <c r="AG135" s="9">
        <v>1.56839219831189E-3</v>
      </c>
      <c r="AZ135" s="9"/>
      <c r="BB135">
        <f t="shared" si="22"/>
        <v>0</v>
      </c>
      <c r="BC135">
        <f t="shared" si="23"/>
        <v>1</v>
      </c>
      <c r="BD135">
        <f t="shared" si="24"/>
        <v>0</v>
      </c>
      <c r="BE135">
        <f t="shared" si="20"/>
        <v>1</v>
      </c>
      <c r="BF135">
        <f t="shared" si="25"/>
        <v>0</v>
      </c>
      <c r="BG135" s="9">
        <f t="shared" si="26"/>
        <v>0</v>
      </c>
      <c r="BH135" s="9">
        <f t="shared" si="27"/>
        <v>0</v>
      </c>
      <c r="BI135" s="9">
        <f t="shared" si="28"/>
        <v>0</v>
      </c>
      <c r="BJ135" s="12">
        <f t="shared" si="29"/>
        <v>-1.7704286865161548E-3</v>
      </c>
      <c r="BL135" s="9"/>
      <c r="BN135">
        <f t="shared" si="30"/>
        <v>0</v>
      </c>
      <c r="BO135">
        <f t="shared" si="31"/>
        <v>0</v>
      </c>
      <c r="BP135">
        <f t="shared" si="32"/>
        <v>1</v>
      </c>
      <c r="BQ135">
        <f t="shared" si="21"/>
        <v>1</v>
      </c>
      <c r="BR135">
        <f t="shared" si="33"/>
        <v>1</v>
      </c>
      <c r="BS135" s="9">
        <f t="shared" si="34"/>
        <v>1.4584855174195599E-3</v>
      </c>
      <c r="BT135" s="9">
        <f t="shared" si="35"/>
        <v>-1.40210338443095E-3</v>
      </c>
      <c r="BU135" s="9">
        <f t="shared" si="36"/>
        <v>5.6382132988609928E-5</v>
      </c>
      <c r="BV135" s="12">
        <f t="shared" si="37"/>
        <v>1.0456050613687924E-3</v>
      </c>
      <c r="BX135" s="12">
        <f t="shared" si="38"/>
        <v>5.6382132988609928E-5</v>
      </c>
      <c r="BY135" s="12">
        <f t="shared" si="39"/>
        <v>-7.2482362514736235E-4</v>
      </c>
    </row>
    <row r="136" spans="1:77" x14ac:dyDescent="0.3">
      <c r="A136" s="1">
        <v>46220</v>
      </c>
      <c r="B136" s="8">
        <v>47.93</v>
      </c>
      <c r="C136" s="8">
        <v>49.85</v>
      </c>
      <c r="D136" s="9">
        <v>-6.2571698777356196E-4</v>
      </c>
      <c r="E136" s="9">
        <v>-8.0208546509869005E-4</v>
      </c>
      <c r="F136" s="8">
        <v>0</v>
      </c>
      <c r="G136" s="8">
        <v>0.66179999999999894</v>
      </c>
      <c r="H136" s="8">
        <v>0</v>
      </c>
      <c r="I136" s="8">
        <v>0.71309999999999996</v>
      </c>
      <c r="J136" s="8">
        <v>0</v>
      </c>
      <c r="K136" s="8">
        <v>0</v>
      </c>
      <c r="L136" s="8">
        <v>47.93</v>
      </c>
      <c r="M136" s="8">
        <v>49.85</v>
      </c>
      <c r="N136" s="10">
        <v>1.0400584185270101</v>
      </c>
      <c r="O136" s="10">
        <v>1.03989039569729</v>
      </c>
      <c r="P136" s="10">
        <v>1.0400894196546999</v>
      </c>
      <c r="Q136" s="10">
        <v>1.0414919069347399</v>
      </c>
      <c r="R136" s="8">
        <v>49.841946665771196</v>
      </c>
      <c r="S136" s="8">
        <v>49.8472713318111</v>
      </c>
      <c r="T136" s="8">
        <v>49.927873317556603</v>
      </c>
      <c r="U136" s="9">
        <v>-1.6156438941351901E-4</v>
      </c>
      <c r="V136" s="9">
        <v>-5.4739074662458499E-5</v>
      </c>
      <c r="W136" s="9">
        <v>1.5609339180922301E-3</v>
      </c>
      <c r="X136" s="10">
        <v>1.0400584185270101</v>
      </c>
      <c r="Y136" s="10">
        <v>1.03989039569729</v>
      </c>
      <c r="Z136" s="10">
        <v>1.0400894196546999</v>
      </c>
      <c r="AA136" s="10">
        <v>1.0414919069347399</v>
      </c>
      <c r="AB136" s="8">
        <v>49.841946665771196</v>
      </c>
      <c r="AC136" s="8">
        <v>49.8472713318111</v>
      </c>
      <c r="AD136" s="8">
        <v>49.927873317556603</v>
      </c>
      <c r="AE136" s="9">
        <v>-1.6156438941351901E-4</v>
      </c>
      <c r="AF136" s="9">
        <v>-5.4739074662458499E-5</v>
      </c>
      <c r="AG136" s="9">
        <v>1.5609339180922301E-3</v>
      </c>
      <c r="AZ136" s="9"/>
      <c r="BB136">
        <f t="shared" si="22"/>
        <v>0</v>
      </c>
      <c r="BC136">
        <f t="shared" si="23"/>
        <v>1</v>
      </c>
      <c r="BD136">
        <f t="shared" si="24"/>
        <v>0</v>
      </c>
      <c r="BE136">
        <f t="shared" si="20"/>
        <v>1</v>
      </c>
      <c r="BF136">
        <f t="shared" si="25"/>
        <v>0</v>
      </c>
      <c r="BG136" s="9">
        <f t="shared" si="26"/>
        <v>0</v>
      </c>
      <c r="BH136" s="9">
        <f t="shared" si="27"/>
        <v>0</v>
      </c>
      <c r="BI136" s="9">
        <f t="shared" si="28"/>
        <v>0</v>
      </c>
      <c r="BJ136" s="12">
        <f t="shared" si="29"/>
        <v>-1.7704286865161548E-3</v>
      </c>
      <c r="BL136" s="9"/>
      <c r="BN136">
        <f t="shared" si="30"/>
        <v>0</v>
      </c>
      <c r="BO136">
        <f t="shared" si="31"/>
        <v>0</v>
      </c>
      <c r="BP136">
        <f t="shared" si="32"/>
        <v>1</v>
      </c>
      <c r="BQ136">
        <f t="shared" si="21"/>
        <v>1</v>
      </c>
      <c r="BR136">
        <f t="shared" si="33"/>
        <v>1</v>
      </c>
      <c r="BS136" s="9">
        <f t="shared" si="34"/>
        <v>6.2571698777356196E-4</v>
      </c>
      <c r="BT136" s="9">
        <f t="shared" si="35"/>
        <v>-8.0208546509869005E-4</v>
      </c>
      <c r="BU136" s="9">
        <f t="shared" si="36"/>
        <v>-1.7636847732512809E-4</v>
      </c>
      <c r="BV136" s="12">
        <f t="shared" si="37"/>
        <v>8.6923658404366435E-4</v>
      </c>
      <c r="BX136" s="12">
        <f t="shared" si="38"/>
        <v>-1.7636847732512809E-4</v>
      </c>
      <c r="BY136" s="12">
        <f t="shared" si="39"/>
        <v>-9.0119210247249044E-4</v>
      </c>
    </row>
    <row r="137" spans="1:77" x14ac:dyDescent="0.3">
      <c r="A137" s="1">
        <v>46223</v>
      </c>
      <c r="B137" s="8">
        <v>47.82</v>
      </c>
      <c r="C137" s="8">
        <v>49.8</v>
      </c>
      <c r="D137" s="9">
        <v>-2.2976511413612599E-3</v>
      </c>
      <c r="E137" s="9">
        <v>-1.00351237724013E-3</v>
      </c>
      <c r="F137" s="8">
        <v>0</v>
      </c>
      <c r="G137" s="8">
        <v>0.66179999999999894</v>
      </c>
      <c r="H137" s="8">
        <v>0</v>
      </c>
      <c r="I137" s="8">
        <v>0.71309999999999996</v>
      </c>
      <c r="J137" s="8">
        <v>0</v>
      </c>
      <c r="K137" s="8">
        <v>0</v>
      </c>
      <c r="L137" s="8">
        <v>47.82</v>
      </c>
      <c r="M137" s="8">
        <v>49.8</v>
      </c>
      <c r="N137" s="10">
        <v>1.0414052697616001</v>
      </c>
      <c r="O137" s="10">
        <v>1.03989039569729</v>
      </c>
      <c r="P137" s="10">
        <v>1.0403104111684001</v>
      </c>
      <c r="Q137" s="10">
        <v>1.04130777538663</v>
      </c>
      <c r="R137" s="8">
        <v>49.727558722244503</v>
      </c>
      <c r="S137" s="8">
        <v>49.737076047887903</v>
      </c>
      <c r="T137" s="8">
        <v>49.8041429896195</v>
      </c>
      <c r="U137" s="9">
        <v>-1.4557031535346399E-3</v>
      </c>
      <c r="V137" s="9">
        <v>-1.26433210603806E-3</v>
      </c>
      <c r="W137" s="9">
        <v>8.3189102331450895E-5</v>
      </c>
      <c r="X137" s="10">
        <v>1.0414052697616001</v>
      </c>
      <c r="Y137" s="10">
        <v>1.03989039569729</v>
      </c>
      <c r="Z137" s="10">
        <v>1.0403104111684001</v>
      </c>
      <c r="AA137" s="10">
        <v>1.04130777538663</v>
      </c>
      <c r="AB137" s="8">
        <v>49.727558722244503</v>
      </c>
      <c r="AC137" s="8">
        <v>49.737076047887903</v>
      </c>
      <c r="AD137" s="8">
        <v>49.8041429896195</v>
      </c>
      <c r="AE137" s="9">
        <v>-1.4557031535346399E-3</v>
      </c>
      <c r="AF137" s="9">
        <v>-1.26433210603806E-3</v>
      </c>
      <c r="AG137" s="9">
        <v>8.3189102331450895E-5</v>
      </c>
      <c r="AZ137" s="9"/>
      <c r="BB137">
        <f t="shared" si="22"/>
        <v>0</v>
      </c>
      <c r="BC137">
        <f t="shared" si="23"/>
        <v>1</v>
      </c>
      <c r="BD137">
        <f t="shared" si="24"/>
        <v>0</v>
      </c>
      <c r="BE137">
        <f t="shared" si="20"/>
        <v>1</v>
      </c>
      <c r="BF137">
        <f t="shared" si="25"/>
        <v>0</v>
      </c>
      <c r="BG137" s="9">
        <f t="shared" si="26"/>
        <v>0</v>
      </c>
      <c r="BH137" s="9">
        <f t="shared" si="27"/>
        <v>0</v>
      </c>
      <c r="BI137" s="9">
        <f t="shared" si="28"/>
        <v>0</v>
      </c>
      <c r="BJ137" s="12">
        <f t="shared" si="29"/>
        <v>-1.7704286865161548E-3</v>
      </c>
      <c r="BL137" s="9"/>
      <c r="BN137">
        <f t="shared" si="30"/>
        <v>0</v>
      </c>
      <c r="BO137">
        <f t="shared" si="31"/>
        <v>0</v>
      </c>
      <c r="BP137">
        <f t="shared" si="32"/>
        <v>1</v>
      </c>
      <c r="BQ137">
        <f t="shared" si="21"/>
        <v>1</v>
      </c>
      <c r="BR137">
        <f t="shared" si="33"/>
        <v>1</v>
      </c>
      <c r="BS137" s="9">
        <f t="shared" si="34"/>
        <v>2.2976511413612599E-3</v>
      </c>
      <c r="BT137" s="9">
        <f t="shared" si="35"/>
        <v>-1.00351237724013E-3</v>
      </c>
      <c r="BU137" s="9">
        <f t="shared" si="36"/>
        <v>1.2941387641211299E-3</v>
      </c>
      <c r="BV137" s="12">
        <f t="shared" si="37"/>
        <v>2.1633753481647942E-3</v>
      </c>
      <c r="BX137" s="12">
        <f t="shared" si="38"/>
        <v>1.2941387641211299E-3</v>
      </c>
      <c r="BY137" s="12">
        <f t="shared" si="39"/>
        <v>3.9294666164863944E-4</v>
      </c>
    </row>
    <row r="138" spans="1:77" x14ac:dyDescent="0.3">
      <c r="A138" s="1">
        <v>46224</v>
      </c>
      <c r="B138" s="8">
        <v>47.83</v>
      </c>
      <c r="C138" s="8">
        <v>49.78</v>
      </c>
      <c r="D138" s="9">
        <v>2.0909566202673201E-4</v>
      </c>
      <c r="E138" s="9">
        <v>-4.0168709116123299E-4</v>
      </c>
      <c r="F138" s="8">
        <v>0</v>
      </c>
      <c r="G138" s="8">
        <v>0.66179999999999894</v>
      </c>
      <c r="H138" s="8">
        <v>0</v>
      </c>
      <c r="I138" s="8">
        <v>0.71309999999999996</v>
      </c>
      <c r="J138" s="8">
        <v>0</v>
      </c>
      <c r="K138" s="8">
        <v>0</v>
      </c>
      <c r="L138" s="8">
        <v>47.83</v>
      </c>
      <c r="M138" s="8">
        <v>49.78</v>
      </c>
      <c r="N138" s="10">
        <v>1.0407693915952301</v>
      </c>
      <c r="O138" s="10">
        <v>1.03989039569729</v>
      </c>
      <c r="P138" s="10">
        <v>1.0403890163004299</v>
      </c>
      <c r="Q138" s="10">
        <v>1.0410881136218699</v>
      </c>
      <c r="R138" s="8">
        <v>49.737957626201499</v>
      </c>
      <c r="S138" s="8">
        <v>49.758046966184502</v>
      </c>
      <c r="T138" s="8">
        <v>49.805750896742502</v>
      </c>
      <c r="U138" s="9">
        <v>-8.4492040034649498E-4</v>
      </c>
      <c r="V138" s="9">
        <v>-4.4109835063994401E-4</v>
      </c>
      <c r="W138" s="9">
        <v>5.17160278144243E-4</v>
      </c>
      <c r="X138" s="10">
        <v>1.0407693915952301</v>
      </c>
      <c r="Y138" s="10">
        <v>1.03989039569729</v>
      </c>
      <c r="Z138" s="10">
        <v>1.0403890163004299</v>
      </c>
      <c r="AA138" s="10">
        <v>1.0410881136218699</v>
      </c>
      <c r="AB138" s="8">
        <v>49.737957626201499</v>
      </c>
      <c r="AC138" s="8">
        <v>49.758046966184502</v>
      </c>
      <c r="AD138" s="8">
        <v>49.805750896742502</v>
      </c>
      <c r="AE138" s="9">
        <v>-8.4492040034649498E-4</v>
      </c>
      <c r="AF138" s="9">
        <v>-4.4109835063994401E-4</v>
      </c>
      <c r="AG138" s="9">
        <v>5.17160278144243E-4</v>
      </c>
      <c r="AZ138" s="9"/>
      <c r="BB138">
        <f t="shared" si="22"/>
        <v>0</v>
      </c>
      <c r="BC138">
        <f t="shared" si="23"/>
        <v>1</v>
      </c>
      <c r="BD138">
        <f t="shared" si="24"/>
        <v>0</v>
      </c>
      <c r="BE138">
        <f t="shared" si="20"/>
        <v>1</v>
      </c>
      <c r="BF138">
        <f t="shared" si="25"/>
        <v>0</v>
      </c>
      <c r="BG138" s="9">
        <f t="shared" si="26"/>
        <v>0</v>
      </c>
      <c r="BH138" s="9">
        <f t="shared" si="27"/>
        <v>0</v>
      </c>
      <c r="BI138" s="9">
        <f t="shared" si="28"/>
        <v>0</v>
      </c>
      <c r="BJ138" s="12">
        <f t="shared" si="29"/>
        <v>-1.7704286865161548E-3</v>
      </c>
      <c r="BL138" s="9"/>
      <c r="BN138">
        <f t="shared" si="30"/>
        <v>0</v>
      </c>
      <c r="BO138">
        <f t="shared" si="31"/>
        <v>0</v>
      </c>
      <c r="BP138">
        <f t="shared" si="32"/>
        <v>1</v>
      </c>
      <c r="BQ138">
        <f t="shared" si="21"/>
        <v>1</v>
      </c>
      <c r="BR138">
        <f t="shared" si="33"/>
        <v>1</v>
      </c>
      <c r="BS138" s="9">
        <f t="shared" si="34"/>
        <v>-2.0909566202673201E-4</v>
      </c>
      <c r="BT138" s="9">
        <f t="shared" si="35"/>
        <v>-4.0168709116123299E-4</v>
      </c>
      <c r="BU138" s="9">
        <f t="shared" si="36"/>
        <v>-6.1078275318796494E-4</v>
      </c>
      <c r="BV138" s="12">
        <f t="shared" si="37"/>
        <v>1.5525925949768293E-3</v>
      </c>
      <c r="BX138" s="12">
        <f t="shared" si="38"/>
        <v>-6.1078275318796494E-4</v>
      </c>
      <c r="BY138" s="12">
        <f t="shared" si="39"/>
        <v>-2.178360915393255E-4</v>
      </c>
    </row>
    <row r="139" spans="1:77" x14ac:dyDescent="0.3">
      <c r="A139" s="1">
        <v>46225</v>
      </c>
      <c r="B139" s="8">
        <v>47.8</v>
      </c>
      <c r="C139" s="8">
        <v>49.75</v>
      </c>
      <c r="D139" s="9">
        <v>-6.2741819479529505E-4</v>
      </c>
      <c r="E139" s="9">
        <v>-6.0283333484419598E-4</v>
      </c>
      <c r="F139" s="8">
        <v>0</v>
      </c>
      <c r="G139" s="8">
        <v>0.66179999999999894</v>
      </c>
      <c r="H139" s="8">
        <v>0</v>
      </c>
      <c r="I139" s="8">
        <v>0.71309999999999996</v>
      </c>
      <c r="J139" s="8">
        <v>0</v>
      </c>
      <c r="K139" s="8">
        <v>0</v>
      </c>
      <c r="L139" s="8">
        <v>47.8</v>
      </c>
      <c r="M139" s="8">
        <v>49.75</v>
      </c>
      <c r="N139" s="10">
        <v>1.0407949790794899</v>
      </c>
      <c r="O139" s="10">
        <v>1.03989039569729</v>
      </c>
      <c r="P139" s="10">
        <v>1.04032885290794</v>
      </c>
      <c r="Q139" s="10">
        <v>1.04097821396071</v>
      </c>
      <c r="R139" s="8">
        <v>49.706760914330602</v>
      </c>
      <c r="S139" s="8">
        <v>49.730594979160799</v>
      </c>
      <c r="T139" s="8">
        <v>49.764011831125401</v>
      </c>
      <c r="U139" s="9">
        <v>-8.6950526029750395E-4</v>
      </c>
      <c r="V139" s="9">
        <v>-3.9012675968388798E-4</v>
      </c>
      <c r="W139" s="9">
        <v>2.81605192279161E-4</v>
      </c>
      <c r="X139" s="10">
        <v>1.0407949790794899</v>
      </c>
      <c r="Y139" s="10">
        <v>1.03989039569729</v>
      </c>
      <c r="Z139" s="10">
        <v>1.04032885290794</v>
      </c>
      <c r="AA139" s="10">
        <v>1.04097821396071</v>
      </c>
      <c r="AB139" s="8">
        <v>49.706760914330602</v>
      </c>
      <c r="AC139" s="8">
        <v>49.730594979160799</v>
      </c>
      <c r="AD139" s="8">
        <v>49.764011831125401</v>
      </c>
      <c r="AE139" s="9">
        <v>-8.6950526029750395E-4</v>
      </c>
      <c r="AF139" s="9">
        <v>-3.9012675968388798E-4</v>
      </c>
      <c r="AG139" s="9">
        <v>2.81605192279161E-4</v>
      </c>
      <c r="AZ139" s="9"/>
      <c r="BB139">
        <f t="shared" si="22"/>
        <v>0</v>
      </c>
      <c r="BC139">
        <f t="shared" si="23"/>
        <v>1</v>
      </c>
      <c r="BD139">
        <f t="shared" si="24"/>
        <v>0</v>
      </c>
      <c r="BE139">
        <f t="shared" si="20"/>
        <v>1</v>
      </c>
      <c r="BF139">
        <f t="shared" si="25"/>
        <v>0</v>
      </c>
      <c r="BG139" s="9">
        <f t="shared" si="26"/>
        <v>0</v>
      </c>
      <c r="BH139" s="9">
        <f t="shared" si="27"/>
        <v>0</v>
      </c>
      <c r="BI139" s="9">
        <f t="shared" si="28"/>
        <v>0</v>
      </c>
      <c r="BJ139" s="12">
        <f t="shared" si="29"/>
        <v>-1.7704286865161548E-3</v>
      </c>
      <c r="BL139" s="9"/>
      <c r="BN139">
        <f t="shared" si="30"/>
        <v>0</v>
      </c>
      <c r="BO139">
        <f t="shared" si="31"/>
        <v>0</v>
      </c>
      <c r="BP139">
        <f t="shared" si="32"/>
        <v>1</v>
      </c>
      <c r="BQ139">
        <f t="shared" si="21"/>
        <v>1</v>
      </c>
      <c r="BR139">
        <f t="shared" si="33"/>
        <v>1</v>
      </c>
      <c r="BS139" s="9">
        <f t="shared" si="34"/>
        <v>6.2741819479529505E-4</v>
      </c>
      <c r="BT139" s="9">
        <f t="shared" si="35"/>
        <v>-6.0283333484419598E-4</v>
      </c>
      <c r="BU139" s="9">
        <f t="shared" si="36"/>
        <v>2.4584859951099066E-5</v>
      </c>
      <c r="BV139" s="12">
        <f t="shared" si="37"/>
        <v>1.5771774549279284E-3</v>
      </c>
      <c r="BX139" s="12">
        <f t="shared" si="38"/>
        <v>2.4584859951099066E-5</v>
      </c>
      <c r="BY139" s="12">
        <f t="shared" si="39"/>
        <v>-1.9325123158822643E-4</v>
      </c>
    </row>
    <row r="140" spans="1:77" x14ac:dyDescent="0.3">
      <c r="A140" s="1">
        <v>46226</v>
      </c>
      <c r="B140" s="8">
        <v>47.71</v>
      </c>
      <c r="C140" s="8">
        <v>49.72</v>
      </c>
      <c r="D140" s="9">
        <v>-1.88461996939454E-3</v>
      </c>
      <c r="E140" s="9">
        <v>-6.0319696209138395E-4</v>
      </c>
      <c r="F140" s="8">
        <v>0</v>
      </c>
      <c r="G140" s="8">
        <v>0.66179999999999894</v>
      </c>
      <c r="H140" s="8">
        <v>0</v>
      </c>
      <c r="I140" s="8">
        <v>0.71309999999999996</v>
      </c>
      <c r="J140" s="8">
        <v>0</v>
      </c>
      <c r="K140" s="8">
        <v>0</v>
      </c>
      <c r="L140" s="8">
        <v>47.71</v>
      </c>
      <c r="M140" s="8">
        <v>49.72</v>
      </c>
      <c r="N140" s="10">
        <v>1.04212953259274</v>
      </c>
      <c r="O140" s="10">
        <v>1.03989039569729</v>
      </c>
      <c r="P140" s="10">
        <v>1.0406267707653001</v>
      </c>
      <c r="Q140" s="10">
        <v>1.04094036069344</v>
      </c>
      <c r="R140" s="8">
        <v>49.613170778717802</v>
      </c>
      <c r="S140" s="8">
        <v>49.634089572238103</v>
      </c>
      <c r="T140" s="8">
        <v>49.665070588065703</v>
      </c>
      <c r="U140" s="9">
        <v>-2.15092826760074E-3</v>
      </c>
      <c r="V140" s="9">
        <v>-1.72937922421052E-3</v>
      </c>
      <c r="W140" s="9">
        <v>-1.1053856922828701E-3</v>
      </c>
      <c r="X140" s="10">
        <v>1.04212953259274</v>
      </c>
      <c r="Y140" s="10">
        <v>1.03989039569729</v>
      </c>
      <c r="Z140" s="10">
        <v>1.0406267707653001</v>
      </c>
      <c r="AA140" s="10">
        <v>1.04094036069344</v>
      </c>
      <c r="AB140" s="8">
        <v>49.613170778717802</v>
      </c>
      <c r="AC140" s="8">
        <v>49.634089572238103</v>
      </c>
      <c r="AD140" s="8">
        <v>49.665070588065703</v>
      </c>
      <c r="AE140" s="9">
        <v>-2.15092826760074E-3</v>
      </c>
      <c r="AF140" s="9">
        <v>-1.72937922421052E-3</v>
      </c>
      <c r="AG140" s="9">
        <v>-1.1053856922828701E-3</v>
      </c>
      <c r="AZ140" s="9"/>
      <c r="BB140">
        <f t="shared" si="22"/>
        <v>0</v>
      </c>
      <c r="BC140">
        <f t="shared" si="23"/>
        <v>0</v>
      </c>
      <c r="BD140">
        <f t="shared" si="24"/>
        <v>0</v>
      </c>
      <c r="BE140">
        <f t="shared" si="20"/>
        <v>1</v>
      </c>
      <c r="BF140">
        <f t="shared" si="25"/>
        <v>0</v>
      </c>
      <c r="BG140" s="9">
        <f t="shared" si="26"/>
        <v>0</v>
      </c>
      <c r="BH140" s="9">
        <f t="shared" si="27"/>
        <v>0</v>
      </c>
      <c r="BI140" s="9">
        <f t="shared" si="28"/>
        <v>0</v>
      </c>
      <c r="BJ140" s="12">
        <f t="shared" si="29"/>
        <v>-1.7704286865161548E-3</v>
      </c>
      <c r="BL140" s="9"/>
      <c r="BN140">
        <f t="shared" si="30"/>
        <v>0</v>
      </c>
      <c r="BO140">
        <f t="shared" si="31"/>
        <v>1</v>
      </c>
      <c r="BP140">
        <f t="shared" si="32"/>
        <v>1</v>
      </c>
      <c r="BQ140">
        <f t="shared" si="21"/>
        <v>1</v>
      </c>
      <c r="BR140">
        <f t="shared" si="33"/>
        <v>1</v>
      </c>
      <c r="BS140" s="9">
        <f t="shared" si="34"/>
        <v>1.88461996939454E-3</v>
      </c>
      <c r="BT140" s="9">
        <f t="shared" si="35"/>
        <v>-6.0319696209138395E-4</v>
      </c>
      <c r="BU140" s="9">
        <f t="shared" si="36"/>
        <v>1.2814230073031562E-3</v>
      </c>
      <c r="BV140" s="12">
        <f t="shared" si="37"/>
        <v>2.8586004622310843E-3</v>
      </c>
      <c r="BX140" s="12">
        <f t="shared" si="38"/>
        <v>1.2814230073031562E-3</v>
      </c>
      <c r="BY140" s="12">
        <f t="shared" si="39"/>
        <v>1.0881717757149298E-3</v>
      </c>
    </row>
    <row r="141" spans="1:77" x14ac:dyDescent="0.3">
      <c r="A141" s="1">
        <v>46227</v>
      </c>
      <c r="B141" s="8">
        <v>47.8</v>
      </c>
      <c r="C141" s="8">
        <v>49.75</v>
      </c>
      <c r="D141" s="9">
        <v>1.8846199693946699E-3</v>
      </c>
      <c r="E141" s="9">
        <v>6.0319696209146895E-4</v>
      </c>
      <c r="F141" s="8">
        <v>0</v>
      </c>
      <c r="G141" s="8">
        <v>0.66179999999999894</v>
      </c>
      <c r="H141" s="8">
        <v>0</v>
      </c>
      <c r="I141" s="8">
        <v>0.71309999999999996</v>
      </c>
      <c r="J141" s="8">
        <v>0</v>
      </c>
      <c r="K141" s="8">
        <v>0</v>
      </c>
      <c r="L141" s="8">
        <v>47.8</v>
      </c>
      <c r="M141" s="8">
        <v>49.75</v>
      </c>
      <c r="N141" s="10">
        <v>1.0407949790794899</v>
      </c>
      <c r="O141" s="10">
        <v>1.03989039569729</v>
      </c>
      <c r="P141" s="10">
        <v>1.0407337229161799</v>
      </c>
      <c r="Q141" s="10">
        <v>1.04080440331621</v>
      </c>
      <c r="R141" s="8">
        <v>49.706760914330602</v>
      </c>
      <c r="S141" s="8">
        <v>49.741959642581499</v>
      </c>
      <c r="T141" s="8">
        <v>49.7569492411467</v>
      </c>
      <c r="U141" s="9">
        <v>-8.6950526029750395E-4</v>
      </c>
      <c r="V141" s="9">
        <v>-1.6162828563854001E-4</v>
      </c>
      <c r="W141" s="9">
        <v>1.3967348433588999E-4</v>
      </c>
      <c r="X141" s="10">
        <v>1.0407949790794899</v>
      </c>
      <c r="Y141" s="10">
        <v>1.03989039569729</v>
      </c>
      <c r="Z141" s="10">
        <v>1.0407337229161799</v>
      </c>
      <c r="AA141" s="10">
        <v>1.04080440331621</v>
      </c>
      <c r="AB141" s="8">
        <v>49.706760914330602</v>
      </c>
      <c r="AC141" s="8">
        <v>49.741959642581499</v>
      </c>
      <c r="AD141" s="8">
        <v>49.7569492411467</v>
      </c>
      <c r="AE141" s="9">
        <v>-8.6950526029750395E-4</v>
      </c>
      <c r="AF141" s="9">
        <v>-1.6162828563854001E-4</v>
      </c>
      <c r="AG141" s="9">
        <v>1.3967348433588999E-4</v>
      </c>
      <c r="AZ141" s="9"/>
      <c r="BB141">
        <f t="shared" si="22"/>
        <v>0</v>
      </c>
      <c r="BC141">
        <f t="shared" si="23"/>
        <v>1</v>
      </c>
      <c r="BD141">
        <f t="shared" si="24"/>
        <v>0</v>
      </c>
      <c r="BE141">
        <f t="shared" si="20"/>
        <v>1</v>
      </c>
      <c r="BF141">
        <f t="shared" si="25"/>
        <v>0</v>
      </c>
      <c r="BG141" s="9">
        <f t="shared" si="26"/>
        <v>0</v>
      </c>
      <c r="BH141" s="9">
        <f t="shared" si="27"/>
        <v>0</v>
      </c>
      <c r="BI141" s="9">
        <f t="shared" si="28"/>
        <v>0</v>
      </c>
      <c r="BJ141" s="12">
        <f t="shared" si="29"/>
        <v>-1.7704286865161548E-3</v>
      </c>
      <c r="BL141" s="9"/>
      <c r="BN141">
        <f t="shared" si="30"/>
        <v>0</v>
      </c>
      <c r="BO141">
        <f t="shared" si="31"/>
        <v>0</v>
      </c>
      <c r="BP141">
        <f t="shared" si="32"/>
        <v>0</v>
      </c>
      <c r="BQ141">
        <f t="shared" si="21"/>
        <v>1</v>
      </c>
      <c r="BR141">
        <f t="shared" si="33"/>
        <v>0</v>
      </c>
      <c r="BS141" s="9">
        <f t="shared" si="34"/>
        <v>0</v>
      </c>
      <c r="BT141" s="9">
        <f t="shared" si="35"/>
        <v>0</v>
      </c>
      <c r="BU141" s="9">
        <f t="shared" si="36"/>
        <v>0</v>
      </c>
      <c r="BV141" s="12">
        <f t="shared" si="37"/>
        <v>2.8586004622310843E-3</v>
      </c>
      <c r="BX141" s="12">
        <f t="shared" si="38"/>
        <v>0</v>
      </c>
      <c r="BY141" s="12">
        <f t="shared" si="39"/>
        <v>1.0881717757149298E-3</v>
      </c>
    </row>
    <row r="142" spans="1:77" x14ac:dyDescent="0.3">
      <c r="A142" s="1">
        <v>46230</v>
      </c>
      <c r="B142" s="8">
        <v>47.92</v>
      </c>
      <c r="C142" s="8">
        <v>49.83</v>
      </c>
      <c r="D142" s="9">
        <v>2.5073143097837599E-3</v>
      </c>
      <c r="E142" s="9">
        <v>1.60674868871141E-3</v>
      </c>
      <c r="F142" s="8">
        <v>0</v>
      </c>
      <c r="G142" s="8">
        <v>0.66179999999999894</v>
      </c>
      <c r="H142" s="8">
        <v>0</v>
      </c>
      <c r="I142" s="8">
        <v>0.71309999999999996</v>
      </c>
      <c r="J142" s="8">
        <v>0</v>
      </c>
      <c r="K142" s="8">
        <v>0</v>
      </c>
      <c r="L142" s="8">
        <v>47.92</v>
      </c>
      <c r="M142" s="8">
        <v>49.83</v>
      </c>
      <c r="N142" s="10">
        <v>1.03985809682804</v>
      </c>
      <c r="O142" s="10">
        <v>1.03989039569729</v>
      </c>
      <c r="P142" s="10">
        <v>1.04068946369107</v>
      </c>
      <c r="Q142" s="10">
        <v>1.0406431131462801</v>
      </c>
      <c r="R142" s="8">
        <v>49.831547761814299</v>
      </c>
      <c r="S142" s="8">
        <v>49.871960002143503</v>
      </c>
      <c r="T142" s="8">
        <v>49.875347006913202</v>
      </c>
      <c r="U142" s="9">
        <v>3.1060360774630403E-5</v>
      </c>
      <c r="V142" s="9">
        <v>8.4170872107020803E-4</v>
      </c>
      <c r="W142" s="9">
        <v>9.0962042460598805E-4</v>
      </c>
      <c r="X142" s="10">
        <v>1.03985809682804</v>
      </c>
      <c r="Y142" s="10">
        <v>1.03989039569729</v>
      </c>
      <c r="Z142" s="10">
        <v>1.04068946369107</v>
      </c>
      <c r="AA142" s="10">
        <v>1.0406431131462801</v>
      </c>
      <c r="AB142" s="8">
        <v>49.831547761814299</v>
      </c>
      <c r="AC142" s="8">
        <v>49.871960002143503</v>
      </c>
      <c r="AD142" s="8">
        <v>49.875347006913202</v>
      </c>
      <c r="AE142" s="9">
        <v>3.1060360774630403E-5</v>
      </c>
      <c r="AF142" s="9">
        <v>8.4170872107020803E-4</v>
      </c>
      <c r="AG142" s="9">
        <v>9.0962042460598805E-4</v>
      </c>
      <c r="AZ142" s="9"/>
      <c r="BB142">
        <f t="shared" si="22"/>
        <v>0</v>
      </c>
      <c r="BC142">
        <f t="shared" si="23"/>
        <v>1</v>
      </c>
      <c r="BD142">
        <f t="shared" si="24"/>
        <v>0</v>
      </c>
      <c r="BE142">
        <f t="shared" si="20"/>
        <v>1</v>
      </c>
      <c r="BF142">
        <f t="shared" si="25"/>
        <v>0</v>
      </c>
      <c r="BG142" s="9">
        <f t="shared" si="26"/>
        <v>0</v>
      </c>
      <c r="BH142" s="9">
        <f t="shared" si="27"/>
        <v>0</v>
      </c>
      <c r="BI142" s="9">
        <f t="shared" si="28"/>
        <v>0</v>
      </c>
      <c r="BJ142" s="12">
        <f t="shared" si="29"/>
        <v>-1.7704286865161548E-3</v>
      </c>
      <c r="BL142" s="9"/>
      <c r="BN142">
        <f t="shared" si="30"/>
        <v>0</v>
      </c>
      <c r="BO142">
        <f t="shared" si="31"/>
        <v>0</v>
      </c>
      <c r="BP142">
        <f t="shared" si="32"/>
        <v>0</v>
      </c>
      <c r="BQ142">
        <f t="shared" si="21"/>
        <v>1</v>
      </c>
      <c r="BR142">
        <f t="shared" si="33"/>
        <v>0</v>
      </c>
      <c r="BS142" s="9">
        <f t="shared" si="34"/>
        <v>0</v>
      </c>
      <c r="BT142" s="9">
        <f t="shared" si="35"/>
        <v>0</v>
      </c>
      <c r="BU142" s="9">
        <f t="shared" si="36"/>
        <v>0</v>
      </c>
      <c r="BV142" s="12">
        <f t="shared" si="37"/>
        <v>2.8586004622310843E-3</v>
      </c>
      <c r="BX142" s="12">
        <f t="shared" si="38"/>
        <v>0</v>
      </c>
      <c r="BY142" s="12">
        <f t="shared" si="39"/>
        <v>1.0881717757149298E-3</v>
      </c>
    </row>
    <row r="143" spans="1:77" x14ac:dyDescent="0.3">
      <c r="A143" s="1">
        <v>46231</v>
      </c>
      <c r="B143" s="8">
        <v>47.99</v>
      </c>
      <c r="C143" s="8">
        <v>49.93</v>
      </c>
      <c r="D143" s="9">
        <v>1.45970206296029E-3</v>
      </c>
      <c r="E143" s="9">
        <v>2.00481221920466E-3</v>
      </c>
      <c r="F143" s="8">
        <v>0</v>
      </c>
      <c r="G143" s="8">
        <v>0.66179999999999894</v>
      </c>
      <c r="H143" s="8">
        <v>0</v>
      </c>
      <c r="I143" s="8">
        <v>0.71309999999999996</v>
      </c>
      <c r="J143" s="8">
        <v>0</v>
      </c>
      <c r="K143" s="8">
        <v>0</v>
      </c>
      <c r="L143" s="8">
        <v>47.99</v>
      </c>
      <c r="M143" s="8">
        <v>49.93</v>
      </c>
      <c r="N143" s="10">
        <v>1.0404250885601101</v>
      </c>
      <c r="O143" s="10">
        <v>1.03989039569729</v>
      </c>
      <c r="P143" s="10">
        <v>1.04066608430688</v>
      </c>
      <c r="Q143" s="10">
        <v>1.0405106165437801</v>
      </c>
      <c r="R143" s="8">
        <v>49.904340089513099</v>
      </c>
      <c r="S143" s="8">
        <v>49.942687362534599</v>
      </c>
      <c r="T143" s="8">
        <v>49.940462999890102</v>
      </c>
      <c r="U143" s="9">
        <v>-5.1404979546968604E-4</v>
      </c>
      <c r="V143" s="9">
        <v>2.5407071618766198E-4</v>
      </c>
      <c r="W143" s="9">
        <v>2.0953141928393499E-4</v>
      </c>
      <c r="X143" s="10">
        <v>1.0404250885601101</v>
      </c>
      <c r="Y143" s="10">
        <v>1.03989039569729</v>
      </c>
      <c r="Z143" s="10">
        <v>1.04066608430688</v>
      </c>
      <c r="AA143" s="10">
        <v>1.0405106165437801</v>
      </c>
      <c r="AB143" s="8">
        <v>49.904340089513099</v>
      </c>
      <c r="AC143" s="8">
        <v>49.942687362534599</v>
      </c>
      <c r="AD143" s="8">
        <v>49.940462999890102</v>
      </c>
      <c r="AE143" s="9">
        <v>-5.1404979546968604E-4</v>
      </c>
      <c r="AF143" s="9">
        <v>2.5407071618766198E-4</v>
      </c>
      <c r="AG143" s="9">
        <v>2.0953141928393499E-4</v>
      </c>
      <c r="AZ143" s="9"/>
      <c r="BB143">
        <f t="shared" si="22"/>
        <v>0</v>
      </c>
      <c r="BC143">
        <f t="shared" si="23"/>
        <v>1</v>
      </c>
      <c r="BD143">
        <f t="shared" si="24"/>
        <v>0</v>
      </c>
      <c r="BE143">
        <f t="shared" si="20"/>
        <v>1</v>
      </c>
      <c r="BF143">
        <f t="shared" si="25"/>
        <v>0</v>
      </c>
      <c r="BG143" s="9">
        <f t="shared" si="26"/>
        <v>0</v>
      </c>
      <c r="BH143" s="9">
        <f t="shared" si="27"/>
        <v>0</v>
      </c>
      <c r="BI143" s="9">
        <f t="shared" si="28"/>
        <v>0</v>
      </c>
      <c r="BJ143" s="12">
        <f t="shared" si="29"/>
        <v>-1.7704286865161548E-3</v>
      </c>
      <c r="BL143" s="9"/>
      <c r="BN143">
        <f t="shared" si="30"/>
        <v>0</v>
      </c>
      <c r="BO143">
        <f t="shared" si="31"/>
        <v>0</v>
      </c>
      <c r="BP143">
        <f t="shared" si="32"/>
        <v>0</v>
      </c>
      <c r="BQ143">
        <f t="shared" si="21"/>
        <v>1</v>
      </c>
      <c r="BR143">
        <f t="shared" si="33"/>
        <v>0</v>
      </c>
      <c r="BS143" s="9">
        <f t="shared" si="34"/>
        <v>0</v>
      </c>
      <c r="BT143" s="9">
        <f t="shared" si="35"/>
        <v>0</v>
      </c>
      <c r="BU143" s="9">
        <f t="shared" si="36"/>
        <v>0</v>
      </c>
      <c r="BV143" s="12">
        <f t="shared" si="37"/>
        <v>2.8586004622310843E-3</v>
      </c>
      <c r="BX143" s="12">
        <f t="shared" si="38"/>
        <v>0</v>
      </c>
      <c r="BY143" s="12">
        <f t="shared" si="39"/>
        <v>1.0881717757149298E-3</v>
      </c>
    </row>
    <row r="144" spans="1:77" x14ac:dyDescent="0.3">
      <c r="A144" s="1">
        <v>46232</v>
      </c>
      <c r="B144" s="8">
        <v>47.81</v>
      </c>
      <c r="C144" s="8">
        <v>49.77</v>
      </c>
      <c r="D144" s="9">
        <v>-3.7578332321421002E-3</v>
      </c>
      <c r="E144" s="9">
        <v>-3.2096316420550499E-3</v>
      </c>
      <c r="F144" s="8">
        <v>0</v>
      </c>
      <c r="G144" s="8">
        <v>0.66179999999999894</v>
      </c>
      <c r="H144" s="8">
        <v>0</v>
      </c>
      <c r="I144" s="8">
        <v>0.71309999999999996</v>
      </c>
      <c r="J144" s="8">
        <v>0</v>
      </c>
      <c r="K144" s="8">
        <v>0</v>
      </c>
      <c r="L144" s="8">
        <v>47.81</v>
      </c>
      <c r="M144" s="8">
        <v>49.77</v>
      </c>
      <c r="N144" s="10">
        <v>1.0409956076134701</v>
      </c>
      <c r="O144" s="10">
        <v>1.03989039569729</v>
      </c>
      <c r="P144" s="10">
        <v>1.04074732318607</v>
      </c>
      <c r="Q144" s="10">
        <v>1.04032005003203</v>
      </c>
      <c r="R144" s="8">
        <v>49.717159818287598</v>
      </c>
      <c r="S144" s="8">
        <v>49.754245490712101</v>
      </c>
      <c r="T144" s="8">
        <v>49.746812576958398</v>
      </c>
      <c r="U144" s="9">
        <v>-1.0622513855568999E-3</v>
      </c>
      <c r="V144" s="9">
        <v>-3.1659641008528798E-4</v>
      </c>
      <c r="W144" s="9">
        <v>-4.66000123209847E-4</v>
      </c>
      <c r="X144" s="10">
        <v>1.0409956076134701</v>
      </c>
      <c r="Y144" s="10">
        <v>1.03989039569729</v>
      </c>
      <c r="Z144" s="10">
        <v>1.04074732318607</v>
      </c>
      <c r="AA144" s="10">
        <v>1.04032005003203</v>
      </c>
      <c r="AB144" s="8">
        <v>49.717159818287598</v>
      </c>
      <c r="AC144" s="8">
        <v>49.754245490712101</v>
      </c>
      <c r="AD144" s="8">
        <v>49.746812576958398</v>
      </c>
      <c r="AE144" s="9">
        <v>-1.0622513855568999E-3</v>
      </c>
      <c r="AF144" s="9">
        <v>-3.1659641008528798E-4</v>
      </c>
      <c r="AG144" s="9">
        <v>-4.66000123209847E-4</v>
      </c>
      <c r="AZ144" s="9"/>
      <c r="BB144">
        <f t="shared" si="22"/>
        <v>0</v>
      </c>
      <c r="BC144">
        <f t="shared" si="23"/>
        <v>0</v>
      </c>
      <c r="BD144">
        <f t="shared" si="24"/>
        <v>0</v>
      </c>
      <c r="BE144">
        <f t="shared" si="20"/>
        <v>1</v>
      </c>
      <c r="BF144">
        <f t="shared" si="25"/>
        <v>0</v>
      </c>
      <c r="BG144" s="9">
        <f t="shared" si="26"/>
        <v>0</v>
      </c>
      <c r="BH144" s="9">
        <f t="shared" si="27"/>
        <v>0</v>
      </c>
      <c r="BI144" s="9">
        <f t="shared" si="28"/>
        <v>0</v>
      </c>
      <c r="BJ144" s="12">
        <f t="shared" si="29"/>
        <v>-1.7704286865161548E-3</v>
      </c>
      <c r="BL144" s="9"/>
      <c r="BN144">
        <f t="shared" si="30"/>
        <v>0</v>
      </c>
      <c r="BO144">
        <f t="shared" si="31"/>
        <v>1</v>
      </c>
      <c r="BP144">
        <f t="shared" si="32"/>
        <v>0</v>
      </c>
      <c r="BQ144">
        <f t="shared" si="21"/>
        <v>1</v>
      </c>
      <c r="BR144">
        <f t="shared" si="33"/>
        <v>0</v>
      </c>
      <c r="BS144" s="9">
        <f t="shared" si="34"/>
        <v>0</v>
      </c>
      <c r="BT144" s="9">
        <f t="shared" si="35"/>
        <v>0</v>
      </c>
      <c r="BU144" s="9">
        <f t="shared" si="36"/>
        <v>0</v>
      </c>
      <c r="BV144" s="12">
        <f t="shared" si="37"/>
        <v>2.8586004622310843E-3</v>
      </c>
      <c r="BX144" s="12">
        <f t="shared" si="38"/>
        <v>0</v>
      </c>
      <c r="BY144" s="12">
        <f t="shared" si="39"/>
        <v>1.0881717757149298E-3</v>
      </c>
    </row>
    <row r="145" spans="1:77" x14ac:dyDescent="0.3">
      <c r="A145" s="1">
        <v>46233</v>
      </c>
      <c r="B145" s="8">
        <v>47.88</v>
      </c>
      <c r="C145" s="8">
        <v>49.83</v>
      </c>
      <c r="D145" s="9">
        <v>1.46305805176031E-3</v>
      </c>
      <c r="E145" s="9">
        <v>1.20481942285033E-3</v>
      </c>
      <c r="F145" s="8">
        <v>0</v>
      </c>
      <c r="G145" s="8">
        <v>0.66179999999999894</v>
      </c>
      <c r="H145" s="8">
        <v>0</v>
      </c>
      <c r="I145" s="8">
        <v>0.71309999999999996</v>
      </c>
      <c r="J145" s="8">
        <v>0</v>
      </c>
      <c r="K145" s="8">
        <v>0</v>
      </c>
      <c r="L145" s="8">
        <v>47.88</v>
      </c>
      <c r="M145" s="8">
        <v>49.83</v>
      </c>
      <c r="N145" s="10">
        <v>1.0407268170426001</v>
      </c>
      <c r="O145" s="10">
        <v>1.03989039569729</v>
      </c>
      <c r="P145" s="10">
        <v>1.0407958180679799</v>
      </c>
      <c r="Q145" s="10">
        <v>1.04039865315887</v>
      </c>
      <c r="R145" s="8">
        <v>49.789952145986398</v>
      </c>
      <c r="S145" s="8">
        <v>49.830981834149199</v>
      </c>
      <c r="T145" s="8">
        <v>49.810523995533998</v>
      </c>
      <c r="U145" s="9">
        <v>-8.0401275664673897E-4</v>
      </c>
      <c r="V145" s="9">
        <v>1.9703481367676901E-5</v>
      </c>
      <c r="W145" s="9">
        <v>-3.9092537720694599E-4</v>
      </c>
      <c r="X145" s="10">
        <v>1.0407268170426001</v>
      </c>
      <c r="Y145" s="10">
        <v>1.03989039569729</v>
      </c>
      <c r="Z145" s="10">
        <v>1.0407958180679799</v>
      </c>
      <c r="AA145" s="10">
        <v>1.04039865315887</v>
      </c>
      <c r="AB145" s="8">
        <v>49.789952145986398</v>
      </c>
      <c r="AC145" s="8">
        <v>49.830981834149199</v>
      </c>
      <c r="AD145" s="8">
        <v>49.810523995533998</v>
      </c>
      <c r="AE145" s="9">
        <v>-8.0401275664673897E-4</v>
      </c>
      <c r="AF145" s="9">
        <v>1.9703481367676901E-5</v>
      </c>
      <c r="AG145" s="9">
        <v>-3.9092537720694599E-4</v>
      </c>
      <c r="AZ145" s="9"/>
      <c r="BB145">
        <f t="shared" si="22"/>
        <v>0</v>
      </c>
      <c r="BC145">
        <f t="shared" si="23"/>
        <v>0</v>
      </c>
      <c r="BD145">
        <f t="shared" si="24"/>
        <v>0</v>
      </c>
      <c r="BE145">
        <f t="shared" si="20"/>
        <v>1</v>
      </c>
      <c r="BF145">
        <f t="shared" si="25"/>
        <v>0</v>
      </c>
      <c r="BG145" s="9">
        <f t="shared" si="26"/>
        <v>0</v>
      </c>
      <c r="BH145" s="9">
        <f t="shared" si="27"/>
        <v>0</v>
      </c>
      <c r="BI145" s="9">
        <f t="shared" si="28"/>
        <v>0</v>
      </c>
      <c r="BJ145" s="12">
        <f t="shared" si="29"/>
        <v>-1.7704286865161548E-3</v>
      </c>
      <c r="BL145" s="9"/>
      <c r="BN145">
        <f t="shared" si="30"/>
        <v>0</v>
      </c>
      <c r="BO145">
        <f t="shared" si="31"/>
        <v>1</v>
      </c>
      <c r="BP145">
        <f t="shared" si="32"/>
        <v>0</v>
      </c>
      <c r="BQ145">
        <f t="shared" si="21"/>
        <v>1</v>
      </c>
      <c r="BR145">
        <f t="shared" si="33"/>
        <v>0</v>
      </c>
      <c r="BS145" s="9">
        <f t="shared" si="34"/>
        <v>0</v>
      </c>
      <c r="BT145" s="9">
        <f t="shared" si="35"/>
        <v>0</v>
      </c>
      <c r="BU145" s="9">
        <f t="shared" si="36"/>
        <v>0</v>
      </c>
      <c r="BV145" s="12">
        <f t="shared" si="37"/>
        <v>2.8586004622310843E-3</v>
      </c>
      <c r="BX145" s="12">
        <f t="shared" si="38"/>
        <v>0</v>
      </c>
      <c r="BY145" s="12">
        <f t="shared" si="39"/>
        <v>1.0881717757149298E-3</v>
      </c>
    </row>
    <row r="146" spans="1:77" x14ac:dyDescent="0.3">
      <c r="A146" s="1">
        <v>46234</v>
      </c>
      <c r="B146" s="8">
        <v>47.77</v>
      </c>
      <c r="C146" s="8">
        <v>49.75</v>
      </c>
      <c r="D146" s="9">
        <v>-2.3000532879019001E-3</v>
      </c>
      <c r="E146" s="9">
        <v>-1.60674868871135E-3</v>
      </c>
      <c r="F146" s="8">
        <v>0</v>
      </c>
      <c r="G146" s="8">
        <v>0.66179999999999894</v>
      </c>
      <c r="H146" s="8">
        <v>0</v>
      </c>
      <c r="I146" s="8">
        <v>0.71309999999999996</v>
      </c>
      <c r="J146" s="8">
        <v>0</v>
      </c>
      <c r="K146" s="8">
        <v>0</v>
      </c>
      <c r="L146" s="8">
        <v>47.77</v>
      </c>
      <c r="M146" s="8">
        <v>49.75</v>
      </c>
      <c r="N146" s="10">
        <v>1.0414486079129099</v>
      </c>
      <c r="O146" s="10">
        <v>1.03989039569729</v>
      </c>
      <c r="P146" s="10">
        <v>1.0409348370065701</v>
      </c>
      <c r="Q146" s="10">
        <v>1.04051212833063</v>
      </c>
      <c r="R146" s="8">
        <v>49.675564202459697</v>
      </c>
      <c r="S146" s="8">
        <v>49.718816229107603</v>
      </c>
      <c r="T146" s="8">
        <v>49.699843661399299</v>
      </c>
      <c r="U146" s="9">
        <v>-1.4973173558372999E-3</v>
      </c>
      <c r="V146" s="9">
        <v>-6.27005992354188E-4</v>
      </c>
      <c r="W146" s="9">
        <v>-1.0086761528537999E-3</v>
      </c>
      <c r="X146" s="10">
        <v>1.0414486079129099</v>
      </c>
      <c r="Y146" s="10">
        <v>1.03989039569729</v>
      </c>
      <c r="Z146" s="10">
        <v>1.0409348370065701</v>
      </c>
      <c r="AA146" s="10">
        <v>1.04051212833063</v>
      </c>
      <c r="AB146" s="8">
        <v>49.675564202459697</v>
      </c>
      <c r="AC146" s="8">
        <v>49.718816229107603</v>
      </c>
      <c r="AD146" s="8">
        <v>49.699843661399299</v>
      </c>
      <c r="AE146" s="9">
        <v>-1.4973173558372999E-3</v>
      </c>
      <c r="AF146" s="9">
        <v>-6.27005992354188E-4</v>
      </c>
      <c r="AG146" s="9">
        <v>-1.0086761528537999E-3</v>
      </c>
      <c r="AZ146" s="9"/>
      <c r="BB146">
        <f t="shared" si="22"/>
        <v>0</v>
      </c>
      <c r="BC146">
        <f t="shared" si="23"/>
        <v>0</v>
      </c>
      <c r="BD146">
        <f t="shared" si="24"/>
        <v>0</v>
      </c>
      <c r="BE146">
        <f t="shared" si="20"/>
        <v>0</v>
      </c>
      <c r="BF146">
        <f t="shared" si="25"/>
        <v>0</v>
      </c>
      <c r="BG146" s="9">
        <f t="shared" si="26"/>
        <v>0</v>
      </c>
      <c r="BH146" s="9">
        <f t="shared" si="27"/>
        <v>0</v>
      </c>
      <c r="BI146" s="9">
        <f t="shared" si="28"/>
        <v>0</v>
      </c>
      <c r="BJ146" s="12">
        <f t="shared" si="29"/>
        <v>-1.7704286865161548E-3</v>
      </c>
      <c r="BL146" s="9"/>
      <c r="BN146">
        <f t="shared" si="30"/>
        <v>0</v>
      </c>
      <c r="BO146">
        <f t="shared" si="31"/>
        <v>1</v>
      </c>
      <c r="BP146">
        <f t="shared" si="32"/>
        <v>0</v>
      </c>
      <c r="BQ146">
        <f t="shared" si="21"/>
        <v>0</v>
      </c>
      <c r="BR146">
        <f t="shared" si="33"/>
        <v>0</v>
      </c>
      <c r="BS146" s="9">
        <f t="shared" si="34"/>
        <v>0</v>
      </c>
      <c r="BT146" s="9">
        <f t="shared" si="35"/>
        <v>0</v>
      </c>
      <c r="BU146" s="9">
        <f t="shared" si="36"/>
        <v>0</v>
      </c>
      <c r="BV146" s="12">
        <f t="shared" si="37"/>
        <v>2.8586004622310843E-3</v>
      </c>
      <c r="BX146" s="12">
        <f t="shared" si="38"/>
        <v>0</v>
      </c>
      <c r="BY146" s="12">
        <f t="shared" si="39"/>
        <v>1.0881717757149298E-3</v>
      </c>
    </row>
    <row r="147" spans="1:77" x14ac:dyDescent="0.3">
      <c r="A147" s="1">
        <v>46237</v>
      </c>
      <c r="B147" s="8">
        <v>47.84</v>
      </c>
      <c r="C147" s="8">
        <v>49.9</v>
      </c>
      <c r="D147" s="9">
        <v>1.4642822405058699E-3</v>
      </c>
      <c r="E147" s="9">
        <v>3.0105391528712799E-3</v>
      </c>
      <c r="F147" s="8">
        <v>0.11849999999999999</v>
      </c>
      <c r="G147" s="8">
        <v>0.78029999999999999</v>
      </c>
      <c r="H147" s="8">
        <v>0</v>
      </c>
      <c r="I147" s="8">
        <v>0.71309999999999996</v>
      </c>
      <c r="J147" s="8">
        <v>0</v>
      </c>
      <c r="K147" s="8">
        <v>0</v>
      </c>
      <c r="L147" s="8">
        <v>47.84</v>
      </c>
      <c r="M147" s="8">
        <v>49.9</v>
      </c>
      <c r="N147" s="10">
        <v>1.04306020066889</v>
      </c>
      <c r="O147" s="10">
        <v>1.03989039569729</v>
      </c>
      <c r="P147" s="10">
        <v>1.0411003300973001</v>
      </c>
      <c r="Q147" s="10">
        <v>1.04070537063285</v>
      </c>
      <c r="R147" s="8">
        <v>49.748356530158503</v>
      </c>
      <c r="S147" s="8">
        <v>49.798322602394499</v>
      </c>
      <c r="T147" s="8">
        <v>49.778100219337702</v>
      </c>
      <c r="U147" s="9">
        <v>-3.0435742682025902E-3</v>
      </c>
      <c r="V147" s="9">
        <v>-2.0397019769813601E-3</v>
      </c>
      <c r="W147" s="9">
        <v>-2.44587007906225E-3</v>
      </c>
      <c r="X147" s="10">
        <v>1.04306020066889</v>
      </c>
      <c r="Y147" s="10">
        <v>1.03989039569729</v>
      </c>
      <c r="Z147" s="10">
        <v>1.0411003300973001</v>
      </c>
      <c r="AA147" s="10">
        <v>1.04070537063285</v>
      </c>
      <c r="AB147" s="8">
        <v>49.748356530158503</v>
      </c>
      <c r="AC147" s="8">
        <v>49.798322602394499</v>
      </c>
      <c r="AD147" s="8">
        <v>49.778100219337702</v>
      </c>
      <c r="AE147" s="9">
        <v>-3.0435742682025902E-3</v>
      </c>
      <c r="AF147" s="9">
        <v>-2.0397019769813601E-3</v>
      </c>
      <c r="AG147" s="9">
        <v>-2.44587007906225E-3</v>
      </c>
      <c r="AZ147" s="9"/>
      <c r="BB147">
        <f t="shared" si="22"/>
        <v>1</v>
      </c>
      <c r="BC147">
        <f t="shared" si="23"/>
        <v>0</v>
      </c>
      <c r="BD147">
        <f t="shared" si="24"/>
        <v>0</v>
      </c>
      <c r="BE147">
        <f t="shared" si="20"/>
        <v>1</v>
      </c>
      <c r="BF147">
        <f t="shared" si="25"/>
        <v>0</v>
      </c>
      <c r="BG147" s="9">
        <f t="shared" si="26"/>
        <v>0</v>
      </c>
      <c r="BH147" s="9">
        <f t="shared" si="27"/>
        <v>0</v>
      </c>
      <c r="BI147" s="9">
        <f t="shared" si="28"/>
        <v>0</v>
      </c>
      <c r="BJ147" s="12">
        <f t="shared" si="29"/>
        <v>-1.7704286865161548E-3</v>
      </c>
      <c r="BL147" s="9"/>
      <c r="BN147">
        <f t="shared" si="30"/>
        <v>0</v>
      </c>
      <c r="BO147">
        <f t="shared" si="31"/>
        <v>1</v>
      </c>
      <c r="BP147">
        <f t="shared" si="32"/>
        <v>0</v>
      </c>
      <c r="BQ147">
        <f t="shared" si="21"/>
        <v>1</v>
      </c>
      <c r="BR147">
        <f t="shared" si="33"/>
        <v>0</v>
      </c>
      <c r="BS147" s="9">
        <f t="shared" si="34"/>
        <v>0</v>
      </c>
      <c r="BT147" s="9">
        <f t="shared" si="35"/>
        <v>0</v>
      </c>
      <c r="BU147" s="9">
        <f t="shared" si="36"/>
        <v>0</v>
      </c>
      <c r="BV147" s="12">
        <f t="shared" si="37"/>
        <v>2.8586004622310843E-3</v>
      </c>
      <c r="BX147" s="12">
        <f t="shared" si="38"/>
        <v>0</v>
      </c>
      <c r="BY147" s="12">
        <f t="shared" si="39"/>
        <v>1.0881717757149298E-3</v>
      </c>
    </row>
    <row r="148" spans="1:77" x14ac:dyDescent="0.3">
      <c r="A148" s="1">
        <v>46238</v>
      </c>
      <c r="B148" s="8">
        <v>47.97</v>
      </c>
      <c r="C148" s="8">
        <v>50.03</v>
      </c>
      <c r="D148" s="9">
        <v>2.7137058715960998E-3</v>
      </c>
      <c r="E148" s="9">
        <v>2.6018227426408301E-3</v>
      </c>
      <c r="F148" s="8">
        <v>0</v>
      </c>
      <c r="G148" s="8">
        <v>0.78029999999999999</v>
      </c>
      <c r="H148" s="8">
        <v>0</v>
      </c>
      <c r="I148" s="8">
        <v>0.71309999999999996</v>
      </c>
      <c r="J148" s="8">
        <v>0</v>
      </c>
      <c r="K148" s="8">
        <v>0</v>
      </c>
      <c r="L148" s="8">
        <v>47.97</v>
      </c>
      <c r="M148" s="8">
        <v>50.03</v>
      </c>
      <c r="N148" s="10">
        <v>1.04294350635814</v>
      </c>
      <c r="O148" s="10">
        <v>1.03989039569729</v>
      </c>
      <c r="P148" s="10">
        <v>1.0413177415735899</v>
      </c>
      <c r="Q148" s="10">
        <v>1.04085337893701</v>
      </c>
      <c r="R148" s="8">
        <v>49.883542281599098</v>
      </c>
      <c r="S148" s="8">
        <v>49.941582834767601</v>
      </c>
      <c r="T148" s="8">
        <v>49.922636629257802</v>
      </c>
      <c r="U148" s="9">
        <v>-2.9316911392471799E-3</v>
      </c>
      <c r="V148" s="9">
        <v>-1.76884642172651E-3</v>
      </c>
      <c r="W148" s="9">
        <v>-2.1482857412091E-3</v>
      </c>
      <c r="X148" s="10">
        <v>1.04294350635814</v>
      </c>
      <c r="Y148" s="10">
        <v>1.03989039569729</v>
      </c>
      <c r="Z148" s="10">
        <v>1.0413177415735899</v>
      </c>
      <c r="AA148" s="10">
        <v>1.04085337893701</v>
      </c>
      <c r="AB148" s="8">
        <v>49.883542281599098</v>
      </c>
      <c r="AC148" s="8">
        <v>49.941582834767601</v>
      </c>
      <c r="AD148" s="8">
        <v>49.922636629257802</v>
      </c>
      <c r="AE148" s="9">
        <v>-2.9316911392471799E-3</v>
      </c>
      <c r="AF148" s="9">
        <v>-1.76884642172651E-3</v>
      </c>
      <c r="AG148" s="9">
        <v>-2.1482857412091E-3</v>
      </c>
      <c r="AZ148" s="9"/>
      <c r="BB148">
        <f t="shared" si="22"/>
        <v>1</v>
      </c>
      <c r="BC148">
        <f t="shared" si="23"/>
        <v>0</v>
      </c>
      <c r="BD148">
        <f t="shared" si="24"/>
        <v>1</v>
      </c>
      <c r="BE148">
        <f t="shared" si="20"/>
        <v>1</v>
      </c>
      <c r="BF148">
        <f t="shared" si="25"/>
        <v>1</v>
      </c>
      <c r="BG148" s="9">
        <f t="shared" si="26"/>
        <v>2.7137058715960998E-3</v>
      </c>
      <c r="BH148" s="9">
        <f t="shared" si="27"/>
        <v>-2.6018227426408301E-3</v>
      </c>
      <c r="BI148" s="9">
        <f t="shared" si="28"/>
        <v>1.1188312895526976E-4</v>
      </c>
      <c r="BJ148" s="12">
        <f t="shared" si="29"/>
        <v>-1.658545557560885E-3</v>
      </c>
      <c r="BL148" s="9"/>
      <c r="BN148">
        <f t="shared" si="30"/>
        <v>0</v>
      </c>
      <c r="BO148">
        <f t="shared" si="31"/>
        <v>1</v>
      </c>
      <c r="BP148">
        <f t="shared" si="32"/>
        <v>0</v>
      </c>
      <c r="BQ148">
        <f t="shared" si="21"/>
        <v>1</v>
      </c>
      <c r="BR148">
        <f t="shared" si="33"/>
        <v>0</v>
      </c>
      <c r="BS148" s="9">
        <f t="shared" si="34"/>
        <v>0</v>
      </c>
      <c r="BT148" s="9">
        <f t="shared" si="35"/>
        <v>0</v>
      </c>
      <c r="BU148" s="9">
        <f t="shared" si="36"/>
        <v>0</v>
      </c>
      <c r="BV148" s="12">
        <f t="shared" si="37"/>
        <v>2.8586004622310843E-3</v>
      </c>
      <c r="BX148" s="12">
        <f t="shared" si="38"/>
        <v>1.1188312895526976E-4</v>
      </c>
      <c r="BY148" s="12">
        <f t="shared" si="39"/>
        <v>1.2000549046701995E-3</v>
      </c>
    </row>
    <row r="149" spans="1:77" x14ac:dyDescent="0.3">
      <c r="A149" s="1">
        <v>46239</v>
      </c>
      <c r="B149" s="8">
        <v>47.99</v>
      </c>
      <c r="C149" s="8">
        <v>50.05</v>
      </c>
      <c r="D149" s="9">
        <v>4.1684035618163499E-4</v>
      </c>
      <c r="E149" s="9">
        <v>3.9968026111589499E-4</v>
      </c>
      <c r="F149" s="8">
        <v>0</v>
      </c>
      <c r="G149" s="8">
        <v>0.78029999999999999</v>
      </c>
      <c r="H149" s="8">
        <v>0</v>
      </c>
      <c r="I149" s="8">
        <v>0.71309999999999996</v>
      </c>
      <c r="J149" s="8">
        <v>0</v>
      </c>
      <c r="K149" s="8">
        <v>0</v>
      </c>
      <c r="L149" s="8">
        <v>47.99</v>
      </c>
      <c r="M149" s="8">
        <v>50.05</v>
      </c>
      <c r="N149" s="10">
        <v>1.0429256095019701</v>
      </c>
      <c r="O149" s="10">
        <v>1.03989039569729</v>
      </c>
      <c r="P149" s="10">
        <v>1.04153080461584</v>
      </c>
      <c r="Q149" s="10">
        <v>1.04092982876189</v>
      </c>
      <c r="R149" s="8">
        <v>49.904340089513099</v>
      </c>
      <c r="S149" s="8">
        <v>49.972838418116702</v>
      </c>
      <c r="T149" s="8">
        <v>49.950553655187299</v>
      </c>
      <c r="U149" s="9">
        <v>-2.9145310441813701E-3</v>
      </c>
      <c r="V149" s="9">
        <v>-1.54287957451196E-3</v>
      </c>
      <c r="W149" s="9">
        <v>-1.9889165401616401E-3</v>
      </c>
      <c r="X149" s="10">
        <v>1.0429256095019701</v>
      </c>
      <c r="Y149" s="10">
        <v>1.03989039569729</v>
      </c>
      <c r="Z149" s="10">
        <v>1.04153080461584</v>
      </c>
      <c r="AA149" s="10">
        <v>1.04092982876189</v>
      </c>
      <c r="AB149" s="8">
        <v>49.904340089513099</v>
      </c>
      <c r="AC149" s="8">
        <v>49.972838418116702</v>
      </c>
      <c r="AD149" s="8">
        <v>49.950553655187299</v>
      </c>
      <c r="AE149" s="9">
        <v>-2.9145310441813701E-3</v>
      </c>
      <c r="AF149" s="9">
        <v>-1.54287957451196E-3</v>
      </c>
      <c r="AG149" s="9">
        <v>-1.9889165401616401E-3</v>
      </c>
      <c r="AZ149" s="9"/>
      <c r="BB149">
        <f t="shared" si="22"/>
        <v>1</v>
      </c>
      <c r="BC149">
        <f t="shared" si="23"/>
        <v>0</v>
      </c>
      <c r="BD149">
        <f t="shared" si="24"/>
        <v>1</v>
      </c>
      <c r="BE149">
        <f t="shared" si="20"/>
        <v>1</v>
      </c>
      <c r="BF149">
        <f t="shared" si="25"/>
        <v>1</v>
      </c>
      <c r="BG149" s="9">
        <f t="shared" si="26"/>
        <v>4.1684035618163499E-4</v>
      </c>
      <c r="BH149" s="9">
        <f t="shared" si="27"/>
        <v>-3.9968026111589499E-4</v>
      </c>
      <c r="BI149" s="9">
        <f t="shared" si="28"/>
        <v>1.7160095065740007E-5</v>
      </c>
      <c r="BJ149" s="12">
        <f t="shared" si="29"/>
        <v>-1.641385462495145E-3</v>
      </c>
      <c r="BL149" s="9"/>
      <c r="BN149">
        <f t="shared" si="30"/>
        <v>0</v>
      </c>
      <c r="BO149">
        <f t="shared" si="31"/>
        <v>1</v>
      </c>
      <c r="BP149">
        <f t="shared" si="32"/>
        <v>0</v>
      </c>
      <c r="BQ149">
        <f t="shared" si="21"/>
        <v>1</v>
      </c>
      <c r="BR149">
        <f t="shared" si="33"/>
        <v>0</v>
      </c>
      <c r="BS149" s="9">
        <f t="shared" si="34"/>
        <v>0</v>
      </c>
      <c r="BT149" s="9">
        <f t="shared" si="35"/>
        <v>0</v>
      </c>
      <c r="BU149" s="9">
        <f t="shared" si="36"/>
        <v>0</v>
      </c>
      <c r="BV149" s="12">
        <f t="shared" si="37"/>
        <v>2.8586004622310843E-3</v>
      </c>
      <c r="BX149" s="12">
        <f t="shared" si="38"/>
        <v>1.7160095065740007E-5</v>
      </c>
      <c r="BY149" s="12">
        <f t="shared" si="39"/>
        <v>1.2172149997359395E-3</v>
      </c>
    </row>
    <row r="150" spans="1:77" x14ac:dyDescent="0.3">
      <c r="A150" s="1">
        <v>46240</v>
      </c>
      <c r="B150" s="8">
        <v>47.89</v>
      </c>
      <c r="C150" s="8">
        <v>49.96</v>
      </c>
      <c r="D150" s="9">
        <v>-2.0859415156362199E-3</v>
      </c>
      <c r="E150" s="9">
        <v>-1.7998205038525299E-3</v>
      </c>
      <c r="F150" s="8">
        <v>0</v>
      </c>
      <c r="G150" s="8">
        <v>0.78029999999999999</v>
      </c>
      <c r="H150" s="8">
        <v>0</v>
      </c>
      <c r="I150" s="8">
        <v>0.71309999999999996</v>
      </c>
      <c r="J150" s="8">
        <v>0</v>
      </c>
      <c r="K150" s="8">
        <v>0</v>
      </c>
      <c r="L150" s="8">
        <v>47.89</v>
      </c>
      <c r="M150" s="8">
        <v>49.96</v>
      </c>
      <c r="N150" s="10">
        <v>1.0432240551263301</v>
      </c>
      <c r="O150" s="10">
        <v>1.03989039569729</v>
      </c>
      <c r="P150" s="10">
        <v>1.0416402568692</v>
      </c>
      <c r="Q150" s="10">
        <v>1.0411335138172499</v>
      </c>
      <c r="R150" s="8">
        <v>49.800351049943302</v>
      </c>
      <c r="S150" s="8">
        <v>49.878910233052601</v>
      </c>
      <c r="T150" s="8">
        <v>49.850129499406997</v>
      </c>
      <c r="U150" s="9">
        <v>-3.200652055965E-3</v>
      </c>
      <c r="V150" s="9">
        <v>-1.6244124578106999E-3</v>
      </c>
      <c r="W150" s="9">
        <v>-2.2015910714174801E-3</v>
      </c>
      <c r="X150" s="10">
        <v>1.0432240551263301</v>
      </c>
      <c r="Y150" s="10">
        <v>1.03989039569729</v>
      </c>
      <c r="Z150" s="10">
        <v>1.0416402568692</v>
      </c>
      <c r="AA150" s="10">
        <v>1.0411335138172499</v>
      </c>
      <c r="AB150" s="8">
        <v>49.800351049943302</v>
      </c>
      <c r="AC150" s="8">
        <v>49.878910233052601</v>
      </c>
      <c r="AD150" s="8">
        <v>49.850129499406997</v>
      </c>
      <c r="AE150" s="9">
        <v>-3.200652055965E-3</v>
      </c>
      <c r="AF150" s="9">
        <v>-1.6244124578106999E-3</v>
      </c>
      <c r="AG150" s="9">
        <v>-2.2015910714174801E-3</v>
      </c>
      <c r="AZ150" s="9"/>
      <c r="BB150">
        <f t="shared" si="22"/>
        <v>1</v>
      </c>
      <c r="BC150">
        <f t="shared" si="23"/>
        <v>0</v>
      </c>
      <c r="BD150">
        <f t="shared" si="24"/>
        <v>1</v>
      </c>
      <c r="BE150">
        <f t="shared" ref="BE150:BE167" si="40">IF(F151+H151&gt;0,0,1)</f>
        <v>1</v>
      </c>
      <c r="BF150">
        <f t="shared" si="25"/>
        <v>1</v>
      </c>
      <c r="BG150" s="9">
        <f t="shared" si="26"/>
        <v>-2.0859415156362199E-3</v>
      </c>
      <c r="BH150" s="9">
        <f t="shared" si="27"/>
        <v>1.7998205038525299E-3</v>
      </c>
      <c r="BI150" s="9">
        <f t="shared" si="28"/>
        <v>-2.8612101178368998E-4</v>
      </c>
      <c r="BJ150" s="12">
        <f t="shared" si="29"/>
        <v>-1.927506474278835E-3</v>
      </c>
      <c r="BL150" s="9"/>
      <c r="BN150">
        <f t="shared" si="30"/>
        <v>0</v>
      </c>
      <c r="BO150">
        <f t="shared" si="31"/>
        <v>1</v>
      </c>
      <c r="BP150">
        <f t="shared" si="32"/>
        <v>0</v>
      </c>
      <c r="BQ150">
        <f t="shared" ref="BQ150:BQ167" si="41">IF(F151+H151&gt;0,0,1)</f>
        <v>1</v>
      </c>
      <c r="BR150">
        <f t="shared" si="33"/>
        <v>0</v>
      </c>
      <c r="BS150" s="9">
        <f t="shared" si="34"/>
        <v>0</v>
      </c>
      <c r="BT150" s="9">
        <f t="shared" si="35"/>
        <v>0</v>
      </c>
      <c r="BU150" s="9">
        <f t="shared" si="36"/>
        <v>0</v>
      </c>
      <c r="BV150" s="12">
        <f t="shared" si="37"/>
        <v>2.8586004622310843E-3</v>
      </c>
      <c r="BX150" s="12">
        <f t="shared" si="38"/>
        <v>-2.8612101178368998E-4</v>
      </c>
      <c r="BY150" s="12">
        <f t="shared" si="39"/>
        <v>9.3109398795224955E-4</v>
      </c>
    </row>
    <row r="151" spans="1:77" x14ac:dyDescent="0.3">
      <c r="A151" s="1">
        <v>46241</v>
      </c>
      <c r="B151" s="8">
        <v>47.95</v>
      </c>
      <c r="C151" s="8">
        <v>50.03</v>
      </c>
      <c r="D151" s="9">
        <v>1.2520869749293099E-3</v>
      </c>
      <c r="E151" s="9">
        <v>1.40014024273666E-3</v>
      </c>
      <c r="F151" s="8">
        <v>0</v>
      </c>
      <c r="G151" s="8">
        <v>0.78029999999999999</v>
      </c>
      <c r="H151" s="8">
        <v>0</v>
      </c>
      <c r="I151" s="8">
        <v>0.71309999999999996</v>
      </c>
      <c r="J151" s="8">
        <v>0</v>
      </c>
      <c r="K151" s="8">
        <v>0</v>
      </c>
      <c r="L151" s="8">
        <v>47.95</v>
      </c>
      <c r="M151" s="8">
        <v>50.03</v>
      </c>
      <c r="N151" s="10">
        <v>1.04337851929092</v>
      </c>
      <c r="O151" s="10">
        <v>1.03989039569729</v>
      </c>
      <c r="P151" s="10">
        <v>1.0418986108903401</v>
      </c>
      <c r="Q151" s="10">
        <v>1.04131616690326</v>
      </c>
      <c r="R151" s="8">
        <v>49.862744473685197</v>
      </c>
      <c r="S151" s="8">
        <v>49.946650316878099</v>
      </c>
      <c r="T151" s="8">
        <v>49.922351987537198</v>
      </c>
      <c r="U151" s="9">
        <v>-3.3487053237724299E-3</v>
      </c>
      <c r="V151" s="9">
        <v>-1.66738337738205E-3</v>
      </c>
      <c r="W151" s="9">
        <v>-2.15398741386328E-3</v>
      </c>
      <c r="X151" s="10">
        <v>1.04337851929092</v>
      </c>
      <c r="Y151" s="10">
        <v>1.03989039569729</v>
      </c>
      <c r="Z151" s="10">
        <v>1.0418986108903401</v>
      </c>
      <c r="AA151" s="10">
        <v>1.04131616690326</v>
      </c>
      <c r="AB151" s="8">
        <v>49.862744473685197</v>
      </c>
      <c r="AC151" s="8">
        <v>49.946650316878099</v>
      </c>
      <c r="AD151" s="8">
        <v>49.922351987537198</v>
      </c>
      <c r="AE151" s="9">
        <v>-3.3487053237724299E-3</v>
      </c>
      <c r="AF151" s="9">
        <v>-1.66738337738205E-3</v>
      </c>
      <c r="AG151" s="9">
        <v>-2.15398741386328E-3</v>
      </c>
      <c r="AZ151" s="9"/>
      <c r="BB151">
        <f t="shared" ref="BB151:BB167" si="42">IF($AG151&lt;BA$20,1,0)</f>
        <v>1</v>
      </c>
      <c r="BC151">
        <f t="shared" ref="BC151:BC167" si="43">IF($AG151&gt;BA$21,1,0)</f>
        <v>0</v>
      </c>
      <c r="BD151">
        <f t="shared" ref="BD151:BD167" si="44">BF151</f>
        <v>1</v>
      </c>
      <c r="BE151">
        <f t="shared" si="40"/>
        <v>1</v>
      </c>
      <c r="BF151">
        <f t="shared" ref="BF151:BF167" si="45">IF(BB150,1,IF(BC150,0,BD150))*BE150</f>
        <v>1</v>
      </c>
      <c r="BG151" s="9">
        <f t="shared" ref="BG151:BG167" si="46">BF151*D151</f>
        <v>1.2520869749293099E-3</v>
      </c>
      <c r="BH151" s="9">
        <f t="shared" ref="BH151:BH167" si="47">-BF151*$E151</f>
        <v>-1.40014024273666E-3</v>
      </c>
      <c r="BI151" s="9">
        <f t="shared" ref="BI151:BI167" si="48">BG151+BH151</f>
        <v>-1.4805326780735007E-4</v>
      </c>
      <c r="BJ151" s="12">
        <f t="shared" ref="BJ151:BJ167" si="49">BJ150+BI151</f>
        <v>-2.0755597420861853E-3</v>
      </c>
      <c r="BL151" s="9"/>
      <c r="BN151">
        <f t="shared" ref="BN151:BN167" si="50">IF($AG151&gt;BM$20,1,0)</f>
        <v>0</v>
      </c>
      <c r="BO151">
        <f t="shared" ref="BO151:BO167" si="51">IF($AG151&lt;BM$21,1,0)</f>
        <v>1</v>
      </c>
      <c r="BP151">
        <f t="shared" ref="BP151:BP167" si="52">BR151</f>
        <v>0</v>
      </c>
      <c r="BQ151">
        <f t="shared" si="41"/>
        <v>1</v>
      </c>
      <c r="BR151">
        <f t="shared" ref="BR151:BR167" si="53">IF(BN150,1,IF(BO150,0,BP150))*BQ150</f>
        <v>0</v>
      </c>
      <c r="BS151" s="9">
        <f t="shared" ref="BS151:BS167" si="54">-BR151*D151</f>
        <v>0</v>
      </c>
      <c r="BT151" s="9">
        <f t="shared" ref="BT151:BT167" si="55">BR151*$E151</f>
        <v>0</v>
      </c>
      <c r="BU151" s="9">
        <f t="shared" ref="BU151:BU167" si="56">BS151+BT151</f>
        <v>0</v>
      </c>
      <c r="BV151" s="12">
        <f t="shared" ref="BV151:BV167" si="57">BV150+BU151</f>
        <v>2.8586004622310843E-3</v>
      </c>
      <c r="BX151" s="12">
        <f t="shared" ref="BX151:BX167" si="58">BI151+BU151</f>
        <v>-1.4805326780735007E-4</v>
      </c>
      <c r="BY151" s="12">
        <f t="shared" ref="BY151:BY167" si="59">BY150+BX151</f>
        <v>7.8304072014489948E-4</v>
      </c>
    </row>
    <row r="152" spans="1:77" x14ac:dyDescent="0.3">
      <c r="A152" s="1">
        <v>46244</v>
      </c>
      <c r="B152" s="8">
        <v>47.79</v>
      </c>
      <c r="C152" s="8">
        <v>49.9</v>
      </c>
      <c r="D152" s="9">
        <v>-3.3423887393804999E-3</v>
      </c>
      <c r="E152" s="9">
        <v>-2.6018227426407698E-3</v>
      </c>
      <c r="F152" s="8">
        <v>0</v>
      </c>
      <c r="G152" s="8">
        <v>0.78029999999999999</v>
      </c>
      <c r="H152" s="8">
        <v>0</v>
      </c>
      <c r="I152" s="8">
        <v>0.71309999999999996</v>
      </c>
      <c r="J152" s="8">
        <v>0</v>
      </c>
      <c r="K152" s="8">
        <v>0</v>
      </c>
      <c r="L152" s="8">
        <v>47.79</v>
      </c>
      <c r="M152" s="8">
        <v>49.9</v>
      </c>
      <c r="N152" s="10">
        <v>1.04415149612889</v>
      </c>
      <c r="O152" s="10">
        <v>1.03989039569729</v>
      </c>
      <c r="P152" s="10">
        <v>1.04232795082042</v>
      </c>
      <c r="Q152" s="10">
        <v>1.0415087072557501</v>
      </c>
      <c r="R152" s="8">
        <v>49.696362010373598</v>
      </c>
      <c r="S152" s="8">
        <v>49.792334614449402</v>
      </c>
      <c r="T152" s="8">
        <v>49.7644996163069</v>
      </c>
      <c r="U152" s="9">
        <v>-4.0892713205122099E-3</v>
      </c>
      <c r="V152" s="9">
        <v>-2.15995397891752E-3</v>
      </c>
      <c r="W152" s="9">
        <v>-2.71913204203895E-3</v>
      </c>
      <c r="X152" s="10">
        <v>1.04415149612889</v>
      </c>
      <c r="Y152" s="10">
        <v>1.03989039569729</v>
      </c>
      <c r="Z152" s="10">
        <v>1.04232795082042</v>
      </c>
      <c r="AA152" s="10">
        <v>1.0415087072557501</v>
      </c>
      <c r="AB152" s="8">
        <v>49.696362010373598</v>
      </c>
      <c r="AC152" s="8">
        <v>49.792334614449402</v>
      </c>
      <c r="AD152" s="8">
        <v>49.7644996163069</v>
      </c>
      <c r="AE152" s="9">
        <v>-4.0892713205122099E-3</v>
      </c>
      <c r="AF152" s="9">
        <v>-2.15995397891752E-3</v>
      </c>
      <c r="AG152" s="9">
        <v>-2.71913204203895E-3</v>
      </c>
      <c r="AZ152" s="9"/>
      <c r="BB152">
        <f t="shared" si="42"/>
        <v>1</v>
      </c>
      <c r="BC152">
        <f t="shared" si="43"/>
        <v>0</v>
      </c>
      <c r="BD152">
        <f t="shared" si="44"/>
        <v>1</v>
      </c>
      <c r="BE152">
        <f t="shared" si="40"/>
        <v>1</v>
      </c>
      <c r="BF152">
        <f t="shared" si="45"/>
        <v>1</v>
      </c>
      <c r="BG152" s="9">
        <f t="shared" si="46"/>
        <v>-3.3423887393804999E-3</v>
      </c>
      <c r="BH152" s="9">
        <f t="shared" si="47"/>
        <v>2.6018227426407698E-3</v>
      </c>
      <c r="BI152" s="9">
        <f t="shared" si="48"/>
        <v>-7.4056599673973014E-4</v>
      </c>
      <c r="BJ152" s="12">
        <f t="shared" si="49"/>
        <v>-2.8161257388259154E-3</v>
      </c>
      <c r="BL152" s="9"/>
      <c r="BN152">
        <f t="shared" si="50"/>
        <v>0</v>
      </c>
      <c r="BO152">
        <f t="shared" si="51"/>
        <v>1</v>
      </c>
      <c r="BP152">
        <f t="shared" si="52"/>
        <v>0</v>
      </c>
      <c r="BQ152">
        <f t="shared" si="41"/>
        <v>1</v>
      </c>
      <c r="BR152">
        <f t="shared" si="53"/>
        <v>0</v>
      </c>
      <c r="BS152" s="9">
        <f t="shared" si="54"/>
        <v>0</v>
      </c>
      <c r="BT152" s="9">
        <f t="shared" si="55"/>
        <v>0</v>
      </c>
      <c r="BU152" s="9">
        <f t="shared" si="56"/>
        <v>0</v>
      </c>
      <c r="BV152" s="12">
        <f t="shared" si="57"/>
        <v>2.8586004622310843E-3</v>
      </c>
      <c r="BX152" s="12">
        <f t="shared" si="58"/>
        <v>-7.4056599673973014E-4</v>
      </c>
      <c r="BY152" s="12">
        <f t="shared" si="59"/>
        <v>4.2474723405169345E-5</v>
      </c>
    </row>
    <row r="153" spans="1:77" x14ac:dyDescent="0.3">
      <c r="A153" s="1">
        <v>46245</v>
      </c>
      <c r="B153" s="8">
        <v>47.82</v>
      </c>
      <c r="C153" s="8">
        <v>49.91</v>
      </c>
      <c r="D153" s="9">
        <v>6.2754944011183004E-4</v>
      </c>
      <c r="E153" s="9">
        <v>2.00380724044903E-4</v>
      </c>
      <c r="F153" s="8">
        <v>0</v>
      </c>
      <c r="G153" s="8">
        <v>0.78029999999999999</v>
      </c>
      <c r="H153" s="8">
        <v>0</v>
      </c>
      <c r="I153" s="8">
        <v>0.71309999999999996</v>
      </c>
      <c r="J153" s="8">
        <v>0</v>
      </c>
      <c r="K153" s="8">
        <v>0</v>
      </c>
      <c r="L153" s="8">
        <v>47.82</v>
      </c>
      <c r="M153" s="8">
        <v>49.91</v>
      </c>
      <c r="N153" s="10">
        <v>1.04370556252613</v>
      </c>
      <c r="O153" s="10">
        <v>1.03989039569729</v>
      </c>
      <c r="P153" s="10">
        <v>1.04265599821703</v>
      </c>
      <c r="Q153" s="10">
        <v>1.04166104126195</v>
      </c>
      <c r="R153" s="8">
        <v>49.727558722244503</v>
      </c>
      <c r="S153" s="8">
        <v>49.844122608232801</v>
      </c>
      <c r="T153" s="8">
        <v>49.804946380970001</v>
      </c>
      <c r="U153" s="9">
        <v>-3.66210260444522E-3</v>
      </c>
      <c r="V153" s="9">
        <v>-1.32079556456577E-3</v>
      </c>
      <c r="W153" s="9">
        <v>-2.1070794642272599E-3</v>
      </c>
      <c r="X153" s="10">
        <v>1.04370556252613</v>
      </c>
      <c r="Y153" s="10">
        <v>1.03989039569729</v>
      </c>
      <c r="Z153" s="10">
        <v>1.04265599821703</v>
      </c>
      <c r="AA153" s="10">
        <v>1.04166104126195</v>
      </c>
      <c r="AB153" s="8">
        <v>49.727558722244503</v>
      </c>
      <c r="AC153" s="8">
        <v>49.844122608232801</v>
      </c>
      <c r="AD153" s="8">
        <v>49.804946380970001</v>
      </c>
      <c r="AE153" s="9">
        <v>-3.66210260444522E-3</v>
      </c>
      <c r="AF153" s="9">
        <v>-1.32079556456577E-3</v>
      </c>
      <c r="AG153" s="9">
        <v>-2.1070794642272599E-3</v>
      </c>
      <c r="AZ153" s="9"/>
      <c r="BB153">
        <f t="shared" si="42"/>
        <v>1</v>
      </c>
      <c r="BC153">
        <f t="shared" si="43"/>
        <v>0</v>
      </c>
      <c r="BD153">
        <f t="shared" si="44"/>
        <v>1</v>
      </c>
      <c r="BE153">
        <f t="shared" si="40"/>
        <v>1</v>
      </c>
      <c r="BF153">
        <f t="shared" si="45"/>
        <v>1</v>
      </c>
      <c r="BG153" s="9">
        <f t="shared" si="46"/>
        <v>6.2754944011183004E-4</v>
      </c>
      <c r="BH153" s="9">
        <f t="shared" si="47"/>
        <v>-2.00380724044903E-4</v>
      </c>
      <c r="BI153" s="9">
        <f t="shared" si="48"/>
        <v>4.2716871606692701E-4</v>
      </c>
      <c r="BJ153" s="12">
        <f t="shared" si="49"/>
        <v>-2.3889570227589884E-3</v>
      </c>
      <c r="BL153" s="9"/>
      <c r="BN153">
        <f t="shared" si="50"/>
        <v>0</v>
      </c>
      <c r="BO153">
        <f t="shared" si="51"/>
        <v>1</v>
      </c>
      <c r="BP153">
        <f t="shared" si="52"/>
        <v>0</v>
      </c>
      <c r="BQ153">
        <f t="shared" si="41"/>
        <v>1</v>
      </c>
      <c r="BR153">
        <f t="shared" si="53"/>
        <v>0</v>
      </c>
      <c r="BS153" s="9">
        <f t="shared" si="54"/>
        <v>0</v>
      </c>
      <c r="BT153" s="9">
        <f t="shared" si="55"/>
        <v>0</v>
      </c>
      <c r="BU153" s="9">
        <f t="shared" si="56"/>
        <v>0</v>
      </c>
      <c r="BV153" s="12">
        <f t="shared" si="57"/>
        <v>2.8586004622310843E-3</v>
      </c>
      <c r="BX153" s="12">
        <f t="shared" si="58"/>
        <v>4.2716871606692701E-4</v>
      </c>
      <c r="BY153" s="12">
        <f t="shared" si="59"/>
        <v>4.6964343947209636E-4</v>
      </c>
    </row>
    <row r="154" spans="1:77" x14ac:dyDescent="0.3">
      <c r="A154" s="1">
        <v>46246</v>
      </c>
      <c r="B154" s="8">
        <v>47.82</v>
      </c>
      <c r="C154" s="8">
        <v>49.91</v>
      </c>
      <c r="D154" s="9">
        <v>0</v>
      </c>
      <c r="E154" s="9">
        <v>0</v>
      </c>
      <c r="F154" s="8">
        <v>0</v>
      </c>
      <c r="G154" s="8">
        <v>0.78029999999999999</v>
      </c>
      <c r="H154" s="8">
        <v>0</v>
      </c>
      <c r="I154" s="8">
        <v>0.71309999999999996</v>
      </c>
      <c r="J154" s="8">
        <v>0</v>
      </c>
      <c r="K154" s="8">
        <v>0</v>
      </c>
      <c r="L154" s="8">
        <v>47.82</v>
      </c>
      <c r="M154" s="8">
        <v>49.91</v>
      </c>
      <c r="N154" s="10">
        <v>1.04370556252613</v>
      </c>
      <c r="O154" s="10">
        <v>1.03989039569729</v>
      </c>
      <c r="P154" s="10">
        <v>1.0429269937082899</v>
      </c>
      <c r="Q154" s="10">
        <v>1.0418371584471799</v>
      </c>
      <c r="R154" s="8">
        <v>49.727558722244503</v>
      </c>
      <c r="S154" s="8">
        <v>49.8598098347384</v>
      </c>
      <c r="T154" s="8">
        <v>49.812230993146798</v>
      </c>
      <c r="U154" s="9">
        <v>-3.66210260444522E-3</v>
      </c>
      <c r="V154" s="9">
        <v>-1.0061193777675E-3</v>
      </c>
      <c r="W154" s="9">
        <v>-1.9608273341867699E-3</v>
      </c>
      <c r="X154" s="10">
        <v>1.04370556252613</v>
      </c>
      <c r="Y154" s="10">
        <v>1.03989039569729</v>
      </c>
      <c r="Z154" s="10">
        <v>1.0429269937082899</v>
      </c>
      <c r="AA154" s="10">
        <v>1.0418371584471799</v>
      </c>
      <c r="AB154" s="8">
        <v>49.727558722244503</v>
      </c>
      <c r="AC154" s="8">
        <v>49.8598098347384</v>
      </c>
      <c r="AD154" s="8">
        <v>49.812230993146798</v>
      </c>
      <c r="AE154" s="9">
        <v>-3.66210260444522E-3</v>
      </c>
      <c r="AF154" s="9">
        <v>-1.0061193777675E-3</v>
      </c>
      <c r="AG154" s="9">
        <v>-1.9608273341867699E-3</v>
      </c>
      <c r="AZ154" s="9"/>
      <c r="BB154">
        <f t="shared" si="42"/>
        <v>1</v>
      </c>
      <c r="BC154">
        <f t="shared" si="43"/>
        <v>0</v>
      </c>
      <c r="BD154">
        <f t="shared" si="44"/>
        <v>1</v>
      </c>
      <c r="BE154">
        <f t="shared" si="40"/>
        <v>1</v>
      </c>
      <c r="BF154">
        <f t="shared" si="45"/>
        <v>1</v>
      </c>
      <c r="BG154" s="9">
        <f t="shared" si="46"/>
        <v>0</v>
      </c>
      <c r="BH154" s="9">
        <f t="shared" si="47"/>
        <v>0</v>
      </c>
      <c r="BI154" s="9">
        <f t="shared" si="48"/>
        <v>0</v>
      </c>
      <c r="BJ154" s="12">
        <f t="shared" si="49"/>
        <v>-2.3889570227589884E-3</v>
      </c>
      <c r="BL154" s="9"/>
      <c r="BN154">
        <f t="shared" si="50"/>
        <v>0</v>
      </c>
      <c r="BO154">
        <f t="shared" si="51"/>
        <v>1</v>
      </c>
      <c r="BP154">
        <f t="shared" si="52"/>
        <v>0</v>
      </c>
      <c r="BQ154">
        <f t="shared" si="41"/>
        <v>1</v>
      </c>
      <c r="BR154">
        <f t="shared" si="53"/>
        <v>0</v>
      </c>
      <c r="BS154" s="9">
        <f t="shared" si="54"/>
        <v>0</v>
      </c>
      <c r="BT154" s="9">
        <f t="shared" si="55"/>
        <v>0</v>
      </c>
      <c r="BU154" s="9">
        <f t="shared" si="56"/>
        <v>0</v>
      </c>
      <c r="BV154" s="12">
        <f t="shared" si="57"/>
        <v>2.8586004622310843E-3</v>
      </c>
      <c r="BX154" s="12">
        <f t="shared" si="58"/>
        <v>0</v>
      </c>
      <c r="BY154" s="12">
        <f t="shared" si="59"/>
        <v>4.6964343947209636E-4</v>
      </c>
    </row>
    <row r="155" spans="1:77" x14ac:dyDescent="0.3">
      <c r="A155" s="1">
        <v>46247</v>
      </c>
      <c r="B155" s="8">
        <v>47.91</v>
      </c>
      <c r="C155" s="8">
        <v>49.99</v>
      </c>
      <c r="D155" s="9">
        <v>1.8802888648519001E-3</v>
      </c>
      <c r="E155" s="9">
        <v>1.60160194396114E-3</v>
      </c>
      <c r="F155" s="8">
        <v>0</v>
      </c>
      <c r="G155" s="8">
        <v>0.78029999999999999</v>
      </c>
      <c r="H155" s="8">
        <v>0</v>
      </c>
      <c r="I155" s="8">
        <v>0.71309999999999996</v>
      </c>
      <c r="J155" s="8">
        <v>0</v>
      </c>
      <c r="K155" s="8">
        <v>0</v>
      </c>
      <c r="L155" s="8">
        <v>47.91</v>
      </c>
      <c r="M155" s="8">
        <v>49.99</v>
      </c>
      <c r="N155" s="10">
        <v>1.04341473596326</v>
      </c>
      <c r="O155" s="10">
        <v>1.03989039569729</v>
      </c>
      <c r="P155" s="10">
        <v>1.04319578560036</v>
      </c>
      <c r="Q155" s="10">
        <v>1.04199580183417</v>
      </c>
      <c r="R155" s="8">
        <v>49.821148857857303</v>
      </c>
      <c r="S155" s="8">
        <v>49.966632268564503</v>
      </c>
      <c r="T155" s="8">
        <v>49.914418261204702</v>
      </c>
      <c r="U155" s="9">
        <v>-3.3834156835543601E-3</v>
      </c>
      <c r="V155" s="9">
        <v>-4.6755740626383199E-4</v>
      </c>
      <c r="W155" s="9">
        <v>-1.5130812937123701E-3</v>
      </c>
      <c r="X155" s="10">
        <v>1.04341473596326</v>
      </c>
      <c r="Y155" s="10">
        <v>1.03989039569729</v>
      </c>
      <c r="Z155" s="10">
        <v>1.04319578560036</v>
      </c>
      <c r="AA155" s="10">
        <v>1.04199580183417</v>
      </c>
      <c r="AB155" s="8">
        <v>49.821148857857303</v>
      </c>
      <c r="AC155" s="8">
        <v>49.966632268564503</v>
      </c>
      <c r="AD155" s="8">
        <v>49.914418261204702</v>
      </c>
      <c r="AE155" s="9">
        <v>-3.3834156835543601E-3</v>
      </c>
      <c r="AF155" s="9">
        <v>-4.6755740626383199E-4</v>
      </c>
      <c r="AG155" s="9">
        <v>-1.5130812937123701E-3</v>
      </c>
      <c r="AZ155" s="9"/>
      <c r="BB155">
        <f t="shared" si="42"/>
        <v>1</v>
      </c>
      <c r="BC155">
        <f t="shared" si="43"/>
        <v>0</v>
      </c>
      <c r="BD155">
        <f t="shared" si="44"/>
        <v>1</v>
      </c>
      <c r="BE155">
        <f t="shared" si="40"/>
        <v>1</v>
      </c>
      <c r="BF155">
        <f t="shared" si="45"/>
        <v>1</v>
      </c>
      <c r="BG155" s="9">
        <f t="shared" si="46"/>
        <v>1.8802888648519001E-3</v>
      </c>
      <c r="BH155" s="9">
        <f t="shared" si="47"/>
        <v>-1.60160194396114E-3</v>
      </c>
      <c r="BI155" s="9">
        <f t="shared" si="48"/>
        <v>2.7868692089076013E-4</v>
      </c>
      <c r="BJ155" s="12">
        <f t="shared" si="49"/>
        <v>-2.1102701018682283E-3</v>
      </c>
      <c r="BL155" s="9"/>
      <c r="BN155">
        <f t="shared" si="50"/>
        <v>0</v>
      </c>
      <c r="BO155">
        <f t="shared" si="51"/>
        <v>1</v>
      </c>
      <c r="BP155">
        <f t="shared" si="52"/>
        <v>0</v>
      </c>
      <c r="BQ155">
        <f t="shared" si="41"/>
        <v>1</v>
      </c>
      <c r="BR155">
        <f t="shared" si="53"/>
        <v>0</v>
      </c>
      <c r="BS155" s="9">
        <f t="shared" si="54"/>
        <v>0</v>
      </c>
      <c r="BT155" s="9">
        <f t="shared" si="55"/>
        <v>0</v>
      </c>
      <c r="BU155" s="9">
        <f t="shared" si="56"/>
        <v>0</v>
      </c>
      <c r="BV155" s="12">
        <f t="shared" si="57"/>
        <v>2.8586004622310843E-3</v>
      </c>
      <c r="BX155" s="12">
        <f t="shared" si="58"/>
        <v>2.7868692089076013E-4</v>
      </c>
      <c r="BY155" s="12">
        <f t="shared" si="59"/>
        <v>7.4833036036285648E-4</v>
      </c>
    </row>
    <row r="156" spans="1:77" x14ac:dyDescent="0.3">
      <c r="A156" s="1">
        <v>46248</v>
      </c>
      <c r="B156" s="8">
        <v>47.72</v>
      </c>
      <c r="C156" s="8">
        <v>49.87</v>
      </c>
      <c r="D156" s="9">
        <v>-3.9736536653152896E-3</v>
      </c>
      <c r="E156" s="9">
        <v>-2.40336586744795E-3</v>
      </c>
      <c r="F156" s="8">
        <v>0</v>
      </c>
      <c r="G156" s="8">
        <v>0.78029999999999999</v>
      </c>
      <c r="H156" s="8">
        <v>0</v>
      </c>
      <c r="I156" s="8">
        <v>0.71309999999999996</v>
      </c>
      <c r="J156" s="8">
        <v>0</v>
      </c>
      <c r="K156" s="8">
        <v>0</v>
      </c>
      <c r="L156" s="8">
        <v>47.72</v>
      </c>
      <c r="M156" s="8">
        <v>49.87</v>
      </c>
      <c r="N156" s="10">
        <v>1.04505448449287</v>
      </c>
      <c r="O156" s="10">
        <v>1.03989039569729</v>
      </c>
      <c r="P156" s="10">
        <v>1.0435563732583499</v>
      </c>
      <c r="Q156" s="10">
        <v>1.04224560513246</v>
      </c>
      <c r="R156" s="8">
        <v>49.623569682674798</v>
      </c>
      <c r="S156" s="8">
        <v>49.781302888849297</v>
      </c>
      <c r="T156" s="8">
        <v>49.724039663526703</v>
      </c>
      <c r="U156" s="9">
        <v>-4.9537034814217196E-3</v>
      </c>
      <c r="V156" s="9">
        <v>-1.78015002317722E-3</v>
      </c>
      <c r="W156" s="9">
        <v>-2.9311079551861698E-3</v>
      </c>
      <c r="X156" s="10">
        <v>1.04505448449287</v>
      </c>
      <c r="Y156" s="10">
        <v>1.03989039569729</v>
      </c>
      <c r="Z156" s="10">
        <v>1.0435563732583499</v>
      </c>
      <c r="AA156" s="10">
        <v>1.04224560513246</v>
      </c>
      <c r="AB156" s="8">
        <v>49.623569682674798</v>
      </c>
      <c r="AC156" s="8">
        <v>49.781302888849297</v>
      </c>
      <c r="AD156" s="8">
        <v>49.724039663526703</v>
      </c>
      <c r="AE156" s="9">
        <v>-4.9537034814217196E-3</v>
      </c>
      <c r="AF156" s="9">
        <v>-1.78015002317722E-3</v>
      </c>
      <c r="AG156" s="9">
        <v>-2.9311079551861698E-3</v>
      </c>
      <c r="AZ156" s="9"/>
      <c r="BB156">
        <f t="shared" si="42"/>
        <v>1</v>
      </c>
      <c r="BC156">
        <f t="shared" si="43"/>
        <v>0</v>
      </c>
      <c r="BD156">
        <f t="shared" si="44"/>
        <v>1</v>
      </c>
      <c r="BE156">
        <f t="shared" si="40"/>
        <v>1</v>
      </c>
      <c r="BF156">
        <f t="shared" si="45"/>
        <v>1</v>
      </c>
      <c r="BG156" s="9">
        <f t="shared" si="46"/>
        <v>-3.9736536653152896E-3</v>
      </c>
      <c r="BH156" s="9">
        <f t="shared" si="47"/>
        <v>2.40336586744795E-3</v>
      </c>
      <c r="BI156" s="9">
        <f t="shared" si="48"/>
        <v>-1.5702877978673395E-3</v>
      </c>
      <c r="BJ156" s="12">
        <f t="shared" si="49"/>
        <v>-3.6805578997355678E-3</v>
      </c>
      <c r="BL156" s="9"/>
      <c r="BN156">
        <f t="shared" si="50"/>
        <v>0</v>
      </c>
      <c r="BO156">
        <f t="shared" si="51"/>
        <v>1</v>
      </c>
      <c r="BP156">
        <f t="shared" si="52"/>
        <v>0</v>
      </c>
      <c r="BQ156">
        <f t="shared" si="41"/>
        <v>1</v>
      </c>
      <c r="BR156">
        <f t="shared" si="53"/>
        <v>0</v>
      </c>
      <c r="BS156" s="9">
        <f t="shared" si="54"/>
        <v>0</v>
      </c>
      <c r="BT156" s="9">
        <f t="shared" si="55"/>
        <v>0</v>
      </c>
      <c r="BU156" s="9">
        <f t="shared" si="56"/>
        <v>0</v>
      </c>
      <c r="BV156" s="12">
        <f t="shared" si="57"/>
        <v>2.8586004622310843E-3</v>
      </c>
      <c r="BX156" s="12">
        <f t="shared" si="58"/>
        <v>-1.5702877978673395E-3</v>
      </c>
      <c r="BY156" s="12">
        <f t="shared" si="59"/>
        <v>-8.2195743750448306E-4</v>
      </c>
    </row>
    <row r="157" spans="1:77" x14ac:dyDescent="0.3">
      <c r="A157" s="1">
        <v>46251</v>
      </c>
      <c r="B157" s="8">
        <v>47.65</v>
      </c>
      <c r="C157" s="8">
        <v>49.78</v>
      </c>
      <c r="D157" s="9">
        <v>-1.46796712950429E-3</v>
      </c>
      <c r="E157" s="9">
        <v>-1.80632261858519E-3</v>
      </c>
      <c r="F157" s="8">
        <v>0</v>
      </c>
      <c r="G157" s="8">
        <v>0.78029999999999999</v>
      </c>
      <c r="H157" s="8">
        <v>0</v>
      </c>
      <c r="I157" s="8">
        <v>0.71309999999999996</v>
      </c>
      <c r="J157" s="8">
        <v>0</v>
      </c>
      <c r="K157" s="8">
        <v>0</v>
      </c>
      <c r="L157" s="8">
        <v>47.65</v>
      </c>
      <c r="M157" s="8">
        <v>49.78</v>
      </c>
      <c r="N157" s="10">
        <v>1.0447009443861399</v>
      </c>
      <c r="O157" s="10">
        <v>1.03989039569729</v>
      </c>
      <c r="P157" s="10">
        <v>1.0437204476300801</v>
      </c>
      <c r="Q157" s="10">
        <v>1.04241038886369</v>
      </c>
      <c r="R157" s="8">
        <v>49.550777354975999</v>
      </c>
      <c r="S157" s="8">
        <v>49.7254611857608</v>
      </c>
      <c r="T157" s="8">
        <v>49.663003084562</v>
      </c>
      <c r="U157" s="9">
        <v>-4.6153479923408802E-3</v>
      </c>
      <c r="V157" s="9">
        <v>-1.0961975162096301E-3</v>
      </c>
      <c r="W157" s="9">
        <v>-2.3530457808298702E-3</v>
      </c>
      <c r="X157" s="10">
        <v>1.0447009443861399</v>
      </c>
      <c r="Y157" s="10">
        <v>1.03989039569729</v>
      </c>
      <c r="Z157" s="10">
        <v>1.0437204476300801</v>
      </c>
      <c r="AA157" s="10">
        <v>1.04241038886369</v>
      </c>
      <c r="AB157" s="8">
        <v>49.550777354975999</v>
      </c>
      <c r="AC157" s="8">
        <v>49.7254611857608</v>
      </c>
      <c r="AD157" s="8">
        <v>49.663003084562</v>
      </c>
      <c r="AE157" s="9">
        <v>-4.6153479923408802E-3</v>
      </c>
      <c r="AF157" s="9">
        <v>-1.0961975162096301E-3</v>
      </c>
      <c r="AG157" s="9">
        <v>-2.3530457808298702E-3</v>
      </c>
      <c r="BB157">
        <f t="shared" si="42"/>
        <v>1</v>
      </c>
      <c r="BC157">
        <f t="shared" si="43"/>
        <v>0</v>
      </c>
      <c r="BD157">
        <f t="shared" si="44"/>
        <v>1</v>
      </c>
      <c r="BE157">
        <f t="shared" si="40"/>
        <v>1</v>
      </c>
      <c r="BF157">
        <f t="shared" si="45"/>
        <v>1</v>
      </c>
      <c r="BG157" s="9">
        <f t="shared" si="46"/>
        <v>-1.46796712950429E-3</v>
      </c>
      <c r="BH157" s="9">
        <f t="shared" si="47"/>
        <v>1.80632261858519E-3</v>
      </c>
      <c r="BI157" s="9">
        <f t="shared" si="48"/>
        <v>3.3835548908089995E-4</v>
      </c>
      <c r="BJ157" s="12">
        <f t="shared" si="49"/>
        <v>-3.3422024106546681E-3</v>
      </c>
      <c r="BL157" s="9"/>
      <c r="BN157">
        <f t="shared" si="50"/>
        <v>0</v>
      </c>
      <c r="BO157">
        <f t="shared" si="51"/>
        <v>1</v>
      </c>
      <c r="BP157">
        <f t="shared" si="52"/>
        <v>0</v>
      </c>
      <c r="BQ157">
        <f t="shared" si="41"/>
        <v>1</v>
      </c>
      <c r="BR157">
        <f t="shared" si="53"/>
        <v>0</v>
      </c>
      <c r="BS157" s="9">
        <f t="shared" si="54"/>
        <v>0</v>
      </c>
      <c r="BT157" s="9">
        <f t="shared" si="55"/>
        <v>0</v>
      </c>
      <c r="BU157" s="9">
        <f t="shared" si="56"/>
        <v>0</v>
      </c>
      <c r="BV157" s="12">
        <f t="shared" si="57"/>
        <v>2.8586004622310843E-3</v>
      </c>
      <c r="BX157" s="12">
        <f t="shared" si="58"/>
        <v>3.3835548908089995E-4</v>
      </c>
      <c r="BY157" s="12">
        <f t="shared" si="59"/>
        <v>-4.8360194842358311E-4</v>
      </c>
    </row>
    <row r="158" spans="1:77" x14ac:dyDescent="0.3">
      <c r="A158" s="1">
        <v>46252</v>
      </c>
      <c r="B158" s="8">
        <v>47.59</v>
      </c>
      <c r="C158" s="8">
        <v>49.78</v>
      </c>
      <c r="D158" s="9">
        <v>-1.2599749671919299E-3</v>
      </c>
      <c r="E158" s="9">
        <v>0</v>
      </c>
      <c r="F158" s="8">
        <v>0</v>
      </c>
      <c r="G158" s="8">
        <v>0.78029999999999999</v>
      </c>
      <c r="H158" s="8">
        <v>0</v>
      </c>
      <c r="I158" s="8">
        <v>0.71309999999999996</v>
      </c>
      <c r="J158" s="8">
        <v>0</v>
      </c>
      <c r="K158" s="8">
        <v>0</v>
      </c>
      <c r="L158" s="8">
        <v>47.59</v>
      </c>
      <c r="M158" s="8">
        <v>49.78</v>
      </c>
      <c r="N158" s="10">
        <v>1.04601807102332</v>
      </c>
      <c r="O158" s="10">
        <v>1.03989039569729</v>
      </c>
      <c r="P158" s="10">
        <v>1.0440279040966001</v>
      </c>
      <c r="Q158" s="10">
        <v>1.0426728228350901</v>
      </c>
      <c r="R158" s="8">
        <v>49.488383931234097</v>
      </c>
      <c r="S158" s="8">
        <v>49.670656102715697</v>
      </c>
      <c r="T158" s="8">
        <v>49.608310406023101</v>
      </c>
      <c r="U158" s="9">
        <v>-5.8753229595328296E-3</v>
      </c>
      <c r="V158" s="9">
        <v>-2.1989586721609302E-3</v>
      </c>
      <c r="W158" s="9">
        <v>-3.45492873471592E-3</v>
      </c>
      <c r="X158" s="10">
        <v>1.04601807102332</v>
      </c>
      <c r="Y158" s="10">
        <v>1.03989039569729</v>
      </c>
      <c r="Z158" s="10">
        <v>1.0440279040966001</v>
      </c>
      <c r="AA158" s="10">
        <v>1.0426728228350901</v>
      </c>
      <c r="AB158" s="8">
        <v>49.488383931234097</v>
      </c>
      <c r="AC158" s="8">
        <v>49.670656102715697</v>
      </c>
      <c r="AD158" s="8">
        <v>49.608310406023101</v>
      </c>
      <c r="AE158" s="9">
        <v>-5.8753229595328296E-3</v>
      </c>
      <c r="AF158" s="9">
        <v>-2.1989586721609302E-3</v>
      </c>
      <c r="AG158" s="9">
        <v>-3.45492873471592E-3</v>
      </c>
      <c r="BB158">
        <f t="shared" si="42"/>
        <v>1</v>
      </c>
      <c r="BC158">
        <f t="shared" si="43"/>
        <v>0</v>
      </c>
      <c r="BD158">
        <f t="shared" si="44"/>
        <v>1</v>
      </c>
      <c r="BE158">
        <f t="shared" si="40"/>
        <v>1</v>
      </c>
      <c r="BF158">
        <f t="shared" si="45"/>
        <v>1</v>
      </c>
      <c r="BG158" s="9">
        <f t="shared" si="46"/>
        <v>-1.2599749671919299E-3</v>
      </c>
      <c r="BH158" s="9">
        <f t="shared" si="47"/>
        <v>0</v>
      </c>
      <c r="BI158" s="9">
        <f t="shared" si="48"/>
        <v>-1.2599749671919299E-3</v>
      </c>
      <c r="BJ158" s="12">
        <f t="shared" si="49"/>
        <v>-4.6021773778465985E-3</v>
      </c>
      <c r="BL158" s="9"/>
      <c r="BN158">
        <f t="shared" si="50"/>
        <v>0</v>
      </c>
      <c r="BO158">
        <f t="shared" si="51"/>
        <v>1</v>
      </c>
      <c r="BP158">
        <f t="shared" si="52"/>
        <v>0</v>
      </c>
      <c r="BQ158">
        <f t="shared" si="41"/>
        <v>1</v>
      </c>
      <c r="BR158">
        <f t="shared" si="53"/>
        <v>0</v>
      </c>
      <c r="BS158" s="9">
        <f t="shared" si="54"/>
        <v>0</v>
      </c>
      <c r="BT158" s="9">
        <f t="shared" si="55"/>
        <v>0</v>
      </c>
      <c r="BU158" s="9">
        <f t="shared" si="56"/>
        <v>0</v>
      </c>
      <c r="BV158" s="12">
        <f t="shared" si="57"/>
        <v>2.8586004622310843E-3</v>
      </c>
      <c r="BX158" s="12">
        <f t="shared" si="58"/>
        <v>-1.2599749671919299E-3</v>
      </c>
      <c r="BY158" s="12">
        <f t="shared" si="59"/>
        <v>-1.743576915615513E-3</v>
      </c>
    </row>
    <row r="159" spans="1:77" x14ac:dyDescent="0.3">
      <c r="A159" s="1">
        <v>46253</v>
      </c>
      <c r="B159" s="8">
        <v>47.74</v>
      </c>
      <c r="C159" s="8">
        <v>49.84</v>
      </c>
      <c r="D159" s="9">
        <v>3.1469657776649999E-3</v>
      </c>
      <c r="E159" s="9">
        <v>1.2045775397518099E-3</v>
      </c>
      <c r="F159" s="8">
        <v>0</v>
      </c>
      <c r="G159" s="8">
        <v>0.78029999999999999</v>
      </c>
      <c r="H159" s="8">
        <v>0</v>
      </c>
      <c r="I159" s="8">
        <v>0.71309999999999996</v>
      </c>
      <c r="J159" s="8">
        <v>0</v>
      </c>
      <c r="K159" s="8">
        <v>0</v>
      </c>
      <c r="L159" s="8">
        <v>47.74</v>
      </c>
      <c r="M159" s="8">
        <v>49.84</v>
      </c>
      <c r="N159" s="10">
        <v>1.04398826979472</v>
      </c>
      <c r="O159" s="10">
        <v>1.03989039569729</v>
      </c>
      <c r="P159" s="10">
        <v>1.04413417012587</v>
      </c>
      <c r="Q159" s="10">
        <v>1.0428324873708501</v>
      </c>
      <c r="R159" s="8">
        <v>49.644367490588699</v>
      </c>
      <c r="S159" s="8">
        <v>49.841892141571797</v>
      </c>
      <c r="T159" s="8">
        <v>49.777200562147499</v>
      </c>
      <c r="U159" s="9">
        <v>-3.9329347216197604E-3</v>
      </c>
      <c r="V159" s="9">
        <v>3.7963596624995199E-5</v>
      </c>
      <c r="W159" s="9">
        <v>-1.26081531737806E-3</v>
      </c>
      <c r="X159" s="10">
        <v>1.04398826979472</v>
      </c>
      <c r="Y159" s="10">
        <v>1.03989039569729</v>
      </c>
      <c r="Z159" s="10">
        <v>1.04413417012587</v>
      </c>
      <c r="AA159" s="10">
        <v>1.0428324873708501</v>
      </c>
      <c r="AB159" s="8">
        <v>49.644367490588699</v>
      </c>
      <c r="AC159" s="8">
        <v>49.841892141571797</v>
      </c>
      <c r="AD159" s="8">
        <v>49.777200562147499</v>
      </c>
      <c r="AE159" s="9">
        <v>-3.9329347216197604E-3</v>
      </c>
      <c r="AF159" s="9">
        <v>3.7963596624995199E-5</v>
      </c>
      <c r="AG159" s="9">
        <v>-1.26081531737806E-3</v>
      </c>
      <c r="BB159">
        <f t="shared" si="42"/>
        <v>1</v>
      </c>
      <c r="BC159">
        <f t="shared" si="43"/>
        <v>0</v>
      </c>
      <c r="BD159">
        <f t="shared" si="44"/>
        <v>1</v>
      </c>
      <c r="BE159">
        <f t="shared" si="40"/>
        <v>1</v>
      </c>
      <c r="BF159">
        <f t="shared" si="45"/>
        <v>1</v>
      </c>
      <c r="BG159" s="9">
        <f t="shared" si="46"/>
        <v>3.1469657776649999E-3</v>
      </c>
      <c r="BH159" s="9">
        <f t="shared" si="47"/>
        <v>-1.2045775397518099E-3</v>
      </c>
      <c r="BI159" s="9">
        <f t="shared" si="48"/>
        <v>1.94238823791319E-3</v>
      </c>
      <c r="BJ159" s="12">
        <f t="shared" si="49"/>
        <v>-2.6597891399334087E-3</v>
      </c>
      <c r="BL159" s="9"/>
      <c r="BN159">
        <f t="shared" si="50"/>
        <v>0</v>
      </c>
      <c r="BO159">
        <f t="shared" si="51"/>
        <v>1</v>
      </c>
      <c r="BP159">
        <f t="shared" si="52"/>
        <v>0</v>
      </c>
      <c r="BQ159">
        <f t="shared" si="41"/>
        <v>1</v>
      </c>
      <c r="BR159">
        <f t="shared" si="53"/>
        <v>0</v>
      </c>
      <c r="BS159" s="9">
        <f t="shared" si="54"/>
        <v>0</v>
      </c>
      <c r="BT159" s="9">
        <f t="shared" si="55"/>
        <v>0</v>
      </c>
      <c r="BU159" s="9">
        <f t="shared" si="56"/>
        <v>0</v>
      </c>
      <c r="BV159" s="12">
        <f t="shared" si="57"/>
        <v>2.8586004622310843E-3</v>
      </c>
      <c r="BX159" s="12">
        <f t="shared" si="58"/>
        <v>1.94238823791319E-3</v>
      </c>
      <c r="BY159" s="12">
        <f t="shared" si="59"/>
        <v>1.9881132229767695E-4</v>
      </c>
    </row>
    <row r="160" spans="1:77" x14ac:dyDescent="0.3">
      <c r="A160" s="1">
        <v>46254</v>
      </c>
      <c r="B160" s="8">
        <v>47.65</v>
      </c>
      <c r="C160" s="8">
        <v>49.79</v>
      </c>
      <c r="D160" s="9">
        <v>-1.88699081047299E-3</v>
      </c>
      <c r="E160" s="9">
        <v>-1.00371382510646E-3</v>
      </c>
      <c r="F160" s="8">
        <v>0</v>
      </c>
      <c r="G160" s="8">
        <v>0.78029999999999999</v>
      </c>
      <c r="H160" s="8">
        <v>0</v>
      </c>
      <c r="I160" s="8">
        <v>0.71309999999999996</v>
      </c>
      <c r="J160" s="8">
        <v>0</v>
      </c>
      <c r="K160" s="8">
        <v>0</v>
      </c>
      <c r="L160" s="8">
        <v>47.65</v>
      </c>
      <c r="M160" s="8">
        <v>49.79</v>
      </c>
      <c r="N160" s="10">
        <v>1.04491080797481</v>
      </c>
      <c r="O160" s="10">
        <v>1.03989039569729</v>
      </c>
      <c r="P160" s="10">
        <v>1.0443028454107199</v>
      </c>
      <c r="Q160" s="10">
        <v>1.04297155113996</v>
      </c>
      <c r="R160" s="8">
        <v>49.550777354975999</v>
      </c>
      <c r="S160" s="8">
        <v>49.752993206497997</v>
      </c>
      <c r="T160" s="8">
        <v>49.690968023221401</v>
      </c>
      <c r="U160" s="9">
        <v>-4.8162117069862499E-3</v>
      </c>
      <c r="V160" s="9">
        <v>-7.43533904593354E-4</v>
      </c>
      <c r="W160" s="9">
        <v>-1.99097398145149E-3</v>
      </c>
      <c r="X160" s="10">
        <v>1.04491080797481</v>
      </c>
      <c r="Y160" s="10">
        <v>1.03989039569729</v>
      </c>
      <c r="Z160" s="10">
        <v>1.0443028454107199</v>
      </c>
      <c r="AA160" s="10">
        <v>1.04297155113996</v>
      </c>
      <c r="AB160" s="8">
        <v>49.550777354975999</v>
      </c>
      <c r="AC160" s="8">
        <v>49.752993206497997</v>
      </c>
      <c r="AD160" s="8">
        <v>49.690968023221401</v>
      </c>
      <c r="AE160" s="9">
        <v>-4.8162117069862499E-3</v>
      </c>
      <c r="AF160" s="9">
        <v>-7.43533904593354E-4</v>
      </c>
      <c r="AG160" s="9">
        <v>-1.99097398145149E-3</v>
      </c>
      <c r="BB160">
        <f t="shared" si="42"/>
        <v>1</v>
      </c>
      <c r="BC160">
        <f t="shared" si="43"/>
        <v>0</v>
      </c>
      <c r="BD160">
        <f t="shared" si="44"/>
        <v>1</v>
      </c>
      <c r="BE160">
        <f t="shared" si="40"/>
        <v>1</v>
      </c>
      <c r="BF160">
        <f t="shared" si="45"/>
        <v>1</v>
      </c>
      <c r="BG160" s="9">
        <f t="shared" si="46"/>
        <v>-1.88699081047299E-3</v>
      </c>
      <c r="BH160" s="9">
        <f t="shared" si="47"/>
        <v>1.00371382510646E-3</v>
      </c>
      <c r="BI160" s="9">
        <f t="shared" si="48"/>
        <v>-8.8327698536653002E-4</v>
      </c>
      <c r="BJ160" s="12">
        <f t="shared" si="49"/>
        <v>-3.5430661252999389E-3</v>
      </c>
      <c r="BL160" s="9"/>
      <c r="BN160">
        <f t="shared" si="50"/>
        <v>0</v>
      </c>
      <c r="BO160">
        <f t="shared" si="51"/>
        <v>1</v>
      </c>
      <c r="BP160">
        <f t="shared" si="52"/>
        <v>0</v>
      </c>
      <c r="BQ160">
        <f t="shared" si="41"/>
        <v>1</v>
      </c>
      <c r="BR160">
        <f t="shared" si="53"/>
        <v>0</v>
      </c>
      <c r="BS160" s="9">
        <f t="shared" si="54"/>
        <v>0</v>
      </c>
      <c r="BT160" s="9">
        <f t="shared" si="55"/>
        <v>0</v>
      </c>
      <c r="BU160" s="9">
        <f t="shared" si="56"/>
        <v>0</v>
      </c>
      <c r="BV160" s="12">
        <f t="shared" si="57"/>
        <v>2.8586004622310843E-3</v>
      </c>
      <c r="BX160" s="12">
        <f t="shared" si="58"/>
        <v>-8.8327698536653002E-4</v>
      </c>
      <c r="BY160" s="12">
        <f t="shared" si="59"/>
        <v>-6.8446566306885307E-4</v>
      </c>
    </row>
    <row r="161" spans="1:77" x14ac:dyDescent="0.3">
      <c r="A161" s="1">
        <v>46255</v>
      </c>
      <c r="B161" s="8">
        <v>47.65</v>
      </c>
      <c r="C161" s="8">
        <v>49.77</v>
      </c>
      <c r="D161" s="9">
        <v>0</v>
      </c>
      <c r="E161" s="9">
        <v>-4.0176778362851102E-4</v>
      </c>
      <c r="F161" s="8">
        <v>0</v>
      </c>
      <c r="G161" s="8">
        <v>0.78029999999999999</v>
      </c>
      <c r="H161" s="8">
        <v>0</v>
      </c>
      <c r="I161" s="8">
        <v>0.71309999999999996</v>
      </c>
      <c r="J161" s="8">
        <v>0</v>
      </c>
      <c r="K161" s="8">
        <v>0</v>
      </c>
      <c r="L161" s="8">
        <v>47.65</v>
      </c>
      <c r="M161" s="8">
        <v>49.77</v>
      </c>
      <c r="N161" s="10">
        <v>1.0444910807974801</v>
      </c>
      <c r="O161" s="10">
        <v>1.03989039569729</v>
      </c>
      <c r="P161" s="10">
        <v>1.0444141015613799</v>
      </c>
      <c r="Q161" s="10">
        <v>1.0431563562258599</v>
      </c>
      <c r="R161" s="8">
        <v>49.550777354975999</v>
      </c>
      <c r="S161" s="8">
        <v>49.761030583820997</v>
      </c>
      <c r="T161" s="8">
        <v>49.697594411819203</v>
      </c>
      <c r="U161" s="9">
        <v>-4.41444392335783E-3</v>
      </c>
      <c r="V161" s="9">
        <v>-1.8023356435879E-4</v>
      </c>
      <c r="W161" s="9">
        <v>-1.45586311597839E-3</v>
      </c>
      <c r="X161" s="10">
        <v>1.0444910807974801</v>
      </c>
      <c r="Y161" s="10">
        <v>1.03989039569729</v>
      </c>
      <c r="Z161" s="10">
        <v>1.0444141015613799</v>
      </c>
      <c r="AA161" s="10">
        <v>1.0431563562258599</v>
      </c>
      <c r="AB161" s="8">
        <v>49.550777354975999</v>
      </c>
      <c r="AC161" s="8">
        <v>49.761030583820997</v>
      </c>
      <c r="AD161" s="8">
        <v>49.697594411819203</v>
      </c>
      <c r="AE161" s="9">
        <v>-4.41444392335783E-3</v>
      </c>
      <c r="AF161" s="9">
        <v>-1.8023356435879E-4</v>
      </c>
      <c r="AG161" s="9">
        <v>-1.45586311597839E-3</v>
      </c>
      <c r="BB161">
        <f t="shared" si="42"/>
        <v>1</v>
      </c>
      <c r="BC161">
        <f t="shared" si="43"/>
        <v>0</v>
      </c>
      <c r="BD161">
        <f t="shared" si="44"/>
        <v>1</v>
      </c>
      <c r="BE161">
        <f t="shared" si="40"/>
        <v>1</v>
      </c>
      <c r="BF161">
        <f t="shared" si="45"/>
        <v>1</v>
      </c>
      <c r="BG161" s="9">
        <f t="shared" si="46"/>
        <v>0</v>
      </c>
      <c r="BH161" s="9">
        <f t="shared" si="47"/>
        <v>4.0176778362851102E-4</v>
      </c>
      <c r="BI161" s="9">
        <f t="shared" si="48"/>
        <v>4.0176778362851102E-4</v>
      </c>
      <c r="BJ161" s="12">
        <f t="shared" si="49"/>
        <v>-3.141298341671428E-3</v>
      </c>
      <c r="BL161" s="9"/>
      <c r="BN161">
        <f t="shared" si="50"/>
        <v>0</v>
      </c>
      <c r="BO161">
        <f t="shared" si="51"/>
        <v>1</v>
      </c>
      <c r="BP161">
        <f t="shared" si="52"/>
        <v>0</v>
      </c>
      <c r="BQ161">
        <f t="shared" si="41"/>
        <v>1</v>
      </c>
      <c r="BR161">
        <f t="shared" si="53"/>
        <v>0</v>
      </c>
      <c r="BS161" s="9">
        <f t="shared" si="54"/>
        <v>0</v>
      </c>
      <c r="BT161" s="9">
        <f t="shared" si="55"/>
        <v>0</v>
      </c>
      <c r="BU161" s="9">
        <f t="shared" si="56"/>
        <v>0</v>
      </c>
      <c r="BV161" s="12">
        <f t="shared" si="57"/>
        <v>2.8586004622310843E-3</v>
      </c>
      <c r="BX161" s="12">
        <f t="shared" si="58"/>
        <v>4.0176778362851102E-4</v>
      </c>
      <c r="BY161" s="12">
        <f t="shared" si="59"/>
        <v>-2.8269787944034205E-4</v>
      </c>
    </row>
    <row r="162" spans="1:77" x14ac:dyDescent="0.3">
      <c r="A162" s="1">
        <v>46258</v>
      </c>
      <c r="B162" s="8">
        <v>47.68</v>
      </c>
      <c r="C162" s="8">
        <v>49.81</v>
      </c>
      <c r="D162" s="9">
        <v>6.2939265688321004E-4</v>
      </c>
      <c r="E162" s="9">
        <v>8.0337421472917296E-4</v>
      </c>
      <c r="F162" s="8">
        <v>0</v>
      </c>
      <c r="G162" s="8">
        <v>0.78029999999999999</v>
      </c>
      <c r="H162" s="8">
        <v>0</v>
      </c>
      <c r="I162" s="8">
        <v>0.71309999999999996</v>
      </c>
      <c r="J162" s="8">
        <v>0</v>
      </c>
      <c r="K162" s="8">
        <v>0</v>
      </c>
      <c r="L162" s="8">
        <v>47.68</v>
      </c>
      <c r="M162" s="8">
        <v>49.81</v>
      </c>
      <c r="N162" s="10">
        <v>1.0446728187919401</v>
      </c>
      <c r="O162" s="10">
        <v>1.03989039569729</v>
      </c>
      <c r="P162" s="10">
        <v>1.04446623382768</v>
      </c>
      <c r="Q162" s="10">
        <v>1.0433970923240501</v>
      </c>
      <c r="R162" s="8">
        <v>49.581974066846897</v>
      </c>
      <c r="S162" s="8">
        <v>49.797664362446604</v>
      </c>
      <c r="T162" s="8">
        <v>49.737695064849099</v>
      </c>
      <c r="U162" s="9">
        <v>-4.5884254812037601E-3</v>
      </c>
      <c r="V162" s="9">
        <v>-2.4768450691789999E-4</v>
      </c>
      <c r="W162" s="9">
        <v>-1.4526694529473499E-3</v>
      </c>
      <c r="X162" s="10">
        <v>1.0446728187919401</v>
      </c>
      <c r="Y162" s="10">
        <v>1.03989039569729</v>
      </c>
      <c r="Z162" s="10">
        <v>1.04446623382768</v>
      </c>
      <c r="AA162" s="10">
        <v>1.0433970923240501</v>
      </c>
      <c r="AB162" s="8">
        <v>49.581974066846897</v>
      </c>
      <c r="AC162" s="8">
        <v>49.797664362446604</v>
      </c>
      <c r="AD162" s="8">
        <v>49.737695064849099</v>
      </c>
      <c r="AE162" s="9">
        <v>-4.5884254812037601E-3</v>
      </c>
      <c r="AF162" s="9">
        <v>-2.4768450691789999E-4</v>
      </c>
      <c r="AG162" s="9">
        <v>-1.4526694529473499E-3</v>
      </c>
      <c r="BB162">
        <f t="shared" si="42"/>
        <v>1</v>
      </c>
      <c r="BC162">
        <f t="shared" si="43"/>
        <v>0</v>
      </c>
      <c r="BD162">
        <f t="shared" si="44"/>
        <v>1</v>
      </c>
      <c r="BE162">
        <f t="shared" si="40"/>
        <v>1</v>
      </c>
      <c r="BF162">
        <f t="shared" si="45"/>
        <v>1</v>
      </c>
      <c r="BG162" s="9">
        <f t="shared" si="46"/>
        <v>6.2939265688321004E-4</v>
      </c>
      <c r="BH162" s="9">
        <f t="shared" si="47"/>
        <v>-8.0337421472917296E-4</v>
      </c>
      <c r="BI162" s="9">
        <f t="shared" si="48"/>
        <v>-1.7398155784596292E-4</v>
      </c>
      <c r="BJ162" s="12">
        <f t="shared" si="49"/>
        <v>-3.3152798995173911E-3</v>
      </c>
      <c r="BL162" s="9"/>
      <c r="BN162">
        <f t="shared" si="50"/>
        <v>0</v>
      </c>
      <c r="BO162">
        <f t="shared" si="51"/>
        <v>1</v>
      </c>
      <c r="BP162">
        <f t="shared" si="52"/>
        <v>0</v>
      </c>
      <c r="BQ162">
        <f t="shared" si="41"/>
        <v>1</v>
      </c>
      <c r="BR162">
        <f t="shared" si="53"/>
        <v>0</v>
      </c>
      <c r="BS162" s="9">
        <f t="shared" si="54"/>
        <v>0</v>
      </c>
      <c r="BT162" s="9">
        <f t="shared" si="55"/>
        <v>0</v>
      </c>
      <c r="BU162" s="9">
        <f t="shared" si="56"/>
        <v>0</v>
      </c>
      <c r="BV162" s="12">
        <f t="shared" si="57"/>
        <v>2.8586004622310843E-3</v>
      </c>
      <c r="BX162" s="12">
        <f t="shared" si="58"/>
        <v>-1.7398155784596292E-4</v>
      </c>
      <c r="BY162" s="12">
        <f t="shared" si="59"/>
        <v>-4.5667943728630497E-4</v>
      </c>
    </row>
    <row r="163" spans="1:77" x14ac:dyDescent="0.3">
      <c r="A163" s="1">
        <v>46259</v>
      </c>
      <c r="B163" s="8">
        <v>47.91</v>
      </c>
      <c r="C163" s="8">
        <v>49.98</v>
      </c>
      <c r="D163" s="9">
        <v>4.8122281379364201E-3</v>
      </c>
      <c r="E163" s="9">
        <v>3.4071583216141298E-3</v>
      </c>
      <c r="F163" s="8">
        <v>0</v>
      </c>
      <c r="G163" s="8">
        <v>0.78029999999999999</v>
      </c>
      <c r="H163" s="8">
        <v>0</v>
      </c>
      <c r="I163" s="8">
        <v>0.71309999999999996</v>
      </c>
      <c r="J163" s="8">
        <v>0</v>
      </c>
      <c r="K163" s="8">
        <v>0</v>
      </c>
      <c r="L163" s="8">
        <v>47.91</v>
      </c>
      <c r="M163" s="8">
        <v>49.98</v>
      </c>
      <c r="N163" s="10">
        <v>1.0432060112711301</v>
      </c>
      <c r="O163" s="10">
        <v>1.03989039569729</v>
      </c>
      <c r="P163" s="10">
        <v>1.04441627870218</v>
      </c>
      <c r="Q163" s="10">
        <v>1.0435361384596</v>
      </c>
      <c r="R163" s="8">
        <v>49.821148857857303</v>
      </c>
      <c r="S163" s="8">
        <v>50.040377262684402</v>
      </c>
      <c r="T163" s="8">
        <v>49.989154693245503</v>
      </c>
      <c r="U163" s="9">
        <v>-3.1833556648815098E-3</v>
      </c>
      <c r="V163" s="9">
        <v>1.2072993857950101E-3</v>
      </c>
      <c r="W163" s="9">
        <v>1.83150358713098E-4</v>
      </c>
      <c r="X163" s="10">
        <v>1.0432060112711301</v>
      </c>
      <c r="Y163" s="10">
        <v>1.03989039569729</v>
      </c>
      <c r="Z163" s="10">
        <v>1.04441627870218</v>
      </c>
      <c r="AA163" s="10">
        <v>1.0435361384596</v>
      </c>
      <c r="AB163" s="8">
        <v>49.821148857857303</v>
      </c>
      <c r="AC163" s="8">
        <v>50.040377262684402</v>
      </c>
      <c r="AD163" s="8">
        <v>49.989154693245503</v>
      </c>
      <c r="AE163" s="9">
        <v>-3.1833556648815098E-3</v>
      </c>
      <c r="AF163" s="9">
        <v>1.2072993857950101E-3</v>
      </c>
      <c r="AG163" s="9">
        <v>1.83150358713098E-4</v>
      </c>
      <c r="BB163">
        <f t="shared" si="42"/>
        <v>0</v>
      </c>
      <c r="BC163">
        <f t="shared" si="43"/>
        <v>1</v>
      </c>
      <c r="BD163">
        <f t="shared" si="44"/>
        <v>1</v>
      </c>
      <c r="BE163">
        <f t="shared" si="40"/>
        <v>1</v>
      </c>
      <c r="BF163">
        <f t="shared" si="45"/>
        <v>1</v>
      </c>
      <c r="BG163" s="9">
        <f t="shared" si="46"/>
        <v>4.8122281379364201E-3</v>
      </c>
      <c r="BH163" s="9">
        <f t="shared" si="47"/>
        <v>-3.4071583216141298E-3</v>
      </c>
      <c r="BI163" s="9">
        <f t="shared" si="48"/>
        <v>1.4050698163222903E-3</v>
      </c>
      <c r="BJ163" s="12">
        <f t="shared" si="49"/>
        <v>-1.9102100831951008E-3</v>
      </c>
      <c r="BL163" s="9"/>
      <c r="BN163">
        <f t="shared" si="50"/>
        <v>0</v>
      </c>
      <c r="BO163">
        <f t="shared" si="51"/>
        <v>0</v>
      </c>
      <c r="BP163">
        <f t="shared" si="52"/>
        <v>0</v>
      </c>
      <c r="BQ163">
        <f t="shared" si="41"/>
        <v>1</v>
      </c>
      <c r="BR163">
        <f t="shared" si="53"/>
        <v>0</v>
      </c>
      <c r="BS163" s="9">
        <f t="shared" si="54"/>
        <v>0</v>
      </c>
      <c r="BT163" s="9">
        <f t="shared" si="55"/>
        <v>0</v>
      </c>
      <c r="BU163" s="9">
        <f t="shared" si="56"/>
        <v>0</v>
      </c>
      <c r="BV163" s="12">
        <f t="shared" si="57"/>
        <v>2.8586004622310843E-3</v>
      </c>
      <c r="BX163" s="12">
        <f t="shared" si="58"/>
        <v>1.4050698163222903E-3</v>
      </c>
      <c r="BY163" s="12">
        <f t="shared" si="59"/>
        <v>9.4839037903598523E-4</v>
      </c>
    </row>
    <row r="164" spans="1:77" x14ac:dyDescent="0.3">
      <c r="A164" s="1">
        <v>46260</v>
      </c>
      <c r="B164" s="8">
        <v>47.78</v>
      </c>
      <c r="C164" s="8">
        <v>49.85</v>
      </c>
      <c r="D164" s="9">
        <v>-2.7171089973671301E-3</v>
      </c>
      <c r="E164" s="9">
        <v>-2.6044289989588902E-3</v>
      </c>
      <c r="F164" s="8">
        <v>0</v>
      </c>
      <c r="G164" s="8">
        <v>0.78029999999999999</v>
      </c>
      <c r="H164" s="8">
        <v>0</v>
      </c>
      <c r="I164" s="8">
        <v>0.71309999999999996</v>
      </c>
      <c r="J164" s="8">
        <v>0</v>
      </c>
      <c r="K164" s="8">
        <v>0</v>
      </c>
      <c r="L164" s="8">
        <v>47.78</v>
      </c>
      <c r="M164" s="8">
        <v>49.85</v>
      </c>
      <c r="N164" s="10">
        <v>1.0433235663457501</v>
      </c>
      <c r="O164" s="10">
        <v>1.03989039569729</v>
      </c>
      <c r="P164" s="10">
        <v>1.0443780790841399</v>
      </c>
      <c r="Q164" s="10">
        <v>1.0436525363962199</v>
      </c>
      <c r="R164" s="8">
        <v>49.685963106416601</v>
      </c>
      <c r="S164" s="8">
        <v>49.902209796390402</v>
      </c>
      <c r="T164" s="8">
        <v>49.860156695599997</v>
      </c>
      <c r="U164" s="9">
        <v>-3.2960356632899001E-3</v>
      </c>
      <c r="V164" s="9">
        <v>1.04678986589811E-3</v>
      </c>
      <c r="W164" s="9">
        <v>2.0372439421978999E-4</v>
      </c>
      <c r="X164" s="10">
        <v>1.0433235663457501</v>
      </c>
      <c r="Y164" s="10">
        <v>1.03989039569729</v>
      </c>
      <c r="Z164" s="10">
        <v>1.0443780790841399</v>
      </c>
      <c r="AA164" s="10">
        <v>1.0436525363962199</v>
      </c>
      <c r="AB164" s="8">
        <v>49.685963106416601</v>
      </c>
      <c r="AC164" s="8">
        <v>49.902209796390402</v>
      </c>
      <c r="AD164" s="8">
        <v>49.860156695599997</v>
      </c>
      <c r="AE164" s="9">
        <v>-3.2960356632899001E-3</v>
      </c>
      <c r="AF164" s="9">
        <v>1.04678986589811E-3</v>
      </c>
      <c r="AG164" s="9">
        <v>2.0372439421978999E-4</v>
      </c>
      <c r="BB164">
        <f t="shared" si="42"/>
        <v>0</v>
      </c>
      <c r="BC164">
        <f t="shared" si="43"/>
        <v>1</v>
      </c>
      <c r="BD164">
        <f t="shared" si="44"/>
        <v>0</v>
      </c>
      <c r="BE164">
        <f t="shared" si="40"/>
        <v>1</v>
      </c>
      <c r="BF164">
        <f t="shared" si="45"/>
        <v>0</v>
      </c>
      <c r="BG164" s="9">
        <f t="shared" si="46"/>
        <v>0</v>
      </c>
      <c r="BH164" s="9">
        <f t="shared" si="47"/>
        <v>0</v>
      </c>
      <c r="BI164" s="9">
        <f t="shared" si="48"/>
        <v>0</v>
      </c>
      <c r="BJ164" s="12">
        <f t="shared" si="49"/>
        <v>-1.9102100831951008E-3</v>
      </c>
      <c r="BL164" s="9"/>
      <c r="BN164">
        <f t="shared" si="50"/>
        <v>0</v>
      </c>
      <c r="BO164">
        <f t="shared" si="51"/>
        <v>0</v>
      </c>
      <c r="BP164">
        <f t="shared" si="52"/>
        <v>0</v>
      </c>
      <c r="BQ164">
        <f t="shared" si="41"/>
        <v>1</v>
      </c>
      <c r="BR164">
        <f t="shared" si="53"/>
        <v>0</v>
      </c>
      <c r="BS164" s="9">
        <f t="shared" si="54"/>
        <v>0</v>
      </c>
      <c r="BT164" s="9">
        <f t="shared" si="55"/>
        <v>0</v>
      </c>
      <c r="BU164" s="9">
        <f t="shared" si="56"/>
        <v>0</v>
      </c>
      <c r="BV164" s="12">
        <f t="shared" si="57"/>
        <v>2.8586004622310843E-3</v>
      </c>
      <c r="BX164" s="12">
        <f t="shared" si="58"/>
        <v>0</v>
      </c>
      <c r="BY164" s="12">
        <f t="shared" si="59"/>
        <v>9.4839037903598523E-4</v>
      </c>
    </row>
    <row r="165" spans="1:77" x14ac:dyDescent="0.3">
      <c r="A165" s="1">
        <v>46261</v>
      </c>
      <c r="B165" s="8">
        <v>47.7</v>
      </c>
      <c r="C165" s="8">
        <v>49.78</v>
      </c>
      <c r="D165" s="9">
        <v>-1.67574400336788E-3</v>
      </c>
      <c r="E165" s="9">
        <v>-1.40519946840144E-3</v>
      </c>
      <c r="F165" s="8">
        <v>0</v>
      </c>
      <c r="G165" s="8">
        <v>0.78029999999999999</v>
      </c>
      <c r="H165" s="8">
        <v>0</v>
      </c>
      <c r="I165" s="8">
        <v>0.71309999999999996</v>
      </c>
      <c r="J165" s="8">
        <v>0</v>
      </c>
      <c r="K165" s="8">
        <v>0</v>
      </c>
      <c r="L165" s="8">
        <v>47.7</v>
      </c>
      <c r="M165" s="8">
        <v>49.78</v>
      </c>
      <c r="N165" s="10">
        <v>1.0436058700209601</v>
      </c>
      <c r="O165" s="10">
        <v>1.03989039569729</v>
      </c>
      <c r="P165" s="10">
        <v>1.04439719248991</v>
      </c>
      <c r="Q165" s="10">
        <v>1.0437964890451299</v>
      </c>
      <c r="R165" s="8">
        <v>49.602771874760897</v>
      </c>
      <c r="S165" s="8">
        <v>49.8168343723137</v>
      </c>
      <c r="T165" s="8">
        <v>49.782225986099697</v>
      </c>
      <c r="U165" s="9">
        <v>-3.5665801982564002E-3</v>
      </c>
      <c r="V165" s="9">
        <v>7.3966957334128003E-4</v>
      </c>
      <c r="W165" s="9">
        <v>4.4715474731711002E-5</v>
      </c>
      <c r="X165" s="10">
        <v>1.0436058700209601</v>
      </c>
      <c r="Y165" s="10">
        <v>1.03989039569729</v>
      </c>
      <c r="Z165" s="10">
        <v>1.04439719248991</v>
      </c>
      <c r="AA165" s="10">
        <v>1.0437964890451299</v>
      </c>
      <c r="AB165" s="8">
        <v>49.602771874760897</v>
      </c>
      <c r="AC165" s="8">
        <v>49.8168343723137</v>
      </c>
      <c r="AD165" s="8">
        <v>49.782225986099697</v>
      </c>
      <c r="AE165" s="9">
        <v>-3.5665801982564002E-3</v>
      </c>
      <c r="AF165" s="9">
        <v>7.3966957334128003E-4</v>
      </c>
      <c r="AG165" s="9">
        <v>4.4715474731711002E-5</v>
      </c>
      <c r="BB165">
        <f t="shared" si="42"/>
        <v>0</v>
      </c>
      <c r="BC165">
        <f t="shared" si="43"/>
        <v>1</v>
      </c>
      <c r="BD165">
        <f t="shared" si="44"/>
        <v>0</v>
      </c>
      <c r="BE165">
        <f t="shared" si="40"/>
        <v>1</v>
      </c>
      <c r="BF165">
        <f t="shared" si="45"/>
        <v>0</v>
      </c>
      <c r="BG165" s="9">
        <f t="shared" si="46"/>
        <v>0</v>
      </c>
      <c r="BH165" s="9">
        <f t="shared" si="47"/>
        <v>0</v>
      </c>
      <c r="BI165" s="9">
        <f t="shared" si="48"/>
        <v>0</v>
      </c>
      <c r="BJ165" s="12">
        <f t="shared" si="49"/>
        <v>-1.9102100831951008E-3</v>
      </c>
      <c r="BL165" s="9"/>
      <c r="BN165">
        <f t="shared" si="50"/>
        <v>0</v>
      </c>
      <c r="BO165">
        <f t="shared" si="51"/>
        <v>0</v>
      </c>
      <c r="BP165">
        <f t="shared" si="52"/>
        <v>0</v>
      </c>
      <c r="BQ165">
        <f t="shared" si="41"/>
        <v>1</v>
      </c>
      <c r="BR165">
        <f t="shared" si="53"/>
        <v>0</v>
      </c>
      <c r="BS165" s="9">
        <f t="shared" si="54"/>
        <v>0</v>
      </c>
      <c r="BT165" s="9">
        <f t="shared" si="55"/>
        <v>0</v>
      </c>
      <c r="BU165" s="9">
        <f t="shared" si="56"/>
        <v>0</v>
      </c>
      <c r="BV165" s="12">
        <f t="shared" si="57"/>
        <v>2.8586004622310843E-3</v>
      </c>
      <c r="BX165" s="12">
        <f t="shared" si="58"/>
        <v>0</v>
      </c>
      <c r="BY165" s="12">
        <f t="shared" si="59"/>
        <v>9.4839037903598523E-4</v>
      </c>
    </row>
    <row r="166" spans="1:77" x14ac:dyDescent="0.3">
      <c r="A166" s="1">
        <v>46262</v>
      </c>
      <c r="B166" s="8">
        <v>47.6</v>
      </c>
      <c r="C166" s="8">
        <v>49.74</v>
      </c>
      <c r="D166" s="9">
        <v>-2.0986366569212401E-3</v>
      </c>
      <c r="E166" s="9">
        <v>-8.0385856418737397E-4</v>
      </c>
      <c r="F166" s="8">
        <v>0</v>
      </c>
      <c r="G166" s="8">
        <v>0.78029999999999999</v>
      </c>
      <c r="H166" s="8">
        <v>0</v>
      </c>
      <c r="I166" s="8">
        <v>0.71309999999999996</v>
      </c>
      <c r="J166" s="8">
        <v>0</v>
      </c>
      <c r="K166" s="8">
        <v>0</v>
      </c>
      <c r="L166" s="8">
        <v>47.6</v>
      </c>
      <c r="M166" s="8">
        <v>49.74</v>
      </c>
      <c r="N166" s="10">
        <v>1.04495798319327</v>
      </c>
      <c r="O166" s="10">
        <v>1.03989039569729</v>
      </c>
      <c r="P166" s="10">
        <v>1.04438754235995</v>
      </c>
      <c r="Q166" s="10">
        <v>1.04397195780915</v>
      </c>
      <c r="R166" s="8">
        <v>49.498782835191101</v>
      </c>
      <c r="S166" s="8">
        <v>49.713306362520001</v>
      </c>
      <c r="T166" s="8">
        <v>49.684712878548602</v>
      </c>
      <c r="U166" s="9">
        <v>-4.8613582909903703E-3</v>
      </c>
      <c r="V166" s="9">
        <v>-5.3680745461979205E-4</v>
      </c>
      <c r="W166" s="9">
        <v>-1.11214054432121E-3</v>
      </c>
      <c r="X166" s="10">
        <v>1.04495798319327</v>
      </c>
      <c r="Y166" s="10">
        <v>1.03989039569729</v>
      </c>
      <c r="Z166" s="10">
        <v>1.04438754235995</v>
      </c>
      <c r="AA166" s="10">
        <v>1.04397195780915</v>
      </c>
      <c r="AB166" s="8">
        <v>49.498782835191101</v>
      </c>
      <c r="AC166" s="8">
        <v>49.713306362520001</v>
      </c>
      <c r="AD166" s="8">
        <v>49.684712878548602</v>
      </c>
      <c r="AE166" s="9">
        <v>-4.8613582909903703E-3</v>
      </c>
      <c r="AF166" s="9">
        <v>-5.3680745461979205E-4</v>
      </c>
      <c r="AG166" s="9">
        <v>-1.11214054432121E-3</v>
      </c>
      <c r="BB166">
        <f t="shared" si="42"/>
        <v>0</v>
      </c>
      <c r="BC166">
        <f t="shared" si="43"/>
        <v>0</v>
      </c>
      <c r="BD166">
        <f t="shared" si="44"/>
        <v>0</v>
      </c>
      <c r="BE166">
        <f t="shared" si="40"/>
        <v>1</v>
      </c>
      <c r="BF166">
        <f t="shared" si="45"/>
        <v>0</v>
      </c>
      <c r="BG166" s="9">
        <f t="shared" si="46"/>
        <v>0</v>
      </c>
      <c r="BH166" s="9">
        <f t="shared" si="47"/>
        <v>0</v>
      </c>
      <c r="BI166" s="9">
        <f t="shared" si="48"/>
        <v>0</v>
      </c>
      <c r="BJ166" s="12">
        <f t="shared" si="49"/>
        <v>-1.9102100831951008E-3</v>
      </c>
      <c r="BL166" s="9"/>
      <c r="BN166">
        <f t="shared" si="50"/>
        <v>0</v>
      </c>
      <c r="BO166">
        <f t="shared" si="51"/>
        <v>1</v>
      </c>
      <c r="BP166">
        <f t="shared" si="52"/>
        <v>0</v>
      </c>
      <c r="BQ166">
        <f t="shared" si="41"/>
        <v>1</v>
      </c>
      <c r="BR166">
        <f t="shared" si="53"/>
        <v>0</v>
      </c>
      <c r="BS166" s="9">
        <f t="shared" si="54"/>
        <v>0</v>
      </c>
      <c r="BT166" s="9">
        <f t="shared" si="55"/>
        <v>0</v>
      </c>
      <c r="BU166" s="9">
        <f t="shared" si="56"/>
        <v>0</v>
      </c>
      <c r="BV166" s="12">
        <f t="shared" si="57"/>
        <v>2.8586004622310843E-3</v>
      </c>
      <c r="BX166" s="12">
        <f t="shared" si="58"/>
        <v>0</v>
      </c>
      <c r="BY166" s="12">
        <f t="shared" si="59"/>
        <v>9.4839037903598523E-4</v>
      </c>
    </row>
    <row r="167" spans="1:77" x14ac:dyDescent="0.3">
      <c r="A167" s="1">
        <v>46265</v>
      </c>
      <c r="B167" s="8">
        <v>47.55</v>
      </c>
      <c r="C167" s="8">
        <v>49.72</v>
      </c>
      <c r="D167" s="9">
        <v>-1.0509722459751099E-3</v>
      </c>
      <c r="E167" s="9">
        <v>-4.0217173274833602E-4</v>
      </c>
      <c r="F167" s="8">
        <v>0</v>
      </c>
      <c r="G167" s="8">
        <v>0.78029999999999999</v>
      </c>
      <c r="H167" s="8">
        <v>0</v>
      </c>
      <c r="I167" s="8">
        <v>0.71309999999999996</v>
      </c>
      <c r="J167" s="8">
        <v>0</v>
      </c>
      <c r="K167" s="8">
        <v>0</v>
      </c>
      <c r="L167" s="8">
        <v>47.55</v>
      </c>
      <c r="M167" s="8">
        <v>49.72</v>
      </c>
      <c r="N167" s="10">
        <v>1.04563617245005</v>
      </c>
      <c r="O167" s="10">
        <v>1.03989039569729</v>
      </c>
      <c r="P167" s="10">
        <v>1.0444810651663401</v>
      </c>
      <c r="Q167" s="10">
        <v>1.0441007563982101</v>
      </c>
      <c r="R167" s="8">
        <v>49.446788315406202</v>
      </c>
      <c r="S167" s="8">
        <v>49.660627639215903</v>
      </c>
      <c r="T167" s="8">
        <v>49.6408665938254</v>
      </c>
      <c r="U167" s="9">
        <v>-5.5101588042172104E-3</v>
      </c>
      <c r="V167" s="9">
        <v>-1.1948479146911999E-3</v>
      </c>
      <c r="W167" s="9">
        <v>-1.5928488874651799E-3</v>
      </c>
      <c r="X167" s="10">
        <v>1.04563617245005</v>
      </c>
      <c r="Y167" s="10">
        <v>1.03989039569729</v>
      </c>
      <c r="Z167" s="10">
        <v>1.0444810651663401</v>
      </c>
      <c r="AA167" s="10">
        <v>1.0441007563982101</v>
      </c>
      <c r="AB167" s="8">
        <v>49.446788315406202</v>
      </c>
      <c r="AC167" s="8">
        <v>49.660627639215903</v>
      </c>
      <c r="AD167" s="8">
        <v>49.6408665938254</v>
      </c>
      <c r="AE167" s="9">
        <v>-5.5101588042172104E-3</v>
      </c>
      <c r="AF167" s="9">
        <v>-1.1948479146911999E-3</v>
      </c>
      <c r="AG167" s="9">
        <v>-1.5928488874651799E-3</v>
      </c>
      <c r="BB167">
        <f t="shared" si="42"/>
        <v>1</v>
      </c>
      <c r="BC167">
        <f t="shared" si="43"/>
        <v>0</v>
      </c>
      <c r="BD167">
        <f t="shared" si="44"/>
        <v>0</v>
      </c>
      <c r="BE167">
        <f t="shared" si="40"/>
        <v>1</v>
      </c>
      <c r="BF167">
        <f t="shared" si="45"/>
        <v>0</v>
      </c>
      <c r="BG167" s="9">
        <f t="shared" si="46"/>
        <v>0</v>
      </c>
      <c r="BH167" s="9">
        <f t="shared" si="47"/>
        <v>0</v>
      </c>
      <c r="BI167" s="9">
        <f t="shared" si="48"/>
        <v>0</v>
      </c>
      <c r="BJ167" s="12">
        <f t="shared" si="49"/>
        <v>-1.9102100831951008E-3</v>
      </c>
      <c r="BL167" s="9"/>
      <c r="BN167">
        <f t="shared" si="50"/>
        <v>0</v>
      </c>
      <c r="BO167">
        <f t="shared" si="51"/>
        <v>1</v>
      </c>
      <c r="BP167">
        <f t="shared" si="52"/>
        <v>0</v>
      </c>
      <c r="BQ167">
        <f t="shared" si="41"/>
        <v>1</v>
      </c>
      <c r="BR167">
        <f t="shared" si="53"/>
        <v>0</v>
      </c>
      <c r="BS167" s="9">
        <f t="shared" si="54"/>
        <v>0</v>
      </c>
      <c r="BT167" s="9">
        <f t="shared" si="55"/>
        <v>0</v>
      </c>
      <c r="BU167" s="9">
        <f t="shared" si="56"/>
        <v>0</v>
      </c>
      <c r="BV167" s="12">
        <f t="shared" si="57"/>
        <v>2.8586004622310843E-3</v>
      </c>
      <c r="BX167" s="12">
        <f t="shared" si="58"/>
        <v>0</v>
      </c>
      <c r="BY167" s="12">
        <f t="shared" si="59"/>
        <v>9.4839037903598523E-4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XLU_IDU_1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Michael Hyland</cp:lastModifiedBy>
  <dcterms:created xsi:type="dcterms:W3CDTF">2026-09-03T20:52:47Z</dcterms:created>
  <dcterms:modified xsi:type="dcterms:W3CDTF">2026-09-04T13:39:41Z</dcterms:modified>
</cp:coreProperties>
</file>