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2F6DBF8E-6D23-4B79-98B7-C7131187B7B8}" xr6:coauthVersionLast="47" xr6:coauthVersionMax="47" xr10:uidLastSave="{00000000-0000-0000-0000-000000000000}"/>
  <bookViews>
    <workbookView xWindow="3135" yWindow="1935" windowWidth="24930" windowHeight="9690" xr2:uid="{014A2E3A-9CE6-4AFD-8CB9-DDC186164C94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X174" i="1"/>
  <c r="AV174" i="1"/>
  <c r="AU174" i="1"/>
  <c r="AM174" i="1"/>
  <c r="AK174" i="1"/>
  <c r="AJ174" i="1"/>
  <c r="AX173" i="1"/>
  <c r="AV173" i="1"/>
  <c r="AU173" i="1"/>
  <c r="AM173" i="1"/>
  <c r="AK173" i="1"/>
  <c r="AJ173" i="1"/>
  <c r="AX172" i="1"/>
  <c r="AV172" i="1"/>
  <c r="AU172" i="1"/>
  <c r="AM172" i="1"/>
  <c r="AK172" i="1"/>
  <c r="AJ172" i="1"/>
  <c r="AX171" i="1"/>
  <c r="AV171" i="1"/>
  <c r="AU171" i="1"/>
  <c r="AM171" i="1"/>
  <c r="AK171" i="1"/>
  <c r="AJ171" i="1"/>
  <c r="AX170" i="1"/>
  <c r="AV170" i="1"/>
  <c r="AU170" i="1"/>
  <c r="AM170" i="1"/>
  <c r="AK170" i="1"/>
  <c r="AJ170" i="1"/>
  <c r="AX169" i="1"/>
  <c r="AV169" i="1"/>
  <c r="AU169" i="1"/>
  <c r="AM169" i="1"/>
  <c r="AK169" i="1"/>
  <c r="AJ169" i="1"/>
  <c r="AX168" i="1"/>
  <c r="AV168" i="1"/>
  <c r="AU168" i="1"/>
  <c r="AM168" i="1"/>
  <c r="AK168" i="1"/>
  <c r="AJ168" i="1"/>
  <c r="AX167" i="1"/>
  <c r="AV167" i="1"/>
  <c r="AU167" i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M161" i="1"/>
  <c r="AK161" i="1"/>
  <c r="AJ161" i="1"/>
  <c r="AX160" i="1"/>
  <c r="AV160" i="1"/>
  <c r="AU160" i="1"/>
  <c r="AM160" i="1"/>
  <c r="AK160" i="1"/>
  <c r="AJ160" i="1"/>
  <c r="AX159" i="1"/>
  <c r="AV159" i="1"/>
  <c r="AU159" i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X155" i="1"/>
  <c r="AV155" i="1"/>
  <c r="AU155" i="1"/>
  <c r="AM155" i="1"/>
  <c r="AK155" i="1"/>
  <c r="AJ155" i="1"/>
  <c r="AX154" i="1"/>
  <c r="AV154" i="1"/>
  <c r="AU154" i="1"/>
  <c r="AM154" i="1"/>
  <c r="AK154" i="1"/>
  <c r="AJ154" i="1"/>
  <c r="AX153" i="1"/>
  <c r="AV153" i="1"/>
  <c r="AU153" i="1"/>
  <c r="AM153" i="1"/>
  <c r="AK153" i="1"/>
  <c r="AJ153" i="1"/>
  <c r="AX152" i="1"/>
  <c r="AV152" i="1"/>
  <c r="AU152" i="1"/>
  <c r="AM152" i="1"/>
  <c r="AK152" i="1"/>
  <c r="AJ152" i="1"/>
  <c r="AX151" i="1"/>
  <c r="AV151" i="1"/>
  <c r="AU151" i="1"/>
  <c r="AM151" i="1"/>
  <c r="AK151" i="1"/>
  <c r="AJ151" i="1"/>
  <c r="AX150" i="1"/>
  <c r="AV150" i="1"/>
  <c r="AU150" i="1"/>
  <c r="AM150" i="1"/>
  <c r="AK150" i="1"/>
  <c r="AJ150" i="1"/>
  <c r="AX149" i="1"/>
  <c r="AV149" i="1"/>
  <c r="AU149" i="1"/>
  <c r="AM149" i="1"/>
  <c r="AK149" i="1"/>
  <c r="AJ149" i="1"/>
  <c r="AX148" i="1"/>
  <c r="AV148" i="1"/>
  <c r="AU148" i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Y147" i="1" s="1"/>
  <c r="AM146" i="1"/>
  <c r="AK146" i="1"/>
  <c r="AJ146" i="1"/>
  <c r="AX145" i="1"/>
  <c r="AV145" i="1"/>
  <c r="AU145" i="1"/>
  <c r="AY146" i="1" s="1"/>
  <c r="AM145" i="1"/>
  <c r="AK145" i="1"/>
  <c r="AJ145" i="1"/>
  <c r="AN146" i="1" s="1"/>
  <c r="AX144" i="1"/>
  <c r="AV144" i="1"/>
  <c r="AU144" i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X72" i="1"/>
  <c r="AV72" i="1"/>
  <c r="AU72" i="1"/>
  <c r="AM72" i="1"/>
  <c r="AK72" i="1"/>
  <c r="AJ72" i="1"/>
  <c r="AN73" i="1" s="1"/>
  <c r="AX71" i="1"/>
  <c r="AV71" i="1"/>
  <c r="AU71" i="1"/>
  <c r="AM71" i="1"/>
  <c r="AK71" i="1"/>
  <c r="AJ71" i="1"/>
  <c r="AN72" i="1" s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N70" i="1" s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N55" i="1" s="1"/>
  <c r="AX53" i="1"/>
  <c r="AV53" i="1"/>
  <c r="AU53" i="1"/>
  <c r="AM53" i="1"/>
  <c r="AK53" i="1"/>
  <c r="AJ53" i="1"/>
  <c r="AN54" i="1" s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M45" i="1"/>
  <c r="AK45" i="1"/>
  <c r="AJ45" i="1"/>
  <c r="AN46" i="1" s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Y27" i="1" s="1"/>
  <c r="AM26" i="1"/>
  <c r="AK26" i="1"/>
  <c r="AJ26" i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Y24" i="1" s="1"/>
  <c r="AM23" i="1"/>
  <c r="AK23" i="1"/>
  <c r="AJ23" i="1"/>
  <c r="AX22" i="1"/>
  <c r="AW22" i="1"/>
  <c r="AV22" i="1"/>
  <c r="AU22" i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29" i="1" l="1"/>
  <c r="AN56" i="1"/>
  <c r="AN71" i="1"/>
  <c r="AY67" i="1"/>
  <c r="AY44" i="1"/>
  <c r="AY52" i="1"/>
  <c r="AY169" i="1"/>
  <c r="AY145" i="1"/>
  <c r="AY57" i="1"/>
  <c r="AY35" i="1"/>
  <c r="AN136" i="1"/>
  <c r="AN63" i="1"/>
  <c r="AY128" i="1"/>
  <c r="AN60" i="1"/>
  <c r="AN98" i="1"/>
  <c r="AN154" i="1"/>
  <c r="AN28" i="1"/>
  <c r="AN27" i="1"/>
  <c r="AN112" i="1"/>
  <c r="AN45" i="1"/>
  <c r="AY94" i="1"/>
  <c r="AY36" i="1"/>
  <c r="AY143" i="1"/>
  <c r="AY66" i="1"/>
  <c r="AY48" i="1"/>
  <c r="AY23" i="1"/>
  <c r="AY164" i="1"/>
  <c r="AY150" i="1"/>
  <c r="AY148" i="1"/>
  <c r="AY122" i="1"/>
  <c r="AY89" i="1"/>
  <c r="AY176" i="1"/>
  <c r="AW176" i="1" s="1"/>
  <c r="AY88" i="1"/>
  <c r="AN139" i="1"/>
  <c r="AN107" i="1"/>
  <c r="AN105" i="1"/>
  <c r="AN162" i="1"/>
  <c r="AN132" i="1"/>
  <c r="AN109" i="1"/>
  <c r="AN111" i="1"/>
  <c r="AN110" i="1"/>
  <c r="AY170" i="1"/>
  <c r="AN97" i="1"/>
  <c r="AY149" i="1"/>
  <c r="AY50" i="1"/>
  <c r="AY168" i="1"/>
  <c r="AY59" i="1"/>
  <c r="BA167" i="1"/>
  <c r="AZ167" i="1"/>
  <c r="AW167" i="1"/>
  <c r="AW166" i="1"/>
  <c r="BA166" i="1"/>
  <c r="AZ166" i="1"/>
  <c r="BB166" i="1" s="1"/>
  <c r="BA165" i="1"/>
  <c r="AW165" i="1"/>
  <c r="AZ165" i="1"/>
  <c r="BB165" i="1" s="1"/>
  <c r="AZ147" i="1"/>
  <c r="AW147" i="1"/>
  <c r="BA147" i="1"/>
  <c r="AW146" i="1"/>
  <c r="AZ146" i="1"/>
  <c r="BA146" i="1"/>
  <c r="AO146" i="1"/>
  <c r="AP146" i="1"/>
  <c r="AL146" i="1"/>
  <c r="AN147" i="1" s="1"/>
  <c r="BA144" i="1"/>
  <c r="AW144" i="1"/>
  <c r="AZ144" i="1"/>
  <c r="BB144" i="1" s="1"/>
  <c r="AZ87" i="1"/>
  <c r="BA87" i="1"/>
  <c r="AW87" i="1"/>
  <c r="AO73" i="1"/>
  <c r="AP73" i="1"/>
  <c r="AL73" i="1"/>
  <c r="AN74" i="1" s="1"/>
  <c r="AL72" i="1"/>
  <c r="AO72" i="1"/>
  <c r="AP72" i="1"/>
  <c r="AO70" i="1"/>
  <c r="AP70" i="1"/>
  <c r="AL70" i="1"/>
  <c r="AO55" i="1"/>
  <c r="AP55" i="1"/>
  <c r="AL55" i="1"/>
  <c r="AO54" i="1"/>
  <c r="AP54" i="1"/>
  <c r="AL54" i="1"/>
  <c r="AZ47" i="1"/>
  <c r="BA47" i="1"/>
  <c r="AW47" i="1"/>
  <c r="AO46" i="1"/>
  <c r="AP46" i="1"/>
  <c r="AL46" i="1"/>
  <c r="AN47" i="1" s="1"/>
  <c r="AZ27" i="1"/>
  <c r="BA27" i="1"/>
  <c r="AW27" i="1"/>
  <c r="AY28" i="1" s="1"/>
  <c r="AZ24" i="1"/>
  <c r="BA24" i="1"/>
  <c r="AW24" i="1"/>
  <c r="AY25" i="1" s="1"/>
  <c r="AO23" i="1"/>
  <c r="AP23" i="1"/>
  <c r="AL23" i="1"/>
  <c r="AN24" i="1" s="1"/>
  <c r="AZ22" i="1"/>
  <c r="BA22" i="1"/>
  <c r="AO22" i="1"/>
  <c r="AP22" i="1"/>
  <c r="AO29" i="1" l="1"/>
  <c r="AP29" i="1"/>
  <c r="AL29" i="1"/>
  <c r="AN30" i="1" s="1"/>
  <c r="AO56" i="1"/>
  <c r="AP56" i="1"/>
  <c r="AL56" i="1"/>
  <c r="AN57" i="1" s="1"/>
  <c r="AL71" i="1"/>
  <c r="AP71" i="1"/>
  <c r="AO71" i="1"/>
  <c r="AO74" i="1"/>
  <c r="AL74" i="1"/>
  <c r="AN75" i="1" s="1"/>
  <c r="AP74" i="1"/>
  <c r="AZ67" i="1"/>
  <c r="AW67" i="1"/>
  <c r="AY68" i="1" s="1"/>
  <c r="BA67" i="1"/>
  <c r="BA44" i="1"/>
  <c r="AZ44" i="1"/>
  <c r="BB44" i="1" s="1"/>
  <c r="AW44" i="1"/>
  <c r="AY45" i="1" s="1"/>
  <c r="BB167" i="1"/>
  <c r="AZ52" i="1"/>
  <c r="BA52" i="1"/>
  <c r="AW52" i="1"/>
  <c r="AY53" i="1" s="1"/>
  <c r="AW169" i="1"/>
  <c r="AZ169" i="1"/>
  <c r="BA169" i="1"/>
  <c r="AZ145" i="1"/>
  <c r="AW145" i="1"/>
  <c r="BA145" i="1"/>
  <c r="AZ57" i="1"/>
  <c r="BA57" i="1"/>
  <c r="AW57" i="1"/>
  <c r="AY58" i="1" s="1"/>
  <c r="AZ35" i="1"/>
  <c r="BA35" i="1"/>
  <c r="AW35" i="1"/>
  <c r="AP136" i="1"/>
  <c r="AO136" i="1"/>
  <c r="AL136" i="1"/>
  <c r="AN137" i="1" s="1"/>
  <c r="AO63" i="1"/>
  <c r="AP63" i="1"/>
  <c r="AL63" i="1"/>
  <c r="AN64" i="1" s="1"/>
  <c r="AW128" i="1"/>
  <c r="AY129" i="1" s="1"/>
  <c r="AZ128" i="1"/>
  <c r="BA128" i="1"/>
  <c r="AO60" i="1"/>
  <c r="AP60" i="1"/>
  <c r="AL60" i="1"/>
  <c r="AN61" i="1" s="1"/>
  <c r="AO98" i="1"/>
  <c r="AP98" i="1"/>
  <c r="AL98" i="1"/>
  <c r="AN99" i="1" s="1"/>
  <c r="AP154" i="1"/>
  <c r="AO154" i="1"/>
  <c r="AL154" i="1"/>
  <c r="AN155" i="1" s="1"/>
  <c r="AO28" i="1"/>
  <c r="AP28" i="1"/>
  <c r="AL28" i="1"/>
  <c r="AO27" i="1"/>
  <c r="AP27" i="1"/>
  <c r="AL27" i="1"/>
  <c r="AP112" i="1"/>
  <c r="AO112" i="1"/>
  <c r="AQ112" i="1" s="1"/>
  <c r="AL112" i="1"/>
  <c r="AN113" i="1" s="1"/>
  <c r="AO45" i="1"/>
  <c r="AP45" i="1"/>
  <c r="AL45" i="1"/>
  <c r="AP75" i="1"/>
  <c r="AL147" i="1"/>
  <c r="AN148" i="1" s="1"/>
  <c r="AO147" i="1"/>
  <c r="AP147" i="1"/>
  <c r="AL47" i="1"/>
  <c r="AN48" i="1" s="1"/>
  <c r="AP47" i="1"/>
  <c r="AO47" i="1"/>
  <c r="BA94" i="1"/>
  <c r="AW94" i="1"/>
  <c r="AY95" i="1" s="1"/>
  <c r="AZ94" i="1"/>
  <c r="BB94" i="1" s="1"/>
  <c r="AW36" i="1"/>
  <c r="AY37" i="1" s="1"/>
  <c r="BA36" i="1"/>
  <c r="AZ36" i="1"/>
  <c r="BA143" i="1"/>
  <c r="AW143" i="1"/>
  <c r="AZ143" i="1"/>
  <c r="BB143" i="1" s="1"/>
  <c r="AZ66" i="1"/>
  <c r="AW66" i="1"/>
  <c r="BA66" i="1"/>
  <c r="AZ48" i="1"/>
  <c r="AW48" i="1"/>
  <c r="AY49" i="1" s="1"/>
  <c r="BA48" i="1"/>
  <c r="AZ23" i="1"/>
  <c r="AW23" i="1"/>
  <c r="BA23" i="1"/>
  <c r="AW164" i="1"/>
  <c r="AZ164" i="1"/>
  <c r="BA164" i="1"/>
  <c r="BA150" i="1"/>
  <c r="AW150" i="1"/>
  <c r="AY151" i="1" s="1"/>
  <c r="AZ150" i="1"/>
  <c r="BB150" i="1" s="1"/>
  <c r="AW148" i="1"/>
  <c r="AZ148" i="1"/>
  <c r="BA148" i="1"/>
  <c r="BA122" i="1"/>
  <c r="AZ122" i="1"/>
  <c r="BB122" i="1" s="1"/>
  <c r="AW122" i="1"/>
  <c r="AY123" i="1" s="1"/>
  <c r="AZ89" i="1"/>
  <c r="BA89" i="1"/>
  <c r="AW89" i="1"/>
  <c r="AY90" i="1" s="1"/>
  <c r="BA88" i="1"/>
  <c r="AZ88" i="1"/>
  <c r="BB88" i="1" s="1"/>
  <c r="AW88" i="1"/>
  <c r="BA176" i="1"/>
  <c r="AZ176" i="1"/>
  <c r="AZ151" i="1"/>
  <c r="AW151" i="1"/>
  <c r="AY152" i="1" s="1"/>
  <c r="BA151" i="1"/>
  <c r="BA129" i="1"/>
  <c r="AW129" i="1"/>
  <c r="AY130" i="1" s="1"/>
  <c r="AZ129" i="1"/>
  <c r="AW53" i="1"/>
  <c r="AY54" i="1" s="1"/>
  <c r="BA53" i="1"/>
  <c r="AZ53" i="1"/>
  <c r="AW45" i="1"/>
  <c r="AY46" i="1" s="1"/>
  <c r="BA45" i="1"/>
  <c r="AZ45" i="1"/>
  <c r="BB45" i="1" s="1"/>
  <c r="AW28" i="1"/>
  <c r="AY29" i="1" s="1"/>
  <c r="BA28" i="1"/>
  <c r="AZ28" i="1"/>
  <c r="BB28" i="1" s="1"/>
  <c r="AW25" i="1"/>
  <c r="AY26" i="1" s="1"/>
  <c r="BA25" i="1"/>
  <c r="AZ25" i="1"/>
  <c r="BB25" i="1" s="1"/>
  <c r="AZ50" i="1"/>
  <c r="BA50" i="1"/>
  <c r="AW50" i="1"/>
  <c r="AY51" i="1" s="1"/>
  <c r="AZ59" i="1"/>
  <c r="BA59" i="1"/>
  <c r="AW59" i="1"/>
  <c r="AY60" i="1" s="1"/>
  <c r="AP139" i="1"/>
  <c r="AL139" i="1"/>
  <c r="AN140" i="1" s="1"/>
  <c r="AO139" i="1"/>
  <c r="AQ139" i="1" s="1"/>
  <c r="AP107" i="1"/>
  <c r="AO107" i="1"/>
  <c r="AL107" i="1"/>
  <c r="AN108" i="1" s="1"/>
  <c r="AO105" i="1"/>
  <c r="AP105" i="1"/>
  <c r="AL105" i="1"/>
  <c r="AN106" i="1" s="1"/>
  <c r="AP132" i="1"/>
  <c r="AL132" i="1"/>
  <c r="AN133" i="1" s="1"/>
  <c r="AO132" i="1"/>
  <c r="AP162" i="1"/>
  <c r="AL162" i="1"/>
  <c r="AN163" i="1" s="1"/>
  <c r="AO162" i="1"/>
  <c r="AQ162" i="1" s="1"/>
  <c r="AL24" i="1"/>
  <c r="AN25" i="1" s="1"/>
  <c r="AP24" i="1"/>
  <c r="AO24" i="1"/>
  <c r="AP109" i="1"/>
  <c r="AO109" i="1"/>
  <c r="AQ109" i="1" s="1"/>
  <c r="AL109" i="1"/>
  <c r="AO111" i="1"/>
  <c r="AL111" i="1"/>
  <c r="AP111" i="1"/>
  <c r="AO110" i="1"/>
  <c r="AL110" i="1"/>
  <c r="AP110" i="1"/>
  <c r="AO97" i="1"/>
  <c r="AP97" i="1"/>
  <c r="AL97" i="1"/>
  <c r="AZ149" i="1"/>
  <c r="BA149" i="1"/>
  <c r="AW149" i="1"/>
  <c r="AQ146" i="1"/>
  <c r="BB87" i="1"/>
  <c r="AW170" i="1"/>
  <c r="AY171" i="1" s="1"/>
  <c r="AZ170" i="1"/>
  <c r="BA170" i="1"/>
  <c r="BA168" i="1"/>
  <c r="AZ168" i="1"/>
  <c r="BB168" i="1" s="1"/>
  <c r="AW168" i="1"/>
  <c r="AQ73" i="1"/>
  <c r="AQ72" i="1"/>
  <c r="AQ70" i="1"/>
  <c r="AQ55" i="1"/>
  <c r="AQ54" i="1"/>
  <c r="BB47" i="1"/>
  <c r="AQ46" i="1"/>
  <c r="BB27" i="1"/>
  <c r="BB24" i="1"/>
  <c r="AQ23" i="1"/>
  <c r="BB22" i="1"/>
  <c r="AQ22" i="1"/>
  <c r="BB146" i="1"/>
  <c r="BB147" i="1"/>
  <c r="AQ71" i="1" l="1"/>
  <c r="AQ29" i="1"/>
  <c r="AO75" i="1"/>
  <c r="AQ75" i="1" s="1"/>
  <c r="AL75" i="1"/>
  <c r="AN76" i="1" s="1"/>
  <c r="AQ136" i="1"/>
  <c r="AL30" i="1"/>
  <c r="AN31" i="1" s="1"/>
  <c r="AP30" i="1"/>
  <c r="AO30" i="1"/>
  <c r="AQ30" i="1" s="1"/>
  <c r="AQ56" i="1"/>
  <c r="AL57" i="1"/>
  <c r="AN58" i="1" s="1"/>
  <c r="AP57" i="1"/>
  <c r="AO57" i="1"/>
  <c r="AQ107" i="1"/>
  <c r="AQ132" i="1"/>
  <c r="AQ47" i="1"/>
  <c r="AQ74" i="1"/>
  <c r="AQ24" i="1"/>
  <c r="BE24" i="1" s="1"/>
  <c r="AL137" i="1"/>
  <c r="AN138" i="1" s="1"/>
  <c r="AO137" i="1"/>
  <c r="AP137" i="1"/>
  <c r="AO61" i="1"/>
  <c r="AL61" i="1"/>
  <c r="AN62" i="1" s="1"/>
  <c r="AP61" i="1"/>
  <c r="AO140" i="1"/>
  <c r="AL140" i="1"/>
  <c r="AN141" i="1" s="1"/>
  <c r="AP140" i="1"/>
  <c r="AL106" i="1"/>
  <c r="AO106" i="1"/>
  <c r="AP106" i="1"/>
  <c r="AQ154" i="1"/>
  <c r="BB67" i="1"/>
  <c r="BB169" i="1"/>
  <c r="AW68" i="1"/>
  <c r="AY69" i="1" s="1"/>
  <c r="BA68" i="1"/>
  <c r="AZ68" i="1"/>
  <c r="BB68" i="1" s="1"/>
  <c r="BB176" i="1"/>
  <c r="AZ95" i="1"/>
  <c r="BA95" i="1"/>
  <c r="AW95" i="1"/>
  <c r="AY96" i="1" s="1"/>
  <c r="BA49" i="1"/>
  <c r="AW49" i="1"/>
  <c r="AZ49" i="1"/>
  <c r="BB49" i="1" s="1"/>
  <c r="BA123" i="1"/>
  <c r="AW123" i="1"/>
  <c r="AY124" i="1" s="1"/>
  <c r="AZ123" i="1"/>
  <c r="AW90" i="1"/>
  <c r="AY91" i="1" s="1"/>
  <c r="BA90" i="1"/>
  <c r="AZ90" i="1"/>
  <c r="AW26" i="1"/>
  <c r="BA26" i="1"/>
  <c r="AZ26" i="1"/>
  <c r="BB26" i="1" s="1"/>
  <c r="AW171" i="1"/>
  <c r="AY172" i="1" s="1"/>
  <c r="AZ171" i="1"/>
  <c r="BA171" i="1"/>
  <c r="BB52" i="1"/>
  <c r="AW58" i="1"/>
  <c r="BA58" i="1"/>
  <c r="AZ58" i="1"/>
  <c r="BB58" i="1" s="1"/>
  <c r="AZ124" i="1"/>
  <c r="AW124" i="1"/>
  <c r="AY125" i="1" s="1"/>
  <c r="BA124" i="1"/>
  <c r="BB145" i="1"/>
  <c r="BB57" i="1"/>
  <c r="BB35" i="1"/>
  <c r="BE47" i="1"/>
  <c r="AQ63" i="1"/>
  <c r="AQ98" i="1"/>
  <c r="AQ60" i="1"/>
  <c r="AQ28" i="1"/>
  <c r="BE28" i="1" s="1"/>
  <c r="AQ27" i="1"/>
  <c r="BE27" i="1" s="1"/>
  <c r="AQ45" i="1"/>
  <c r="BE45" i="1" s="1"/>
  <c r="AO64" i="1"/>
  <c r="AP64" i="1"/>
  <c r="AL64" i="1"/>
  <c r="AN65" i="1" s="1"/>
  <c r="AP113" i="1"/>
  <c r="AO113" i="1"/>
  <c r="AL113" i="1"/>
  <c r="AN114" i="1" s="1"/>
  <c r="BB128" i="1"/>
  <c r="BB123" i="1"/>
  <c r="BB90" i="1"/>
  <c r="BB89" i="1"/>
  <c r="BB36" i="1"/>
  <c r="BB129" i="1"/>
  <c r="AW37" i="1"/>
  <c r="AY38" i="1" s="1"/>
  <c r="BA37" i="1"/>
  <c r="AZ37" i="1"/>
  <c r="AL99" i="1"/>
  <c r="AN100" i="1" s="1"/>
  <c r="AP99" i="1"/>
  <c r="AO99" i="1"/>
  <c r="AL155" i="1"/>
  <c r="AN156" i="1" s="1"/>
  <c r="AO155" i="1"/>
  <c r="AP155" i="1"/>
  <c r="AQ57" i="1"/>
  <c r="BE57" i="1" s="1"/>
  <c r="AO108" i="1"/>
  <c r="AL108" i="1"/>
  <c r="AP108" i="1"/>
  <c r="AP133" i="1"/>
  <c r="AO133" i="1"/>
  <c r="AQ133" i="1" s="1"/>
  <c r="AL133" i="1"/>
  <c r="AN134" i="1" s="1"/>
  <c r="AP163" i="1"/>
  <c r="AO163" i="1"/>
  <c r="AL163" i="1"/>
  <c r="AN164" i="1" s="1"/>
  <c r="AL58" i="1"/>
  <c r="AN59" i="1" s="1"/>
  <c r="AP58" i="1"/>
  <c r="AO58" i="1"/>
  <c r="AL25" i="1"/>
  <c r="AN26" i="1" s="1"/>
  <c r="AP25" i="1"/>
  <c r="AO25" i="1"/>
  <c r="AO148" i="1"/>
  <c r="AL148" i="1"/>
  <c r="AN149" i="1" s="1"/>
  <c r="AP148" i="1"/>
  <c r="AQ147" i="1"/>
  <c r="BE147" i="1" s="1"/>
  <c r="AQ97" i="1"/>
  <c r="AQ105" i="1"/>
  <c r="AL48" i="1"/>
  <c r="AN49" i="1" s="1"/>
  <c r="AO48" i="1"/>
  <c r="AP48" i="1"/>
  <c r="BB48" i="1"/>
  <c r="BB23" i="1"/>
  <c r="BE23" i="1" s="1"/>
  <c r="BB164" i="1"/>
  <c r="BB148" i="1"/>
  <c r="BB66" i="1"/>
  <c r="BB50" i="1"/>
  <c r="BB59" i="1"/>
  <c r="BB53" i="1"/>
  <c r="AW54" i="1"/>
  <c r="AY55" i="1" s="1"/>
  <c r="BA54" i="1"/>
  <c r="AZ54" i="1"/>
  <c r="BB54" i="1" s="1"/>
  <c r="BE54" i="1" s="1"/>
  <c r="AW46" i="1"/>
  <c r="BA46" i="1"/>
  <c r="AZ46" i="1"/>
  <c r="AZ152" i="1"/>
  <c r="AW152" i="1"/>
  <c r="AY153" i="1" s="1"/>
  <c r="BA152" i="1"/>
  <c r="BA130" i="1"/>
  <c r="AZ130" i="1"/>
  <c r="AW130" i="1"/>
  <c r="AY131" i="1" s="1"/>
  <c r="AW29" i="1"/>
  <c r="AY30" i="1" s="1"/>
  <c r="BA29" i="1"/>
  <c r="AZ29" i="1"/>
  <c r="BB151" i="1"/>
  <c r="AW51" i="1"/>
  <c r="BA51" i="1"/>
  <c r="AZ51" i="1"/>
  <c r="BA60" i="1"/>
  <c r="AW60" i="1"/>
  <c r="AY61" i="1" s="1"/>
  <c r="AZ60" i="1"/>
  <c r="BB60" i="1" s="1"/>
  <c r="BB149" i="1"/>
  <c r="BB170" i="1"/>
  <c r="AQ110" i="1"/>
  <c r="AQ111" i="1"/>
  <c r="BE146" i="1"/>
  <c r="BC22" i="1"/>
  <c r="BE22" i="1"/>
  <c r="AR22" i="1"/>
  <c r="AR23" i="1" s="1"/>
  <c r="AO76" i="1" l="1"/>
  <c r="AL76" i="1"/>
  <c r="AN77" i="1" s="1"/>
  <c r="AP76" i="1"/>
  <c r="AL31" i="1"/>
  <c r="AN32" i="1" s="1"/>
  <c r="AP31" i="1"/>
  <c r="AO31" i="1"/>
  <c r="AQ31" i="1" s="1"/>
  <c r="AW96" i="1"/>
  <c r="AY97" i="1" s="1"/>
  <c r="AZ96" i="1"/>
  <c r="BB96" i="1" s="1"/>
  <c r="BA96" i="1"/>
  <c r="AQ113" i="1"/>
  <c r="BB171" i="1"/>
  <c r="AQ61" i="1"/>
  <c r="AQ106" i="1"/>
  <c r="AQ58" i="1"/>
  <c r="AP138" i="1"/>
  <c r="AO138" i="1"/>
  <c r="AQ138" i="1" s="1"/>
  <c r="AL138" i="1"/>
  <c r="AO141" i="1"/>
  <c r="AP141" i="1"/>
  <c r="AL141" i="1"/>
  <c r="AN142" i="1" s="1"/>
  <c r="AQ137" i="1"/>
  <c r="AQ140" i="1"/>
  <c r="AR24" i="1"/>
  <c r="AO62" i="1"/>
  <c r="AQ62" i="1" s="1"/>
  <c r="AP62" i="1"/>
  <c r="AL62" i="1"/>
  <c r="BB37" i="1"/>
  <c r="BB95" i="1"/>
  <c r="BB124" i="1"/>
  <c r="AZ69" i="1"/>
  <c r="BA69" i="1"/>
  <c r="AW69" i="1"/>
  <c r="AY70" i="1" s="1"/>
  <c r="AW91" i="1"/>
  <c r="AY92" i="1" s="1"/>
  <c r="BA91" i="1"/>
  <c r="AZ91" i="1"/>
  <c r="BB91" i="1" s="1"/>
  <c r="AZ172" i="1"/>
  <c r="AW172" i="1"/>
  <c r="AY173" i="1" s="1"/>
  <c r="BA172" i="1"/>
  <c r="AW125" i="1"/>
  <c r="AY126" i="1" s="1"/>
  <c r="AZ125" i="1"/>
  <c r="BA125" i="1"/>
  <c r="AW38" i="1"/>
  <c r="AY39" i="1" s="1"/>
  <c r="BA38" i="1"/>
  <c r="AZ38" i="1"/>
  <c r="BB38" i="1" s="1"/>
  <c r="BE58" i="1"/>
  <c r="BB46" i="1"/>
  <c r="BE46" i="1" s="1"/>
  <c r="BB130" i="1"/>
  <c r="AQ64" i="1"/>
  <c r="AQ163" i="1"/>
  <c r="AL114" i="1"/>
  <c r="AN115" i="1" s="1"/>
  <c r="AO114" i="1"/>
  <c r="AP114" i="1"/>
  <c r="BE60" i="1"/>
  <c r="AL65" i="1"/>
  <c r="AN66" i="1" s="1"/>
  <c r="AP65" i="1"/>
  <c r="AO65" i="1"/>
  <c r="BB51" i="1"/>
  <c r="AQ155" i="1"/>
  <c r="AQ25" i="1"/>
  <c r="BE25" i="1" s="1"/>
  <c r="AP100" i="1"/>
  <c r="AL100" i="1"/>
  <c r="AN101" i="1" s="1"/>
  <c r="AO100" i="1"/>
  <c r="AL156" i="1"/>
  <c r="AN157" i="1" s="1"/>
  <c r="AO156" i="1"/>
  <c r="AP156" i="1"/>
  <c r="AP134" i="1"/>
  <c r="AO134" i="1"/>
  <c r="AQ134" i="1" s="1"/>
  <c r="AL134" i="1"/>
  <c r="AN135" i="1" s="1"/>
  <c r="AL59" i="1"/>
  <c r="AO59" i="1"/>
  <c r="AP59" i="1"/>
  <c r="AO26" i="1"/>
  <c r="AP26" i="1"/>
  <c r="AL26" i="1"/>
  <c r="AQ99" i="1"/>
  <c r="AQ108" i="1"/>
  <c r="AO164" i="1"/>
  <c r="AL164" i="1"/>
  <c r="AN165" i="1" s="1"/>
  <c r="AP164" i="1"/>
  <c r="AL49" i="1"/>
  <c r="AN50" i="1" s="1"/>
  <c r="AP49" i="1"/>
  <c r="AO49" i="1"/>
  <c r="AO149" i="1"/>
  <c r="AL149" i="1"/>
  <c r="AN150" i="1" s="1"/>
  <c r="AP149" i="1"/>
  <c r="AQ148" i="1"/>
  <c r="BE148" i="1" s="1"/>
  <c r="AQ48" i="1"/>
  <c r="BE48" i="1" s="1"/>
  <c r="BC23" i="1"/>
  <c r="BC24" i="1" s="1"/>
  <c r="BC25" i="1" s="1"/>
  <c r="BC26" i="1" s="1"/>
  <c r="BC27" i="1" s="1"/>
  <c r="BC28" i="1" s="1"/>
  <c r="AW55" i="1"/>
  <c r="AY56" i="1" s="1"/>
  <c r="BA55" i="1"/>
  <c r="AZ55" i="1"/>
  <c r="BB55" i="1" s="1"/>
  <c r="BE55" i="1" s="1"/>
  <c r="BB29" i="1"/>
  <c r="BE29" i="1" s="1"/>
  <c r="AZ153" i="1"/>
  <c r="AW153" i="1"/>
  <c r="AY154" i="1" s="1"/>
  <c r="BA153" i="1"/>
  <c r="BA131" i="1"/>
  <c r="AW131" i="1"/>
  <c r="AY132" i="1" s="1"/>
  <c r="AZ131" i="1"/>
  <c r="AW30" i="1"/>
  <c r="AY31" i="1" s="1"/>
  <c r="BA30" i="1"/>
  <c r="AZ30" i="1"/>
  <c r="AW61" i="1"/>
  <c r="AY62" i="1" s="1"/>
  <c r="BA61" i="1"/>
  <c r="AZ61" i="1"/>
  <c r="BB152" i="1"/>
  <c r="BF22" i="1"/>
  <c r="BF23" i="1" s="1"/>
  <c r="BF24" i="1" s="1"/>
  <c r="AQ76" i="1" l="1"/>
  <c r="AL77" i="1"/>
  <c r="AN78" i="1" s="1"/>
  <c r="AP77" i="1"/>
  <c r="AO77" i="1"/>
  <c r="AQ77" i="1" s="1"/>
  <c r="AL32" i="1"/>
  <c r="AN33" i="1" s="1"/>
  <c r="AP32" i="1"/>
  <c r="AO32" i="1"/>
  <c r="AQ32" i="1" s="1"/>
  <c r="AR25" i="1"/>
  <c r="BA97" i="1"/>
  <c r="AW97" i="1"/>
  <c r="AY98" i="1" s="1"/>
  <c r="AW98" i="1" s="1"/>
  <c r="AY99" i="1" s="1"/>
  <c r="AZ97" i="1"/>
  <c r="BB97" i="1" s="1"/>
  <c r="BE97" i="1" s="1"/>
  <c r="AQ100" i="1"/>
  <c r="AP142" i="1"/>
  <c r="AO142" i="1"/>
  <c r="AQ142" i="1" s="1"/>
  <c r="AL142" i="1"/>
  <c r="AN143" i="1" s="1"/>
  <c r="AQ141" i="1"/>
  <c r="AO135" i="1"/>
  <c r="AL135" i="1"/>
  <c r="AP135" i="1"/>
  <c r="AZ70" i="1"/>
  <c r="BA70" i="1"/>
  <c r="AW70" i="1"/>
  <c r="AY71" i="1" s="1"/>
  <c r="BA92" i="1"/>
  <c r="AW92" i="1"/>
  <c r="AY93" i="1" s="1"/>
  <c r="AZ92" i="1"/>
  <c r="BB92" i="1" s="1"/>
  <c r="AZ173" i="1"/>
  <c r="AW173" i="1"/>
  <c r="AY174" i="1" s="1"/>
  <c r="BA173" i="1"/>
  <c r="AW126" i="1"/>
  <c r="AY127" i="1" s="1"/>
  <c r="AZ126" i="1"/>
  <c r="BA126" i="1"/>
  <c r="AZ39" i="1"/>
  <c r="BA39" i="1"/>
  <c r="AW39" i="1"/>
  <c r="AY40" i="1" s="1"/>
  <c r="BB69" i="1"/>
  <c r="BB172" i="1"/>
  <c r="BB125" i="1"/>
  <c r="BB30" i="1"/>
  <c r="BE30" i="1" s="1"/>
  <c r="AQ49" i="1"/>
  <c r="BE49" i="1" s="1"/>
  <c r="BB131" i="1"/>
  <c r="BB61" i="1"/>
  <c r="BE61" i="1" s="1"/>
  <c r="BC29" i="1"/>
  <c r="AL66" i="1"/>
  <c r="AN67" i="1" s="1"/>
  <c r="AP66" i="1"/>
  <c r="AO66" i="1"/>
  <c r="AQ164" i="1"/>
  <c r="BE164" i="1" s="1"/>
  <c r="AL165" i="1"/>
  <c r="AN166" i="1" s="1"/>
  <c r="AO165" i="1"/>
  <c r="AP165" i="1"/>
  <c r="AL50" i="1"/>
  <c r="AN51" i="1" s="1"/>
  <c r="AP50" i="1"/>
  <c r="AO50" i="1"/>
  <c r="AQ50" i="1" s="1"/>
  <c r="BE50" i="1" s="1"/>
  <c r="AL115" i="1"/>
  <c r="AN116" i="1" s="1"/>
  <c r="AO115" i="1"/>
  <c r="AP115" i="1"/>
  <c r="AQ114" i="1"/>
  <c r="AQ65" i="1"/>
  <c r="BF25" i="1"/>
  <c r="AP101" i="1"/>
  <c r="AO101" i="1"/>
  <c r="AL101" i="1"/>
  <c r="AN102" i="1" s="1"/>
  <c r="AO157" i="1"/>
  <c r="AL157" i="1"/>
  <c r="AN158" i="1" s="1"/>
  <c r="AP157" i="1"/>
  <c r="AQ156" i="1"/>
  <c r="AQ59" i="1"/>
  <c r="BE59" i="1" s="1"/>
  <c r="AQ26" i="1"/>
  <c r="AO150" i="1"/>
  <c r="AL150" i="1"/>
  <c r="AN151" i="1" s="1"/>
  <c r="AP150" i="1"/>
  <c r="AQ149" i="1"/>
  <c r="BE149" i="1" s="1"/>
  <c r="BA56" i="1"/>
  <c r="AZ56" i="1"/>
  <c r="AW56" i="1"/>
  <c r="AZ154" i="1"/>
  <c r="AW154" i="1"/>
  <c r="AY155" i="1" s="1"/>
  <c r="BA154" i="1"/>
  <c r="BA132" i="1"/>
  <c r="AW132" i="1"/>
  <c r="AY133" i="1" s="1"/>
  <c r="AZ132" i="1"/>
  <c r="BB132" i="1" s="1"/>
  <c r="BE132" i="1" s="1"/>
  <c r="AW31" i="1"/>
  <c r="AY32" i="1" s="1"/>
  <c r="BA31" i="1"/>
  <c r="AZ31" i="1"/>
  <c r="BA98" i="1"/>
  <c r="AZ98" i="1"/>
  <c r="BB98" i="1" s="1"/>
  <c r="BE98" i="1" s="1"/>
  <c r="AW62" i="1"/>
  <c r="AY63" i="1" s="1"/>
  <c r="BA62" i="1"/>
  <c r="AZ62" i="1"/>
  <c r="BB153" i="1"/>
  <c r="AL78" i="1" l="1"/>
  <c r="AN79" i="1" s="1"/>
  <c r="AO78" i="1"/>
  <c r="AP78" i="1"/>
  <c r="AO33" i="1"/>
  <c r="AP33" i="1"/>
  <c r="AL33" i="1"/>
  <c r="AN34" i="1" s="1"/>
  <c r="BB39" i="1"/>
  <c r="BC30" i="1"/>
  <c r="AQ135" i="1"/>
  <c r="AL143" i="1"/>
  <c r="AN144" i="1" s="1"/>
  <c r="AP143" i="1"/>
  <c r="AO143" i="1"/>
  <c r="AQ143" i="1" s="1"/>
  <c r="BE143" i="1" s="1"/>
  <c r="AQ66" i="1"/>
  <c r="BE66" i="1" s="1"/>
  <c r="AO158" i="1"/>
  <c r="AL158" i="1"/>
  <c r="AN159" i="1" s="1"/>
  <c r="AP158" i="1"/>
  <c r="AP79" i="1"/>
  <c r="AL79" i="1"/>
  <c r="AN80" i="1" s="1"/>
  <c r="AO79" i="1"/>
  <c r="AQ79" i="1" s="1"/>
  <c r="AQ101" i="1"/>
  <c r="AZ71" i="1"/>
  <c r="AW71" i="1"/>
  <c r="AY72" i="1" s="1"/>
  <c r="BA71" i="1"/>
  <c r="AZ93" i="1"/>
  <c r="AW93" i="1"/>
  <c r="BA93" i="1"/>
  <c r="AZ174" i="1"/>
  <c r="AW174" i="1"/>
  <c r="AY175" i="1" s="1"/>
  <c r="BA174" i="1"/>
  <c r="BA127" i="1"/>
  <c r="AW127" i="1"/>
  <c r="AZ127" i="1"/>
  <c r="BB127" i="1" s="1"/>
  <c r="BA40" i="1"/>
  <c r="AW40" i="1"/>
  <c r="AY41" i="1" s="1"/>
  <c r="AZ40" i="1"/>
  <c r="BB40" i="1" s="1"/>
  <c r="BB173" i="1"/>
  <c r="BB126" i="1"/>
  <c r="BB70" i="1"/>
  <c r="BE70" i="1" s="1"/>
  <c r="AL67" i="1"/>
  <c r="AN68" i="1" s="1"/>
  <c r="AP67" i="1"/>
  <c r="AO67" i="1"/>
  <c r="AQ67" i="1" s="1"/>
  <c r="BE67" i="1" s="1"/>
  <c r="AO51" i="1"/>
  <c r="AP51" i="1"/>
  <c r="AL51" i="1"/>
  <c r="AN52" i="1" s="1"/>
  <c r="AQ165" i="1"/>
  <c r="BE165" i="1" s="1"/>
  <c r="AQ115" i="1"/>
  <c r="AO166" i="1"/>
  <c r="AL166" i="1"/>
  <c r="AN167" i="1" s="1"/>
  <c r="AP166" i="1"/>
  <c r="AL116" i="1"/>
  <c r="AN117" i="1" s="1"/>
  <c r="AO116" i="1"/>
  <c r="AP116" i="1"/>
  <c r="BB56" i="1"/>
  <c r="BE56" i="1" s="1"/>
  <c r="AL102" i="1"/>
  <c r="AN103" i="1" s="1"/>
  <c r="AP102" i="1"/>
  <c r="AO102" i="1"/>
  <c r="AL34" i="1"/>
  <c r="AN35" i="1" s="1"/>
  <c r="AO34" i="1"/>
  <c r="AP34" i="1"/>
  <c r="AR26" i="1"/>
  <c r="AR27" i="1" s="1"/>
  <c r="AR28" i="1" s="1"/>
  <c r="AR29" i="1" s="1"/>
  <c r="AR30" i="1" s="1"/>
  <c r="AR31" i="1" s="1"/>
  <c r="AR32" i="1" s="1"/>
  <c r="BE26" i="1"/>
  <c r="BF26" i="1" s="1"/>
  <c r="BF27" i="1" s="1"/>
  <c r="BF28" i="1" s="1"/>
  <c r="BF29" i="1" s="1"/>
  <c r="BF30" i="1" s="1"/>
  <c r="AQ157" i="1"/>
  <c r="AQ33" i="1"/>
  <c r="AO151" i="1"/>
  <c r="AL151" i="1"/>
  <c r="AN152" i="1" s="1"/>
  <c r="AP151" i="1"/>
  <c r="AQ150" i="1"/>
  <c r="BE150" i="1" s="1"/>
  <c r="AZ155" i="1"/>
  <c r="AW155" i="1"/>
  <c r="AY156" i="1" s="1"/>
  <c r="BA155" i="1"/>
  <c r="BA133" i="1"/>
  <c r="AZ133" i="1"/>
  <c r="AW133" i="1"/>
  <c r="AY134" i="1" s="1"/>
  <c r="AW32" i="1"/>
  <c r="AY33" i="1" s="1"/>
  <c r="BA32" i="1"/>
  <c r="AZ32" i="1"/>
  <c r="AW99" i="1"/>
  <c r="AY100" i="1" s="1"/>
  <c r="AZ99" i="1"/>
  <c r="BA99" i="1"/>
  <c r="AW63" i="1"/>
  <c r="AY64" i="1" s="1"/>
  <c r="BA63" i="1"/>
  <c r="AZ63" i="1"/>
  <c r="BB154" i="1"/>
  <c r="BE154" i="1" s="1"/>
  <c r="BB31" i="1"/>
  <c r="BB62" i="1"/>
  <c r="BE62" i="1" s="1"/>
  <c r="AQ78" i="1" l="1"/>
  <c r="AL144" i="1"/>
  <c r="AN145" i="1" s="1"/>
  <c r="AP144" i="1"/>
  <c r="AO144" i="1"/>
  <c r="AP159" i="1"/>
  <c r="AO159" i="1"/>
  <c r="AQ159" i="1" s="1"/>
  <c r="AL159" i="1"/>
  <c r="AN160" i="1" s="1"/>
  <c r="AO80" i="1"/>
  <c r="AP80" i="1"/>
  <c r="AL80" i="1"/>
  <c r="AN81" i="1" s="1"/>
  <c r="AQ158" i="1"/>
  <c r="AQ51" i="1"/>
  <c r="BE51" i="1" s="1"/>
  <c r="AZ72" i="1"/>
  <c r="AW72" i="1"/>
  <c r="AY73" i="1" s="1"/>
  <c r="BA72" i="1"/>
  <c r="AW175" i="1"/>
  <c r="AZ175" i="1"/>
  <c r="BA175" i="1"/>
  <c r="AW41" i="1"/>
  <c r="AY42" i="1" s="1"/>
  <c r="BA41" i="1"/>
  <c r="AZ41" i="1"/>
  <c r="BB41" i="1" s="1"/>
  <c r="BB71" i="1"/>
  <c r="BE71" i="1" s="1"/>
  <c r="BB93" i="1"/>
  <c r="BB174" i="1"/>
  <c r="AW33" i="1"/>
  <c r="AY34" i="1" s="1"/>
  <c r="BA33" i="1"/>
  <c r="AZ33" i="1"/>
  <c r="BB33" i="1" s="1"/>
  <c r="BE33" i="1" s="1"/>
  <c r="AW64" i="1"/>
  <c r="AY65" i="1" s="1"/>
  <c r="AZ64" i="1"/>
  <c r="BA64" i="1"/>
  <c r="AL68" i="1"/>
  <c r="AN69" i="1" s="1"/>
  <c r="AL69" i="1" s="1"/>
  <c r="AP68" i="1"/>
  <c r="AO68" i="1"/>
  <c r="AQ68" i="1" s="1"/>
  <c r="BE68" i="1" s="1"/>
  <c r="AO52" i="1"/>
  <c r="AP52" i="1"/>
  <c r="AL52" i="1"/>
  <c r="AN53" i="1" s="1"/>
  <c r="AQ166" i="1"/>
  <c r="BE166" i="1" s="1"/>
  <c r="AL167" i="1"/>
  <c r="AN168" i="1" s="1"/>
  <c r="AO167" i="1"/>
  <c r="AP167" i="1"/>
  <c r="BB63" i="1"/>
  <c r="BE63" i="1" s="1"/>
  <c r="BB133" i="1"/>
  <c r="BE133" i="1" s="1"/>
  <c r="AQ102" i="1"/>
  <c r="AP117" i="1"/>
  <c r="AL117" i="1"/>
  <c r="AN118" i="1" s="1"/>
  <c r="AO117" i="1"/>
  <c r="AQ117" i="1" s="1"/>
  <c r="AQ116" i="1"/>
  <c r="AR33" i="1"/>
  <c r="AL103" i="1"/>
  <c r="AN104" i="1" s="1"/>
  <c r="AP103" i="1"/>
  <c r="AO103" i="1"/>
  <c r="AL35" i="1"/>
  <c r="AN36" i="1" s="1"/>
  <c r="AO35" i="1"/>
  <c r="AP35" i="1"/>
  <c r="AL152" i="1"/>
  <c r="AN153" i="1" s="1"/>
  <c r="AO152" i="1"/>
  <c r="AP152" i="1"/>
  <c r="AQ151" i="1"/>
  <c r="BE151" i="1" s="1"/>
  <c r="AQ34" i="1"/>
  <c r="BB99" i="1"/>
  <c r="BE99" i="1" s="1"/>
  <c r="AW156" i="1"/>
  <c r="AY157" i="1" s="1"/>
  <c r="BA156" i="1"/>
  <c r="AZ156" i="1"/>
  <c r="AZ134" i="1"/>
  <c r="AW134" i="1"/>
  <c r="AY135" i="1" s="1"/>
  <c r="BA134" i="1"/>
  <c r="BA100" i="1"/>
  <c r="AW100" i="1"/>
  <c r="AY101" i="1" s="1"/>
  <c r="AZ100" i="1"/>
  <c r="BE31" i="1"/>
  <c r="BF31" i="1" s="1"/>
  <c r="BC31" i="1"/>
  <c r="BB32" i="1"/>
  <c r="BB155" i="1"/>
  <c r="BE155" i="1" s="1"/>
  <c r="AQ144" i="1" l="1"/>
  <c r="BE144" i="1" s="1"/>
  <c r="AP69" i="1"/>
  <c r="AO69" i="1"/>
  <c r="AQ69" i="1" s="1"/>
  <c r="BE69" i="1" s="1"/>
  <c r="AO145" i="1"/>
  <c r="AP145" i="1"/>
  <c r="AL145" i="1"/>
  <c r="AP160" i="1"/>
  <c r="AO160" i="1"/>
  <c r="AL160" i="1"/>
  <c r="AN161" i="1" s="1"/>
  <c r="AP81" i="1"/>
  <c r="AL81" i="1"/>
  <c r="AN82" i="1" s="1"/>
  <c r="AO81" i="1"/>
  <c r="AQ80" i="1"/>
  <c r="AP153" i="1"/>
  <c r="AL153" i="1"/>
  <c r="AO153" i="1"/>
  <c r="AQ153" i="1" s="1"/>
  <c r="BE153" i="1" s="1"/>
  <c r="AQ52" i="1"/>
  <c r="BE52" i="1" s="1"/>
  <c r="AL53" i="1"/>
  <c r="AP53" i="1"/>
  <c r="AO53" i="1"/>
  <c r="BB175" i="1"/>
  <c r="AW73" i="1"/>
  <c r="AY74" i="1" s="1"/>
  <c r="AZ73" i="1"/>
  <c r="BA73" i="1"/>
  <c r="AZ42" i="1"/>
  <c r="BA42" i="1"/>
  <c r="AW42" i="1"/>
  <c r="AY43" i="1" s="1"/>
  <c r="BA34" i="1"/>
  <c r="AZ34" i="1"/>
  <c r="BB34" i="1" s="1"/>
  <c r="BE34" i="1" s="1"/>
  <c r="AW34" i="1"/>
  <c r="AZ65" i="1"/>
  <c r="AW65" i="1"/>
  <c r="BA65" i="1"/>
  <c r="BB64" i="1"/>
  <c r="BE64" i="1" s="1"/>
  <c r="BB72" i="1"/>
  <c r="BE72" i="1" s="1"/>
  <c r="AW101" i="1"/>
  <c r="AY102" i="1" s="1"/>
  <c r="BA101" i="1"/>
  <c r="AZ101" i="1"/>
  <c r="AQ167" i="1"/>
  <c r="BE167" i="1" s="1"/>
  <c r="AQ103" i="1"/>
  <c r="AO168" i="1"/>
  <c r="AP168" i="1"/>
  <c r="AL168" i="1"/>
  <c r="AN169" i="1" s="1"/>
  <c r="BB156" i="1"/>
  <c r="BE156" i="1" s="1"/>
  <c r="AL118" i="1"/>
  <c r="AN119" i="1" s="1"/>
  <c r="AO118" i="1"/>
  <c r="AP118" i="1"/>
  <c r="AO104" i="1"/>
  <c r="AL104" i="1"/>
  <c r="AP104" i="1"/>
  <c r="AO36" i="1"/>
  <c r="AP36" i="1"/>
  <c r="AL36" i="1"/>
  <c r="AN37" i="1" s="1"/>
  <c r="AR34" i="1"/>
  <c r="AQ152" i="1"/>
  <c r="BE152" i="1" s="1"/>
  <c r="AQ35" i="1"/>
  <c r="BE35" i="1" s="1"/>
  <c r="BC32" i="1"/>
  <c r="BC33" i="1" s="1"/>
  <c r="BB100" i="1"/>
  <c r="BE100" i="1" s="1"/>
  <c r="AZ157" i="1"/>
  <c r="AW157" i="1"/>
  <c r="AY158" i="1" s="1"/>
  <c r="BA157" i="1"/>
  <c r="AZ135" i="1"/>
  <c r="AW135" i="1"/>
  <c r="AY136" i="1" s="1"/>
  <c r="BA135" i="1"/>
  <c r="BB134" i="1"/>
  <c r="BE134" i="1" s="1"/>
  <c r="BE32" i="1"/>
  <c r="BF32" i="1" s="1"/>
  <c r="BF33" i="1" s="1"/>
  <c r="AQ160" i="1" l="1"/>
  <c r="AQ81" i="1"/>
  <c r="AQ53" i="1"/>
  <c r="BE53" i="1" s="1"/>
  <c r="AL161" i="1"/>
  <c r="AP161" i="1"/>
  <c r="AO161" i="1"/>
  <c r="AQ161" i="1" s="1"/>
  <c r="AO82" i="1"/>
  <c r="AL82" i="1"/>
  <c r="AN83" i="1" s="1"/>
  <c r="AP82" i="1"/>
  <c r="AQ145" i="1"/>
  <c r="BE145" i="1" s="1"/>
  <c r="BB101" i="1"/>
  <c r="BE101" i="1" s="1"/>
  <c r="BB73" i="1"/>
  <c r="BE73" i="1" s="1"/>
  <c r="BB42" i="1"/>
  <c r="BB65" i="1"/>
  <c r="BE65" i="1" s="1"/>
  <c r="BA74" i="1"/>
  <c r="AW74" i="1"/>
  <c r="AY75" i="1" s="1"/>
  <c r="AZ74" i="1"/>
  <c r="BB74" i="1" s="1"/>
  <c r="BE74" i="1" s="1"/>
  <c r="AZ43" i="1"/>
  <c r="BA43" i="1"/>
  <c r="AW43" i="1"/>
  <c r="AZ102" i="1"/>
  <c r="AW102" i="1"/>
  <c r="AY103" i="1" s="1"/>
  <c r="BA102" i="1"/>
  <c r="BC34" i="1"/>
  <c r="BC35" i="1" s="1"/>
  <c r="BC36" i="1" s="1"/>
  <c r="BC37" i="1" s="1"/>
  <c r="BC38" i="1" s="1"/>
  <c r="BC39" i="1" s="1"/>
  <c r="BC40" i="1" s="1"/>
  <c r="BC41" i="1" s="1"/>
  <c r="AQ168" i="1"/>
  <c r="BE168" i="1" s="1"/>
  <c r="AP169" i="1"/>
  <c r="AL169" i="1"/>
  <c r="AN170" i="1" s="1"/>
  <c r="AO169" i="1"/>
  <c r="AQ118" i="1"/>
  <c r="AL119" i="1"/>
  <c r="AN120" i="1" s="1"/>
  <c r="AO119" i="1"/>
  <c r="AP119" i="1"/>
  <c r="BF34" i="1"/>
  <c r="BF35" i="1" s="1"/>
  <c r="AR35" i="1"/>
  <c r="AQ36" i="1"/>
  <c r="BE36" i="1" s="1"/>
  <c r="AL37" i="1"/>
  <c r="AN38" i="1" s="1"/>
  <c r="AP37" i="1"/>
  <c r="AO37" i="1"/>
  <c r="AQ104" i="1"/>
  <c r="AW158" i="1"/>
  <c r="AY159" i="1" s="1"/>
  <c r="AZ158" i="1"/>
  <c r="BA158" i="1"/>
  <c r="AZ136" i="1"/>
  <c r="AW136" i="1"/>
  <c r="AY137" i="1" s="1"/>
  <c r="BA136" i="1"/>
  <c r="BB157" i="1"/>
  <c r="BE157" i="1" s="1"/>
  <c r="BB135" i="1"/>
  <c r="BE135" i="1" s="1"/>
  <c r="BB102" i="1" l="1"/>
  <c r="BE102" i="1" s="1"/>
  <c r="AQ169" i="1"/>
  <c r="BE169" i="1" s="1"/>
  <c r="AO83" i="1"/>
  <c r="AP83" i="1"/>
  <c r="AL83" i="1"/>
  <c r="AN84" i="1" s="1"/>
  <c r="AQ82" i="1"/>
  <c r="AQ37" i="1"/>
  <c r="BE37" i="1" s="1"/>
  <c r="BC42" i="1"/>
  <c r="AW75" i="1"/>
  <c r="AY76" i="1" s="1"/>
  <c r="AZ75" i="1"/>
  <c r="BA75" i="1"/>
  <c r="BA103" i="1"/>
  <c r="AZ103" i="1"/>
  <c r="BB103" i="1" s="1"/>
  <c r="BE103" i="1" s="1"/>
  <c r="AW103" i="1"/>
  <c r="AY104" i="1" s="1"/>
  <c r="BB43" i="1"/>
  <c r="AP170" i="1"/>
  <c r="AL170" i="1"/>
  <c r="AN171" i="1" s="1"/>
  <c r="AO170" i="1"/>
  <c r="AP120" i="1"/>
  <c r="AO120" i="1"/>
  <c r="AL120" i="1"/>
  <c r="AN121" i="1" s="1"/>
  <c r="AQ119" i="1"/>
  <c r="BF36" i="1"/>
  <c r="AR36" i="1"/>
  <c r="AO38" i="1"/>
  <c r="AP38" i="1"/>
  <c r="AL38" i="1"/>
  <c r="AN39" i="1" s="1"/>
  <c r="AW159" i="1"/>
  <c r="AY160" i="1" s="1"/>
  <c r="AZ159" i="1"/>
  <c r="BA159" i="1"/>
  <c r="AZ137" i="1"/>
  <c r="AW137" i="1"/>
  <c r="AY138" i="1" s="1"/>
  <c r="BA137" i="1"/>
  <c r="BB158" i="1"/>
  <c r="BE158" i="1" s="1"/>
  <c r="BB136" i="1"/>
  <c r="BE136" i="1" s="1"/>
  <c r="AQ170" i="1" l="1"/>
  <c r="BE170" i="1" s="1"/>
  <c r="BB75" i="1"/>
  <c r="BE75" i="1" s="1"/>
  <c r="AP84" i="1"/>
  <c r="AL84" i="1"/>
  <c r="AN85" i="1" s="1"/>
  <c r="AO84" i="1"/>
  <c r="AQ84" i="1" s="1"/>
  <c r="AQ83" i="1"/>
  <c r="AR37" i="1"/>
  <c r="AW76" i="1"/>
  <c r="AY77" i="1" s="1"/>
  <c r="BA76" i="1"/>
  <c r="AZ76" i="1"/>
  <c r="BB76" i="1" s="1"/>
  <c r="BE76" i="1" s="1"/>
  <c r="AW104" i="1"/>
  <c r="AY105" i="1" s="1"/>
  <c r="AZ104" i="1"/>
  <c r="BA104" i="1"/>
  <c r="BC43" i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A160" i="1"/>
  <c r="AW160" i="1"/>
  <c r="AY161" i="1" s="1"/>
  <c r="AZ160" i="1"/>
  <c r="AP171" i="1"/>
  <c r="AO171" i="1"/>
  <c r="AL171" i="1"/>
  <c r="AN172" i="1" s="1"/>
  <c r="BF37" i="1"/>
  <c r="AO121" i="1"/>
  <c r="AL121" i="1"/>
  <c r="AN122" i="1" s="1"/>
  <c r="AP121" i="1"/>
  <c r="AQ120" i="1"/>
  <c r="AL39" i="1"/>
  <c r="AN40" i="1" s="1"/>
  <c r="AP39" i="1"/>
  <c r="AO39" i="1"/>
  <c r="AQ38" i="1"/>
  <c r="AZ138" i="1"/>
  <c r="AW138" i="1"/>
  <c r="AY139" i="1" s="1"/>
  <c r="BA138" i="1"/>
  <c r="BB159" i="1"/>
  <c r="BE159" i="1" s="1"/>
  <c r="BB137" i="1"/>
  <c r="AQ39" i="1" l="1"/>
  <c r="BE39" i="1" s="1"/>
  <c r="AO85" i="1"/>
  <c r="AP85" i="1"/>
  <c r="AL85" i="1"/>
  <c r="AN86" i="1" s="1"/>
  <c r="AQ171" i="1"/>
  <c r="BE171" i="1" s="1"/>
  <c r="AW77" i="1"/>
  <c r="AY78" i="1" s="1"/>
  <c r="AZ77" i="1"/>
  <c r="BA77" i="1"/>
  <c r="AZ105" i="1"/>
  <c r="BA105" i="1"/>
  <c r="AW105" i="1"/>
  <c r="AY106" i="1" s="1"/>
  <c r="AW161" i="1"/>
  <c r="AY162" i="1" s="1"/>
  <c r="AZ161" i="1"/>
  <c r="BA161" i="1"/>
  <c r="BB104" i="1"/>
  <c r="BE104" i="1" s="1"/>
  <c r="BB160" i="1"/>
  <c r="BE160" i="1" s="1"/>
  <c r="AP172" i="1"/>
  <c r="AL172" i="1"/>
  <c r="AN173" i="1" s="1"/>
  <c r="AO172" i="1"/>
  <c r="AO122" i="1"/>
  <c r="AL122" i="1"/>
  <c r="AN123" i="1" s="1"/>
  <c r="AP122" i="1"/>
  <c r="AQ121" i="1"/>
  <c r="AO40" i="1"/>
  <c r="AP40" i="1"/>
  <c r="AL40" i="1"/>
  <c r="AN41" i="1" s="1"/>
  <c r="AR38" i="1"/>
  <c r="BE38" i="1"/>
  <c r="BF38" i="1" s="1"/>
  <c r="AZ139" i="1"/>
  <c r="AW139" i="1"/>
  <c r="AY140" i="1" s="1"/>
  <c r="BA139" i="1"/>
  <c r="BB138" i="1"/>
  <c r="BE137" i="1"/>
  <c r="AR39" i="1" l="1"/>
  <c r="BF39" i="1"/>
  <c r="AP86" i="1"/>
  <c r="AL86" i="1"/>
  <c r="AN87" i="1" s="1"/>
  <c r="AO86" i="1"/>
  <c r="AQ85" i="1"/>
  <c r="AQ172" i="1"/>
  <c r="BE172" i="1" s="1"/>
  <c r="BB161" i="1"/>
  <c r="BE161" i="1" s="1"/>
  <c r="BA78" i="1"/>
  <c r="AW78" i="1"/>
  <c r="AY79" i="1" s="1"/>
  <c r="AZ78" i="1"/>
  <c r="BA106" i="1"/>
  <c r="AW106" i="1"/>
  <c r="AY107" i="1" s="1"/>
  <c r="AZ106" i="1"/>
  <c r="AZ162" i="1"/>
  <c r="AW162" i="1"/>
  <c r="AY163" i="1" s="1"/>
  <c r="BA162" i="1"/>
  <c r="BB77" i="1"/>
  <c r="BB105" i="1"/>
  <c r="BE105" i="1" s="1"/>
  <c r="AO173" i="1"/>
  <c r="AP173" i="1"/>
  <c r="AL173" i="1"/>
  <c r="AN174" i="1" s="1"/>
  <c r="AL123" i="1"/>
  <c r="AN124" i="1" s="1"/>
  <c r="AO123" i="1"/>
  <c r="AP123" i="1"/>
  <c r="AQ122" i="1"/>
  <c r="BE122" i="1" s="1"/>
  <c r="AL41" i="1"/>
  <c r="AN42" i="1" s="1"/>
  <c r="AP41" i="1"/>
  <c r="AO41" i="1"/>
  <c r="AQ41" i="1" s="1"/>
  <c r="BE41" i="1" s="1"/>
  <c r="AQ40" i="1"/>
  <c r="AZ140" i="1"/>
  <c r="AW140" i="1"/>
  <c r="AY141" i="1" s="1"/>
  <c r="BA140" i="1"/>
  <c r="BE138" i="1"/>
  <c r="BB139" i="1"/>
  <c r="BE139" i="1" s="1"/>
  <c r="BB78" i="1" l="1"/>
  <c r="BE78" i="1" s="1"/>
  <c r="BB106" i="1"/>
  <c r="BE106" i="1" s="1"/>
  <c r="AO87" i="1"/>
  <c r="AP87" i="1"/>
  <c r="AL87" i="1"/>
  <c r="AN88" i="1" s="1"/>
  <c r="AQ86" i="1"/>
  <c r="AL42" i="1"/>
  <c r="AN43" i="1" s="1"/>
  <c r="AO42" i="1"/>
  <c r="AP42" i="1"/>
  <c r="BA79" i="1"/>
  <c r="AW79" i="1"/>
  <c r="AY80" i="1" s="1"/>
  <c r="AZ79" i="1"/>
  <c r="BB79" i="1" s="1"/>
  <c r="BE79" i="1" s="1"/>
  <c r="AZ107" i="1"/>
  <c r="BA107" i="1"/>
  <c r="AW107" i="1"/>
  <c r="AY108" i="1" s="1"/>
  <c r="BA163" i="1"/>
  <c r="AZ163" i="1"/>
  <c r="BB163" i="1" s="1"/>
  <c r="BE163" i="1" s="1"/>
  <c r="AW163" i="1"/>
  <c r="BE77" i="1"/>
  <c r="BC77" i="1"/>
  <c r="BC78" i="1" s="1"/>
  <c r="BB162" i="1"/>
  <c r="BE162" i="1" s="1"/>
  <c r="AQ173" i="1"/>
  <c r="BE173" i="1" s="1"/>
  <c r="AP174" i="1"/>
  <c r="AO174" i="1"/>
  <c r="AL174" i="1"/>
  <c r="AN175" i="1" s="1"/>
  <c r="AO124" i="1"/>
  <c r="AL124" i="1"/>
  <c r="AN125" i="1" s="1"/>
  <c r="AP124" i="1"/>
  <c r="AQ123" i="1"/>
  <c r="BE123" i="1" s="1"/>
  <c r="AR40" i="1"/>
  <c r="AR41" i="1" s="1"/>
  <c r="BE40" i="1"/>
  <c r="BF40" i="1" s="1"/>
  <c r="BF41" i="1" s="1"/>
  <c r="AZ141" i="1"/>
  <c r="AW141" i="1"/>
  <c r="AY142" i="1" s="1"/>
  <c r="BA141" i="1"/>
  <c r="BB140" i="1"/>
  <c r="BB107" i="1" l="1"/>
  <c r="BE107" i="1" s="1"/>
  <c r="AQ174" i="1"/>
  <c r="BE174" i="1" s="1"/>
  <c r="AP88" i="1"/>
  <c r="AL88" i="1"/>
  <c r="AN89" i="1" s="1"/>
  <c r="AO88" i="1"/>
  <c r="AO43" i="1"/>
  <c r="AP43" i="1"/>
  <c r="AL43" i="1"/>
  <c r="AN44" i="1" s="1"/>
  <c r="AQ87" i="1"/>
  <c r="BE87" i="1" s="1"/>
  <c r="AQ42" i="1"/>
  <c r="BC79" i="1"/>
  <c r="AZ80" i="1"/>
  <c r="BA80" i="1"/>
  <c r="AW80" i="1"/>
  <c r="AY81" i="1" s="1"/>
  <c r="AZ108" i="1"/>
  <c r="BA108" i="1"/>
  <c r="AW108" i="1"/>
  <c r="AY109" i="1" s="1"/>
  <c r="BA142" i="1"/>
  <c r="AZ142" i="1"/>
  <c r="BB142" i="1" s="1"/>
  <c r="BE142" i="1" s="1"/>
  <c r="AW142" i="1"/>
  <c r="AL175" i="1"/>
  <c r="AN176" i="1" s="1"/>
  <c r="AP175" i="1"/>
  <c r="AO175" i="1"/>
  <c r="AO125" i="1"/>
  <c r="AP125" i="1"/>
  <c r="AL125" i="1"/>
  <c r="AN126" i="1" s="1"/>
  <c r="AQ124" i="1"/>
  <c r="BE124" i="1" s="1"/>
  <c r="BE140" i="1"/>
  <c r="BB141" i="1"/>
  <c r="BB108" i="1" l="1"/>
  <c r="BE108" i="1" s="1"/>
  <c r="AQ88" i="1"/>
  <c r="BE88" i="1" s="1"/>
  <c r="AL89" i="1"/>
  <c r="AN90" i="1" s="1"/>
  <c r="AP89" i="1"/>
  <c r="AO89" i="1"/>
  <c r="AO44" i="1"/>
  <c r="AP44" i="1"/>
  <c r="AL44" i="1"/>
  <c r="AR42" i="1"/>
  <c r="BE42" i="1"/>
  <c r="BF42" i="1" s="1"/>
  <c r="AQ43" i="1"/>
  <c r="BE43" i="1" s="1"/>
  <c r="AQ175" i="1"/>
  <c r="BE175" i="1" s="1"/>
  <c r="BA81" i="1"/>
  <c r="AW81" i="1"/>
  <c r="AY82" i="1" s="1"/>
  <c r="AZ81" i="1"/>
  <c r="AW109" i="1"/>
  <c r="AY110" i="1" s="1"/>
  <c r="AZ109" i="1"/>
  <c r="BA109" i="1"/>
  <c r="BB80" i="1"/>
  <c r="AP176" i="1"/>
  <c r="AO176" i="1"/>
  <c r="AQ176" i="1" s="1"/>
  <c r="AL176" i="1"/>
  <c r="AQ125" i="1"/>
  <c r="BE125" i="1" s="1"/>
  <c r="AP126" i="1"/>
  <c r="AO126" i="1"/>
  <c r="AQ126" i="1" s="1"/>
  <c r="BE126" i="1" s="1"/>
  <c r="AL126" i="1"/>
  <c r="AN127" i="1" s="1"/>
  <c r="BE141" i="1"/>
  <c r="BB81" i="1" l="1"/>
  <c r="BE81" i="1" s="1"/>
  <c r="AQ89" i="1"/>
  <c r="BE89" i="1" s="1"/>
  <c r="AO90" i="1"/>
  <c r="AL90" i="1"/>
  <c r="AN91" i="1" s="1"/>
  <c r="AP90" i="1"/>
  <c r="BF43" i="1"/>
  <c r="AQ44" i="1"/>
  <c r="BE44" i="1" s="1"/>
  <c r="AR43" i="1"/>
  <c r="AZ82" i="1"/>
  <c r="AW82" i="1"/>
  <c r="AY83" i="1" s="1"/>
  <c r="BA82" i="1"/>
  <c r="AZ110" i="1"/>
  <c r="AW110" i="1"/>
  <c r="AY111" i="1" s="1"/>
  <c r="BA110" i="1"/>
  <c r="BC80" i="1"/>
  <c r="BE80" i="1"/>
  <c r="BB109" i="1"/>
  <c r="BE109" i="1" s="1"/>
  <c r="AL127" i="1"/>
  <c r="AN128" i="1" s="1"/>
  <c r="AP127" i="1"/>
  <c r="AO127" i="1"/>
  <c r="BE176" i="1"/>
  <c r="BC81" i="1" l="1"/>
  <c r="BF44" i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AL91" i="1"/>
  <c r="AN92" i="1" s="1"/>
  <c r="AP91" i="1"/>
  <c r="AO91" i="1"/>
  <c r="AR44" i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Q90" i="1"/>
  <c r="BE90" i="1" s="1"/>
  <c r="BA83" i="1"/>
  <c r="AZ83" i="1"/>
  <c r="BB83" i="1" s="1"/>
  <c r="BE83" i="1" s="1"/>
  <c r="AW83" i="1"/>
  <c r="AY84" i="1" s="1"/>
  <c r="AW111" i="1"/>
  <c r="AY112" i="1" s="1"/>
  <c r="AZ111" i="1"/>
  <c r="BA111" i="1"/>
  <c r="BB82" i="1"/>
  <c r="BB110" i="1"/>
  <c r="BE110" i="1" s="1"/>
  <c r="AQ127" i="1"/>
  <c r="BE127" i="1" s="1"/>
  <c r="AL128" i="1"/>
  <c r="AN129" i="1" s="1"/>
  <c r="AP128" i="1"/>
  <c r="AO128" i="1"/>
  <c r="AQ91" i="1" l="1"/>
  <c r="BE91" i="1" s="1"/>
  <c r="AR90" i="1"/>
  <c r="AP92" i="1"/>
  <c r="AL92" i="1"/>
  <c r="AN93" i="1" s="1"/>
  <c r="AO92" i="1"/>
  <c r="AW84" i="1"/>
  <c r="AY85" i="1" s="1"/>
  <c r="AZ84" i="1"/>
  <c r="BA84" i="1"/>
  <c r="BA112" i="1"/>
  <c r="AW112" i="1"/>
  <c r="AY113" i="1" s="1"/>
  <c r="AZ112" i="1"/>
  <c r="BE82" i="1"/>
  <c r="BF82" i="1" s="1"/>
  <c r="BF83" i="1" s="1"/>
  <c r="BC82" i="1"/>
  <c r="BC83" i="1" s="1"/>
  <c r="BB111" i="1"/>
  <c r="BE111" i="1" s="1"/>
  <c r="AQ128" i="1"/>
  <c r="BE128" i="1" s="1"/>
  <c r="AL129" i="1"/>
  <c r="AN130" i="1" s="1"/>
  <c r="AO129" i="1"/>
  <c r="AP129" i="1"/>
  <c r="AR91" i="1" l="1"/>
  <c r="BB112" i="1"/>
  <c r="BE112" i="1" s="1"/>
  <c r="AQ92" i="1"/>
  <c r="AP93" i="1"/>
  <c r="AO93" i="1"/>
  <c r="AQ93" i="1" s="1"/>
  <c r="BE93" i="1" s="1"/>
  <c r="AL93" i="1"/>
  <c r="AN94" i="1" s="1"/>
  <c r="AW85" i="1"/>
  <c r="AY86" i="1" s="1"/>
  <c r="BA85" i="1"/>
  <c r="AZ85" i="1"/>
  <c r="BB85" i="1" s="1"/>
  <c r="BE85" i="1" s="1"/>
  <c r="AW113" i="1"/>
  <c r="AY114" i="1" s="1"/>
  <c r="BA113" i="1"/>
  <c r="AZ113" i="1"/>
  <c r="BB113" i="1" s="1"/>
  <c r="BE113" i="1" s="1"/>
  <c r="BB84" i="1"/>
  <c r="AO130" i="1"/>
  <c r="AP130" i="1"/>
  <c r="AL130" i="1"/>
  <c r="AN131" i="1" s="1"/>
  <c r="AQ129" i="1"/>
  <c r="AR92" i="1" l="1"/>
  <c r="BE92" i="1"/>
  <c r="AR93" i="1"/>
  <c r="AO94" i="1"/>
  <c r="AL94" i="1"/>
  <c r="AN95" i="1" s="1"/>
  <c r="AP94" i="1"/>
  <c r="AW86" i="1"/>
  <c r="BA86" i="1"/>
  <c r="AZ86" i="1"/>
  <c r="BB86" i="1" s="1"/>
  <c r="BE86" i="1" s="1"/>
  <c r="BA114" i="1"/>
  <c r="AW114" i="1"/>
  <c r="AY115" i="1" s="1"/>
  <c r="AZ114" i="1"/>
  <c r="BB114" i="1" s="1"/>
  <c r="BE114" i="1" s="1"/>
  <c r="BC84" i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E84" i="1"/>
  <c r="BF84" i="1" s="1"/>
  <c r="BF85" i="1" s="1"/>
  <c r="AL131" i="1"/>
  <c r="AO131" i="1"/>
  <c r="AP131" i="1"/>
  <c r="BE129" i="1"/>
  <c r="AQ130" i="1"/>
  <c r="BE130" i="1" s="1"/>
  <c r="AL95" i="1" l="1"/>
  <c r="AN96" i="1" s="1"/>
  <c r="AP95" i="1"/>
  <c r="AO95" i="1"/>
  <c r="AQ95" i="1" s="1"/>
  <c r="BE95" i="1" s="1"/>
  <c r="AQ94" i="1"/>
  <c r="BF86" i="1"/>
  <c r="BF87" i="1" s="1"/>
  <c r="BF88" i="1" s="1"/>
  <c r="BF89" i="1" s="1"/>
  <c r="BF90" i="1" s="1"/>
  <c r="BF91" i="1" s="1"/>
  <c r="BF92" i="1" s="1"/>
  <c r="BF93" i="1" s="1"/>
  <c r="AZ115" i="1"/>
  <c r="BA115" i="1"/>
  <c r="AW115" i="1"/>
  <c r="AY116" i="1" s="1"/>
  <c r="AQ131" i="1"/>
  <c r="AL96" i="1" l="1"/>
  <c r="AP96" i="1"/>
  <c r="AO96" i="1"/>
  <c r="BE94" i="1"/>
  <c r="BF94" i="1" s="1"/>
  <c r="BF95" i="1" s="1"/>
  <c r="AR94" i="1"/>
  <c r="AR95" i="1" s="1"/>
  <c r="AW116" i="1"/>
  <c r="AY117" i="1" s="1"/>
  <c r="AZ116" i="1"/>
  <c r="BA116" i="1"/>
  <c r="BB115" i="1"/>
  <c r="BE131" i="1"/>
  <c r="AQ96" i="1" l="1"/>
  <c r="AQ15" i="1"/>
  <c r="AW117" i="1"/>
  <c r="AY118" i="1" s="1"/>
  <c r="AZ117" i="1"/>
  <c r="BA117" i="1"/>
  <c r="BE115" i="1"/>
  <c r="BC115" i="1"/>
  <c r="BB116" i="1"/>
  <c r="AR96" i="1" l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9" i="1"/>
  <c r="BE96" i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AQ14" i="1"/>
  <c r="AQ16" i="1" s="1"/>
  <c r="AI1" i="1" s="1"/>
  <c r="BC116" i="1"/>
  <c r="BA118" i="1"/>
  <c r="AW118" i="1"/>
  <c r="AY119" i="1" s="1"/>
  <c r="AZ118" i="1"/>
  <c r="BB117" i="1"/>
  <c r="BE116" i="1"/>
  <c r="BF116" i="1" l="1"/>
  <c r="AZ119" i="1"/>
  <c r="BA119" i="1"/>
  <c r="AW119" i="1"/>
  <c r="AY120" i="1" s="1"/>
  <c r="BC117" i="1"/>
  <c r="BE117" i="1"/>
  <c r="BB118" i="1"/>
  <c r="BE118" i="1" s="1"/>
  <c r="BC118" i="1" l="1"/>
  <c r="AW120" i="1"/>
  <c r="AY121" i="1" s="1"/>
  <c r="AZ120" i="1"/>
  <c r="BA120" i="1"/>
  <c r="BF117" i="1"/>
  <c r="BF118" i="1" s="1"/>
  <c r="BB119" i="1"/>
  <c r="AZ121" i="1" l="1"/>
  <c r="BA121" i="1"/>
  <c r="AW121" i="1"/>
  <c r="BC119" i="1"/>
  <c r="BE119" i="1"/>
  <c r="BB120" i="1"/>
  <c r="BE120" i="1" s="1"/>
  <c r="BC120" i="1" l="1"/>
  <c r="BF119" i="1"/>
  <c r="BF120" i="1" s="1"/>
  <c r="BB121" i="1"/>
  <c r="BE121" i="1" l="1"/>
  <c r="BB19" i="1"/>
  <c r="BB15" i="1"/>
  <c r="BB14" i="1"/>
  <c r="BC121" i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4" i="1" l="1"/>
  <c r="BE18" i="1"/>
  <c r="BF121" i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B16" i="1"/>
  <c r="AT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<sst xmlns="http://schemas.openxmlformats.org/spreadsheetml/2006/main" count="74" uniqueCount="53">
  <si>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</si>
  <si>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VTEB</t>
  </si>
  <si>
    <t>MUB</t>
  </si>
  <si>
    <t>VTEB log rtn</t>
  </si>
  <si>
    <t>MUB log rtn</t>
  </si>
  <si>
    <t>VTEB div</t>
  </si>
  <si>
    <t>VTEB div cumsum</t>
  </si>
  <si>
    <t>MUB div</t>
  </si>
  <si>
    <t>MUB div cumsum</t>
  </si>
  <si>
    <t>VTEB div adjustment</t>
  </si>
  <si>
    <t>MUB div adjustment</t>
  </si>
  <si>
    <t>VTEB*</t>
  </si>
  <si>
    <t>MUB*</t>
  </si>
  <si>
    <t>MUB/VTEB</t>
  </si>
  <si>
    <t>MUB/VTEB avg</t>
  </si>
  <si>
    <t>MUB/VTEB 10 dma</t>
  </si>
  <si>
    <t>MUB/VTEB 20 dma</t>
  </si>
  <si>
    <t>VTEB x avg</t>
  </si>
  <si>
    <t>VTEB x 10 dma</t>
  </si>
  <si>
    <t>VTEB x 20 dma</t>
  </si>
  <si>
    <t>log diff VTEB x avg / MUB</t>
  </si>
  <si>
    <t>log diff VTEB x 10 dma / MUB</t>
  </si>
  <si>
    <t>log diff VTEB x 20 dma / MUB</t>
  </si>
  <si>
    <t>MUB*/VTEB*</t>
  </si>
  <si>
    <t>MUB*/VTEB* avg</t>
  </si>
  <si>
    <t>MUB*/VTEB* 10 dma</t>
  </si>
  <si>
    <t>MUB*/VTEB* 20 dma</t>
  </si>
  <si>
    <t>VTEB* x avg</t>
  </si>
  <si>
    <t>VTEB* x 10 dma</t>
  </si>
  <si>
    <t>VTEB* x 20 dma</t>
  </si>
  <si>
    <t>log diff VTEB* x avg / MUB*</t>
  </si>
  <si>
    <t>log diff VTEB* x 10 dma / MUB*</t>
  </si>
  <si>
    <t>log diff VTEB* x 20 dma / MUB*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</si>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</sst>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MUB/VTEB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2.1285470928226302</c:v>
                </c:pt>
                <c:pt idx="1">
                  <c:v>2.1285470928226302</c:v>
                </c:pt>
                <c:pt idx="2">
                  <c:v>2.1285470928226302</c:v>
                </c:pt>
                <c:pt idx="3">
                  <c:v>2.1285470928226302</c:v>
                </c:pt>
                <c:pt idx="4">
                  <c:v>2.1285470928226302</c:v>
                </c:pt>
                <c:pt idx="5">
                  <c:v>2.1285470928226302</c:v>
                </c:pt>
                <c:pt idx="6">
                  <c:v>2.1285470928226302</c:v>
                </c:pt>
                <c:pt idx="7">
                  <c:v>2.1285470928226302</c:v>
                </c:pt>
                <c:pt idx="8">
                  <c:v>2.1285470928226302</c:v>
                </c:pt>
                <c:pt idx="9">
                  <c:v>2.1285470928226302</c:v>
                </c:pt>
                <c:pt idx="10">
                  <c:v>2.1285470928226302</c:v>
                </c:pt>
                <c:pt idx="11">
                  <c:v>2.1285470928226302</c:v>
                </c:pt>
                <c:pt idx="12">
                  <c:v>2.1285470928226302</c:v>
                </c:pt>
                <c:pt idx="13">
                  <c:v>2.1285470928226302</c:v>
                </c:pt>
                <c:pt idx="14">
                  <c:v>2.1285470928226302</c:v>
                </c:pt>
                <c:pt idx="15">
                  <c:v>2.1285470928226302</c:v>
                </c:pt>
                <c:pt idx="16">
                  <c:v>2.1285470928226302</c:v>
                </c:pt>
                <c:pt idx="17">
                  <c:v>2.1285470928226302</c:v>
                </c:pt>
                <c:pt idx="18">
                  <c:v>2.1285470928226302</c:v>
                </c:pt>
                <c:pt idx="19">
                  <c:v>2.1285470928226302</c:v>
                </c:pt>
                <c:pt idx="20">
                  <c:v>2.1285470928226302</c:v>
                </c:pt>
                <c:pt idx="21">
                  <c:v>2.1285470928226302</c:v>
                </c:pt>
                <c:pt idx="22">
                  <c:v>2.1285470928226302</c:v>
                </c:pt>
                <c:pt idx="23">
                  <c:v>2.1285470928226302</c:v>
                </c:pt>
                <c:pt idx="24">
                  <c:v>2.1285470928226302</c:v>
                </c:pt>
                <c:pt idx="25">
                  <c:v>2.1285470928226302</c:v>
                </c:pt>
                <c:pt idx="26">
                  <c:v>2.1285470928226302</c:v>
                </c:pt>
                <c:pt idx="27">
                  <c:v>2.1285470928226302</c:v>
                </c:pt>
                <c:pt idx="28">
                  <c:v>2.1285470928226302</c:v>
                </c:pt>
                <c:pt idx="29">
                  <c:v>2.1285470928226302</c:v>
                </c:pt>
                <c:pt idx="30">
                  <c:v>2.1285470928226302</c:v>
                </c:pt>
                <c:pt idx="31">
                  <c:v>2.1285470928226302</c:v>
                </c:pt>
                <c:pt idx="32">
                  <c:v>2.1285470928226302</c:v>
                </c:pt>
                <c:pt idx="33">
                  <c:v>2.1285470928226302</c:v>
                </c:pt>
                <c:pt idx="34">
                  <c:v>2.1285470928226302</c:v>
                </c:pt>
                <c:pt idx="35">
                  <c:v>2.1285470928226302</c:v>
                </c:pt>
                <c:pt idx="36">
                  <c:v>2.1285470928226302</c:v>
                </c:pt>
                <c:pt idx="37">
                  <c:v>2.1285470928226302</c:v>
                </c:pt>
                <c:pt idx="38">
                  <c:v>2.1285470928226302</c:v>
                </c:pt>
                <c:pt idx="39">
                  <c:v>2.1285470928226302</c:v>
                </c:pt>
                <c:pt idx="40">
                  <c:v>2.1285470928226302</c:v>
                </c:pt>
                <c:pt idx="41">
                  <c:v>2.1285470928226302</c:v>
                </c:pt>
                <c:pt idx="42">
                  <c:v>2.1285470928226302</c:v>
                </c:pt>
                <c:pt idx="43">
                  <c:v>2.1285470928226302</c:v>
                </c:pt>
                <c:pt idx="44">
                  <c:v>2.1285470928226302</c:v>
                </c:pt>
                <c:pt idx="45">
                  <c:v>2.1285470928226302</c:v>
                </c:pt>
                <c:pt idx="46">
                  <c:v>2.1285470928226302</c:v>
                </c:pt>
                <c:pt idx="47">
                  <c:v>2.1285470928226302</c:v>
                </c:pt>
                <c:pt idx="48">
                  <c:v>2.1285470928226302</c:v>
                </c:pt>
                <c:pt idx="49">
                  <c:v>2.1285470928226302</c:v>
                </c:pt>
                <c:pt idx="50">
                  <c:v>2.1285470928226302</c:v>
                </c:pt>
                <c:pt idx="51">
                  <c:v>2.1285470928226302</c:v>
                </c:pt>
                <c:pt idx="52">
                  <c:v>2.1285470928226302</c:v>
                </c:pt>
                <c:pt idx="53">
                  <c:v>2.1285470928226302</c:v>
                </c:pt>
                <c:pt idx="54">
                  <c:v>2.1285470928226302</c:v>
                </c:pt>
                <c:pt idx="55">
                  <c:v>2.1285470928226302</c:v>
                </c:pt>
                <c:pt idx="56">
                  <c:v>2.1285470928226302</c:v>
                </c:pt>
                <c:pt idx="57">
                  <c:v>2.1285470928226302</c:v>
                </c:pt>
                <c:pt idx="58">
                  <c:v>2.1285470928226302</c:v>
                </c:pt>
                <c:pt idx="59">
                  <c:v>2.1285470928226302</c:v>
                </c:pt>
                <c:pt idx="60">
                  <c:v>2.1285470928226302</c:v>
                </c:pt>
                <c:pt idx="61">
                  <c:v>2.1285470928226302</c:v>
                </c:pt>
                <c:pt idx="62">
                  <c:v>2.1285470928226302</c:v>
                </c:pt>
                <c:pt idx="63">
                  <c:v>2.1285470928226302</c:v>
                </c:pt>
                <c:pt idx="64">
                  <c:v>2.1285470928226302</c:v>
                </c:pt>
                <c:pt idx="65">
                  <c:v>2.1285470928226302</c:v>
                </c:pt>
                <c:pt idx="66">
                  <c:v>2.1285470928226302</c:v>
                </c:pt>
                <c:pt idx="67">
                  <c:v>2.1285470928226302</c:v>
                </c:pt>
                <c:pt idx="68">
                  <c:v>2.1285470928226302</c:v>
                </c:pt>
                <c:pt idx="69">
                  <c:v>2.1285470928226302</c:v>
                </c:pt>
                <c:pt idx="70">
                  <c:v>2.1285470928226302</c:v>
                </c:pt>
                <c:pt idx="71">
                  <c:v>2.1285470928226302</c:v>
                </c:pt>
                <c:pt idx="72">
                  <c:v>2.1285470928226302</c:v>
                </c:pt>
                <c:pt idx="73">
                  <c:v>2.1285470928226302</c:v>
                </c:pt>
                <c:pt idx="74">
                  <c:v>2.1285470928226302</c:v>
                </c:pt>
                <c:pt idx="75">
                  <c:v>2.1285470928226302</c:v>
                </c:pt>
                <c:pt idx="76">
                  <c:v>2.1285470928226302</c:v>
                </c:pt>
                <c:pt idx="77">
                  <c:v>2.1285470928226302</c:v>
                </c:pt>
                <c:pt idx="78">
                  <c:v>2.1285470928226302</c:v>
                </c:pt>
                <c:pt idx="79">
                  <c:v>2.1285470928226302</c:v>
                </c:pt>
                <c:pt idx="80">
                  <c:v>2.1285470928226302</c:v>
                </c:pt>
                <c:pt idx="81">
                  <c:v>2.1285470928226302</c:v>
                </c:pt>
                <c:pt idx="82">
                  <c:v>2.1285470928226302</c:v>
                </c:pt>
                <c:pt idx="83">
                  <c:v>2.1285470928226302</c:v>
                </c:pt>
                <c:pt idx="84">
                  <c:v>2.1285470928226302</c:v>
                </c:pt>
                <c:pt idx="85">
                  <c:v>2.1285470928226302</c:v>
                </c:pt>
                <c:pt idx="86">
                  <c:v>2.1285470928226302</c:v>
                </c:pt>
                <c:pt idx="87">
                  <c:v>2.1285470928226302</c:v>
                </c:pt>
                <c:pt idx="88">
                  <c:v>2.1285470928226302</c:v>
                </c:pt>
                <c:pt idx="89">
                  <c:v>2.1285470928226302</c:v>
                </c:pt>
                <c:pt idx="90">
                  <c:v>2.1285470928226302</c:v>
                </c:pt>
                <c:pt idx="91">
                  <c:v>2.1285470928226302</c:v>
                </c:pt>
                <c:pt idx="92">
                  <c:v>2.1285470928226302</c:v>
                </c:pt>
                <c:pt idx="93">
                  <c:v>2.1285470928226302</c:v>
                </c:pt>
                <c:pt idx="94">
                  <c:v>2.1285470928226302</c:v>
                </c:pt>
                <c:pt idx="95">
                  <c:v>2.1285470928226302</c:v>
                </c:pt>
                <c:pt idx="96">
                  <c:v>2.1285470928226302</c:v>
                </c:pt>
                <c:pt idx="97">
                  <c:v>2.1285470928226302</c:v>
                </c:pt>
                <c:pt idx="98">
                  <c:v>2.1285470928226302</c:v>
                </c:pt>
                <c:pt idx="99">
                  <c:v>2.1285470928226302</c:v>
                </c:pt>
                <c:pt idx="100">
                  <c:v>2.1285470928226302</c:v>
                </c:pt>
                <c:pt idx="101">
                  <c:v>2.1285470928226302</c:v>
                </c:pt>
                <c:pt idx="102">
                  <c:v>2.1285470928226302</c:v>
                </c:pt>
                <c:pt idx="103">
                  <c:v>2.1285470928226302</c:v>
                </c:pt>
                <c:pt idx="104">
                  <c:v>2.1285470928226302</c:v>
                </c:pt>
                <c:pt idx="105">
                  <c:v>2.1285470928226302</c:v>
                </c:pt>
                <c:pt idx="106">
                  <c:v>2.1285470928226302</c:v>
                </c:pt>
                <c:pt idx="107">
                  <c:v>2.1285470928226302</c:v>
                </c:pt>
                <c:pt idx="108">
                  <c:v>2.1285470928226302</c:v>
                </c:pt>
                <c:pt idx="109">
                  <c:v>2.1285470928226302</c:v>
                </c:pt>
                <c:pt idx="110">
                  <c:v>2.1285470928226302</c:v>
                </c:pt>
                <c:pt idx="111">
                  <c:v>2.1285470928226302</c:v>
                </c:pt>
                <c:pt idx="112">
                  <c:v>2.1285470928226302</c:v>
                </c:pt>
                <c:pt idx="113">
                  <c:v>2.1285470928226302</c:v>
                </c:pt>
                <c:pt idx="114">
                  <c:v>2.1285470928226302</c:v>
                </c:pt>
                <c:pt idx="115">
                  <c:v>2.1285470928226302</c:v>
                </c:pt>
                <c:pt idx="116">
                  <c:v>2.1285470928226302</c:v>
                </c:pt>
                <c:pt idx="117">
                  <c:v>2.1285470928226302</c:v>
                </c:pt>
                <c:pt idx="118">
                  <c:v>2.1285470928226302</c:v>
                </c:pt>
                <c:pt idx="119">
                  <c:v>2.1285470928226302</c:v>
                </c:pt>
                <c:pt idx="120">
                  <c:v>2.1285470928226302</c:v>
                </c:pt>
                <c:pt idx="121">
                  <c:v>2.1285470928226302</c:v>
                </c:pt>
                <c:pt idx="122">
                  <c:v>2.1285470928226302</c:v>
                </c:pt>
                <c:pt idx="123">
                  <c:v>2.1285470928226302</c:v>
                </c:pt>
                <c:pt idx="124">
                  <c:v>2.1285470928226302</c:v>
                </c:pt>
                <c:pt idx="125">
                  <c:v>2.1285470928226302</c:v>
                </c:pt>
                <c:pt idx="126">
                  <c:v>2.1285470928226302</c:v>
                </c:pt>
                <c:pt idx="127">
                  <c:v>2.1285470928226302</c:v>
                </c:pt>
                <c:pt idx="128">
                  <c:v>2.1285470928226302</c:v>
                </c:pt>
                <c:pt idx="129">
                  <c:v>2.1285470928226302</c:v>
                </c:pt>
                <c:pt idx="130">
                  <c:v>2.1285470928226302</c:v>
                </c:pt>
                <c:pt idx="131">
                  <c:v>2.1285470928226302</c:v>
                </c:pt>
                <c:pt idx="132">
                  <c:v>2.1285470928226302</c:v>
                </c:pt>
                <c:pt idx="133">
                  <c:v>2.1285470928226302</c:v>
                </c:pt>
                <c:pt idx="134">
                  <c:v>2.1285470928226302</c:v>
                </c:pt>
                <c:pt idx="135">
                  <c:v>2.1285470928226302</c:v>
                </c:pt>
                <c:pt idx="136">
                  <c:v>2.1285470928226302</c:v>
                </c:pt>
                <c:pt idx="137">
                  <c:v>2.1285470928226302</c:v>
                </c:pt>
                <c:pt idx="138">
                  <c:v>2.1285470928226302</c:v>
                </c:pt>
                <c:pt idx="139">
                  <c:v>2.1285470928226302</c:v>
                </c:pt>
                <c:pt idx="140">
                  <c:v>2.1285470928226302</c:v>
                </c:pt>
                <c:pt idx="141">
                  <c:v>2.1285470928226302</c:v>
                </c:pt>
                <c:pt idx="142">
                  <c:v>2.1285470928226302</c:v>
                </c:pt>
                <c:pt idx="143">
                  <c:v>2.1285470928226302</c:v>
                </c:pt>
                <c:pt idx="144">
                  <c:v>2.1285470928226302</c:v>
                </c:pt>
                <c:pt idx="145">
                  <c:v>2.1285470928226302</c:v>
                </c:pt>
                <c:pt idx="146">
                  <c:v>2.1285470928226302</c:v>
                </c:pt>
                <c:pt idx="147">
                  <c:v>2.1285470928226302</c:v>
                </c:pt>
                <c:pt idx="148">
                  <c:v>2.1285470928226302</c:v>
                </c:pt>
                <c:pt idx="149">
                  <c:v>2.1285470928226302</c:v>
                </c:pt>
                <c:pt idx="150">
                  <c:v>2.1285470928226302</c:v>
                </c:pt>
                <c:pt idx="151">
                  <c:v>2.1285470928226302</c:v>
                </c:pt>
                <c:pt idx="152">
                  <c:v>2.1285470928226302</c:v>
                </c:pt>
                <c:pt idx="153">
                  <c:v>2.1285470928226302</c:v>
                </c:pt>
                <c:pt idx="154">
                  <c:v>2.1285470928226302</c:v>
                </c:pt>
                <c:pt idx="155">
                  <c:v>2.1285470928226302</c:v>
                </c:pt>
                <c:pt idx="156">
                  <c:v>2.1285470928226302</c:v>
                </c:pt>
                <c:pt idx="157">
                  <c:v>2.1285470928226302</c:v>
                </c:pt>
                <c:pt idx="158">
                  <c:v>2.1285470928226302</c:v>
                </c:pt>
                <c:pt idx="159">
                  <c:v>2.1285470928226302</c:v>
                </c:pt>
                <c:pt idx="160">
                  <c:v>2.1285470928226302</c:v>
                </c:pt>
                <c:pt idx="161">
                  <c:v>2.1285470928226302</c:v>
                </c:pt>
                <c:pt idx="162">
                  <c:v>2.1285470928226302</c:v>
                </c:pt>
                <c:pt idx="163">
                  <c:v>2.1285470928226302</c:v>
                </c:pt>
                <c:pt idx="164">
                  <c:v>2.1285470928226302</c:v>
                </c:pt>
                <c:pt idx="165">
                  <c:v>2.1285470928226302</c:v>
                </c:pt>
                <c:pt idx="166">
                  <c:v>2.1285470928226302</c:v>
                </c:pt>
                <c:pt idx="167">
                  <c:v>2.1285470928226302</c:v>
                </c:pt>
                <c:pt idx="168">
                  <c:v>2.1285470928226302</c:v>
                </c:pt>
                <c:pt idx="169">
                  <c:v>2.1285470928226302</c:v>
                </c:pt>
                <c:pt idx="170">
                  <c:v>2.1285470928226302</c:v>
                </c:pt>
                <c:pt idx="171">
                  <c:v>2.1285470928226302</c:v>
                </c:pt>
                <c:pt idx="172">
                  <c:v>2.1285470928226302</c:v>
                </c:pt>
                <c:pt idx="173">
                  <c:v>2.1285470928226302</c:v>
                </c:pt>
                <c:pt idx="174">
                  <c:v>2.1285470928226302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C-4A2B-A47B-06A9845AADF4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MUB/VTEB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2.1286523293536201</c:v>
                </c:pt>
                <c:pt idx="10">
                  <c:v>2.1284158068925598</c:v>
                </c:pt>
                <c:pt idx="11">
                  <c:v>2.1280709866325198</c:v>
                </c:pt>
                <c:pt idx="12">
                  <c:v>2.1280186390871898</c:v>
                </c:pt>
                <c:pt idx="13">
                  <c:v>2.1279969873983999</c:v>
                </c:pt>
                <c:pt idx="14">
                  <c:v>2.1281132010688402</c:v>
                </c:pt>
                <c:pt idx="15">
                  <c:v>2.12828166242952</c:v>
                </c:pt>
                <c:pt idx="16">
                  <c:v>2.12863767508775</c:v>
                </c:pt>
                <c:pt idx="17">
                  <c:v>2.12911477861446</c:v>
                </c:pt>
                <c:pt idx="18">
                  <c:v>2.1293976369666199</c:v>
                </c:pt>
                <c:pt idx="19">
                  <c:v>2.1298454841487202</c:v>
                </c:pt>
                <c:pt idx="20">
                  <c:v>2.1304500831602602</c:v>
                </c:pt>
                <c:pt idx="21">
                  <c:v>2.13094742581541</c:v>
                </c:pt>
                <c:pt idx="22">
                  <c:v>2.1310585284216201</c:v>
                </c:pt>
                <c:pt idx="23">
                  <c:v>2.13110177191701</c:v>
                </c:pt>
                <c:pt idx="24">
                  <c:v>2.1307130134258498</c:v>
                </c:pt>
                <c:pt idx="25">
                  <c:v>2.1304230485398099</c:v>
                </c:pt>
                <c:pt idx="26">
                  <c:v>2.1301204619479601</c:v>
                </c:pt>
                <c:pt idx="27">
                  <c:v>2.1298232226379801</c:v>
                </c:pt>
                <c:pt idx="28">
                  <c:v>2.12954164445273</c:v>
                </c:pt>
                <c:pt idx="29">
                  <c:v>2.12917329164073</c:v>
                </c:pt>
                <c:pt idx="30">
                  <c:v>2.1288552985711702</c:v>
                </c:pt>
                <c:pt idx="31">
                  <c:v>2.12868372293936</c:v>
                </c:pt>
                <c:pt idx="32">
                  <c:v>2.1289955420798998</c:v>
                </c:pt>
                <c:pt idx="33">
                  <c:v>2.1291325240454499</c:v>
                </c:pt>
                <c:pt idx="34">
                  <c:v>2.1294482430887798</c:v>
                </c:pt>
                <c:pt idx="35">
                  <c:v>2.12975036746169</c:v>
                </c:pt>
                <c:pt idx="36">
                  <c:v>2.1299641019584699</c:v>
                </c:pt>
                <c:pt idx="37">
                  <c:v>2.13009732410924</c:v>
                </c:pt>
                <c:pt idx="38">
                  <c:v>2.1301383309229802</c:v>
                </c:pt>
                <c:pt idx="39">
                  <c:v>2.1300324084353202</c:v>
                </c:pt>
                <c:pt idx="40">
                  <c:v>2.1300422451810799</c:v>
                </c:pt>
                <c:pt idx="41">
                  <c:v>2.1301560986475501</c:v>
                </c:pt>
                <c:pt idx="42">
                  <c:v>2.1296758807364702</c:v>
                </c:pt>
                <c:pt idx="43">
                  <c:v>2.1292774024018399</c:v>
                </c:pt>
                <c:pt idx="44">
                  <c:v>2.1295311990760801</c:v>
                </c:pt>
                <c:pt idx="45">
                  <c:v>2.12964919283931</c:v>
                </c:pt>
                <c:pt idx="46">
                  <c:v>2.1297381824759798</c:v>
                </c:pt>
                <c:pt idx="47">
                  <c:v>2.1298201312309302</c:v>
                </c:pt>
                <c:pt idx="48">
                  <c:v>2.12984444493084</c:v>
                </c:pt>
                <c:pt idx="49">
                  <c:v>2.13014793748318</c:v>
                </c:pt>
                <c:pt idx="50">
                  <c:v>2.1301751673399201</c:v>
                </c:pt>
                <c:pt idx="51">
                  <c:v>2.1298951056174502</c:v>
                </c:pt>
                <c:pt idx="52">
                  <c:v>2.1298447402243199</c:v>
                </c:pt>
                <c:pt idx="53">
                  <c:v>2.1297978596640998</c:v>
                </c:pt>
                <c:pt idx="54">
                  <c:v>2.1296880426728602</c:v>
                </c:pt>
                <c:pt idx="55">
                  <c:v>2.1294969833231101</c:v>
                </c:pt>
                <c:pt idx="56">
                  <c:v>2.12957428531577</c:v>
                </c:pt>
                <c:pt idx="57">
                  <c:v>2.1292412471279998</c:v>
                </c:pt>
                <c:pt idx="58">
                  <c:v>2.1290868551243198</c:v>
                </c:pt>
                <c:pt idx="59">
                  <c:v>2.1288259646749301</c:v>
                </c:pt>
                <c:pt idx="60">
                  <c:v>2.12860239773828</c:v>
                </c:pt>
                <c:pt idx="61">
                  <c:v>2.1288148748858302</c:v>
                </c:pt>
                <c:pt idx="62">
                  <c:v>2.1290733936992901</c:v>
                </c:pt>
                <c:pt idx="63">
                  <c:v>2.1294731673334502</c:v>
                </c:pt>
                <c:pt idx="64">
                  <c:v>2.1294948570283498</c:v>
                </c:pt>
                <c:pt idx="65">
                  <c:v>2.1295026601984</c:v>
                </c:pt>
                <c:pt idx="66">
                  <c:v>2.1292446013403299</c:v>
                </c:pt>
                <c:pt idx="67">
                  <c:v>2.1291293054757698</c:v>
                </c:pt>
                <c:pt idx="68">
                  <c:v>2.12904071534052</c:v>
                </c:pt>
                <c:pt idx="69">
                  <c:v>2.1288750186901599</c:v>
                </c:pt>
                <c:pt idx="70">
                  <c:v>2.1287611270621198</c:v>
                </c:pt>
                <c:pt idx="71">
                  <c:v>2.12848390904005</c:v>
                </c:pt>
                <c:pt idx="72">
                  <c:v>2.1283284878309399</c:v>
                </c:pt>
                <c:pt idx="73">
                  <c:v>2.1280973419473201</c:v>
                </c:pt>
                <c:pt idx="74">
                  <c:v>2.1278622083468099</c:v>
                </c:pt>
                <c:pt idx="75">
                  <c:v>2.1276859266435402</c:v>
                </c:pt>
                <c:pt idx="76">
                  <c:v>2.1275382623866799</c:v>
                </c:pt>
                <c:pt idx="77">
                  <c:v>2.1276192684456401</c:v>
                </c:pt>
                <c:pt idx="78">
                  <c:v>2.1277151071246898</c:v>
                </c:pt>
                <c:pt idx="79">
                  <c:v>2.1279406344635698</c:v>
                </c:pt>
                <c:pt idx="80">
                  <c:v>2.1281319324165402</c:v>
                </c:pt>
                <c:pt idx="81">
                  <c:v>2.1283455177124599</c:v>
                </c:pt>
                <c:pt idx="82">
                  <c:v>2.1284170920011101</c:v>
                </c:pt>
                <c:pt idx="83">
                  <c:v>2.1284468956457299</c:v>
                </c:pt>
                <c:pt idx="84">
                  <c:v>2.12852840620141</c:v>
                </c:pt>
                <c:pt idx="85">
                  <c:v>2.12873859933678</c:v>
                </c:pt>
                <c:pt idx="86">
                  <c:v>2.12912079700794</c:v>
                </c:pt>
                <c:pt idx="87">
                  <c:v>2.12931587866326</c:v>
                </c:pt>
                <c:pt idx="88">
                  <c:v>2.1294394325099901</c:v>
                </c:pt>
                <c:pt idx="89">
                  <c:v>2.12942932776753</c:v>
                </c:pt>
                <c:pt idx="90">
                  <c:v>2.1294381230621999</c:v>
                </c:pt>
                <c:pt idx="91">
                  <c:v>2.1296052427642098</c:v>
                </c:pt>
                <c:pt idx="92">
                  <c:v>2.12967316754942</c:v>
                </c:pt>
                <c:pt idx="93">
                  <c:v>2.1296451449161</c:v>
                </c:pt>
                <c:pt idx="94">
                  <c:v>2.1294026756818001</c:v>
                </c:pt>
                <c:pt idx="95">
                  <c:v>2.1291133199710899</c:v>
                </c:pt>
                <c:pt idx="96">
                  <c:v>2.1287842251167999</c:v>
                </c:pt>
                <c:pt idx="97">
                  <c:v>2.1286997437545701</c:v>
                </c:pt>
                <c:pt idx="98">
                  <c:v>2.1286734430273802</c:v>
                </c:pt>
                <c:pt idx="99">
                  <c:v>2.12863035186342</c:v>
                </c:pt>
                <c:pt idx="100">
                  <c:v>2.1286439999848401</c:v>
                </c:pt>
                <c:pt idx="101">
                  <c:v>2.1283448908334601</c:v>
                </c:pt>
                <c:pt idx="102">
                  <c:v>2.1280274624020099</c:v>
                </c:pt>
                <c:pt idx="103">
                  <c:v>2.1279396486208002</c:v>
                </c:pt>
                <c:pt idx="104">
                  <c:v>2.1279396126121601</c:v>
                </c:pt>
                <c:pt idx="105">
                  <c:v>2.1279917704296198</c:v>
                </c:pt>
                <c:pt idx="106">
                  <c:v>2.1278573911486398</c:v>
                </c:pt>
                <c:pt idx="107">
                  <c:v>2.1276531985610698</c:v>
                </c:pt>
                <c:pt idx="108">
                  <c:v>2.1272438936184899</c:v>
                </c:pt>
                <c:pt idx="109">
                  <c:v>2.1268928332530801</c:v>
                </c:pt>
                <c:pt idx="110">
                  <c:v>2.1266987117518399</c:v>
                </c:pt>
                <c:pt idx="111">
                  <c:v>2.1267139894265399</c:v>
                </c:pt>
                <c:pt idx="112">
                  <c:v>2.1269173896456901</c:v>
                </c:pt>
                <c:pt idx="113">
                  <c:v>2.1270141615865601</c:v>
                </c:pt>
                <c:pt idx="114">
                  <c:v>2.1270390974593898</c:v>
                </c:pt>
                <c:pt idx="115">
                  <c:v>2.1270213886371199</c:v>
                </c:pt>
                <c:pt idx="116">
                  <c:v>2.12712501745896</c:v>
                </c:pt>
                <c:pt idx="117">
                  <c:v>2.1271692266415698</c:v>
                </c:pt>
                <c:pt idx="118">
                  <c:v>2.1274960063328199</c:v>
                </c:pt>
                <c:pt idx="119">
                  <c:v>2.12786441319777</c:v>
                </c:pt>
                <c:pt idx="120">
                  <c:v>2.1280070508566298</c:v>
                </c:pt>
                <c:pt idx="121">
                  <c:v>2.1278814615802801</c:v>
                </c:pt>
                <c:pt idx="122">
                  <c:v>2.1278032585075199</c:v>
                </c:pt>
                <c:pt idx="123">
                  <c:v>2.1276340093306199</c:v>
                </c:pt>
                <c:pt idx="124">
                  <c:v>2.1276527252390598</c:v>
                </c:pt>
                <c:pt idx="125">
                  <c:v>2.1277487466812302</c:v>
                </c:pt>
                <c:pt idx="126">
                  <c:v>2.1276744775993999</c:v>
                </c:pt>
                <c:pt idx="127">
                  <c:v>2.1276975067670301</c:v>
                </c:pt>
                <c:pt idx="128">
                  <c:v>2.1275099316013799</c:v>
                </c:pt>
                <c:pt idx="129">
                  <c:v>2.12718119923951</c:v>
                </c:pt>
                <c:pt idx="130">
                  <c:v>2.1270164244663201</c:v>
                </c:pt>
                <c:pt idx="131">
                  <c:v>2.12698548621466</c:v>
                </c:pt>
                <c:pt idx="132">
                  <c:v>2.1268406063746701</c:v>
                </c:pt>
                <c:pt idx="133">
                  <c:v>2.1267196145115799</c:v>
                </c:pt>
                <c:pt idx="134">
                  <c:v>2.1265819317189898</c:v>
                </c:pt>
                <c:pt idx="135">
                  <c:v>2.1263280304955501</c:v>
                </c:pt>
                <c:pt idx="136">
                  <c:v>2.12618720740352</c:v>
                </c:pt>
                <c:pt idx="137">
                  <c:v>2.1260410770984102</c:v>
                </c:pt>
                <c:pt idx="138">
                  <c:v>2.1259979421066499</c:v>
                </c:pt>
                <c:pt idx="139">
                  <c:v>2.1261829729515398</c:v>
                </c:pt>
                <c:pt idx="140">
                  <c:v>2.1264513966773402</c:v>
                </c:pt>
                <c:pt idx="141">
                  <c:v>2.1267645692257302</c:v>
                </c:pt>
                <c:pt idx="142">
                  <c:v>2.1269545038944799</c:v>
                </c:pt>
                <c:pt idx="143">
                  <c:v>2.1274057728248401</c:v>
                </c:pt>
                <c:pt idx="144">
                  <c:v>2.1277824225677699</c:v>
                </c:pt>
                <c:pt idx="145">
                  <c:v>2.1281392749238202</c:v>
                </c:pt>
                <c:pt idx="146">
                  <c:v>2.1285549060200699</c:v>
                </c:pt>
                <c:pt idx="147">
                  <c:v>2.1289475027376699</c:v>
                </c:pt>
                <c:pt idx="148">
                  <c:v>2.1290679665526402</c:v>
                </c:pt>
                <c:pt idx="149">
                  <c:v>2.12899665748101</c:v>
                </c:pt>
                <c:pt idx="150">
                  <c:v>2.12871214945734</c:v>
                </c:pt>
                <c:pt idx="151">
                  <c:v>2.1283152242636998</c:v>
                </c:pt>
                <c:pt idx="152">
                  <c:v>2.1282241357817799</c:v>
                </c:pt>
                <c:pt idx="153">
                  <c:v>2.1279159233962699</c:v>
                </c:pt>
                <c:pt idx="154">
                  <c:v>2.1276732099847901</c:v>
                </c:pt>
                <c:pt idx="155">
                  <c:v>2.12738003287373</c:v>
                </c:pt>
                <c:pt idx="156">
                  <c:v>2.1271516029095499</c:v>
                </c:pt>
                <c:pt idx="157">
                  <c:v>2.1269983369132999</c:v>
                </c:pt>
                <c:pt idx="158">
                  <c:v>2.1270441791127199</c:v>
                </c:pt>
                <c:pt idx="159">
                  <c:v>2.1269922174274001</c:v>
                </c:pt>
                <c:pt idx="160">
                  <c:v>2.1271341742943699</c:v>
                </c:pt>
                <c:pt idx="161">
                  <c:v>2.12750016250261</c:v>
                </c:pt>
                <c:pt idx="162">
                  <c:v>2.1277616248739899</c:v>
                </c:pt>
                <c:pt idx="163">
                  <c:v>2.1280539092720798</c:v>
                </c:pt>
                <c:pt idx="164">
                  <c:v>2.1283087031328201</c:v>
                </c:pt>
                <c:pt idx="165">
                  <c:v>2.1286693704686401</c:v>
                </c:pt>
                <c:pt idx="166">
                  <c:v>2.1289349250731102</c:v>
                </c:pt>
                <c:pt idx="167">
                  <c:v>2.1290389706833599</c:v>
                </c:pt>
                <c:pt idx="168">
                  <c:v>2.1291221997566998</c:v>
                </c:pt>
                <c:pt idx="169">
                  <c:v>2.1293132784664301</c:v>
                </c:pt>
                <c:pt idx="170">
                  <c:v>2.1293861444545601</c:v>
                </c:pt>
                <c:pt idx="171">
                  <c:v>2.1293153834295699</c:v>
                </c:pt>
                <c:pt idx="172">
                  <c:v>2.1291751864573798</c:v>
                </c:pt>
                <c:pt idx="173">
                  <c:v>2.12920915108743</c:v>
                </c:pt>
                <c:pt idx="174">
                  <c:v>2.12920638289703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9C-4A2B-A47B-06A9845AADF4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MUB/VTEB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2.1292489067511702</c:v>
                </c:pt>
                <c:pt idx="20">
                  <c:v>2.12943294502641</c:v>
                </c:pt>
                <c:pt idx="21">
                  <c:v>2.1295092062239598</c:v>
                </c:pt>
                <c:pt idx="22">
                  <c:v>2.1295385837544001</c:v>
                </c:pt>
                <c:pt idx="23">
                  <c:v>2.1295493796576999</c:v>
                </c:pt>
                <c:pt idx="24">
                  <c:v>2.1294131072473501</c:v>
                </c:pt>
                <c:pt idx="25">
                  <c:v>2.1293523554846701</c:v>
                </c:pt>
                <c:pt idx="26">
                  <c:v>2.1293790685178502</c:v>
                </c:pt>
                <c:pt idx="27">
                  <c:v>2.1294690006262198</c:v>
                </c:pt>
                <c:pt idx="28">
                  <c:v>2.12946964070967</c:v>
                </c:pt>
                <c:pt idx="29">
                  <c:v>2.12950938789472</c:v>
                </c:pt>
                <c:pt idx="30">
                  <c:v>2.1296526908657198</c:v>
                </c:pt>
                <c:pt idx="31">
                  <c:v>2.1298155743773899</c:v>
                </c:pt>
                <c:pt idx="32">
                  <c:v>2.1300270352507602</c:v>
                </c:pt>
                <c:pt idx="33">
                  <c:v>2.1301171479812302</c:v>
                </c:pt>
                <c:pt idx="34">
                  <c:v>2.1300806282573199</c:v>
                </c:pt>
                <c:pt idx="35">
                  <c:v>2.13008670800075</c:v>
                </c:pt>
                <c:pt idx="36">
                  <c:v>2.1300422819532101</c:v>
                </c:pt>
                <c:pt idx="37">
                  <c:v>2.12996027337361</c:v>
                </c:pt>
                <c:pt idx="38">
                  <c:v>2.1298399876878502</c:v>
                </c:pt>
                <c:pt idx="39">
                  <c:v>2.1296028500380202</c:v>
                </c:pt>
                <c:pt idx="40">
                  <c:v>2.1294487718761199</c:v>
                </c:pt>
                <c:pt idx="41">
                  <c:v>2.1294199107934499</c:v>
                </c:pt>
                <c:pt idx="42">
                  <c:v>2.1293357114081801</c:v>
                </c:pt>
                <c:pt idx="43">
                  <c:v>2.1292049632236498</c:v>
                </c:pt>
                <c:pt idx="44">
                  <c:v>2.1294897210824302</c:v>
                </c:pt>
                <c:pt idx="45">
                  <c:v>2.1296997801505002</c:v>
                </c:pt>
                <c:pt idx="46">
                  <c:v>2.1298511422172202</c:v>
                </c:pt>
                <c:pt idx="47">
                  <c:v>2.12995872767008</c:v>
                </c:pt>
                <c:pt idx="48">
                  <c:v>2.1299913879269101</c:v>
                </c:pt>
                <c:pt idx="49">
                  <c:v>2.1300901729592501</c:v>
                </c:pt>
                <c:pt idx="50">
                  <c:v>2.1301087062605002</c:v>
                </c:pt>
                <c:pt idx="51">
                  <c:v>2.1300256021325001</c:v>
                </c:pt>
                <c:pt idx="52">
                  <c:v>2.1297603104803899</c:v>
                </c:pt>
                <c:pt idx="53">
                  <c:v>2.1295376310329699</c:v>
                </c:pt>
                <c:pt idx="54">
                  <c:v>2.1296096208744699</c:v>
                </c:pt>
                <c:pt idx="55">
                  <c:v>2.12957308808121</c:v>
                </c:pt>
                <c:pt idx="56">
                  <c:v>2.12965623389587</c:v>
                </c:pt>
                <c:pt idx="57">
                  <c:v>2.1295306891794601</c:v>
                </c:pt>
                <c:pt idx="58">
                  <c:v>2.1294656500275799</c:v>
                </c:pt>
                <c:pt idx="59">
                  <c:v>2.1294869510790599</c:v>
                </c:pt>
                <c:pt idx="60">
                  <c:v>2.1293887825390998</c:v>
                </c:pt>
                <c:pt idx="61">
                  <c:v>2.12935499025164</c:v>
                </c:pt>
                <c:pt idx="62">
                  <c:v>2.1294590669617999</c:v>
                </c:pt>
                <c:pt idx="63">
                  <c:v>2.1296355134987799</c:v>
                </c:pt>
                <c:pt idx="64">
                  <c:v>2.1295914498506101</c:v>
                </c:pt>
                <c:pt idx="65">
                  <c:v>2.1294998217607599</c:v>
                </c:pt>
                <c:pt idx="66">
                  <c:v>2.1294094433280502</c:v>
                </c:pt>
                <c:pt idx="67">
                  <c:v>2.1291852763018899</c:v>
                </c:pt>
                <c:pt idx="68">
                  <c:v>2.1290637852324199</c:v>
                </c:pt>
                <c:pt idx="69">
                  <c:v>2.1288504916825501</c:v>
                </c:pt>
                <c:pt idx="70">
                  <c:v>2.1286817624002001</c:v>
                </c:pt>
                <c:pt idx="71">
                  <c:v>2.1286493919629401</c:v>
                </c:pt>
                <c:pt idx="72">
                  <c:v>2.1287009407651101</c:v>
                </c:pt>
                <c:pt idx="73">
                  <c:v>2.1287852546403898</c:v>
                </c:pt>
                <c:pt idx="74">
                  <c:v>2.1286785326875801</c:v>
                </c:pt>
                <c:pt idx="75">
                  <c:v>2.1285942934209698</c:v>
                </c:pt>
                <c:pt idx="76">
                  <c:v>2.1283914318635002</c:v>
                </c:pt>
                <c:pt idx="77">
                  <c:v>2.1283742869607098</c:v>
                </c:pt>
                <c:pt idx="78">
                  <c:v>2.1283779112326</c:v>
                </c:pt>
                <c:pt idx="79">
                  <c:v>2.12840782657686</c:v>
                </c:pt>
                <c:pt idx="80">
                  <c:v>2.12844652973933</c:v>
                </c:pt>
                <c:pt idx="81">
                  <c:v>2.1284147133762601</c:v>
                </c:pt>
                <c:pt idx="82">
                  <c:v>2.1283727899160199</c:v>
                </c:pt>
                <c:pt idx="83">
                  <c:v>2.1282721187965299</c:v>
                </c:pt>
                <c:pt idx="84">
                  <c:v>2.12819530727411</c:v>
                </c:pt>
                <c:pt idx="85">
                  <c:v>2.1282122629901599</c:v>
                </c:pt>
                <c:pt idx="86">
                  <c:v>2.1283295296973099</c:v>
                </c:pt>
                <c:pt idx="87">
                  <c:v>2.1284675735544498</c:v>
                </c:pt>
                <c:pt idx="88">
                  <c:v>2.12857726981734</c:v>
                </c:pt>
                <c:pt idx="89">
                  <c:v>2.1286849811155499</c:v>
                </c:pt>
                <c:pt idx="90">
                  <c:v>2.1287850277393701</c:v>
                </c:pt>
                <c:pt idx="91">
                  <c:v>2.1289753802383302</c:v>
                </c:pt>
                <c:pt idx="92">
                  <c:v>2.1290451297752599</c:v>
                </c:pt>
                <c:pt idx="93">
                  <c:v>2.1290460202809101</c:v>
                </c:pt>
                <c:pt idx="94">
                  <c:v>2.1289655409416102</c:v>
                </c:pt>
                <c:pt idx="95">
                  <c:v>2.1289259596539298</c:v>
                </c:pt>
                <c:pt idx="96">
                  <c:v>2.1289525110623702</c:v>
                </c:pt>
                <c:pt idx="97">
                  <c:v>2.1290078112089201</c:v>
                </c:pt>
                <c:pt idx="98">
                  <c:v>2.12905643776869</c:v>
                </c:pt>
                <c:pt idx="99">
                  <c:v>2.1290298398154701</c:v>
                </c:pt>
                <c:pt idx="100">
                  <c:v>2.12904106152352</c:v>
                </c:pt>
                <c:pt idx="101">
                  <c:v>2.1289750667988399</c:v>
                </c:pt>
                <c:pt idx="102">
                  <c:v>2.1288503149757099</c:v>
                </c:pt>
                <c:pt idx="103">
                  <c:v>2.1287923967684499</c:v>
                </c:pt>
                <c:pt idx="104">
                  <c:v>2.1286711441469799</c:v>
                </c:pt>
                <c:pt idx="105">
                  <c:v>2.1285525452003502</c:v>
                </c:pt>
                <c:pt idx="106">
                  <c:v>2.1283208081327198</c:v>
                </c:pt>
                <c:pt idx="107">
                  <c:v>2.1281764711578202</c:v>
                </c:pt>
                <c:pt idx="108">
                  <c:v>2.1279586683229299</c:v>
                </c:pt>
                <c:pt idx="109">
                  <c:v>2.12776159255825</c:v>
                </c:pt>
                <c:pt idx="110">
                  <c:v>2.12767135586834</c:v>
                </c:pt>
                <c:pt idx="111">
                  <c:v>2.12752944013</c:v>
                </c:pt>
                <c:pt idx="112">
                  <c:v>2.12747242602385</c:v>
                </c:pt>
                <c:pt idx="113">
                  <c:v>2.1274769051036801</c:v>
                </c:pt>
                <c:pt idx="114">
                  <c:v>2.1274893550357801</c:v>
                </c:pt>
                <c:pt idx="115">
                  <c:v>2.1275065795333701</c:v>
                </c:pt>
                <c:pt idx="116">
                  <c:v>2.1274912043038001</c:v>
                </c:pt>
                <c:pt idx="117">
                  <c:v>2.12741121260132</c:v>
                </c:pt>
                <c:pt idx="118">
                  <c:v>2.12736994997565</c:v>
                </c:pt>
                <c:pt idx="119">
                  <c:v>2.1273786232254199</c:v>
                </c:pt>
                <c:pt idx="120">
                  <c:v>2.1273528813042302</c:v>
                </c:pt>
                <c:pt idx="121">
                  <c:v>2.1272977255034098</c:v>
                </c:pt>
                <c:pt idx="122">
                  <c:v>2.1273603240766001</c:v>
                </c:pt>
                <c:pt idx="123">
                  <c:v>2.1273240854585902</c:v>
                </c:pt>
                <c:pt idx="124">
                  <c:v>2.1273459113492299</c:v>
                </c:pt>
                <c:pt idx="125">
                  <c:v>2.1273850676591701</c:v>
                </c:pt>
                <c:pt idx="126">
                  <c:v>2.1273997475291799</c:v>
                </c:pt>
                <c:pt idx="127">
                  <c:v>2.1274333667043002</c:v>
                </c:pt>
                <c:pt idx="128">
                  <c:v>2.1275029689671001</c:v>
                </c:pt>
                <c:pt idx="129">
                  <c:v>2.1275228062186402</c:v>
                </c:pt>
                <c:pt idx="130">
                  <c:v>2.1275117376614698</c:v>
                </c:pt>
                <c:pt idx="131">
                  <c:v>2.1274334738974701</c:v>
                </c:pt>
                <c:pt idx="132">
                  <c:v>2.1273219324411001</c:v>
                </c:pt>
                <c:pt idx="133">
                  <c:v>2.1271768119211001</c:v>
                </c:pt>
                <c:pt idx="134">
                  <c:v>2.1271173284790201</c:v>
                </c:pt>
                <c:pt idx="135">
                  <c:v>2.1270383885883901</c:v>
                </c:pt>
                <c:pt idx="136">
                  <c:v>2.1269308425014599</c:v>
                </c:pt>
                <c:pt idx="137">
                  <c:v>2.1268692919327199</c:v>
                </c:pt>
                <c:pt idx="138">
                  <c:v>2.12675393685402</c:v>
                </c:pt>
                <c:pt idx="139">
                  <c:v>2.1266820860955198</c:v>
                </c:pt>
                <c:pt idx="140">
                  <c:v>2.1267339105718301</c:v>
                </c:pt>
                <c:pt idx="141">
                  <c:v>2.1268750277201902</c:v>
                </c:pt>
                <c:pt idx="142">
                  <c:v>2.1268975551345801</c:v>
                </c:pt>
                <c:pt idx="143">
                  <c:v>2.12706269366821</c:v>
                </c:pt>
                <c:pt idx="144">
                  <c:v>2.1271821771433799</c:v>
                </c:pt>
                <c:pt idx="145">
                  <c:v>2.1272336527096898</c:v>
                </c:pt>
                <c:pt idx="146">
                  <c:v>2.1273710567117998</c:v>
                </c:pt>
                <c:pt idx="147">
                  <c:v>2.1274942899180398</c:v>
                </c:pt>
                <c:pt idx="148">
                  <c:v>2.12753295432965</c:v>
                </c:pt>
                <c:pt idx="149">
                  <c:v>2.12758981521627</c:v>
                </c:pt>
                <c:pt idx="150">
                  <c:v>2.1275817730673401</c:v>
                </c:pt>
                <c:pt idx="151">
                  <c:v>2.1275398967447101</c:v>
                </c:pt>
                <c:pt idx="152">
                  <c:v>2.1275893198381302</c:v>
                </c:pt>
                <c:pt idx="153">
                  <c:v>2.1276608481105499</c:v>
                </c:pt>
                <c:pt idx="154">
                  <c:v>2.12772781627628</c:v>
                </c:pt>
                <c:pt idx="155">
                  <c:v>2.12775965389877</c:v>
                </c:pt>
                <c:pt idx="156">
                  <c:v>2.1278532544648101</c:v>
                </c:pt>
                <c:pt idx="157">
                  <c:v>2.12797291982548</c:v>
                </c:pt>
                <c:pt idx="158">
                  <c:v>2.1280560728326798</c:v>
                </c:pt>
                <c:pt idx="159">
                  <c:v>2.1279944374542001</c:v>
                </c:pt>
                <c:pt idx="160">
                  <c:v>2.1279231618758501</c:v>
                </c:pt>
                <c:pt idx="161">
                  <c:v>2.12790769338315</c:v>
                </c:pt>
                <c:pt idx="162">
                  <c:v>2.12799288032789</c:v>
                </c:pt>
                <c:pt idx="163">
                  <c:v>2.12798491633417</c:v>
                </c:pt>
                <c:pt idx="164">
                  <c:v>2.12799095655881</c:v>
                </c:pt>
                <c:pt idx="165">
                  <c:v>2.12802470167119</c:v>
                </c:pt>
                <c:pt idx="166">
                  <c:v>2.12804326399133</c:v>
                </c:pt>
                <c:pt idx="167">
                  <c:v>2.1280186537983301</c:v>
                </c:pt>
                <c:pt idx="168">
                  <c:v>2.1280831894347099</c:v>
                </c:pt>
                <c:pt idx="169">
                  <c:v>2.1281527479469098</c:v>
                </c:pt>
                <c:pt idx="170">
                  <c:v>2.1282601593744599</c:v>
                </c:pt>
                <c:pt idx="171">
                  <c:v>2.12840777296609</c:v>
                </c:pt>
                <c:pt idx="172">
                  <c:v>2.1284684056656902</c:v>
                </c:pt>
                <c:pt idx="173">
                  <c:v>2.12863153017976</c:v>
                </c:pt>
                <c:pt idx="174">
                  <c:v>2.1287575430149199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9C-4A2B-A47B-06A9845AA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VTEB* x 10 dma / MUB*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9.2706633385465902E-4</c:v>
                </c:pt>
                <c:pt idx="11">
                  <c:v>9.8812622411043505E-4</c:v>
                </c:pt>
                <c:pt idx="12">
                  <c:v>-1.03581784793237E-4</c:v>
                </c:pt>
                <c:pt idx="13">
                  <c:v>-6.2927134143071295E-4</c:v>
                </c:pt>
                <c:pt idx="14">
                  <c:v>-9.6312694785528799E-4</c:v>
                </c:pt>
                <c:pt idx="15">
                  <c:v>-9.7724511722431691E-4</c:v>
                </c:pt>
                <c:pt idx="16">
                  <c:v>-1.15242418268488E-3</c:v>
                </c:pt>
                <c:pt idx="17">
                  <c:v>-1.5297175228834001E-3</c:v>
                </c:pt>
                <c:pt idx="18">
                  <c:v>-1.2739902376594E-3</c:v>
                </c:pt>
                <c:pt idx="19">
                  <c:v>-1.7414828167473799E-3</c:v>
                </c:pt>
                <c:pt idx="20">
                  <c:v>-1.3514604630462199E-3</c:v>
                </c:pt>
                <c:pt idx="21">
                  <c:v>-3.9281894765057001E-4</c:v>
                </c:pt>
                <c:pt idx="22">
                  <c:v>7.25279577841277E-4</c:v>
                </c:pt>
                <c:pt idx="23">
                  <c:v>5.9515454300750796E-4</c:v>
                </c:pt>
                <c:pt idx="24">
                  <c:v>2.3216111512330698E-3</c:v>
                </c:pt>
                <c:pt idx="25">
                  <c:v>1.6058014872320401E-3</c:v>
                </c:pt>
                <c:pt idx="26">
                  <c:v>1.2743403593925601E-3</c:v>
                </c:pt>
                <c:pt idx="27">
                  <c:v>5.6185082802248502E-4</c:v>
                </c:pt>
                <c:pt idx="28">
                  <c:v>3.8039774165545199E-4</c:v>
                </c:pt>
                <c:pt idx="29">
                  <c:v>5.4471119201003202E-5</c:v>
                </c:pt>
                <c:pt idx="30">
                  <c:v>-1.7498673212217801E-4</c:v>
                </c:pt>
                <c:pt idx="31">
                  <c:v>-3.3630910461249599E-4</c:v>
                </c:pt>
                <c:pt idx="32">
                  <c:v>-1.80086317104952E-3</c:v>
                </c:pt>
                <c:pt idx="33">
                  <c:v>-1.01633573287943E-3</c:v>
                </c:pt>
                <c:pt idx="34">
                  <c:v>-8.6692308435239794E-5</c:v>
                </c:pt>
                <c:pt idx="35">
                  <c:v>-4.0718577894536102E-4</c:v>
                </c:pt>
                <c:pt idx="36">
                  <c:v>-4.5483677178662901E-5</c:v>
                </c:pt>
                <c:pt idx="37">
                  <c:v>-1.3713267496102201E-4</c:v>
                </c:pt>
                <c:pt idx="38">
                  <c:v>3.1649533962589303E-4</c:v>
                </c:pt>
                <c:pt idx="39">
                  <c:v>8.3217321972016303E-4</c:v>
                </c:pt>
                <c:pt idx="40">
                  <c:v>1.8223902474442599E-4</c:v>
                </c:pt>
                <c:pt idx="41">
                  <c:v>-3.1340094896302201E-4</c:v>
                </c:pt>
                <c:pt idx="42">
                  <c:v>1.14499996663475E-3</c:v>
                </c:pt>
                <c:pt idx="43">
                  <c:v>1.1746935990463599E-3</c:v>
                </c:pt>
                <c:pt idx="44">
                  <c:v>-1.20985495130392E-3</c:v>
                </c:pt>
                <c:pt idx="45">
                  <c:v>-9.2195592674261995E-4</c:v>
                </c:pt>
                <c:pt idx="46">
                  <c:v>-5.1072461990026203E-4</c:v>
                </c:pt>
                <c:pt idx="47">
                  <c:v>-6.2782126461009195E-4</c:v>
                </c:pt>
                <c:pt idx="48">
                  <c:v>7.2182092150486793E-5</c:v>
                </c:pt>
                <c:pt idx="49">
                  <c:v>-7.3072756438429605E-4</c:v>
                </c:pt>
                <c:pt idx="50">
                  <c:v>1.08622834736141E-4</c:v>
                </c:pt>
                <c:pt idx="51">
                  <c:v>1.06427091415959E-3</c:v>
                </c:pt>
                <c:pt idx="52">
                  <c:v>1.25920831650949E-3</c:v>
                </c:pt>
                <c:pt idx="53">
                  <c:v>1.4743923261550499E-3</c:v>
                </c:pt>
                <c:pt idx="54">
                  <c:v>-4.5019895026454198E-4</c:v>
                </c:pt>
                <c:pt idx="55">
                  <c:v>4.8457966877261503E-5</c:v>
                </c:pt>
                <c:pt idx="56">
                  <c:v>-9.4492761805605396E-4</c:v>
                </c:pt>
                <c:pt idx="57">
                  <c:v>8.5921202370818801E-4</c:v>
                </c:pt>
                <c:pt idx="58">
                  <c:v>5.2556716104609205E-4</c:v>
                </c:pt>
                <c:pt idx="59">
                  <c:v>1.3828944217535199E-4</c:v>
                </c:pt>
                <c:pt idx="60">
                  <c:v>5.3803119034671497E-4</c:v>
                </c:pt>
                <c:pt idx="61">
                  <c:v>-6.7235775571514796E-4</c:v>
                </c:pt>
                <c:pt idx="62">
                  <c:v>-4.62650491148384E-4</c:v>
                </c:pt>
                <c:pt idx="63">
                  <c:v>-7.6584744448559704E-4</c:v>
                </c:pt>
                <c:pt idx="64">
                  <c:v>-7.0445095418915403E-4</c:v>
                </c:pt>
                <c:pt idx="65">
                  <c:v>-7.8897990299581501E-5</c:v>
                </c:pt>
                <c:pt idx="66">
                  <c:v>2.6915724656998102E-4</c:v>
                </c:pt>
                <c:pt idx="67">
                  <c:v>1.2464034792477199E-3</c:v>
                </c:pt>
                <c:pt idx="68">
                  <c:v>8.8936202118629901E-4</c:v>
                </c:pt>
                <c:pt idx="69">
                  <c:v>8.95280945320096E-4</c:v>
                </c:pt>
                <c:pt idx="70">
                  <c:v>1.09650228333467E-3</c:v>
                </c:pt>
                <c:pt idx="71">
                  <c:v>7.0452910221092198E-4</c:v>
                </c:pt>
                <c:pt idx="72">
                  <c:v>1.11879846003694E-4</c:v>
                </c:pt>
                <c:pt idx="73">
                  <c:v>-3.0359976521638198E-5</c:v>
                </c:pt>
                <c:pt idx="74">
                  <c:v>-2.46728613795177E-4</c:v>
                </c:pt>
                <c:pt idx="75">
                  <c:v>-1.7788184211751199E-5</c:v>
                </c:pt>
                <c:pt idx="76">
                  <c:v>1.09516029984361E-4</c:v>
                </c:pt>
                <c:pt idx="77">
                  <c:v>6.3852880386717004E-5</c:v>
                </c:pt>
                <c:pt idx="78">
                  <c:v>-2.7054698973322602E-4</c:v>
                </c:pt>
                <c:pt idx="79">
                  <c:v>-7.8722265811678597E-4</c:v>
                </c:pt>
                <c:pt idx="80">
                  <c:v>-2.4167244433156201E-4</c:v>
                </c:pt>
                <c:pt idx="81">
                  <c:v>-5.94617897612309E-4</c:v>
                </c:pt>
                <c:pt idx="82">
                  <c:v>-2.8939096011188902E-4</c:v>
                </c:pt>
                <c:pt idx="83">
                  <c:v>-1.28749021741037E-4</c:v>
                </c:pt>
                <c:pt idx="84">
                  <c:v>-4.6533867680311402E-4</c:v>
                </c:pt>
                <c:pt idx="85">
                  <c:v>-6.9206254840930204E-4</c:v>
                </c:pt>
                <c:pt idx="86">
                  <c:v>-1.1907480393943399E-3</c:v>
                </c:pt>
                <c:pt idx="87">
                  <c:v>-1.09164372706761E-4</c:v>
                </c:pt>
                <c:pt idx="88">
                  <c:v>-5.3831386517230799E-5</c:v>
                </c:pt>
                <c:pt idx="89">
                  <c:v>7.0315719331438402E-5</c:v>
                </c:pt>
                <c:pt idx="90">
                  <c:v>4.16354808492664E-4</c:v>
                </c:pt>
                <c:pt idx="91">
                  <c:v>-7.6554647869376299E-4</c:v>
                </c:pt>
                <c:pt idx="92">
                  <c:v>-1.6686466577492299E-5</c:v>
                </c:pt>
                <c:pt idx="93">
                  <c:v>5.9287352441945702E-4</c:v>
                </c:pt>
                <c:pt idx="94">
                  <c:v>1.2367743835859099E-3</c:v>
                </c:pt>
                <c:pt idx="95">
                  <c:v>1.07799186237993E-3</c:v>
                </c:pt>
                <c:pt idx="96">
                  <c:v>5.3058131863367199E-4</c:v>
                </c:pt>
                <c:pt idx="97">
                  <c:v>1.2956821701918999E-4</c:v>
                </c:pt>
                <c:pt idx="98">
                  <c:v>-2.1971316783309501E-4</c:v>
                </c:pt>
                <c:pt idx="99">
                  <c:v>-8.7069237091374097E-5</c:v>
                </c:pt>
                <c:pt idx="100">
                  <c:v>-2.3039677791470499E-5</c:v>
                </c:pt>
                <c:pt idx="101">
                  <c:v>2.66007718765551E-4</c:v>
                </c:pt>
                <c:pt idx="102">
                  <c:v>8.8295177040386102E-4</c:v>
                </c:pt>
                <c:pt idx="103">
                  <c:v>2.3248891369766301E-4</c:v>
                </c:pt>
                <c:pt idx="104">
                  <c:v>4.3578693101928903E-4</c:v>
                </c:pt>
                <c:pt idx="105">
                  <c:v>1.4550376590903699E-4</c:v>
                </c:pt>
                <c:pt idx="106">
                  <c:v>6.3535998026215199E-4</c:v>
                </c:pt>
                <c:pt idx="107">
                  <c:v>6.5387445938204101E-4</c:v>
                </c:pt>
                <c:pt idx="108">
                  <c:v>1.2127509748896799E-3</c:v>
                </c:pt>
                <c:pt idx="109">
                  <c:v>8.9155239534103605E-4</c:v>
                </c:pt>
                <c:pt idx="110">
                  <c:v>7.2715700631550197E-5</c:v>
                </c:pt>
                <c:pt idx="111">
                  <c:v>-7.20061133062785E-4</c:v>
                </c:pt>
                <c:pt idx="112">
                  <c:v>-8.3967903787221596E-4</c:v>
                </c:pt>
                <c:pt idx="113">
                  <c:v>-7.4404300307063002E-4</c:v>
                </c:pt>
                <c:pt idx="114">
                  <c:v>-1.16456713627752E-4</c:v>
                </c:pt>
                <c:pt idx="115">
                  <c:v>-1.9453614047102E-4</c:v>
                </c:pt>
                <c:pt idx="116">
                  <c:v>-3.0792251642264702E-4</c:v>
                </c:pt>
                <c:pt idx="117">
                  <c:v>1.0175345109287401E-4</c:v>
                </c:pt>
                <c:pt idx="118">
                  <c:v>-5.5129419106469805E-4</c:v>
                </c:pt>
                <c:pt idx="119">
                  <c:v>-7.2183324200828295E-4</c:v>
                </c:pt>
                <c:pt idx="120">
                  <c:v>-1.4104404215943699E-4</c:v>
                </c:pt>
                <c:pt idx="121">
                  <c:v>4.8523231962717297E-4</c:v>
                </c:pt>
                <c:pt idx="122">
                  <c:v>7.66029638054317E-5</c:v>
                </c:pt>
                <c:pt idx="123">
                  <c:v>4.6784709990834898E-4</c:v>
                </c:pt>
                <c:pt idx="124">
                  <c:v>8.6940327336351293E-5</c:v>
                </c:pt>
                <c:pt idx="125">
                  <c:v>-3.5733134865205797E-4</c:v>
                </c:pt>
                <c:pt idx="126">
                  <c:v>3.8310273198717201E-4</c:v>
                </c:pt>
                <c:pt idx="127">
                  <c:v>2.5176181526084302E-4</c:v>
                </c:pt>
                <c:pt idx="128">
                  <c:v>5.7873296290486596E-4</c:v>
                </c:pt>
                <c:pt idx="129">
                  <c:v>8.29951325523387E-4</c:v>
                </c:pt>
                <c:pt idx="130">
                  <c:v>3.1238231460457898E-4</c:v>
                </c:pt>
                <c:pt idx="131">
                  <c:v>1.6507273670497699E-4</c:v>
                </c:pt>
                <c:pt idx="132">
                  <c:v>3.3659811068678999E-4</c:v>
                </c:pt>
                <c:pt idx="133">
                  <c:v>5.84380105387167E-4</c:v>
                </c:pt>
                <c:pt idx="134">
                  <c:v>3.0445989120000001E-4</c:v>
                </c:pt>
                <c:pt idx="135">
                  <c:v>3.32892729196614E-4</c:v>
                </c:pt>
                <c:pt idx="136">
                  <c:v>3.7748476940217498E-4</c:v>
                </c:pt>
                <c:pt idx="137">
                  <c:v>2.39721932796429E-4</c:v>
                </c:pt>
                <c:pt idx="138">
                  <c:v>2.79048767684487E-6</c:v>
                </c:pt>
                <c:pt idx="139">
                  <c:v>-7.5103602696722799E-4</c:v>
                </c:pt>
                <c:pt idx="140">
                  <c:v>-1.4184731760737499E-3</c:v>
                </c:pt>
                <c:pt idx="141">
                  <c:v>-1.57212180943254E-3</c:v>
                </c:pt>
                <c:pt idx="142">
                  <c:v>-6.6014892231811798E-4</c:v>
                </c:pt>
                <c:pt idx="143">
                  <c:v>-1.48283942328749E-3</c:v>
                </c:pt>
                <c:pt idx="144">
                  <c:v>-1.14296330757039E-3</c:v>
                </c:pt>
                <c:pt idx="145">
                  <c:v>-7.7995733036500105E-4</c:v>
                </c:pt>
                <c:pt idx="146">
                  <c:v>-7.2457794323661404E-4</c:v>
                </c:pt>
                <c:pt idx="147">
                  <c:v>-4.9253026822890103E-4</c:v>
                </c:pt>
                <c:pt idx="148">
                  <c:v>8.0246481177469599E-4</c:v>
                </c:pt>
                <c:pt idx="149">
                  <c:v>1.02718053810479E-3</c:v>
                </c:pt>
                <c:pt idx="150">
                  <c:v>1.24111527385456E-3</c:v>
                </c:pt>
                <c:pt idx="151">
                  <c:v>1.3558858791211199E-3</c:v>
                </c:pt>
                <c:pt idx="152">
                  <c:v>4.9680498126618798E-4</c:v>
                </c:pt>
                <c:pt idx="153">
                  <c:v>5.61886355593518E-4</c:v>
                </c:pt>
                <c:pt idx="154">
                  <c:v>2.3704301774849699E-4</c:v>
                </c:pt>
                <c:pt idx="155">
                  <c:v>5.4644165163538101E-4</c:v>
                </c:pt>
                <c:pt idx="156">
                  <c:v>-8.2279143081493694E-6</c:v>
                </c:pt>
                <c:pt idx="157">
                  <c:v>-4.3207099303872401E-4</c:v>
                </c:pt>
                <c:pt idx="158">
                  <c:v>-3.28985931381336E-4</c:v>
                </c:pt>
                <c:pt idx="159">
                  <c:v>3.20516630239233E-4</c:v>
                </c:pt>
                <c:pt idx="160">
                  <c:v>-3.68206937872322E-4</c:v>
                </c:pt>
                <c:pt idx="161">
                  <c:v>-1.10581708626405E-3</c:v>
                </c:pt>
                <c:pt idx="162">
                  <c:v>-1.1145797041069399E-3</c:v>
                </c:pt>
                <c:pt idx="163">
                  <c:v>-1.0286606029688301E-3</c:v>
                </c:pt>
                <c:pt idx="164">
                  <c:v>-8.9506764571653399E-4</c:v>
                </c:pt>
                <c:pt idx="165">
                  <c:v>-8.4953856186997898E-4</c:v>
                </c:pt>
                <c:pt idx="166">
                  <c:v>-6.4982514647198204E-4</c:v>
                </c:pt>
                <c:pt idx="167">
                  <c:v>-8.2861019438690598E-5</c:v>
                </c:pt>
                <c:pt idx="168">
                  <c:v>2.38857121261815E-4</c:v>
                </c:pt>
                <c:pt idx="169">
                  <c:v>3.9877776977849399E-4</c:v>
                </c:pt>
                <c:pt idx="170">
                  <c:v>3.8004619912269499E-4</c:v>
                </c:pt>
                <c:pt idx="171">
                  <c:v>2.8465683292899801E-4</c:v>
                </c:pt>
                <c:pt idx="172">
                  <c:v>3.96732081053031E-4</c:v>
                </c:pt>
                <c:pt idx="173">
                  <c:v>-5.2398837617310804E-4</c:v>
                </c:pt>
                <c:pt idx="174">
                  <c:v>-3.39355371604941E-4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7-4EA8-A171-AA3B3843E501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VTEB* x 20 dma / MUB*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-1.63160330408037E-3</c:v>
                </c:pt>
                <c:pt idx="21">
                  <c:v>-8.7036170948208598E-4</c:v>
                </c:pt>
                <c:pt idx="22">
                  <c:v>5.0131456269678498E-5</c:v>
                </c:pt>
                <c:pt idx="23">
                  <c:v>-1.18334525156373E-4</c:v>
                </c:pt>
                <c:pt idx="24">
                  <c:v>1.5928998473608599E-3</c:v>
                </c:pt>
                <c:pt idx="25">
                  <c:v>9.9553494486686895E-4</c:v>
                </c:pt>
                <c:pt idx="26">
                  <c:v>7.7164104961968899E-4</c:v>
                </c:pt>
                <c:pt idx="27">
                  <c:v>2.13737894900449E-4</c:v>
                </c:pt>
                <c:pt idx="28">
                  <c:v>2.1406869259768001E-4</c:v>
                </c:pt>
                <c:pt idx="29">
                  <c:v>2.0658697378385099E-5</c:v>
                </c:pt>
                <c:pt idx="30">
                  <c:v>-1.71462542164327E-5</c:v>
                </c:pt>
                <c:pt idx="31">
                  <c:v>3.8184641011493897E-5</c:v>
                </c:pt>
                <c:pt idx="32">
                  <c:v>-1.26929024563429E-3</c:v>
                </c:pt>
                <c:pt idx="33">
                  <c:v>-5.3195549196926001E-4</c:v>
                </c:pt>
                <c:pt idx="34">
                  <c:v>3.7565389295685699E-4</c:v>
                </c:pt>
                <c:pt idx="35">
                  <c:v>-1.1025849319059799E-4</c:v>
                </c:pt>
                <c:pt idx="36">
                  <c:v>1.1242871890723299E-4</c:v>
                </c:pt>
                <c:pt idx="37">
                  <c:v>-1.00428507077203E-4</c:v>
                </c:pt>
                <c:pt idx="38">
                  <c:v>2.5215314117594401E-4</c:v>
                </c:pt>
                <c:pt idx="39">
                  <c:v>6.9210526007394896E-4</c:v>
                </c:pt>
                <c:pt idx="40">
                  <c:v>-1.94488535287928E-5</c:v>
                </c:pt>
                <c:pt idx="41">
                  <c:v>-5.9206020962040301E-4</c:v>
                </c:pt>
                <c:pt idx="42">
                  <c:v>7.9933745947809599E-4</c:v>
                </c:pt>
                <c:pt idx="43">
                  <c:v>1.0149526255155499E-3</c:v>
                </c:pt>
                <c:pt idx="44">
                  <c:v>-1.24387607525561E-3</c:v>
                </c:pt>
                <c:pt idx="45">
                  <c:v>-9.41433639779159E-4</c:v>
                </c:pt>
                <c:pt idx="46">
                  <c:v>-4.8697107844782598E-4</c:v>
                </c:pt>
                <c:pt idx="47">
                  <c:v>-5.7478340923793904E-4</c:v>
                </c:pt>
                <c:pt idx="48">
                  <c:v>1.3725422091333299E-4</c:v>
                </c:pt>
                <c:pt idx="49">
                  <c:v>-6.6173758360054595E-4</c:v>
                </c:pt>
                <c:pt idx="50">
                  <c:v>8.1504855676145998E-5</c:v>
                </c:pt>
                <c:pt idx="51">
                  <c:v>1.0330706085479599E-3</c:v>
                </c:pt>
                <c:pt idx="52">
                  <c:v>1.32047542641228E-3</c:v>
                </c:pt>
                <c:pt idx="53">
                  <c:v>1.4347502734612799E-3</c:v>
                </c:pt>
                <c:pt idx="54">
                  <c:v>-5.7239107719190305E-4</c:v>
                </c:pt>
                <c:pt idx="55">
                  <c:v>1.16341500908552E-5</c:v>
                </c:pt>
                <c:pt idx="56">
                  <c:v>-9.0918988337328102E-4</c:v>
                </c:pt>
                <c:pt idx="57">
                  <c:v>8.9769248619790795E-4</c:v>
                </c:pt>
                <c:pt idx="58">
                  <c:v>6.6149463320874498E-4</c:v>
                </c:pt>
                <c:pt idx="59">
                  <c:v>3.1618787306401702E-4</c:v>
                </c:pt>
                <c:pt idx="60">
                  <c:v>8.4847639365010397E-4</c:v>
                </c:pt>
                <c:pt idx="61">
                  <c:v>-3.0298883198403198E-4</c:v>
                </c:pt>
                <c:pt idx="62">
                  <c:v>-2.08966215595804E-4</c:v>
                </c:pt>
                <c:pt idx="63">
                  <c:v>-5.8471778672982604E-4</c:v>
                </c:pt>
                <c:pt idx="64">
                  <c:v>-6.2821614659537605E-4</c:v>
                </c:pt>
                <c:pt idx="65">
                  <c:v>-3.3539518875808E-5</c:v>
                </c:pt>
                <c:pt idx="66">
                  <c:v>2.6782433462521198E-4</c:v>
                </c:pt>
                <c:pt idx="67">
                  <c:v>1.32381854328926E-3</c:v>
                </c:pt>
                <c:pt idx="68">
                  <c:v>9.1564980478678402E-4</c:v>
                </c:pt>
                <c:pt idx="69">
                  <c:v>9.0611670188573995E-4</c:v>
                </c:pt>
                <c:pt idx="70">
                  <c:v>1.0849811049250199E-3</c:v>
                </c:pt>
                <c:pt idx="71">
                  <c:v>6.6724631815937799E-4</c:v>
                </c:pt>
                <c:pt idx="72">
                  <c:v>1.89623675604374E-4</c:v>
                </c:pt>
                <c:pt idx="73">
                  <c:v>1.4462257474957799E-4</c:v>
                </c:pt>
                <c:pt idx="74">
                  <c:v>7.6471607703946796E-5</c:v>
                </c:pt>
                <c:pt idx="75">
                  <c:v>3.6577414982807201E-4</c:v>
                </c:pt>
                <c:pt idx="76">
                  <c:v>5.3635202021661205E-4</c:v>
                </c:pt>
                <c:pt idx="77">
                  <c:v>4.6478501486702602E-4</c:v>
                </c:pt>
                <c:pt idx="78">
                  <c:v>8.4255485015334805E-5</c:v>
                </c:pt>
                <c:pt idx="79">
                  <c:v>-4.7576136701444802E-4</c:v>
                </c:pt>
                <c:pt idx="80">
                  <c:v>-2.21452512703878E-5</c:v>
                </c:pt>
                <c:pt idx="81">
                  <c:v>-4.4680090038761702E-4</c:v>
                </c:pt>
                <c:pt idx="82">
                  <c:v>-2.5688000809858102E-4</c:v>
                </c:pt>
                <c:pt idx="83">
                  <c:v>-1.49563807679223E-4</c:v>
                </c:pt>
                <c:pt idx="84">
                  <c:v>-5.4745678171520199E-4</c:v>
                </c:pt>
                <c:pt idx="85">
                  <c:v>-8.4856738659094301E-4</c:v>
                </c:pt>
                <c:pt idx="86">
                  <c:v>-1.43803130214472E-3</c:v>
                </c:pt>
                <c:pt idx="87">
                  <c:v>-4.8087385092641802E-4</c:v>
                </c:pt>
                <c:pt idx="88">
                  <c:v>-4.5230403293280801E-4</c:v>
                </c:pt>
                <c:pt idx="89">
                  <c:v>-3.3464403762062498E-4</c:v>
                </c:pt>
                <c:pt idx="90">
                  <c:v>6.6741526384012201E-5</c:v>
                </c:pt>
                <c:pt idx="91">
                  <c:v>-1.0722919473190101E-3</c:v>
                </c:pt>
                <c:pt idx="92">
                  <c:v>-3.1249513440617899E-4</c:v>
                </c:pt>
                <c:pt idx="93">
                  <c:v>2.9793136818374503E-4</c:v>
                </c:pt>
                <c:pt idx="94">
                  <c:v>9.5540876401189697E-4</c:v>
                </c:pt>
                <c:pt idx="95">
                  <c:v>8.7268564201754102E-4</c:v>
                </c:pt>
                <c:pt idx="96">
                  <c:v>4.4257822379608502E-4</c:v>
                </c:pt>
                <c:pt idx="97">
                  <c:v>2.08617700857314E-4</c:v>
                </c:pt>
                <c:pt idx="98">
                  <c:v>-7.5002686472245298E-5</c:v>
                </c:pt>
                <c:pt idx="99">
                  <c:v>9.2836371325936095E-5</c:v>
                </c:pt>
                <c:pt idx="100">
                  <c:v>1.64616422151302E-4</c:v>
                </c:pt>
                <c:pt idx="101">
                  <c:v>4.52522941990059E-4</c:v>
                </c:pt>
                <c:pt idx="102">
                  <c:v>1.17899527958076E-3</c:v>
                </c:pt>
                <c:pt idx="103">
                  <c:v>6.1908802552803201E-4</c:v>
                </c:pt>
                <c:pt idx="104">
                  <c:v>8.3644553483328704E-4</c:v>
                </c:pt>
                <c:pt idx="105">
                  <c:v>4.8921926343730197E-4</c:v>
                </c:pt>
                <c:pt idx="106">
                  <c:v>8.9884826202094102E-4</c:v>
                </c:pt>
                <c:pt idx="107">
                  <c:v>8.7163648165474404E-4</c:v>
                </c:pt>
                <c:pt idx="108">
                  <c:v>1.45865959435709E-3</c:v>
                </c:pt>
                <c:pt idx="109">
                  <c:v>1.2275057140203501E-3</c:v>
                </c:pt>
                <c:pt idx="110">
                  <c:v>4.8109637285386598E-4</c:v>
                </c:pt>
                <c:pt idx="111">
                  <c:v>-2.62816409174501E-4</c:v>
                </c:pt>
                <c:pt idx="112">
                  <c:v>-4.5632029173947798E-4</c:v>
                </c:pt>
                <c:pt idx="113">
                  <c:v>-4.8311891977785099E-4</c:v>
                </c:pt>
                <c:pt idx="114">
                  <c:v>1.0107507181509E-4</c:v>
                </c:pt>
                <c:pt idx="115">
                  <c:v>1.7124250613852601E-5</c:v>
                </c:pt>
                <c:pt idx="116">
                  <c:v>-7.9840387461936499E-5</c:v>
                </c:pt>
                <c:pt idx="117">
                  <c:v>2.7388970341566201E-4</c:v>
                </c:pt>
                <c:pt idx="118">
                  <c:v>-4.3754104267969198E-4</c:v>
                </c:pt>
                <c:pt idx="119">
                  <c:v>-7.8108604033325698E-4</c:v>
                </c:pt>
                <c:pt idx="120">
                  <c:v>-3.6936941408147802E-4</c:v>
                </c:pt>
                <c:pt idx="121">
                  <c:v>1.7777557426417199E-4</c:v>
                </c:pt>
                <c:pt idx="122">
                  <c:v>-1.9776201819206901E-4</c:v>
                </c:pt>
                <c:pt idx="123">
                  <c:v>2.59660305713501E-4</c:v>
                </c:pt>
                <c:pt idx="124">
                  <c:v>-5.873625310135E-5</c:v>
                </c:pt>
                <c:pt idx="125">
                  <c:v>-5.0154473933606495E-4</c:v>
                </c:pt>
                <c:pt idx="126">
                  <c:v>2.1216614629807201E-4</c:v>
                </c:pt>
                <c:pt idx="127">
                  <c:v>1.2263124969640301E-4</c:v>
                </c:pt>
                <c:pt idx="128">
                  <c:v>4.54581640221794E-4</c:v>
                </c:pt>
                <c:pt idx="129">
                  <c:v>8.2667865188226102E-4</c:v>
                </c:pt>
                <c:pt idx="130">
                  <c:v>4.7296080816229899E-4</c:v>
                </c:pt>
                <c:pt idx="131">
                  <c:v>3.9791322030955999E-4</c:v>
                </c:pt>
                <c:pt idx="132">
                  <c:v>5.47196873369155E-4</c:v>
                </c:pt>
                <c:pt idx="133">
                  <c:v>8.1066486253248695E-4</c:v>
                </c:pt>
                <c:pt idx="134">
                  <c:v>5.1941454239241001E-4</c:v>
                </c:pt>
                <c:pt idx="135">
                  <c:v>5.8462503565091502E-4</c:v>
                </c:pt>
                <c:pt idx="136">
                  <c:v>7.1150635581075704E-4</c:v>
                </c:pt>
                <c:pt idx="137">
                  <c:v>5.8941131211408195E-4</c:v>
                </c:pt>
                <c:pt idx="138">
                  <c:v>3.9227193586674301E-4</c:v>
                </c:pt>
                <c:pt idx="139">
                  <c:v>-3.9550399648739901E-4</c:v>
                </c:pt>
                <c:pt idx="140">
                  <c:v>-1.1837546325281501E-3</c:v>
                </c:pt>
                <c:pt idx="141">
                  <c:v>-1.4392736617523899E-3</c:v>
                </c:pt>
                <c:pt idx="142">
                  <c:v>-6.0821293104674199E-4</c:v>
                </c:pt>
                <c:pt idx="143">
                  <c:v>-1.50961457160873E-3</c:v>
                </c:pt>
                <c:pt idx="144">
                  <c:v>-1.3042427529704999E-3</c:v>
                </c:pt>
                <c:pt idx="145">
                  <c:v>-1.06209618924771E-3</c:v>
                </c:pt>
                <c:pt idx="146">
                  <c:v>-1.15021501110523E-3</c:v>
                </c:pt>
                <c:pt idx="147">
                  <c:v>-1.0488601241409E-3</c:v>
                </c:pt>
                <c:pt idx="148">
                  <c:v>1.19634905066995E-4</c:v>
                </c:pt>
                <c:pt idx="149">
                  <c:v>3.0594201090258501E-4</c:v>
                </c:pt>
                <c:pt idx="150">
                  <c:v>5.80096250754095E-4</c:v>
                </c:pt>
                <c:pt idx="151">
                  <c:v>8.2473063601616202E-4</c:v>
                </c:pt>
                <c:pt idx="152">
                  <c:v>1.3244693546004199E-4</c:v>
                </c:pt>
                <c:pt idx="153">
                  <c:v>2.63557514361757E-4</c:v>
                </c:pt>
                <c:pt idx="154">
                  <c:v>1.17164890899152E-4</c:v>
                </c:pt>
                <c:pt idx="155">
                  <c:v>5.7210611482224499E-4</c:v>
                </c:pt>
                <c:pt idx="156">
                  <c:v>1.70201492947569E-4</c:v>
                </c:pt>
                <c:pt idx="157">
                  <c:v>-1.02270400494406E-4</c:v>
                </c:pt>
                <c:pt idx="158">
                  <c:v>1.2910549646899199E-4</c:v>
                </c:pt>
                <c:pt idx="159">
                  <c:v>7.9613115357240701E-4</c:v>
                </c:pt>
                <c:pt idx="160">
                  <c:v>1.02873291810834E-4</c:v>
                </c:pt>
                <c:pt idx="161">
                  <c:v>-7.3497010198640895E-4</c:v>
                </c:pt>
                <c:pt idx="162">
                  <c:v>-9.2304418243988203E-4</c:v>
                </c:pt>
                <c:pt idx="163">
                  <c:v>-9.1998165833507E-4</c:v>
                </c:pt>
                <c:pt idx="164">
                  <c:v>-9.2748884333357395E-4</c:v>
                </c:pt>
                <c:pt idx="165">
                  <c:v>-9.9884504872789102E-4</c:v>
                </c:pt>
                <c:pt idx="166">
                  <c:v>-9.5272161563825599E-4</c:v>
                </c:pt>
                <c:pt idx="167">
                  <c:v>-5.0177840882406296E-4</c:v>
                </c:pt>
                <c:pt idx="168">
                  <c:v>-2.4049598812575599E-4</c:v>
                </c:pt>
                <c:pt idx="169">
                  <c:v>-8.9340724695441794E-5</c:v>
                </c:pt>
                <c:pt idx="170">
                  <c:v>-1.6512810928606301E-4</c:v>
                </c:pt>
                <c:pt idx="171">
                  <c:v>-2.44266908496465E-4</c:v>
                </c:pt>
                <c:pt idx="172">
                  <c:v>-2.96039881977659E-5</c:v>
                </c:pt>
                <c:pt idx="173">
                  <c:v>-8.5599399519479895E-4</c:v>
                </c:pt>
                <c:pt idx="174">
                  <c:v>-6.1067642584655202E-4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7-4EA8-A171-AA3B3843E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MUB*/VTEB*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2.1285470928226302</c:v>
                </c:pt>
                <c:pt idx="1">
                  <c:v>2.1285470928226302</c:v>
                </c:pt>
                <c:pt idx="2">
                  <c:v>2.1285470928226302</c:v>
                </c:pt>
                <c:pt idx="3">
                  <c:v>2.1285470928226302</c:v>
                </c:pt>
                <c:pt idx="4">
                  <c:v>2.1285470928226302</c:v>
                </c:pt>
                <c:pt idx="5">
                  <c:v>2.1285470928226302</c:v>
                </c:pt>
                <c:pt idx="6">
                  <c:v>2.1285470928226302</c:v>
                </c:pt>
                <c:pt idx="7">
                  <c:v>2.1285470928226302</c:v>
                </c:pt>
                <c:pt idx="8">
                  <c:v>2.1285470928226302</c:v>
                </c:pt>
                <c:pt idx="9">
                  <c:v>2.1285470928226302</c:v>
                </c:pt>
                <c:pt idx="10">
                  <c:v>2.1285470928226302</c:v>
                </c:pt>
                <c:pt idx="11">
                  <c:v>2.1285470928226302</c:v>
                </c:pt>
                <c:pt idx="12">
                  <c:v>2.1285470928226302</c:v>
                </c:pt>
                <c:pt idx="13">
                  <c:v>2.1285470928226302</c:v>
                </c:pt>
                <c:pt idx="14">
                  <c:v>2.1285470928226302</c:v>
                </c:pt>
                <c:pt idx="15">
                  <c:v>2.1285470928226302</c:v>
                </c:pt>
                <c:pt idx="16">
                  <c:v>2.1285470928226302</c:v>
                </c:pt>
                <c:pt idx="17">
                  <c:v>2.1285470928226302</c:v>
                </c:pt>
                <c:pt idx="18">
                  <c:v>2.1285470928226302</c:v>
                </c:pt>
                <c:pt idx="19">
                  <c:v>2.1285470928226302</c:v>
                </c:pt>
                <c:pt idx="20">
                  <c:v>2.1285470928226302</c:v>
                </c:pt>
                <c:pt idx="21">
                  <c:v>2.1285470928226302</c:v>
                </c:pt>
                <c:pt idx="22">
                  <c:v>2.1285470928226302</c:v>
                </c:pt>
                <c:pt idx="23">
                  <c:v>2.1285470928226302</c:v>
                </c:pt>
                <c:pt idx="24">
                  <c:v>2.1285470928226302</c:v>
                </c:pt>
                <c:pt idx="25">
                  <c:v>2.1285470928226302</c:v>
                </c:pt>
                <c:pt idx="26">
                  <c:v>2.1285470928226302</c:v>
                </c:pt>
                <c:pt idx="27">
                  <c:v>2.1285470928226302</c:v>
                </c:pt>
                <c:pt idx="28">
                  <c:v>2.1285470928226302</c:v>
                </c:pt>
                <c:pt idx="29">
                  <c:v>2.1285470928226302</c:v>
                </c:pt>
                <c:pt idx="30">
                  <c:v>2.1285470928226302</c:v>
                </c:pt>
                <c:pt idx="31">
                  <c:v>2.1285470928226302</c:v>
                </c:pt>
                <c:pt idx="32">
                  <c:v>2.1285470928226302</c:v>
                </c:pt>
                <c:pt idx="33">
                  <c:v>2.1285470928226302</c:v>
                </c:pt>
                <c:pt idx="34">
                  <c:v>2.1285470928226302</c:v>
                </c:pt>
                <c:pt idx="35">
                  <c:v>2.1285470928226302</c:v>
                </c:pt>
                <c:pt idx="36">
                  <c:v>2.1285470928226302</c:v>
                </c:pt>
                <c:pt idx="37">
                  <c:v>2.1285470928226302</c:v>
                </c:pt>
                <c:pt idx="38">
                  <c:v>2.1285470928226302</c:v>
                </c:pt>
                <c:pt idx="39">
                  <c:v>2.1285470928226302</c:v>
                </c:pt>
                <c:pt idx="40">
                  <c:v>2.1285470928226302</c:v>
                </c:pt>
                <c:pt idx="41">
                  <c:v>2.1285470928226302</c:v>
                </c:pt>
                <c:pt idx="42">
                  <c:v>2.1285470928226302</c:v>
                </c:pt>
                <c:pt idx="43">
                  <c:v>2.1285470928226302</c:v>
                </c:pt>
                <c:pt idx="44">
                  <c:v>2.1285470928226302</c:v>
                </c:pt>
                <c:pt idx="45">
                  <c:v>2.1285470928226302</c:v>
                </c:pt>
                <c:pt idx="46">
                  <c:v>2.1285470928226302</c:v>
                </c:pt>
                <c:pt idx="47">
                  <c:v>2.1285470928226302</c:v>
                </c:pt>
                <c:pt idx="48">
                  <c:v>2.1285470928226302</c:v>
                </c:pt>
                <c:pt idx="49">
                  <c:v>2.1285470928226302</c:v>
                </c:pt>
                <c:pt idx="50">
                  <c:v>2.1285470928226302</c:v>
                </c:pt>
                <c:pt idx="51">
                  <c:v>2.1285470928226302</c:v>
                </c:pt>
                <c:pt idx="52">
                  <c:v>2.1285470928226302</c:v>
                </c:pt>
                <c:pt idx="53">
                  <c:v>2.1285470928226302</c:v>
                </c:pt>
                <c:pt idx="54">
                  <c:v>2.1285470928226302</c:v>
                </c:pt>
                <c:pt idx="55">
                  <c:v>2.1285470928226302</c:v>
                </c:pt>
                <c:pt idx="56">
                  <c:v>2.1285470928226302</c:v>
                </c:pt>
                <c:pt idx="57">
                  <c:v>2.1285470928226302</c:v>
                </c:pt>
                <c:pt idx="58">
                  <c:v>2.1285470928226302</c:v>
                </c:pt>
                <c:pt idx="59">
                  <c:v>2.1285470928226302</c:v>
                </c:pt>
                <c:pt idx="60">
                  <c:v>2.1285470928226302</c:v>
                </c:pt>
                <c:pt idx="61">
                  <c:v>2.1285470928226302</c:v>
                </c:pt>
                <c:pt idx="62">
                  <c:v>2.1285470928226302</c:v>
                </c:pt>
                <c:pt idx="63">
                  <c:v>2.1285470928226302</c:v>
                </c:pt>
                <c:pt idx="64">
                  <c:v>2.1285470928226302</c:v>
                </c:pt>
                <c:pt idx="65">
                  <c:v>2.1285470928226302</c:v>
                </c:pt>
                <c:pt idx="66">
                  <c:v>2.1285470928226302</c:v>
                </c:pt>
                <c:pt idx="67">
                  <c:v>2.1285470928226302</c:v>
                </c:pt>
                <c:pt idx="68">
                  <c:v>2.1285470928226302</c:v>
                </c:pt>
                <c:pt idx="69">
                  <c:v>2.1285470928226302</c:v>
                </c:pt>
                <c:pt idx="70">
                  <c:v>2.1285470928226302</c:v>
                </c:pt>
                <c:pt idx="71">
                  <c:v>2.1285470928226302</c:v>
                </c:pt>
                <c:pt idx="72">
                  <c:v>2.1285470928226302</c:v>
                </c:pt>
                <c:pt idx="73">
                  <c:v>2.1285470928226302</c:v>
                </c:pt>
                <c:pt idx="74">
                  <c:v>2.1285470928226302</c:v>
                </c:pt>
                <c:pt idx="75">
                  <c:v>2.1285470928226302</c:v>
                </c:pt>
                <c:pt idx="76">
                  <c:v>2.1285470928226302</c:v>
                </c:pt>
                <c:pt idx="77">
                  <c:v>2.1285470928226302</c:v>
                </c:pt>
                <c:pt idx="78">
                  <c:v>2.1285470928226302</c:v>
                </c:pt>
                <c:pt idx="79">
                  <c:v>2.1285470928226302</c:v>
                </c:pt>
                <c:pt idx="80">
                  <c:v>2.1285470928226302</c:v>
                </c:pt>
                <c:pt idx="81">
                  <c:v>2.1285470928226302</c:v>
                </c:pt>
                <c:pt idx="82">
                  <c:v>2.1285470928226302</c:v>
                </c:pt>
                <c:pt idx="83">
                  <c:v>2.1285470928226302</c:v>
                </c:pt>
                <c:pt idx="84">
                  <c:v>2.1285470928226302</c:v>
                </c:pt>
                <c:pt idx="85">
                  <c:v>2.1285470928226302</c:v>
                </c:pt>
                <c:pt idx="86">
                  <c:v>2.1285470928226302</c:v>
                </c:pt>
                <c:pt idx="87">
                  <c:v>2.1285470928226302</c:v>
                </c:pt>
                <c:pt idx="88">
                  <c:v>2.1285470928226302</c:v>
                </c:pt>
                <c:pt idx="89">
                  <c:v>2.1285470928226302</c:v>
                </c:pt>
                <c:pt idx="90">
                  <c:v>2.1285470928226302</c:v>
                </c:pt>
                <c:pt idx="91">
                  <c:v>2.1285470928226302</c:v>
                </c:pt>
                <c:pt idx="92">
                  <c:v>2.1285470928226302</c:v>
                </c:pt>
                <c:pt idx="93">
                  <c:v>2.1285470928226302</c:v>
                </c:pt>
                <c:pt idx="94">
                  <c:v>2.1285470928226302</c:v>
                </c:pt>
                <c:pt idx="95">
                  <c:v>2.1285470928226302</c:v>
                </c:pt>
                <c:pt idx="96">
                  <c:v>2.1285470928226302</c:v>
                </c:pt>
                <c:pt idx="97">
                  <c:v>2.1285470928226302</c:v>
                </c:pt>
                <c:pt idx="98">
                  <c:v>2.1285470928226302</c:v>
                </c:pt>
                <c:pt idx="99">
                  <c:v>2.1285470928226302</c:v>
                </c:pt>
                <c:pt idx="100">
                  <c:v>2.1285470928226302</c:v>
                </c:pt>
                <c:pt idx="101">
                  <c:v>2.1285470928226302</c:v>
                </c:pt>
                <c:pt idx="102">
                  <c:v>2.1285470928226302</c:v>
                </c:pt>
                <c:pt idx="103">
                  <c:v>2.1285470928226302</c:v>
                </c:pt>
                <c:pt idx="104">
                  <c:v>2.1285470928226302</c:v>
                </c:pt>
                <c:pt idx="105">
                  <c:v>2.1285470928226302</c:v>
                </c:pt>
                <c:pt idx="106">
                  <c:v>2.1285470928226302</c:v>
                </c:pt>
                <c:pt idx="107">
                  <c:v>2.1285470928226302</c:v>
                </c:pt>
                <c:pt idx="108">
                  <c:v>2.1285470928226302</c:v>
                </c:pt>
                <c:pt idx="109">
                  <c:v>2.1285470928226302</c:v>
                </c:pt>
                <c:pt idx="110">
                  <c:v>2.1285470928226302</c:v>
                </c:pt>
                <c:pt idx="111">
                  <c:v>2.1285470928226302</c:v>
                </c:pt>
                <c:pt idx="112">
                  <c:v>2.1285470928226302</c:v>
                </c:pt>
                <c:pt idx="113">
                  <c:v>2.1285470928226302</c:v>
                </c:pt>
                <c:pt idx="114">
                  <c:v>2.1285470928226302</c:v>
                </c:pt>
                <c:pt idx="115">
                  <c:v>2.1285470928226302</c:v>
                </c:pt>
                <c:pt idx="116">
                  <c:v>2.1285470928226302</c:v>
                </c:pt>
                <c:pt idx="117">
                  <c:v>2.1285470928226302</c:v>
                </c:pt>
                <c:pt idx="118">
                  <c:v>2.1285470928226302</c:v>
                </c:pt>
                <c:pt idx="119">
                  <c:v>2.1285470928226302</c:v>
                </c:pt>
                <c:pt idx="120">
                  <c:v>2.1285470928226302</c:v>
                </c:pt>
                <c:pt idx="121">
                  <c:v>2.1285470928226302</c:v>
                </c:pt>
                <c:pt idx="122">
                  <c:v>2.1285470928226302</c:v>
                </c:pt>
                <c:pt idx="123">
                  <c:v>2.1285470928226302</c:v>
                </c:pt>
                <c:pt idx="124">
                  <c:v>2.1285470928226302</c:v>
                </c:pt>
                <c:pt idx="125">
                  <c:v>2.1285470928226302</c:v>
                </c:pt>
                <c:pt idx="126">
                  <c:v>2.1285470928226302</c:v>
                </c:pt>
                <c:pt idx="127">
                  <c:v>2.1285470928226302</c:v>
                </c:pt>
                <c:pt idx="128">
                  <c:v>2.1285470928226302</c:v>
                </c:pt>
                <c:pt idx="129">
                  <c:v>2.1285470928226302</c:v>
                </c:pt>
                <c:pt idx="130">
                  <c:v>2.1285470928226302</c:v>
                </c:pt>
                <c:pt idx="131">
                  <c:v>2.1285470928226302</c:v>
                </c:pt>
                <c:pt idx="132">
                  <c:v>2.1285470928226302</c:v>
                </c:pt>
                <c:pt idx="133">
                  <c:v>2.1285470928226302</c:v>
                </c:pt>
                <c:pt idx="134">
                  <c:v>2.1285470928226302</c:v>
                </c:pt>
                <c:pt idx="135">
                  <c:v>2.1285470928226302</c:v>
                </c:pt>
                <c:pt idx="136">
                  <c:v>2.1285470928226302</c:v>
                </c:pt>
                <c:pt idx="137">
                  <c:v>2.1285470928226302</c:v>
                </c:pt>
                <c:pt idx="138">
                  <c:v>2.1285470928226302</c:v>
                </c:pt>
                <c:pt idx="139">
                  <c:v>2.1285470928226302</c:v>
                </c:pt>
                <c:pt idx="140">
                  <c:v>2.1285470928226302</c:v>
                </c:pt>
                <c:pt idx="141">
                  <c:v>2.1285470928226302</c:v>
                </c:pt>
                <c:pt idx="142">
                  <c:v>2.1285470928226302</c:v>
                </c:pt>
                <c:pt idx="143">
                  <c:v>2.1285470928226302</c:v>
                </c:pt>
                <c:pt idx="144">
                  <c:v>2.1285470928226302</c:v>
                </c:pt>
                <c:pt idx="145">
                  <c:v>2.1285470928226302</c:v>
                </c:pt>
                <c:pt idx="146">
                  <c:v>2.1285470928226302</c:v>
                </c:pt>
                <c:pt idx="147">
                  <c:v>2.1285470928226302</c:v>
                </c:pt>
                <c:pt idx="148">
                  <c:v>2.1285470928226302</c:v>
                </c:pt>
                <c:pt idx="149">
                  <c:v>2.1285470928226302</c:v>
                </c:pt>
                <c:pt idx="150">
                  <c:v>2.1285470928226302</c:v>
                </c:pt>
                <c:pt idx="151">
                  <c:v>2.1285470928226302</c:v>
                </c:pt>
                <c:pt idx="152">
                  <c:v>2.1285470928226302</c:v>
                </c:pt>
                <c:pt idx="153">
                  <c:v>2.1285470928226302</c:v>
                </c:pt>
                <c:pt idx="154">
                  <c:v>2.1285470928226302</c:v>
                </c:pt>
                <c:pt idx="155">
                  <c:v>2.1285470928226302</c:v>
                </c:pt>
                <c:pt idx="156">
                  <c:v>2.1285470928226302</c:v>
                </c:pt>
                <c:pt idx="157">
                  <c:v>2.1285470928226302</c:v>
                </c:pt>
                <c:pt idx="158">
                  <c:v>2.1285470928226302</c:v>
                </c:pt>
                <c:pt idx="159">
                  <c:v>2.1285470928226302</c:v>
                </c:pt>
                <c:pt idx="160">
                  <c:v>2.1285470928226302</c:v>
                </c:pt>
                <c:pt idx="161">
                  <c:v>2.1285470928226302</c:v>
                </c:pt>
                <c:pt idx="162">
                  <c:v>2.1285470928226302</c:v>
                </c:pt>
                <c:pt idx="163">
                  <c:v>2.1285470928226302</c:v>
                </c:pt>
                <c:pt idx="164">
                  <c:v>2.1285470928226302</c:v>
                </c:pt>
                <c:pt idx="165">
                  <c:v>2.1285470928226302</c:v>
                </c:pt>
                <c:pt idx="166">
                  <c:v>2.1285470928226302</c:v>
                </c:pt>
                <c:pt idx="167">
                  <c:v>2.1285470928226302</c:v>
                </c:pt>
                <c:pt idx="168">
                  <c:v>2.1285470928226302</c:v>
                </c:pt>
                <c:pt idx="169">
                  <c:v>2.1285470928226302</c:v>
                </c:pt>
                <c:pt idx="170">
                  <c:v>2.1285470928226302</c:v>
                </c:pt>
                <c:pt idx="171">
                  <c:v>2.1285470928226302</c:v>
                </c:pt>
                <c:pt idx="172">
                  <c:v>2.1285470928226302</c:v>
                </c:pt>
                <c:pt idx="173">
                  <c:v>2.1285470928226302</c:v>
                </c:pt>
                <c:pt idx="174">
                  <c:v>2.1285470928226302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B-45E9-9B2D-6ECF79FAB2C4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MUB*/VTEB*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2.1286523293536201</c:v>
                </c:pt>
                <c:pt idx="10">
                  <c:v>2.1284158068925598</c:v>
                </c:pt>
                <c:pt idx="11">
                  <c:v>2.1280709866325198</c:v>
                </c:pt>
                <c:pt idx="12">
                  <c:v>2.1280186390871898</c:v>
                </c:pt>
                <c:pt idx="13">
                  <c:v>2.1279969873983999</c:v>
                </c:pt>
                <c:pt idx="14">
                  <c:v>2.1281132010688402</c:v>
                </c:pt>
                <c:pt idx="15">
                  <c:v>2.12828166242952</c:v>
                </c:pt>
                <c:pt idx="16">
                  <c:v>2.12863767508775</c:v>
                </c:pt>
                <c:pt idx="17">
                  <c:v>2.12911477861446</c:v>
                </c:pt>
                <c:pt idx="18">
                  <c:v>2.1293976369666199</c:v>
                </c:pt>
                <c:pt idx="19">
                  <c:v>2.1298454841487202</c:v>
                </c:pt>
                <c:pt idx="20">
                  <c:v>2.1304500831602602</c:v>
                </c:pt>
                <c:pt idx="21">
                  <c:v>2.13094742581541</c:v>
                </c:pt>
                <c:pt idx="22">
                  <c:v>2.1310585284216201</c:v>
                </c:pt>
                <c:pt idx="23">
                  <c:v>2.13110177191701</c:v>
                </c:pt>
                <c:pt idx="24">
                  <c:v>2.1307130134258498</c:v>
                </c:pt>
                <c:pt idx="25">
                  <c:v>2.1304230485398099</c:v>
                </c:pt>
                <c:pt idx="26">
                  <c:v>2.1301204619479601</c:v>
                </c:pt>
                <c:pt idx="27">
                  <c:v>2.1298232226379801</c:v>
                </c:pt>
                <c:pt idx="28">
                  <c:v>2.12954164445273</c:v>
                </c:pt>
                <c:pt idx="29">
                  <c:v>2.12917329164073</c:v>
                </c:pt>
                <c:pt idx="30">
                  <c:v>2.1288552985711702</c:v>
                </c:pt>
                <c:pt idx="31">
                  <c:v>2.12868372293936</c:v>
                </c:pt>
                <c:pt idx="32">
                  <c:v>2.1289955420798998</c:v>
                </c:pt>
                <c:pt idx="33">
                  <c:v>2.1291325240454499</c:v>
                </c:pt>
                <c:pt idx="34">
                  <c:v>2.1294482430887798</c:v>
                </c:pt>
                <c:pt idx="35">
                  <c:v>2.12975036746169</c:v>
                </c:pt>
                <c:pt idx="36">
                  <c:v>2.1299641019584699</c:v>
                </c:pt>
                <c:pt idx="37">
                  <c:v>2.13009732410924</c:v>
                </c:pt>
                <c:pt idx="38">
                  <c:v>2.1301383309229802</c:v>
                </c:pt>
                <c:pt idx="39">
                  <c:v>2.1300324084353202</c:v>
                </c:pt>
                <c:pt idx="40">
                  <c:v>2.1300422451810799</c:v>
                </c:pt>
                <c:pt idx="41">
                  <c:v>2.1301560986475501</c:v>
                </c:pt>
                <c:pt idx="42">
                  <c:v>2.1296758807364702</c:v>
                </c:pt>
                <c:pt idx="43">
                  <c:v>2.1292774024018399</c:v>
                </c:pt>
                <c:pt idx="44">
                  <c:v>2.1295311990760801</c:v>
                </c:pt>
                <c:pt idx="45">
                  <c:v>2.12964919283931</c:v>
                </c:pt>
                <c:pt idx="46">
                  <c:v>2.1297381824759798</c:v>
                </c:pt>
                <c:pt idx="47">
                  <c:v>2.1298201312309302</c:v>
                </c:pt>
                <c:pt idx="48">
                  <c:v>2.12984444493084</c:v>
                </c:pt>
                <c:pt idx="49">
                  <c:v>2.13014793748318</c:v>
                </c:pt>
                <c:pt idx="50">
                  <c:v>2.1301751673399201</c:v>
                </c:pt>
                <c:pt idx="51">
                  <c:v>2.1298951056174502</c:v>
                </c:pt>
                <c:pt idx="52">
                  <c:v>2.1298447402243199</c:v>
                </c:pt>
                <c:pt idx="53">
                  <c:v>2.1297978596640998</c:v>
                </c:pt>
                <c:pt idx="54">
                  <c:v>2.1296880426728602</c:v>
                </c:pt>
                <c:pt idx="55">
                  <c:v>2.1294969833231101</c:v>
                </c:pt>
                <c:pt idx="56">
                  <c:v>2.12957428531577</c:v>
                </c:pt>
                <c:pt idx="57">
                  <c:v>2.1292412471279998</c:v>
                </c:pt>
                <c:pt idx="58">
                  <c:v>2.1290868551243198</c:v>
                </c:pt>
                <c:pt idx="59">
                  <c:v>2.1288259646749301</c:v>
                </c:pt>
                <c:pt idx="60">
                  <c:v>2.12860239773828</c:v>
                </c:pt>
                <c:pt idx="61">
                  <c:v>2.1288148748858302</c:v>
                </c:pt>
                <c:pt idx="62">
                  <c:v>2.1290733936992901</c:v>
                </c:pt>
                <c:pt idx="63">
                  <c:v>2.1294731673334502</c:v>
                </c:pt>
                <c:pt idx="64">
                  <c:v>2.1294948570283498</c:v>
                </c:pt>
                <c:pt idx="65">
                  <c:v>2.1295026601984</c:v>
                </c:pt>
                <c:pt idx="66">
                  <c:v>2.1292446013403299</c:v>
                </c:pt>
                <c:pt idx="67">
                  <c:v>2.1291293054757698</c:v>
                </c:pt>
                <c:pt idx="68">
                  <c:v>2.12904071534052</c:v>
                </c:pt>
                <c:pt idx="69">
                  <c:v>2.1288750186901599</c:v>
                </c:pt>
                <c:pt idx="70">
                  <c:v>2.1287611270621198</c:v>
                </c:pt>
                <c:pt idx="71">
                  <c:v>2.12848390904005</c:v>
                </c:pt>
                <c:pt idx="72">
                  <c:v>2.1283284878309399</c:v>
                </c:pt>
                <c:pt idx="73">
                  <c:v>2.1280973419473201</c:v>
                </c:pt>
                <c:pt idx="74">
                  <c:v>2.1278622083468099</c:v>
                </c:pt>
                <c:pt idx="75">
                  <c:v>2.1276859266435402</c:v>
                </c:pt>
                <c:pt idx="76">
                  <c:v>2.1275382623866799</c:v>
                </c:pt>
                <c:pt idx="77">
                  <c:v>2.1276192684456401</c:v>
                </c:pt>
                <c:pt idx="78">
                  <c:v>2.1277151071246898</c:v>
                </c:pt>
                <c:pt idx="79">
                  <c:v>2.1279406344635698</c:v>
                </c:pt>
                <c:pt idx="80">
                  <c:v>2.1281319324165402</c:v>
                </c:pt>
                <c:pt idx="81">
                  <c:v>2.1283455177124599</c:v>
                </c:pt>
                <c:pt idx="82">
                  <c:v>2.1284170920011101</c:v>
                </c:pt>
                <c:pt idx="83">
                  <c:v>2.1284468956457299</c:v>
                </c:pt>
                <c:pt idx="84">
                  <c:v>2.12852840620141</c:v>
                </c:pt>
                <c:pt idx="85">
                  <c:v>2.12873859933678</c:v>
                </c:pt>
                <c:pt idx="86">
                  <c:v>2.12912079700794</c:v>
                </c:pt>
                <c:pt idx="87">
                  <c:v>2.12931587866326</c:v>
                </c:pt>
                <c:pt idx="88">
                  <c:v>2.1294394325099901</c:v>
                </c:pt>
                <c:pt idx="89">
                  <c:v>2.12942932776753</c:v>
                </c:pt>
                <c:pt idx="90">
                  <c:v>2.1294381230621999</c:v>
                </c:pt>
                <c:pt idx="91">
                  <c:v>2.1296052427642098</c:v>
                </c:pt>
                <c:pt idx="92">
                  <c:v>2.12967316754942</c:v>
                </c:pt>
                <c:pt idx="93">
                  <c:v>2.1296451449161</c:v>
                </c:pt>
                <c:pt idx="94">
                  <c:v>2.1294026756818001</c:v>
                </c:pt>
                <c:pt idx="95">
                  <c:v>2.1291133199710899</c:v>
                </c:pt>
                <c:pt idx="96">
                  <c:v>2.1287842251167999</c:v>
                </c:pt>
                <c:pt idx="97">
                  <c:v>2.1286997437545701</c:v>
                </c:pt>
                <c:pt idx="98">
                  <c:v>2.1286734430273802</c:v>
                </c:pt>
                <c:pt idx="99">
                  <c:v>2.12863035186342</c:v>
                </c:pt>
                <c:pt idx="100">
                  <c:v>2.1286439999848401</c:v>
                </c:pt>
                <c:pt idx="101">
                  <c:v>2.1283448908334601</c:v>
                </c:pt>
                <c:pt idx="102">
                  <c:v>2.1280274624020099</c:v>
                </c:pt>
                <c:pt idx="103">
                  <c:v>2.1279396486208002</c:v>
                </c:pt>
                <c:pt idx="104">
                  <c:v>2.1279396126121601</c:v>
                </c:pt>
                <c:pt idx="105">
                  <c:v>2.1279917704296198</c:v>
                </c:pt>
                <c:pt idx="106">
                  <c:v>2.1278573911486398</c:v>
                </c:pt>
                <c:pt idx="107">
                  <c:v>2.1276531985610698</c:v>
                </c:pt>
                <c:pt idx="108">
                  <c:v>2.1272438936184899</c:v>
                </c:pt>
                <c:pt idx="109">
                  <c:v>2.1268928332530801</c:v>
                </c:pt>
                <c:pt idx="110">
                  <c:v>2.1266987117518399</c:v>
                </c:pt>
                <c:pt idx="111">
                  <c:v>2.1267139894265399</c:v>
                </c:pt>
                <c:pt idx="112">
                  <c:v>2.1269173896456901</c:v>
                </c:pt>
                <c:pt idx="113">
                  <c:v>2.1270141615865601</c:v>
                </c:pt>
                <c:pt idx="114">
                  <c:v>2.1270390974593898</c:v>
                </c:pt>
                <c:pt idx="115">
                  <c:v>2.1270213886371199</c:v>
                </c:pt>
                <c:pt idx="116">
                  <c:v>2.12712501745896</c:v>
                </c:pt>
                <c:pt idx="117">
                  <c:v>2.1271692266415698</c:v>
                </c:pt>
                <c:pt idx="118">
                  <c:v>2.1274960063328199</c:v>
                </c:pt>
                <c:pt idx="119">
                  <c:v>2.12786441319777</c:v>
                </c:pt>
                <c:pt idx="120">
                  <c:v>2.1280070508566298</c:v>
                </c:pt>
                <c:pt idx="121">
                  <c:v>2.1278814615802801</c:v>
                </c:pt>
                <c:pt idx="122">
                  <c:v>2.1278032585075199</c:v>
                </c:pt>
                <c:pt idx="123">
                  <c:v>2.1276340093306199</c:v>
                </c:pt>
                <c:pt idx="124">
                  <c:v>2.1276527252390598</c:v>
                </c:pt>
                <c:pt idx="125">
                  <c:v>2.1277487466812302</c:v>
                </c:pt>
                <c:pt idx="126">
                  <c:v>2.1276744775993999</c:v>
                </c:pt>
                <c:pt idx="127">
                  <c:v>2.1276975067670301</c:v>
                </c:pt>
                <c:pt idx="128">
                  <c:v>2.1275099316013799</c:v>
                </c:pt>
                <c:pt idx="129">
                  <c:v>2.12718119923951</c:v>
                </c:pt>
                <c:pt idx="130">
                  <c:v>2.1270164244663201</c:v>
                </c:pt>
                <c:pt idx="131">
                  <c:v>2.12698548621466</c:v>
                </c:pt>
                <c:pt idx="132">
                  <c:v>2.1268406063746701</c:v>
                </c:pt>
                <c:pt idx="133">
                  <c:v>2.1267196145115799</c:v>
                </c:pt>
                <c:pt idx="134">
                  <c:v>2.1265819317189898</c:v>
                </c:pt>
                <c:pt idx="135">
                  <c:v>2.1263280304955501</c:v>
                </c:pt>
                <c:pt idx="136">
                  <c:v>2.12618720740352</c:v>
                </c:pt>
                <c:pt idx="137">
                  <c:v>2.1260410770984102</c:v>
                </c:pt>
                <c:pt idx="138">
                  <c:v>2.1259979421066499</c:v>
                </c:pt>
                <c:pt idx="139">
                  <c:v>2.1261829729515398</c:v>
                </c:pt>
                <c:pt idx="140">
                  <c:v>2.1264513966773402</c:v>
                </c:pt>
                <c:pt idx="141">
                  <c:v>2.1267645692257302</c:v>
                </c:pt>
                <c:pt idx="142">
                  <c:v>2.1269545038944799</c:v>
                </c:pt>
                <c:pt idx="143">
                  <c:v>2.1274057728248401</c:v>
                </c:pt>
                <c:pt idx="144">
                  <c:v>2.1277824225677699</c:v>
                </c:pt>
                <c:pt idx="145">
                  <c:v>2.1281392749238202</c:v>
                </c:pt>
                <c:pt idx="146">
                  <c:v>2.1285549060200699</c:v>
                </c:pt>
                <c:pt idx="147">
                  <c:v>2.1289475027376699</c:v>
                </c:pt>
                <c:pt idx="148">
                  <c:v>2.1290679665526402</c:v>
                </c:pt>
                <c:pt idx="149">
                  <c:v>2.12899665748101</c:v>
                </c:pt>
                <c:pt idx="150">
                  <c:v>2.12871214945734</c:v>
                </c:pt>
                <c:pt idx="151">
                  <c:v>2.1283152242636998</c:v>
                </c:pt>
                <c:pt idx="152">
                  <c:v>2.1282241357817799</c:v>
                </c:pt>
                <c:pt idx="153">
                  <c:v>2.1279159233962699</c:v>
                </c:pt>
                <c:pt idx="154">
                  <c:v>2.1276732099847901</c:v>
                </c:pt>
                <c:pt idx="155">
                  <c:v>2.12738003287373</c:v>
                </c:pt>
                <c:pt idx="156">
                  <c:v>2.1271516029095499</c:v>
                </c:pt>
                <c:pt idx="157">
                  <c:v>2.1269983369132999</c:v>
                </c:pt>
                <c:pt idx="158">
                  <c:v>2.1270441791127199</c:v>
                </c:pt>
                <c:pt idx="159">
                  <c:v>2.1269922174274001</c:v>
                </c:pt>
                <c:pt idx="160">
                  <c:v>2.1271341742943699</c:v>
                </c:pt>
                <c:pt idx="161">
                  <c:v>2.12750016250261</c:v>
                </c:pt>
                <c:pt idx="162">
                  <c:v>2.1277616248739899</c:v>
                </c:pt>
                <c:pt idx="163">
                  <c:v>2.1280539092720798</c:v>
                </c:pt>
                <c:pt idx="164">
                  <c:v>2.1283087031328201</c:v>
                </c:pt>
                <c:pt idx="165">
                  <c:v>2.1286693704686401</c:v>
                </c:pt>
                <c:pt idx="166">
                  <c:v>2.1289349250731102</c:v>
                </c:pt>
                <c:pt idx="167">
                  <c:v>2.1290389706833599</c:v>
                </c:pt>
                <c:pt idx="168">
                  <c:v>2.1291221997566998</c:v>
                </c:pt>
                <c:pt idx="169">
                  <c:v>2.1293132784664301</c:v>
                </c:pt>
                <c:pt idx="170">
                  <c:v>2.1293861444545601</c:v>
                </c:pt>
                <c:pt idx="171">
                  <c:v>2.1293153834295699</c:v>
                </c:pt>
                <c:pt idx="172">
                  <c:v>2.1291751864573798</c:v>
                </c:pt>
                <c:pt idx="173">
                  <c:v>2.12920915108743</c:v>
                </c:pt>
                <c:pt idx="174">
                  <c:v>2.12920638289703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8B-45E9-9B2D-6ECF79FAB2C4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MUB*/VTEB*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2.1292489067511702</c:v>
                </c:pt>
                <c:pt idx="20">
                  <c:v>2.12943294502641</c:v>
                </c:pt>
                <c:pt idx="21">
                  <c:v>2.1295092062239598</c:v>
                </c:pt>
                <c:pt idx="22">
                  <c:v>2.1295385837544001</c:v>
                </c:pt>
                <c:pt idx="23">
                  <c:v>2.1295493796576999</c:v>
                </c:pt>
                <c:pt idx="24">
                  <c:v>2.1294131072473501</c:v>
                </c:pt>
                <c:pt idx="25">
                  <c:v>2.1293523554846701</c:v>
                </c:pt>
                <c:pt idx="26">
                  <c:v>2.1293790685178502</c:v>
                </c:pt>
                <c:pt idx="27">
                  <c:v>2.1294690006262198</c:v>
                </c:pt>
                <c:pt idx="28">
                  <c:v>2.12946964070967</c:v>
                </c:pt>
                <c:pt idx="29">
                  <c:v>2.12950938789472</c:v>
                </c:pt>
                <c:pt idx="30">
                  <c:v>2.1296526908657198</c:v>
                </c:pt>
                <c:pt idx="31">
                  <c:v>2.1298155743773899</c:v>
                </c:pt>
                <c:pt idx="32">
                  <c:v>2.1300270352507602</c:v>
                </c:pt>
                <c:pt idx="33">
                  <c:v>2.1301171479812302</c:v>
                </c:pt>
                <c:pt idx="34">
                  <c:v>2.1300806282573199</c:v>
                </c:pt>
                <c:pt idx="35">
                  <c:v>2.13008670800075</c:v>
                </c:pt>
                <c:pt idx="36">
                  <c:v>2.1300422819532101</c:v>
                </c:pt>
                <c:pt idx="37">
                  <c:v>2.12996027337361</c:v>
                </c:pt>
                <c:pt idx="38">
                  <c:v>2.1298399876878502</c:v>
                </c:pt>
                <c:pt idx="39">
                  <c:v>2.1296028500380202</c:v>
                </c:pt>
                <c:pt idx="40">
                  <c:v>2.1294487718761199</c:v>
                </c:pt>
                <c:pt idx="41">
                  <c:v>2.1294199107934499</c:v>
                </c:pt>
                <c:pt idx="42">
                  <c:v>2.1293357114081801</c:v>
                </c:pt>
                <c:pt idx="43">
                  <c:v>2.1292049632236498</c:v>
                </c:pt>
                <c:pt idx="44">
                  <c:v>2.1294897210824302</c:v>
                </c:pt>
                <c:pt idx="45">
                  <c:v>2.1296997801505002</c:v>
                </c:pt>
                <c:pt idx="46">
                  <c:v>2.1298511422172202</c:v>
                </c:pt>
                <c:pt idx="47">
                  <c:v>2.12995872767008</c:v>
                </c:pt>
                <c:pt idx="48">
                  <c:v>2.1299913879269101</c:v>
                </c:pt>
                <c:pt idx="49">
                  <c:v>2.1300901729592501</c:v>
                </c:pt>
                <c:pt idx="50">
                  <c:v>2.1301087062605002</c:v>
                </c:pt>
                <c:pt idx="51">
                  <c:v>2.1300256021325001</c:v>
                </c:pt>
                <c:pt idx="52">
                  <c:v>2.1297603104803899</c:v>
                </c:pt>
                <c:pt idx="53">
                  <c:v>2.1295376310329699</c:v>
                </c:pt>
                <c:pt idx="54">
                  <c:v>2.1296096208744699</c:v>
                </c:pt>
                <c:pt idx="55">
                  <c:v>2.12957308808121</c:v>
                </c:pt>
                <c:pt idx="56">
                  <c:v>2.12965623389587</c:v>
                </c:pt>
                <c:pt idx="57">
                  <c:v>2.1295306891794601</c:v>
                </c:pt>
                <c:pt idx="58">
                  <c:v>2.1294656500275799</c:v>
                </c:pt>
                <c:pt idx="59">
                  <c:v>2.1294869510790599</c:v>
                </c:pt>
                <c:pt idx="60">
                  <c:v>2.1293887825390998</c:v>
                </c:pt>
                <c:pt idx="61">
                  <c:v>2.12935499025164</c:v>
                </c:pt>
                <c:pt idx="62">
                  <c:v>2.1294590669617999</c:v>
                </c:pt>
                <c:pt idx="63">
                  <c:v>2.1296355134987799</c:v>
                </c:pt>
                <c:pt idx="64">
                  <c:v>2.1295914498506101</c:v>
                </c:pt>
                <c:pt idx="65">
                  <c:v>2.1294998217607599</c:v>
                </c:pt>
                <c:pt idx="66">
                  <c:v>2.1294094433280502</c:v>
                </c:pt>
                <c:pt idx="67">
                  <c:v>2.1291852763018899</c:v>
                </c:pt>
                <c:pt idx="68">
                  <c:v>2.1290637852324199</c:v>
                </c:pt>
                <c:pt idx="69">
                  <c:v>2.1288504916825501</c:v>
                </c:pt>
                <c:pt idx="70">
                  <c:v>2.1286817624002001</c:v>
                </c:pt>
                <c:pt idx="71">
                  <c:v>2.1286493919629401</c:v>
                </c:pt>
                <c:pt idx="72">
                  <c:v>2.1287009407651101</c:v>
                </c:pt>
                <c:pt idx="73">
                  <c:v>2.1287852546403898</c:v>
                </c:pt>
                <c:pt idx="74">
                  <c:v>2.1286785326875801</c:v>
                </c:pt>
                <c:pt idx="75">
                  <c:v>2.1285942934209698</c:v>
                </c:pt>
                <c:pt idx="76">
                  <c:v>2.1283914318635002</c:v>
                </c:pt>
                <c:pt idx="77">
                  <c:v>2.1283742869607098</c:v>
                </c:pt>
                <c:pt idx="78">
                  <c:v>2.1283779112326</c:v>
                </c:pt>
                <c:pt idx="79">
                  <c:v>2.12840782657686</c:v>
                </c:pt>
                <c:pt idx="80">
                  <c:v>2.12844652973933</c:v>
                </c:pt>
                <c:pt idx="81">
                  <c:v>2.1284147133762601</c:v>
                </c:pt>
                <c:pt idx="82">
                  <c:v>2.1283727899160199</c:v>
                </c:pt>
                <c:pt idx="83">
                  <c:v>2.1282721187965299</c:v>
                </c:pt>
                <c:pt idx="84">
                  <c:v>2.12819530727411</c:v>
                </c:pt>
                <c:pt idx="85">
                  <c:v>2.1282122629901599</c:v>
                </c:pt>
                <c:pt idx="86">
                  <c:v>2.1283295296973099</c:v>
                </c:pt>
                <c:pt idx="87">
                  <c:v>2.1284675735544498</c:v>
                </c:pt>
                <c:pt idx="88">
                  <c:v>2.12857726981734</c:v>
                </c:pt>
                <c:pt idx="89">
                  <c:v>2.1286849811155499</c:v>
                </c:pt>
                <c:pt idx="90">
                  <c:v>2.1287850277393701</c:v>
                </c:pt>
                <c:pt idx="91">
                  <c:v>2.1289753802383302</c:v>
                </c:pt>
                <c:pt idx="92">
                  <c:v>2.1290451297752599</c:v>
                </c:pt>
                <c:pt idx="93">
                  <c:v>2.1290460202809101</c:v>
                </c:pt>
                <c:pt idx="94">
                  <c:v>2.1289655409416102</c:v>
                </c:pt>
                <c:pt idx="95">
                  <c:v>2.1289259596539298</c:v>
                </c:pt>
                <c:pt idx="96">
                  <c:v>2.1289525110623702</c:v>
                </c:pt>
                <c:pt idx="97">
                  <c:v>2.1290078112089201</c:v>
                </c:pt>
                <c:pt idx="98">
                  <c:v>2.12905643776869</c:v>
                </c:pt>
                <c:pt idx="99">
                  <c:v>2.1290298398154701</c:v>
                </c:pt>
                <c:pt idx="100">
                  <c:v>2.12904106152352</c:v>
                </c:pt>
                <c:pt idx="101">
                  <c:v>2.1289750667988399</c:v>
                </c:pt>
                <c:pt idx="102">
                  <c:v>2.1288503149757099</c:v>
                </c:pt>
                <c:pt idx="103">
                  <c:v>2.1287923967684499</c:v>
                </c:pt>
                <c:pt idx="104">
                  <c:v>2.1286711441469799</c:v>
                </c:pt>
                <c:pt idx="105">
                  <c:v>2.1285525452003502</c:v>
                </c:pt>
                <c:pt idx="106">
                  <c:v>2.1283208081327198</c:v>
                </c:pt>
                <c:pt idx="107">
                  <c:v>2.1281764711578202</c:v>
                </c:pt>
                <c:pt idx="108">
                  <c:v>2.1279586683229299</c:v>
                </c:pt>
                <c:pt idx="109">
                  <c:v>2.12776159255825</c:v>
                </c:pt>
                <c:pt idx="110">
                  <c:v>2.12767135586834</c:v>
                </c:pt>
                <c:pt idx="111">
                  <c:v>2.12752944013</c:v>
                </c:pt>
                <c:pt idx="112">
                  <c:v>2.12747242602385</c:v>
                </c:pt>
                <c:pt idx="113">
                  <c:v>2.1274769051036801</c:v>
                </c:pt>
                <c:pt idx="114">
                  <c:v>2.1274893550357801</c:v>
                </c:pt>
                <c:pt idx="115">
                  <c:v>2.1275065795333701</c:v>
                </c:pt>
                <c:pt idx="116">
                  <c:v>2.1274912043038001</c:v>
                </c:pt>
                <c:pt idx="117">
                  <c:v>2.12741121260132</c:v>
                </c:pt>
                <c:pt idx="118">
                  <c:v>2.12736994997565</c:v>
                </c:pt>
                <c:pt idx="119">
                  <c:v>2.1273786232254199</c:v>
                </c:pt>
                <c:pt idx="120">
                  <c:v>2.1273528813042302</c:v>
                </c:pt>
                <c:pt idx="121">
                  <c:v>2.1272977255034098</c:v>
                </c:pt>
                <c:pt idx="122">
                  <c:v>2.1273603240766001</c:v>
                </c:pt>
                <c:pt idx="123">
                  <c:v>2.1273240854585902</c:v>
                </c:pt>
                <c:pt idx="124">
                  <c:v>2.1273459113492299</c:v>
                </c:pt>
                <c:pt idx="125">
                  <c:v>2.1273850676591701</c:v>
                </c:pt>
                <c:pt idx="126">
                  <c:v>2.1273997475291799</c:v>
                </c:pt>
                <c:pt idx="127">
                  <c:v>2.1274333667043002</c:v>
                </c:pt>
                <c:pt idx="128">
                  <c:v>2.1275029689671001</c:v>
                </c:pt>
                <c:pt idx="129">
                  <c:v>2.1275228062186402</c:v>
                </c:pt>
                <c:pt idx="130">
                  <c:v>2.1275117376614698</c:v>
                </c:pt>
                <c:pt idx="131">
                  <c:v>2.1274334738974701</c:v>
                </c:pt>
                <c:pt idx="132">
                  <c:v>2.1273219324411001</c:v>
                </c:pt>
                <c:pt idx="133">
                  <c:v>2.1271768119211001</c:v>
                </c:pt>
                <c:pt idx="134">
                  <c:v>2.1271173284790201</c:v>
                </c:pt>
                <c:pt idx="135">
                  <c:v>2.1270383885883901</c:v>
                </c:pt>
                <c:pt idx="136">
                  <c:v>2.1269308425014599</c:v>
                </c:pt>
                <c:pt idx="137">
                  <c:v>2.1268692919327199</c:v>
                </c:pt>
                <c:pt idx="138">
                  <c:v>2.12675393685402</c:v>
                </c:pt>
                <c:pt idx="139">
                  <c:v>2.1266820860955198</c:v>
                </c:pt>
                <c:pt idx="140">
                  <c:v>2.1267339105718301</c:v>
                </c:pt>
                <c:pt idx="141">
                  <c:v>2.1268750277201902</c:v>
                </c:pt>
                <c:pt idx="142">
                  <c:v>2.1268975551345801</c:v>
                </c:pt>
                <c:pt idx="143">
                  <c:v>2.12706269366821</c:v>
                </c:pt>
                <c:pt idx="144">
                  <c:v>2.1271821771433799</c:v>
                </c:pt>
                <c:pt idx="145">
                  <c:v>2.1272336527096898</c:v>
                </c:pt>
                <c:pt idx="146">
                  <c:v>2.1273710567117998</c:v>
                </c:pt>
                <c:pt idx="147">
                  <c:v>2.1274942899180398</c:v>
                </c:pt>
                <c:pt idx="148">
                  <c:v>2.12753295432965</c:v>
                </c:pt>
                <c:pt idx="149">
                  <c:v>2.12758981521627</c:v>
                </c:pt>
                <c:pt idx="150">
                  <c:v>2.1275817730673401</c:v>
                </c:pt>
                <c:pt idx="151">
                  <c:v>2.1275398967447101</c:v>
                </c:pt>
                <c:pt idx="152">
                  <c:v>2.1275893198381302</c:v>
                </c:pt>
                <c:pt idx="153">
                  <c:v>2.1276608481105499</c:v>
                </c:pt>
                <c:pt idx="154">
                  <c:v>2.12772781627628</c:v>
                </c:pt>
                <c:pt idx="155">
                  <c:v>2.12775965389877</c:v>
                </c:pt>
                <c:pt idx="156">
                  <c:v>2.1278532544648101</c:v>
                </c:pt>
                <c:pt idx="157">
                  <c:v>2.12797291982548</c:v>
                </c:pt>
                <c:pt idx="158">
                  <c:v>2.1280560728326798</c:v>
                </c:pt>
                <c:pt idx="159">
                  <c:v>2.1279944374542001</c:v>
                </c:pt>
                <c:pt idx="160">
                  <c:v>2.1279231618758501</c:v>
                </c:pt>
                <c:pt idx="161">
                  <c:v>2.12790769338315</c:v>
                </c:pt>
                <c:pt idx="162">
                  <c:v>2.12799288032789</c:v>
                </c:pt>
                <c:pt idx="163">
                  <c:v>2.12798491633417</c:v>
                </c:pt>
                <c:pt idx="164">
                  <c:v>2.12799095655881</c:v>
                </c:pt>
                <c:pt idx="165">
                  <c:v>2.12802470167119</c:v>
                </c:pt>
                <c:pt idx="166">
                  <c:v>2.12804326399133</c:v>
                </c:pt>
                <c:pt idx="167">
                  <c:v>2.1280186537983301</c:v>
                </c:pt>
                <c:pt idx="168">
                  <c:v>2.1280831894347099</c:v>
                </c:pt>
                <c:pt idx="169">
                  <c:v>2.1281527479469098</c:v>
                </c:pt>
                <c:pt idx="170">
                  <c:v>2.1282601593744599</c:v>
                </c:pt>
                <c:pt idx="171">
                  <c:v>2.12840777296609</c:v>
                </c:pt>
                <c:pt idx="172">
                  <c:v>2.1284684056656902</c:v>
                </c:pt>
                <c:pt idx="173">
                  <c:v>2.12863153017976</c:v>
                </c:pt>
                <c:pt idx="174">
                  <c:v>2.1287575430149199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8B-45E9-9B2D-6ECF79FAB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VTEB x avg / MUB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-5.7056074273154403E-4</c:v>
                </c:pt>
                <c:pt idx="2">
                  <c:v>-1.2581033577320001E-4</c:v>
                </c:pt>
                <c:pt idx="3">
                  <c:v>-4.8264741526337301E-4</c:v>
                </c:pt>
                <c:pt idx="4">
                  <c:v>-1.58910993845372E-4</c:v>
                </c:pt>
                <c:pt idx="5">
                  <c:v>1.7759037636116799E-5</c:v>
                </c:pt>
                <c:pt idx="6">
                  <c:v>6.4452505349136397E-4</c:v>
                </c:pt>
                <c:pt idx="7">
                  <c:v>6.6816556462944495E-4</c:v>
                </c:pt>
                <c:pt idx="8">
                  <c:v>-2.12940563134002E-4</c:v>
                </c:pt>
                <c:pt idx="9">
                  <c:v>-3.9280751486250903E-5</c:v>
                </c:pt>
                <c:pt idx="10">
                  <c:v>8.7762700974750301E-4</c:v>
                </c:pt>
                <c:pt idx="11">
                  <c:v>1.04980678520802E-3</c:v>
                </c:pt>
                <c:pt idx="12">
                  <c:v>1.2011984087213199E-4</c:v>
                </c:pt>
                <c:pt idx="13">
                  <c:v>-3.8097082338615099E-4</c:v>
                </c:pt>
                <c:pt idx="14">
                  <c:v>-7.0465180138218103E-4</c:v>
                </c:pt>
                <c:pt idx="15">
                  <c:v>-7.7338024413462598E-4</c:v>
                </c:pt>
                <c:pt idx="16">
                  <c:v>-1.02771613887079E-3</c:v>
                </c:pt>
                <c:pt idx="17">
                  <c:v>-1.57227253050652E-3</c:v>
                </c:pt>
                <c:pt idx="18">
                  <c:v>-1.5406557514241999E-3</c:v>
                </c:pt>
                <c:pt idx="19">
                  <c:v>-2.1409920679349502E-3</c:v>
                </c:pt>
                <c:pt idx="20">
                  <c:v>-1.9612639712252499E-3</c:v>
                </c:pt>
                <c:pt idx="21">
                  <c:v>-1.28645206626433E-3</c:v>
                </c:pt>
                <c:pt idx="22">
                  <c:v>-4.0177117259701701E-4</c:v>
                </c:pt>
                <c:pt idx="23">
                  <c:v>-5.8403250542028501E-4</c:v>
                </c:pt>
                <c:pt idx="24">
                  <c:v>1.1221322825312799E-3</c:v>
                </c:pt>
                <c:pt idx="25">
                  <c:v>5.8876062290974204E-4</c:v>
                </c:pt>
                <c:pt idx="26">
                  <c:v>3.9339694996038099E-4</c:v>
                </c:pt>
                <c:pt idx="27">
                  <c:v>-1.77051270660221E-4</c:v>
                </c:pt>
                <c:pt idx="28">
                  <c:v>-2.1895354018019899E-4</c:v>
                </c:pt>
                <c:pt idx="29">
                  <c:v>-4.1266411895014003E-4</c:v>
                </c:pt>
                <c:pt idx="30">
                  <c:v>-4.6913419417408101E-4</c:v>
                </c:pt>
                <c:pt idx="31">
                  <c:v>-4.81094925043765E-4</c:v>
                </c:pt>
                <c:pt idx="32">
                  <c:v>-1.8650504903125499E-3</c:v>
                </c:pt>
                <c:pt idx="33">
                  <c:v>-1.22699681011715E-3</c:v>
                </c:pt>
                <c:pt idx="34">
                  <c:v>-3.6169243957997002E-4</c:v>
                </c:pt>
                <c:pt idx="35">
                  <c:v>-8.3046021140048803E-4</c:v>
                </c:pt>
                <c:pt idx="36">
                  <c:v>-6.1062722682736904E-4</c:v>
                </c:pt>
                <c:pt idx="37">
                  <c:v>-8.0262778502249795E-4</c:v>
                </c:pt>
                <c:pt idx="38">
                  <c:v>-4.1154447929499498E-4</c:v>
                </c:pt>
                <c:pt idx="39">
                  <c:v>8.4882440495236104E-5</c:v>
                </c:pt>
                <c:pt idx="40">
                  <c:v>-5.1532488006034995E-4</c:v>
                </c:pt>
                <c:pt idx="41">
                  <c:v>-1.0155829633371599E-3</c:v>
                </c:pt>
                <c:pt idx="42">
                  <c:v>3.8936810917369901E-4</c:v>
                </c:pt>
                <c:pt idx="43">
                  <c:v>6.4452505349136397E-4</c:v>
                </c:pt>
                <c:pt idx="44">
                  <c:v>-1.5528984878282E-3</c:v>
                </c:pt>
                <c:pt idx="45">
                  <c:v>-1.3841861646597901E-3</c:v>
                </c:pt>
                <c:pt idx="46">
                  <c:v>-1.0283616508614301E-3</c:v>
                </c:pt>
                <c:pt idx="47">
                  <c:v>-1.1872434767921901E-3</c:v>
                </c:pt>
                <c:pt idx="48">
                  <c:v>-5.2571770335155797E-4</c:v>
                </c:pt>
                <c:pt idx="49">
                  <c:v>-1.34004314133083E-3</c:v>
                </c:pt>
                <c:pt idx="50">
                  <c:v>-6.4317776359335401E-4</c:v>
                </c:pt>
                <c:pt idx="51">
                  <c:v>2.9968731507279699E-4</c:v>
                </c:pt>
                <c:pt idx="52">
                  <c:v>6.2610692542507096E-4</c:v>
                </c:pt>
                <c:pt idx="53">
                  <c:v>8.6493810365784001E-4</c:v>
                </c:pt>
                <c:pt idx="54">
                  <c:v>-1.0376416733847199E-3</c:v>
                </c:pt>
                <c:pt idx="55">
                  <c:v>-4.8742126065625502E-4</c:v>
                </c:pt>
                <c:pt idx="56">
                  <c:v>-1.39109045679175E-3</c:v>
                </c:pt>
                <c:pt idx="57">
                  <c:v>3.7674925581682801E-4</c:v>
                </c:pt>
                <c:pt idx="58">
                  <c:v>1.9950383610340899E-4</c:v>
                </c:pt>
                <c:pt idx="59">
                  <c:v>-1.15260915216883E-4</c:v>
                </c:pt>
                <c:pt idx="60">
                  <c:v>4.0702465230920001E-4</c:v>
                </c:pt>
                <c:pt idx="61">
                  <c:v>-6.9833989036759104E-4</c:v>
                </c:pt>
                <c:pt idx="62">
                  <c:v>-5.8844767051789097E-4</c:v>
                </c:pt>
                <c:pt idx="63">
                  <c:v>-1.0130751534830999E-3</c:v>
                </c:pt>
                <c:pt idx="64">
                  <c:v>-1.13942987342406E-3</c:v>
                </c:pt>
                <c:pt idx="65">
                  <c:v>-5.2406233228295001E-4</c:v>
                </c:pt>
                <c:pt idx="66">
                  <c:v>-1.7967141783176201E-4</c:v>
                </c:pt>
                <c:pt idx="67">
                  <c:v>9.1876484681141404E-4</c:v>
                </c:pt>
                <c:pt idx="68">
                  <c:v>6.1587357241568296E-4</c:v>
                </c:pt>
                <c:pt idx="69">
                  <c:v>6.6340198364650495E-4</c:v>
                </c:pt>
                <c:pt idx="70">
                  <c:v>9.4245325573875699E-4</c:v>
                </c:pt>
                <c:pt idx="71">
                  <c:v>6.0398000939771801E-4</c:v>
                </c:pt>
                <c:pt idx="72">
                  <c:v>1.4156428220222299E-4</c:v>
                </c:pt>
                <c:pt idx="73">
                  <c:v>7.2346803486109896E-5</c:v>
                </c:pt>
                <c:pt idx="74">
                  <c:v>-3.5411514665945302E-5</c:v>
                </c:pt>
                <c:pt idx="75">
                  <c:v>3.0402507822624799E-4</c:v>
                </c:pt>
                <c:pt idx="76">
                  <c:v>5.1417723481339995E-4</c:v>
                </c:pt>
                <c:pt idx="77">
                  <c:v>5.3791783475519905E-4</c:v>
                </c:pt>
                <c:pt idx="78">
                  <c:v>1.6544367084370099E-4</c:v>
                </c:pt>
                <c:pt idx="79">
                  <c:v>-3.9627601551766402E-4</c:v>
                </c:pt>
                <c:pt idx="80">
                  <c:v>4.3284732583278797E-5</c:v>
                </c:pt>
                <c:pt idx="81">
                  <c:v>-3.9955484261117099E-4</c:v>
                </c:pt>
                <c:pt idx="82">
                  <c:v>-1.9468567681406499E-4</c:v>
                </c:pt>
                <c:pt idx="83">
                  <c:v>-6.7672246873970294E-5</c:v>
                </c:pt>
                <c:pt idx="84">
                  <c:v>-4.1826453143527101E-4</c:v>
                </c:pt>
                <c:pt idx="85">
                  <c:v>-6.8328345993342503E-4</c:v>
                </c:pt>
                <c:pt idx="86">
                  <c:v>-1.2807145242031801E-3</c:v>
                </c:pt>
                <c:pt idx="87">
                  <c:v>-3.7865659409264802E-4</c:v>
                </c:pt>
                <c:pt idx="88">
                  <c:v>-4.1494486251817899E-4</c:v>
                </c:pt>
                <c:pt idx="89">
                  <c:v>-3.48821210817683E-4</c:v>
                </c:pt>
                <c:pt idx="90">
                  <c:v>1.9631489941799199E-6</c:v>
                </c:pt>
                <c:pt idx="91">
                  <c:v>-1.18406848259822E-3</c:v>
                </c:pt>
                <c:pt idx="92">
                  <c:v>-5.1368604759748104E-4</c:v>
                </c:pt>
                <c:pt idx="93">
                  <c:v>6.3978970273836594E-5</c:v>
                </c:pt>
                <c:pt idx="94">
                  <c:v>7.2103810091223605E-4</c:v>
                </c:pt>
                <c:pt idx="95">
                  <c:v>6.7611635083073105E-4</c:v>
                </c:pt>
                <c:pt idx="96">
                  <c:v>2.6460089892351899E-4</c:v>
                </c:pt>
                <c:pt idx="97">
                  <c:v>1.8168714982373101E-5</c:v>
                </c:pt>
                <c:pt idx="98">
                  <c:v>-2.9142661920579402E-4</c:v>
                </c:pt>
                <c:pt idx="99">
                  <c:v>-1.4642731061191401E-4</c:v>
                </c:pt>
                <c:pt idx="100">
                  <c:v>-6.2154345609138505E-5</c:v>
                </c:pt>
                <c:pt idx="101">
                  <c:v>2.20481379869079E-4</c:v>
                </c:pt>
                <c:pt idx="102">
                  <c:v>9.7795159191626699E-4</c:v>
                </c:pt>
                <c:pt idx="103">
                  <c:v>4.7664318209532001E-4</c:v>
                </c:pt>
                <c:pt idx="104">
                  <c:v>7.2120739294568605E-4</c:v>
                </c:pt>
                <c:pt idx="105">
                  <c:v>4.3094114966444398E-4</c:v>
                </c:pt>
                <c:pt idx="106">
                  <c:v>8.9628671628236105E-4</c:v>
                </c:pt>
                <c:pt idx="107">
                  <c:v>9.7795159191626699E-4</c:v>
                </c:pt>
                <c:pt idx="108">
                  <c:v>1.6327943062690001E-3</c:v>
                </c:pt>
                <c:pt idx="109">
                  <c:v>1.50398813245014E-3</c:v>
                </c:pt>
                <c:pt idx="110">
                  <c:v>8.5019567056291204E-4</c:v>
                </c:pt>
                <c:pt idx="111">
                  <c:v>1.48692998629953E-4</c:v>
                </c:pt>
                <c:pt idx="112">
                  <c:v>2.1891368294021098E-5</c:v>
                </c:pt>
                <c:pt idx="113">
                  <c:v>2.1891368294021098E-5</c:v>
                </c:pt>
                <c:pt idx="114">
                  <c:v>6.0398000939771801E-4</c:v>
                </c:pt>
                <c:pt idx="115">
                  <c:v>5.1417723481339995E-4</c:v>
                </c:pt>
                <c:pt idx="116">
                  <c:v>4.09116467923743E-4</c:v>
                </c:pt>
                <c:pt idx="117">
                  <c:v>7.7007346248324704E-4</c:v>
                </c:pt>
                <c:pt idx="118">
                  <c:v>9.6242498777395394E-5</c:v>
                </c:pt>
                <c:pt idx="119">
                  <c:v>-2.2790661265096199E-4</c:v>
                </c:pt>
                <c:pt idx="120">
                  <c:v>1.7973303954638099E-4</c:v>
                </c:pt>
                <c:pt idx="121">
                  <c:v>7.3897840187050101E-4</c:v>
                </c:pt>
                <c:pt idx="122">
                  <c:v>3.8936810917369901E-4</c:v>
                </c:pt>
                <c:pt idx="123">
                  <c:v>8.1736453211646699E-4</c:v>
                </c:pt>
                <c:pt idx="124">
                  <c:v>5.16002664728164E-4</c:v>
                </c:pt>
                <c:pt idx="125">
                  <c:v>6.2934444762582494E-5</c:v>
                </c:pt>
                <c:pt idx="126">
                  <c:v>7.5823932064366902E-4</c:v>
                </c:pt>
                <c:pt idx="127">
                  <c:v>6.6180401866600396E-4</c:v>
                </c:pt>
                <c:pt idx="128">
                  <c:v>9.7795159191626699E-4</c:v>
                </c:pt>
                <c:pt idx="129">
                  <c:v>1.31733259688828E-3</c:v>
                </c:pt>
                <c:pt idx="130">
                  <c:v>9.54290602112829E-4</c:v>
                </c:pt>
                <c:pt idx="131">
                  <c:v>8.8444558408712099E-4</c:v>
                </c:pt>
                <c:pt idx="132">
                  <c:v>1.0705164389189601E-3</c:v>
                </c:pt>
                <c:pt idx="133">
                  <c:v>1.38641585867843E-3</c:v>
                </c:pt>
                <c:pt idx="134">
                  <c:v>1.16338533540418E-3</c:v>
                </c:pt>
                <c:pt idx="135">
                  <c:v>1.2565597823137699E-3</c:v>
                </c:pt>
                <c:pt idx="136">
                  <c:v>1.42055299770938E-3</c:v>
                </c:pt>
                <c:pt idx="137">
                  <c:v>1.3490206549199399E-3</c:v>
                </c:pt>
                <c:pt idx="138">
                  <c:v>1.18082037632714E-3</c:v>
                </c:pt>
                <c:pt idx="139">
                  <c:v>4.4728294725629398E-4</c:v>
                </c:pt>
                <c:pt idx="140">
                  <c:v>-3.0718288134140901E-4</c:v>
                </c:pt>
                <c:pt idx="141">
                  <c:v>-5.8707031297595795E-4</c:v>
                </c:pt>
                <c:pt idx="142">
                  <c:v>1.77638691249958E-4</c:v>
                </c:pt>
                <c:pt idx="143">
                  <c:v>-7.3435468356625796E-4</c:v>
                </c:pt>
                <c:pt idx="144">
                  <c:v>-6.0662276942125698E-4</c:v>
                </c:pt>
                <c:pt idx="145">
                  <c:v>-4.2064761981450599E-4</c:v>
                </c:pt>
                <c:pt idx="146">
                  <c:v>-5.3296509472739795E-4</c:v>
                </c:pt>
                <c:pt idx="147">
                  <c:v>-4.9620093312801596E-4</c:v>
                </c:pt>
                <c:pt idx="148">
                  <c:v>6.1436831171780403E-4</c:v>
                </c:pt>
                <c:pt idx="149">
                  <c:v>7.8250189743988197E-4</c:v>
                </c:pt>
                <c:pt idx="150">
                  <c:v>1.0299302872002201E-3</c:v>
                </c:pt>
                <c:pt idx="151">
                  <c:v>1.2783446135366801E-3</c:v>
                </c:pt>
                <c:pt idx="152">
                  <c:v>6.0574369804656397E-4</c:v>
                </c:pt>
                <c:pt idx="153">
                  <c:v>7.1362438619408403E-4</c:v>
                </c:pt>
                <c:pt idx="154">
                  <c:v>5.3361292971081402E-4</c:v>
                </c:pt>
                <c:pt idx="155">
                  <c:v>9.5707962991153201E-4</c:v>
                </c:pt>
                <c:pt idx="156">
                  <c:v>5.4021191733843695E-4</c:v>
                </c:pt>
                <c:pt idx="157">
                  <c:v>2.2375079457882501E-4</c:v>
                </c:pt>
                <c:pt idx="158">
                  <c:v>3.9889067258797202E-4</c:v>
                </c:pt>
                <c:pt idx="159">
                  <c:v>1.02684093459866E-3</c:v>
                </c:pt>
                <c:pt idx="160">
                  <c:v>3.6254672274408398E-4</c:v>
                </c:pt>
                <c:pt idx="161">
                  <c:v>-4.4180185979734098E-4</c:v>
                </c:pt>
                <c:pt idx="162">
                  <c:v>-6.2260662282369404E-4</c:v>
                </c:pt>
                <c:pt idx="163">
                  <c:v>-6.59576492929858E-4</c:v>
                </c:pt>
                <c:pt idx="164">
                  <c:v>-6.63341180156002E-4</c:v>
                </c:pt>
                <c:pt idx="165">
                  <c:v>-7.3753585306627397E-4</c:v>
                </c:pt>
                <c:pt idx="166">
                  <c:v>-7.0727002722804401E-4</c:v>
                </c:pt>
                <c:pt idx="167">
                  <c:v>-2.65049575920712E-4</c:v>
                </c:pt>
                <c:pt idx="168">
                  <c:v>7.7976168501794596E-6</c:v>
                </c:pt>
                <c:pt idx="169">
                  <c:v>1.2862670916442099E-4</c:v>
                </c:pt>
                <c:pt idx="170">
                  <c:v>2.0153865765287401E-5</c:v>
                </c:pt>
                <c:pt idx="171">
                  <c:v>-1.09455331835952E-4</c:v>
                </c:pt>
                <c:pt idx="172">
                  <c:v>3.5851183863063398E-5</c:v>
                </c:pt>
                <c:pt idx="173">
                  <c:v>-8.1902576851836497E-4</c:v>
                </c:pt>
                <c:pt idx="174">
                  <c:v>-6.50344649620833E-4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43-4586-8B7F-E71161E4440B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VTEB x 10 dma / MUB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9.2706633385465902E-4</c:v>
                </c:pt>
                <c:pt idx="11">
                  <c:v>9.8812622411043505E-4</c:v>
                </c:pt>
                <c:pt idx="12">
                  <c:v>-1.03581784793237E-4</c:v>
                </c:pt>
                <c:pt idx="13">
                  <c:v>-6.2927134143071295E-4</c:v>
                </c:pt>
                <c:pt idx="14">
                  <c:v>-9.6312694785528799E-4</c:v>
                </c:pt>
                <c:pt idx="15">
                  <c:v>-9.7724511722431691E-4</c:v>
                </c:pt>
                <c:pt idx="16">
                  <c:v>-1.15242418268488E-3</c:v>
                </c:pt>
                <c:pt idx="17">
                  <c:v>-1.5297175228834001E-3</c:v>
                </c:pt>
                <c:pt idx="18">
                  <c:v>-1.2739902376594E-3</c:v>
                </c:pt>
                <c:pt idx="19">
                  <c:v>-1.7414828167473799E-3</c:v>
                </c:pt>
                <c:pt idx="20">
                  <c:v>-1.3514604630462199E-3</c:v>
                </c:pt>
                <c:pt idx="21">
                  <c:v>-3.9281894765057001E-4</c:v>
                </c:pt>
                <c:pt idx="22">
                  <c:v>7.25279577841277E-4</c:v>
                </c:pt>
                <c:pt idx="23">
                  <c:v>5.9515454300750796E-4</c:v>
                </c:pt>
                <c:pt idx="24">
                  <c:v>2.3216111512330698E-3</c:v>
                </c:pt>
                <c:pt idx="25">
                  <c:v>1.6058014872320401E-3</c:v>
                </c:pt>
                <c:pt idx="26">
                  <c:v>1.2743403593925601E-3</c:v>
                </c:pt>
                <c:pt idx="27">
                  <c:v>5.6185082802248502E-4</c:v>
                </c:pt>
                <c:pt idx="28">
                  <c:v>3.8039774165545199E-4</c:v>
                </c:pt>
                <c:pt idx="29">
                  <c:v>5.4471119201003202E-5</c:v>
                </c:pt>
                <c:pt idx="30">
                  <c:v>-1.7498673212217801E-4</c:v>
                </c:pt>
                <c:pt idx="31">
                  <c:v>-3.3630910461249599E-4</c:v>
                </c:pt>
                <c:pt idx="32">
                  <c:v>-1.80086317104952E-3</c:v>
                </c:pt>
                <c:pt idx="33">
                  <c:v>-1.01633573287943E-3</c:v>
                </c:pt>
                <c:pt idx="34">
                  <c:v>-8.6692308435239794E-5</c:v>
                </c:pt>
                <c:pt idx="35">
                  <c:v>-4.0718577894536102E-4</c:v>
                </c:pt>
                <c:pt idx="36">
                  <c:v>-4.5483677178662901E-5</c:v>
                </c:pt>
                <c:pt idx="37">
                  <c:v>-1.3713267496102201E-4</c:v>
                </c:pt>
                <c:pt idx="38">
                  <c:v>3.1649533962589303E-4</c:v>
                </c:pt>
                <c:pt idx="39">
                  <c:v>8.3217321972016303E-4</c:v>
                </c:pt>
                <c:pt idx="40">
                  <c:v>1.8223902474442599E-4</c:v>
                </c:pt>
                <c:pt idx="41">
                  <c:v>-3.1340094896302201E-4</c:v>
                </c:pt>
                <c:pt idx="42">
                  <c:v>1.14499996663475E-3</c:v>
                </c:pt>
                <c:pt idx="43">
                  <c:v>1.1746935990463599E-3</c:v>
                </c:pt>
                <c:pt idx="44">
                  <c:v>-1.20985495130392E-3</c:v>
                </c:pt>
                <c:pt idx="45">
                  <c:v>-9.2195592674261995E-4</c:v>
                </c:pt>
                <c:pt idx="46">
                  <c:v>-5.1072461990026203E-4</c:v>
                </c:pt>
                <c:pt idx="47">
                  <c:v>-6.2782126461009195E-4</c:v>
                </c:pt>
                <c:pt idx="48">
                  <c:v>7.2182092150486793E-5</c:v>
                </c:pt>
                <c:pt idx="49">
                  <c:v>-7.3072756438429605E-4</c:v>
                </c:pt>
                <c:pt idx="50">
                  <c:v>1.08622834736141E-4</c:v>
                </c:pt>
                <c:pt idx="51">
                  <c:v>1.06427091415959E-3</c:v>
                </c:pt>
                <c:pt idx="52">
                  <c:v>1.25920831650949E-3</c:v>
                </c:pt>
                <c:pt idx="53">
                  <c:v>1.4743923261550499E-3</c:v>
                </c:pt>
                <c:pt idx="54">
                  <c:v>-4.5019895026454198E-4</c:v>
                </c:pt>
                <c:pt idx="55">
                  <c:v>4.8457966877261503E-5</c:v>
                </c:pt>
                <c:pt idx="56">
                  <c:v>-9.4492761805605396E-4</c:v>
                </c:pt>
                <c:pt idx="57">
                  <c:v>8.5921202370818801E-4</c:v>
                </c:pt>
                <c:pt idx="58">
                  <c:v>5.2556716104609205E-4</c:v>
                </c:pt>
                <c:pt idx="59">
                  <c:v>1.3828944217535199E-4</c:v>
                </c:pt>
                <c:pt idx="60">
                  <c:v>5.3803119034671497E-4</c:v>
                </c:pt>
                <c:pt idx="61">
                  <c:v>-6.7235775571514796E-4</c:v>
                </c:pt>
                <c:pt idx="62">
                  <c:v>-4.62650491148384E-4</c:v>
                </c:pt>
                <c:pt idx="63">
                  <c:v>-7.6584744448559704E-4</c:v>
                </c:pt>
                <c:pt idx="64">
                  <c:v>-7.0445095418915403E-4</c:v>
                </c:pt>
                <c:pt idx="65">
                  <c:v>-7.8897990299581501E-5</c:v>
                </c:pt>
                <c:pt idx="66">
                  <c:v>2.6915724656998102E-4</c:v>
                </c:pt>
                <c:pt idx="67">
                  <c:v>1.2464034792477199E-3</c:v>
                </c:pt>
                <c:pt idx="68">
                  <c:v>8.8936202118629901E-4</c:v>
                </c:pt>
                <c:pt idx="69">
                  <c:v>8.95280945320096E-4</c:v>
                </c:pt>
                <c:pt idx="70">
                  <c:v>1.09650228333467E-3</c:v>
                </c:pt>
                <c:pt idx="71">
                  <c:v>7.0452910221092198E-4</c:v>
                </c:pt>
                <c:pt idx="72">
                  <c:v>1.11879846003694E-4</c:v>
                </c:pt>
                <c:pt idx="73">
                  <c:v>-3.0359976521638198E-5</c:v>
                </c:pt>
                <c:pt idx="74">
                  <c:v>-2.46728613795177E-4</c:v>
                </c:pt>
                <c:pt idx="75">
                  <c:v>-1.7788184211751199E-5</c:v>
                </c:pt>
                <c:pt idx="76">
                  <c:v>1.09516029984361E-4</c:v>
                </c:pt>
                <c:pt idx="77">
                  <c:v>6.3852880386717004E-5</c:v>
                </c:pt>
                <c:pt idx="78">
                  <c:v>-2.7054698973322602E-4</c:v>
                </c:pt>
                <c:pt idx="79">
                  <c:v>-7.8722265811678597E-4</c:v>
                </c:pt>
                <c:pt idx="80">
                  <c:v>-2.4167244433156201E-4</c:v>
                </c:pt>
                <c:pt idx="81">
                  <c:v>-5.94617897612309E-4</c:v>
                </c:pt>
                <c:pt idx="82">
                  <c:v>-2.8939096011188902E-4</c:v>
                </c:pt>
                <c:pt idx="83">
                  <c:v>-1.28749021741037E-4</c:v>
                </c:pt>
                <c:pt idx="84">
                  <c:v>-4.6533867680311402E-4</c:v>
                </c:pt>
                <c:pt idx="85">
                  <c:v>-6.9206254840930204E-4</c:v>
                </c:pt>
                <c:pt idx="86">
                  <c:v>-1.1907480393943399E-3</c:v>
                </c:pt>
                <c:pt idx="87">
                  <c:v>-1.09164372706761E-4</c:v>
                </c:pt>
                <c:pt idx="88">
                  <c:v>-5.3831386517230799E-5</c:v>
                </c:pt>
                <c:pt idx="89">
                  <c:v>7.0315719331438402E-5</c:v>
                </c:pt>
                <c:pt idx="90">
                  <c:v>4.16354808492664E-4</c:v>
                </c:pt>
                <c:pt idx="91">
                  <c:v>-7.6554647869376299E-4</c:v>
                </c:pt>
                <c:pt idx="92">
                  <c:v>-1.6686466577492299E-5</c:v>
                </c:pt>
                <c:pt idx="93">
                  <c:v>5.9287352441945702E-4</c:v>
                </c:pt>
                <c:pt idx="94">
                  <c:v>1.2367743835859099E-3</c:v>
                </c:pt>
                <c:pt idx="95">
                  <c:v>1.07799186237993E-3</c:v>
                </c:pt>
                <c:pt idx="96">
                  <c:v>5.3058131863367199E-4</c:v>
                </c:pt>
                <c:pt idx="97">
                  <c:v>1.2956821701918999E-4</c:v>
                </c:pt>
                <c:pt idx="98">
                  <c:v>-2.1971316783309501E-4</c:v>
                </c:pt>
                <c:pt idx="99">
                  <c:v>-8.7069237091374097E-5</c:v>
                </c:pt>
                <c:pt idx="100">
                  <c:v>-2.3039677791470499E-5</c:v>
                </c:pt>
                <c:pt idx="101">
                  <c:v>2.66007718765551E-4</c:v>
                </c:pt>
                <c:pt idx="102">
                  <c:v>8.8295177040386102E-4</c:v>
                </c:pt>
                <c:pt idx="103">
                  <c:v>2.3248891369766301E-4</c:v>
                </c:pt>
                <c:pt idx="104">
                  <c:v>4.3578693101928903E-4</c:v>
                </c:pt>
                <c:pt idx="105">
                  <c:v>1.4550376590903699E-4</c:v>
                </c:pt>
                <c:pt idx="106">
                  <c:v>6.3535998026215199E-4</c:v>
                </c:pt>
                <c:pt idx="107">
                  <c:v>6.5387445938204101E-4</c:v>
                </c:pt>
                <c:pt idx="108">
                  <c:v>1.2127509748896799E-3</c:v>
                </c:pt>
                <c:pt idx="109">
                  <c:v>8.9155239534103605E-4</c:v>
                </c:pt>
                <c:pt idx="110">
                  <c:v>7.2715700631550197E-5</c:v>
                </c:pt>
                <c:pt idx="111">
                  <c:v>-7.20061133062785E-4</c:v>
                </c:pt>
                <c:pt idx="112">
                  <c:v>-8.3967903787221596E-4</c:v>
                </c:pt>
                <c:pt idx="113">
                  <c:v>-7.4404300307063002E-4</c:v>
                </c:pt>
                <c:pt idx="114">
                  <c:v>-1.16456713627752E-4</c:v>
                </c:pt>
                <c:pt idx="115">
                  <c:v>-1.9453614047102E-4</c:v>
                </c:pt>
                <c:pt idx="116">
                  <c:v>-3.0792251642264702E-4</c:v>
                </c:pt>
                <c:pt idx="117">
                  <c:v>1.0175345109287401E-4</c:v>
                </c:pt>
                <c:pt idx="118">
                  <c:v>-5.5129419106469805E-4</c:v>
                </c:pt>
                <c:pt idx="119">
                  <c:v>-7.2183324200828295E-4</c:v>
                </c:pt>
                <c:pt idx="120">
                  <c:v>-1.4104404215943699E-4</c:v>
                </c:pt>
                <c:pt idx="121">
                  <c:v>4.8523231962717297E-4</c:v>
                </c:pt>
                <c:pt idx="122">
                  <c:v>7.66029638054317E-5</c:v>
                </c:pt>
                <c:pt idx="123">
                  <c:v>4.6784709990834898E-4</c:v>
                </c:pt>
                <c:pt idx="124">
                  <c:v>8.6940327336351293E-5</c:v>
                </c:pt>
                <c:pt idx="125">
                  <c:v>-3.5733134865205797E-4</c:v>
                </c:pt>
                <c:pt idx="126">
                  <c:v>3.8310273198717201E-4</c:v>
                </c:pt>
                <c:pt idx="127">
                  <c:v>2.5176181526084302E-4</c:v>
                </c:pt>
                <c:pt idx="128">
                  <c:v>5.7873296290486596E-4</c:v>
                </c:pt>
                <c:pt idx="129">
                  <c:v>8.29951325523387E-4</c:v>
                </c:pt>
                <c:pt idx="130">
                  <c:v>3.1238231460457898E-4</c:v>
                </c:pt>
                <c:pt idx="131">
                  <c:v>1.6507273670497699E-4</c:v>
                </c:pt>
                <c:pt idx="132">
                  <c:v>3.3659811068678999E-4</c:v>
                </c:pt>
                <c:pt idx="133">
                  <c:v>5.84380105387167E-4</c:v>
                </c:pt>
                <c:pt idx="134">
                  <c:v>3.0445989120000001E-4</c:v>
                </c:pt>
                <c:pt idx="135">
                  <c:v>3.32892729196614E-4</c:v>
                </c:pt>
                <c:pt idx="136">
                  <c:v>3.7748476940217498E-4</c:v>
                </c:pt>
                <c:pt idx="137">
                  <c:v>2.39721932796429E-4</c:v>
                </c:pt>
                <c:pt idx="138">
                  <c:v>2.79048767684487E-6</c:v>
                </c:pt>
                <c:pt idx="139">
                  <c:v>-7.5103602696722799E-4</c:v>
                </c:pt>
                <c:pt idx="140">
                  <c:v>-1.4184731760737499E-3</c:v>
                </c:pt>
                <c:pt idx="141">
                  <c:v>-1.57212180943254E-3</c:v>
                </c:pt>
                <c:pt idx="142">
                  <c:v>-6.6014892231811798E-4</c:v>
                </c:pt>
                <c:pt idx="143">
                  <c:v>-1.48283942328749E-3</c:v>
                </c:pt>
                <c:pt idx="144">
                  <c:v>-1.14296330757039E-3</c:v>
                </c:pt>
                <c:pt idx="145">
                  <c:v>-7.7995733036500105E-4</c:v>
                </c:pt>
                <c:pt idx="146">
                  <c:v>-7.2457794323661404E-4</c:v>
                </c:pt>
                <c:pt idx="147">
                  <c:v>-4.9253026822890103E-4</c:v>
                </c:pt>
                <c:pt idx="148">
                  <c:v>8.0246481177469599E-4</c:v>
                </c:pt>
                <c:pt idx="149">
                  <c:v>1.02718053810479E-3</c:v>
                </c:pt>
                <c:pt idx="150">
                  <c:v>1.24111527385456E-3</c:v>
                </c:pt>
                <c:pt idx="151">
                  <c:v>1.3558858791211199E-3</c:v>
                </c:pt>
                <c:pt idx="152">
                  <c:v>4.9680498126618798E-4</c:v>
                </c:pt>
                <c:pt idx="153">
                  <c:v>5.61886355593518E-4</c:v>
                </c:pt>
                <c:pt idx="154">
                  <c:v>2.3704301774849699E-4</c:v>
                </c:pt>
                <c:pt idx="155">
                  <c:v>5.4644165163538101E-4</c:v>
                </c:pt>
                <c:pt idx="156">
                  <c:v>-8.2279143081493694E-6</c:v>
                </c:pt>
                <c:pt idx="157">
                  <c:v>-4.3207099303872401E-4</c:v>
                </c:pt>
                <c:pt idx="158">
                  <c:v>-3.28985931381336E-4</c:v>
                </c:pt>
                <c:pt idx="159">
                  <c:v>3.20516630239233E-4</c:v>
                </c:pt>
                <c:pt idx="160">
                  <c:v>-3.68206937872322E-4</c:v>
                </c:pt>
                <c:pt idx="161">
                  <c:v>-1.10581708626405E-3</c:v>
                </c:pt>
                <c:pt idx="162">
                  <c:v>-1.1145797041069399E-3</c:v>
                </c:pt>
                <c:pt idx="163">
                  <c:v>-1.0286606029688301E-3</c:v>
                </c:pt>
                <c:pt idx="164">
                  <c:v>-8.9506764571653399E-4</c:v>
                </c:pt>
                <c:pt idx="165">
                  <c:v>-8.4953856186997898E-4</c:v>
                </c:pt>
                <c:pt idx="166">
                  <c:v>-6.4982514647198204E-4</c:v>
                </c:pt>
                <c:pt idx="167">
                  <c:v>-8.2861019438690598E-5</c:v>
                </c:pt>
                <c:pt idx="168">
                  <c:v>2.38857121261815E-4</c:v>
                </c:pt>
                <c:pt idx="169">
                  <c:v>3.9877776977849399E-4</c:v>
                </c:pt>
                <c:pt idx="170">
                  <c:v>3.8004619912269499E-4</c:v>
                </c:pt>
                <c:pt idx="171">
                  <c:v>2.8465683292899801E-4</c:v>
                </c:pt>
                <c:pt idx="172">
                  <c:v>3.96732081053031E-4</c:v>
                </c:pt>
                <c:pt idx="173">
                  <c:v>-5.2398837617310804E-4</c:v>
                </c:pt>
                <c:pt idx="174">
                  <c:v>-3.39355371604941E-4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43-4586-8B7F-E71161E4440B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VTEB x 20 dma / MUB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-1.63160330408037E-3</c:v>
                </c:pt>
                <c:pt idx="21">
                  <c:v>-8.7036170948208598E-4</c:v>
                </c:pt>
                <c:pt idx="22">
                  <c:v>5.0131456269678498E-5</c:v>
                </c:pt>
                <c:pt idx="23">
                  <c:v>-1.18334525156373E-4</c:v>
                </c:pt>
                <c:pt idx="24">
                  <c:v>1.5928998473608599E-3</c:v>
                </c:pt>
                <c:pt idx="25">
                  <c:v>9.9553494486686895E-4</c:v>
                </c:pt>
                <c:pt idx="26">
                  <c:v>7.7164104961968899E-4</c:v>
                </c:pt>
                <c:pt idx="27">
                  <c:v>2.13737894900449E-4</c:v>
                </c:pt>
                <c:pt idx="28">
                  <c:v>2.1406869259768001E-4</c:v>
                </c:pt>
                <c:pt idx="29">
                  <c:v>2.0658697378385099E-5</c:v>
                </c:pt>
                <c:pt idx="30">
                  <c:v>-1.71462542164327E-5</c:v>
                </c:pt>
                <c:pt idx="31">
                  <c:v>3.8184641011493897E-5</c:v>
                </c:pt>
                <c:pt idx="32">
                  <c:v>-1.26929024563429E-3</c:v>
                </c:pt>
                <c:pt idx="33">
                  <c:v>-5.3195549196926001E-4</c:v>
                </c:pt>
                <c:pt idx="34">
                  <c:v>3.7565389295685699E-4</c:v>
                </c:pt>
                <c:pt idx="35">
                  <c:v>-1.1025849319059799E-4</c:v>
                </c:pt>
                <c:pt idx="36">
                  <c:v>1.1242871890723299E-4</c:v>
                </c:pt>
                <c:pt idx="37">
                  <c:v>-1.00428507077203E-4</c:v>
                </c:pt>
                <c:pt idx="38">
                  <c:v>2.5215314117594401E-4</c:v>
                </c:pt>
                <c:pt idx="39">
                  <c:v>6.9210526007394896E-4</c:v>
                </c:pt>
                <c:pt idx="40">
                  <c:v>-1.94488535287928E-5</c:v>
                </c:pt>
                <c:pt idx="41">
                  <c:v>-5.9206020962040301E-4</c:v>
                </c:pt>
                <c:pt idx="42">
                  <c:v>7.9933745947809599E-4</c:v>
                </c:pt>
                <c:pt idx="43">
                  <c:v>1.0149526255155499E-3</c:v>
                </c:pt>
                <c:pt idx="44">
                  <c:v>-1.24387607525561E-3</c:v>
                </c:pt>
                <c:pt idx="45">
                  <c:v>-9.41433639779159E-4</c:v>
                </c:pt>
                <c:pt idx="46">
                  <c:v>-4.8697107844782598E-4</c:v>
                </c:pt>
                <c:pt idx="47">
                  <c:v>-5.7478340923793904E-4</c:v>
                </c:pt>
                <c:pt idx="48">
                  <c:v>1.3725422091333299E-4</c:v>
                </c:pt>
                <c:pt idx="49">
                  <c:v>-6.6173758360054595E-4</c:v>
                </c:pt>
                <c:pt idx="50">
                  <c:v>8.1504855676145998E-5</c:v>
                </c:pt>
                <c:pt idx="51">
                  <c:v>1.0330706085479599E-3</c:v>
                </c:pt>
                <c:pt idx="52">
                  <c:v>1.32047542641228E-3</c:v>
                </c:pt>
                <c:pt idx="53">
                  <c:v>1.4347502734612799E-3</c:v>
                </c:pt>
                <c:pt idx="54">
                  <c:v>-5.7239107719190305E-4</c:v>
                </c:pt>
                <c:pt idx="55">
                  <c:v>1.16341500908552E-5</c:v>
                </c:pt>
                <c:pt idx="56">
                  <c:v>-9.0918988337328102E-4</c:v>
                </c:pt>
                <c:pt idx="57">
                  <c:v>8.9769248619790795E-4</c:v>
                </c:pt>
                <c:pt idx="58">
                  <c:v>6.6149463320874498E-4</c:v>
                </c:pt>
                <c:pt idx="59">
                  <c:v>3.1618787306401702E-4</c:v>
                </c:pt>
                <c:pt idx="60">
                  <c:v>8.4847639365010397E-4</c:v>
                </c:pt>
                <c:pt idx="61">
                  <c:v>-3.0298883198403198E-4</c:v>
                </c:pt>
                <c:pt idx="62">
                  <c:v>-2.08966215595804E-4</c:v>
                </c:pt>
                <c:pt idx="63">
                  <c:v>-5.8471778672982604E-4</c:v>
                </c:pt>
                <c:pt idx="64">
                  <c:v>-6.2821614659537605E-4</c:v>
                </c:pt>
                <c:pt idx="65">
                  <c:v>-3.3539518875808E-5</c:v>
                </c:pt>
                <c:pt idx="66">
                  <c:v>2.6782433462521198E-4</c:v>
                </c:pt>
                <c:pt idx="67">
                  <c:v>1.32381854328926E-3</c:v>
                </c:pt>
                <c:pt idx="68">
                  <c:v>9.1564980478678402E-4</c:v>
                </c:pt>
                <c:pt idx="69">
                  <c:v>9.0611670188573995E-4</c:v>
                </c:pt>
                <c:pt idx="70">
                  <c:v>1.0849811049250199E-3</c:v>
                </c:pt>
                <c:pt idx="71">
                  <c:v>6.6724631815937799E-4</c:v>
                </c:pt>
                <c:pt idx="72">
                  <c:v>1.89623675604374E-4</c:v>
                </c:pt>
                <c:pt idx="73">
                  <c:v>1.4462257474957799E-4</c:v>
                </c:pt>
                <c:pt idx="74">
                  <c:v>7.6471607703946796E-5</c:v>
                </c:pt>
                <c:pt idx="75">
                  <c:v>3.6577414982807201E-4</c:v>
                </c:pt>
                <c:pt idx="76">
                  <c:v>5.3635202021661205E-4</c:v>
                </c:pt>
                <c:pt idx="77">
                  <c:v>4.6478501486702602E-4</c:v>
                </c:pt>
                <c:pt idx="78">
                  <c:v>8.4255485015334805E-5</c:v>
                </c:pt>
                <c:pt idx="79">
                  <c:v>-4.7576136701444802E-4</c:v>
                </c:pt>
                <c:pt idx="80">
                  <c:v>-2.21452512703878E-5</c:v>
                </c:pt>
                <c:pt idx="81">
                  <c:v>-4.4680090038761702E-4</c:v>
                </c:pt>
                <c:pt idx="82">
                  <c:v>-2.5688000809858102E-4</c:v>
                </c:pt>
                <c:pt idx="83">
                  <c:v>-1.49563807679223E-4</c:v>
                </c:pt>
                <c:pt idx="84">
                  <c:v>-5.4745678171520199E-4</c:v>
                </c:pt>
                <c:pt idx="85">
                  <c:v>-8.4856738659094301E-4</c:v>
                </c:pt>
                <c:pt idx="86">
                  <c:v>-1.43803130214472E-3</c:v>
                </c:pt>
                <c:pt idx="87">
                  <c:v>-4.8087385092641802E-4</c:v>
                </c:pt>
                <c:pt idx="88">
                  <c:v>-4.5230403293280801E-4</c:v>
                </c:pt>
                <c:pt idx="89">
                  <c:v>-3.3464403762062498E-4</c:v>
                </c:pt>
                <c:pt idx="90">
                  <c:v>6.6741526384012201E-5</c:v>
                </c:pt>
                <c:pt idx="91">
                  <c:v>-1.0722919473190101E-3</c:v>
                </c:pt>
                <c:pt idx="92">
                  <c:v>-3.1249513440617899E-4</c:v>
                </c:pt>
                <c:pt idx="93">
                  <c:v>2.9793136818374503E-4</c:v>
                </c:pt>
                <c:pt idx="94">
                  <c:v>9.5540876401189697E-4</c:v>
                </c:pt>
                <c:pt idx="95">
                  <c:v>8.7268564201754102E-4</c:v>
                </c:pt>
                <c:pt idx="96">
                  <c:v>4.4257822379608502E-4</c:v>
                </c:pt>
                <c:pt idx="97">
                  <c:v>2.08617700857314E-4</c:v>
                </c:pt>
                <c:pt idx="98">
                  <c:v>-7.5002686472245298E-5</c:v>
                </c:pt>
                <c:pt idx="99">
                  <c:v>9.2836371325936095E-5</c:v>
                </c:pt>
                <c:pt idx="100">
                  <c:v>1.64616422151302E-4</c:v>
                </c:pt>
                <c:pt idx="101">
                  <c:v>4.52522941990059E-4</c:v>
                </c:pt>
                <c:pt idx="102">
                  <c:v>1.17899527958076E-3</c:v>
                </c:pt>
                <c:pt idx="103">
                  <c:v>6.1908802552803201E-4</c:v>
                </c:pt>
                <c:pt idx="104">
                  <c:v>8.3644553483328704E-4</c:v>
                </c:pt>
                <c:pt idx="105">
                  <c:v>4.8921926343730197E-4</c:v>
                </c:pt>
                <c:pt idx="106">
                  <c:v>8.9884826202094102E-4</c:v>
                </c:pt>
                <c:pt idx="107">
                  <c:v>8.7163648165474404E-4</c:v>
                </c:pt>
                <c:pt idx="108">
                  <c:v>1.45865959435709E-3</c:v>
                </c:pt>
                <c:pt idx="109">
                  <c:v>1.2275057140203501E-3</c:v>
                </c:pt>
                <c:pt idx="110">
                  <c:v>4.8109637285386598E-4</c:v>
                </c:pt>
                <c:pt idx="111">
                  <c:v>-2.62816409174501E-4</c:v>
                </c:pt>
                <c:pt idx="112">
                  <c:v>-4.5632029173947798E-4</c:v>
                </c:pt>
                <c:pt idx="113">
                  <c:v>-4.8311891977785099E-4</c:v>
                </c:pt>
                <c:pt idx="114">
                  <c:v>1.0107507181509E-4</c:v>
                </c:pt>
                <c:pt idx="115">
                  <c:v>1.7124250613852601E-5</c:v>
                </c:pt>
                <c:pt idx="116">
                  <c:v>-7.9840387461936499E-5</c:v>
                </c:pt>
                <c:pt idx="117">
                  <c:v>2.7388970341566201E-4</c:v>
                </c:pt>
                <c:pt idx="118">
                  <c:v>-4.3754104267969198E-4</c:v>
                </c:pt>
                <c:pt idx="119">
                  <c:v>-7.8108604033325698E-4</c:v>
                </c:pt>
                <c:pt idx="120">
                  <c:v>-3.6936941408147802E-4</c:v>
                </c:pt>
                <c:pt idx="121">
                  <c:v>1.7777557426417199E-4</c:v>
                </c:pt>
                <c:pt idx="122">
                  <c:v>-1.9776201819206901E-4</c:v>
                </c:pt>
                <c:pt idx="123">
                  <c:v>2.59660305713501E-4</c:v>
                </c:pt>
                <c:pt idx="124">
                  <c:v>-5.873625310135E-5</c:v>
                </c:pt>
                <c:pt idx="125">
                  <c:v>-5.0154473933606495E-4</c:v>
                </c:pt>
                <c:pt idx="126">
                  <c:v>2.1216614629807201E-4</c:v>
                </c:pt>
                <c:pt idx="127">
                  <c:v>1.2263124969640301E-4</c:v>
                </c:pt>
                <c:pt idx="128">
                  <c:v>4.54581640221794E-4</c:v>
                </c:pt>
                <c:pt idx="129">
                  <c:v>8.2667865188226102E-4</c:v>
                </c:pt>
                <c:pt idx="130">
                  <c:v>4.7296080816229899E-4</c:v>
                </c:pt>
                <c:pt idx="131">
                  <c:v>3.9791322030955999E-4</c:v>
                </c:pt>
                <c:pt idx="132">
                  <c:v>5.47196873369155E-4</c:v>
                </c:pt>
                <c:pt idx="133">
                  <c:v>8.1066486253248695E-4</c:v>
                </c:pt>
                <c:pt idx="134">
                  <c:v>5.1941454239241001E-4</c:v>
                </c:pt>
                <c:pt idx="135">
                  <c:v>5.8462503565091502E-4</c:v>
                </c:pt>
                <c:pt idx="136">
                  <c:v>7.1150635581075704E-4</c:v>
                </c:pt>
                <c:pt idx="137">
                  <c:v>5.8941131211408195E-4</c:v>
                </c:pt>
                <c:pt idx="138">
                  <c:v>3.9227193586674301E-4</c:v>
                </c:pt>
                <c:pt idx="139">
                  <c:v>-3.9550399648739901E-4</c:v>
                </c:pt>
                <c:pt idx="140">
                  <c:v>-1.1837546325281501E-3</c:v>
                </c:pt>
                <c:pt idx="141">
                  <c:v>-1.4392736617523899E-3</c:v>
                </c:pt>
                <c:pt idx="142">
                  <c:v>-6.0821293104674199E-4</c:v>
                </c:pt>
                <c:pt idx="143">
                  <c:v>-1.50961457160873E-3</c:v>
                </c:pt>
                <c:pt idx="144">
                  <c:v>-1.3042427529704999E-3</c:v>
                </c:pt>
                <c:pt idx="145">
                  <c:v>-1.06209618924771E-3</c:v>
                </c:pt>
                <c:pt idx="146">
                  <c:v>-1.15021501110523E-3</c:v>
                </c:pt>
                <c:pt idx="147">
                  <c:v>-1.0488601241409E-3</c:v>
                </c:pt>
                <c:pt idx="148">
                  <c:v>1.19634905066995E-4</c:v>
                </c:pt>
                <c:pt idx="149">
                  <c:v>3.0594201090258501E-4</c:v>
                </c:pt>
                <c:pt idx="150">
                  <c:v>5.80096250754095E-4</c:v>
                </c:pt>
                <c:pt idx="151">
                  <c:v>8.2473063601616202E-4</c:v>
                </c:pt>
                <c:pt idx="152">
                  <c:v>1.3244693546004199E-4</c:v>
                </c:pt>
                <c:pt idx="153">
                  <c:v>2.63557514361757E-4</c:v>
                </c:pt>
                <c:pt idx="154">
                  <c:v>1.17164890899152E-4</c:v>
                </c:pt>
                <c:pt idx="155">
                  <c:v>5.7210611482224499E-4</c:v>
                </c:pt>
                <c:pt idx="156">
                  <c:v>1.70201492947569E-4</c:v>
                </c:pt>
                <c:pt idx="157">
                  <c:v>-1.02270400494406E-4</c:v>
                </c:pt>
                <c:pt idx="158">
                  <c:v>1.2910549646899199E-4</c:v>
                </c:pt>
                <c:pt idx="159">
                  <c:v>7.9613115357240701E-4</c:v>
                </c:pt>
                <c:pt idx="160">
                  <c:v>1.02873291810834E-4</c:v>
                </c:pt>
                <c:pt idx="161">
                  <c:v>-7.3497010198640895E-4</c:v>
                </c:pt>
                <c:pt idx="162">
                  <c:v>-9.2304418243988203E-4</c:v>
                </c:pt>
                <c:pt idx="163">
                  <c:v>-9.1998165833507E-4</c:v>
                </c:pt>
                <c:pt idx="164">
                  <c:v>-9.2748884333357395E-4</c:v>
                </c:pt>
                <c:pt idx="165">
                  <c:v>-9.9884504872789102E-4</c:v>
                </c:pt>
                <c:pt idx="166">
                  <c:v>-9.5272161563825599E-4</c:v>
                </c:pt>
                <c:pt idx="167">
                  <c:v>-5.0177840882406296E-4</c:v>
                </c:pt>
                <c:pt idx="168">
                  <c:v>-2.4049598812575599E-4</c:v>
                </c:pt>
                <c:pt idx="169">
                  <c:v>-8.9340724695441794E-5</c:v>
                </c:pt>
                <c:pt idx="170">
                  <c:v>-1.6512810928606301E-4</c:v>
                </c:pt>
                <c:pt idx="171">
                  <c:v>-2.44266908496465E-4</c:v>
                </c:pt>
                <c:pt idx="172">
                  <c:v>-2.96039881977659E-5</c:v>
                </c:pt>
                <c:pt idx="173">
                  <c:v>-8.5599399519479895E-4</c:v>
                </c:pt>
                <c:pt idx="174">
                  <c:v>-6.1067642584655202E-4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43-4586-8B7F-E71161E44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6.7481190496076907E-4</c:v>
                </c:pt>
                <c:pt idx="2">
                  <c:v>1.5594927986280044E-3</c:v>
                </c:pt>
                <c:pt idx="3">
                  <c:v>1.5594927986280044E-3</c:v>
                </c:pt>
                <c:pt idx="4">
                  <c:v>1.5594927986280044E-3</c:v>
                </c:pt>
                <c:pt idx="5">
                  <c:v>1.5594927986280044E-3</c:v>
                </c:pt>
                <c:pt idx="6">
                  <c:v>1.5594927986280044E-3</c:v>
                </c:pt>
                <c:pt idx="7">
                  <c:v>1.5594927986280044E-3</c:v>
                </c:pt>
                <c:pt idx="8">
                  <c:v>1.5594927986280044E-3</c:v>
                </c:pt>
                <c:pt idx="9">
                  <c:v>1.5594927986280044E-3</c:v>
                </c:pt>
                <c:pt idx="10">
                  <c:v>1.5594927986280044E-3</c:v>
                </c:pt>
                <c:pt idx="11">
                  <c:v>1.5594927986280044E-3</c:v>
                </c:pt>
                <c:pt idx="12">
                  <c:v>1.5594927986280044E-3</c:v>
                </c:pt>
                <c:pt idx="13">
                  <c:v>2.1975464788233745E-3</c:v>
                </c:pt>
                <c:pt idx="14">
                  <c:v>3.0628508493605136E-3</c:v>
                </c:pt>
                <c:pt idx="15">
                  <c:v>3.0628508493605136E-3</c:v>
                </c:pt>
                <c:pt idx="16">
                  <c:v>3.0628508493605136E-3</c:v>
                </c:pt>
                <c:pt idx="17">
                  <c:v>3.0628508493605136E-3</c:v>
                </c:pt>
                <c:pt idx="18">
                  <c:v>3.0628508493605136E-3</c:v>
                </c:pt>
                <c:pt idx="19">
                  <c:v>3.0628508493605136E-3</c:v>
                </c:pt>
                <c:pt idx="20">
                  <c:v>3.0628508493605136E-3</c:v>
                </c:pt>
                <c:pt idx="21">
                  <c:v>3.0628508493605136E-3</c:v>
                </c:pt>
                <c:pt idx="22">
                  <c:v>3.0628508493605136E-3</c:v>
                </c:pt>
                <c:pt idx="23">
                  <c:v>3.0628508493605136E-3</c:v>
                </c:pt>
                <c:pt idx="24">
                  <c:v>3.0628508493605136E-3</c:v>
                </c:pt>
                <c:pt idx="25">
                  <c:v>3.2315631725289835E-3</c:v>
                </c:pt>
                <c:pt idx="26">
                  <c:v>3.5873876863272034E-3</c:v>
                </c:pt>
                <c:pt idx="27">
                  <c:v>3.4285058603966937E-3</c:v>
                </c:pt>
                <c:pt idx="28">
                  <c:v>4.0900316338372735E-3</c:v>
                </c:pt>
                <c:pt idx="29">
                  <c:v>4.0900316338372735E-3</c:v>
                </c:pt>
                <c:pt idx="30">
                  <c:v>4.0900316338372735E-3</c:v>
                </c:pt>
                <c:pt idx="31">
                  <c:v>4.0900316338372735E-3</c:v>
                </c:pt>
                <c:pt idx="32">
                  <c:v>4.0900316338372735E-3</c:v>
                </c:pt>
                <c:pt idx="33">
                  <c:v>4.0900316338372735E-3</c:v>
                </c:pt>
                <c:pt idx="34">
                  <c:v>4.0900316338372735E-3</c:v>
                </c:pt>
                <c:pt idx="35">
                  <c:v>4.0900316338372735E-3</c:v>
                </c:pt>
                <c:pt idx="36">
                  <c:v>4.0900316338372735E-3</c:v>
                </c:pt>
                <c:pt idx="37">
                  <c:v>4.0900316338372735E-3</c:v>
                </c:pt>
                <c:pt idx="38">
                  <c:v>4.0900316338372735E-3</c:v>
                </c:pt>
                <c:pt idx="39">
                  <c:v>4.0900316338372735E-3</c:v>
                </c:pt>
                <c:pt idx="40">
                  <c:v>4.0900316338372735E-3</c:v>
                </c:pt>
                <c:pt idx="41">
                  <c:v>4.0900316338372735E-3</c:v>
                </c:pt>
                <c:pt idx="42">
                  <c:v>4.0900316338372735E-3</c:v>
                </c:pt>
                <c:pt idx="43">
                  <c:v>4.0900316338372735E-3</c:v>
                </c:pt>
                <c:pt idx="44">
                  <c:v>4.0900316338372735E-3</c:v>
                </c:pt>
                <c:pt idx="45">
                  <c:v>4.0900316338372735E-3</c:v>
                </c:pt>
                <c:pt idx="46">
                  <c:v>4.0900316338372735E-3</c:v>
                </c:pt>
                <c:pt idx="47">
                  <c:v>4.0900316338372735E-3</c:v>
                </c:pt>
                <c:pt idx="48">
                  <c:v>4.0900316338372735E-3</c:v>
                </c:pt>
                <c:pt idx="49">
                  <c:v>4.0900316338372735E-3</c:v>
                </c:pt>
                <c:pt idx="50">
                  <c:v>4.0900316338372735E-3</c:v>
                </c:pt>
                <c:pt idx="51">
                  <c:v>4.0900316338372735E-3</c:v>
                </c:pt>
                <c:pt idx="52">
                  <c:v>4.0900316338372735E-3</c:v>
                </c:pt>
                <c:pt idx="53">
                  <c:v>4.0900316338372735E-3</c:v>
                </c:pt>
                <c:pt idx="54">
                  <c:v>4.0900316338372735E-3</c:v>
                </c:pt>
                <c:pt idx="55">
                  <c:v>4.0900316338372735E-3</c:v>
                </c:pt>
                <c:pt idx="56">
                  <c:v>4.0900316338372735E-3</c:v>
                </c:pt>
                <c:pt idx="57">
                  <c:v>4.0900316338372735E-3</c:v>
                </c:pt>
                <c:pt idx="58">
                  <c:v>4.0900316338372735E-3</c:v>
                </c:pt>
                <c:pt idx="59">
                  <c:v>4.0900316338372735E-3</c:v>
                </c:pt>
                <c:pt idx="60">
                  <c:v>4.0900316338372735E-3</c:v>
                </c:pt>
                <c:pt idx="61">
                  <c:v>4.0900316338372735E-3</c:v>
                </c:pt>
                <c:pt idx="62">
                  <c:v>4.0900316338372735E-3</c:v>
                </c:pt>
                <c:pt idx="63">
                  <c:v>4.0900316338372735E-3</c:v>
                </c:pt>
                <c:pt idx="64">
                  <c:v>4.0900316338372735E-3</c:v>
                </c:pt>
                <c:pt idx="65">
                  <c:v>4.0900316338372735E-3</c:v>
                </c:pt>
                <c:pt idx="66">
                  <c:v>4.0900316338372735E-3</c:v>
                </c:pt>
                <c:pt idx="67">
                  <c:v>4.9920895639477721E-3</c:v>
                </c:pt>
                <c:pt idx="68">
                  <c:v>4.9558012955222821E-3</c:v>
                </c:pt>
                <c:pt idx="69">
                  <c:v>5.0219249472227227E-3</c:v>
                </c:pt>
                <c:pt idx="70">
                  <c:v>5.3727093070347429E-3</c:v>
                </c:pt>
                <c:pt idx="71">
                  <c:v>5.3727093070347429E-3</c:v>
                </c:pt>
                <c:pt idx="72">
                  <c:v>6.0430917420355628E-3</c:v>
                </c:pt>
                <c:pt idx="73">
                  <c:v>6.6207567599066951E-3</c:v>
                </c:pt>
                <c:pt idx="74">
                  <c:v>6.6207567599066951E-3</c:v>
                </c:pt>
                <c:pt idx="75">
                  <c:v>6.6207567599066951E-3</c:v>
                </c:pt>
                <c:pt idx="76">
                  <c:v>6.6207567599066951E-3</c:v>
                </c:pt>
                <c:pt idx="77">
                  <c:v>6.6207567599066951E-3</c:v>
                </c:pt>
                <c:pt idx="78">
                  <c:v>6.6207567599066951E-3</c:v>
                </c:pt>
                <c:pt idx="79">
                  <c:v>6.6207567599066951E-3</c:v>
                </c:pt>
                <c:pt idx="80">
                  <c:v>6.6207567599066951E-3</c:v>
                </c:pt>
                <c:pt idx="81">
                  <c:v>6.6207567599066951E-3</c:v>
                </c:pt>
                <c:pt idx="82">
                  <c:v>6.6207567599066951E-3</c:v>
                </c:pt>
                <c:pt idx="83">
                  <c:v>6.6207567599066951E-3</c:v>
                </c:pt>
                <c:pt idx="84">
                  <c:v>6.6207567599066951E-3</c:v>
                </c:pt>
                <c:pt idx="85">
                  <c:v>6.6207567599066951E-3</c:v>
                </c:pt>
                <c:pt idx="86">
                  <c:v>6.6207567599066951E-3</c:v>
                </c:pt>
                <c:pt idx="87">
                  <c:v>6.6207567599066951E-3</c:v>
                </c:pt>
                <c:pt idx="88">
                  <c:v>6.6207567599066951E-3</c:v>
                </c:pt>
                <c:pt idx="89">
                  <c:v>6.6207567599066951E-3</c:v>
                </c:pt>
                <c:pt idx="90">
                  <c:v>6.6207567599066951E-3</c:v>
                </c:pt>
                <c:pt idx="91">
                  <c:v>6.6207567599066951E-3</c:v>
                </c:pt>
                <c:pt idx="92">
                  <c:v>6.6207567599066951E-3</c:v>
                </c:pt>
                <c:pt idx="93">
                  <c:v>6.6207567599066951E-3</c:v>
                </c:pt>
                <c:pt idx="94">
                  <c:v>6.6207567599066951E-3</c:v>
                </c:pt>
                <c:pt idx="95">
                  <c:v>6.6207567599066951E-3</c:v>
                </c:pt>
                <c:pt idx="96">
                  <c:v>6.6207567599066951E-3</c:v>
                </c:pt>
                <c:pt idx="97">
                  <c:v>6.6207567599066951E-3</c:v>
                </c:pt>
                <c:pt idx="98">
                  <c:v>6.6207567599066951E-3</c:v>
                </c:pt>
                <c:pt idx="99">
                  <c:v>6.6207567599066951E-3</c:v>
                </c:pt>
                <c:pt idx="100">
                  <c:v>6.6207567599066951E-3</c:v>
                </c:pt>
                <c:pt idx="101">
                  <c:v>6.6207567599066951E-3</c:v>
                </c:pt>
                <c:pt idx="102">
                  <c:v>6.6207567599066951E-3</c:v>
                </c:pt>
                <c:pt idx="103">
                  <c:v>6.6207567599066951E-3</c:v>
                </c:pt>
                <c:pt idx="104">
                  <c:v>6.6207567599066951E-3</c:v>
                </c:pt>
                <c:pt idx="105">
                  <c:v>6.6207567599066951E-3</c:v>
                </c:pt>
                <c:pt idx="106">
                  <c:v>6.6207567599066951E-3</c:v>
                </c:pt>
                <c:pt idx="107">
                  <c:v>6.6207567599066951E-3</c:v>
                </c:pt>
                <c:pt idx="108">
                  <c:v>6.6207567599066951E-3</c:v>
                </c:pt>
                <c:pt idx="109">
                  <c:v>6.6207567599066951E-3</c:v>
                </c:pt>
                <c:pt idx="110">
                  <c:v>6.6207567599066951E-3</c:v>
                </c:pt>
                <c:pt idx="111">
                  <c:v>6.6207567599066951E-3</c:v>
                </c:pt>
                <c:pt idx="112">
                  <c:v>6.6207567599066951E-3</c:v>
                </c:pt>
                <c:pt idx="113">
                  <c:v>6.6207567599066951E-3</c:v>
                </c:pt>
                <c:pt idx="114">
                  <c:v>6.6207567599066951E-3</c:v>
                </c:pt>
                <c:pt idx="115">
                  <c:v>6.6207567599066951E-3</c:v>
                </c:pt>
                <c:pt idx="116">
                  <c:v>6.6207567599066951E-3</c:v>
                </c:pt>
                <c:pt idx="117">
                  <c:v>6.6207567599066951E-3</c:v>
                </c:pt>
                <c:pt idx="118">
                  <c:v>6.6207567599066951E-3</c:v>
                </c:pt>
                <c:pt idx="119">
                  <c:v>6.6207567599066951E-3</c:v>
                </c:pt>
                <c:pt idx="120">
                  <c:v>6.6207567599066951E-3</c:v>
                </c:pt>
                <c:pt idx="121">
                  <c:v>6.3408693282721654E-3</c:v>
                </c:pt>
                <c:pt idx="122">
                  <c:v>7.1055783324980356E-3</c:v>
                </c:pt>
                <c:pt idx="123">
                  <c:v>6.1935849576817727E-3</c:v>
                </c:pt>
                <c:pt idx="124">
                  <c:v>6.3213168718267527E-3</c:v>
                </c:pt>
                <c:pt idx="125">
                  <c:v>6.3213168718267527E-3</c:v>
                </c:pt>
                <c:pt idx="126">
                  <c:v>6.2089993969137933E-3</c:v>
                </c:pt>
                <c:pt idx="127">
                  <c:v>6.2457635585131174E-3</c:v>
                </c:pt>
                <c:pt idx="128">
                  <c:v>7.3563328033590149E-3</c:v>
                </c:pt>
                <c:pt idx="129">
                  <c:v>7.3563328033590149E-3</c:v>
                </c:pt>
                <c:pt idx="130">
                  <c:v>7.3563328033590149E-3</c:v>
                </c:pt>
                <c:pt idx="131">
                  <c:v>7.3563328033590149E-3</c:v>
                </c:pt>
                <c:pt idx="132">
                  <c:v>7.3563328033590149E-3</c:v>
                </c:pt>
                <c:pt idx="133">
                  <c:v>7.3563328033590149E-3</c:v>
                </c:pt>
                <c:pt idx="134">
                  <c:v>7.3563328033590149E-3</c:v>
                </c:pt>
                <c:pt idx="135">
                  <c:v>7.3563328033590149E-3</c:v>
                </c:pt>
                <c:pt idx="136">
                  <c:v>7.3563328033590149E-3</c:v>
                </c:pt>
                <c:pt idx="137">
                  <c:v>7.3563328033590149E-3</c:v>
                </c:pt>
                <c:pt idx="138">
                  <c:v>7.3563328033590149E-3</c:v>
                </c:pt>
                <c:pt idx="139">
                  <c:v>7.3563328033590149E-3</c:v>
                </c:pt>
                <c:pt idx="140">
                  <c:v>7.3563328033590149E-3</c:v>
                </c:pt>
                <c:pt idx="141">
                  <c:v>7.3563328033590149E-3</c:v>
                </c:pt>
                <c:pt idx="142">
                  <c:v>7.3563328033590149E-3</c:v>
                </c:pt>
                <c:pt idx="143">
                  <c:v>7.3563328033590149E-3</c:v>
                </c:pt>
                <c:pt idx="144">
                  <c:v>7.3563328033590149E-3</c:v>
                </c:pt>
                <c:pt idx="145">
                  <c:v>7.3563328033590149E-3</c:v>
                </c:pt>
                <c:pt idx="146">
                  <c:v>7.3563328033590149E-3</c:v>
                </c:pt>
                <c:pt idx="147">
                  <c:v>7.3563328033590149E-3</c:v>
                </c:pt>
                <c:pt idx="148">
                  <c:v>7.3563328033590149E-3</c:v>
                </c:pt>
                <c:pt idx="149">
                  <c:v>7.3563328033590149E-3</c:v>
                </c:pt>
                <c:pt idx="150">
                  <c:v>7.3563328033590149E-3</c:v>
                </c:pt>
                <c:pt idx="151">
                  <c:v>7.3563328033590149E-3</c:v>
                </c:pt>
                <c:pt idx="152">
                  <c:v>7.3563328033590149E-3</c:v>
                </c:pt>
                <c:pt idx="153">
                  <c:v>7.3563328033590149E-3</c:v>
                </c:pt>
                <c:pt idx="154">
                  <c:v>7.3563328033590149E-3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16F-9372-D0E2FB1D0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5.3337165962146892E-4</c:v>
                </c:pt>
                <c:pt idx="6">
                  <c:v>7.2873533257081908E-4</c:v>
                </c:pt>
                <c:pt idx="7">
                  <c:v>1.2991835531913892E-3</c:v>
                </c:pt>
                <c:pt idx="8">
                  <c:v>1.3410858227114893E-3</c:v>
                </c:pt>
                <c:pt idx="9">
                  <c:v>1.5347964014815693E-3</c:v>
                </c:pt>
                <c:pt idx="10">
                  <c:v>1.5912664767054824E-3</c:v>
                </c:pt>
                <c:pt idx="11">
                  <c:v>1.5912664767054824E-3</c:v>
                </c:pt>
                <c:pt idx="12">
                  <c:v>1.5912664767054824E-3</c:v>
                </c:pt>
                <c:pt idx="13">
                  <c:v>1.5912664767054824E-3</c:v>
                </c:pt>
                <c:pt idx="14">
                  <c:v>1.5912664767054824E-3</c:v>
                </c:pt>
                <c:pt idx="15">
                  <c:v>1.5912664767054824E-3</c:v>
                </c:pt>
                <c:pt idx="16">
                  <c:v>1.5912664767054824E-3</c:v>
                </c:pt>
                <c:pt idx="17">
                  <c:v>1.5912664767054824E-3</c:v>
                </c:pt>
                <c:pt idx="18">
                  <c:v>1.5912664767054824E-3</c:v>
                </c:pt>
                <c:pt idx="19">
                  <c:v>1.5912664767054824E-3</c:v>
                </c:pt>
                <c:pt idx="20">
                  <c:v>1.5912664767054824E-3</c:v>
                </c:pt>
                <c:pt idx="21">
                  <c:v>1.5912664767054824E-3</c:v>
                </c:pt>
                <c:pt idx="22">
                  <c:v>1.5912664767054824E-3</c:v>
                </c:pt>
                <c:pt idx="23">
                  <c:v>1.5912664767054824E-3</c:v>
                </c:pt>
                <c:pt idx="24">
                  <c:v>3.7886900180249664E-3</c:v>
                </c:pt>
                <c:pt idx="25">
                  <c:v>3.7886900180249664E-3</c:v>
                </c:pt>
                <c:pt idx="26">
                  <c:v>3.7886900180249664E-3</c:v>
                </c:pt>
                <c:pt idx="27">
                  <c:v>3.7886900180249664E-3</c:v>
                </c:pt>
                <c:pt idx="28">
                  <c:v>3.7886900180249664E-3</c:v>
                </c:pt>
                <c:pt idx="29">
                  <c:v>3.7886900180249664E-3</c:v>
                </c:pt>
                <c:pt idx="30">
                  <c:v>3.7886900180249664E-3</c:v>
                </c:pt>
                <c:pt idx="31">
                  <c:v>3.7886900180249664E-3</c:v>
                </c:pt>
                <c:pt idx="32">
                  <c:v>3.4622704076726755E-3</c:v>
                </c:pt>
                <c:pt idx="33">
                  <c:v>3.2234392294400054E-3</c:v>
                </c:pt>
                <c:pt idx="34">
                  <c:v>5.1260190064825756E-3</c:v>
                </c:pt>
                <c:pt idx="35">
                  <c:v>5.1260190064825756E-3</c:v>
                </c:pt>
                <c:pt idx="36">
                  <c:v>5.1260190064825756E-3</c:v>
                </c:pt>
                <c:pt idx="37">
                  <c:v>5.1260190064825756E-3</c:v>
                </c:pt>
                <c:pt idx="38">
                  <c:v>5.1260190064825756E-3</c:v>
                </c:pt>
                <c:pt idx="39">
                  <c:v>5.1260190064825756E-3</c:v>
                </c:pt>
                <c:pt idx="40">
                  <c:v>5.1260190064825756E-3</c:v>
                </c:pt>
                <c:pt idx="41">
                  <c:v>5.1260190064825756E-3</c:v>
                </c:pt>
                <c:pt idx="42">
                  <c:v>5.1260190064825756E-3</c:v>
                </c:pt>
                <c:pt idx="43">
                  <c:v>5.1260190064825756E-3</c:v>
                </c:pt>
                <c:pt idx="44">
                  <c:v>5.1260190064825756E-3</c:v>
                </c:pt>
                <c:pt idx="45">
                  <c:v>5.1260190064825756E-3</c:v>
                </c:pt>
                <c:pt idx="46">
                  <c:v>5.1260190064825756E-3</c:v>
                </c:pt>
                <c:pt idx="47">
                  <c:v>5.1260190064825756E-3</c:v>
                </c:pt>
                <c:pt idx="48">
                  <c:v>5.4289102808783157E-3</c:v>
                </c:pt>
                <c:pt idx="49">
                  <c:v>5.3813818696475677E-3</c:v>
                </c:pt>
                <c:pt idx="50">
                  <c:v>5.102330597555188E-3</c:v>
                </c:pt>
                <c:pt idx="51">
                  <c:v>5.4408038438963444E-3</c:v>
                </c:pt>
                <c:pt idx="52">
                  <c:v>5.9032195710917341E-3</c:v>
                </c:pt>
                <c:pt idx="53">
                  <c:v>5.9724370498080185E-3</c:v>
                </c:pt>
                <c:pt idx="54">
                  <c:v>6.0801953679600384E-3</c:v>
                </c:pt>
                <c:pt idx="55">
                  <c:v>5.7407587750680032E-3</c:v>
                </c:pt>
                <c:pt idx="56">
                  <c:v>5.5306066184807505E-3</c:v>
                </c:pt>
                <c:pt idx="57">
                  <c:v>5.5068660185390549E-3</c:v>
                </c:pt>
                <c:pt idx="58">
                  <c:v>5.87934018245043E-3</c:v>
                </c:pt>
                <c:pt idx="59">
                  <c:v>6.44105986881184E-3</c:v>
                </c:pt>
                <c:pt idx="60">
                  <c:v>6.44105986881184E-3</c:v>
                </c:pt>
                <c:pt idx="61">
                  <c:v>6.44105986881184E-3</c:v>
                </c:pt>
                <c:pt idx="62">
                  <c:v>6.44105986881184E-3</c:v>
                </c:pt>
                <c:pt idx="63">
                  <c:v>6.44105986881184E-3</c:v>
                </c:pt>
                <c:pt idx="64">
                  <c:v>6.44105986881184E-3</c:v>
                </c:pt>
                <c:pt idx="65">
                  <c:v>6.44105986881184E-3</c:v>
                </c:pt>
                <c:pt idx="66">
                  <c:v>6.44105986881184E-3</c:v>
                </c:pt>
                <c:pt idx="67">
                  <c:v>6.44105986881184E-3</c:v>
                </c:pt>
                <c:pt idx="68">
                  <c:v>6.44105986881184E-3</c:v>
                </c:pt>
                <c:pt idx="69">
                  <c:v>6.44105986881184E-3</c:v>
                </c:pt>
                <c:pt idx="70">
                  <c:v>6.44105986881184E-3</c:v>
                </c:pt>
                <c:pt idx="71">
                  <c:v>6.44105986881184E-3</c:v>
                </c:pt>
                <c:pt idx="72">
                  <c:v>6.44105986881184E-3</c:v>
                </c:pt>
                <c:pt idx="73">
                  <c:v>6.44105986881184E-3</c:v>
                </c:pt>
                <c:pt idx="74">
                  <c:v>6.44105986881184E-3</c:v>
                </c:pt>
                <c:pt idx="75">
                  <c:v>6.44105986881184E-3</c:v>
                </c:pt>
                <c:pt idx="76">
                  <c:v>6.44105986881184E-3</c:v>
                </c:pt>
                <c:pt idx="77">
                  <c:v>6.44105986881184E-3</c:v>
                </c:pt>
                <c:pt idx="78">
                  <c:v>6.44105986881184E-3</c:v>
                </c:pt>
                <c:pt idx="79">
                  <c:v>6.44105986881184E-3</c:v>
                </c:pt>
                <c:pt idx="80">
                  <c:v>6.44105986881184E-3</c:v>
                </c:pt>
                <c:pt idx="81">
                  <c:v>6.44105986881184E-3</c:v>
                </c:pt>
                <c:pt idx="82">
                  <c:v>6.44105986881184E-3</c:v>
                </c:pt>
                <c:pt idx="83">
                  <c:v>6.9423682786328798E-3</c:v>
                </c:pt>
                <c:pt idx="84">
                  <c:v>6.6978040677824454E-3</c:v>
                </c:pt>
                <c:pt idx="85">
                  <c:v>6.9880703110638057E-3</c:v>
                </c:pt>
                <c:pt idx="86">
                  <c:v>6.5227247444459456E-3</c:v>
                </c:pt>
                <c:pt idx="87">
                  <c:v>6.4410598688121566E-3</c:v>
                </c:pt>
                <c:pt idx="88">
                  <c:v>5.7862171544594034E-3</c:v>
                </c:pt>
                <c:pt idx="89">
                  <c:v>5.9150233282782832E-3</c:v>
                </c:pt>
                <c:pt idx="90">
                  <c:v>6.5688157901655029E-3</c:v>
                </c:pt>
                <c:pt idx="91">
                  <c:v>7.2703184620984381E-3</c:v>
                </c:pt>
                <c:pt idx="92">
                  <c:v>7.2703184620984381E-3</c:v>
                </c:pt>
                <c:pt idx="93">
                  <c:v>7.2703184620984381E-3</c:v>
                </c:pt>
                <c:pt idx="94">
                  <c:v>7.2703184620984381E-3</c:v>
                </c:pt>
                <c:pt idx="95">
                  <c:v>7.2703184620984381E-3</c:v>
                </c:pt>
                <c:pt idx="96">
                  <c:v>7.2703184620984381E-3</c:v>
                </c:pt>
                <c:pt idx="97">
                  <c:v>7.2703184620984381E-3</c:v>
                </c:pt>
                <c:pt idx="98">
                  <c:v>7.2703184620984381E-3</c:v>
                </c:pt>
                <c:pt idx="99">
                  <c:v>7.2703184620984381E-3</c:v>
                </c:pt>
                <c:pt idx="100">
                  <c:v>7.2703184620984381E-3</c:v>
                </c:pt>
                <c:pt idx="101">
                  <c:v>7.2703184620984381E-3</c:v>
                </c:pt>
                <c:pt idx="102">
                  <c:v>7.2703184620984381E-3</c:v>
                </c:pt>
                <c:pt idx="103">
                  <c:v>7.2703184620984381E-3</c:v>
                </c:pt>
                <c:pt idx="104">
                  <c:v>7.2703184620984381E-3</c:v>
                </c:pt>
                <c:pt idx="105">
                  <c:v>7.2703184620984381E-3</c:v>
                </c:pt>
                <c:pt idx="106">
                  <c:v>7.2703184620984381E-3</c:v>
                </c:pt>
                <c:pt idx="107">
                  <c:v>7.2703184620984381E-3</c:v>
                </c:pt>
                <c:pt idx="108">
                  <c:v>7.2703184620984381E-3</c:v>
                </c:pt>
                <c:pt idx="109">
                  <c:v>7.2703184620984381E-3</c:v>
                </c:pt>
                <c:pt idx="110">
                  <c:v>7.2703184620984381E-3</c:v>
                </c:pt>
                <c:pt idx="111">
                  <c:v>7.2703184620984381E-3</c:v>
                </c:pt>
                <c:pt idx="112">
                  <c:v>7.2703184620984381E-3</c:v>
                </c:pt>
                <c:pt idx="113">
                  <c:v>7.2703184620984381E-3</c:v>
                </c:pt>
                <c:pt idx="114">
                  <c:v>7.2703184620984381E-3</c:v>
                </c:pt>
                <c:pt idx="115">
                  <c:v>7.2703184620984381E-3</c:v>
                </c:pt>
                <c:pt idx="116">
                  <c:v>7.2703184620984381E-3</c:v>
                </c:pt>
                <c:pt idx="117">
                  <c:v>7.2703184620984381E-3</c:v>
                </c:pt>
                <c:pt idx="118">
                  <c:v>7.2703184620984381E-3</c:v>
                </c:pt>
                <c:pt idx="119">
                  <c:v>7.2703184620984381E-3</c:v>
                </c:pt>
                <c:pt idx="120">
                  <c:v>7.2703184620984381E-3</c:v>
                </c:pt>
                <c:pt idx="121">
                  <c:v>7.2703184620984381E-3</c:v>
                </c:pt>
                <c:pt idx="122">
                  <c:v>7.2703184620984381E-3</c:v>
                </c:pt>
                <c:pt idx="123">
                  <c:v>7.2703184620984381E-3</c:v>
                </c:pt>
                <c:pt idx="124">
                  <c:v>7.2703184620984381E-3</c:v>
                </c:pt>
                <c:pt idx="125">
                  <c:v>7.2703184620984381E-3</c:v>
                </c:pt>
                <c:pt idx="126">
                  <c:v>7.2703184620984381E-3</c:v>
                </c:pt>
                <c:pt idx="127">
                  <c:v>7.2703184620984381E-3</c:v>
                </c:pt>
                <c:pt idx="128">
                  <c:v>7.2703184620984381E-3</c:v>
                </c:pt>
                <c:pt idx="129">
                  <c:v>7.2703184620984381E-3</c:v>
                </c:pt>
                <c:pt idx="130">
                  <c:v>7.2703184620984381E-3</c:v>
                </c:pt>
                <c:pt idx="131">
                  <c:v>7.2703184620984381E-3</c:v>
                </c:pt>
                <c:pt idx="132">
                  <c:v>7.2703184620984381E-3</c:v>
                </c:pt>
                <c:pt idx="133">
                  <c:v>7.2703184620984381E-3</c:v>
                </c:pt>
                <c:pt idx="134">
                  <c:v>7.2703184620984381E-3</c:v>
                </c:pt>
                <c:pt idx="135">
                  <c:v>7.2703184620984381E-3</c:v>
                </c:pt>
                <c:pt idx="136">
                  <c:v>7.2703184620984381E-3</c:v>
                </c:pt>
                <c:pt idx="137">
                  <c:v>7.2703184620984381E-3</c:v>
                </c:pt>
                <c:pt idx="138">
                  <c:v>7.2703184620984381E-3</c:v>
                </c:pt>
                <c:pt idx="139">
                  <c:v>7.2703184620984381E-3</c:v>
                </c:pt>
                <c:pt idx="140">
                  <c:v>7.2703184620984381E-3</c:v>
                </c:pt>
                <c:pt idx="141">
                  <c:v>7.2703184620984381E-3</c:v>
                </c:pt>
                <c:pt idx="142">
                  <c:v>7.2703184620984381E-3</c:v>
                </c:pt>
                <c:pt idx="143">
                  <c:v>7.2703184620984381E-3</c:v>
                </c:pt>
                <c:pt idx="144">
                  <c:v>7.2703184620984381E-3</c:v>
                </c:pt>
                <c:pt idx="145">
                  <c:v>7.2703184620984381E-3</c:v>
                </c:pt>
                <c:pt idx="146">
                  <c:v>7.2703184620984381E-3</c:v>
                </c:pt>
                <c:pt idx="147">
                  <c:v>7.2703184620984381E-3</c:v>
                </c:pt>
                <c:pt idx="148">
                  <c:v>7.2703184620984381E-3</c:v>
                </c:pt>
                <c:pt idx="149">
                  <c:v>7.2703184620984381E-3</c:v>
                </c:pt>
                <c:pt idx="150">
                  <c:v>7.2703184620984381E-3</c:v>
                </c:pt>
                <c:pt idx="151">
                  <c:v>7.2703184620984381E-3</c:v>
                </c:pt>
                <c:pt idx="152">
                  <c:v>7.2703184620984381E-3</c:v>
                </c:pt>
                <c:pt idx="153">
                  <c:v>7.2703184620984381E-3</c:v>
                </c:pt>
                <c:pt idx="154">
                  <c:v>7.2703184620984381E-3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2-4D9D-A45A-CE32F5F2F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6.7481190496076907E-4</c:v>
                </c:pt>
                <c:pt idx="2">
                  <c:v>1.5594927986280044E-3</c:v>
                </c:pt>
                <c:pt idx="3">
                  <c:v>1.5594927986280044E-3</c:v>
                </c:pt>
                <c:pt idx="4">
                  <c:v>1.5594927986280044E-3</c:v>
                </c:pt>
                <c:pt idx="5">
                  <c:v>2.0928644582494734E-3</c:v>
                </c:pt>
                <c:pt idx="6">
                  <c:v>2.2882281311988233E-3</c:v>
                </c:pt>
                <c:pt idx="7">
                  <c:v>2.8586763518193932E-3</c:v>
                </c:pt>
                <c:pt idx="8">
                  <c:v>2.9005786213394933E-3</c:v>
                </c:pt>
                <c:pt idx="9">
                  <c:v>3.0942892001095731E-3</c:v>
                </c:pt>
                <c:pt idx="10">
                  <c:v>3.150759275333486E-3</c:v>
                </c:pt>
                <c:pt idx="11">
                  <c:v>3.150759275333486E-3</c:v>
                </c:pt>
                <c:pt idx="12">
                  <c:v>3.150759275333486E-3</c:v>
                </c:pt>
                <c:pt idx="13">
                  <c:v>3.788812955528856E-3</c:v>
                </c:pt>
                <c:pt idx="14">
                  <c:v>4.6541173260659947E-3</c:v>
                </c:pt>
                <c:pt idx="15">
                  <c:v>4.6541173260659947E-3</c:v>
                </c:pt>
                <c:pt idx="16">
                  <c:v>4.6541173260659947E-3</c:v>
                </c:pt>
                <c:pt idx="17">
                  <c:v>4.6541173260659947E-3</c:v>
                </c:pt>
                <c:pt idx="18">
                  <c:v>4.6541173260659947E-3</c:v>
                </c:pt>
                <c:pt idx="19">
                  <c:v>4.6541173260659947E-3</c:v>
                </c:pt>
                <c:pt idx="20">
                  <c:v>4.6541173260659947E-3</c:v>
                </c:pt>
                <c:pt idx="21">
                  <c:v>4.6541173260659947E-3</c:v>
                </c:pt>
                <c:pt idx="22">
                  <c:v>4.6541173260659947E-3</c:v>
                </c:pt>
                <c:pt idx="23">
                  <c:v>4.6541173260659947E-3</c:v>
                </c:pt>
                <c:pt idx="24">
                  <c:v>6.8515408673854791E-3</c:v>
                </c:pt>
                <c:pt idx="25">
                  <c:v>7.0202531905539491E-3</c:v>
                </c:pt>
                <c:pt idx="26">
                  <c:v>7.3760777043521686E-3</c:v>
                </c:pt>
                <c:pt idx="27">
                  <c:v>7.2171958784216592E-3</c:v>
                </c:pt>
                <c:pt idx="28">
                  <c:v>7.8787216518622395E-3</c:v>
                </c:pt>
                <c:pt idx="29">
                  <c:v>7.8787216518622395E-3</c:v>
                </c:pt>
                <c:pt idx="30">
                  <c:v>7.8787216518622395E-3</c:v>
                </c:pt>
                <c:pt idx="31">
                  <c:v>7.8787216518622395E-3</c:v>
                </c:pt>
                <c:pt idx="32">
                  <c:v>7.5523020415099486E-3</c:v>
                </c:pt>
                <c:pt idx="33">
                  <c:v>7.3134708632772785E-3</c:v>
                </c:pt>
                <c:pt idx="34">
                  <c:v>9.2160506403198492E-3</c:v>
                </c:pt>
                <c:pt idx="35">
                  <c:v>9.2160506403198492E-3</c:v>
                </c:pt>
                <c:pt idx="36">
                  <c:v>9.2160506403198492E-3</c:v>
                </c:pt>
                <c:pt idx="37">
                  <c:v>9.2160506403198492E-3</c:v>
                </c:pt>
                <c:pt idx="38">
                  <c:v>9.2160506403198492E-3</c:v>
                </c:pt>
                <c:pt idx="39">
                  <c:v>9.2160506403198492E-3</c:v>
                </c:pt>
                <c:pt idx="40">
                  <c:v>9.2160506403198492E-3</c:v>
                </c:pt>
                <c:pt idx="41">
                  <c:v>9.2160506403198492E-3</c:v>
                </c:pt>
                <c:pt idx="42">
                  <c:v>9.2160506403198492E-3</c:v>
                </c:pt>
                <c:pt idx="43">
                  <c:v>9.2160506403198492E-3</c:v>
                </c:pt>
                <c:pt idx="44">
                  <c:v>9.2160506403198492E-3</c:v>
                </c:pt>
                <c:pt idx="45">
                  <c:v>9.2160506403198492E-3</c:v>
                </c:pt>
                <c:pt idx="46">
                  <c:v>9.2160506403198492E-3</c:v>
                </c:pt>
                <c:pt idx="47">
                  <c:v>9.2160506403198492E-3</c:v>
                </c:pt>
                <c:pt idx="48">
                  <c:v>9.5189419147155892E-3</c:v>
                </c:pt>
                <c:pt idx="49">
                  <c:v>9.4714135034848421E-3</c:v>
                </c:pt>
                <c:pt idx="50">
                  <c:v>9.1923622313924615E-3</c:v>
                </c:pt>
                <c:pt idx="51">
                  <c:v>9.5308354777336179E-3</c:v>
                </c:pt>
                <c:pt idx="52">
                  <c:v>9.9932512049290077E-3</c:v>
                </c:pt>
                <c:pt idx="53">
                  <c:v>1.0062468683645291E-2</c:v>
                </c:pt>
                <c:pt idx="54">
                  <c:v>1.0170227001797311E-2</c:v>
                </c:pt>
                <c:pt idx="55">
                  <c:v>9.8307904089052767E-3</c:v>
                </c:pt>
                <c:pt idx="56">
                  <c:v>9.6206382523180232E-3</c:v>
                </c:pt>
                <c:pt idx="57">
                  <c:v>9.5968976523763266E-3</c:v>
                </c:pt>
                <c:pt idx="58">
                  <c:v>9.9693718162877018E-3</c:v>
                </c:pt>
                <c:pt idx="59">
                  <c:v>1.0531091502649113E-2</c:v>
                </c:pt>
                <c:pt idx="60">
                  <c:v>1.0531091502649113E-2</c:v>
                </c:pt>
                <c:pt idx="61">
                  <c:v>1.0531091502649113E-2</c:v>
                </c:pt>
                <c:pt idx="62">
                  <c:v>1.0531091502649113E-2</c:v>
                </c:pt>
                <c:pt idx="63">
                  <c:v>1.0531091502649113E-2</c:v>
                </c:pt>
                <c:pt idx="64">
                  <c:v>1.0531091502649113E-2</c:v>
                </c:pt>
                <c:pt idx="65">
                  <c:v>1.0531091502649113E-2</c:v>
                </c:pt>
                <c:pt idx="66">
                  <c:v>1.0531091502649113E-2</c:v>
                </c:pt>
                <c:pt idx="67">
                  <c:v>1.1433149432759611E-2</c:v>
                </c:pt>
                <c:pt idx="68">
                  <c:v>1.139686116433412E-2</c:v>
                </c:pt>
                <c:pt idx="69">
                  <c:v>1.146298481603456E-2</c:v>
                </c:pt>
                <c:pt idx="70">
                  <c:v>1.181376917584658E-2</c:v>
                </c:pt>
                <c:pt idx="71">
                  <c:v>1.181376917584658E-2</c:v>
                </c:pt>
                <c:pt idx="72">
                  <c:v>1.2484151610847399E-2</c:v>
                </c:pt>
                <c:pt idx="73">
                  <c:v>1.3061816628718531E-2</c:v>
                </c:pt>
                <c:pt idx="74">
                  <c:v>1.3061816628718531E-2</c:v>
                </c:pt>
                <c:pt idx="75">
                  <c:v>1.3061816628718531E-2</c:v>
                </c:pt>
                <c:pt idx="76">
                  <c:v>1.3061816628718531E-2</c:v>
                </c:pt>
                <c:pt idx="77">
                  <c:v>1.3061816628718531E-2</c:v>
                </c:pt>
                <c:pt idx="78">
                  <c:v>1.3061816628718531E-2</c:v>
                </c:pt>
                <c:pt idx="79">
                  <c:v>1.3061816628718531E-2</c:v>
                </c:pt>
                <c:pt idx="80">
                  <c:v>1.3061816628718531E-2</c:v>
                </c:pt>
                <c:pt idx="81">
                  <c:v>1.3061816628718531E-2</c:v>
                </c:pt>
                <c:pt idx="82">
                  <c:v>1.3061816628718531E-2</c:v>
                </c:pt>
                <c:pt idx="83">
                  <c:v>1.3563125038539571E-2</c:v>
                </c:pt>
                <c:pt idx="84">
                  <c:v>1.3318560827689138E-2</c:v>
                </c:pt>
                <c:pt idx="85">
                  <c:v>1.3608827070970497E-2</c:v>
                </c:pt>
                <c:pt idx="86">
                  <c:v>1.3143481504352638E-2</c:v>
                </c:pt>
                <c:pt idx="87">
                  <c:v>1.3061816628718848E-2</c:v>
                </c:pt>
                <c:pt idx="88">
                  <c:v>1.2406973914366095E-2</c:v>
                </c:pt>
                <c:pt idx="89">
                  <c:v>1.2535780088184975E-2</c:v>
                </c:pt>
                <c:pt idx="90">
                  <c:v>1.3189572550072194E-2</c:v>
                </c:pt>
                <c:pt idx="91">
                  <c:v>1.3891075222005131E-2</c:v>
                </c:pt>
                <c:pt idx="92">
                  <c:v>1.3891075222005131E-2</c:v>
                </c:pt>
                <c:pt idx="93">
                  <c:v>1.3891075222005131E-2</c:v>
                </c:pt>
                <c:pt idx="94">
                  <c:v>1.3891075222005131E-2</c:v>
                </c:pt>
                <c:pt idx="95">
                  <c:v>1.3891075222005131E-2</c:v>
                </c:pt>
                <c:pt idx="96">
                  <c:v>1.3891075222005131E-2</c:v>
                </c:pt>
                <c:pt idx="97">
                  <c:v>1.3891075222005131E-2</c:v>
                </c:pt>
                <c:pt idx="98">
                  <c:v>1.3891075222005131E-2</c:v>
                </c:pt>
                <c:pt idx="99">
                  <c:v>1.3891075222005131E-2</c:v>
                </c:pt>
                <c:pt idx="100">
                  <c:v>1.3891075222005131E-2</c:v>
                </c:pt>
                <c:pt idx="101">
                  <c:v>1.3891075222005131E-2</c:v>
                </c:pt>
                <c:pt idx="102">
                  <c:v>1.3891075222005131E-2</c:v>
                </c:pt>
                <c:pt idx="103">
                  <c:v>1.3891075222005131E-2</c:v>
                </c:pt>
                <c:pt idx="104">
                  <c:v>1.3891075222005131E-2</c:v>
                </c:pt>
                <c:pt idx="105">
                  <c:v>1.3891075222005131E-2</c:v>
                </c:pt>
                <c:pt idx="106">
                  <c:v>1.3891075222005131E-2</c:v>
                </c:pt>
                <c:pt idx="107">
                  <c:v>1.3891075222005131E-2</c:v>
                </c:pt>
                <c:pt idx="108">
                  <c:v>1.3891075222005131E-2</c:v>
                </c:pt>
                <c:pt idx="109">
                  <c:v>1.3891075222005131E-2</c:v>
                </c:pt>
                <c:pt idx="110">
                  <c:v>1.3891075222005131E-2</c:v>
                </c:pt>
                <c:pt idx="111">
                  <c:v>1.3891075222005131E-2</c:v>
                </c:pt>
                <c:pt idx="112">
                  <c:v>1.3891075222005131E-2</c:v>
                </c:pt>
                <c:pt idx="113">
                  <c:v>1.3891075222005131E-2</c:v>
                </c:pt>
                <c:pt idx="114">
                  <c:v>1.3891075222005131E-2</c:v>
                </c:pt>
                <c:pt idx="115">
                  <c:v>1.3891075222005131E-2</c:v>
                </c:pt>
                <c:pt idx="116">
                  <c:v>1.3891075222005131E-2</c:v>
                </c:pt>
                <c:pt idx="117">
                  <c:v>1.3891075222005131E-2</c:v>
                </c:pt>
                <c:pt idx="118">
                  <c:v>1.3891075222005131E-2</c:v>
                </c:pt>
                <c:pt idx="119">
                  <c:v>1.3891075222005131E-2</c:v>
                </c:pt>
                <c:pt idx="120">
                  <c:v>1.3891075222005131E-2</c:v>
                </c:pt>
                <c:pt idx="121">
                  <c:v>1.3611187790370601E-2</c:v>
                </c:pt>
                <c:pt idx="122">
                  <c:v>1.4375896794596471E-2</c:v>
                </c:pt>
                <c:pt idx="123">
                  <c:v>1.3463903419780208E-2</c:v>
                </c:pt>
                <c:pt idx="124">
                  <c:v>1.3591635333925187E-2</c:v>
                </c:pt>
                <c:pt idx="125">
                  <c:v>1.3591635333925187E-2</c:v>
                </c:pt>
                <c:pt idx="126">
                  <c:v>1.3479317859012227E-2</c:v>
                </c:pt>
                <c:pt idx="127">
                  <c:v>1.3516082020611551E-2</c:v>
                </c:pt>
                <c:pt idx="128">
                  <c:v>1.4626651265457449E-2</c:v>
                </c:pt>
                <c:pt idx="129">
                  <c:v>1.4626651265457449E-2</c:v>
                </c:pt>
                <c:pt idx="130">
                  <c:v>1.4626651265457449E-2</c:v>
                </c:pt>
                <c:pt idx="131">
                  <c:v>1.4626651265457449E-2</c:v>
                </c:pt>
                <c:pt idx="132">
                  <c:v>1.4626651265457449E-2</c:v>
                </c:pt>
                <c:pt idx="133">
                  <c:v>1.4626651265457449E-2</c:v>
                </c:pt>
                <c:pt idx="134">
                  <c:v>1.4626651265457449E-2</c:v>
                </c:pt>
                <c:pt idx="135">
                  <c:v>1.4626651265457449E-2</c:v>
                </c:pt>
                <c:pt idx="136">
                  <c:v>1.4626651265457449E-2</c:v>
                </c:pt>
                <c:pt idx="137">
                  <c:v>1.4626651265457449E-2</c:v>
                </c:pt>
                <c:pt idx="138">
                  <c:v>1.4626651265457449E-2</c:v>
                </c:pt>
                <c:pt idx="139">
                  <c:v>1.4626651265457449E-2</c:v>
                </c:pt>
                <c:pt idx="140">
                  <c:v>1.4626651265457449E-2</c:v>
                </c:pt>
                <c:pt idx="141">
                  <c:v>1.4626651265457449E-2</c:v>
                </c:pt>
                <c:pt idx="142">
                  <c:v>1.4626651265457449E-2</c:v>
                </c:pt>
                <c:pt idx="143">
                  <c:v>1.4626651265457449E-2</c:v>
                </c:pt>
                <c:pt idx="144">
                  <c:v>1.4626651265457449E-2</c:v>
                </c:pt>
                <c:pt idx="145">
                  <c:v>1.4626651265457449E-2</c:v>
                </c:pt>
                <c:pt idx="146">
                  <c:v>1.4626651265457449E-2</c:v>
                </c:pt>
                <c:pt idx="147">
                  <c:v>1.4626651265457449E-2</c:v>
                </c:pt>
                <c:pt idx="148">
                  <c:v>1.4626651265457449E-2</c:v>
                </c:pt>
                <c:pt idx="149">
                  <c:v>1.4626651265457449E-2</c:v>
                </c:pt>
                <c:pt idx="150">
                  <c:v>1.4626651265457449E-2</c:v>
                </c:pt>
                <c:pt idx="151">
                  <c:v>1.4626651265457449E-2</c:v>
                </c:pt>
                <c:pt idx="152">
                  <c:v>1.4626651265457449E-2</c:v>
                </c:pt>
                <c:pt idx="153">
                  <c:v>1.4626651265457449E-2</c:v>
                </c:pt>
                <c:pt idx="154">
                  <c:v>1.4626651265457449E-2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4-4C8B-98F9-50879335E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DF197-5D39-4C18-B497-180096C4A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89BBB9-2EBE-42B9-BBB9-7E52B0C53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76A6E2-8C73-4C47-9533-06365600A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9C5D0A-47F4-4AF4-A953-BA3EFB5EE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13FF55-BD6D-4040-9588-BA1E08023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D5FD7D-E0F7-4F69-9528-22AEB9902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9FCF5E-5363-47C8-A3E1-B85D1E473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SMH_SOXX_1.xlsx" TargetMode="External"/><Relationship Id="rId1" Type="http://schemas.openxmlformats.org/officeDocument/2006/relationships/externalLinkPath" Target="SMH_SOXX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SOXX/SMH avg</v>
          </cell>
          <cell r="P1" t="str">
            <v>SOXX/SMH 10 dma</v>
          </cell>
          <cell r="Q1" t="str">
            <v>SOXX/SMH 20 dma</v>
          </cell>
          <cell r="U1" t="str">
            <v>log diff SMH x avg / SOXX</v>
          </cell>
          <cell r="V1" t="str">
            <v>log diff SMH x 10 dma / SOXX</v>
          </cell>
          <cell r="W1" t="str">
            <v>log diff SMH x 20 dma / SOXX</v>
          </cell>
          <cell r="Y1" t="str">
            <v>SOXX*/SMH* avg</v>
          </cell>
          <cell r="Z1" t="str">
            <v>SOXX*/SMH* 10 dma</v>
          </cell>
          <cell r="AA1" t="str">
            <v>SOXX*/SMH* 20 dma</v>
          </cell>
          <cell r="AF1" t="str">
            <v>log diff SMH* x 10 dma / SOXX*</v>
          </cell>
          <cell r="AG1" t="str">
            <v>log diff SMH* x 20 dma / SOXX*</v>
          </cell>
        </row>
        <row r="2">
          <cell r="O2">
            <v>0.90525826694812095</v>
          </cell>
          <cell r="Y2">
            <v>0.90525826694812095</v>
          </cell>
        </row>
        <row r="3">
          <cell r="O3">
            <v>0.90525826694812095</v>
          </cell>
          <cell r="U3">
            <v>7.2033908490552301E-2</v>
          </cell>
          <cell r="Y3">
            <v>0.90525826694812095</v>
          </cell>
        </row>
        <row r="4">
          <cell r="O4">
            <v>0.90525826694812095</v>
          </cell>
          <cell r="U4">
            <v>6.6410367484126001E-2</v>
          </cell>
          <cell r="Y4">
            <v>0.90525826694812095</v>
          </cell>
        </row>
        <row r="5">
          <cell r="O5">
            <v>0.90525826694812095</v>
          </cell>
          <cell r="U5">
            <v>7.0273619338743307E-2</v>
          </cell>
          <cell r="Y5">
            <v>0.90525826694812095</v>
          </cell>
        </row>
        <row r="6">
          <cell r="O6">
            <v>0.90525826694812095</v>
          </cell>
          <cell r="U6">
            <v>7.0940801378732293E-2</v>
          </cell>
          <cell r="Y6">
            <v>0.90525826694812095</v>
          </cell>
        </row>
        <row r="7">
          <cell r="O7">
            <v>0.90525826694812095</v>
          </cell>
          <cell r="U7">
            <v>6.9220904220161097E-2</v>
          </cell>
          <cell r="Y7">
            <v>0.90525826694812095</v>
          </cell>
        </row>
        <row r="8">
          <cell r="O8">
            <v>0.90525826694812095</v>
          </cell>
          <cell r="U8">
            <v>6.8149919849437204E-2</v>
          </cell>
          <cell r="Y8">
            <v>0.90525826694812095</v>
          </cell>
        </row>
        <row r="9">
          <cell r="O9">
            <v>0.90525826694812095</v>
          </cell>
          <cell r="U9">
            <v>6.1484157382357997E-2</v>
          </cell>
          <cell r="Y9">
            <v>0.90525826694812095</v>
          </cell>
        </row>
        <row r="10">
          <cell r="O10">
            <v>0.90525826694812095</v>
          </cell>
          <cell r="U10">
            <v>5.7538277988233702E-2</v>
          </cell>
          <cell r="Y10">
            <v>0.90525826694812095</v>
          </cell>
        </row>
        <row r="11">
          <cell r="O11">
            <v>0.90525826694812095</v>
          </cell>
          <cell r="P11">
            <v>0.84637780240292404</v>
          </cell>
          <cell r="U11">
            <v>6.21784946796985E-2</v>
          </cell>
          <cell r="Y11">
            <v>0.90525826694812095</v>
          </cell>
          <cell r="Z11">
            <v>0.84637780240292404</v>
          </cell>
        </row>
        <row r="12">
          <cell r="O12">
            <v>0.90525826694812095</v>
          </cell>
          <cell r="P12">
            <v>0.84788029668610598</v>
          </cell>
          <cell r="U12">
            <v>5.6720011327648097E-2</v>
          </cell>
          <cell r="V12">
            <v>-1.0534434637330401E-2</v>
          </cell>
          <cell r="Y12">
            <v>0.90525826694812095</v>
          </cell>
          <cell r="Z12">
            <v>0.84788029668610598</v>
          </cell>
          <cell r="AF12">
            <v>-1.0534434637330401E-2</v>
          </cell>
        </row>
        <row r="13">
          <cell r="O13">
            <v>0.90525826694812095</v>
          </cell>
          <cell r="P13">
            <v>0.850059660795077</v>
          </cell>
          <cell r="U13">
            <v>4.6490274231847303E-2</v>
          </cell>
          <cell r="V13">
            <v>-1.89905403391127E-2</v>
          </cell>
          <cell r="Y13">
            <v>0.90525826694812095</v>
          </cell>
          <cell r="Z13">
            <v>0.850059660795077</v>
          </cell>
          <cell r="AF13">
            <v>-1.89905403391127E-2</v>
          </cell>
        </row>
        <row r="14">
          <cell r="O14">
            <v>0.90525826694812095</v>
          </cell>
          <cell r="P14">
            <v>0.85196748209104201</v>
          </cell>
          <cell r="U14">
            <v>4.4138248227454303E-2</v>
          </cell>
          <cell r="V14">
            <v>-1.8775496411292499E-2</v>
          </cell>
          <cell r="Y14">
            <v>0.90525826694812095</v>
          </cell>
          <cell r="Z14">
            <v>0.85196748209104201</v>
          </cell>
          <cell r="AF14">
            <v>-1.8775496411292499E-2</v>
          </cell>
        </row>
        <row r="15">
          <cell r="O15">
            <v>0.90525826694812095</v>
          </cell>
          <cell r="P15">
            <v>0.85414212385502197</v>
          </cell>
          <cell r="U15">
            <v>4.4828897752735998E-2</v>
          </cell>
          <cell r="V15">
            <v>-1.5843023536762299E-2</v>
          </cell>
          <cell r="Y15">
            <v>0.90525826694812095</v>
          </cell>
          <cell r="Z15">
            <v>0.85414212385502197</v>
          </cell>
          <cell r="AF15">
            <v>-1.5843023536762299E-2</v>
          </cell>
        </row>
        <row r="16">
          <cell r="O16">
            <v>0.90525826694812095</v>
          </cell>
          <cell r="P16">
            <v>0.85597388860383194</v>
          </cell>
          <cell r="U16">
            <v>4.94510398117965E-2</v>
          </cell>
          <cell r="V16">
            <v>-8.6716397008733005E-3</v>
          </cell>
          <cell r="Y16">
            <v>0.90525826694812095</v>
          </cell>
          <cell r="Z16">
            <v>0.85597388860383194</v>
          </cell>
          <cell r="AF16">
            <v>-8.6716397008733005E-3</v>
          </cell>
        </row>
        <row r="17">
          <cell r="O17">
            <v>0.90525826694812095</v>
          </cell>
          <cell r="P17">
            <v>0.85752364421207306</v>
          </cell>
          <cell r="U17">
            <v>5.1040681153282197E-2</v>
          </cell>
          <cell r="V17">
            <v>-4.9397279683597601E-3</v>
          </cell>
          <cell r="Y17">
            <v>0.90525826694812095</v>
          </cell>
          <cell r="Z17">
            <v>0.85752364421207306</v>
          </cell>
          <cell r="AF17">
            <v>-4.9397279683597601E-3</v>
          </cell>
        </row>
        <row r="18">
          <cell r="O18">
            <v>0.90525826694812095</v>
          </cell>
          <cell r="P18">
            <v>0.85916911022656905</v>
          </cell>
          <cell r="U18">
            <v>4.8878131606743903E-2</v>
          </cell>
          <cell r="V18">
            <v>-5.2933971387853999E-3</v>
          </cell>
          <cell r="Y18">
            <v>0.90525826694812095</v>
          </cell>
          <cell r="Z18">
            <v>0.85916911022656905</v>
          </cell>
          <cell r="AF18">
            <v>-5.2933971387853999E-3</v>
          </cell>
        </row>
        <row r="19">
          <cell r="O19">
            <v>0.90525826694812095</v>
          </cell>
          <cell r="P19">
            <v>0.86055954738083995</v>
          </cell>
          <cell r="U19">
            <v>4.5282546039857E-2</v>
          </cell>
          <cell r="V19">
            <v>-6.9719634671859803E-3</v>
          </cell>
          <cell r="Y19">
            <v>0.90525826694812095</v>
          </cell>
          <cell r="Z19">
            <v>0.86055954738083995</v>
          </cell>
          <cell r="AF19">
            <v>-6.9719634671859803E-3</v>
          </cell>
        </row>
        <row r="20">
          <cell r="O20">
            <v>0.90525826694812095</v>
          </cell>
          <cell r="P20">
            <v>0.86158946437580097</v>
          </cell>
          <cell r="U20">
            <v>4.5559444871791997E-2</v>
          </cell>
          <cell r="V20">
            <v>-5.0780217941034803E-3</v>
          </cell>
          <cell r="Y20">
            <v>0.90525826694812095</v>
          </cell>
          <cell r="Z20">
            <v>0.86158946437580097</v>
          </cell>
          <cell r="AF20">
            <v>-5.0780217941034803E-3</v>
          </cell>
        </row>
        <row r="21">
          <cell r="O21">
            <v>0.90525826694812095</v>
          </cell>
          <cell r="P21">
            <v>0.86235352313664504</v>
          </cell>
          <cell r="Q21">
            <v>0.85436566276978498</v>
          </cell>
          <cell r="U21">
            <v>5.3236900646334497E-2</v>
          </cell>
          <cell r="V21">
            <v>3.7955176070186298E-3</v>
          </cell>
          <cell r="Y21">
            <v>0.90525826694812095</v>
          </cell>
          <cell r="Z21">
            <v>0.86235352313664504</v>
          </cell>
          <cell r="AA21">
            <v>0.85436566276978498</v>
          </cell>
          <cell r="AF21">
            <v>3.7955176070186298E-3</v>
          </cell>
        </row>
        <row r="22">
          <cell r="O22">
            <v>0.90525826694812095</v>
          </cell>
          <cell r="P22">
            <v>0.86326940295574295</v>
          </cell>
          <cell r="Q22">
            <v>0.85557484982092502</v>
          </cell>
          <cell r="U22">
            <v>4.6069160005106503E-2</v>
          </cell>
          <cell r="V22">
            <v>-2.4858145898390598E-3</v>
          </cell>
          <cell r="W22">
            <v>-1.179184213297E-2</v>
          </cell>
          <cell r="Y22">
            <v>0.90525826694812095</v>
          </cell>
          <cell r="Z22">
            <v>0.86326940295574295</v>
          </cell>
          <cell r="AA22">
            <v>0.85557484982092502</v>
          </cell>
          <cell r="AF22">
            <v>-2.4858145898390598E-3</v>
          </cell>
          <cell r="AG22">
            <v>-1.179184213297E-2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0.90525826694812095</v>
          </cell>
          <cell r="P23">
            <v>0.86376991833254102</v>
          </cell>
          <cell r="Q23">
            <v>0.85691478956380895</v>
          </cell>
          <cell r="U23">
            <v>4.0714892661724997E-2</v>
          </cell>
          <cell r="V23">
            <v>-6.7785755157406102E-3</v>
          </cell>
          <cell r="W23">
            <v>-1.5731806178905499E-2</v>
          </cell>
          <cell r="Y23">
            <v>0.90525826694812095</v>
          </cell>
          <cell r="Z23">
            <v>0.86376991833254102</v>
          </cell>
          <cell r="AA23">
            <v>0.85691478956380895</v>
          </cell>
          <cell r="AF23">
            <v>-6.7785755157406102E-3</v>
          </cell>
          <cell r="AG23">
            <v>-1.5731806178905499E-2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0.90525826694812095</v>
          </cell>
          <cell r="P24">
            <v>0.86363522882925703</v>
          </cell>
          <cell r="Q24">
            <v>0.85780135546015002</v>
          </cell>
          <cell r="U24">
            <v>4.5694457978500601E-2</v>
          </cell>
          <cell r="V24">
            <v>-1.21938773798101E-3</v>
          </cell>
          <cell r="W24">
            <v>-9.1873379447421008E-3</v>
          </cell>
          <cell r="Y24">
            <v>0.90525826694812095</v>
          </cell>
          <cell r="Z24">
            <v>0.86363522882925703</v>
          </cell>
          <cell r="AA24">
            <v>0.85780135546015002</v>
          </cell>
          <cell r="AF24">
            <v>-1.21938773798101E-3</v>
          </cell>
          <cell r="AG24">
            <v>-9.1873379447421008E-3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0.90525826694812095</v>
          </cell>
          <cell r="P25">
            <v>0.86389402812970495</v>
          </cell>
          <cell r="Q25">
            <v>0.85901807599236402</v>
          </cell>
          <cell r="U25">
            <v>4.1843438857857199E-2</v>
          </cell>
          <cell r="V25">
            <v>-5.2263511705632698E-3</v>
          </cell>
          <cell r="W25">
            <v>-1.20042897325343E-2</v>
          </cell>
          <cell r="Y25">
            <v>0.90525826694812095</v>
          </cell>
          <cell r="Z25">
            <v>0.86389402812970495</v>
          </cell>
          <cell r="AA25">
            <v>0.85901807599236402</v>
          </cell>
          <cell r="AF25">
            <v>-5.2263511705632698E-3</v>
          </cell>
          <cell r="AG25">
            <v>-1.20042897325343E-2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0.90525826694812095</v>
          </cell>
          <cell r="P26">
            <v>0.86450548920650805</v>
          </cell>
          <cell r="Q26">
            <v>0.86023968890517</v>
          </cell>
          <cell r="U26">
            <v>4.2379140274834498E-2</v>
          </cell>
          <cell r="V26">
            <v>-4.3910319018575896E-3</v>
          </cell>
          <cell r="W26">
            <v>-1.00511757285038E-2</v>
          </cell>
          <cell r="Y26">
            <v>0.90525826694812095</v>
          </cell>
          <cell r="Z26">
            <v>0.86450548920650805</v>
          </cell>
          <cell r="AA26">
            <v>0.86023968890517</v>
          </cell>
          <cell r="AF26">
            <v>-4.3910319018575896E-3</v>
          </cell>
          <cell r="AG26">
            <v>-1.00511757285038E-2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0.90525826694812095</v>
          </cell>
          <cell r="P27">
            <v>0.865234503132152</v>
          </cell>
          <cell r="Q27">
            <v>0.86137907367211297</v>
          </cell>
          <cell r="U27">
            <v>4.2601579957856302E-2</v>
          </cell>
          <cell r="V27">
            <v>-3.46104619584794E-3</v>
          </cell>
          <cell r="W27">
            <v>-8.4076424278327795E-3</v>
          </cell>
          <cell r="Y27">
            <v>0.90525826694812095</v>
          </cell>
          <cell r="Z27">
            <v>0.865234503132152</v>
          </cell>
          <cell r="AA27">
            <v>0.86137907367211297</v>
          </cell>
          <cell r="AF27">
            <v>-3.46104619584794E-3</v>
          </cell>
          <cell r="AG27">
            <v>-8.4076424278327795E-3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0.90525826694812095</v>
          </cell>
          <cell r="P28">
            <v>0.86585130481277905</v>
          </cell>
          <cell r="Q28">
            <v>0.862510207519674</v>
          </cell>
          <cell r="U28">
            <v>4.1748755806582098E-2</v>
          </cell>
          <cell r="V28">
            <v>-3.47095294677661E-3</v>
          </cell>
          <cell r="W28">
            <v>-7.9368460911612704E-3</v>
          </cell>
          <cell r="Y28">
            <v>0.90525826694812095</v>
          </cell>
          <cell r="Z28">
            <v>0.86585130481277905</v>
          </cell>
          <cell r="AA28">
            <v>0.862510207519674</v>
          </cell>
          <cell r="AF28">
            <v>-3.47095294677661E-3</v>
          </cell>
          <cell r="AG28">
            <v>-7.9368460911612704E-3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0.90525826694812095</v>
          </cell>
          <cell r="P29">
            <v>0.866174508258298</v>
          </cell>
          <cell r="Q29">
            <v>0.86336702781956898</v>
          </cell>
          <cell r="U29">
            <v>4.1553828291879001E-2</v>
          </cell>
          <cell r="V29">
            <v>-2.9532621685004201E-3</v>
          </cell>
          <cell r="W29">
            <v>-6.8194688978604496E-3</v>
          </cell>
          <cell r="Y29">
            <v>0.90525826694812095</v>
          </cell>
          <cell r="Z29">
            <v>0.866174508258298</v>
          </cell>
          <cell r="AA29">
            <v>0.86336702781956898</v>
          </cell>
          <cell r="AF29">
            <v>-2.9532621685004201E-3</v>
          </cell>
          <cell r="AG29">
            <v>-6.8194688978604496E-3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0.90525826694812095</v>
          </cell>
          <cell r="P30">
            <v>0.866233352479027</v>
          </cell>
          <cell r="Q30">
            <v>0.86391140842741398</v>
          </cell>
          <cell r="U30">
            <v>4.4879349463591199E-2</v>
          </cell>
          <cell r="V30">
            <v>7.4546758570727303E-4</v>
          </cell>
          <cell r="W30">
            <v>-2.5010377407293999E-3</v>
          </cell>
          <cell r="Y30">
            <v>0.90525826694812095</v>
          </cell>
          <cell r="Z30">
            <v>0.866233352479027</v>
          </cell>
          <cell r="AA30">
            <v>0.86391140842741398</v>
          </cell>
          <cell r="AF30">
            <v>7.4546758570727303E-4</v>
          </cell>
          <cell r="AG30">
            <v>-2.5010377407293999E-3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0.90525826694812095</v>
          </cell>
          <cell r="P31">
            <v>0.86738697100050799</v>
          </cell>
          <cell r="Q31">
            <v>0.86487024706857696</v>
          </cell>
          <cell r="U31">
            <v>3.9886082084385002E-2</v>
          </cell>
          <cell r="V31">
            <v>-4.1798663442401997E-3</v>
          </cell>
          <cell r="W31">
            <v>-6.8639717417773201E-3</v>
          </cell>
          <cell r="Y31">
            <v>0.90525826694812095</v>
          </cell>
          <cell r="Z31">
            <v>0.86738697100050799</v>
          </cell>
          <cell r="AA31">
            <v>0.86487024706857696</v>
          </cell>
          <cell r="AF31">
            <v>-4.1798663442401997E-3</v>
          </cell>
          <cell r="AG31">
            <v>-6.8639717417773201E-3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0.90525826694812095</v>
          </cell>
          <cell r="P32">
            <v>0.86783056009689996</v>
          </cell>
          <cell r="Q32">
            <v>0.86554998152632201</v>
          </cell>
          <cell r="U32">
            <v>4.0951114987768197E-2</v>
          </cell>
          <cell r="V32">
            <v>-1.7839553055077899E-3</v>
          </cell>
          <cell r="W32">
            <v>-4.6896735515576998E-3</v>
          </cell>
          <cell r="Y32">
            <v>0.90525826694812095</v>
          </cell>
          <cell r="Z32">
            <v>0.86783056009689996</v>
          </cell>
          <cell r="AA32">
            <v>0.86554998152632201</v>
          </cell>
          <cell r="AF32">
            <v>-1.7839553055077899E-3</v>
          </cell>
          <cell r="AG32">
            <v>-4.6896735515576998E-3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0.90525826694812095</v>
          </cell>
          <cell r="P33">
            <v>0.86767442703757902</v>
          </cell>
          <cell r="Q33">
            <v>0.86572217268506002</v>
          </cell>
          <cell r="U33">
            <v>4.2512914657038901E-2</v>
          </cell>
          <cell r="V33">
            <v>2.8912216969332699E-4</v>
          </cell>
          <cell r="W33">
            <v>-2.3422444941479902E-3</v>
          </cell>
          <cell r="Y33">
            <v>0.90525826694812095</v>
          </cell>
          <cell r="Z33">
            <v>0.86767442703757902</v>
          </cell>
          <cell r="AA33">
            <v>0.86572217268506002</v>
          </cell>
          <cell r="AF33">
            <v>2.8912216969332699E-4</v>
          </cell>
          <cell r="AG33">
            <v>-2.3422444941479902E-3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0.90525826694812095</v>
          </cell>
          <cell r="P34">
            <v>0.86793997175635496</v>
          </cell>
          <cell r="Q34">
            <v>0.86578760029280599</v>
          </cell>
          <cell r="U34">
            <v>4.2628655864623499E-2</v>
          </cell>
          <cell r="V34">
            <v>2.2493527462218599E-4</v>
          </cell>
          <cell r="W34">
            <v>-2.0275846371908901E-3</v>
          </cell>
          <cell r="Y34">
            <v>0.90525826694812095</v>
          </cell>
          <cell r="Z34">
            <v>0.86793997175635496</v>
          </cell>
          <cell r="AA34">
            <v>0.86578760029280599</v>
          </cell>
          <cell r="AF34">
            <v>2.2493527462218599E-4</v>
          </cell>
          <cell r="AG34">
            <v>-2.0275846371908901E-3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0.90525826694812095</v>
          </cell>
          <cell r="P35">
            <v>0.86772727928718896</v>
          </cell>
          <cell r="Q35">
            <v>0.86581065370844701</v>
          </cell>
          <cell r="U35">
            <v>4.4296365303178403E-2</v>
          </cell>
          <cell r="V35">
            <v>2.1986397787076102E-3</v>
          </cell>
          <cell r="W35">
            <v>-2.8430229827116E-4</v>
          </cell>
          <cell r="Y35">
            <v>0.90525826694812095</v>
          </cell>
          <cell r="Z35">
            <v>0.86772727928718896</v>
          </cell>
          <cell r="AA35">
            <v>0.86581065370844701</v>
          </cell>
          <cell r="AF35">
            <v>2.1986397787076102E-3</v>
          </cell>
          <cell r="AG35">
            <v>-2.8430229827116E-4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0.90525826694812095</v>
          </cell>
          <cell r="P36">
            <v>0.86737990878516202</v>
          </cell>
          <cell r="Q36">
            <v>0.86594269899583498</v>
          </cell>
          <cell r="U36">
            <v>4.6390542742420597E-2</v>
          </cell>
          <cell r="V36">
            <v>4.04773283313733E-3</v>
          </cell>
          <cell r="W36">
            <v>1.8365018895125801E-3</v>
          </cell>
          <cell r="Y36">
            <v>0.90525826694812095</v>
          </cell>
          <cell r="Z36">
            <v>0.86737990878516202</v>
          </cell>
          <cell r="AA36">
            <v>0.86594269899583498</v>
          </cell>
          <cell r="AF36">
            <v>4.04773283313733E-3</v>
          </cell>
          <cell r="AG36">
            <v>1.8365018895125801E-3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0.90525826694812095</v>
          </cell>
          <cell r="P37">
            <v>0.86700237762546095</v>
          </cell>
          <cell r="Q37">
            <v>0.86611844037880703</v>
          </cell>
          <cell r="U37">
            <v>4.6963007496277201E-2</v>
          </cell>
          <cell r="V37">
            <v>4.2197952267754701E-3</v>
          </cell>
          <cell r="W37">
            <v>2.56146559760873E-3</v>
          </cell>
          <cell r="Y37">
            <v>0.90525826694812095</v>
          </cell>
          <cell r="Z37">
            <v>0.86700237762546095</v>
          </cell>
          <cell r="AA37">
            <v>0.86611844037880703</v>
          </cell>
          <cell r="AF37">
            <v>4.2197952267754701E-3</v>
          </cell>
          <cell r="AG37">
            <v>2.56146559760873E-3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0.90525826694812095</v>
          </cell>
          <cell r="P38">
            <v>0.86653063033320099</v>
          </cell>
          <cell r="Q38">
            <v>0.86619096757298997</v>
          </cell>
          <cell r="U38">
            <v>4.7196926288318897E-2</v>
          </cell>
          <cell r="V38">
            <v>4.0183645936979302E-3</v>
          </cell>
          <cell r="W38">
            <v>2.9983118494032401E-3</v>
          </cell>
          <cell r="Y38">
            <v>0.90525826694812095</v>
          </cell>
          <cell r="Z38">
            <v>0.86653063033320099</v>
          </cell>
          <cell r="AA38">
            <v>0.86619096757298997</v>
          </cell>
          <cell r="AF38">
            <v>4.0183645936979302E-3</v>
          </cell>
          <cell r="AG38">
            <v>2.9983118494032401E-3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0.90525826694812095</v>
          </cell>
          <cell r="P39">
            <v>0.86628925311219895</v>
          </cell>
          <cell r="Q39">
            <v>0.86623188068524803</v>
          </cell>
          <cell r="U39">
            <v>4.4337222042281903E-2</v>
          </cell>
          <cell r="V39">
            <v>6.1439923265481095E-4</v>
          </cell>
          <cell r="W39">
            <v>2.22342291744962E-4</v>
          </cell>
          <cell r="Y39">
            <v>0.90525826694812095</v>
          </cell>
          <cell r="Z39">
            <v>0.86628925311219895</v>
          </cell>
          <cell r="AA39">
            <v>0.86623188068524803</v>
          </cell>
          <cell r="AF39">
            <v>6.1439923265481095E-4</v>
          </cell>
          <cell r="AG39">
            <v>2.22342291744962E-4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0.90525826694812095</v>
          </cell>
          <cell r="P40">
            <v>0.86642827972553105</v>
          </cell>
          <cell r="Q40">
            <v>0.86633081610227902</v>
          </cell>
          <cell r="U40">
            <v>4.3274376445292001E-2</v>
          </cell>
          <cell r="V40">
            <v>-7.2704106984257605E-4</v>
          </cell>
          <cell r="W40">
            <v>-7.9327105786640201E-4</v>
          </cell>
          <cell r="Y40">
            <v>0.90525826694812095</v>
          </cell>
          <cell r="Z40">
            <v>0.86642827972553105</v>
          </cell>
          <cell r="AA40">
            <v>0.86633081610227902</v>
          </cell>
          <cell r="AF40">
            <v>-7.2704106984257605E-4</v>
          </cell>
          <cell r="AG40">
            <v>-7.9327105786640201E-4</v>
          </cell>
          <cell r="AR40">
            <v>0</v>
          </cell>
          <cell r="BC40">
            <v>0</v>
          </cell>
          <cell r="BF40">
            <v>0</v>
          </cell>
        </row>
        <row r="41">
          <cell r="O41">
            <v>0.90525826694812095</v>
          </cell>
          <cell r="P41">
            <v>0.86607072073559499</v>
          </cell>
          <cell r="Q41">
            <v>0.86672884586805099</v>
          </cell>
          <cell r="U41">
            <v>4.40050805456835E-2</v>
          </cell>
          <cell r="V41">
            <v>1.64135364897244E-4</v>
          </cell>
          <cell r="W41">
            <v>5.1640069285680302E-5</v>
          </cell>
          <cell r="Y41">
            <v>0.90525826694812095</v>
          </cell>
          <cell r="Z41">
            <v>0.86607072073559499</v>
          </cell>
          <cell r="AA41">
            <v>0.86672884586805099</v>
          </cell>
          <cell r="AF41">
            <v>1.64135364897244E-4</v>
          </cell>
          <cell r="AG41">
            <v>5.1640069285680302E-5</v>
          </cell>
          <cell r="AR41">
            <v>0</v>
          </cell>
          <cell r="BC41">
            <v>0</v>
          </cell>
          <cell r="BF41">
            <v>0</v>
          </cell>
        </row>
        <row r="42">
          <cell r="O42">
            <v>0.90525826694812095</v>
          </cell>
          <cell r="P42">
            <v>0.86478549411703298</v>
          </cell>
          <cell r="Q42">
            <v>0.86630802710696697</v>
          </cell>
          <cell r="U42">
            <v>5.5852403072161202E-2</v>
          </cell>
          <cell r="V42">
            <v>1.15986911366263E-2</v>
          </cell>
          <cell r="W42">
            <v>1.23583002417829E-2</v>
          </cell>
          <cell r="Y42">
            <v>0.90525826694812095</v>
          </cell>
          <cell r="Z42">
            <v>0.86478549411703298</v>
          </cell>
          <cell r="AA42">
            <v>0.86630802710696697</v>
          </cell>
          <cell r="AF42">
            <v>1.15986911366263E-2</v>
          </cell>
          <cell r="AG42">
            <v>1.23583002417829E-2</v>
          </cell>
          <cell r="AR42">
            <v>0</v>
          </cell>
          <cell r="BC42">
            <v>0</v>
          </cell>
          <cell r="BF42">
            <v>0</v>
          </cell>
        </row>
        <row r="43">
          <cell r="O43">
            <v>0.90525826694812095</v>
          </cell>
          <cell r="P43">
            <v>0.86360507487231497</v>
          </cell>
          <cell r="Q43">
            <v>0.86563975095494705</v>
          </cell>
          <cell r="U43">
            <v>5.62122114441014E-2</v>
          </cell>
          <cell r="V43">
            <v>1.0473423112570501E-2</v>
          </cell>
          <cell r="W43">
            <v>1.2232465433341401E-2</v>
          </cell>
          <cell r="Y43">
            <v>0.90525826694812095</v>
          </cell>
          <cell r="Z43">
            <v>0.86360507487231497</v>
          </cell>
          <cell r="AA43">
            <v>0.86563975095494705</v>
          </cell>
          <cell r="AF43">
            <v>1.0473423112570501E-2</v>
          </cell>
          <cell r="AG43">
            <v>1.2232465433341401E-2</v>
          </cell>
          <cell r="AR43">
            <v>0</v>
          </cell>
          <cell r="BC43">
            <v>0</v>
          </cell>
          <cell r="BF43">
            <v>0</v>
          </cell>
        </row>
        <row r="44">
          <cell r="O44">
            <v>0.90525826694812095</v>
          </cell>
          <cell r="P44">
            <v>0.862290307522941</v>
          </cell>
          <cell r="Q44">
            <v>0.86511513963964803</v>
          </cell>
          <cell r="U44">
            <v>5.7900866265431901E-2</v>
          </cell>
          <cell r="V44">
            <v>1.07961604735465E-2</v>
          </cell>
          <cell r="W44">
            <v>1.31494154796783E-2</v>
          </cell>
          <cell r="Y44">
            <v>0.90525826694812095</v>
          </cell>
          <cell r="Z44">
            <v>0.862290307522941</v>
          </cell>
          <cell r="AA44">
            <v>0.86511513963964803</v>
          </cell>
          <cell r="AF44">
            <v>1.07961604735465E-2</v>
          </cell>
          <cell r="AG44">
            <v>1.31494154796783E-2</v>
          </cell>
          <cell r="AR44">
            <v>0</v>
          </cell>
          <cell r="BC44">
            <v>0</v>
          </cell>
          <cell r="BF44">
            <v>0</v>
          </cell>
        </row>
        <row r="45">
          <cell r="O45">
            <v>0.90525826694812095</v>
          </cell>
          <cell r="P45">
            <v>0.86069586365611395</v>
          </cell>
          <cell r="Q45">
            <v>0.86421157147165095</v>
          </cell>
          <cell r="U45">
            <v>6.2878828608257997E-2</v>
          </cell>
          <cell r="V45">
            <v>1.42505454117234E-2</v>
          </cell>
          <cell r="W45">
            <v>1.7521155261220701E-2</v>
          </cell>
          <cell r="Y45">
            <v>0.90525826694812095</v>
          </cell>
          <cell r="Z45">
            <v>0.86069586365611395</v>
          </cell>
          <cell r="AA45">
            <v>0.86421157147165095</v>
          </cell>
          <cell r="AF45">
            <v>1.42505454117234E-2</v>
          </cell>
          <cell r="AG45">
            <v>1.7521155261220701E-2</v>
          </cell>
          <cell r="AR45">
            <v>0</v>
          </cell>
          <cell r="BC45">
            <v>0</v>
          </cell>
          <cell r="BF45">
            <v>0</v>
          </cell>
        </row>
        <row r="46">
          <cell r="O46">
            <v>0.90525826694812095</v>
          </cell>
          <cell r="P46">
            <v>0.85956665761744999</v>
          </cell>
          <cell r="Q46">
            <v>0.86347328320130601</v>
          </cell>
          <cell r="U46">
            <v>5.9542812201278897E-2</v>
          </cell>
          <cell r="V46">
            <v>9.0637372240140492E-3</v>
          </cell>
          <cell r="W46">
            <v>1.31401445863374E-2</v>
          </cell>
          <cell r="Y46">
            <v>0.90525826694812095</v>
          </cell>
          <cell r="Z46">
            <v>0.85956665761744999</v>
          </cell>
          <cell r="AA46">
            <v>0.86347328320130601</v>
          </cell>
          <cell r="AF46">
            <v>9.0637372240140492E-3</v>
          </cell>
          <cell r="AG46">
            <v>1.31401445863374E-2</v>
          </cell>
          <cell r="AR46">
            <v>0</v>
          </cell>
          <cell r="BC46">
            <v>0</v>
          </cell>
          <cell r="BF46">
            <v>0</v>
          </cell>
        </row>
        <row r="47">
          <cell r="O47">
            <v>0.90525826694812095</v>
          </cell>
          <cell r="P47">
            <v>0.85846560064734501</v>
          </cell>
          <cell r="Q47">
            <v>0.86273398913640298</v>
          </cell>
          <cell r="U47">
            <v>5.9792693227837097E-2</v>
          </cell>
          <cell r="V47">
            <v>8.0007881599506309E-3</v>
          </cell>
          <cell r="W47">
            <v>1.2535369379395599E-2</v>
          </cell>
          <cell r="Y47">
            <v>0.90525826694812095</v>
          </cell>
          <cell r="Z47">
            <v>0.85846560064734501</v>
          </cell>
          <cell r="AA47">
            <v>0.86273398913640298</v>
          </cell>
          <cell r="AF47">
            <v>8.0007881599506309E-3</v>
          </cell>
          <cell r="AG47">
            <v>1.2535369379395599E-2</v>
          </cell>
          <cell r="AR47">
            <v>0</v>
          </cell>
          <cell r="BC47">
            <v>0</v>
          </cell>
          <cell r="BF47">
            <v>0</v>
          </cell>
        </row>
        <row r="48">
          <cell r="O48">
            <v>0.90525826694812095</v>
          </cell>
          <cell r="P48">
            <v>0.85741590217544394</v>
          </cell>
          <cell r="Q48">
            <v>0.86197326625432202</v>
          </cell>
          <cell r="U48">
            <v>5.9427378986929201E-2</v>
          </cell>
          <cell r="V48">
            <v>6.3537085557274497E-3</v>
          </cell>
          <cell r="W48">
            <v>1.1313502021199301E-2</v>
          </cell>
          <cell r="Y48">
            <v>0.90525826694812095</v>
          </cell>
          <cell r="Z48">
            <v>0.85741590217544394</v>
          </cell>
          <cell r="AA48">
            <v>0.86197326625432202</v>
          </cell>
          <cell r="AF48">
            <v>6.3537085557274497E-3</v>
          </cell>
          <cell r="AG48">
            <v>1.1313502021199301E-2</v>
          </cell>
          <cell r="AR48">
            <v>0</v>
          </cell>
          <cell r="BC48">
            <v>0</v>
          </cell>
          <cell r="BF48">
            <v>0</v>
          </cell>
        </row>
        <row r="49">
          <cell r="O49">
            <v>0.90525826694812095</v>
          </cell>
          <cell r="P49">
            <v>0.85588807432048797</v>
          </cell>
          <cell r="Q49">
            <v>0.86108866371634296</v>
          </cell>
          <cell r="U49">
            <v>6.2137090549452802E-2</v>
          </cell>
          <cell r="V49">
            <v>7.8399106846191204E-3</v>
          </cell>
          <cell r="W49">
            <v>1.3141066275494001E-2</v>
          </cell>
          <cell r="Y49">
            <v>0.90525826694812095</v>
          </cell>
          <cell r="Z49">
            <v>0.85588807432048797</v>
          </cell>
          <cell r="AA49">
            <v>0.86108866371634296</v>
          </cell>
          <cell r="AF49">
            <v>7.8399106846191204E-3</v>
          </cell>
          <cell r="AG49">
            <v>1.3141066275494001E-2</v>
          </cell>
          <cell r="AR49">
            <v>0</v>
          </cell>
          <cell r="BC49">
            <v>0</v>
          </cell>
          <cell r="BF49">
            <v>0</v>
          </cell>
        </row>
        <row r="50">
          <cell r="O50">
            <v>0.90525826694812095</v>
          </cell>
          <cell r="P50">
            <v>0.85473560579550401</v>
          </cell>
          <cell r="Q50">
            <v>0.86058194276051703</v>
          </cell>
          <cell r="U50">
            <v>5.66573689731798E-2</v>
          </cell>
          <cell r="V50">
            <v>5.7670143669475305E-4</v>
          </cell>
          <cell r="W50">
            <v>6.6345648716242796E-3</v>
          </cell>
          <cell r="Y50">
            <v>0.90525826694812095</v>
          </cell>
          <cell r="Z50">
            <v>0.85473560579550401</v>
          </cell>
          <cell r="AA50">
            <v>0.86058194276051703</v>
          </cell>
          <cell r="AF50">
            <v>5.7670143669475305E-4</v>
          </cell>
          <cell r="AG50">
            <v>6.6345648716242796E-3</v>
          </cell>
          <cell r="AR50">
            <v>0</v>
          </cell>
          <cell r="BC50">
            <v>0</v>
          </cell>
          <cell r="BF50">
            <v>0</v>
          </cell>
        </row>
        <row r="51">
          <cell r="O51">
            <v>0.90525826694812095</v>
          </cell>
          <cell r="P51">
            <v>0.85386806604530796</v>
          </cell>
          <cell r="Q51">
            <v>0.85996939339045098</v>
          </cell>
          <cell r="U51">
            <v>5.4070034467551098E-2</v>
          </cell>
          <cell r="V51">
            <v>-3.3580582364257702E-3</v>
          </cell>
          <cell r="W51">
            <v>3.4585916698934901E-3</v>
          </cell>
          <cell r="Y51">
            <v>0.90525826694812095</v>
          </cell>
          <cell r="Z51">
            <v>0.85386806604530796</v>
          </cell>
          <cell r="AA51">
            <v>0.85996939339045098</v>
          </cell>
          <cell r="AF51">
            <v>-3.3580582364257702E-3</v>
          </cell>
          <cell r="AG51">
            <v>3.4585916698934901E-3</v>
          </cell>
          <cell r="AR51">
            <v>0</v>
          </cell>
          <cell r="BC51">
            <v>0</v>
          </cell>
          <cell r="BF51">
            <v>0</v>
          </cell>
        </row>
        <row r="52">
          <cell r="O52">
            <v>0.90525826694812095</v>
          </cell>
          <cell r="P52">
            <v>0.85399092288643497</v>
          </cell>
          <cell r="Q52">
            <v>0.85938820850173403</v>
          </cell>
          <cell r="U52">
            <v>5.44183283097242E-2</v>
          </cell>
          <cell r="V52">
            <v>-4.0252600753709396E-3</v>
          </cell>
          <cell r="W52">
            <v>3.0948470124579699E-3</v>
          </cell>
          <cell r="Y52">
            <v>0.90525826694812095</v>
          </cell>
          <cell r="Z52">
            <v>0.85399092288643497</v>
          </cell>
          <cell r="AA52">
            <v>0.85938820850173403</v>
          </cell>
          <cell r="AF52">
            <v>-4.0252600753709396E-3</v>
          </cell>
          <cell r="AG52">
            <v>3.0948470124579699E-3</v>
          </cell>
          <cell r="AR52">
            <v>0</v>
          </cell>
          <cell r="BC52">
            <v>0</v>
          </cell>
          <cell r="BF52">
            <v>0</v>
          </cell>
        </row>
        <row r="53">
          <cell r="O53">
            <v>0.90525826694812095</v>
          </cell>
          <cell r="P53">
            <v>0.85434575331219997</v>
          </cell>
          <cell r="Q53">
            <v>0.85897541409225697</v>
          </cell>
          <cell r="U53">
            <v>5.2074480955166702E-2</v>
          </cell>
          <cell r="V53">
            <v>-6.2252350819946099E-3</v>
          </cell>
          <cell r="W53">
            <v>7.4950754271501803E-5</v>
          </cell>
          <cell r="Y53">
            <v>0.90525826694812095</v>
          </cell>
          <cell r="Z53">
            <v>0.85434575331219997</v>
          </cell>
          <cell r="AA53">
            <v>0.85897541409225697</v>
          </cell>
          <cell r="AF53">
            <v>-6.2252350819946099E-3</v>
          </cell>
          <cell r="AG53">
            <v>7.4950754271501803E-5</v>
          </cell>
          <cell r="AR53">
            <v>0</v>
          </cell>
          <cell r="BC53">
            <v>0</v>
          </cell>
          <cell r="BF53">
            <v>0</v>
          </cell>
        </row>
        <row r="54">
          <cell r="O54">
            <v>0.90525826694812095</v>
          </cell>
          <cell r="P54">
            <v>0.85505662199195998</v>
          </cell>
          <cell r="Q54">
            <v>0.85867346475745099</v>
          </cell>
          <cell r="U54">
            <v>4.9614534629993698E-2</v>
          </cell>
          <cell r="V54">
            <v>-8.2697709839046896E-3</v>
          </cell>
          <cell r="W54">
            <v>-2.8654461716822199E-3</v>
          </cell>
          <cell r="Y54">
            <v>0.90525826694812095</v>
          </cell>
          <cell r="Z54">
            <v>0.85505662199195998</v>
          </cell>
          <cell r="AA54">
            <v>0.85867346475745099</v>
          </cell>
          <cell r="AF54">
            <v>-8.2697709839046896E-3</v>
          </cell>
          <cell r="AG54">
            <v>-2.8654461716822199E-3</v>
          </cell>
          <cell r="AR54">
            <v>0</v>
          </cell>
          <cell r="BC54">
            <v>0</v>
          </cell>
          <cell r="BF54">
            <v>0</v>
          </cell>
        </row>
        <row r="55">
          <cell r="O55">
            <v>0.90525826694812095</v>
          </cell>
          <cell r="P55">
            <v>0.85647228621984095</v>
          </cell>
          <cell r="Q55">
            <v>0.85858407493797695</v>
          </cell>
          <cell r="U55">
            <v>4.63628484949122E-2</v>
          </cell>
          <cell r="V55">
            <v>-1.06897410397188E-2</v>
          </cell>
          <cell r="W55">
            <v>-6.46871677974299E-3</v>
          </cell>
          <cell r="Y55">
            <v>0.90525826694812095</v>
          </cell>
          <cell r="Z55">
            <v>0.85647228621984095</v>
          </cell>
          <cell r="AA55">
            <v>0.85858407493797695</v>
          </cell>
          <cell r="AF55">
            <v>-1.06897410397188E-2</v>
          </cell>
          <cell r="AG55">
            <v>-6.46871677974299E-3</v>
          </cell>
          <cell r="AR55">
            <v>0</v>
          </cell>
          <cell r="BC55">
            <v>0</v>
          </cell>
          <cell r="BF55">
            <v>0</v>
          </cell>
        </row>
        <row r="56">
          <cell r="O56">
            <v>0.90525826694812095</v>
          </cell>
          <cell r="P56">
            <v>0.85718449985145995</v>
          </cell>
          <cell r="Q56">
            <v>0.85837557873445502</v>
          </cell>
          <cell r="U56">
            <v>5.1227281885163199E-2</v>
          </cell>
          <cell r="V56">
            <v>-4.1710387160820497E-3</v>
          </cell>
          <cell r="W56">
            <v>-1.7083910349533101E-3</v>
          </cell>
          <cell r="Y56">
            <v>0.90525826694812095</v>
          </cell>
          <cell r="Z56">
            <v>0.85718449985145995</v>
          </cell>
          <cell r="AA56">
            <v>0.85837557873445502</v>
          </cell>
          <cell r="AF56">
            <v>-4.1710387160820497E-3</v>
          </cell>
          <cell r="AG56">
            <v>-1.7083910349533101E-3</v>
          </cell>
          <cell r="AR56">
            <v>0</v>
          </cell>
          <cell r="BC56">
            <v>0</v>
          </cell>
          <cell r="BF56">
            <v>0</v>
          </cell>
        </row>
        <row r="57">
          <cell r="O57">
            <v>0.90525826694812095</v>
          </cell>
          <cell r="P57">
            <v>0.85833669434839899</v>
          </cell>
          <cell r="Q57">
            <v>0.858401147497872</v>
          </cell>
          <cell r="U57">
            <v>4.6371126407297403E-2</v>
          </cell>
          <cell r="V57">
            <v>-8.1959732885529997E-3</v>
          </cell>
          <cell r="W57">
            <v>-6.8074132617270003E-3</v>
          </cell>
          <cell r="Y57">
            <v>0.90525826694812095</v>
          </cell>
          <cell r="Z57">
            <v>0.85833669434839899</v>
          </cell>
          <cell r="AA57">
            <v>0.858401147497872</v>
          </cell>
          <cell r="AF57">
            <v>-8.1959732885529997E-3</v>
          </cell>
          <cell r="AG57">
            <v>-6.8074132617270003E-3</v>
          </cell>
          <cell r="AR57">
            <v>0</v>
          </cell>
          <cell r="BC57">
            <v>0</v>
          </cell>
          <cell r="BF57">
            <v>0</v>
          </cell>
        </row>
        <row r="58">
          <cell r="O58">
            <v>0.90525826694812095</v>
          </cell>
          <cell r="P58">
            <v>0.85955833416294303</v>
          </cell>
          <cell r="Q58">
            <v>0.85848711816919299</v>
          </cell>
          <cell r="U58">
            <v>4.5207750506019703E-2</v>
          </cell>
          <cell r="V58">
            <v>-8.0160901568545901E-3</v>
          </cell>
          <cell r="W58">
            <v>-7.9410022221309308E-3</v>
          </cell>
          <cell r="Y58">
            <v>0.90525826694812095</v>
          </cell>
          <cell r="Z58">
            <v>0.85955833416294303</v>
          </cell>
          <cell r="AA58">
            <v>0.85848711816919299</v>
          </cell>
          <cell r="AF58">
            <v>-8.0160901568545901E-3</v>
          </cell>
          <cell r="AG58">
            <v>-7.9410022221309308E-3</v>
          </cell>
          <cell r="AR58">
            <v>0</v>
          </cell>
          <cell r="BC58">
            <v>0</v>
          </cell>
          <cell r="BF58">
            <v>0</v>
          </cell>
        </row>
        <row r="59">
          <cell r="O59">
            <v>0.90525826694812095</v>
          </cell>
          <cell r="P59">
            <v>0.86083492004454698</v>
          </cell>
          <cell r="Q59">
            <v>0.85836149718251697</v>
          </cell>
          <cell r="U59">
            <v>4.7242621518636597E-2</v>
          </cell>
          <cell r="V59">
            <v>-4.5589669108986102E-3</v>
          </cell>
          <cell r="W59">
            <v>-5.8059841316734501E-3</v>
          </cell>
          <cell r="Y59">
            <v>0.90525826694812095</v>
          </cell>
          <cell r="Z59">
            <v>0.86083492004454698</v>
          </cell>
          <cell r="AA59">
            <v>0.85836149718251697</v>
          </cell>
          <cell r="AF59">
            <v>-4.5589669108986102E-3</v>
          </cell>
          <cell r="AG59">
            <v>-5.8059841316734501E-3</v>
          </cell>
          <cell r="AR59">
            <v>0</v>
          </cell>
          <cell r="BC59">
            <v>0</v>
          </cell>
          <cell r="BF59">
            <v>0</v>
          </cell>
        </row>
        <row r="60">
          <cell r="O60">
            <v>0.90525826694812095</v>
          </cell>
          <cell r="P60">
            <v>0.86172965930749401</v>
          </cell>
          <cell r="Q60">
            <v>0.85823263255149895</v>
          </cell>
          <cell r="U60">
            <v>4.6251736920622601E-2</v>
          </cell>
          <cell r="V60">
            <v>-4.0657883590685196E-3</v>
          </cell>
          <cell r="W60">
            <v>-6.9432077671272097E-3</v>
          </cell>
          <cell r="Y60">
            <v>0.90525826694812095</v>
          </cell>
          <cell r="Z60">
            <v>0.86172965930749401</v>
          </cell>
          <cell r="AA60">
            <v>0.85823263255149895</v>
          </cell>
          <cell r="AF60">
            <v>-4.0657883590685196E-3</v>
          </cell>
          <cell r="AG60">
            <v>-6.9432077671272097E-3</v>
          </cell>
          <cell r="AR60">
            <v>0</v>
          </cell>
          <cell r="BC60">
            <v>0</v>
          </cell>
          <cell r="BF60">
            <v>0</v>
          </cell>
        </row>
        <row r="61">
          <cell r="O61">
            <v>0.90525826694812095</v>
          </cell>
          <cell r="P61">
            <v>0.86142082950572896</v>
          </cell>
          <cell r="Q61">
            <v>0.85764444777551796</v>
          </cell>
          <cell r="U61">
            <v>5.7677582767432102E-2</v>
          </cell>
          <cell r="V61">
            <v>8.3989031184236104E-3</v>
          </cell>
          <cell r="W61">
            <v>4.3324981846097699E-3</v>
          </cell>
          <cell r="Y61">
            <v>0.90525826694812095</v>
          </cell>
          <cell r="Z61">
            <v>0.86142082950572896</v>
          </cell>
          <cell r="AA61">
            <v>0.85764444777551796</v>
          </cell>
          <cell r="AF61">
            <v>8.3989031184236104E-3</v>
          </cell>
          <cell r="AG61">
            <v>4.3324981846097699E-3</v>
          </cell>
          <cell r="AR61">
            <v>0</v>
          </cell>
          <cell r="BC61">
            <v>0</v>
          </cell>
          <cell r="BF61">
            <v>0</v>
          </cell>
        </row>
        <row r="62">
          <cell r="O62">
            <v>0.90525826694812095</v>
          </cell>
          <cell r="P62">
            <v>0.86141210916574196</v>
          </cell>
          <cell r="Q62">
            <v>0.85770151602608802</v>
          </cell>
          <cell r="U62">
            <v>5.4520050706906298E-2</v>
          </cell>
          <cell r="V62">
            <v>4.8829231950127897E-3</v>
          </cell>
          <cell r="W62">
            <v>4.8938694622508003E-4</v>
          </cell>
          <cell r="Y62">
            <v>0.90525826694812095</v>
          </cell>
          <cell r="Z62">
            <v>0.86141210916574196</v>
          </cell>
          <cell r="AA62">
            <v>0.85770151602608802</v>
          </cell>
          <cell r="AF62">
            <v>4.8829231950127897E-3</v>
          </cell>
          <cell r="AG62">
            <v>4.8938694622508003E-4</v>
          </cell>
          <cell r="AR62">
            <v>0</v>
          </cell>
          <cell r="BC62">
            <v>0</v>
          </cell>
          <cell r="BF62">
            <v>0</v>
          </cell>
        </row>
        <row r="63">
          <cell r="O63">
            <v>0.90525826694812095</v>
          </cell>
          <cell r="P63">
            <v>0.86184858401292497</v>
          </cell>
          <cell r="Q63">
            <v>0.85809716866256203</v>
          </cell>
          <cell r="U63">
            <v>4.7008054337155901E-2</v>
          </cell>
          <cell r="V63">
            <v>-2.6391964313708699E-3</v>
          </cell>
          <cell r="W63">
            <v>-6.95607095047668E-3</v>
          </cell>
          <cell r="Y63">
            <v>0.90525826694812095</v>
          </cell>
          <cell r="Z63">
            <v>0.86184858401292497</v>
          </cell>
          <cell r="AA63">
            <v>0.85809716866256203</v>
          </cell>
          <cell r="AF63">
            <v>-2.6391964313708699E-3</v>
          </cell>
          <cell r="AG63">
            <v>-6.95607095047668E-3</v>
          </cell>
          <cell r="AR63">
            <v>0</v>
          </cell>
          <cell r="BC63">
            <v>0</v>
          </cell>
          <cell r="BF63">
            <v>0</v>
          </cell>
        </row>
        <row r="64">
          <cell r="O64">
            <v>0.90525826694812095</v>
          </cell>
          <cell r="P64">
            <v>0.86226909399417295</v>
          </cell>
          <cell r="Q64">
            <v>0.85866285799306696</v>
          </cell>
          <cell r="U64">
            <v>4.4744934745104499E-2</v>
          </cell>
          <cell r="V64">
            <v>-4.3957474488068599E-3</v>
          </cell>
          <cell r="W64">
            <v>-8.7580028204278203E-3</v>
          </cell>
          <cell r="Y64">
            <v>0.90525826694812095</v>
          </cell>
          <cell r="Z64">
            <v>0.86226909399417295</v>
          </cell>
          <cell r="AA64">
            <v>0.85866285799306696</v>
          </cell>
          <cell r="AF64">
            <v>-4.3957474488068599E-3</v>
          </cell>
          <cell r="AG64">
            <v>-8.7580028204278203E-3</v>
          </cell>
          <cell r="AR64">
            <v>0</v>
          </cell>
          <cell r="BC64">
            <v>0</v>
          </cell>
          <cell r="BF64">
            <v>0</v>
          </cell>
        </row>
        <row r="65">
          <cell r="O65">
            <v>0.90525826694812095</v>
          </cell>
          <cell r="P65">
            <v>0.86274282376245803</v>
          </cell>
          <cell r="Q65">
            <v>0.85960755499114905</v>
          </cell>
          <cell r="U65">
            <v>4.0896393973623997E-2</v>
          </cell>
          <cell r="V65">
            <v>-7.7564909023314001E-3</v>
          </cell>
          <cell r="W65">
            <v>-1.1947523877801999E-2</v>
          </cell>
          <cell r="Y65">
            <v>0.90525826694812095</v>
          </cell>
          <cell r="Z65">
            <v>0.86274282376245803</v>
          </cell>
          <cell r="AA65">
            <v>0.85960755499114905</v>
          </cell>
          <cell r="AF65">
            <v>-7.7564909023314001E-3</v>
          </cell>
          <cell r="AG65">
            <v>-1.1947523877801999E-2</v>
          </cell>
          <cell r="AR65">
            <v>0</v>
          </cell>
          <cell r="BC65">
            <v>0</v>
          </cell>
          <cell r="BF65">
            <v>0</v>
          </cell>
        </row>
        <row r="66">
          <cell r="O66">
            <v>0.90525826694812095</v>
          </cell>
          <cell r="P66">
            <v>0.86369935160557998</v>
          </cell>
          <cell r="Q66">
            <v>0.86044192572851996</v>
          </cell>
          <cell r="U66">
            <v>4.0166931020742203E-2</v>
          </cell>
          <cell r="V66">
            <v>-7.9367057308167704E-3</v>
          </cell>
          <cell r="W66">
            <v>-1.15773961188493E-2</v>
          </cell>
          <cell r="Y66">
            <v>0.90525826694812095</v>
          </cell>
          <cell r="Z66">
            <v>0.86369935160557998</v>
          </cell>
          <cell r="AA66">
            <v>0.86044192572851996</v>
          </cell>
          <cell r="AF66">
            <v>-7.9367057308167704E-3</v>
          </cell>
          <cell r="AG66">
            <v>-1.15773961188493E-2</v>
          </cell>
          <cell r="AR66">
            <v>0</v>
          </cell>
          <cell r="BC66">
            <v>0</v>
          </cell>
          <cell r="BF66">
            <v>0</v>
          </cell>
        </row>
        <row r="67">
          <cell r="O67">
            <v>0.90525826694812095</v>
          </cell>
          <cell r="P67">
            <v>0.86485704429948296</v>
          </cell>
          <cell r="Q67">
            <v>0.86159686932394097</v>
          </cell>
          <cell r="U67">
            <v>3.3064534940807702E-2</v>
          </cell>
          <cell r="V67">
            <v>-1.3931010321047E-2</v>
          </cell>
          <cell r="W67">
            <v>-1.77096215005937E-2</v>
          </cell>
          <cell r="Y67">
            <v>0.90525826694812095</v>
          </cell>
          <cell r="Z67">
            <v>0.86485704429948296</v>
          </cell>
          <cell r="AA67">
            <v>0.86159686932394097</v>
          </cell>
          <cell r="AF67">
            <v>-1.3931010321047E-2</v>
          </cell>
          <cell r="AG67">
            <v>-1.77096215005937E-2</v>
          </cell>
          <cell r="AR67">
            <v>0</v>
          </cell>
          <cell r="BC67">
            <v>0</v>
          </cell>
          <cell r="BF67">
            <v>0</v>
          </cell>
        </row>
        <row r="68">
          <cell r="O68">
            <v>0.90525826694812095</v>
          </cell>
          <cell r="P68">
            <v>0.866322612993491</v>
          </cell>
          <cell r="Q68">
            <v>0.86294047357821702</v>
          </cell>
          <cell r="U68">
            <v>2.8411406084654801E-2</v>
          </cell>
          <cell r="V68">
            <v>-1.7244648177955599E-2</v>
          </cell>
          <cell r="W68">
            <v>-2.10213824712959E-2</v>
          </cell>
          <cell r="Y68">
            <v>0.90525826694812095</v>
          </cell>
          <cell r="Z68">
            <v>0.866322612993491</v>
          </cell>
          <cell r="AA68">
            <v>0.86294047357821702</v>
          </cell>
          <cell r="AF68">
            <v>-1.7244648177955599E-2</v>
          </cell>
          <cell r="AG68">
            <v>-2.10213824712959E-2</v>
          </cell>
          <cell r="AR68">
            <v>0</v>
          </cell>
          <cell r="BC68">
            <v>0</v>
          </cell>
          <cell r="BF68">
            <v>0</v>
          </cell>
        </row>
        <row r="69">
          <cell r="O69">
            <v>0.90525826694812095</v>
          </cell>
          <cell r="P69">
            <v>0.86846513399983205</v>
          </cell>
          <cell r="Q69">
            <v>0.86465002702218996</v>
          </cell>
          <cell r="U69">
            <v>2.2732992918173801E-2</v>
          </cell>
          <cell r="V69">
            <v>-2.1229916397924601E-2</v>
          </cell>
          <cell r="W69">
            <v>-2.51415753630264E-2</v>
          </cell>
          <cell r="Y69">
            <v>0.90525826694812095</v>
          </cell>
          <cell r="Z69">
            <v>0.86846513399983205</v>
          </cell>
          <cell r="AA69">
            <v>0.86465002702218996</v>
          </cell>
          <cell r="AF69">
            <v>-2.1229916397924601E-2</v>
          </cell>
          <cell r="AG69">
            <v>-2.51415753630264E-2</v>
          </cell>
          <cell r="AR69">
            <v>0</v>
          </cell>
          <cell r="BC69">
            <v>0</v>
          </cell>
          <cell r="BF69">
            <v>0</v>
          </cell>
        </row>
        <row r="70">
          <cell r="O70">
            <v>0.90525826694812095</v>
          </cell>
          <cell r="P70">
            <v>0.87075290636867697</v>
          </cell>
          <cell r="Q70">
            <v>0.86624128283808599</v>
          </cell>
          <cell r="U70">
            <v>2.0127594076609599E-2</v>
          </cell>
          <cell r="V70">
            <v>-2.1365246956622602E-2</v>
          </cell>
          <cell r="W70">
            <v>-2.57678547299314E-2</v>
          </cell>
          <cell r="Y70">
            <v>0.90525826694812095</v>
          </cell>
          <cell r="Z70">
            <v>0.87075290636867697</v>
          </cell>
          <cell r="AA70">
            <v>0.86624128283808599</v>
          </cell>
          <cell r="AF70">
            <v>-2.1365246956622602E-2</v>
          </cell>
          <cell r="AG70">
            <v>-2.57678547299314E-2</v>
          </cell>
          <cell r="AR70">
            <v>0</v>
          </cell>
          <cell r="BC70">
            <v>0</v>
          </cell>
          <cell r="BF70">
            <v>0</v>
          </cell>
        </row>
        <row r="71">
          <cell r="O71">
            <v>0.90525826694812095</v>
          </cell>
          <cell r="P71">
            <v>0.87407057943766198</v>
          </cell>
          <cell r="Q71">
            <v>0.86774570447169597</v>
          </cell>
          <cell r="U71">
            <v>1.9587429665452901E-2</v>
          </cell>
          <cell r="V71">
            <v>-1.92746041483907E-2</v>
          </cell>
          <cell r="W71">
            <v>-2.4469363813487001E-2</v>
          </cell>
          <cell r="Y71">
            <v>0.90525826694812095</v>
          </cell>
          <cell r="Z71">
            <v>0.87407057943766198</v>
          </cell>
          <cell r="AA71">
            <v>0.86774570447169597</v>
          </cell>
          <cell r="AF71">
            <v>-1.92746041483907E-2</v>
          </cell>
          <cell r="AG71">
            <v>-2.4469363813487001E-2</v>
          </cell>
          <cell r="AR71">
            <v>0</v>
          </cell>
          <cell r="BC71">
            <v>0</v>
          </cell>
          <cell r="BF71">
            <v>0</v>
          </cell>
        </row>
        <row r="72">
          <cell r="O72">
            <v>0.90525826694812095</v>
          </cell>
          <cell r="P72">
            <v>0.877058913168278</v>
          </cell>
          <cell r="Q72">
            <v>0.86923551116701003</v>
          </cell>
          <cell r="U72">
            <v>2.02533580751331E-2</v>
          </cell>
          <cell r="V72">
            <v>-1.48057958551091E-2</v>
          </cell>
          <cell r="W72">
            <v>-2.2068218216940001E-2</v>
          </cell>
          <cell r="Y72">
            <v>0.90525826694812095</v>
          </cell>
          <cell r="Z72">
            <v>0.877058913168278</v>
          </cell>
          <cell r="AA72">
            <v>0.86923551116701003</v>
          </cell>
          <cell r="AF72">
            <v>-1.48057958551091E-2</v>
          </cell>
          <cell r="AG72">
            <v>-2.2068218216940001E-2</v>
          </cell>
          <cell r="AR72">
            <v>0</v>
          </cell>
          <cell r="BC72">
            <v>0</v>
          </cell>
          <cell r="BF72">
            <v>0</v>
          </cell>
        </row>
        <row r="73">
          <cell r="O73">
            <v>0.90525826694812095</v>
          </cell>
          <cell r="P73">
            <v>0.87994907336061201</v>
          </cell>
          <cell r="Q73">
            <v>0.87089882868676904</v>
          </cell>
          <cell r="U73">
            <v>1.4092764416431799E-2</v>
          </cell>
          <cell r="V73">
            <v>-1.7553350507709901E-2</v>
          </cell>
          <cell r="W73">
            <v>-2.6513413865317598E-2</v>
          </cell>
          <cell r="Y73">
            <v>0.90525826694812095</v>
          </cell>
          <cell r="Z73">
            <v>0.87994907336061201</v>
          </cell>
          <cell r="AA73">
            <v>0.87089882868676904</v>
          </cell>
          <cell r="AF73">
            <v>-1.7553350507709901E-2</v>
          </cell>
          <cell r="AG73">
            <v>-2.6513413865317598E-2</v>
          </cell>
          <cell r="AR73">
            <v>0</v>
          </cell>
          <cell r="BC73">
            <v>0</v>
          </cell>
          <cell r="BF73">
            <v>0</v>
          </cell>
        </row>
        <row r="74">
          <cell r="O74">
            <v>0.90525826694812095</v>
          </cell>
          <cell r="P74">
            <v>0.88294632324716205</v>
          </cell>
          <cell r="Q74">
            <v>0.87260770862066706</v>
          </cell>
          <cell r="U74">
            <v>1.0706420442866699E-2</v>
          </cell>
          <cell r="V74">
            <v>-1.76498257712479E-2</v>
          </cell>
          <cell r="W74">
            <v>-2.79880456357109E-2</v>
          </cell>
          <cell r="Y74">
            <v>0.90525826694812095</v>
          </cell>
          <cell r="Z74">
            <v>0.88294632324716205</v>
          </cell>
          <cell r="AA74">
            <v>0.87260770862066706</v>
          </cell>
          <cell r="AF74">
            <v>-1.76498257712479E-2</v>
          </cell>
          <cell r="AG74">
            <v>-2.79880456357109E-2</v>
          </cell>
          <cell r="AR74">
            <v>0</v>
          </cell>
          <cell r="BC74">
            <v>0</v>
          </cell>
          <cell r="BF74">
            <v>0</v>
          </cell>
        </row>
        <row r="75">
          <cell r="O75">
            <v>0.90525826694812095</v>
          </cell>
          <cell r="P75">
            <v>0.88604497754725897</v>
          </cell>
          <cell r="Q75">
            <v>0.874393900654859</v>
          </cell>
          <cell r="U75">
            <v>5.8590458629432397E-3</v>
          </cell>
          <cell r="V75">
            <v>-1.90968252860323E-2</v>
          </cell>
          <cell r="W75">
            <v>-3.0875140234391901E-2</v>
          </cell>
          <cell r="Y75">
            <v>0.90525826694812095</v>
          </cell>
          <cell r="Z75">
            <v>0.88604497754725897</v>
          </cell>
          <cell r="AA75">
            <v>0.874393900654859</v>
          </cell>
          <cell r="AF75">
            <v>-1.90968252860323E-2</v>
          </cell>
          <cell r="AG75">
            <v>-3.0875140234391901E-2</v>
          </cell>
          <cell r="AR75">
            <v>0</v>
          </cell>
          <cell r="BC75">
            <v>0</v>
          </cell>
          <cell r="BF75">
            <v>0</v>
          </cell>
        </row>
        <row r="76">
          <cell r="O76">
            <v>0.90525826694812095</v>
          </cell>
          <cell r="P76">
            <v>0.88962255618415997</v>
          </cell>
          <cell r="Q76">
            <v>0.87666095389486998</v>
          </cell>
          <cell r="U76">
            <v>-1.49033400827019E-4</v>
          </cell>
          <cell r="V76">
            <v>-2.1601600188847901E-2</v>
          </cell>
          <cell r="W76">
            <v>-3.48383528568059E-2</v>
          </cell>
          <cell r="Y76">
            <v>0.90525826694812095</v>
          </cell>
          <cell r="Z76">
            <v>0.88962255618415997</v>
          </cell>
          <cell r="AA76">
            <v>0.87666095389486998</v>
          </cell>
          <cell r="AF76">
            <v>-2.1601600188847901E-2</v>
          </cell>
          <cell r="AG76">
            <v>-3.48383528568059E-2</v>
          </cell>
          <cell r="AR76">
            <v>0</v>
          </cell>
          <cell r="BC76">
            <v>0</v>
          </cell>
          <cell r="BF76">
            <v>0</v>
          </cell>
        </row>
        <row r="77">
          <cell r="O77">
            <v>0.90525826694812095</v>
          </cell>
          <cell r="P77">
            <v>0.89259107169992302</v>
          </cell>
          <cell r="Q77">
            <v>0.87872405799970299</v>
          </cell>
          <cell r="U77">
            <v>-2.68003974166971E-4</v>
          </cell>
          <cell r="V77">
            <v>-1.76910062070933E-2</v>
          </cell>
          <cell r="W77">
            <v>-3.2367964792071401E-2</v>
          </cell>
          <cell r="Y77">
            <v>0.90525826694812095</v>
          </cell>
          <cell r="Z77">
            <v>0.89259107169992302</v>
          </cell>
          <cell r="AA77">
            <v>0.87872405799970299</v>
          </cell>
          <cell r="AF77">
            <v>-1.76910062070933E-2</v>
          </cell>
          <cell r="AG77">
            <v>-3.2367964792071401E-2</v>
          </cell>
          <cell r="AR77">
            <v>0</v>
          </cell>
          <cell r="BC77">
            <v>0</v>
          </cell>
          <cell r="BF77">
            <v>0</v>
          </cell>
        </row>
        <row r="78">
          <cell r="O78">
            <v>0.90525826694812095</v>
          </cell>
          <cell r="P78">
            <v>0.89612327598178998</v>
          </cell>
          <cell r="Q78">
            <v>0.88122294448764105</v>
          </cell>
          <cell r="U78">
            <v>-1.09470113010432E-2</v>
          </cell>
          <cell r="V78">
            <v>-2.50387425633713E-2</v>
          </cell>
          <cell r="W78">
            <v>-4.0696370922291197E-2</v>
          </cell>
          <cell r="Y78">
            <v>0.90525826694812095</v>
          </cell>
          <cell r="Z78">
            <v>0.89612327598178998</v>
          </cell>
          <cell r="AA78">
            <v>0.88122294448764105</v>
          </cell>
          <cell r="AF78">
            <v>-2.50387425633713E-2</v>
          </cell>
          <cell r="AG78">
            <v>-4.0696370922291197E-2</v>
          </cell>
          <cell r="AR78">
            <v>0</v>
          </cell>
          <cell r="BC78">
            <v>0</v>
          </cell>
          <cell r="BF78">
            <v>0</v>
          </cell>
        </row>
        <row r="79">
          <cell r="O79">
            <v>0.90525826694812095</v>
          </cell>
          <cell r="P79">
            <v>0.89877819615654297</v>
          </cell>
          <cell r="Q79">
            <v>0.88362166507818696</v>
          </cell>
          <cell r="U79">
            <v>-6.8278566933311002E-3</v>
          </cell>
          <cell r="V79">
            <v>-1.6970149211858802E-2</v>
          </cell>
          <cell r="W79">
            <v>-3.3737485159410302E-2</v>
          </cell>
          <cell r="Y79">
            <v>0.90525826694812095</v>
          </cell>
          <cell r="Z79">
            <v>0.89877819615654297</v>
          </cell>
          <cell r="AA79">
            <v>0.88362166507818696</v>
          </cell>
          <cell r="AF79">
            <v>-1.6970149211858802E-2</v>
          </cell>
          <cell r="AG79">
            <v>-3.3737485159410302E-2</v>
          </cell>
          <cell r="AR79">
            <v>4.1191546077121999E-3</v>
          </cell>
          <cell r="BC79">
            <v>0</v>
          </cell>
          <cell r="BF79">
            <v>4.1191546077121999E-3</v>
          </cell>
        </row>
        <row r="80">
          <cell r="O80">
            <v>0.90525826694812095</v>
          </cell>
          <cell r="P80">
            <v>0.900011976011306</v>
          </cell>
          <cell r="Q80">
            <v>0.88538244118999199</v>
          </cell>
          <cell r="U80">
            <v>6.3172610544241104E-3</v>
          </cell>
          <cell r="V80">
            <v>-8.6673859714212799E-4</v>
          </cell>
          <cell r="W80">
            <v>-1.7874029429229402E-2</v>
          </cell>
          <cell r="Y80">
            <v>0.90525826694812095</v>
          </cell>
          <cell r="Z80">
            <v>0.900011976011306</v>
          </cell>
          <cell r="AA80">
            <v>0.88538244118999199</v>
          </cell>
          <cell r="AF80">
            <v>-8.6673859714212799E-4</v>
          </cell>
          <cell r="AG80">
            <v>-1.7874029429229402E-2</v>
          </cell>
          <cell r="AR80">
            <v>1.7264272355467399E-2</v>
          </cell>
          <cell r="BC80">
            <v>0</v>
          </cell>
          <cell r="BF80">
            <v>1.7264272355467399E-2</v>
          </cell>
        </row>
        <row r="81">
          <cell r="O81">
            <v>0.90525826694812095</v>
          </cell>
          <cell r="P81">
            <v>0.90055417134509697</v>
          </cell>
          <cell r="Q81">
            <v>0.88731237539137997</v>
          </cell>
          <cell r="U81">
            <v>1.3498134247555801E-2</v>
          </cell>
          <cell r="V81">
            <v>7.6859233319195404E-3</v>
          </cell>
          <cell r="W81">
            <v>-8.7024579815892806E-3</v>
          </cell>
          <cell r="Y81">
            <v>0.90525826694812095</v>
          </cell>
          <cell r="Z81">
            <v>0.90055417134509697</v>
          </cell>
          <cell r="AA81">
            <v>0.88731237539137997</v>
          </cell>
          <cell r="AF81">
            <v>7.6859233319195404E-3</v>
          </cell>
          <cell r="AG81">
            <v>-8.7024579815892806E-3</v>
          </cell>
          <cell r="AR81">
            <v>2.4445145548599102E-2</v>
          </cell>
          <cell r="BC81">
            <v>0</v>
          </cell>
          <cell r="BF81">
            <v>2.4445145548599102E-2</v>
          </cell>
        </row>
        <row r="82">
          <cell r="O82">
            <v>0.90525826694812095</v>
          </cell>
          <cell r="P82">
            <v>0.90191701644403099</v>
          </cell>
          <cell r="Q82">
            <v>0.889487964806154</v>
          </cell>
          <cell r="U82">
            <v>5.0073869777793904E-3</v>
          </cell>
          <cell r="V82">
            <v>-2.0257408330405101E-4</v>
          </cell>
          <cell r="W82">
            <v>-1.50158028628289E-2</v>
          </cell>
          <cell r="Y82">
            <v>0.90525826694812095</v>
          </cell>
          <cell r="Z82">
            <v>0.90191701644403099</v>
          </cell>
          <cell r="AA82">
            <v>0.889487964806154</v>
          </cell>
          <cell r="AF82">
            <v>-2.0257408330405101E-4</v>
          </cell>
          <cell r="AG82">
            <v>-1.50158028628289E-2</v>
          </cell>
          <cell r="AR82">
            <v>2.4445145548599102E-2</v>
          </cell>
          <cell r="BC82">
            <v>0</v>
          </cell>
          <cell r="BF82">
            <v>2.4445145548599102E-2</v>
          </cell>
        </row>
        <row r="83">
          <cell r="O83">
            <v>0.90525826694812095</v>
          </cell>
          <cell r="P83">
            <v>0.90372210000834896</v>
          </cell>
          <cell r="Q83">
            <v>0.89183558668448104</v>
          </cell>
          <cell r="U83">
            <v>-5.92845001769362E-3</v>
          </cell>
          <cell r="V83">
            <v>-9.6262145256533291E-3</v>
          </cell>
          <cell r="W83">
            <v>-2.3502754124983202E-2</v>
          </cell>
          <cell r="Y83">
            <v>0.90525826694812095</v>
          </cell>
          <cell r="Z83">
            <v>0.90372210000834896</v>
          </cell>
          <cell r="AA83">
            <v>0.89183558668448104</v>
          </cell>
          <cell r="AF83">
            <v>-9.6262145256533291E-3</v>
          </cell>
          <cell r="AG83">
            <v>-2.3502754124983202E-2</v>
          </cell>
          <cell r="AR83">
            <v>2.4445145548599102E-2</v>
          </cell>
          <cell r="BC83">
            <v>0</v>
          </cell>
          <cell r="BF83">
            <v>2.4445145548599102E-2</v>
          </cell>
        </row>
        <row r="84">
          <cell r="O84">
            <v>0.90525826694812095</v>
          </cell>
          <cell r="P84">
            <v>0.905516083595719</v>
          </cell>
          <cell r="Q84">
            <v>0.89423120342144002</v>
          </cell>
          <cell r="U84">
            <v>-9.1262853896866298E-3</v>
          </cell>
          <cell r="V84">
            <v>-1.08246645839412E-2</v>
          </cell>
          <cell r="W84">
            <v>-2.40647704897607E-2</v>
          </cell>
          <cell r="Y84">
            <v>0.90525826694812095</v>
          </cell>
          <cell r="Z84">
            <v>0.905516083595719</v>
          </cell>
          <cell r="AA84">
            <v>0.89423120342144002</v>
          </cell>
          <cell r="AF84">
            <v>-1.08246645839412E-2</v>
          </cell>
          <cell r="AG84">
            <v>-2.40647704897607E-2</v>
          </cell>
          <cell r="AR84">
            <v>2.4445145548599102E-2</v>
          </cell>
          <cell r="BC84">
            <v>0</v>
          </cell>
          <cell r="BF84">
            <v>2.4445145548599102E-2</v>
          </cell>
        </row>
        <row r="85">
          <cell r="O85">
            <v>0.90525826694812095</v>
          </cell>
          <cell r="P85">
            <v>0.906692960092078</v>
          </cell>
          <cell r="Q85">
            <v>0.89636896881966899</v>
          </cell>
          <cell r="U85">
            <v>-7.1330343279609196E-3</v>
          </cell>
          <cell r="V85">
            <v>-6.8482758772320899E-3</v>
          </cell>
          <cell r="W85">
            <v>-1.9388956618144298E-2</v>
          </cell>
          <cell r="Y85">
            <v>0.90525826694812095</v>
          </cell>
          <cell r="Z85">
            <v>0.906692960092078</v>
          </cell>
          <cell r="AA85">
            <v>0.89636896881966899</v>
          </cell>
          <cell r="AF85">
            <v>-6.8482758772320899E-3</v>
          </cell>
          <cell r="AG85">
            <v>-1.9388956618144298E-2</v>
          </cell>
          <cell r="AR85">
            <v>2.4445145548599102E-2</v>
          </cell>
          <cell r="BC85">
            <v>0</v>
          </cell>
          <cell r="BF85">
            <v>2.4445145548599102E-2</v>
          </cell>
        </row>
        <row r="86">
          <cell r="O86">
            <v>0.90525826694812095</v>
          </cell>
          <cell r="P86">
            <v>0.90850857415443098</v>
          </cell>
          <cell r="Q86">
            <v>0.89906556516929503</v>
          </cell>
          <cell r="U86">
            <v>-2.0003935187738599E-2</v>
          </cell>
          <cell r="V86">
            <v>-1.8420345715386099E-2</v>
          </cell>
          <cell r="W86">
            <v>-2.9872092250306102E-2</v>
          </cell>
          <cell r="Y86">
            <v>0.90525826694812095</v>
          </cell>
          <cell r="Z86">
            <v>0.90850857415443098</v>
          </cell>
          <cell r="AA86">
            <v>0.89906556516929503</v>
          </cell>
          <cell r="AF86">
            <v>-1.8420345715386099E-2</v>
          </cell>
          <cell r="AG86">
            <v>-2.9872092250306102E-2</v>
          </cell>
          <cell r="AR86">
            <v>2.4445145548599102E-2</v>
          </cell>
          <cell r="BC86">
            <v>0</v>
          </cell>
          <cell r="BF86">
            <v>2.4445145548599102E-2</v>
          </cell>
        </row>
        <row r="87">
          <cell r="O87">
            <v>0.90525826694812095</v>
          </cell>
          <cell r="P87">
            <v>0.91015689678026701</v>
          </cell>
          <cell r="Q87">
            <v>0.90137398424009496</v>
          </cell>
          <cell r="U87">
            <v>-1.8307739251700601E-2</v>
          </cell>
          <cell r="V87">
            <v>-1.47236945862706E-2</v>
          </cell>
          <cell r="W87">
            <v>-2.5172057047277499E-2</v>
          </cell>
          <cell r="Y87">
            <v>0.90525826694812095</v>
          </cell>
          <cell r="Z87">
            <v>0.91015689678026701</v>
          </cell>
          <cell r="AA87">
            <v>0.90137398424009496</v>
          </cell>
          <cell r="AF87">
            <v>-1.47236945862706E-2</v>
          </cell>
          <cell r="AG87">
            <v>-2.5172057047277499E-2</v>
          </cell>
          <cell r="AR87">
            <v>2.4445145548599102E-2</v>
          </cell>
          <cell r="BC87">
            <v>0</v>
          </cell>
          <cell r="BF87">
            <v>2.4445145548599102E-2</v>
          </cell>
        </row>
        <row r="88">
          <cell r="O88">
            <v>0.90525826694812095</v>
          </cell>
          <cell r="P88">
            <v>0.90979553494651699</v>
          </cell>
          <cell r="Q88">
            <v>0.90295940546415399</v>
          </cell>
          <cell r="U88">
            <v>-6.9908467947432896E-3</v>
          </cell>
          <cell r="V88">
            <v>-1.5941289318337701E-3</v>
          </cell>
          <cell r="W88">
            <v>-1.12908792895606E-2</v>
          </cell>
          <cell r="Y88">
            <v>0.90525826694812095</v>
          </cell>
          <cell r="Z88">
            <v>0.90979553494651699</v>
          </cell>
          <cell r="AA88">
            <v>0.90295940546415399</v>
          </cell>
          <cell r="AF88">
            <v>-1.5941289318337701E-3</v>
          </cell>
          <cell r="AG88">
            <v>-1.12908792895606E-2</v>
          </cell>
          <cell r="AR88">
            <v>2.4445145548599102E-2</v>
          </cell>
          <cell r="BC88">
            <v>0</v>
          </cell>
          <cell r="BF88">
            <v>2.4445145548599102E-2</v>
          </cell>
        </row>
        <row r="89">
          <cell r="O89">
            <v>0.90525826694812095</v>
          </cell>
          <cell r="P89">
            <v>0.91048767152125298</v>
          </cell>
          <cell r="Q89">
            <v>0.90463293383889798</v>
          </cell>
          <cell r="U89">
            <v>-1.43928794697409E-2</v>
          </cell>
          <cell r="V89">
            <v>-9.3932729073246193E-3</v>
          </cell>
          <cell r="W89">
            <v>-1.6935563083111699E-2</v>
          </cell>
          <cell r="Y89">
            <v>0.90525826694812095</v>
          </cell>
          <cell r="Z89">
            <v>0.91048767152125298</v>
          </cell>
          <cell r="AA89">
            <v>0.90463293383889798</v>
          </cell>
          <cell r="AF89">
            <v>-9.3932729073246193E-3</v>
          </cell>
          <cell r="AG89">
            <v>-1.6935563083111699E-2</v>
          </cell>
          <cell r="AR89">
            <v>2.4445145548599102E-2</v>
          </cell>
          <cell r="BC89">
            <v>0</v>
          </cell>
          <cell r="BF89">
            <v>2.4445145548599102E-2</v>
          </cell>
        </row>
        <row r="90">
          <cell r="O90">
            <v>0.90525826694812095</v>
          </cell>
          <cell r="P90">
            <v>0.91297522064424697</v>
          </cell>
          <cell r="Q90">
            <v>0.90649359832777698</v>
          </cell>
          <cell r="U90">
            <v>-2.09603291186756E-2</v>
          </cell>
          <cell r="V90">
            <v>-1.52002512124235E-2</v>
          </cell>
          <cell r="W90">
            <v>-2.16513464945652E-2</v>
          </cell>
          <cell r="Y90">
            <v>0.90525826694812095</v>
          </cell>
          <cell r="Z90">
            <v>0.91297522064424697</v>
          </cell>
          <cell r="AA90">
            <v>0.90649359832777698</v>
          </cell>
          <cell r="AF90">
            <v>-1.52002512124235E-2</v>
          </cell>
          <cell r="AG90">
            <v>-2.16513464945652E-2</v>
          </cell>
          <cell r="AR90">
            <v>2.4445145548599102E-2</v>
          </cell>
          <cell r="BC90">
            <v>0</v>
          </cell>
          <cell r="BF90">
            <v>2.4445145548599102E-2</v>
          </cell>
        </row>
        <row r="91">
          <cell r="O91">
            <v>0.90525826694812095</v>
          </cell>
          <cell r="P91">
            <v>0.91559897126705603</v>
          </cell>
          <cell r="Q91">
            <v>0.908076571306076</v>
          </cell>
          <cell r="U91">
            <v>-1.5455944543839599E-2</v>
          </cell>
          <cell r="V91">
            <v>-6.967485734631E-3</v>
          </cell>
          <cell r="W91">
            <v>-1.40922571705614E-2</v>
          </cell>
          <cell r="Y91">
            <v>0.90525826694812095</v>
          </cell>
          <cell r="Z91">
            <v>0.91559897126705603</v>
          </cell>
          <cell r="AA91">
            <v>0.908076571306076</v>
          </cell>
          <cell r="AF91">
            <v>-6.967485734631E-3</v>
          </cell>
          <cell r="AG91">
            <v>-1.40922571705614E-2</v>
          </cell>
          <cell r="AR91">
            <v>2.4445145548599102E-2</v>
          </cell>
          <cell r="BC91">
            <v>0</v>
          </cell>
          <cell r="BF91">
            <v>2.4445145548599102E-2</v>
          </cell>
        </row>
        <row r="92">
          <cell r="O92">
            <v>0.90525826694812095</v>
          </cell>
          <cell r="P92">
            <v>0.91780948645148597</v>
          </cell>
          <cell r="Q92">
            <v>0.90986325144775804</v>
          </cell>
          <cell r="U92">
            <v>-1.9237509511774501E-2</v>
          </cell>
          <cell r="V92">
            <v>-7.8793258261748399E-3</v>
          </cell>
          <cell r="W92">
            <v>-1.61290856644246E-2</v>
          </cell>
          <cell r="Y92">
            <v>0.90525826694812095</v>
          </cell>
          <cell r="Z92">
            <v>0.91780948645148597</v>
          </cell>
          <cell r="AA92">
            <v>0.90986325144775804</v>
          </cell>
          <cell r="AF92">
            <v>-7.8793258261748399E-3</v>
          </cell>
          <cell r="AG92">
            <v>-1.61290856644246E-2</v>
          </cell>
          <cell r="AR92">
            <v>2.4445145548599102E-2</v>
          </cell>
          <cell r="BC92">
            <v>0</v>
          </cell>
          <cell r="BF92">
            <v>2.4445145548599102E-2</v>
          </cell>
        </row>
        <row r="93">
          <cell r="O93">
            <v>0.90525826694812095</v>
          </cell>
          <cell r="P93">
            <v>0.91839217010519802</v>
          </cell>
          <cell r="Q93">
            <v>0.91105713505677399</v>
          </cell>
          <cell r="U93">
            <v>-1.2306675845381299E-2</v>
          </cell>
          <cell r="V93">
            <v>1.4628813083091901E-3</v>
          </cell>
          <cell r="W93">
            <v>-7.2326415915984097E-3</v>
          </cell>
          <cell r="Y93">
            <v>0.90525826694812095</v>
          </cell>
          <cell r="Z93">
            <v>0.91839217010519802</v>
          </cell>
          <cell r="AA93">
            <v>0.91105713505677399</v>
          </cell>
          <cell r="AF93">
            <v>1.4628813083091901E-3</v>
          </cell>
          <cell r="AG93">
            <v>-7.2326415915984097E-3</v>
          </cell>
          <cell r="AR93">
            <v>2.4445145548599102E-2</v>
          </cell>
          <cell r="BC93">
            <v>0</v>
          </cell>
          <cell r="BF93">
            <v>2.4445145548599102E-2</v>
          </cell>
        </row>
        <row r="94">
          <cell r="O94">
            <v>0.90525826694812095</v>
          </cell>
          <cell r="P94">
            <v>0.91844093427361295</v>
          </cell>
          <cell r="Q94">
            <v>0.91197850893466603</v>
          </cell>
          <cell r="U94">
            <v>-9.6599260880010796E-3</v>
          </cell>
          <cell r="V94">
            <v>4.7442930279961298E-3</v>
          </cell>
          <cell r="W94">
            <v>-3.27459476825398E-3</v>
          </cell>
          <cell r="Y94">
            <v>0.90525826694812095</v>
          </cell>
          <cell r="Z94">
            <v>0.91844093427361295</v>
          </cell>
          <cell r="AA94">
            <v>0.91197850893466603</v>
          </cell>
          <cell r="AF94">
            <v>4.7442930279961298E-3</v>
          </cell>
          <cell r="AG94">
            <v>-3.27459476825398E-3</v>
          </cell>
          <cell r="AR94">
            <v>2.4445145548599102E-2</v>
          </cell>
          <cell r="BC94">
            <v>0</v>
          </cell>
          <cell r="BF94">
            <v>2.4445145548599102E-2</v>
          </cell>
        </row>
        <row r="95">
          <cell r="O95">
            <v>0.90525826694812095</v>
          </cell>
          <cell r="P95">
            <v>0.91805915086100998</v>
          </cell>
          <cell r="Q95">
            <v>0.91237605547654399</v>
          </cell>
          <cell r="U95">
            <v>-2.93682063884055E-3</v>
          </cell>
          <cell r="V95">
            <v>1.1520494393502299E-2</v>
          </cell>
          <cell r="W95">
            <v>4.4593235625737899E-3</v>
          </cell>
          <cell r="Y95">
            <v>0.90525826694812095</v>
          </cell>
          <cell r="Z95">
            <v>0.91805915086100998</v>
          </cell>
          <cell r="AA95">
            <v>0.91237605547654399</v>
          </cell>
          <cell r="AF95">
            <v>1.1520494393502299E-2</v>
          </cell>
          <cell r="AG95">
            <v>4.4593235625737899E-3</v>
          </cell>
          <cell r="AR95">
            <v>2.4445145548599102E-2</v>
          </cell>
          <cell r="BC95">
            <v>0</v>
          </cell>
          <cell r="BF95">
            <v>2.4445145548599102E-2</v>
          </cell>
        </row>
        <row r="96">
          <cell r="O96">
            <v>0.90525826694812095</v>
          </cell>
          <cell r="P96">
            <v>0.91702343237478301</v>
          </cell>
          <cell r="Q96">
            <v>0.912766003264607</v>
          </cell>
          <cell r="U96">
            <v>-8.7260337895050302E-3</v>
          </cell>
          <cell r="V96">
            <v>5.3155084136474002E-3</v>
          </cell>
          <cell r="W96">
            <v>-8.9406800392522205E-4</v>
          </cell>
          <cell r="Y96">
            <v>0.90525826694812095</v>
          </cell>
          <cell r="Z96">
            <v>0.91702343237478301</v>
          </cell>
          <cell r="AA96">
            <v>0.912766003264607</v>
          </cell>
          <cell r="AF96">
            <v>5.3155084136474002E-3</v>
          </cell>
          <cell r="AG96">
            <v>-8.9406800392522205E-4</v>
          </cell>
          <cell r="AR96">
            <v>2.4445145548599102E-2</v>
          </cell>
          <cell r="BC96">
            <v>0</v>
          </cell>
          <cell r="BF96">
            <v>2.4445145548599102E-2</v>
          </cell>
        </row>
        <row r="97">
          <cell r="O97">
            <v>0.90525826694812095</v>
          </cell>
          <cell r="P97">
            <v>0.91697073452755695</v>
          </cell>
          <cell r="Q97">
            <v>0.91356381565391198</v>
          </cell>
          <cell r="U97">
            <v>-1.77360058452577E-2</v>
          </cell>
          <cell r="V97">
            <v>-4.8232614473516797E-3</v>
          </cell>
          <cell r="W97">
            <v>-9.4767332731965203E-3</v>
          </cell>
          <cell r="Y97">
            <v>0.90525826694812095</v>
          </cell>
          <cell r="Z97">
            <v>0.91697073452755695</v>
          </cell>
          <cell r="AA97">
            <v>0.91356381565391198</v>
          </cell>
          <cell r="AF97">
            <v>-4.8232614473516797E-3</v>
          </cell>
          <cell r="AG97">
            <v>-9.4767332731965203E-3</v>
          </cell>
          <cell r="AR97">
            <v>2.4445145548599102E-2</v>
          </cell>
          <cell r="BC97">
            <v>0</v>
          </cell>
          <cell r="BF97">
            <v>2.4445145548599102E-2</v>
          </cell>
        </row>
        <row r="98">
          <cell r="O98">
            <v>0.90525826694812095</v>
          </cell>
          <cell r="P98">
            <v>0.91820788023703603</v>
          </cell>
          <cell r="Q98">
            <v>0.91400170759177701</v>
          </cell>
          <cell r="U98">
            <v>-2.0470598376800101E-2</v>
          </cell>
          <cell r="V98">
            <v>-7.6153218249664697E-3</v>
          </cell>
          <cell r="W98">
            <v>-1.13376474233322E-2</v>
          </cell>
          <cell r="Y98">
            <v>0.90525826694812095</v>
          </cell>
          <cell r="Z98">
            <v>0.91820788023703603</v>
          </cell>
          <cell r="AA98">
            <v>0.91400170759177701</v>
          </cell>
          <cell r="AF98">
            <v>-7.6153218249664697E-3</v>
          </cell>
          <cell r="AG98">
            <v>-1.13376474233322E-2</v>
          </cell>
          <cell r="AR98">
            <v>2.4445145548599102E-2</v>
          </cell>
          <cell r="BC98">
            <v>0</v>
          </cell>
          <cell r="BF98">
            <v>2.4445145548599102E-2</v>
          </cell>
        </row>
        <row r="99">
          <cell r="O99">
            <v>0.90525826694812095</v>
          </cell>
          <cell r="P99">
            <v>0.91960436594412298</v>
          </cell>
          <cell r="Q99">
            <v>0.91504601873268798</v>
          </cell>
          <cell r="U99">
            <v>-2.9484367069179299E-2</v>
          </cell>
          <cell r="V99">
            <v>-1.52808338550974E-2</v>
          </cell>
          <cell r="W99">
            <v>-1.98722081850797E-2</v>
          </cell>
          <cell r="Y99">
            <v>0.90525826694812095</v>
          </cell>
          <cell r="Z99">
            <v>0.91960436594412298</v>
          </cell>
          <cell r="AA99">
            <v>0.91504601873268798</v>
          </cell>
          <cell r="AF99">
            <v>-1.52808338550974E-2</v>
          </cell>
          <cell r="AG99">
            <v>-1.98722081850797E-2</v>
          </cell>
          <cell r="AR99">
            <v>2.4445145548599102E-2</v>
          </cell>
          <cell r="BC99">
            <v>0</v>
          </cell>
          <cell r="BF99">
            <v>2.4445145548599102E-2</v>
          </cell>
        </row>
        <row r="100">
          <cell r="O100">
            <v>0.90525826694812095</v>
          </cell>
          <cell r="P100">
            <v>0.92183838042805599</v>
          </cell>
          <cell r="Q100">
            <v>0.91740680053615198</v>
          </cell>
          <cell r="U100">
            <v>-4.4839264841966202E-2</v>
          </cell>
          <cell r="V100">
            <v>-2.9116005139216101E-2</v>
          </cell>
          <cell r="W100">
            <v>-3.40851879648464E-2</v>
          </cell>
          <cell r="Y100">
            <v>0.90525826694812095</v>
          </cell>
          <cell r="Z100">
            <v>0.92183838042805599</v>
          </cell>
          <cell r="AA100">
            <v>0.91740680053615198</v>
          </cell>
          <cell r="AF100">
            <v>-2.9116005139216101E-2</v>
          </cell>
          <cell r="AG100">
            <v>-3.40851879648464E-2</v>
          </cell>
          <cell r="AR100">
            <v>2.4445145548599102E-2</v>
          </cell>
          <cell r="BC100">
            <v>0</v>
          </cell>
          <cell r="BF100">
            <v>2.4445145548599102E-2</v>
          </cell>
        </row>
        <row r="101">
          <cell r="O101">
            <v>0.90525826694812095</v>
          </cell>
          <cell r="P101">
            <v>0.92460949190070096</v>
          </cell>
          <cell r="Q101">
            <v>0.920104231583878</v>
          </cell>
          <cell r="U101">
            <v>-4.5152399232534203E-2</v>
          </cell>
          <cell r="V101">
            <v>-2.7002764249466699E-2</v>
          </cell>
          <cell r="W101">
            <v>-3.1821685091138197E-2</v>
          </cell>
          <cell r="Y101">
            <v>0.90525826694812095</v>
          </cell>
          <cell r="Z101">
            <v>0.92460949190070096</v>
          </cell>
          <cell r="AA101">
            <v>0.920104231583878</v>
          </cell>
          <cell r="AF101">
            <v>-2.7002764249466699E-2</v>
          </cell>
          <cell r="AG101">
            <v>-3.1821685091138197E-2</v>
          </cell>
          <cell r="AR101">
            <v>2.4445145548599102E-2</v>
          </cell>
          <cell r="BC101">
            <v>0</v>
          </cell>
          <cell r="BF101">
            <v>2.4445145548599102E-2</v>
          </cell>
        </row>
        <row r="102">
          <cell r="O102">
            <v>0.90525826694812095</v>
          </cell>
          <cell r="P102">
            <v>0.92726388076730804</v>
          </cell>
          <cell r="Q102">
            <v>0.922536683609397</v>
          </cell>
          <cell r="U102">
            <v>-4.7594820127333397E-2</v>
          </cell>
          <cell r="V102">
            <v>-2.6443623502942999E-2</v>
          </cell>
          <cell r="W102">
            <v>-3.1328142132438903E-2</v>
          </cell>
          <cell r="Y102">
            <v>0.90525826694812095</v>
          </cell>
          <cell r="Z102">
            <v>0.92726388076730804</v>
          </cell>
          <cell r="AA102">
            <v>0.922536683609397</v>
          </cell>
          <cell r="AF102">
            <v>-2.6443623502942999E-2</v>
          </cell>
          <cell r="AG102">
            <v>-3.1328142132438903E-2</v>
          </cell>
          <cell r="AR102">
            <v>2.4445145548599102E-2</v>
          </cell>
          <cell r="BC102">
            <v>0</v>
          </cell>
          <cell r="BF102">
            <v>2.4445145548599102E-2</v>
          </cell>
        </row>
        <row r="103">
          <cell r="O103">
            <v>0.90525826694812095</v>
          </cell>
          <cell r="P103">
            <v>0.93063321066416804</v>
          </cell>
          <cell r="Q103">
            <v>0.92451269038468298</v>
          </cell>
          <cell r="U103">
            <v>-4.8411290083566497E-2</v>
          </cell>
          <cell r="V103">
            <v>-2.4393384834708699E-2</v>
          </cell>
          <cell r="W103">
            <v>-2.9504430359910301E-2</v>
          </cell>
          <cell r="Y103">
            <v>0.90525826694812095</v>
          </cell>
          <cell r="Z103">
            <v>0.93063321066416804</v>
          </cell>
          <cell r="AA103">
            <v>0.92451269038468298</v>
          </cell>
          <cell r="AF103">
            <v>-2.4393384834708699E-2</v>
          </cell>
          <cell r="AG103">
            <v>-2.9504430359910301E-2</v>
          </cell>
          <cell r="AR103">
            <v>2.4445145548599102E-2</v>
          </cell>
          <cell r="BC103">
            <v>0</v>
          </cell>
          <cell r="BF103">
            <v>2.4445145548599102E-2</v>
          </cell>
        </row>
        <row r="104">
          <cell r="O104">
            <v>0.90525826694812095</v>
          </cell>
          <cell r="P104">
            <v>0.93332551334298297</v>
          </cell>
          <cell r="Q104">
            <v>0.92588322380829802</v>
          </cell>
          <cell r="U104">
            <v>-3.86892712922947E-2</v>
          </cell>
          <cell r="V104">
            <v>-1.10443259816975E-2</v>
          </cell>
          <cell r="W104">
            <v>-1.7642774635308799E-2</v>
          </cell>
          <cell r="Y104">
            <v>0.90525826694812095</v>
          </cell>
          <cell r="Z104">
            <v>0.93332551334298297</v>
          </cell>
          <cell r="AA104">
            <v>0.92588322380829802</v>
          </cell>
          <cell r="AF104">
            <v>-1.10443259816975E-2</v>
          </cell>
          <cell r="AG104">
            <v>-1.7642774635308799E-2</v>
          </cell>
          <cell r="AR104">
            <v>2.4445145548599102E-2</v>
          </cell>
          <cell r="BC104">
            <v>0</v>
          </cell>
          <cell r="BF104">
            <v>2.4445145548599102E-2</v>
          </cell>
        </row>
        <row r="105">
          <cell r="O105">
            <v>0.90525826694812095</v>
          </cell>
          <cell r="P105">
            <v>0.93823265162954606</v>
          </cell>
          <cell r="Q105">
            <v>0.92814590124527796</v>
          </cell>
          <cell r="U105">
            <v>-5.5574896051574597E-2</v>
          </cell>
          <cell r="V105">
            <v>-2.50411479832214E-2</v>
          </cell>
          <cell r="W105">
            <v>-3.3047058386727703E-2</v>
          </cell>
          <cell r="Y105">
            <v>0.90525826694812095</v>
          </cell>
          <cell r="Z105">
            <v>0.93823265162954606</v>
          </cell>
          <cell r="AA105">
            <v>0.92814590124527796</v>
          </cell>
          <cell r="AF105">
            <v>-2.50411479832214E-2</v>
          </cell>
          <cell r="AG105">
            <v>-3.3047058386727703E-2</v>
          </cell>
          <cell r="AR105">
            <v>2.4445145548599102E-2</v>
          </cell>
          <cell r="BC105">
            <v>0</v>
          </cell>
          <cell r="BF105">
            <v>2.4445145548599102E-2</v>
          </cell>
        </row>
        <row r="106">
          <cell r="O106">
            <v>0.90525826694812095</v>
          </cell>
          <cell r="P106">
            <v>0.94343013238821305</v>
          </cell>
          <cell r="Q106">
            <v>0.93022678238149803</v>
          </cell>
          <cell r="U106">
            <v>-6.4080814940871006E-2</v>
          </cell>
          <cell r="V106">
            <v>-2.8303148063704001E-2</v>
          </cell>
          <cell r="W106">
            <v>-3.9112154173785801E-2</v>
          </cell>
          <cell r="Y106">
            <v>0.90525826694812095</v>
          </cell>
          <cell r="Z106">
            <v>0.94343013238821305</v>
          </cell>
          <cell r="AA106">
            <v>0.93022678238149803</v>
          </cell>
          <cell r="AF106">
            <v>-2.8303148063704001E-2</v>
          </cell>
          <cell r="AG106">
            <v>-3.9112154173785801E-2</v>
          </cell>
          <cell r="AR106">
            <v>2.4445145548599102E-2</v>
          </cell>
          <cell r="BC106">
            <v>0</v>
          </cell>
          <cell r="BF106">
            <v>2.4445145548599102E-2</v>
          </cell>
        </row>
        <row r="107">
          <cell r="O107">
            <v>0.90525826694812095</v>
          </cell>
          <cell r="P107">
            <v>0.94733082053809803</v>
          </cell>
          <cell r="Q107">
            <v>0.93215077753282805</v>
          </cell>
          <cell r="U107">
            <v>-5.9196263467148201E-2</v>
          </cell>
          <cell r="V107">
            <v>-1.78942337539616E-2</v>
          </cell>
          <cell r="W107">
            <v>-3.1988135854445002E-2</v>
          </cell>
          <cell r="Y107">
            <v>0.90525826694812095</v>
          </cell>
          <cell r="Z107">
            <v>0.94733082053809803</v>
          </cell>
          <cell r="AA107">
            <v>0.93215077753282805</v>
          </cell>
          <cell r="AF107">
            <v>-1.78942337539616E-2</v>
          </cell>
          <cell r="AG107">
            <v>-3.1988135854445002E-2</v>
          </cell>
          <cell r="AR107">
            <v>2.9329697022322004E-2</v>
          </cell>
          <cell r="BC107">
            <v>0</v>
          </cell>
          <cell r="BF107">
            <v>2.9329697022322004E-2</v>
          </cell>
        </row>
        <row r="108">
          <cell r="O108">
            <v>0.90525826694812095</v>
          </cell>
          <cell r="P108">
            <v>0.94968079955171902</v>
          </cell>
          <cell r="Q108">
            <v>0.93394433989437797</v>
          </cell>
          <cell r="U108">
            <v>-4.5585767817505403E-2</v>
          </cell>
          <cell r="V108">
            <v>-1.5768115594137099E-4</v>
          </cell>
          <cell r="W108">
            <v>-1.6311468578583298E-2</v>
          </cell>
          <cell r="Y108">
            <v>0.90525826694812095</v>
          </cell>
          <cell r="Z108">
            <v>0.94968079955171902</v>
          </cell>
          <cell r="AA108">
            <v>0.93394433989437797</v>
          </cell>
          <cell r="AF108">
            <v>-1.5768115594137099E-4</v>
          </cell>
          <cell r="AG108">
            <v>-1.6311468578583298E-2</v>
          </cell>
          <cell r="AR108">
            <v>4.2940192671964209E-2</v>
          </cell>
          <cell r="BC108">
            <v>0</v>
          </cell>
          <cell r="BF108">
            <v>4.2940192671964209E-2</v>
          </cell>
        </row>
        <row r="109">
          <cell r="O109">
            <v>0.90525826694812095</v>
          </cell>
          <cell r="P109">
            <v>0.951980777813762</v>
          </cell>
          <cell r="Q109">
            <v>0.93579257187894305</v>
          </cell>
          <cell r="U109">
            <v>-5.3853711803440597E-2</v>
          </cell>
          <cell r="V109">
            <v>-5.9480649721777301E-3</v>
          </cell>
          <cell r="W109">
            <v>-2.2657149441827201E-2</v>
          </cell>
          <cell r="Y109">
            <v>0.90525826694812095</v>
          </cell>
          <cell r="Z109">
            <v>0.951980777813762</v>
          </cell>
          <cell r="AA109">
            <v>0.93579257187894305</v>
          </cell>
          <cell r="AF109">
            <v>-5.9480649721777301E-3</v>
          </cell>
          <cell r="AG109">
            <v>-2.2657149441827201E-2</v>
          </cell>
          <cell r="AR109">
            <v>3.4672248686029104E-2</v>
          </cell>
          <cell r="BC109">
            <v>0</v>
          </cell>
          <cell r="BF109">
            <v>3.4672248686029104E-2</v>
          </cell>
        </row>
        <row r="110">
          <cell r="O110">
            <v>0.90525826694812095</v>
          </cell>
          <cell r="P110">
            <v>0.95241860212219098</v>
          </cell>
          <cell r="Q110">
            <v>0.93712849127512399</v>
          </cell>
          <cell r="U110">
            <v>-4.9452989605923703E-2</v>
          </cell>
          <cell r="V110">
            <v>8.7157277885178497E-4</v>
          </cell>
          <cell r="W110">
            <v>-1.6279429758819599E-2</v>
          </cell>
          <cell r="Y110">
            <v>0.90525826694812095</v>
          </cell>
          <cell r="Z110">
            <v>0.95241860212219098</v>
          </cell>
          <cell r="AA110">
            <v>0.93712849127512399</v>
          </cell>
          <cell r="AF110">
            <v>8.7157277885178497E-4</v>
          </cell>
          <cell r="AG110">
            <v>-1.6279429758819599E-2</v>
          </cell>
          <cell r="AR110">
            <v>3.9072970883546103E-2</v>
          </cell>
          <cell r="BC110">
            <v>0</v>
          </cell>
          <cell r="BF110">
            <v>3.9072970883546103E-2</v>
          </cell>
        </row>
        <row r="111">
          <cell r="O111">
            <v>0.90525826694812095</v>
          </cell>
          <cell r="P111">
            <v>0.95256195985997605</v>
          </cell>
          <cell r="Q111">
            <v>0.93858572588033895</v>
          </cell>
          <cell r="U111">
            <v>-4.6664952623411499E-2</v>
          </cell>
          <cell r="V111">
            <v>4.1194128055736098E-3</v>
          </cell>
          <cell r="W111">
            <v>-1.20648301207621E-2</v>
          </cell>
          <cell r="Y111">
            <v>0.90525826694812095</v>
          </cell>
          <cell r="Z111">
            <v>0.95256195985997605</v>
          </cell>
          <cell r="AA111">
            <v>0.93858572588033895</v>
          </cell>
          <cell r="AF111">
            <v>4.1194128055736098E-3</v>
          </cell>
          <cell r="AG111">
            <v>-1.20648301207621E-2</v>
          </cell>
          <cell r="AR111">
            <v>4.1861007866058404E-2</v>
          </cell>
          <cell r="BC111">
            <v>0</v>
          </cell>
          <cell r="BF111">
            <v>4.1861007866058404E-2</v>
          </cell>
        </row>
        <row r="112">
          <cell r="O112">
            <v>0.90525826694812095</v>
          </cell>
          <cell r="P112">
            <v>0.95392825897521505</v>
          </cell>
          <cell r="Q112">
            <v>0.94059606987126099</v>
          </cell>
          <cell r="U112">
            <v>-6.1883649340952897E-2</v>
          </cell>
          <cell r="V112">
            <v>-1.0948775564621101E-2</v>
          </cell>
          <cell r="W112">
            <v>-2.5729734810641201E-2</v>
          </cell>
          <cell r="Y112">
            <v>0.90525826694812095</v>
          </cell>
          <cell r="Z112">
            <v>0.95392825897521505</v>
          </cell>
          <cell r="AA112">
            <v>0.94059606987126099</v>
          </cell>
          <cell r="AF112">
            <v>-1.0948775564621101E-2</v>
          </cell>
          <cell r="AG112">
            <v>-2.5729734810641201E-2</v>
          </cell>
          <cell r="AR112">
            <v>4.1861007866058404E-2</v>
          </cell>
          <cell r="BC112">
            <v>0</v>
          </cell>
          <cell r="BF112">
            <v>4.1861007866058404E-2</v>
          </cell>
        </row>
        <row r="113">
          <cell r="O113">
            <v>0.90525826694812095</v>
          </cell>
          <cell r="P113">
            <v>0.95508770662222597</v>
          </cell>
          <cell r="Q113">
            <v>0.94286045864319701</v>
          </cell>
          <cell r="U113">
            <v>-6.0540080525194599E-2</v>
          </cell>
          <cell r="V113">
            <v>-8.1718929708544403E-3</v>
          </cell>
          <cell r="W113">
            <v>-2.2246570174625401E-2</v>
          </cell>
          <cell r="Y113">
            <v>0.90525826694812095</v>
          </cell>
          <cell r="Z113">
            <v>0.95508770662222597</v>
          </cell>
          <cell r="AA113">
            <v>0.94286045864319701</v>
          </cell>
          <cell r="AF113">
            <v>-8.1718929708544403E-3</v>
          </cell>
          <cell r="AG113">
            <v>-2.2246570174625401E-2</v>
          </cell>
          <cell r="AR113">
            <v>4.1861007866058404E-2</v>
          </cell>
          <cell r="BC113">
            <v>0</v>
          </cell>
          <cell r="BF113">
            <v>4.1861007866058404E-2</v>
          </cell>
        </row>
        <row r="114">
          <cell r="O114">
            <v>0.90525826694812095</v>
          </cell>
          <cell r="P114">
            <v>0.95810877782777604</v>
          </cell>
          <cell r="Q114">
            <v>0.94571714558538</v>
          </cell>
          <cell r="U114">
            <v>-7.0290626459119807E-2</v>
          </cell>
          <cell r="V114">
            <v>-1.6707731631010098E-2</v>
          </cell>
          <cell r="W114">
            <v>-2.9592611593957801E-2</v>
          </cell>
          <cell r="Y114">
            <v>0.90525826694812095</v>
          </cell>
          <cell r="Z114">
            <v>0.95810877782777604</v>
          </cell>
          <cell r="AA114">
            <v>0.94571714558538</v>
          </cell>
          <cell r="AF114">
            <v>-1.6707731631010098E-2</v>
          </cell>
          <cell r="AG114">
            <v>-2.9592611593957801E-2</v>
          </cell>
          <cell r="AR114">
            <v>4.1861007866058404E-2</v>
          </cell>
          <cell r="BC114">
            <v>0</v>
          </cell>
          <cell r="BF114">
            <v>4.1861007866058404E-2</v>
          </cell>
        </row>
        <row r="115">
          <cell r="O115">
            <v>0.90525826694812095</v>
          </cell>
          <cell r="P115">
            <v>0.95839008343948595</v>
          </cell>
          <cell r="Q115">
            <v>0.94831136753451595</v>
          </cell>
          <cell r="U115">
            <v>-5.8510060961846001E-2</v>
          </cell>
          <cell r="V115">
            <v>-1.7690234744920301E-3</v>
          </cell>
          <cell r="W115">
            <v>-1.4786817888441999E-2</v>
          </cell>
          <cell r="Y115">
            <v>0.90525826694812095</v>
          </cell>
          <cell r="Z115">
            <v>0.95839008343948595</v>
          </cell>
          <cell r="AA115">
            <v>0.94831136753451595</v>
          </cell>
          <cell r="AF115">
            <v>-1.7690234744920301E-3</v>
          </cell>
          <cell r="AG115">
            <v>-1.4786817888441999E-2</v>
          </cell>
          <cell r="AR115">
            <v>4.1861007866058404E-2</v>
          </cell>
          <cell r="BC115">
            <v>0</v>
          </cell>
          <cell r="BF115">
            <v>4.1861007866058404E-2</v>
          </cell>
        </row>
        <row r="116">
          <cell r="O116">
            <v>0.90525826694812095</v>
          </cell>
          <cell r="P116">
            <v>0.95798858587873303</v>
          </cell>
          <cell r="Q116">
            <v>0.95070935913347299</v>
          </cell>
          <cell r="U116">
            <v>-5.99122617966363E-2</v>
          </cell>
          <cell r="V116">
            <v>-2.8776623151526301E-3</v>
          </cell>
          <cell r="W116">
            <v>-1.34496475327219E-2</v>
          </cell>
          <cell r="Y116">
            <v>0.90525826694812095</v>
          </cell>
          <cell r="Z116">
            <v>0.95798858587873303</v>
          </cell>
          <cell r="AA116">
            <v>0.95070935913347299</v>
          </cell>
          <cell r="AF116">
            <v>-2.8776623151526301E-3</v>
          </cell>
          <cell r="AG116">
            <v>-1.34496475327219E-2</v>
          </cell>
          <cell r="AR116">
            <v>4.1861007866058404E-2</v>
          </cell>
          <cell r="BC116">
            <v>0</v>
          </cell>
          <cell r="BF116">
            <v>4.1861007866058404E-2</v>
          </cell>
        </row>
        <row r="117">
          <cell r="O117">
            <v>0.90525826694812095</v>
          </cell>
          <cell r="P117">
            <v>0.95884616426503599</v>
          </cell>
          <cell r="Q117">
            <v>0.95308849240156701</v>
          </cell>
          <cell r="U117">
            <v>-6.8085429723099194E-2</v>
          </cell>
          <cell r="V117">
            <v>-1.14698471854543E-2</v>
          </cell>
          <cell r="W117">
            <v>-1.9097310771585101E-2</v>
          </cell>
          <cell r="Y117">
            <v>0.90525826694812095</v>
          </cell>
          <cell r="Z117">
            <v>0.95884616426503599</v>
          </cell>
          <cell r="AA117">
            <v>0.95308849240156701</v>
          </cell>
          <cell r="AF117">
            <v>-1.14698471854543E-2</v>
          </cell>
          <cell r="AG117">
            <v>-1.9097310771585101E-2</v>
          </cell>
          <cell r="AR117">
            <v>4.1861007866058404E-2</v>
          </cell>
          <cell r="BC117">
            <v>0</v>
          </cell>
          <cell r="BF117">
            <v>4.1861007866058404E-2</v>
          </cell>
        </row>
        <row r="118">
          <cell r="O118">
            <v>0.90525826694812095</v>
          </cell>
          <cell r="P118">
            <v>0.96202013590684299</v>
          </cell>
          <cell r="Q118">
            <v>0.95585046772928095</v>
          </cell>
          <cell r="U118">
            <v>-7.8535978915387106E-2</v>
          </cell>
          <cell r="V118">
            <v>-2.1025610383845698E-2</v>
          </cell>
          <cell r="W118">
            <v>-2.70485037379277E-2</v>
          </cell>
          <cell r="Y118">
            <v>0.90525826694812095</v>
          </cell>
          <cell r="Z118">
            <v>0.96202013590684299</v>
          </cell>
          <cell r="AA118">
            <v>0.95585046772928095</v>
          </cell>
          <cell r="AF118">
            <v>-2.1025610383845698E-2</v>
          </cell>
          <cell r="AG118">
            <v>-2.70485037379277E-2</v>
          </cell>
          <cell r="AR118">
            <v>4.1861007866058404E-2</v>
          </cell>
          <cell r="BC118">
            <v>0</v>
          </cell>
          <cell r="BF118">
            <v>4.1861007866058404E-2</v>
          </cell>
        </row>
        <row r="119">
          <cell r="O119">
            <v>0.90525826694812095</v>
          </cell>
          <cell r="P119">
            <v>0.96348573748369404</v>
          </cell>
          <cell r="Q119">
            <v>0.95773325764872796</v>
          </cell>
          <cell r="U119">
            <v>-6.9078276624233201E-2</v>
          </cell>
          <cell r="V119">
            <v>-8.2631757121310202E-3</v>
          </cell>
          <cell r="W119">
            <v>-1.46970711466197E-2</v>
          </cell>
          <cell r="Y119">
            <v>0.90525826694812095</v>
          </cell>
          <cell r="Z119">
            <v>0.96348573748369404</v>
          </cell>
          <cell r="AA119">
            <v>0.95773325764872796</v>
          </cell>
          <cell r="AF119">
            <v>-8.2631757121310202E-3</v>
          </cell>
          <cell r="AG119">
            <v>-1.46970711466197E-2</v>
          </cell>
          <cell r="AR119">
            <v>4.1861007866058404E-2</v>
          </cell>
          <cell r="BC119">
            <v>0</v>
          </cell>
          <cell r="BF119">
            <v>4.1861007866058404E-2</v>
          </cell>
        </row>
        <row r="120">
          <cell r="O120">
            <v>0.90525826694812095</v>
          </cell>
          <cell r="P120">
            <v>0.96555601537138103</v>
          </cell>
          <cell r="Q120">
            <v>0.95898730874678595</v>
          </cell>
          <cell r="U120">
            <v>-7.0985509944755595E-2</v>
          </cell>
          <cell r="V120">
            <v>-8.6481058497469704E-3</v>
          </cell>
          <cell r="W120">
            <v>-1.46364882675812E-2</v>
          </cell>
          <cell r="Y120">
            <v>0.90525826694812095</v>
          </cell>
          <cell r="Z120">
            <v>0.96555601537138103</v>
          </cell>
          <cell r="AA120">
            <v>0.95898730874678595</v>
          </cell>
          <cell r="AF120">
            <v>-8.6481058497469704E-3</v>
          </cell>
          <cell r="AG120">
            <v>-1.46364882675812E-2</v>
          </cell>
          <cell r="AR120">
            <v>4.1861007866058404E-2</v>
          </cell>
          <cell r="BC120">
            <v>0</v>
          </cell>
          <cell r="BF120">
            <v>4.1861007866058404E-2</v>
          </cell>
        </row>
        <row r="121">
          <cell r="O121">
            <v>0.90525826694812095</v>
          </cell>
          <cell r="P121">
            <v>0.96887174824018596</v>
          </cell>
          <cell r="Q121">
            <v>0.960716854050081</v>
          </cell>
          <cell r="U121">
            <v>-8.1025341918492602E-2</v>
          </cell>
          <cell r="V121">
            <v>-1.6541505607108702E-2</v>
          </cell>
          <cell r="W121">
            <v>-2.33677817939471E-2</v>
          </cell>
          <cell r="Y121">
            <v>0.90525826694812095</v>
          </cell>
          <cell r="Z121">
            <v>0.96887174824018596</v>
          </cell>
          <cell r="AA121">
            <v>0.960716854050081</v>
          </cell>
          <cell r="AF121">
            <v>-1.6541505607108702E-2</v>
          </cell>
          <cell r="AG121">
            <v>-2.33677817939471E-2</v>
          </cell>
          <cell r="AR121">
            <v>4.1861007866058404E-2</v>
          </cell>
          <cell r="BC121">
            <v>0</v>
          </cell>
          <cell r="BF121">
            <v>4.1861007866058404E-2</v>
          </cell>
        </row>
        <row r="122">
          <cell r="O122">
            <v>0.90525826694812095</v>
          </cell>
          <cell r="P122">
            <v>0.96902377566208597</v>
          </cell>
          <cell r="Q122">
            <v>0.96147601731865096</v>
          </cell>
          <cell r="U122">
            <v>-6.34610104875689E-2</v>
          </cell>
          <cell r="V122">
            <v>4.4509570556001297E-3</v>
          </cell>
          <cell r="W122">
            <v>-4.0015625463794696E-3</v>
          </cell>
          <cell r="Y122">
            <v>0.90525826694812095</v>
          </cell>
          <cell r="Z122">
            <v>0.96902377566208597</v>
          </cell>
          <cell r="AA122">
            <v>0.96147601731865096</v>
          </cell>
          <cell r="AF122">
            <v>4.4509570556001297E-3</v>
          </cell>
          <cell r="AG122">
            <v>-4.0015625463794696E-3</v>
          </cell>
          <cell r="AR122">
            <v>4.1861007866058404E-2</v>
          </cell>
          <cell r="BC122">
            <v>0</v>
          </cell>
          <cell r="BF122">
            <v>4.1861007866058404E-2</v>
          </cell>
        </row>
        <row r="123">
          <cell r="O123">
            <v>0.90525826694812095</v>
          </cell>
          <cell r="P123">
            <v>0.97005857070661805</v>
          </cell>
          <cell r="Q123">
            <v>0.96257313866442196</v>
          </cell>
          <cell r="U123">
            <v>-7.1242048388568402E-2</v>
          </cell>
          <cell r="V123">
            <v>-3.1731813424720002E-3</v>
          </cell>
          <cell r="W123">
            <v>-1.09927074877812E-2</v>
          </cell>
          <cell r="Y123">
            <v>0.90525826694812095</v>
          </cell>
          <cell r="Z123">
            <v>0.97005857070661805</v>
          </cell>
          <cell r="AA123">
            <v>0.96257313866442196</v>
          </cell>
          <cell r="AF123">
            <v>-3.1731813424720002E-3</v>
          </cell>
          <cell r="AG123">
            <v>-1.09927074877812E-2</v>
          </cell>
          <cell r="AR123">
            <v>4.1861007866058404E-2</v>
          </cell>
          <cell r="BC123">
            <v>0</v>
          </cell>
          <cell r="BF123">
            <v>4.1861007866058404E-2</v>
          </cell>
        </row>
        <row r="124">
          <cell r="O124">
            <v>0.90525826694812095</v>
          </cell>
          <cell r="P124">
            <v>0.97063387078000996</v>
          </cell>
          <cell r="Q124">
            <v>0.96437132430389305</v>
          </cell>
          <cell r="U124">
            <v>-7.6196878027870493E-2</v>
          </cell>
          <cell r="V124">
            <v>-7.0607070122431703E-3</v>
          </cell>
          <cell r="W124">
            <v>-1.4807107360756201E-2</v>
          </cell>
          <cell r="Y124">
            <v>0.90525826694812095</v>
          </cell>
          <cell r="Z124">
            <v>0.97063387078000996</v>
          </cell>
          <cell r="AA124">
            <v>0.96437132430389305</v>
          </cell>
          <cell r="AF124">
            <v>-7.0607070122431703E-3</v>
          </cell>
          <cell r="AG124">
            <v>-1.4807107360756201E-2</v>
          </cell>
          <cell r="AR124">
            <v>4.1861007866058404E-2</v>
          </cell>
          <cell r="BC124">
            <v>0</v>
          </cell>
          <cell r="BF124">
            <v>4.1861007866058404E-2</v>
          </cell>
        </row>
        <row r="125">
          <cell r="O125">
            <v>0.90525826694812095</v>
          </cell>
          <cell r="P125">
            <v>0.97130744664810298</v>
          </cell>
          <cell r="Q125">
            <v>0.96484876504379402</v>
          </cell>
          <cell r="U125">
            <v>-6.5503389901019199E-2</v>
          </cell>
          <cell r="V125">
            <v>4.2256623748687799E-3</v>
          </cell>
          <cell r="W125">
            <v>-2.2472591015857001E-3</v>
          </cell>
          <cell r="Y125">
            <v>0.90525826694812095</v>
          </cell>
          <cell r="Z125">
            <v>0.97130744664810298</v>
          </cell>
          <cell r="AA125">
            <v>0.96484876504379402</v>
          </cell>
          <cell r="AF125">
            <v>4.2256623748687799E-3</v>
          </cell>
          <cell r="AG125">
            <v>-2.2472591015857001E-3</v>
          </cell>
          <cell r="AR125">
            <v>4.1861007866058404E-2</v>
          </cell>
          <cell r="BC125">
            <v>0</v>
          </cell>
          <cell r="BF125">
            <v>4.1861007866058404E-2</v>
          </cell>
        </row>
        <row r="126">
          <cell r="O126">
            <v>0.90525826694812095</v>
          </cell>
          <cell r="P126">
            <v>0.97080757237665305</v>
          </cell>
          <cell r="Q126">
            <v>0.96439807912769304</v>
          </cell>
          <cell r="U126">
            <v>-5.4697907813180499E-2</v>
          </cell>
          <cell r="V126">
            <v>1.5724858416945101E-2</v>
          </cell>
          <cell r="W126">
            <v>9.0531802514035292E-3</v>
          </cell>
          <cell r="Y126">
            <v>0.90525826694812095</v>
          </cell>
          <cell r="Z126">
            <v>0.97080757237665305</v>
          </cell>
          <cell r="AA126">
            <v>0.96439807912769304</v>
          </cell>
          <cell r="AF126">
            <v>1.5724858416945101E-2</v>
          </cell>
          <cell r="AG126">
            <v>9.0531802514035292E-3</v>
          </cell>
          <cell r="AR126">
            <v>4.1861007866058404E-2</v>
          </cell>
          <cell r="BC126">
            <v>0</v>
          </cell>
          <cell r="BF126">
            <v>4.1861007866058404E-2</v>
          </cell>
        </row>
        <row r="127">
          <cell r="O127">
            <v>0.90525826694812095</v>
          </cell>
          <cell r="P127">
            <v>0.97013228419148001</v>
          </cell>
          <cell r="Q127">
            <v>0.964489224228258</v>
          </cell>
          <cell r="U127">
            <v>-6.1092403499392198E-2</v>
          </cell>
          <cell r="V127">
            <v>8.8155896327532599E-3</v>
          </cell>
          <cell r="W127">
            <v>2.19147019533413E-3</v>
          </cell>
          <cell r="Y127">
            <v>0.90525826694812095</v>
          </cell>
          <cell r="Z127">
            <v>0.97013228419148001</v>
          </cell>
          <cell r="AA127">
            <v>0.964489224228258</v>
          </cell>
          <cell r="AF127">
            <v>8.8155896327532599E-3</v>
          </cell>
          <cell r="AG127">
            <v>2.19147019533413E-3</v>
          </cell>
          <cell r="AR127">
            <v>4.1861007866058404E-2</v>
          </cell>
          <cell r="BC127">
            <v>0</v>
          </cell>
          <cell r="BF127">
            <v>4.1861007866058404E-2</v>
          </cell>
        </row>
        <row r="128">
          <cell r="O128">
            <v>0.90525826694812095</v>
          </cell>
          <cell r="P128">
            <v>0.967092052810681</v>
          </cell>
          <cell r="Q128">
            <v>0.964556094358762</v>
          </cell>
          <cell r="U128">
            <v>-4.6996308733549E-2</v>
          </cell>
          <cell r="V128">
            <v>2.22158480900836E-2</v>
          </cell>
          <cell r="W128">
            <v>1.6382070327535001E-2</v>
          </cell>
          <cell r="Y128">
            <v>0.90525826694812095</v>
          </cell>
          <cell r="Z128">
            <v>0.967092052810681</v>
          </cell>
          <cell r="AA128">
            <v>0.964556094358762</v>
          </cell>
          <cell r="AF128">
            <v>2.22158480900836E-2</v>
          </cell>
          <cell r="AG128">
            <v>1.6382070327535001E-2</v>
          </cell>
          <cell r="AR128">
            <v>4.1861007866058404E-2</v>
          </cell>
          <cell r="BC128">
            <v>0</v>
          </cell>
          <cell r="BF128">
            <v>4.1861007866058404E-2</v>
          </cell>
        </row>
        <row r="129">
          <cell r="O129">
            <v>0.90525826694812095</v>
          </cell>
          <cell r="P129">
            <v>0.96486921470792297</v>
          </cell>
          <cell r="Q129">
            <v>0.96417747609580795</v>
          </cell>
          <cell r="U129">
            <v>-4.5895828405674098E-2</v>
          </cell>
          <cell r="V129">
            <v>2.01775759062345E-2</v>
          </cell>
          <cell r="W129">
            <v>1.7551880421679902E-2</v>
          </cell>
          <cell r="Y129">
            <v>0.90525826694812095</v>
          </cell>
          <cell r="Z129">
            <v>0.96486921470792297</v>
          </cell>
          <cell r="AA129">
            <v>0.96417747609580795</v>
          </cell>
          <cell r="AF129">
            <v>2.01775759062345E-2</v>
          </cell>
          <cell r="AG129">
            <v>1.7551880421679902E-2</v>
          </cell>
          <cell r="AR129">
            <v>4.1861007866058404E-2</v>
          </cell>
          <cell r="BC129">
            <v>0</v>
          </cell>
          <cell r="BF129">
            <v>4.1861007866058404E-2</v>
          </cell>
        </row>
        <row r="130">
          <cell r="O130">
            <v>0.90525826694812095</v>
          </cell>
          <cell r="P130">
            <v>0.96340064288680605</v>
          </cell>
          <cell r="Q130">
            <v>0.96447832912909404</v>
          </cell>
          <cell r="U130">
            <v>-5.5759144681668101E-2</v>
          </cell>
          <cell r="V130">
            <v>8.0131378417368903E-3</v>
          </cell>
          <cell r="W130">
            <v>7.2959559870295499E-3</v>
          </cell>
          <cell r="Y130">
            <v>0.90525826694812095</v>
          </cell>
          <cell r="Z130">
            <v>0.96340064288680605</v>
          </cell>
          <cell r="AA130">
            <v>0.96447832912909404</v>
          </cell>
          <cell r="AF130">
            <v>8.0131378417368903E-3</v>
          </cell>
          <cell r="AG130">
            <v>7.2959559870295499E-3</v>
          </cell>
          <cell r="AR130">
            <v>4.1861007866058404E-2</v>
          </cell>
          <cell r="BC130">
            <v>0</v>
          </cell>
          <cell r="BF130">
            <v>4.1861007866058404E-2</v>
          </cell>
        </row>
        <row r="131">
          <cell r="O131">
            <v>0.90525826694812095</v>
          </cell>
          <cell r="P131">
            <v>0.96037557478723001</v>
          </cell>
          <cell r="Q131">
            <v>0.96462366151370804</v>
          </cell>
          <cell r="U131">
            <v>-4.9724723973889898E-2</v>
          </cell>
          <cell r="V131">
            <v>1.2524356701730599E-2</v>
          </cell>
          <cell r="W131">
            <v>1.36423587860764E-2</v>
          </cell>
          <cell r="Y131">
            <v>0.90525826694812095</v>
          </cell>
          <cell r="Z131">
            <v>0.96037557478723001</v>
          </cell>
          <cell r="AA131">
            <v>0.96462366151370804</v>
          </cell>
          <cell r="AF131">
            <v>1.2524356701730599E-2</v>
          </cell>
          <cell r="AG131">
            <v>1.36423587860764E-2</v>
          </cell>
          <cell r="AR131">
            <v>4.1861007866058404E-2</v>
          </cell>
          <cell r="BC131">
            <v>0</v>
          </cell>
          <cell r="BF131">
            <v>4.1861007866058404E-2</v>
          </cell>
        </row>
        <row r="132">
          <cell r="O132">
            <v>0.90525826694812095</v>
          </cell>
          <cell r="P132">
            <v>0.95845268047887799</v>
          </cell>
          <cell r="Q132">
            <v>0.96373822807048204</v>
          </cell>
          <cell r="U132">
            <v>-4.3324350806258398E-2</v>
          </cell>
          <cell r="V132">
            <v>1.5779800053626E-2</v>
          </cell>
          <cell r="W132">
            <v>2.0193405568264301E-2</v>
          </cell>
          <cell r="Y132">
            <v>0.90525826694812095</v>
          </cell>
          <cell r="Z132">
            <v>0.95845268047887799</v>
          </cell>
          <cell r="AA132">
            <v>0.96373822807048204</v>
          </cell>
          <cell r="AF132">
            <v>1.5779800053626E-2</v>
          </cell>
          <cell r="AG132">
            <v>2.0193405568264301E-2</v>
          </cell>
          <cell r="AR132">
            <v>4.1861007866058404E-2</v>
          </cell>
          <cell r="BC132">
            <v>0</v>
          </cell>
          <cell r="BF132">
            <v>4.1861007866058404E-2</v>
          </cell>
        </row>
        <row r="133">
          <cell r="O133">
            <v>0.90525826694812095</v>
          </cell>
          <cell r="P133">
            <v>0.95584678008606105</v>
          </cell>
          <cell r="Q133">
            <v>0.96295267539634</v>
          </cell>
          <cell r="U133">
            <v>-4.4069373426077502E-2</v>
          </cell>
          <cell r="V133">
            <v>1.3030538704511299E-2</v>
          </cell>
          <cell r="W133">
            <v>1.8530055833359999E-2</v>
          </cell>
          <cell r="Y133">
            <v>0.90525826694812095</v>
          </cell>
          <cell r="Z133">
            <v>0.95584678008606105</v>
          </cell>
          <cell r="AA133">
            <v>0.96295267539634</v>
          </cell>
          <cell r="AF133">
            <v>1.3030538704511299E-2</v>
          </cell>
          <cell r="AG133">
            <v>1.8530055833359999E-2</v>
          </cell>
          <cell r="AR133">
            <v>4.1861007866058404E-2</v>
          </cell>
          <cell r="BC133">
            <v>0</v>
          </cell>
          <cell r="BF133">
            <v>4.1861007866058404E-2</v>
          </cell>
        </row>
        <row r="134">
          <cell r="O134">
            <v>0.90525826694812095</v>
          </cell>
          <cell r="P134">
            <v>0.95214446257528296</v>
          </cell>
          <cell r="Q134">
            <v>0.96138916667764596</v>
          </cell>
          <cell r="U134">
            <v>-3.7562709325562001E-2</v>
          </cell>
          <cell r="V134">
            <v>1.6814638173781701E-2</v>
          </cell>
          <cell r="W134">
            <v>2.42212775437564E-2</v>
          </cell>
          <cell r="Y134">
            <v>0.90525826694812095</v>
          </cell>
          <cell r="Z134">
            <v>0.95214446257528296</v>
          </cell>
          <cell r="AA134">
            <v>0.96138916667764596</v>
          </cell>
          <cell r="AF134">
            <v>1.6814638173781701E-2</v>
          </cell>
          <cell r="AG134">
            <v>2.42212775437564E-2</v>
          </cell>
          <cell r="AR134">
            <v>4.1861007866058404E-2</v>
          </cell>
          <cell r="BC134">
            <v>0</v>
          </cell>
          <cell r="BF134">
            <v>4.1861007866058404E-2</v>
          </cell>
        </row>
        <row r="135">
          <cell r="O135">
            <v>0.90525826694812095</v>
          </cell>
          <cell r="P135">
            <v>0.94873722091435897</v>
          </cell>
          <cell r="Q135">
            <v>0.96002233378123103</v>
          </cell>
          <cell r="U135">
            <v>-2.9615129503504398E-2</v>
          </cell>
          <cell r="V135">
            <v>2.0881359347505402E-2</v>
          </cell>
          <cell r="W135">
            <v>3.05438767843456E-2</v>
          </cell>
          <cell r="Y135">
            <v>0.90525826694812095</v>
          </cell>
          <cell r="Z135">
            <v>0.94873722091435897</v>
          </cell>
          <cell r="AA135">
            <v>0.96002233378123103</v>
          </cell>
          <cell r="AF135">
            <v>2.0881359347505402E-2</v>
          </cell>
          <cell r="AG135">
            <v>3.05438767843456E-2</v>
          </cell>
          <cell r="AR135">
            <v>4.1861007866058404E-2</v>
          </cell>
          <cell r="BC135">
            <v>0</v>
          </cell>
          <cell r="BF135">
            <v>4.1861007866058404E-2</v>
          </cell>
        </row>
        <row r="136">
          <cell r="O136">
            <v>0.90525826694812095</v>
          </cell>
          <cell r="P136">
            <v>0.94688323994483004</v>
          </cell>
          <cell r="Q136">
            <v>0.95884540616074099</v>
          </cell>
          <cell r="U136">
            <v>-3.5117457482911299E-2</v>
          </cell>
          <cell r="V136">
            <v>1.17941209135928E-2</v>
          </cell>
          <cell r="W136">
            <v>2.36188102331658E-2</v>
          </cell>
          <cell r="Y136">
            <v>0.90525826694812095</v>
          </cell>
          <cell r="Z136">
            <v>0.94688323994483004</v>
          </cell>
          <cell r="AA136">
            <v>0.95884540616074099</v>
          </cell>
          <cell r="AF136">
            <v>1.17941209135928E-2</v>
          </cell>
          <cell r="AG136">
            <v>2.36188102331658E-2</v>
          </cell>
          <cell r="AR136">
            <v>4.1861007866058404E-2</v>
          </cell>
          <cell r="BC136">
            <v>5.5023279794069006E-3</v>
          </cell>
          <cell r="BF136">
            <v>4.7363335845465301E-2</v>
          </cell>
        </row>
        <row r="137">
          <cell r="O137">
            <v>0.90525826694812095</v>
          </cell>
          <cell r="P137">
            <v>0.94444693325481199</v>
          </cell>
          <cell r="Q137">
            <v>0.95728960872314595</v>
          </cell>
          <cell r="U137">
            <v>-3.5448509947268503E-2</v>
          </cell>
          <cell r="V137">
            <v>9.5070001339235492E-3</v>
          </cell>
          <cell r="W137">
            <v>2.20610679417035E-2</v>
          </cell>
          <cell r="Y137">
            <v>0.90525826694812095</v>
          </cell>
          <cell r="Z137">
            <v>0.94444693325481199</v>
          </cell>
          <cell r="AA137">
            <v>0.95728960872314595</v>
          </cell>
          <cell r="AF137">
            <v>9.5070001339235492E-3</v>
          </cell>
          <cell r="AG137">
            <v>2.20610679417035E-2</v>
          </cell>
          <cell r="AR137">
            <v>4.1861007866058404E-2</v>
          </cell>
          <cell r="BC137">
            <v>5.8333804437642909E-3</v>
          </cell>
          <cell r="BF137">
            <v>4.7694388309822693E-2</v>
          </cell>
        </row>
        <row r="138">
          <cell r="O138">
            <v>0.90525826694812095</v>
          </cell>
          <cell r="P138">
            <v>0.94419090834087804</v>
          </cell>
          <cell r="Q138">
            <v>0.95564148057578002</v>
          </cell>
          <cell r="U138">
            <v>-4.4294304081190602E-2</v>
          </cell>
          <cell r="V138">
            <v>-1.9150845621394299E-3</v>
          </cell>
          <cell r="W138">
            <v>1.1591382205781001E-2</v>
          </cell>
          <cell r="Y138">
            <v>0.90525826694812095</v>
          </cell>
          <cell r="Z138">
            <v>0.94419090834087804</v>
          </cell>
          <cell r="AA138">
            <v>0.95564148057578002</v>
          </cell>
          <cell r="AF138">
            <v>-1.9150845621394299E-3</v>
          </cell>
          <cell r="AG138">
            <v>1.1591382205781001E-2</v>
          </cell>
          <cell r="AR138">
            <v>4.1861007866058404E-2</v>
          </cell>
          <cell r="BC138">
            <v>1.4679174577686391E-2</v>
          </cell>
          <cell r="BF138">
            <v>5.6540182443744792E-2</v>
          </cell>
        </row>
        <row r="139">
          <cell r="O139">
            <v>0.90525826694812095</v>
          </cell>
          <cell r="P139">
            <v>0.94406515547329295</v>
          </cell>
          <cell r="Q139">
            <v>0.95446718509060802</v>
          </cell>
          <cell r="U139">
            <v>-4.4568124086493598E-2</v>
          </cell>
          <cell r="V139">
            <v>-2.46002580610887E-3</v>
          </cell>
          <cell r="W139">
            <v>9.5944174783371E-3</v>
          </cell>
          <cell r="Y139">
            <v>0.90525826694812095</v>
          </cell>
          <cell r="Z139">
            <v>0.94406515547329295</v>
          </cell>
          <cell r="AA139">
            <v>0.95446718509060802</v>
          </cell>
          <cell r="AF139">
            <v>-2.46002580610887E-3</v>
          </cell>
          <cell r="AG139">
            <v>9.5944174783371E-3</v>
          </cell>
          <cell r="AR139">
            <v>4.1861007866058404E-2</v>
          </cell>
          <cell r="BC139">
            <v>1.4952994582989222E-2</v>
          </cell>
          <cell r="BF139">
            <v>5.6814002449047621E-2</v>
          </cell>
        </row>
        <row r="140">
          <cell r="O140">
            <v>0.90525826694812095</v>
          </cell>
          <cell r="P140">
            <v>0.943361838047867</v>
          </cell>
          <cell r="Q140">
            <v>0.95338124046733697</v>
          </cell>
          <cell r="U140">
            <v>-4.8384120116121102E-2</v>
          </cell>
          <cell r="V140">
            <v>-6.4092165545890098E-3</v>
          </cell>
          <cell r="W140">
            <v>4.5488624668333696E-3</v>
          </cell>
          <cell r="Y140">
            <v>0.90525826694812095</v>
          </cell>
          <cell r="Z140">
            <v>0.943361838047867</v>
          </cell>
          <cell r="AA140">
            <v>0.95338124046733697</v>
          </cell>
          <cell r="AF140">
            <v>-6.4092165545890098E-3</v>
          </cell>
          <cell r="AG140">
            <v>4.5488624668333696E-3</v>
          </cell>
          <cell r="AR140">
            <v>4.1861007866058404E-2</v>
          </cell>
          <cell r="BC140">
            <v>1.8768990612616571E-2</v>
          </cell>
          <cell r="BF140">
            <v>6.0629998478674972E-2</v>
          </cell>
        </row>
        <row r="141">
          <cell r="O141">
            <v>0.90525826694812095</v>
          </cell>
          <cell r="P141">
            <v>0.94213021776490302</v>
          </cell>
          <cell r="Q141">
            <v>0.95125289627606702</v>
          </cell>
          <cell r="U141">
            <v>-3.6694992734721397E-2</v>
          </cell>
          <cell r="V141">
            <v>4.5346449591582598E-3</v>
          </cell>
          <cell r="W141">
            <v>1.50995925562882E-2</v>
          </cell>
          <cell r="Y141">
            <v>0.90525826694812095</v>
          </cell>
          <cell r="Z141">
            <v>0.94213021776490302</v>
          </cell>
          <cell r="AA141">
            <v>0.95125289627606702</v>
          </cell>
          <cell r="AF141">
            <v>4.5346449591582598E-3</v>
          </cell>
          <cell r="AG141">
            <v>1.50995925562882E-2</v>
          </cell>
          <cell r="AR141">
            <v>4.1861007866058404E-2</v>
          </cell>
          <cell r="BC141">
            <v>1.8768990612616571E-2</v>
          </cell>
          <cell r="BF141">
            <v>6.0629998478674972E-2</v>
          </cell>
        </row>
        <row r="142">
          <cell r="O142">
            <v>0.90525826694812095</v>
          </cell>
          <cell r="P142">
            <v>0.94170432279021699</v>
          </cell>
          <cell r="Q142">
            <v>0.95007850163454799</v>
          </cell>
          <cell r="U142">
            <v>-3.8808967492690798E-2</v>
          </cell>
          <cell r="V142">
            <v>1.11425211861251E-3</v>
          </cell>
          <cell r="W142">
            <v>1.07507055533846E-2</v>
          </cell>
          <cell r="Y142">
            <v>0.90525826694812095</v>
          </cell>
          <cell r="Z142">
            <v>0.94170432279021699</v>
          </cell>
          <cell r="AA142">
            <v>0.95007850163454799</v>
          </cell>
          <cell r="AF142">
            <v>1.11425211861251E-3</v>
          </cell>
          <cell r="AG142">
            <v>1.07507055533846E-2</v>
          </cell>
          <cell r="AR142">
            <v>4.1861007866058404E-2</v>
          </cell>
          <cell r="BC142">
            <v>1.8768990612616571E-2</v>
          </cell>
          <cell r="BF142">
            <v>6.0629998478674972E-2</v>
          </cell>
        </row>
        <row r="143">
          <cell r="O143">
            <v>0.90525826694812095</v>
          </cell>
          <cell r="P143">
            <v>0.93989820679355196</v>
          </cell>
          <cell r="Q143">
            <v>0.94787249343980695</v>
          </cell>
          <cell r="U143">
            <v>-2.4793546284260799E-2</v>
          </cell>
          <cell r="V143">
            <v>1.46775158017669E-2</v>
          </cell>
          <cell r="W143">
            <v>2.3530787365263501E-2</v>
          </cell>
          <cell r="Y143">
            <v>0.90525826694812095</v>
          </cell>
          <cell r="Z143">
            <v>0.93989820679355196</v>
          </cell>
          <cell r="AA143">
            <v>0.94787249343980695</v>
          </cell>
          <cell r="AF143">
            <v>1.46775158017669E-2</v>
          </cell>
          <cell r="AG143">
            <v>2.3530787365263501E-2</v>
          </cell>
          <cell r="AR143">
            <v>4.1861007866058404E-2</v>
          </cell>
          <cell r="BC143">
            <v>1.8768990612616571E-2</v>
          </cell>
          <cell r="BF143">
            <v>6.0629998478674972E-2</v>
          </cell>
        </row>
        <row r="144">
          <cell r="O144">
            <v>0.90525826694812095</v>
          </cell>
          <cell r="P144">
            <v>0.93812896283260405</v>
          </cell>
          <cell r="Q144">
            <v>0.94513671270394295</v>
          </cell>
          <cell r="U144">
            <v>-1.85597229728478E-2</v>
          </cell>
          <cell r="V144">
            <v>1.8991574951546401E-2</v>
          </cell>
          <cell r="W144">
            <v>2.7439988814594099E-2</v>
          </cell>
          <cell r="Y144">
            <v>0.90525826694812095</v>
          </cell>
          <cell r="Z144">
            <v>0.93812896283260405</v>
          </cell>
          <cell r="AA144">
            <v>0.94513671270394295</v>
          </cell>
          <cell r="AF144">
            <v>1.8991574951546401E-2</v>
          </cell>
          <cell r="AG144">
            <v>2.7439988814594099E-2</v>
          </cell>
          <cell r="AR144">
            <v>4.1861007866058404E-2</v>
          </cell>
          <cell r="BC144">
            <v>1.8768990612616571E-2</v>
          </cell>
          <cell r="BF144">
            <v>6.0629998478674972E-2</v>
          </cell>
        </row>
        <row r="145">
          <cell r="O145">
            <v>0.90525826694812095</v>
          </cell>
          <cell r="P145">
            <v>0.93850430250175298</v>
          </cell>
          <cell r="Q145">
            <v>0.94362076170805598</v>
          </cell>
          <cell r="U145">
            <v>-3.3632276054394401E-2</v>
          </cell>
          <cell r="V145">
            <v>2.0348696990744801E-3</v>
          </cell>
          <cell r="W145">
            <v>9.4770296730610007E-3</v>
          </cell>
          <cell r="Y145">
            <v>0.90525826694812095</v>
          </cell>
          <cell r="Z145">
            <v>0.93850430250175298</v>
          </cell>
          <cell r="AA145">
            <v>0.94362076170805598</v>
          </cell>
          <cell r="AF145">
            <v>2.0348696990744801E-3</v>
          </cell>
          <cell r="AG145">
            <v>9.4770296730610007E-3</v>
          </cell>
          <cell r="AR145">
            <v>4.1861007866058404E-2</v>
          </cell>
          <cell r="BC145">
            <v>3.3841543694163159E-2</v>
          </cell>
          <cell r="BF145">
            <v>7.570255156022157E-2</v>
          </cell>
        </row>
        <row r="146">
          <cell r="O146">
            <v>0.90525826694812095</v>
          </cell>
          <cell r="P146">
            <v>0.93814943132287498</v>
          </cell>
          <cell r="Q146">
            <v>0.94251633563385195</v>
          </cell>
          <cell r="U146">
            <v>-3.1325442216289301E-2</v>
          </cell>
          <cell r="V146">
            <v>4.7417174142511198E-3</v>
          </cell>
          <cell r="W146">
            <v>1.01786269024981E-2</v>
          </cell>
          <cell r="Y146">
            <v>0.90525826694812095</v>
          </cell>
          <cell r="Z146">
            <v>0.93814943132287498</v>
          </cell>
          <cell r="AA146">
            <v>0.94251633563385195</v>
          </cell>
          <cell r="AF146">
            <v>4.7417174142511198E-3</v>
          </cell>
          <cell r="AG146">
            <v>1.01786269024981E-2</v>
          </cell>
          <cell r="AR146">
            <v>4.1861007866058404E-2</v>
          </cell>
          <cell r="BC146">
            <v>3.1534709856058156E-2</v>
          </cell>
          <cell r="BF146">
            <v>7.339571772211656E-2</v>
          </cell>
        </row>
        <row r="147">
          <cell r="O147">
            <v>0.90525826694812095</v>
          </cell>
          <cell r="P147">
            <v>0.93743077958509202</v>
          </cell>
          <cell r="Q147">
            <v>0.94093885641995201</v>
          </cell>
          <cell r="U147">
            <v>-2.7756850624557201E-2</v>
          </cell>
          <cell r="V147">
            <v>7.93211330934342E-3</v>
          </cell>
          <cell r="W147">
            <v>1.2576119954273201E-2</v>
          </cell>
          <cell r="Y147">
            <v>0.90525826694812095</v>
          </cell>
          <cell r="Z147">
            <v>0.93743077958509202</v>
          </cell>
          <cell r="AA147">
            <v>0.94093885641995201</v>
          </cell>
          <cell r="AF147">
            <v>7.93211330934342E-3</v>
          </cell>
          <cell r="AG147">
            <v>1.2576119954273201E-2</v>
          </cell>
          <cell r="AR147">
            <v>4.1861007866058404E-2</v>
          </cell>
          <cell r="BC147">
            <v>2.7966118264326056E-2</v>
          </cell>
          <cell r="BF147">
            <v>6.9827126130384456E-2</v>
          </cell>
        </row>
        <row r="148">
          <cell r="O148">
            <v>0.90525826694812095</v>
          </cell>
          <cell r="P148">
            <v>0.93698614150688997</v>
          </cell>
          <cell r="Q148">
            <v>0.94058852492388401</v>
          </cell>
          <cell r="U148">
            <v>-3.9584316735835998E-2</v>
          </cell>
          <cell r="V148">
            <v>-4.6616775570937604E-3</v>
          </cell>
          <cell r="W148">
            <v>-9.2643732924387598E-4</v>
          </cell>
          <cell r="Y148">
            <v>0.90525826694812095</v>
          </cell>
          <cell r="Z148">
            <v>0.93698614150688997</v>
          </cell>
          <cell r="AA148">
            <v>0.94058852492388401</v>
          </cell>
          <cell r="AF148">
            <v>-4.6616775570937604E-3</v>
          </cell>
          <cell r="AG148">
            <v>-9.2643732924387598E-4</v>
          </cell>
          <cell r="AR148">
            <v>4.1861007866058404E-2</v>
          </cell>
          <cell r="BC148">
            <v>3.9793584375604846E-2</v>
          </cell>
          <cell r="BF148">
            <v>8.1654592241663243E-2</v>
          </cell>
        </row>
        <row r="149">
          <cell r="O149">
            <v>0.90525826694812095</v>
          </cell>
          <cell r="P149">
            <v>0.93548878307155303</v>
          </cell>
          <cell r="Q149">
            <v>0.93977696927242305</v>
          </cell>
          <cell r="U149">
            <v>-2.8621981498993001E-2</v>
          </cell>
          <cell r="V149">
            <v>5.82622951860883E-3</v>
          </cell>
          <cell r="W149">
            <v>9.6635073661797306E-3</v>
          </cell>
          <cell r="Y149">
            <v>0.90525826694812095</v>
          </cell>
          <cell r="Z149">
            <v>0.93548878307155303</v>
          </cell>
          <cell r="AA149">
            <v>0.93977696927242305</v>
          </cell>
          <cell r="AF149">
            <v>5.82622951860883E-3</v>
          </cell>
          <cell r="AG149">
            <v>9.6635073661797306E-3</v>
          </cell>
          <cell r="AR149">
            <v>4.1861007866058404E-2</v>
          </cell>
          <cell r="BC149">
            <v>3.9793584375604846E-2</v>
          </cell>
          <cell r="BF149">
            <v>8.1654592241663243E-2</v>
          </cell>
        </row>
        <row r="150">
          <cell r="O150">
            <v>0.90525826694812095</v>
          </cell>
          <cell r="P150">
            <v>0.93365786611941504</v>
          </cell>
          <cell r="Q150">
            <v>0.93850985208364102</v>
          </cell>
          <cell r="U150">
            <v>-2.8925966718252601E-2</v>
          </cell>
          <cell r="V150">
            <v>3.9229077903746197E-3</v>
          </cell>
          <cell r="W150">
            <v>8.4963328314845692E-3</v>
          </cell>
          <cell r="Y150">
            <v>0.90525826694812095</v>
          </cell>
          <cell r="Z150">
            <v>0.93365786611941504</v>
          </cell>
          <cell r="AA150">
            <v>0.93850985208364102</v>
          </cell>
          <cell r="AF150">
            <v>3.9229077903746197E-3</v>
          </cell>
          <cell r="AG150">
            <v>8.4963328314845692E-3</v>
          </cell>
          <cell r="AR150">
            <v>4.1861007866058404E-2</v>
          </cell>
          <cell r="BC150">
            <v>3.9793584375604846E-2</v>
          </cell>
          <cell r="BF150">
            <v>8.1654592241663243E-2</v>
          </cell>
        </row>
        <row r="151">
          <cell r="O151">
            <v>0.90525826694812095</v>
          </cell>
          <cell r="P151">
            <v>0.93298171960559595</v>
          </cell>
          <cell r="Q151">
            <v>0.93755596868524904</v>
          </cell>
          <cell r="U151">
            <v>-2.9468957923825801E-2</v>
          </cell>
          <cell r="V151">
            <v>1.42082200169124E-3</v>
          </cell>
          <cell r="W151">
            <v>6.6041149086738899E-3</v>
          </cell>
          <cell r="Y151">
            <v>0.90525826694812095</v>
          </cell>
          <cell r="Z151">
            <v>0.93298171960559595</v>
          </cell>
          <cell r="AA151">
            <v>0.93755596868524904</v>
          </cell>
          <cell r="AF151">
            <v>1.42082200169124E-3</v>
          </cell>
          <cell r="AG151">
            <v>6.6041149086738899E-3</v>
          </cell>
          <cell r="AR151">
            <v>4.1861007866058404E-2</v>
          </cell>
          <cell r="BC151">
            <v>3.9793584375604846E-2</v>
          </cell>
          <cell r="BF151">
            <v>8.1654592241663243E-2</v>
          </cell>
        </row>
        <row r="152">
          <cell r="O152">
            <v>0.90525826694812095</v>
          </cell>
          <cell r="P152">
            <v>0.93184528885735096</v>
          </cell>
          <cell r="Q152">
            <v>0.93677480582378403</v>
          </cell>
          <cell r="U152">
            <v>-2.66596614213876E-2</v>
          </cell>
          <cell r="V152">
            <v>3.50566526895534E-3</v>
          </cell>
          <cell r="W152">
            <v>8.3965137414982096E-3</v>
          </cell>
          <cell r="Y152">
            <v>0.90525826694812095</v>
          </cell>
          <cell r="Z152">
            <v>0.93184528885735096</v>
          </cell>
          <cell r="AA152">
            <v>0.93677480582378403</v>
          </cell>
          <cell r="AF152">
            <v>3.50566526895534E-3</v>
          </cell>
          <cell r="AG152">
            <v>8.3965137414982096E-3</v>
          </cell>
          <cell r="AR152">
            <v>4.1861007866058404E-2</v>
          </cell>
          <cell r="BC152">
            <v>3.9793584375604846E-2</v>
          </cell>
          <cell r="BF152">
            <v>8.1654592241663243E-2</v>
          </cell>
        </row>
        <row r="153">
          <cell r="O153">
            <v>0.90525826694812095</v>
          </cell>
          <cell r="P153">
            <v>0.93228696235758501</v>
          </cell>
          <cell r="Q153">
            <v>0.93609258457556899</v>
          </cell>
          <cell r="U153">
            <v>-2.95417536241156E-2</v>
          </cell>
          <cell r="V153">
            <v>-5.9523262863532404E-4</v>
          </cell>
          <cell r="W153">
            <v>4.68088359838286E-3</v>
          </cell>
          <cell r="Y153">
            <v>0.90525826694812095</v>
          </cell>
          <cell r="Z153">
            <v>0.93228696235758501</v>
          </cell>
          <cell r="AA153">
            <v>0.93609258457556899</v>
          </cell>
          <cell r="AF153">
            <v>-5.9523262863532404E-4</v>
          </cell>
          <cell r="AG153">
            <v>4.68088359838286E-3</v>
          </cell>
          <cell r="AR153">
            <v>4.1861007866058404E-2</v>
          </cell>
          <cell r="BC153">
            <v>3.9793584375604846E-2</v>
          </cell>
          <cell r="BF153">
            <v>8.1654592241663243E-2</v>
          </cell>
        </row>
        <row r="154">
          <cell r="O154">
            <v>0.90525826694812095</v>
          </cell>
          <cell r="P154">
            <v>0.93353008061679399</v>
          </cell>
          <cell r="Q154">
            <v>0.93582952172469902</v>
          </cell>
          <cell r="U154">
            <v>-3.1949359682732097E-2</v>
          </cell>
          <cell r="V154">
            <v>-2.52897369380922E-3</v>
          </cell>
          <cell r="W154">
            <v>1.5447462172748E-3</v>
          </cell>
          <cell r="Y154">
            <v>0.90525826694812095</v>
          </cell>
          <cell r="Z154">
            <v>0.93353008061679399</v>
          </cell>
          <cell r="AA154">
            <v>0.93582952172469902</v>
          </cell>
          <cell r="AF154">
            <v>-2.52897369380922E-3</v>
          </cell>
          <cell r="AG154">
            <v>1.5447462172748E-3</v>
          </cell>
          <cell r="AR154">
            <v>4.1861007866058404E-2</v>
          </cell>
          <cell r="BC154">
            <v>3.9793584375604846E-2</v>
          </cell>
          <cell r="BF154">
            <v>8.1654592241663243E-2</v>
          </cell>
        </row>
        <row r="155">
          <cell r="O155">
            <v>0.90525826694812095</v>
          </cell>
          <cell r="P155">
            <v>0.93339308552177003</v>
          </cell>
          <cell r="Q155">
            <v>0.93594869401176195</v>
          </cell>
          <cell r="U155">
            <v>-3.2167928565835197E-2</v>
          </cell>
          <cell r="V155">
            <v>-1.4150234557793E-3</v>
          </cell>
          <cell r="W155">
            <v>1.04511558302711E-3</v>
          </cell>
          <cell r="Y155">
            <v>0.90525826694812095</v>
          </cell>
          <cell r="Z155">
            <v>0.93339308552177003</v>
          </cell>
          <cell r="AA155">
            <v>0.93594869401176195</v>
          </cell>
          <cell r="AF155">
            <v>-1.4150234557793E-3</v>
          </cell>
          <cell r="AG155">
            <v>1.04511558302711E-3</v>
          </cell>
          <cell r="AR155">
            <v>4.1861007866058404E-2</v>
          </cell>
          <cell r="BC155">
            <v>3.9793584375604846E-2</v>
          </cell>
          <cell r="BF155">
            <v>8.1654592241663243E-2</v>
          </cell>
        </row>
        <row r="156">
          <cell r="O156">
            <v>0.90525826694812095</v>
          </cell>
          <cell r="P156">
            <v>0.93362412217628299</v>
          </cell>
          <cell r="Q156">
            <v>0.93588677674957899</v>
          </cell>
          <cell r="U156">
            <v>-3.3795842735143501E-2</v>
          </cell>
          <cell r="V156">
            <v>-3.1896979179097799E-3</v>
          </cell>
          <cell r="W156">
            <v>-4.5546268053965199E-4</v>
          </cell>
          <cell r="Y156">
            <v>0.90525826694812095</v>
          </cell>
          <cell r="Z156">
            <v>0.93362412217628299</v>
          </cell>
          <cell r="AA156">
            <v>0.93588677674957899</v>
          </cell>
          <cell r="AF156">
            <v>-3.1896979179097799E-3</v>
          </cell>
          <cell r="AG156">
            <v>-4.5546268053965199E-4</v>
          </cell>
          <cell r="AR156">
            <v>4.1861007866058404E-2</v>
          </cell>
          <cell r="BC156">
            <v>3.9793584375604846E-2</v>
          </cell>
          <cell r="BF156">
            <v>8.1654592241663243E-2</v>
          </cell>
        </row>
        <row r="157">
          <cell r="O157">
            <v>0.90525826694812095</v>
          </cell>
          <cell r="P157">
            <v>0.93466724116306199</v>
          </cell>
          <cell r="Q157">
            <v>0.93604901037407695</v>
          </cell>
          <cell r="U157">
            <v>-3.89019597830675E-2</v>
          </cell>
          <cell r="V157">
            <v>-8.0483221685110004E-3</v>
          </cell>
          <cell r="W157">
            <v>-5.62773646410911E-3</v>
          </cell>
          <cell r="Y157">
            <v>0.90525826694812095</v>
          </cell>
          <cell r="Z157">
            <v>0.93466724116306199</v>
          </cell>
          <cell r="AA157">
            <v>0.93604901037407695</v>
          </cell>
          <cell r="AF157">
            <v>-8.0483221685110004E-3</v>
          </cell>
          <cell r="AG157">
            <v>-5.62773646410911E-3</v>
          </cell>
          <cell r="AR157">
            <v>4.1861007866058404E-2</v>
          </cell>
          <cell r="BC157">
            <v>3.9793584375604846E-2</v>
          </cell>
          <cell r="BF157">
            <v>8.1654592241663243E-2</v>
          </cell>
        </row>
        <row r="158">
          <cell r="O158">
            <v>0.90525826694812095</v>
          </cell>
          <cell r="P158">
            <v>0.93375009165158696</v>
          </cell>
          <cell r="Q158">
            <v>0.93536811657923902</v>
          </cell>
          <cell r="U158">
            <v>-2.97984424590137E-2</v>
          </cell>
          <cell r="V158">
            <v>2.17185085030139E-3</v>
          </cell>
          <cell r="W158">
            <v>3.6491133278856599E-3</v>
          </cell>
          <cell r="Y158">
            <v>0.90525826694812095</v>
          </cell>
          <cell r="Z158">
            <v>0.93375009165158696</v>
          </cell>
          <cell r="AA158">
            <v>0.93536811657923902</v>
          </cell>
          <cell r="AF158">
            <v>2.17185085030139E-3</v>
          </cell>
          <cell r="AG158">
            <v>3.6491133278856599E-3</v>
          </cell>
          <cell r="AR158">
            <v>4.1861007866058404E-2</v>
          </cell>
          <cell r="BC158">
            <v>3.9793584375604846E-2</v>
          </cell>
          <cell r="BF158">
            <v>8.1654592241663243E-2</v>
          </cell>
        </row>
        <row r="159">
          <cell r="O159">
            <v>0.90525826694812095</v>
          </cell>
          <cell r="P159">
            <v>0.93324181004531703</v>
          </cell>
          <cell r="Q159">
            <v>0.93436529655843503</v>
          </cell>
          <cell r="U159">
            <v>-2.3150700030323199E-2</v>
          </cell>
          <cell r="V159">
            <v>7.8378537403658993E-3</v>
          </cell>
          <cell r="W159">
            <v>9.56917851660939E-3</v>
          </cell>
          <cell r="Y159">
            <v>0.90525826694812095</v>
          </cell>
          <cell r="Z159">
            <v>0.93324181004531703</v>
          </cell>
          <cell r="AA159">
            <v>0.93436529655843503</v>
          </cell>
          <cell r="AF159">
            <v>7.8378537403658993E-3</v>
          </cell>
          <cell r="AG159">
            <v>9.56917851660939E-3</v>
          </cell>
          <cell r="AR159">
            <v>4.1861007866058404E-2</v>
          </cell>
          <cell r="BC159">
            <v>3.9793584375604846E-2</v>
          </cell>
          <cell r="BF159">
            <v>8.1654592241663243E-2</v>
          </cell>
        </row>
        <row r="160">
          <cell r="O160">
            <v>0.90525826694812095</v>
          </cell>
          <cell r="P160">
            <v>0.93289666204527599</v>
          </cell>
          <cell r="Q160">
            <v>0.93327726408234501</v>
          </cell>
          <cell r="U160">
            <v>-2.5215094239004799E-2</v>
          </cell>
          <cell r="V160">
            <v>5.2289669515450899E-3</v>
          </cell>
          <cell r="W160">
            <v>6.4320965012966301E-3</v>
          </cell>
          <cell r="Y160">
            <v>0.90525826694812095</v>
          </cell>
          <cell r="Z160">
            <v>0.93289666204527599</v>
          </cell>
          <cell r="AA160">
            <v>0.93327726408234501</v>
          </cell>
          <cell r="AF160">
            <v>5.2289669515450899E-3</v>
          </cell>
          <cell r="AG160">
            <v>6.4320965012966301E-3</v>
          </cell>
          <cell r="AR160">
            <v>4.1861007866058404E-2</v>
          </cell>
          <cell r="BC160">
            <v>3.9793584375604846E-2</v>
          </cell>
          <cell r="BF160">
            <v>8.1654592241663243E-2</v>
          </cell>
        </row>
        <row r="161">
          <cell r="O161">
            <v>0.90525826694812095</v>
          </cell>
          <cell r="P161">
            <v>0.932459911474394</v>
          </cell>
          <cell r="Q161">
            <v>0.93272081553999497</v>
          </cell>
          <cell r="U161">
            <v>-2.4773456330894901E-2</v>
          </cell>
          <cell r="V161">
            <v>5.3006987576817901E-3</v>
          </cell>
          <cell r="W161">
            <v>5.7085943316339304E-3</v>
          </cell>
          <cell r="Y161">
            <v>0.90525826694812095</v>
          </cell>
          <cell r="Z161">
            <v>0.932459911474394</v>
          </cell>
          <cell r="AA161">
            <v>0.93272081553999497</v>
          </cell>
          <cell r="AF161">
            <v>5.3006987576817901E-3</v>
          </cell>
          <cell r="AG161">
            <v>5.7085943316339304E-3</v>
          </cell>
          <cell r="AR161">
            <v>4.1861007866058404E-2</v>
          </cell>
          <cell r="BC161">
            <v>3.9793584375604846E-2</v>
          </cell>
          <cell r="BF161">
            <v>8.1654592241663243E-2</v>
          </cell>
        </row>
        <row r="162">
          <cell r="O162">
            <v>0.90525826694812095</v>
          </cell>
          <cell r="P162">
            <v>0.93205956310882598</v>
          </cell>
          <cell r="Q162">
            <v>0.93195242598308803</v>
          </cell>
          <cell r="U162">
            <v>-2.2344230557110201E-2</v>
          </cell>
          <cell r="V162">
            <v>7.2616488301196196E-3</v>
          </cell>
          <cell r="W162">
            <v>7.5414116043361996E-3</v>
          </cell>
          <cell r="Y162">
            <v>0.90525826694812095</v>
          </cell>
          <cell r="Z162">
            <v>0.93205956310882598</v>
          </cell>
          <cell r="AA162">
            <v>0.93195242598308803</v>
          </cell>
          <cell r="AF162">
            <v>7.2616488301196196E-3</v>
          </cell>
          <cell r="AG162">
            <v>7.5414116043361996E-3</v>
          </cell>
          <cell r="AR162">
            <v>4.1861007866058404E-2</v>
          </cell>
          <cell r="BC162">
            <v>3.9793584375604846E-2</v>
          </cell>
          <cell r="BF162">
            <v>8.1654592241663243E-2</v>
          </cell>
        </row>
        <row r="163">
          <cell r="O163">
            <v>0.90525826694812095</v>
          </cell>
          <cell r="P163">
            <v>0.93130632753449505</v>
          </cell>
          <cell r="Q163">
            <v>0.93179664494603998</v>
          </cell>
          <cell r="U163">
            <v>-2.1430487483619601E-2</v>
          </cell>
          <cell r="V163">
            <v>7.7459532442899302E-3</v>
          </cell>
          <cell r="W163">
            <v>7.6309999859604698E-3</v>
          </cell>
          <cell r="Y163">
            <v>0.90525826694812095</v>
          </cell>
          <cell r="Z163">
            <v>0.93130632753449505</v>
          </cell>
          <cell r="AA163">
            <v>0.93179664494603998</v>
          </cell>
          <cell r="AF163">
            <v>7.7459532442899302E-3</v>
          </cell>
          <cell r="AG163">
            <v>7.6309999859604698E-3</v>
          </cell>
          <cell r="AR163">
            <v>4.1861007866058404E-2</v>
          </cell>
          <cell r="BC163">
            <v>3.9793584375604846E-2</v>
          </cell>
          <cell r="BF163">
            <v>8.1654592241663243E-2</v>
          </cell>
        </row>
        <row r="164">
          <cell r="O164">
            <v>0.90525826694812095</v>
          </cell>
          <cell r="P164">
            <v>0.93057776382053303</v>
          </cell>
          <cell r="Q164">
            <v>0.93205392221866401</v>
          </cell>
          <cell r="U164">
            <v>-2.4123756768574998E-2</v>
          </cell>
          <cell r="V164">
            <v>4.2442162084319699E-3</v>
          </cell>
          <cell r="W164">
            <v>4.77056116102697E-3</v>
          </cell>
          <cell r="Y164">
            <v>0.90525826694812095</v>
          </cell>
          <cell r="Z164">
            <v>0.93057776382053303</v>
          </cell>
          <cell r="AA164">
            <v>0.93205392221866401</v>
          </cell>
          <cell r="AF164">
            <v>4.2442162084319699E-3</v>
          </cell>
          <cell r="AG164">
            <v>4.77056116102697E-3</v>
          </cell>
          <cell r="AR164">
            <v>4.1861007866058404E-2</v>
          </cell>
          <cell r="BC164">
            <v>3.9793584375604846E-2</v>
          </cell>
          <cell r="BF164">
            <v>8.1654592241663243E-2</v>
          </cell>
        </row>
        <row r="165">
          <cell r="O165">
            <v>0.90525826694812095</v>
          </cell>
          <cell r="P165">
            <v>0.92879064583795101</v>
          </cell>
          <cell r="Q165">
            <v>0.93109186567986102</v>
          </cell>
          <cell r="U165">
            <v>-1.2866256410961599E-2</v>
          </cell>
          <cell r="V165">
            <v>1.47191074288495E-2</v>
          </cell>
          <cell r="W165">
            <v>1.6304132228160101E-2</v>
          </cell>
          <cell r="Y165">
            <v>0.90525826694812095</v>
          </cell>
          <cell r="Z165">
            <v>0.92879064583795101</v>
          </cell>
          <cell r="AA165">
            <v>0.93109186567986102</v>
          </cell>
          <cell r="AF165">
            <v>1.47191074288495E-2</v>
          </cell>
          <cell r="AG165">
            <v>1.6304132228160101E-2</v>
          </cell>
          <cell r="AR165">
            <v>4.1861007866058404E-2</v>
          </cell>
          <cell r="BC165">
            <v>3.9793584375604846E-2</v>
          </cell>
          <cell r="BF165">
            <v>8.1654592241663243E-2</v>
          </cell>
        </row>
        <row r="166">
          <cell r="O166">
            <v>0.90525826694812095</v>
          </cell>
          <cell r="P166">
            <v>0.92710952979499595</v>
          </cell>
          <cell r="Q166">
            <v>0.93036682598563902</v>
          </cell>
          <cell r="U166">
            <v>-1.56792772494538E-2</v>
          </cell>
          <cell r="V166">
            <v>9.9838010189668407E-3</v>
          </cell>
          <cell r="W166">
            <v>1.24583885286274E-2</v>
          </cell>
          <cell r="Y166">
            <v>0.90525826694812095</v>
          </cell>
          <cell r="Z166">
            <v>0.92710952979499595</v>
          </cell>
          <cell r="AA166">
            <v>0.93036682598563902</v>
          </cell>
          <cell r="AF166">
            <v>9.9838010189668407E-3</v>
          </cell>
          <cell r="AG166">
            <v>1.24583885286274E-2</v>
          </cell>
          <cell r="AR166">
            <v>4.1861007866058404E-2</v>
          </cell>
          <cell r="BC166">
            <v>3.9793584375604846E-2</v>
          </cell>
          <cell r="BF166">
            <v>8.1654592241663243E-2</v>
          </cell>
        </row>
        <row r="167">
          <cell r="O167">
            <v>0.90525826694812095</v>
          </cell>
          <cell r="P167">
            <v>0.924802315034847</v>
          </cell>
          <cell r="Q167">
            <v>0.92973477809895499</v>
          </cell>
          <cell r="U167">
            <v>-1.40821168683327E-2</v>
          </cell>
          <cell r="V167">
            <v>9.7693160057716506E-3</v>
          </cell>
          <cell r="W167">
            <v>1.32765472223801E-2</v>
          </cell>
          <cell r="Y167">
            <v>0.90525826694812095</v>
          </cell>
          <cell r="Z167">
            <v>0.924802315034847</v>
          </cell>
          <cell r="AA167">
            <v>0.92973477809895499</v>
          </cell>
          <cell r="AF167">
            <v>9.7693160057716506E-3</v>
          </cell>
          <cell r="AG167">
            <v>1.32765472223801E-2</v>
          </cell>
          <cell r="AR167">
            <v>4.1861007866058404E-2</v>
          </cell>
          <cell r="BC167">
            <v>3.9793584375604846E-2</v>
          </cell>
          <cell r="BF167">
            <v>8.1654592241663243E-2</v>
          </cell>
        </row>
        <row r="168">
          <cell r="O168">
            <v>0.90525826694812095</v>
          </cell>
          <cell r="P168">
            <v>0.92330132449597502</v>
          </cell>
          <cell r="Q168">
            <v>0.92852570807378099</v>
          </cell>
          <cell r="U168">
            <v>-1.3573521517780599E-2</v>
          </cell>
          <cell r="V168">
            <v>7.7861988481821697E-3</v>
          </cell>
          <cell r="W168">
            <v>1.31055582861153E-2</v>
          </cell>
          <cell r="Y168">
            <v>0.90525826694812095</v>
          </cell>
          <cell r="Z168">
            <v>0.92330132449597502</v>
          </cell>
          <cell r="AA168">
            <v>0.92852570807378099</v>
          </cell>
          <cell r="AF168">
            <v>7.7861988481821697E-3</v>
          </cell>
          <cell r="AG168">
            <v>1.31055582861153E-2</v>
          </cell>
          <cell r="AR168">
            <v>4.1861007866058404E-2</v>
          </cell>
          <cell r="BC168">
            <v>3.9793584375604846E-2</v>
          </cell>
          <cell r="BF168">
            <v>8.1654592241663243E-2</v>
          </cell>
        </row>
        <row r="169">
          <cell r="O169">
            <v>0.90525826694812095</v>
          </cell>
          <cell r="P169">
            <v>0.92174672550185699</v>
          </cell>
          <cell r="Q169">
            <v>0.92749426777358701</v>
          </cell>
          <cell r="U169">
            <v>-6.2283324249253202E-3</v>
          </cell>
          <cell r="V169">
            <v>1.35070300459485E-2</v>
          </cell>
          <cell r="W169">
            <v>1.9149454901638701E-2</v>
          </cell>
          <cell r="Y169">
            <v>0.90525826694812095</v>
          </cell>
          <cell r="Z169">
            <v>0.92174672550185699</v>
          </cell>
          <cell r="AA169">
            <v>0.92749426777358701</v>
          </cell>
          <cell r="AF169">
            <v>1.35070300459485E-2</v>
          </cell>
          <cell r="AG169">
            <v>1.9149454901638701E-2</v>
          </cell>
          <cell r="AR169">
            <v>4.1861007866058404E-2</v>
          </cell>
          <cell r="BC169">
            <v>3.9793584375604846E-2</v>
          </cell>
          <cell r="BF169">
            <v>8.1654592241663243E-2</v>
          </cell>
        </row>
        <row r="170">
          <cell r="O170">
            <v>0.90525826694812095</v>
          </cell>
          <cell r="P170">
            <v>0.91978873876447997</v>
          </cell>
          <cell r="Q170">
            <v>0.92634270040487798</v>
          </cell>
          <cell r="U170">
            <v>-3.89903238566214E-3</v>
          </cell>
          <cell r="V170">
            <v>1.4151171411961001E-2</v>
          </cell>
          <cell r="W170">
            <v>2.03673009481679E-2</v>
          </cell>
          <cell r="Y170">
            <v>0.90525826694812095</v>
          </cell>
          <cell r="Z170">
            <v>0.91978873876447997</v>
          </cell>
          <cell r="AA170">
            <v>0.92634270040487798</v>
          </cell>
          <cell r="AF170">
            <v>1.4151171411961001E-2</v>
          </cell>
          <cell r="AG170">
            <v>2.03673009481679E-2</v>
          </cell>
          <cell r="AR170">
            <v>4.1861007866058404E-2</v>
          </cell>
          <cell r="BC170">
            <v>3.9793584375604846E-2</v>
          </cell>
          <cell r="BF170">
            <v>8.1654592241663243E-2</v>
          </cell>
        </row>
        <row r="171">
          <cell r="O171">
            <v>0.90525826694812095</v>
          </cell>
          <cell r="P171">
            <v>0.91867671470116397</v>
          </cell>
          <cell r="Q171">
            <v>0.92556831308777898</v>
          </cell>
          <cell r="U171">
            <v>-1.27176024520953E-2</v>
          </cell>
          <cell r="V171">
            <v>3.2061286131954501E-3</v>
          </cell>
          <cell r="W171">
            <v>1.0306369728524001E-2</v>
          </cell>
          <cell r="Y171">
            <v>0.90525826694812095</v>
          </cell>
          <cell r="Z171">
            <v>0.91867671470116397</v>
          </cell>
          <cell r="AA171">
            <v>0.92556831308777898</v>
          </cell>
          <cell r="AF171">
            <v>3.2061286131954501E-3</v>
          </cell>
          <cell r="AG171">
            <v>1.0306369728524001E-2</v>
          </cell>
          <cell r="AR171">
            <v>4.1861007866058404E-2</v>
          </cell>
          <cell r="BC171">
            <v>3.9793584375604846E-2</v>
          </cell>
          <cell r="BF171">
            <v>8.1654592241663243E-2</v>
          </cell>
        </row>
        <row r="172">
          <cell r="O172">
            <v>0.90525826694812095</v>
          </cell>
          <cell r="P172">
            <v>0.918204461625444</v>
          </cell>
          <cell r="Q172">
            <v>0.92513201236713505</v>
          </cell>
          <cell r="U172">
            <v>-1.72296684202763E-2</v>
          </cell>
          <cell r="V172">
            <v>-2.51566821703285E-3</v>
          </cell>
          <cell r="W172">
            <v>4.9579921270167604E-3</v>
          </cell>
          <cell r="Y172">
            <v>0.90525826694812095</v>
          </cell>
          <cell r="Z172">
            <v>0.918204461625444</v>
          </cell>
          <cell r="AA172">
            <v>0.92513201236713505</v>
          </cell>
          <cell r="AF172">
            <v>-2.51566821703285E-3</v>
          </cell>
          <cell r="AG172">
            <v>4.9579921270167604E-3</v>
          </cell>
          <cell r="AR172">
            <v>4.1861007866058404E-2</v>
          </cell>
          <cell r="BC172">
            <v>3.9793584375604846E-2</v>
          </cell>
          <cell r="BF172">
            <v>8.1654592241663243E-2</v>
          </cell>
        </row>
        <row r="173">
          <cell r="O173">
            <v>0.90525826694812095</v>
          </cell>
          <cell r="P173">
            <v>0.918353809936996</v>
          </cell>
          <cell r="Q173">
            <v>0.92483006873574503</v>
          </cell>
          <cell r="U173">
            <v>-2.3043992276663199E-2</v>
          </cell>
          <cell r="V173">
            <v>-8.8441822041810201E-3</v>
          </cell>
          <cell r="W173">
            <v>-1.32782970527238E-3</v>
          </cell>
          <cell r="Y173">
            <v>0.90525826694812095</v>
          </cell>
          <cell r="Z173">
            <v>0.918353809936996</v>
          </cell>
          <cell r="AA173">
            <v>0.92483006873574503</v>
          </cell>
          <cell r="AF173">
            <v>-8.8441822041810201E-3</v>
          </cell>
          <cell r="AG173">
            <v>-1.32782970527238E-3</v>
          </cell>
          <cell r="AR173">
            <v>4.1861007866058404E-2</v>
          </cell>
          <cell r="BC173">
            <v>3.9793584375604846E-2</v>
          </cell>
          <cell r="BF173">
            <v>8.1654592241663243E-2</v>
          </cell>
        </row>
        <row r="174">
          <cell r="O174">
            <v>0.90525826694812095</v>
          </cell>
          <cell r="P174">
            <v>0.91796964437825301</v>
          </cell>
          <cell r="Q174">
            <v>0.92427370409939302</v>
          </cell>
          <cell r="U174">
            <v>-1.9972589670458799E-2</v>
          </cell>
          <cell r="V174">
            <v>-5.6101402587377201E-3</v>
          </cell>
          <cell r="W174">
            <v>1.4171406598010501E-3</v>
          </cell>
          <cell r="Y174">
            <v>0.90525826694812095</v>
          </cell>
          <cell r="Z174">
            <v>0.91796964437825301</v>
          </cell>
          <cell r="AA174">
            <v>0.92427370409939302</v>
          </cell>
          <cell r="AF174">
            <v>-5.6101402587377201E-3</v>
          </cell>
          <cell r="AG174">
            <v>1.4171406598010501E-3</v>
          </cell>
          <cell r="AR174">
            <v>4.1861007866058404E-2</v>
          </cell>
          <cell r="BC174">
            <v>3.9793584375604846E-2</v>
          </cell>
          <cell r="BF174">
            <v>8.1654592241663243E-2</v>
          </cell>
        </row>
        <row r="175">
          <cell r="O175">
            <v>0.90525826694812095</v>
          </cell>
          <cell r="P175">
            <v>0.91897907293760495</v>
          </cell>
          <cell r="Q175">
            <v>0.92388485938777798</v>
          </cell>
          <cell r="U175">
            <v>-2.3814282949737999E-2</v>
          </cell>
          <cell r="V175">
            <v>-9.8702408327054503E-3</v>
          </cell>
          <cell r="W175">
            <v>-3.0263194443744998E-3</v>
          </cell>
          <cell r="Y175">
            <v>0.90525826694812095</v>
          </cell>
          <cell r="Z175">
            <v>0.91897907293760495</v>
          </cell>
          <cell r="AA175">
            <v>0.92388485938777798</v>
          </cell>
          <cell r="AF175">
            <v>-9.8702408327054503E-3</v>
          </cell>
          <cell r="AG175">
            <v>-3.0263194443744998E-3</v>
          </cell>
          <cell r="AR175">
            <v>4.1861007866058404E-2</v>
          </cell>
          <cell r="BC175">
            <v>3.9793584375604846E-2</v>
          </cell>
          <cell r="BF175">
            <v>8.1654592241663243E-2</v>
          </cell>
        </row>
        <row r="176">
          <cell r="O176">
            <v>0.90525826694812095</v>
          </cell>
          <cell r="P176">
            <v>0.91887863657852498</v>
          </cell>
          <cell r="Q176">
            <v>0.92299408318676102</v>
          </cell>
          <cell r="U176">
            <v>-1.45864630797527E-2</v>
          </cell>
          <cell r="V176">
            <v>4.5660662737048399E-4</v>
          </cell>
          <cell r="W176">
            <v>5.78070891449809E-3</v>
          </cell>
          <cell r="Y176">
            <v>0.90525826694812095</v>
          </cell>
          <cell r="Z176">
            <v>0.91887863657852498</v>
          </cell>
          <cell r="AA176">
            <v>0.92299408318676102</v>
          </cell>
          <cell r="AF176">
            <v>4.5660662737048399E-4</v>
          </cell>
          <cell r="AG176">
            <v>5.78070891449809E-3</v>
          </cell>
          <cell r="AR176">
            <v>4.1861007866058404E-2</v>
          </cell>
          <cell r="BC176">
            <v>3.9793584375604846E-2</v>
          </cell>
          <cell r="BF176">
            <v>8.1654592241663243E-2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8010-B6B7-421D-AEB1-56CAF11DD0AF}">
  <dimension ref="A1:DZ179"/>
  <sheetViews>
    <sheetView tabSelected="1" topLeftCell="AG2" workbookViewId="0">
      <selection activeCell="AI21" sqref="AI21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3.4973253453681084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2.6590134064957618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50.37</v>
      </c>
      <c r="C2" s="33">
        <v>107.24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50.37</v>
      </c>
      <c r="M2" s="33">
        <v>107.24</v>
      </c>
      <c r="N2" s="34">
        <v>2.1290450665078402</v>
      </c>
      <c r="O2" s="34">
        <v>2.1285470928226302</v>
      </c>
      <c r="X2" s="34">
        <v>2.1290450665078402</v>
      </c>
      <c r="Y2" s="34">
        <v>2.1285470928226302</v>
      </c>
      <c r="AI2" s="4">
        <v>0</v>
      </c>
      <c r="AJ2" s="10">
        <f t="dataTable" ref="AJ2:AQ9" dt2D="1" dtr="1" r1="AI21" r2="AI22"/>
        <v>3.9265781811453841</v>
      </c>
      <c r="AK2" s="10">
        <v>3.6749654812637256</v>
      </c>
      <c r="AL2" s="10">
        <v>4.2537877161428641</v>
      </c>
      <c r="AM2" s="10">
        <v>3.8754584532940832</v>
      </c>
      <c r="AN2" s="10">
        <v>3.1580802935958818</v>
      </c>
      <c r="AO2" s="10">
        <v>3.4973253453681084</v>
      </c>
      <c r="AP2" s="10">
        <v>2.9829385884925932</v>
      </c>
      <c r="AQ2" s="10">
        <v>1.9008151504683921</v>
      </c>
      <c r="AR2"/>
      <c r="AT2" s="4">
        <v>0</v>
      </c>
      <c r="AU2" s="10">
        <f t="dataTable" ref="AU2:BB9" dt2D="1" dtr="1" r1="AT21" r2="AT22"/>
        <v>3.5252437813168518</v>
      </c>
      <c r="AV2" s="11">
        <v>3.1341960299358536</v>
      </c>
      <c r="AW2" s="11">
        <v>3.6371377656450283</v>
      </c>
      <c r="AX2" s="11">
        <v>3.8570189996570745</v>
      </c>
      <c r="AY2" s="11">
        <v>3.4136118006467284</v>
      </c>
      <c r="AZ2" s="11">
        <v>2.6590134064957618</v>
      </c>
      <c r="BA2" s="11">
        <v>3.0907169757644759</v>
      </c>
      <c r="BB2" s="11">
        <v>2.805207024613189</v>
      </c>
      <c r="BC2"/>
    </row>
    <row r="3" spans="1:130" x14ac:dyDescent="0.25">
      <c r="A3" s="1">
        <v>46027</v>
      </c>
      <c r="B3" s="33">
        <v>50.4</v>
      </c>
      <c r="C3" s="33">
        <v>107.34</v>
      </c>
      <c r="D3" s="15">
        <v>5.9541531976390705E-4</v>
      </c>
      <c r="E3" s="15">
        <v>9.3205338092441697E-4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50.4</v>
      </c>
      <c r="M3" s="33">
        <v>107.34</v>
      </c>
      <c r="N3" s="34">
        <v>2.1297619047618999</v>
      </c>
      <c r="O3" s="34">
        <v>2.1285470928226302</v>
      </c>
      <c r="R3" s="33">
        <v>107.278773478261</v>
      </c>
      <c r="U3" s="15">
        <v>-5.7056074273154403E-4</v>
      </c>
      <c r="X3" s="34">
        <v>2.1297619047618999</v>
      </c>
      <c r="Y3" s="34">
        <v>2.1285470928226302</v>
      </c>
      <c r="AB3" s="33">
        <v>107.278773478261</v>
      </c>
      <c r="AE3" s="15">
        <v>-5.7056074273154403E-4</v>
      </c>
      <c r="AI3" s="4">
        <f t="shared" ref="AI3:AI9" si="2">AI2-AK$12</f>
        <v>-2.0000000000000001E-4</v>
      </c>
      <c r="AJ3" s="10">
        <v>3.9265781811453841</v>
      </c>
      <c r="AK3" s="10">
        <v>4.3333798865841686</v>
      </c>
      <c r="AL3" s="10">
        <v>4.7798524147359958</v>
      </c>
      <c r="AM3" s="10">
        <v>4.2569669890668056</v>
      </c>
      <c r="AN3" s="10">
        <v>3.6542263214390385</v>
      </c>
      <c r="AO3" s="11">
        <v>3.4973253453681084</v>
      </c>
      <c r="AP3" s="10">
        <v>2.9829385884925932</v>
      </c>
      <c r="AQ3" s="10">
        <v>1.9008151504683921</v>
      </c>
      <c r="AR3"/>
      <c r="AT3" s="4">
        <f>AT2+AV$12</f>
        <v>2.0000000000000001E-4</v>
      </c>
      <c r="AU3" s="10">
        <v>3.5252437813168518</v>
      </c>
      <c r="AV3" s="11">
        <v>3.0351423513915563</v>
      </c>
      <c r="AW3" s="11">
        <v>3.4606089660512795</v>
      </c>
      <c r="AX3" s="11">
        <v>3.4572100316854866</v>
      </c>
      <c r="AY3" s="11">
        <v>3.2006592490236025</v>
      </c>
      <c r="AZ3" s="11">
        <v>2.5025243693874808</v>
      </c>
      <c r="BA3" s="11">
        <v>2.9301825272251723</v>
      </c>
      <c r="BB3" s="11">
        <v>2.7732707519277575</v>
      </c>
      <c r="BC3"/>
    </row>
    <row r="4" spans="1:130" x14ac:dyDescent="0.25">
      <c r="A4" s="1">
        <v>46028</v>
      </c>
      <c r="B4" s="33">
        <v>50.46</v>
      </c>
      <c r="C4" s="33">
        <v>107.42</v>
      </c>
      <c r="D4" s="15">
        <v>1.18976813558875E-3</v>
      </c>
      <c r="E4" s="15">
        <v>7.4501772863048304E-4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50.46</v>
      </c>
      <c r="M4" s="33">
        <v>107.42</v>
      </c>
      <c r="N4" s="34">
        <v>2.1288149028933798</v>
      </c>
      <c r="O4" s="34">
        <v>2.1285470928226302</v>
      </c>
      <c r="R4" s="33">
        <v>107.40648630382999</v>
      </c>
      <c r="U4" s="15">
        <v>-1.2581033577320001E-4</v>
      </c>
      <c r="X4" s="34">
        <v>2.1288149028933798</v>
      </c>
      <c r="Y4" s="34">
        <v>2.1285470928226302</v>
      </c>
      <c r="AB4" s="33">
        <v>107.40648630382999</v>
      </c>
      <c r="AE4" s="15">
        <v>-1.2581033577320001E-4</v>
      </c>
      <c r="AG4"/>
      <c r="AI4" s="4">
        <f t="shared" si="2"/>
        <v>-4.0000000000000002E-4</v>
      </c>
      <c r="AJ4" s="10">
        <v>3.9265781811453841</v>
      </c>
      <c r="AK4" s="11">
        <v>4.3333798865841686</v>
      </c>
      <c r="AL4" s="11">
        <v>4.3222312865678285</v>
      </c>
      <c r="AM4" s="11">
        <v>3.7525754881118951</v>
      </c>
      <c r="AN4" s="10">
        <v>3.3014946955795308</v>
      </c>
      <c r="AO4" s="11">
        <v>3.1392086072190706</v>
      </c>
      <c r="AP4" s="11">
        <v>2.8145482490508069</v>
      </c>
      <c r="AQ4" s="11">
        <v>1.6911648327399653</v>
      </c>
      <c r="AR4"/>
      <c r="AT4" s="4">
        <f t="shared" ref="AT4:AT9" si="3">AT3+AV$12</f>
        <v>4.0000000000000002E-4</v>
      </c>
      <c r="AU4" s="10">
        <v>3.5252437813168518</v>
      </c>
      <c r="AV4" s="11">
        <v>3.0351423513915563</v>
      </c>
      <c r="AW4" s="11">
        <v>3.37742724259093</v>
      </c>
      <c r="AX4" s="11">
        <v>3.5037802798811439</v>
      </c>
      <c r="AY4" s="11">
        <v>3.2423408162984346</v>
      </c>
      <c r="AZ4" s="11">
        <v>2.4162376141671338</v>
      </c>
      <c r="BA4" s="11">
        <v>2.8095108718864918</v>
      </c>
      <c r="BB4" s="11">
        <v>2.6469295690007133</v>
      </c>
      <c r="BC4"/>
      <c r="BE4" s="8"/>
      <c r="BF4" s="8"/>
    </row>
    <row r="5" spans="1:130" x14ac:dyDescent="0.25">
      <c r="A5" s="1">
        <v>46029</v>
      </c>
      <c r="B5" s="33">
        <v>50.55</v>
      </c>
      <c r="C5" s="33">
        <v>107.65</v>
      </c>
      <c r="D5" s="15">
        <v>1.78200225356857E-3</v>
      </c>
      <c r="E5" s="15">
        <v>2.1388393330587299E-3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50.55</v>
      </c>
      <c r="M5" s="33">
        <v>107.65</v>
      </c>
      <c r="N5" s="34">
        <v>2.1295746785361001</v>
      </c>
      <c r="O5" s="34">
        <v>2.1285470928226302</v>
      </c>
      <c r="R5" s="33">
        <v>107.598055542184</v>
      </c>
      <c r="U5" s="15">
        <v>-4.8264741526337301E-4</v>
      </c>
      <c r="X5" s="34">
        <v>2.1295746785361001</v>
      </c>
      <c r="Y5" s="34">
        <v>2.1285470928226302</v>
      </c>
      <c r="AB5" s="33">
        <v>107.598055542184</v>
      </c>
      <c r="AE5" s="15">
        <v>-4.8264741526337301E-4</v>
      </c>
      <c r="AG5" s="29"/>
      <c r="AI5" s="4">
        <f t="shared" si="2"/>
        <v>-6.0000000000000006E-4</v>
      </c>
      <c r="AJ5" s="10">
        <v>3.9265781811453841</v>
      </c>
      <c r="AK5" s="11">
        <v>4.3333798865841686</v>
      </c>
      <c r="AL5" s="11">
        <v>4.3222312865678285</v>
      </c>
      <c r="AM5" s="11">
        <v>3.2837038351760559</v>
      </c>
      <c r="AN5" s="11">
        <v>2.7990320880128783</v>
      </c>
      <c r="AO5" s="11">
        <v>2.6875165581388329</v>
      </c>
      <c r="AP5" s="10">
        <v>2.3013175525202763</v>
      </c>
      <c r="AQ5" s="11">
        <v>1.671901680008069</v>
      </c>
      <c r="AR5"/>
      <c r="AT5" s="4">
        <f t="shared" si="3"/>
        <v>6.0000000000000006E-4</v>
      </c>
      <c r="AU5" s="10">
        <v>3.5252437813168518</v>
      </c>
      <c r="AV5" s="11">
        <v>3.0351423513915563</v>
      </c>
      <c r="AW5" s="11">
        <v>3.37742724259093</v>
      </c>
      <c r="AX5" s="11">
        <v>3.4452835693897401</v>
      </c>
      <c r="AY5" s="11">
        <v>3.1504319999959765</v>
      </c>
      <c r="AZ5" s="11">
        <v>2.7500986580986102</v>
      </c>
      <c r="BA5" s="11">
        <v>2.5360895621401669</v>
      </c>
      <c r="BB5" s="11">
        <v>2.3586382897679465</v>
      </c>
      <c r="BC5"/>
    </row>
    <row r="6" spans="1:130" x14ac:dyDescent="0.25">
      <c r="A6" s="1">
        <v>46030</v>
      </c>
      <c r="B6" s="33">
        <v>50.51</v>
      </c>
      <c r="C6" s="33">
        <v>107.53</v>
      </c>
      <c r="D6" s="15">
        <v>-7.9160898651923497E-4</v>
      </c>
      <c r="E6" s="15">
        <v>-1.11534540793716E-3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50.51</v>
      </c>
      <c r="M6" s="33">
        <v>107.53</v>
      </c>
      <c r="N6" s="34">
        <v>2.1288853692338101</v>
      </c>
      <c r="O6" s="34">
        <v>2.1285470928226302</v>
      </c>
      <c r="R6" s="33">
        <v>107.51291365847101</v>
      </c>
      <c r="U6" s="15">
        <v>-1.58910993845372E-4</v>
      </c>
      <c r="X6" s="34">
        <v>2.1288853692338101</v>
      </c>
      <c r="Y6" s="34">
        <v>2.1285470928226302</v>
      </c>
      <c r="AB6" s="33">
        <v>107.51291365847101</v>
      </c>
      <c r="AE6" s="15">
        <v>-1.58910993845372E-4</v>
      </c>
      <c r="AG6" s="29"/>
      <c r="AI6" s="4">
        <f t="shared" si="2"/>
        <v>-8.0000000000000004E-4</v>
      </c>
      <c r="AJ6" s="10">
        <v>3.9265781811453841</v>
      </c>
      <c r="AK6" s="11">
        <v>4.3333798865841686</v>
      </c>
      <c r="AL6" s="11">
        <v>4.3222312865678285</v>
      </c>
      <c r="AM6" s="11">
        <v>3.2837038351760559</v>
      </c>
      <c r="AN6" s="11">
        <v>3.350515812277775</v>
      </c>
      <c r="AO6" s="11">
        <v>3.460666214154394</v>
      </c>
      <c r="AP6" s="11">
        <v>3.2690608748113728</v>
      </c>
      <c r="AQ6" s="11">
        <v>2.6537452547069962</v>
      </c>
      <c r="AR6"/>
      <c r="AT6" s="4">
        <f t="shared" si="3"/>
        <v>8.0000000000000004E-4</v>
      </c>
      <c r="AU6" s="10">
        <v>3.5252437813168518</v>
      </c>
      <c r="AV6" s="11">
        <v>3.0351423513915563</v>
      </c>
      <c r="AW6" s="11">
        <v>3.37742724259093</v>
      </c>
      <c r="AX6" s="11">
        <v>3.4452835693897401</v>
      </c>
      <c r="AY6" s="11">
        <v>2.8097471982947084</v>
      </c>
      <c r="AZ6" s="11">
        <v>2.3928682416884679</v>
      </c>
      <c r="BA6" s="11">
        <v>2.0565822469633286</v>
      </c>
      <c r="BB6" s="11">
        <v>2.0896669898852123</v>
      </c>
      <c r="BC6"/>
    </row>
    <row r="7" spans="1:130" x14ac:dyDescent="0.25">
      <c r="A7" s="1">
        <v>46031</v>
      </c>
      <c r="B7" s="33">
        <v>50.58</v>
      </c>
      <c r="C7" s="33">
        <v>107.66</v>
      </c>
      <c r="D7" s="15">
        <v>1.3849047618579901E-3</v>
      </c>
      <c r="E7" s="15">
        <v>1.2082347303761999E-3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50.58</v>
      </c>
      <c r="M7" s="33">
        <v>107.66</v>
      </c>
      <c r="N7" s="34">
        <v>2.1285092922103499</v>
      </c>
      <c r="O7" s="34">
        <v>2.1285470928226302</v>
      </c>
      <c r="R7" s="33">
        <v>107.661911954969</v>
      </c>
      <c r="U7" s="15">
        <v>1.7759037636116799E-5</v>
      </c>
      <c r="X7" s="34">
        <v>2.1285092922103499</v>
      </c>
      <c r="Y7" s="34">
        <v>2.1285470928226302</v>
      </c>
      <c r="AB7" s="33">
        <v>107.661911954969</v>
      </c>
      <c r="AE7" s="15">
        <v>1.7759037636116799E-5</v>
      </c>
      <c r="AG7"/>
      <c r="AI7" s="4">
        <f t="shared" si="2"/>
        <v>-1E-3</v>
      </c>
      <c r="AJ7" s="10">
        <v>3.9265781811453841</v>
      </c>
      <c r="AK7" s="11">
        <v>4.3333798865841686</v>
      </c>
      <c r="AL7" s="11">
        <v>4.3222312865678285</v>
      </c>
      <c r="AM7" s="11">
        <v>3.2837038351760559</v>
      </c>
      <c r="AN7" s="11">
        <v>3.350515812277775</v>
      </c>
      <c r="AO7" s="11">
        <v>3.0110885411239385</v>
      </c>
      <c r="AP7" s="11">
        <v>2.7841828631277781</v>
      </c>
      <c r="AQ7" s="11">
        <v>2.3194228448422658</v>
      </c>
      <c r="AR7"/>
      <c r="AT7" s="4">
        <f t="shared" si="3"/>
        <v>1E-3</v>
      </c>
      <c r="AU7" s="10">
        <v>3.5252437813168518</v>
      </c>
      <c r="AV7" s="11">
        <v>3.0351423513915563</v>
      </c>
      <c r="AW7" s="11">
        <v>3.37742724259093</v>
      </c>
      <c r="AX7" s="11">
        <v>3.4452835693897401</v>
      </c>
      <c r="AY7" s="11">
        <v>2.8097471982947084</v>
      </c>
      <c r="AZ7" s="11">
        <v>2.4627834525767871</v>
      </c>
      <c r="BA7" s="11">
        <v>1.9827333685900639</v>
      </c>
      <c r="BB7" s="11">
        <v>1.9769301559223216</v>
      </c>
      <c r="BC7"/>
    </row>
    <row r="8" spans="1:130" x14ac:dyDescent="0.25">
      <c r="A8" s="1">
        <v>46034</v>
      </c>
      <c r="B8" s="33">
        <v>50.56</v>
      </c>
      <c r="C8" s="33">
        <v>107.55</v>
      </c>
      <c r="D8" s="15">
        <v>-3.9549140321703098E-4</v>
      </c>
      <c r="E8" s="15">
        <v>-1.02225741907213E-3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50.56</v>
      </c>
      <c r="M8" s="33">
        <v>107.55</v>
      </c>
      <c r="N8" s="34">
        <v>2.1271756329113898</v>
      </c>
      <c r="O8" s="34">
        <v>2.1285470928226302</v>
      </c>
      <c r="R8" s="33">
        <v>107.61934101311201</v>
      </c>
      <c r="U8" s="15">
        <v>6.4452505349136397E-4</v>
      </c>
      <c r="X8" s="34">
        <v>2.1271756329113898</v>
      </c>
      <c r="Y8" s="34">
        <v>2.1285470928226302</v>
      </c>
      <c r="AB8" s="33">
        <v>107.61934101311201</v>
      </c>
      <c r="AE8" s="15">
        <v>6.4452505349136397E-4</v>
      </c>
      <c r="AG8"/>
      <c r="AI8" s="4">
        <f t="shared" si="2"/>
        <v>-1.2000000000000001E-3</v>
      </c>
      <c r="AJ8" s="10">
        <v>3.9265781811453841</v>
      </c>
      <c r="AK8" s="11">
        <v>4.3333798865841686</v>
      </c>
      <c r="AL8" s="11">
        <v>4.3222312865678285</v>
      </c>
      <c r="AM8" s="11">
        <v>3.2837038351760559</v>
      </c>
      <c r="AN8" s="11">
        <v>3.350515812277775</v>
      </c>
      <c r="AO8" s="11">
        <v>3.0110885411239385</v>
      </c>
      <c r="AP8" s="11">
        <v>2.7841828631277781</v>
      </c>
      <c r="AQ8" s="11">
        <v>2.3194228448422658</v>
      </c>
      <c r="AR8"/>
      <c r="AT8" s="4">
        <f t="shared" si="3"/>
        <v>1.2000000000000001E-3</v>
      </c>
      <c r="AU8" s="10">
        <v>3.5252437813168518</v>
      </c>
      <c r="AV8" s="11">
        <v>3.0351423513915563</v>
      </c>
      <c r="AW8" s="11">
        <v>3.37742724259093</v>
      </c>
      <c r="AX8" s="11">
        <v>3.4452835693897401</v>
      </c>
      <c r="AY8" s="11">
        <v>2.8097471982947084</v>
      </c>
      <c r="AZ8" s="11">
        <v>2.4627834525767871</v>
      </c>
      <c r="BA8" s="11">
        <v>1.9827333685900639</v>
      </c>
      <c r="BB8" s="11">
        <v>1.9769301559223216</v>
      </c>
      <c r="BC8"/>
    </row>
    <row r="9" spans="1:130" x14ac:dyDescent="0.25">
      <c r="A9" s="1">
        <v>46035</v>
      </c>
      <c r="B9" s="33">
        <v>50.58</v>
      </c>
      <c r="C9" s="33">
        <v>107.59</v>
      </c>
      <c r="D9" s="15">
        <v>3.9549140321705299E-4</v>
      </c>
      <c r="E9" s="15">
        <v>3.7185089207884603E-4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50.58</v>
      </c>
      <c r="M9" s="33">
        <v>107.59</v>
      </c>
      <c r="N9" s="34">
        <v>2.12712534598655</v>
      </c>
      <c r="O9" s="34">
        <v>2.1285470928226302</v>
      </c>
      <c r="R9" s="33">
        <v>107.661911954969</v>
      </c>
      <c r="U9" s="15">
        <v>6.6816556462944495E-4</v>
      </c>
      <c r="X9" s="34">
        <v>2.12712534598655</v>
      </c>
      <c r="Y9" s="34">
        <v>2.1285470928226302</v>
      </c>
      <c r="AB9" s="33">
        <v>107.661911954969</v>
      </c>
      <c r="AE9" s="15">
        <v>6.6816556462944495E-4</v>
      </c>
      <c r="AF9"/>
      <c r="AI9" s="4">
        <f t="shared" si="2"/>
        <v>-1.4000000000000002E-3</v>
      </c>
      <c r="AJ9" s="10">
        <v>3.9265781811453841</v>
      </c>
      <c r="AK9" s="11">
        <v>4.3333798865841686</v>
      </c>
      <c r="AL9" s="11">
        <v>4.3222312865678285</v>
      </c>
      <c r="AM9" s="11">
        <v>3.2837038351760559</v>
      </c>
      <c r="AN9" s="11">
        <v>3.350515812277775</v>
      </c>
      <c r="AO9" s="11">
        <v>3.0110885411239385</v>
      </c>
      <c r="AP9" s="11">
        <v>2.7841828631277781</v>
      </c>
      <c r="AQ9" s="11">
        <v>2.3194228448422658</v>
      </c>
      <c r="AR9"/>
      <c r="AT9" s="4">
        <f t="shared" si="3"/>
        <v>1.4000000000000002E-3</v>
      </c>
      <c r="AU9" s="10">
        <v>3.5252437813168518</v>
      </c>
      <c r="AV9" s="10">
        <v>3.0351423513915563</v>
      </c>
      <c r="AW9" s="10">
        <v>3.37742724259093</v>
      </c>
      <c r="AX9" s="10">
        <v>3.4452835693897401</v>
      </c>
      <c r="AY9" s="10">
        <v>2.8097471982947084</v>
      </c>
      <c r="AZ9" s="10">
        <v>2.4627834525767871</v>
      </c>
      <c r="BA9" s="10">
        <v>1.9827333685900639</v>
      </c>
      <c r="BB9" s="10">
        <v>1.6551840670069904</v>
      </c>
      <c r="BC9"/>
    </row>
    <row r="10" spans="1:130" x14ac:dyDescent="0.25">
      <c r="A10" s="1">
        <v>46036</v>
      </c>
      <c r="B10" s="33">
        <v>50.62</v>
      </c>
      <c r="C10" s="33">
        <v>107.77</v>
      </c>
      <c r="D10" s="15">
        <v>7.9051387515897595E-4</v>
      </c>
      <c r="E10" s="15">
        <v>1.6716200029225001E-3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50.62</v>
      </c>
      <c r="M10" s="33">
        <v>107.77</v>
      </c>
      <c r="N10" s="34">
        <v>2.1290003951007499</v>
      </c>
      <c r="O10" s="34">
        <v>2.1285470928226302</v>
      </c>
      <c r="R10" s="33">
        <v>107.74705383868201</v>
      </c>
      <c r="U10" s="15">
        <v>-2.12940563134002E-4</v>
      </c>
      <c r="X10" s="34">
        <v>2.1290003951007499</v>
      </c>
      <c r="Y10" s="34">
        <v>2.1285470928226302</v>
      </c>
      <c r="AB10" s="33">
        <v>107.74705383868201</v>
      </c>
      <c r="AE10" s="15">
        <v>-2.12940563134002E-4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50.61</v>
      </c>
      <c r="C11" s="33">
        <v>107.73</v>
      </c>
      <c r="D11" s="15">
        <v>-1.9756989099129101E-4</v>
      </c>
      <c r="E11" s="15">
        <v>-3.71229702639111E-4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50.61</v>
      </c>
      <c r="M11" s="33">
        <v>107.73</v>
      </c>
      <c r="N11" s="34">
        <v>2.12863070539419</v>
      </c>
      <c r="O11" s="34">
        <v>2.1285470928226302</v>
      </c>
      <c r="P11" s="34">
        <v>2.1286523293536201</v>
      </c>
      <c r="R11" s="33">
        <v>107.72576836775301</v>
      </c>
      <c r="U11" s="15">
        <v>-3.9280751486250903E-5</v>
      </c>
      <c r="X11" s="34">
        <v>2.12863070539419</v>
      </c>
      <c r="Y11" s="34">
        <v>2.1285470928226302</v>
      </c>
      <c r="Z11" s="34">
        <v>2.1286523293536201</v>
      </c>
      <c r="AB11" s="33">
        <v>107.72576836775301</v>
      </c>
      <c r="AE11" s="15">
        <v>-3.9280751486250903E-5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50.6</v>
      </c>
      <c r="C12" s="33">
        <v>107.61</v>
      </c>
      <c r="D12" s="15">
        <v>-1.9760893256676201E-4</v>
      </c>
      <c r="E12" s="15">
        <v>-1.1145166938002599E-3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50.6</v>
      </c>
      <c r="M12" s="33">
        <v>107.61</v>
      </c>
      <c r="N12" s="34">
        <v>2.1266798418972299</v>
      </c>
      <c r="O12" s="34">
        <v>2.1285470928226302</v>
      </c>
      <c r="P12" s="34">
        <v>2.1284158068925598</v>
      </c>
      <c r="R12" s="33">
        <v>107.704482896825</v>
      </c>
      <c r="S12" s="33">
        <v>107.709807865293</v>
      </c>
      <c r="U12" s="15">
        <v>8.7762700974750301E-4</v>
      </c>
      <c r="V12" s="15">
        <v>9.2706633385465902E-4</v>
      </c>
      <c r="X12" s="34">
        <v>2.1266798418972299</v>
      </c>
      <c r="Y12" s="34">
        <v>2.1285470928226302</v>
      </c>
      <c r="Z12" s="34">
        <v>2.1284158068925598</v>
      </c>
      <c r="AB12" s="33">
        <v>107.704482896825</v>
      </c>
      <c r="AC12" s="33">
        <v>107.709807865293</v>
      </c>
      <c r="AE12" s="15">
        <v>8.7762700974750301E-4</v>
      </c>
      <c r="AF12" s="15">
        <v>9.2706633385465902E-4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50.43</v>
      </c>
      <c r="C13" s="33">
        <v>107.23</v>
      </c>
      <c r="D13" s="15">
        <v>-3.3653402047859001E-3</v>
      </c>
      <c r="E13" s="15">
        <v>-3.53751998024654E-3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50.43</v>
      </c>
      <c r="M13" s="33">
        <v>107.23</v>
      </c>
      <c r="N13" s="34">
        <v>2.12631370216141</v>
      </c>
      <c r="O13" s="34">
        <v>2.1285470928226302</v>
      </c>
      <c r="P13" s="34">
        <v>2.1280709866325198</v>
      </c>
      <c r="R13" s="33">
        <v>107.34262989104499</v>
      </c>
      <c r="S13" s="33">
        <v>107.336009141592</v>
      </c>
      <c r="U13" s="15">
        <v>1.04980678520802E-3</v>
      </c>
      <c r="V13" s="15">
        <v>9.8812622411043505E-4</v>
      </c>
      <c r="X13" s="34">
        <v>2.12631370216141</v>
      </c>
      <c r="Y13" s="34">
        <v>2.1285470928226302</v>
      </c>
      <c r="Z13" s="34">
        <v>2.1280709866325198</v>
      </c>
      <c r="AB13" s="33">
        <v>107.34262989104499</v>
      </c>
      <c r="AC13" s="33">
        <v>107.336009141592</v>
      </c>
      <c r="AE13" s="15">
        <v>1.04980678520802E-3</v>
      </c>
      <c r="AF13" s="15">
        <v>9.8812622411043505E-4</v>
      </c>
    </row>
    <row r="14" spans="1:130" x14ac:dyDescent="0.25">
      <c r="A14" s="1">
        <v>46043</v>
      </c>
      <c r="B14" s="33">
        <v>50.51</v>
      </c>
      <c r="C14" s="33">
        <v>107.5</v>
      </c>
      <c r="D14" s="15">
        <v>1.58510039132723E-3</v>
      </c>
      <c r="E14" s="15">
        <v>2.5147873356632399E-3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50.51</v>
      </c>
      <c r="M14" s="33">
        <v>107.5</v>
      </c>
      <c r="N14" s="34">
        <v>2.1282914274401099</v>
      </c>
      <c r="O14" s="34">
        <v>2.1285470928226302</v>
      </c>
      <c r="P14" s="34">
        <v>2.1280186390871898</v>
      </c>
      <c r="R14" s="33">
        <v>107.51291365847101</v>
      </c>
      <c r="S14" s="33">
        <v>107.488865534808</v>
      </c>
      <c r="U14" s="15">
        <v>1.2011984087213199E-4</v>
      </c>
      <c r="V14" s="15">
        <v>-1.03581784793237E-4</v>
      </c>
      <c r="X14" s="34">
        <v>2.1282914274401099</v>
      </c>
      <c r="Y14" s="34">
        <v>2.1285470928226302</v>
      </c>
      <c r="Z14" s="34">
        <v>2.1280186390871898</v>
      </c>
      <c r="AB14" s="33">
        <v>107.51291365847101</v>
      </c>
      <c r="AC14" s="33">
        <v>107.488865534808</v>
      </c>
      <c r="AE14" s="15">
        <v>1.2011984087213199E-4</v>
      </c>
      <c r="AF14" s="15">
        <v>-1.03581784793237E-4</v>
      </c>
      <c r="AQ14" s="20">
        <f>AVERAGE(AQ22:AQ176)</f>
        <v>4.7460211634574289E-5</v>
      </c>
      <c r="AR14" s="21" t="s">
        <v>41</v>
      </c>
      <c r="BB14" s="20">
        <f>AVERAGE(BB22:BB176)</f>
        <v>4.6905280400635083E-5</v>
      </c>
      <c r="BC14" s="21" t="s">
        <v>41</v>
      </c>
      <c r="BD14" s="22"/>
      <c r="BE14" s="20">
        <f>AVERAGE(BE22:BE176)</f>
        <v>9.4365492035209352E-5</v>
      </c>
      <c r="BF14" s="21" t="s">
        <v>41</v>
      </c>
    </row>
    <row r="15" spans="1:130" x14ac:dyDescent="0.25">
      <c r="A15" s="1">
        <v>46044</v>
      </c>
      <c r="B15" s="33">
        <v>50.48</v>
      </c>
      <c r="C15" s="33">
        <v>107.49</v>
      </c>
      <c r="D15" s="15">
        <v>-5.9411824700347305E-4</v>
      </c>
      <c r="E15" s="15">
        <v>-9.3027582745351E-5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50.48</v>
      </c>
      <c r="M15" s="33">
        <v>107.49</v>
      </c>
      <c r="N15" s="34">
        <v>2.1293581616481698</v>
      </c>
      <c r="O15" s="34">
        <v>2.1285470928226302</v>
      </c>
      <c r="P15" s="34">
        <v>2.1279969873983999</v>
      </c>
      <c r="R15" s="33">
        <v>107.44905724568601</v>
      </c>
      <c r="S15" s="33">
        <v>107.422380901121</v>
      </c>
      <c r="U15" s="15">
        <v>-3.8097082338615099E-4</v>
      </c>
      <c r="V15" s="15">
        <v>-6.2927134143071295E-4</v>
      </c>
      <c r="X15" s="34">
        <v>2.1293581616481698</v>
      </c>
      <c r="Y15" s="34">
        <v>2.1285470928226302</v>
      </c>
      <c r="Z15" s="34">
        <v>2.1279969873983999</v>
      </c>
      <c r="AB15" s="33">
        <v>107.44905724568601</v>
      </c>
      <c r="AC15" s="33">
        <v>107.422380901121</v>
      </c>
      <c r="AE15" s="15">
        <v>-3.8097082338615099E-4</v>
      </c>
      <c r="AF15" s="15">
        <v>-6.2927134143071295E-4</v>
      </c>
      <c r="AQ15" s="20">
        <f>STDEV(AQ22:AQ176)</f>
        <v>2.1542391071259281E-4</v>
      </c>
      <c r="AR15" s="21" t="s">
        <v>42</v>
      </c>
      <c r="BB15" s="20">
        <f>STDEV(BB22:BB176)</f>
        <v>2.8002801372719666E-4</v>
      </c>
      <c r="BC15" s="21" t="s">
        <v>42</v>
      </c>
      <c r="BD15" s="22"/>
      <c r="BE15" s="20">
        <f>STDEV(BE22:BE176)</f>
        <v>3.4690340135462512E-4</v>
      </c>
      <c r="BF15" s="21" t="s">
        <v>42</v>
      </c>
    </row>
    <row r="16" spans="1:130" x14ac:dyDescent="0.25">
      <c r="A16" s="1">
        <v>46045</v>
      </c>
      <c r="B16" s="33">
        <v>50.52</v>
      </c>
      <c r="C16" s="33">
        <v>107.61</v>
      </c>
      <c r="D16" s="15">
        <v>7.9207924933284105E-4</v>
      </c>
      <c r="E16" s="15">
        <v>1.11576022732889E-3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50.52</v>
      </c>
      <c r="M16" s="33">
        <v>107.61</v>
      </c>
      <c r="N16" s="34">
        <v>2.13004750593824</v>
      </c>
      <c r="O16" s="34">
        <v>2.1285470928226302</v>
      </c>
      <c r="P16" s="34">
        <v>2.1281132010688402</v>
      </c>
      <c r="R16" s="33">
        <v>107.534199129399</v>
      </c>
      <c r="S16" s="33">
        <v>107.506407803367</v>
      </c>
      <c r="U16" s="15">
        <v>-7.0465180138218103E-4</v>
      </c>
      <c r="V16" s="15">
        <v>-9.6312694785528799E-4</v>
      </c>
      <c r="X16" s="34">
        <v>2.13004750593824</v>
      </c>
      <c r="Y16" s="34">
        <v>2.1285470928226302</v>
      </c>
      <c r="Z16" s="34">
        <v>2.1281132010688402</v>
      </c>
      <c r="AB16" s="33">
        <v>107.534199129399</v>
      </c>
      <c r="AC16" s="33">
        <v>107.506407803367</v>
      </c>
      <c r="AE16" s="15">
        <v>-7.0465180138218103E-4</v>
      </c>
      <c r="AF16" s="15">
        <v>-9.6312694785528799E-4</v>
      </c>
      <c r="AQ16" s="23">
        <f>SQRT(252)*AQ14/AQ15</f>
        <v>3.4973253453681084</v>
      </c>
      <c r="AR16" s="21" t="s">
        <v>43</v>
      </c>
      <c r="BB16" s="23">
        <f>SQRT(252)*BB14/BB15</f>
        <v>2.6590134064957618</v>
      </c>
      <c r="BC16" s="21" t="s">
        <v>43</v>
      </c>
      <c r="BD16" s="22"/>
      <c r="BE16" s="23">
        <f>SQRT(252)*BE14/BE15</f>
        <v>4.3182215561418262</v>
      </c>
      <c r="BF16" s="21" t="s">
        <v>43</v>
      </c>
    </row>
    <row r="17" spans="1:124" x14ac:dyDescent="0.25">
      <c r="A17" s="1">
        <v>46048</v>
      </c>
      <c r="B17" s="33">
        <v>50.54</v>
      </c>
      <c r="C17" s="33">
        <v>107.66</v>
      </c>
      <c r="D17" s="15">
        <v>3.9580447775777099E-4</v>
      </c>
      <c r="E17" s="15">
        <v>4.6453292051025898E-4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50.54</v>
      </c>
      <c r="M17" s="33">
        <v>107.66</v>
      </c>
      <c r="N17" s="34">
        <v>2.1301939058171699</v>
      </c>
      <c r="O17" s="34">
        <v>2.1285470928226302</v>
      </c>
      <c r="P17" s="34">
        <v>2.12828166242952</v>
      </c>
      <c r="R17" s="33">
        <v>107.57677007125601</v>
      </c>
      <c r="S17" s="33">
        <v>107.554841182019</v>
      </c>
      <c r="U17" s="15">
        <v>-7.7338024413462598E-4</v>
      </c>
      <c r="V17" s="15">
        <v>-9.7724511722431691E-4</v>
      </c>
      <c r="X17" s="34">
        <v>2.1301939058171699</v>
      </c>
      <c r="Y17" s="34">
        <v>2.1285470928226302</v>
      </c>
      <c r="Z17" s="34">
        <v>2.12828166242952</v>
      </c>
      <c r="AB17" s="33">
        <v>107.57677007125601</v>
      </c>
      <c r="AC17" s="33">
        <v>107.554841182019</v>
      </c>
      <c r="AE17" s="15">
        <v>-7.7338024413462598E-4</v>
      </c>
      <c r="AF17" s="15">
        <v>-9.7724511722431691E-4</v>
      </c>
    </row>
    <row r="18" spans="1:124" x14ac:dyDescent="0.25">
      <c r="A18" s="1">
        <v>46049</v>
      </c>
      <c r="B18" s="33">
        <v>50.56</v>
      </c>
      <c r="C18" s="33">
        <v>107.73</v>
      </c>
      <c r="D18" s="15">
        <v>3.9564787855396997E-4</v>
      </c>
      <c r="E18" s="15">
        <v>6.49983773289986E-4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50.56</v>
      </c>
      <c r="M18" s="33">
        <v>107.73</v>
      </c>
      <c r="N18" s="34">
        <v>2.1307357594936698</v>
      </c>
      <c r="O18" s="34">
        <v>2.1285470928226302</v>
      </c>
      <c r="P18" s="34">
        <v>2.12863767508775</v>
      </c>
      <c r="R18" s="33">
        <v>107.61934101311201</v>
      </c>
      <c r="S18" s="33">
        <v>107.605920852436</v>
      </c>
      <c r="U18" s="15">
        <v>-1.02771613887079E-3</v>
      </c>
      <c r="V18" s="15">
        <v>-1.15242418268488E-3</v>
      </c>
      <c r="X18" s="34">
        <v>2.1307357594936698</v>
      </c>
      <c r="Y18" s="34">
        <v>2.1285470928226302</v>
      </c>
      <c r="Z18" s="34">
        <v>2.12863767508775</v>
      </c>
      <c r="AB18" s="33">
        <v>107.61934101311201</v>
      </c>
      <c r="AC18" s="33">
        <v>107.605920852436</v>
      </c>
      <c r="AE18" s="15">
        <v>-1.02771613887079E-3</v>
      </c>
      <c r="AF18" s="15">
        <v>-1.15242418268488E-3</v>
      </c>
      <c r="BE18" s="24">
        <f>SUM(BE22:BE176)</f>
        <v>1.4626651265457449E-2</v>
      </c>
      <c r="BF18" s="20">
        <f>BF176</f>
        <v>1.4626651265457449E-2</v>
      </c>
    </row>
    <row r="19" spans="1:124" x14ac:dyDescent="0.25">
      <c r="A19" s="1">
        <v>46050</v>
      </c>
      <c r="B19" s="33">
        <v>50.57</v>
      </c>
      <c r="C19" s="33">
        <v>107.81</v>
      </c>
      <c r="D19" s="15">
        <v>1.9776525328954001E-4</v>
      </c>
      <c r="E19" s="15">
        <v>7.4232164492539097E-4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50.57</v>
      </c>
      <c r="M19" s="33">
        <v>107.81</v>
      </c>
      <c r="N19" s="34">
        <v>2.1318963812537</v>
      </c>
      <c r="O19" s="34">
        <v>2.1285470928226302</v>
      </c>
      <c r="P19" s="34">
        <v>2.12911477861446</v>
      </c>
      <c r="R19" s="33">
        <v>107.64062648404</v>
      </c>
      <c r="S19" s="33">
        <v>107.64520722918699</v>
      </c>
      <c r="U19" s="15">
        <v>-1.57227253050652E-3</v>
      </c>
      <c r="V19" s="15">
        <v>-1.5297175228834001E-3</v>
      </c>
      <c r="X19" s="34">
        <v>2.1318963812537</v>
      </c>
      <c r="Y19" s="34">
        <v>2.1285470928226302</v>
      </c>
      <c r="Z19" s="34">
        <v>2.12911477861446</v>
      </c>
      <c r="AB19" s="33">
        <v>107.64062648404</v>
      </c>
      <c r="AC19" s="33">
        <v>107.64520722918699</v>
      </c>
      <c r="AE19" s="15">
        <v>-1.57227253050652E-3</v>
      </c>
      <c r="AF19" s="15">
        <v>-1.5297175228834001E-3</v>
      </c>
      <c r="AI19" s="12"/>
      <c r="AJ19"/>
      <c r="AK19"/>
      <c r="AL19"/>
      <c r="AM19"/>
      <c r="AN19"/>
      <c r="AO19"/>
      <c r="AP19"/>
      <c r="AQ19" s="24">
        <f>SUM(AQ22:AQ176)</f>
        <v>7.3563328033590149E-3</v>
      </c>
      <c r="AR19" s="24">
        <f>AR176</f>
        <v>7.3563328033590149E-3</v>
      </c>
      <c r="AU19"/>
      <c r="AV19"/>
      <c r="AW19"/>
      <c r="AX19"/>
      <c r="AY19"/>
      <c r="AZ19"/>
      <c r="BA19"/>
      <c r="BB19" s="24">
        <f>SUM(BB22:BB176)</f>
        <v>7.2703184620984381E-3</v>
      </c>
      <c r="BC19" s="24">
        <f>BC176</f>
        <v>7.2703184620984381E-3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50.52</v>
      </c>
      <c r="C20" s="33">
        <v>107.7</v>
      </c>
      <c r="D20" s="15">
        <v>-9.8921760960125893E-4</v>
      </c>
      <c r="E20" s="15">
        <v>-1.0208343886836499E-3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50.52</v>
      </c>
      <c r="M20" s="33">
        <v>107.7</v>
      </c>
      <c r="N20" s="34">
        <v>2.1318289786223201</v>
      </c>
      <c r="O20" s="34">
        <v>2.1285470928226302</v>
      </c>
      <c r="P20" s="34">
        <v>2.1293976369666199</v>
      </c>
      <c r="R20" s="33">
        <v>107.534199129399</v>
      </c>
      <c r="S20" s="33">
        <v>107.562878615602</v>
      </c>
      <c r="U20" s="15">
        <v>-1.5406557514241999E-3</v>
      </c>
      <c r="V20" s="15">
        <v>-1.2739902376594E-3</v>
      </c>
      <c r="X20" s="34">
        <v>2.1318289786223201</v>
      </c>
      <c r="Y20" s="34">
        <v>2.1285470928226302</v>
      </c>
      <c r="Z20" s="34">
        <v>2.1293976369666199</v>
      </c>
      <c r="AB20" s="33">
        <v>107.534199129399</v>
      </c>
      <c r="AC20" s="33">
        <v>107.562878615602</v>
      </c>
      <c r="AE20" s="15">
        <v>-1.5406557514241999E-3</v>
      </c>
      <c r="AF20" s="15">
        <v>-1.2739902376594E-3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VTEB log rtn</v>
      </c>
      <c r="AP20" s="7" t="str">
        <f>E1</f>
        <v>MUB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VTEB log rtn</v>
      </c>
      <c r="BA20" s="24" t="str">
        <f>E1</f>
        <v>MUB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50.56</v>
      </c>
      <c r="C21" s="33">
        <v>107.85</v>
      </c>
      <c r="D21" s="15">
        <v>7.9145235631155101E-4</v>
      </c>
      <c r="E21" s="15">
        <v>1.3917886728224799E-3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50.56</v>
      </c>
      <c r="M21" s="33">
        <v>107.85</v>
      </c>
      <c r="N21" s="34">
        <v>2.13310917721518</v>
      </c>
      <c r="O21" s="34">
        <v>2.1285470928226302</v>
      </c>
      <c r="P21" s="34">
        <v>2.1298454841487202</v>
      </c>
      <c r="Q21" s="34">
        <v>2.1292489067511702</v>
      </c>
      <c r="R21" s="33">
        <v>107.61934101311201</v>
      </c>
      <c r="S21" s="33">
        <v>107.662344525032</v>
      </c>
      <c r="U21" s="15">
        <v>-2.1409920679349502E-3</v>
      </c>
      <c r="V21" s="15">
        <v>-1.7414828167473799E-3</v>
      </c>
      <c r="X21" s="34">
        <v>2.13310917721518</v>
      </c>
      <c r="Y21" s="34">
        <v>2.1285470928226302</v>
      </c>
      <c r="Z21" s="34">
        <v>2.1298454841487202</v>
      </c>
      <c r="AA21" s="34">
        <v>2.1292489067511702</v>
      </c>
      <c r="AB21" s="33">
        <v>107.61934101311201</v>
      </c>
      <c r="AC21" s="33">
        <v>107.662344525032</v>
      </c>
      <c r="AE21" s="15">
        <v>-2.1409920679349502E-3</v>
      </c>
      <c r="AF21" s="15">
        <v>-1.7414828167473799E-3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50.48</v>
      </c>
      <c r="C22" s="33">
        <v>107.66</v>
      </c>
      <c r="D22" s="15">
        <v>-1.5835316056443799E-3</v>
      </c>
      <c r="E22" s="15">
        <v>-1.76325970235416E-3</v>
      </c>
      <c r="F22" s="33">
        <v>0.13980000000000001</v>
      </c>
      <c r="G22" s="33">
        <v>0.13980000000000001</v>
      </c>
      <c r="H22" s="33">
        <v>0.27905000000000002</v>
      </c>
      <c r="I22" s="33">
        <v>0.27905000000000002</v>
      </c>
      <c r="J22" s="33">
        <v>0</v>
      </c>
      <c r="K22" s="33">
        <v>0</v>
      </c>
      <c r="L22" s="33">
        <v>50.48</v>
      </c>
      <c r="M22" s="33">
        <v>107.66</v>
      </c>
      <c r="N22" s="34">
        <v>2.1327258320126701</v>
      </c>
      <c r="O22" s="34">
        <v>2.1285470928226302</v>
      </c>
      <c r="P22" s="34">
        <v>2.1304500831602602</v>
      </c>
      <c r="Q22" s="34">
        <v>2.12943294502641</v>
      </c>
      <c r="R22" s="33">
        <v>107.44905724568601</v>
      </c>
      <c r="S22" s="33">
        <v>107.514600039827</v>
      </c>
      <c r="T22" s="33">
        <v>107.484484812799</v>
      </c>
      <c r="U22" s="15">
        <v>-1.9612639712252499E-3</v>
      </c>
      <c r="V22" s="15">
        <v>-1.3514604630462199E-3</v>
      </c>
      <c r="W22" s="15">
        <v>-1.63160330408037E-3</v>
      </c>
      <c r="X22" s="34">
        <v>2.1327258320126701</v>
      </c>
      <c r="Y22" s="34">
        <v>2.1285470928226302</v>
      </c>
      <c r="Z22" s="34">
        <v>2.1304500831602602</v>
      </c>
      <c r="AA22" s="34">
        <v>2.12943294502641</v>
      </c>
      <c r="AB22" s="33">
        <v>107.44905724568601</v>
      </c>
      <c r="AC22" s="33">
        <v>107.514600039827</v>
      </c>
      <c r="AD22" s="33">
        <v>107.484484812799</v>
      </c>
      <c r="AE22" s="15">
        <v>-1.9612639712252499E-3</v>
      </c>
      <c r="AF22" s="15">
        <v>-1.3514604630462199E-3</v>
      </c>
      <c r="AG22" s="15">
        <v>-1.63160330408037E-3</v>
      </c>
      <c r="AI22" s="26">
        <v>0</v>
      </c>
      <c r="AJ22">
        <f t="shared" ref="AJ22:AJ85" si="6">IF($AG22&lt;AI$21,1,0)</f>
        <v>1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0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50.5</v>
      </c>
      <c r="C23" s="33">
        <v>107.63</v>
      </c>
      <c r="D23" s="15">
        <v>3.9611804835641202E-4</v>
      </c>
      <c r="E23" s="15">
        <v>-2.78693856604357E-4</v>
      </c>
      <c r="F23" s="33">
        <v>0</v>
      </c>
      <c r="G23" s="33">
        <v>0.13980000000000001</v>
      </c>
      <c r="H23" s="33">
        <v>0</v>
      </c>
      <c r="I23" s="33">
        <v>0.27905000000000002</v>
      </c>
      <c r="J23" s="33">
        <v>0</v>
      </c>
      <c r="K23" s="33">
        <v>0</v>
      </c>
      <c r="L23" s="33">
        <v>50.5</v>
      </c>
      <c r="M23" s="33">
        <v>107.63</v>
      </c>
      <c r="N23" s="34">
        <v>2.1312871287128701</v>
      </c>
      <c r="O23" s="34">
        <v>2.1285470928226302</v>
      </c>
      <c r="P23" s="34">
        <v>2.13094742581541</v>
      </c>
      <c r="Q23" s="34">
        <v>2.1295092062239598</v>
      </c>
      <c r="R23" s="33">
        <v>107.491628187543</v>
      </c>
      <c r="S23" s="33">
        <v>107.587729199593</v>
      </c>
      <c r="T23" s="33">
        <v>107.536363723834</v>
      </c>
      <c r="U23" s="15">
        <v>-1.28645206626433E-3</v>
      </c>
      <c r="V23" s="15">
        <v>-3.9281894765057001E-4</v>
      </c>
      <c r="W23" s="15">
        <v>-8.7036170948208598E-4</v>
      </c>
      <c r="X23" s="34">
        <v>2.1312871287128701</v>
      </c>
      <c r="Y23" s="34">
        <v>2.1285470928226302</v>
      </c>
      <c r="Z23" s="34">
        <v>2.13094742581541</v>
      </c>
      <c r="AA23" s="34">
        <v>2.1295092062239598</v>
      </c>
      <c r="AB23" s="33">
        <v>107.491628187543</v>
      </c>
      <c r="AC23" s="33">
        <v>107.587729199593</v>
      </c>
      <c r="AD23" s="33">
        <v>107.536363723834</v>
      </c>
      <c r="AE23" s="15">
        <v>-1.28645206626433E-3</v>
      </c>
      <c r="AF23" s="15">
        <v>-3.9281894765057001E-4</v>
      </c>
      <c r="AG23" s="15">
        <v>-8.7036170948208598E-4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1</v>
      </c>
      <c r="AM23">
        <f t="shared" si="4"/>
        <v>1</v>
      </c>
      <c r="AN23">
        <f t="shared" ref="AN23:AN86" si="15">IF(AJ22,1,IF(AK22,0,AL22))*AM22</f>
        <v>1</v>
      </c>
      <c r="AO23" s="28">
        <f t="shared" si="8"/>
        <v>3.9611804835641202E-4</v>
      </c>
      <c r="AP23" s="28">
        <f t="shared" si="9"/>
        <v>2.78693856604357E-4</v>
      </c>
      <c r="AQ23" s="28">
        <f t="shared" ref="AQ23:AQ86" si="16">AO23+AP23</f>
        <v>6.7481190496076907E-4</v>
      </c>
      <c r="AR23" s="29">
        <f t="shared" ref="AR23:AR86" si="17">AR22+AQ23</f>
        <v>6.7481190496076907E-4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6.7481190496076907E-4</v>
      </c>
      <c r="BF23" s="29">
        <f t="shared" ref="BF23:BF86" si="23">BF22+BE23</f>
        <v>6.7481190496076907E-4</v>
      </c>
      <c r="BH23" s="29"/>
    </row>
    <row r="24" spans="1:124" x14ac:dyDescent="0.25">
      <c r="A24" s="1">
        <v>46057</v>
      </c>
      <c r="B24" s="33">
        <v>50.54</v>
      </c>
      <c r="C24" s="33">
        <v>107.62</v>
      </c>
      <c r="D24" s="15">
        <v>7.9176567873402498E-4</v>
      </c>
      <c r="E24" s="15">
        <v>-9.2915214933210295E-5</v>
      </c>
      <c r="F24" s="33">
        <v>0</v>
      </c>
      <c r="G24" s="33">
        <v>0.13980000000000001</v>
      </c>
      <c r="H24" s="33">
        <v>0</v>
      </c>
      <c r="I24" s="33">
        <v>0.27905000000000002</v>
      </c>
      <c r="J24" s="33">
        <v>0</v>
      </c>
      <c r="K24" s="33">
        <v>0</v>
      </c>
      <c r="L24" s="33">
        <v>50.54</v>
      </c>
      <c r="M24" s="33">
        <v>107.62</v>
      </c>
      <c r="N24" s="34">
        <v>2.1294024535021698</v>
      </c>
      <c r="O24" s="34">
        <v>2.1285470928226302</v>
      </c>
      <c r="P24" s="34">
        <v>2.1310585284216201</v>
      </c>
      <c r="Q24" s="34">
        <v>2.1295385837544001</v>
      </c>
      <c r="R24" s="33">
        <v>107.57677007125601</v>
      </c>
      <c r="S24" s="33">
        <v>107.698082900711</v>
      </c>
      <c r="T24" s="33">
        <v>107.625395282559</v>
      </c>
      <c r="U24" s="15">
        <v>-4.0177117259701701E-4</v>
      </c>
      <c r="V24" s="15">
        <v>7.25279577841277E-4</v>
      </c>
      <c r="W24" s="15">
        <v>5.0131456269678498E-5</v>
      </c>
      <c r="X24" s="34">
        <v>2.1294024535021698</v>
      </c>
      <c r="Y24" s="34">
        <v>2.1285470928226302</v>
      </c>
      <c r="Z24" s="34">
        <v>2.1310585284216201</v>
      </c>
      <c r="AA24" s="34">
        <v>2.1295385837544001</v>
      </c>
      <c r="AB24" s="33">
        <v>107.57677007125601</v>
      </c>
      <c r="AC24" s="33">
        <v>107.698082900711</v>
      </c>
      <c r="AD24" s="33">
        <v>107.625395282559</v>
      </c>
      <c r="AE24" s="15">
        <v>-4.0177117259701701E-4</v>
      </c>
      <c r="AF24" s="15">
        <v>7.25279577841277E-4</v>
      </c>
      <c r="AG24" s="15">
        <v>5.0131456269678498E-5</v>
      </c>
      <c r="AI24" s="12"/>
      <c r="AJ24">
        <f t="shared" si="6"/>
        <v>0</v>
      </c>
      <c r="AK24">
        <f t="shared" si="7"/>
        <v>1</v>
      </c>
      <c r="AL24">
        <f t="shared" si="14"/>
        <v>1</v>
      </c>
      <c r="AM24">
        <f t="shared" si="4"/>
        <v>1</v>
      </c>
      <c r="AN24">
        <f t="shared" si="15"/>
        <v>1</v>
      </c>
      <c r="AO24" s="28">
        <f t="shared" si="8"/>
        <v>7.9176567873402498E-4</v>
      </c>
      <c r="AP24" s="28">
        <f t="shared" si="9"/>
        <v>9.2915214933210295E-5</v>
      </c>
      <c r="AQ24" s="28">
        <f t="shared" si="16"/>
        <v>8.8468089366723526E-4</v>
      </c>
      <c r="AR24" s="29">
        <f t="shared" si="17"/>
        <v>1.5594927986280044E-3</v>
      </c>
      <c r="AT24" s="12"/>
      <c r="AU24">
        <f t="shared" si="10"/>
        <v>0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8.8468089366723526E-4</v>
      </c>
      <c r="BF24" s="29">
        <f t="shared" si="23"/>
        <v>1.5594927986280044E-3</v>
      </c>
      <c r="BH24" s="29"/>
    </row>
    <row r="25" spans="1:124" x14ac:dyDescent="0.25">
      <c r="A25" s="1">
        <v>46058</v>
      </c>
      <c r="B25" s="33">
        <v>50.62</v>
      </c>
      <c r="C25" s="33">
        <v>107.81</v>
      </c>
      <c r="D25" s="15">
        <v>1.5816531569297801E-3</v>
      </c>
      <c r="E25" s="15">
        <v>1.7639144897529501E-3</v>
      </c>
      <c r="F25" s="33">
        <v>0</v>
      </c>
      <c r="G25" s="33">
        <v>0.13980000000000001</v>
      </c>
      <c r="H25" s="33">
        <v>0</v>
      </c>
      <c r="I25" s="33">
        <v>0.27905000000000002</v>
      </c>
      <c r="J25" s="33">
        <v>0</v>
      </c>
      <c r="K25" s="33">
        <v>0</v>
      </c>
      <c r="L25" s="33">
        <v>50.62</v>
      </c>
      <c r="M25" s="33">
        <v>107.81</v>
      </c>
      <c r="N25" s="34">
        <v>2.1297905966021302</v>
      </c>
      <c r="O25" s="34">
        <v>2.1285470928226302</v>
      </c>
      <c r="P25" s="34">
        <v>2.13110177191701</v>
      </c>
      <c r="Q25" s="34">
        <v>2.1295493796576999</v>
      </c>
      <c r="R25" s="33">
        <v>107.74705383868201</v>
      </c>
      <c r="S25" s="33">
        <v>107.87418270870199</v>
      </c>
      <c r="T25" s="33">
        <v>107.79724310964799</v>
      </c>
      <c r="U25" s="15">
        <v>-5.8403250542028501E-4</v>
      </c>
      <c r="V25" s="15">
        <v>5.9515454300750796E-4</v>
      </c>
      <c r="W25" s="15">
        <v>-1.18334525156373E-4</v>
      </c>
      <c r="X25" s="34">
        <v>2.1297905966021302</v>
      </c>
      <c r="Y25" s="34">
        <v>2.1285470928226302</v>
      </c>
      <c r="Z25" s="34">
        <v>2.13110177191701</v>
      </c>
      <c r="AA25" s="34">
        <v>2.1295493796576999</v>
      </c>
      <c r="AB25" s="33">
        <v>107.74705383868201</v>
      </c>
      <c r="AC25" s="33">
        <v>107.87418270870199</v>
      </c>
      <c r="AD25" s="33">
        <v>107.79724310964799</v>
      </c>
      <c r="AE25" s="15">
        <v>-5.8403250542028501E-4</v>
      </c>
      <c r="AF25" s="15">
        <v>5.9515454300750796E-4</v>
      </c>
      <c r="AG25" s="15">
        <v>-1.18334525156373E-4</v>
      </c>
      <c r="AI25" s="12"/>
      <c r="AJ25">
        <f t="shared" si="6"/>
        <v>0</v>
      </c>
      <c r="AK25">
        <f t="shared" si="7"/>
        <v>0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1.5594927986280044E-3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1.5594927986280044E-3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50.65</v>
      </c>
      <c r="C26" s="33">
        <v>107.69</v>
      </c>
      <c r="D26" s="15">
        <v>5.9247557771448798E-4</v>
      </c>
      <c r="E26" s="15">
        <v>-1.11368921023703E-3</v>
      </c>
      <c r="F26" s="33">
        <v>0</v>
      </c>
      <c r="G26" s="33">
        <v>0.13980000000000001</v>
      </c>
      <c r="H26" s="33">
        <v>0</v>
      </c>
      <c r="I26" s="33">
        <v>0.27905000000000002</v>
      </c>
      <c r="J26" s="33">
        <v>0</v>
      </c>
      <c r="K26" s="33">
        <v>0</v>
      </c>
      <c r="L26" s="33">
        <v>50.65</v>
      </c>
      <c r="M26" s="33">
        <v>107.69</v>
      </c>
      <c r="N26" s="34">
        <v>2.12615992102665</v>
      </c>
      <c r="O26" s="34">
        <v>2.1285470928226302</v>
      </c>
      <c r="P26" s="34">
        <v>2.1307130134258498</v>
      </c>
      <c r="Q26" s="34">
        <v>2.1294131072473501</v>
      </c>
      <c r="R26" s="33">
        <v>107.810910251466</v>
      </c>
      <c r="S26" s="33">
        <v>107.940304747596</v>
      </c>
      <c r="T26" s="33">
        <v>107.861676079662</v>
      </c>
      <c r="U26" s="15">
        <v>1.1221322825312799E-3</v>
      </c>
      <c r="V26" s="15">
        <v>2.3216111512330698E-3</v>
      </c>
      <c r="W26" s="15">
        <v>1.5928998473608599E-3</v>
      </c>
      <c r="X26" s="34">
        <v>2.12615992102665</v>
      </c>
      <c r="Y26" s="34">
        <v>2.1285470928226302</v>
      </c>
      <c r="Z26" s="34">
        <v>2.1307130134258498</v>
      </c>
      <c r="AA26" s="34">
        <v>2.1294131072473501</v>
      </c>
      <c r="AB26" s="33">
        <v>107.810910251466</v>
      </c>
      <c r="AC26" s="33">
        <v>107.940304747596</v>
      </c>
      <c r="AD26" s="33">
        <v>107.861676079662</v>
      </c>
      <c r="AE26" s="15">
        <v>1.1221322825312799E-3</v>
      </c>
      <c r="AF26" s="15">
        <v>2.3216111512330698E-3</v>
      </c>
      <c r="AG26" s="15">
        <v>1.5928998473608599E-3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1.5594927986280044E-3</v>
      </c>
      <c r="AT26" s="12"/>
      <c r="AU26">
        <f t="shared" si="10"/>
        <v>1</v>
      </c>
      <c r="AV26">
        <f t="shared" si="11"/>
        <v>0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1.5594927986280044E-3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50.67</v>
      </c>
      <c r="C27" s="33">
        <v>107.79</v>
      </c>
      <c r="D27" s="15">
        <v>3.9478879312601498E-4</v>
      </c>
      <c r="E27" s="15">
        <v>9.2816045274748396E-4</v>
      </c>
      <c r="F27" s="33">
        <v>0</v>
      </c>
      <c r="G27" s="33">
        <v>0.13980000000000001</v>
      </c>
      <c r="H27" s="33">
        <v>0</v>
      </c>
      <c r="I27" s="33">
        <v>0.27905000000000002</v>
      </c>
      <c r="J27" s="33">
        <v>0</v>
      </c>
      <c r="K27" s="33">
        <v>0</v>
      </c>
      <c r="L27" s="33">
        <v>50.67</v>
      </c>
      <c r="M27" s="33">
        <v>107.79</v>
      </c>
      <c r="N27" s="34">
        <v>2.1272942569567701</v>
      </c>
      <c r="O27" s="34">
        <v>2.1285470928226302</v>
      </c>
      <c r="P27" s="34">
        <v>2.1304230485398099</v>
      </c>
      <c r="Q27" s="34">
        <v>2.1293523554846701</v>
      </c>
      <c r="R27" s="33">
        <v>107.85348119332301</v>
      </c>
      <c r="S27" s="33">
        <v>107.96322839028799</v>
      </c>
      <c r="T27" s="33">
        <v>107.897362144223</v>
      </c>
      <c r="U27" s="15">
        <v>5.8876062290974204E-4</v>
      </c>
      <c r="V27" s="15">
        <v>1.6058014872320401E-3</v>
      </c>
      <c r="W27" s="15">
        <v>9.9553494486686895E-4</v>
      </c>
      <c r="X27" s="34">
        <v>2.1272942569567701</v>
      </c>
      <c r="Y27" s="34">
        <v>2.1285470928226302</v>
      </c>
      <c r="Z27" s="34">
        <v>2.1304230485398099</v>
      </c>
      <c r="AA27" s="34">
        <v>2.1293523554846701</v>
      </c>
      <c r="AB27" s="33">
        <v>107.85348119332301</v>
      </c>
      <c r="AC27" s="33">
        <v>107.96322839028799</v>
      </c>
      <c r="AD27" s="33">
        <v>107.897362144223</v>
      </c>
      <c r="AE27" s="15">
        <v>5.8876062290974204E-4</v>
      </c>
      <c r="AF27" s="15">
        <v>1.6058014872320401E-3</v>
      </c>
      <c r="AG27" s="15">
        <v>9.9553494486686895E-4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1.5594927986280044E-3</v>
      </c>
      <c r="AT27" s="12"/>
      <c r="AU27">
        <f t="shared" si="10"/>
        <v>0</v>
      </c>
      <c r="AV27">
        <f t="shared" si="11"/>
        <v>0</v>
      </c>
      <c r="AW27">
        <f t="shared" si="18"/>
        <v>1</v>
      </c>
      <c r="AX27">
        <f t="shared" si="5"/>
        <v>1</v>
      </c>
      <c r="AY27">
        <f t="shared" si="19"/>
        <v>1</v>
      </c>
      <c r="AZ27" s="28">
        <f t="shared" si="12"/>
        <v>-3.9478879312601498E-4</v>
      </c>
      <c r="BA27" s="28">
        <f t="shared" si="13"/>
        <v>9.2816045274748396E-4</v>
      </c>
      <c r="BB27" s="28">
        <f t="shared" si="20"/>
        <v>5.3337165962146892E-4</v>
      </c>
      <c r="BC27" s="29">
        <f t="shared" si="21"/>
        <v>5.3337165962146892E-4</v>
      </c>
      <c r="BE27" s="29">
        <f t="shared" si="22"/>
        <v>5.3337165962146892E-4</v>
      </c>
      <c r="BF27" s="29">
        <f t="shared" si="23"/>
        <v>2.0928644582494734E-3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50.74</v>
      </c>
      <c r="C28" s="33">
        <v>107.96</v>
      </c>
      <c r="D28" s="15">
        <v>1.3805346833174099E-3</v>
      </c>
      <c r="E28" s="15">
        <v>1.5758983562667601E-3</v>
      </c>
      <c r="F28" s="33">
        <v>0</v>
      </c>
      <c r="G28" s="33">
        <v>0.13980000000000001</v>
      </c>
      <c r="H28" s="33">
        <v>0</v>
      </c>
      <c r="I28" s="33">
        <v>0.27905000000000002</v>
      </c>
      <c r="J28" s="33">
        <v>0</v>
      </c>
      <c r="K28" s="33">
        <v>0</v>
      </c>
      <c r="L28" s="33">
        <v>50.74</v>
      </c>
      <c r="M28" s="33">
        <v>107.96</v>
      </c>
      <c r="N28" s="34">
        <v>2.12770989357508</v>
      </c>
      <c r="O28" s="34">
        <v>2.1285470928226302</v>
      </c>
      <c r="P28" s="34">
        <v>2.1301204619479601</v>
      </c>
      <c r="Q28" s="34">
        <v>2.1293790685178502</v>
      </c>
      <c r="R28" s="33">
        <v>108.00247948982</v>
      </c>
      <c r="S28" s="33">
        <v>108.09766548291</v>
      </c>
      <c r="T28" s="33">
        <v>108.043338517292</v>
      </c>
      <c r="U28" s="15">
        <v>3.9339694996038099E-4</v>
      </c>
      <c r="V28" s="15">
        <v>1.2743403593925601E-3</v>
      </c>
      <c r="W28" s="15">
        <v>7.7164104961968899E-4</v>
      </c>
      <c r="X28" s="34">
        <v>2.12770989357508</v>
      </c>
      <c r="Y28" s="34">
        <v>2.1285470928226302</v>
      </c>
      <c r="Z28" s="34">
        <v>2.1301204619479601</v>
      </c>
      <c r="AA28" s="34">
        <v>2.1293790685178502</v>
      </c>
      <c r="AB28" s="33">
        <v>108.00247948982</v>
      </c>
      <c r="AC28" s="33">
        <v>108.09766548291</v>
      </c>
      <c r="AD28" s="33">
        <v>108.043338517292</v>
      </c>
      <c r="AE28" s="15">
        <v>3.9339694996038099E-4</v>
      </c>
      <c r="AF28" s="15">
        <v>1.2743403593925601E-3</v>
      </c>
      <c r="AG28" s="15">
        <v>7.7164104961968899E-4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1.5594927986280044E-3</v>
      </c>
      <c r="AT28" s="12"/>
      <c r="AU28">
        <f t="shared" si="10"/>
        <v>0</v>
      </c>
      <c r="AV28">
        <f t="shared" si="11"/>
        <v>0</v>
      </c>
      <c r="AW28">
        <f t="shared" si="18"/>
        <v>1</v>
      </c>
      <c r="AX28">
        <f t="shared" si="5"/>
        <v>1</v>
      </c>
      <c r="AY28">
        <f t="shared" si="19"/>
        <v>1</v>
      </c>
      <c r="AZ28" s="28">
        <f t="shared" si="12"/>
        <v>-1.3805346833174099E-3</v>
      </c>
      <c r="BA28" s="28">
        <f t="shared" si="13"/>
        <v>1.5758983562667601E-3</v>
      </c>
      <c r="BB28" s="28">
        <f t="shared" si="20"/>
        <v>1.9536367294935015E-4</v>
      </c>
      <c r="BC28" s="29">
        <f t="shared" si="21"/>
        <v>7.2873533257081908E-4</v>
      </c>
      <c r="BE28" s="29">
        <f t="shared" si="22"/>
        <v>1.9536367294935015E-4</v>
      </c>
      <c r="BF28" s="29">
        <f t="shared" si="23"/>
        <v>2.2882281311988233E-3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50.65</v>
      </c>
      <c r="C29" s="33">
        <v>107.83</v>
      </c>
      <c r="D29" s="15">
        <v>-1.77532347644348E-3</v>
      </c>
      <c r="E29" s="15">
        <v>-1.2048752558229099E-3</v>
      </c>
      <c r="F29" s="33">
        <v>0</v>
      </c>
      <c r="G29" s="33">
        <v>0.13980000000000001</v>
      </c>
      <c r="H29" s="33">
        <v>0</v>
      </c>
      <c r="I29" s="33">
        <v>0.27905000000000002</v>
      </c>
      <c r="J29" s="33">
        <v>0</v>
      </c>
      <c r="K29" s="33">
        <v>0</v>
      </c>
      <c r="L29" s="33">
        <v>50.65</v>
      </c>
      <c r="M29" s="33">
        <v>107.83</v>
      </c>
      <c r="N29" s="34">
        <v>2.1289239881539901</v>
      </c>
      <c r="O29" s="34">
        <v>2.1285470928226302</v>
      </c>
      <c r="P29" s="34">
        <v>2.1298232226379801</v>
      </c>
      <c r="Q29" s="34">
        <v>2.1294690006262198</v>
      </c>
      <c r="R29" s="33">
        <v>107.810910251466</v>
      </c>
      <c r="S29" s="33">
        <v>107.890601397664</v>
      </c>
      <c r="T29" s="33">
        <v>107.85304982042901</v>
      </c>
      <c r="U29" s="15">
        <v>-1.77051270660221E-4</v>
      </c>
      <c r="V29" s="15">
        <v>5.6185082802248502E-4</v>
      </c>
      <c r="W29" s="15">
        <v>2.13737894900449E-4</v>
      </c>
      <c r="X29" s="34">
        <v>2.1289239881539901</v>
      </c>
      <c r="Y29" s="34">
        <v>2.1285470928226302</v>
      </c>
      <c r="Z29" s="34">
        <v>2.1298232226379801</v>
      </c>
      <c r="AA29" s="34">
        <v>2.1294690006262198</v>
      </c>
      <c r="AB29" s="33">
        <v>107.810910251466</v>
      </c>
      <c r="AC29" s="33">
        <v>107.890601397664</v>
      </c>
      <c r="AD29" s="33">
        <v>107.85304982042901</v>
      </c>
      <c r="AE29" s="15">
        <v>-1.77051270660221E-4</v>
      </c>
      <c r="AF29" s="15">
        <v>5.6185082802248502E-4</v>
      </c>
      <c r="AG29" s="15">
        <v>2.13737894900449E-4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1.5594927986280044E-3</v>
      </c>
      <c r="AT29" s="12"/>
      <c r="AU29">
        <f t="shared" si="10"/>
        <v>0</v>
      </c>
      <c r="AV29">
        <f t="shared" si="11"/>
        <v>0</v>
      </c>
      <c r="AW29">
        <f t="shared" si="18"/>
        <v>1</v>
      </c>
      <c r="AX29">
        <f t="shared" si="5"/>
        <v>1</v>
      </c>
      <c r="AY29">
        <f t="shared" si="19"/>
        <v>1</v>
      </c>
      <c r="AZ29" s="28">
        <f t="shared" si="12"/>
        <v>1.77532347644348E-3</v>
      </c>
      <c r="BA29" s="28">
        <f t="shared" si="13"/>
        <v>-1.2048752558229099E-3</v>
      </c>
      <c r="BB29" s="28">
        <f t="shared" si="20"/>
        <v>5.7044822062057008E-4</v>
      </c>
      <c r="BC29" s="29">
        <f t="shared" si="21"/>
        <v>1.2991835531913892E-3</v>
      </c>
      <c r="BE29" s="29">
        <f t="shared" si="22"/>
        <v>5.7044822062057008E-4</v>
      </c>
      <c r="BF29" s="29">
        <f t="shared" si="23"/>
        <v>2.8586763518193932E-3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50.77</v>
      </c>
      <c r="C30" s="33">
        <v>108.09</v>
      </c>
      <c r="D30" s="15">
        <v>2.3663982646106E-3</v>
      </c>
      <c r="E30" s="15">
        <v>2.4083005341307001E-3</v>
      </c>
      <c r="F30" s="33">
        <v>0</v>
      </c>
      <c r="G30" s="33">
        <v>0.13980000000000001</v>
      </c>
      <c r="H30" s="33">
        <v>0</v>
      </c>
      <c r="I30" s="33">
        <v>0.27905000000000002</v>
      </c>
      <c r="J30" s="33">
        <v>0</v>
      </c>
      <c r="K30" s="33">
        <v>0</v>
      </c>
      <c r="L30" s="33">
        <v>50.77</v>
      </c>
      <c r="M30" s="33">
        <v>108.09</v>
      </c>
      <c r="N30" s="34">
        <v>2.1290131967697401</v>
      </c>
      <c r="O30" s="34">
        <v>2.1285470928226302</v>
      </c>
      <c r="P30" s="34">
        <v>2.12954164445273</v>
      </c>
      <c r="Q30" s="34">
        <v>2.12946964070967</v>
      </c>
      <c r="R30" s="33">
        <v>108.066335902605</v>
      </c>
      <c r="S30" s="33">
        <v>108.13112501333001</v>
      </c>
      <c r="T30" s="33">
        <v>108.113141161793</v>
      </c>
      <c r="U30" s="15">
        <v>-2.1895354018019899E-4</v>
      </c>
      <c r="V30" s="15">
        <v>3.8039774165545199E-4</v>
      </c>
      <c r="W30" s="15">
        <v>2.1406869259768001E-4</v>
      </c>
      <c r="X30" s="34">
        <v>2.1290131967697401</v>
      </c>
      <c r="Y30" s="34">
        <v>2.1285470928226302</v>
      </c>
      <c r="Z30" s="34">
        <v>2.12954164445273</v>
      </c>
      <c r="AA30" s="34">
        <v>2.12946964070967</v>
      </c>
      <c r="AB30" s="33">
        <v>108.066335902605</v>
      </c>
      <c r="AC30" s="33">
        <v>108.13112501333001</v>
      </c>
      <c r="AD30" s="33">
        <v>108.113141161793</v>
      </c>
      <c r="AE30" s="15">
        <v>-2.1895354018019899E-4</v>
      </c>
      <c r="AF30" s="15">
        <v>3.8039774165545199E-4</v>
      </c>
      <c r="AG30" s="15">
        <v>2.1406869259768001E-4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1.5594927986280044E-3</v>
      </c>
      <c r="AT30" s="12"/>
      <c r="AU30">
        <f t="shared" si="10"/>
        <v>0</v>
      </c>
      <c r="AV30">
        <f t="shared" si="11"/>
        <v>0</v>
      </c>
      <c r="AW30">
        <f t="shared" si="18"/>
        <v>1</v>
      </c>
      <c r="AX30">
        <f t="shared" si="5"/>
        <v>1</v>
      </c>
      <c r="AY30">
        <f t="shared" si="19"/>
        <v>1</v>
      </c>
      <c r="AZ30" s="28">
        <f t="shared" si="12"/>
        <v>-2.3663982646106E-3</v>
      </c>
      <c r="BA30" s="28">
        <f t="shared" si="13"/>
        <v>2.4083005341307001E-3</v>
      </c>
      <c r="BB30" s="28">
        <f t="shared" si="20"/>
        <v>4.190226952010016E-5</v>
      </c>
      <c r="BC30" s="29">
        <f t="shared" si="21"/>
        <v>1.3410858227114893E-3</v>
      </c>
      <c r="BE30" s="29">
        <f t="shared" si="22"/>
        <v>4.190226952010016E-5</v>
      </c>
      <c r="BF30" s="29">
        <f t="shared" si="23"/>
        <v>2.9005786213394933E-3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50.84</v>
      </c>
      <c r="C31" s="33">
        <v>108.26</v>
      </c>
      <c r="D31" s="15">
        <v>1.37781736195028E-3</v>
      </c>
      <c r="E31" s="15">
        <v>1.57152794072036E-3</v>
      </c>
      <c r="F31" s="33">
        <v>0</v>
      </c>
      <c r="G31" s="33">
        <v>0.13980000000000001</v>
      </c>
      <c r="H31" s="33">
        <v>0</v>
      </c>
      <c r="I31" s="33">
        <v>0.27905000000000002</v>
      </c>
      <c r="J31" s="33">
        <v>0</v>
      </c>
      <c r="K31" s="33">
        <v>0</v>
      </c>
      <c r="L31" s="33">
        <v>50.84</v>
      </c>
      <c r="M31" s="33">
        <v>108.26</v>
      </c>
      <c r="N31" s="34">
        <v>2.1294256490952002</v>
      </c>
      <c r="O31" s="34">
        <v>2.1285470928226302</v>
      </c>
      <c r="P31" s="34">
        <v>2.12917329164073</v>
      </c>
      <c r="Q31" s="34">
        <v>2.12950938789472</v>
      </c>
      <c r="R31" s="33">
        <v>108.215334199103</v>
      </c>
      <c r="S31" s="33">
        <v>108.265897203976</v>
      </c>
      <c r="T31" s="33">
        <v>108.26223653368</v>
      </c>
      <c r="U31" s="15">
        <v>-4.1266411895014003E-4</v>
      </c>
      <c r="V31" s="15">
        <v>5.4471119201003202E-5</v>
      </c>
      <c r="W31" s="15">
        <v>2.0658697378385099E-5</v>
      </c>
      <c r="X31" s="34">
        <v>2.1294256490952002</v>
      </c>
      <c r="Y31" s="34">
        <v>2.1285470928226302</v>
      </c>
      <c r="Z31" s="34">
        <v>2.12917329164073</v>
      </c>
      <c r="AA31" s="34">
        <v>2.12950938789472</v>
      </c>
      <c r="AB31" s="33">
        <v>108.215334199103</v>
      </c>
      <c r="AC31" s="33">
        <v>108.265897203976</v>
      </c>
      <c r="AD31" s="33">
        <v>108.26223653368</v>
      </c>
      <c r="AE31" s="15">
        <v>-4.1266411895014003E-4</v>
      </c>
      <c r="AF31" s="15">
        <v>5.4471119201003202E-5</v>
      </c>
      <c r="AG31" s="15">
        <v>2.0658697378385099E-5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1.5594927986280044E-3</v>
      </c>
      <c r="AT31" s="12"/>
      <c r="AU31">
        <f t="shared" si="10"/>
        <v>0</v>
      </c>
      <c r="AV31">
        <f t="shared" si="11"/>
        <v>0</v>
      </c>
      <c r="AW31">
        <f t="shared" si="18"/>
        <v>1</v>
      </c>
      <c r="AX31">
        <f t="shared" si="5"/>
        <v>1</v>
      </c>
      <c r="AY31">
        <f t="shared" si="19"/>
        <v>1</v>
      </c>
      <c r="AZ31" s="28">
        <f t="shared" si="12"/>
        <v>-1.37781736195028E-3</v>
      </c>
      <c r="BA31" s="28">
        <f t="shared" si="13"/>
        <v>1.57152794072036E-3</v>
      </c>
      <c r="BB31" s="28">
        <f t="shared" si="20"/>
        <v>1.9371057877007997E-4</v>
      </c>
      <c r="BC31" s="29">
        <f t="shared" si="21"/>
        <v>1.5347964014815693E-3</v>
      </c>
      <c r="BE31" s="29">
        <f t="shared" si="22"/>
        <v>1.9371057877007997E-4</v>
      </c>
      <c r="BF31" s="29">
        <f t="shared" si="23"/>
        <v>3.0942892001095731E-3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50.87</v>
      </c>
      <c r="C32" s="33">
        <v>108.33</v>
      </c>
      <c r="D32" s="15">
        <v>5.8991251342025797E-4</v>
      </c>
      <c r="E32" s="15">
        <v>6.4638258864417098E-4</v>
      </c>
      <c r="F32" s="33">
        <v>0</v>
      </c>
      <c r="G32" s="33">
        <v>0.13980000000000001</v>
      </c>
      <c r="H32" s="33">
        <v>0</v>
      </c>
      <c r="I32" s="33">
        <v>0.27905000000000002</v>
      </c>
      <c r="J32" s="33">
        <v>0</v>
      </c>
      <c r="K32" s="33">
        <v>0</v>
      </c>
      <c r="L32" s="33">
        <v>50.87</v>
      </c>
      <c r="M32" s="33">
        <v>108.33</v>
      </c>
      <c r="N32" s="34">
        <v>2.1295459013170799</v>
      </c>
      <c r="O32" s="34">
        <v>2.1285470928226302</v>
      </c>
      <c r="P32" s="34">
        <v>2.1288552985711702</v>
      </c>
      <c r="Q32" s="34">
        <v>2.1296526908657198</v>
      </c>
      <c r="R32" s="33">
        <v>108.279190611887</v>
      </c>
      <c r="S32" s="33">
        <v>108.311045345764</v>
      </c>
      <c r="T32" s="33">
        <v>108.32814256220399</v>
      </c>
      <c r="U32" s="15">
        <v>-4.6913419417408101E-4</v>
      </c>
      <c r="V32" s="15">
        <v>-1.7498673212217801E-4</v>
      </c>
      <c r="W32" s="15">
        <v>-1.71462542164327E-5</v>
      </c>
      <c r="X32" s="34">
        <v>2.1295459013170799</v>
      </c>
      <c r="Y32" s="34">
        <v>2.1285470928226302</v>
      </c>
      <c r="Z32" s="34">
        <v>2.1288552985711702</v>
      </c>
      <c r="AA32" s="34">
        <v>2.1296526908657198</v>
      </c>
      <c r="AB32" s="33">
        <v>108.279190611887</v>
      </c>
      <c r="AC32" s="33">
        <v>108.311045345764</v>
      </c>
      <c r="AD32" s="33">
        <v>108.32814256220399</v>
      </c>
      <c r="AE32" s="15">
        <v>-4.6913419417408101E-4</v>
      </c>
      <c r="AF32" s="15">
        <v>-1.7498673212217801E-4</v>
      </c>
      <c r="AG32" s="15">
        <v>-1.71462542164327E-5</v>
      </c>
      <c r="AI32" s="12"/>
      <c r="AJ32">
        <f t="shared" si="6"/>
        <v>0</v>
      </c>
      <c r="AK32">
        <f t="shared" si="7"/>
        <v>0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1.5594927986280044E-3</v>
      </c>
      <c r="AT32" s="12"/>
      <c r="AU32">
        <f t="shared" si="10"/>
        <v>0</v>
      </c>
      <c r="AV32">
        <f t="shared" si="11"/>
        <v>1</v>
      </c>
      <c r="AW32">
        <f t="shared" si="18"/>
        <v>1</v>
      </c>
      <c r="AX32">
        <f t="shared" si="5"/>
        <v>1</v>
      </c>
      <c r="AY32">
        <f t="shared" si="19"/>
        <v>1</v>
      </c>
      <c r="AZ32" s="28">
        <f t="shared" si="12"/>
        <v>-5.8991251342025797E-4</v>
      </c>
      <c r="BA32" s="28">
        <f t="shared" si="13"/>
        <v>6.4638258864417098E-4</v>
      </c>
      <c r="BB32" s="28">
        <f t="shared" si="20"/>
        <v>5.6470075223913016E-5</v>
      </c>
      <c r="BC32" s="29">
        <f t="shared" si="21"/>
        <v>1.5912664767054824E-3</v>
      </c>
      <c r="BE32" s="29">
        <f t="shared" si="22"/>
        <v>5.6470075223913016E-5</v>
      </c>
      <c r="BF32" s="29">
        <f t="shared" si="23"/>
        <v>3.150759275333486E-3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50.86</v>
      </c>
      <c r="C33" s="33">
        <v>108.31</v>
      </c>
      <c r="D33" s="15">
        <v>-1.96598840700069E-4</v>
      </c>
      <c r="E33" s="15">
        <v>-1.8463810983027101E-4</v>
      </c>
      <c r="F33" s="33">
        <v>0</v>
      </c>
      <c r="G33" s="33">
        <v>0.13980000000000001</v>
      </c>
      <c r="H33" s="33">
        <v>0</v>
      </c>
      <c r="I33" s="33">
        <v>0.27905000000000002</v>
      </c>
      <c r="J33" s="33">
        <v>0</v>
      </c>
      <c r="K33" s="33">
        <v>0</v>
      </c>
      <c r="L33" s="33">
        <v>50.86</v>
      </c>
      <c r="M33" s="33">
        <v>108.31</v>
      </c>
      <c r="N33" s="34">
        <v>2.1295713723948002</v>
      </c>
      <c r="O33" s="34">
        <v>2.1285470928226302</v>
      </c>
      <c r="P33" s="34">
        <v>2.12868372293936</v>
      </c>
      <c r="Q33" s="34">
        <v>2.1298155743773899</v>
      </c>
      <c r="R33" s="33">
        <v>108.257905140959</v>
      </c>
      <c r="S33" s="33">
        <v>108.27358048532901</v>
      </c>
      <c r="T33" s="33">
        <v>108.31413585743</v>
      </c>
      <c r="U33" s="15">
        <v>-4.81094925043765E-4</v>
      </c>
      <c r="V33" s="15">
        <v>-3.3630910461249599E-4</v>
      </c>
      <c r="W33" s="15">
        <v>3.8184641011493897E-5</v>
      </c>
      <c r="X33" s="34">
        <v>2.1295713723948002</v>
      </c>
      <c r="Y33" s="34">
        <v>2.1285470928226302</v>
      </c>
      <c r="Z33" s="34">
        <v>2.12868372293936</v>
      </c>
      <c r="AA33" s="34">
        <v>2.1298155743773899</v>
      </c>
      <c r="AB33" s="33">
        <v>108.257905140959</v>
      </c>
      <c r="AC33" s="33">
        <v>108.27358048532901</v>
      </c>
      <c r="AD33" s="33">
        <v>108.31413585743</v>
      </c>
      <c r="AE33" s="15">
        <v>-4.81094925043765E-4</v>
      </c>
      <c r="AF33" s="15">
        <v>-3.3630910461249599E-4</v>
      </c>
      <c r="AG33" s="15">
        <v>3.8184641011493897E-5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1.5594927986280044E-3</v>
      </c>
      <c r="AT33" s="12"/>
      <c r="AU33">
        <f t="shared" si="10"/>
        <v>0</v>
      </c>
      <c r="AV33">
        <f t="shared" si="11"/>
        <v>0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1.5912664767054824E-3</v>
      </c>
      <c r="BE33" s="29">
        <f t="shared" si="22"/>
        <v>0</v>
      </c>
      <c r="BF33" s="29">
        <f t="shared" si="23"/>
        <v>3.150759275333486E-3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50.86</v>
      </c>
      <c r="C34" s="33">
        <v>108.46</v>
      </c>
      <c r="D34" s="15">
        <v>0</v>
      </c>
      <c r="E34" s="15">
        <v>1.38395556526878E-3</v>
      </c>
      <c r="F34" s="33">
        <v>0</v>
      </c>
      <c r="G34" s="33">
        <v>0.13980000000000001</v>
      </c>
      <c r="H34" s="33">
        <v>0</v>
      </c>
      <c r="I34" s="33">
        <v>0.27905000000000002</v>
      </c>
      <c r="J34" s="33">
        <v>0</v>
      </c>
      <c r="K34" s="33">
        <v>0</v>
      </c>
      <c r="L34" s="33">
        <v>50.86</v>
      </c>
      <c r="M34" s="33">
        <v>108.46</v>
      </c>
      <c r="N34" s="34">
        <v>2.1325206449075802</v>
      </c>
      <c r="O34" s="34">
        <v>2.1285470928226302</v>
      </c>
      <c r="P34" s="34">
        <v>2.1289955420798998</v>
      </c>
      <c r="Q34" s="34">
        <v>2.1300270352507602</v>
      </c>
      <c r="R34" s="33">
        <v>108.257905140959</v>
      </c>
      <c r="S34" s="33">
        <v>108.264854148696</v>
      </c>
      <c r="T34" s="33">
        <v>108.322420112834</v>
      </c>
      <c r="U34" s="15">
        <v>-1.8650504903125499E-3</v>
      </c>
      <c r="V34" s="15">
        <v>-1.80086317104952E-3</v>
      </c>
      <c r="W34" s="15">
        <v>-1.26929024563429E-3</v>
      </c>
      <c r="X34" s="34">
        <v>2.1325206449075802</v>
      </c>
      <c r="Y34" s="34">
        <v>2.1285470928226302</v>
      </c>
      <c r="Z34" s="34">
        <v>2.1289955420798998</v>
      </c>
      <c r="AA34" s="34">
        <v>2.1300270352507602</v>
      </c>
      <c r="AB34" s="33">
        <v>108.257905140959</v>
      </c>
      <c r="AC34" s="33">
        <v>108.264854148696</v>
      </c>
      <c r="AD34" s="33">
        <v>108.322420112834</v>
      </c>
      <c r="AE34" s="15">
        <v>-1.8650504903125499E-3</v>
      </c>
      <c r="AF34" s="15">
        <v>-1.80086317104952E-3</v>
      </c>
      <c r="AG34" s="15">
        <v>-1.26929024563429E-3</v>
      </c>
      <c r="AI34" s="12"/>
      <c r="AJ34">
        <f t="shared" si="6"/>
        <v>1</v>
      </c>
      <c r="AK34">
        <f t="shared" si="7"/>
        <v>0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1.5594927986280044E-3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1.5912664767054824E-3</v>
      </c>
      <c r="BE34" s="29">
        <f t="shared" si="22"/>
        <v>0</v>
      </c>
      <c r="BF34" s="29">
        <f t="shared" si="23"/>
        <v>3.150759275333486E-3</v>
      </c>
      <c r="BH34" s="29"/>
    </row>
    <row r="35" spans="1:124" x14ac:dyDescent="0.25">
      <c r="A35" s="1">
        <v>46073</v>
      </c>
      <c r="B35" s="33">
        <v>50.93</v>
      </c>
      <c r="C35" s="33">
        <v>108.54</v>
      </c>
      <c r="D35" s="15">
        <v>1.3753809025397301E-3</v>
      </c>
      <c r="E35" s="15">
        <v>7.3732722234436002E-4</v>
      </c>
      <c r="F35" s="33">
        <v>0</v>
      </c>
      <c r="G35" s="33">
        <v>0.13980000000000001</v>
      </c>
      <c r="H35" s="33">
        <v>0</v>
      </c>
      <c r="I35" s="33">
        <v>0.27905000000000002</v>
      </c>
      <c r="J35" s="33">
        <v>0</v>
      </c>
      <c r="K35" s="33">
        <v>0</v>
      </c>
      <c r="L35" s="33">
        <v>50.93</v>
      </c>
      <c r="M35" s="33">
        <v>108.54</v>
      </c>
      <c r="N35" s="34">
        <v>2.1311604162575999</v>
      </c>
      <c r="O35" s="34">
        <v>2.1285470928226302</v>
      </c>
      <c r="P35" s="34">
        <v>2.1291325240454499</v>
      </c>
      <c r="Q35" s="34">
        <v>2.1301171479812302</v>
      </c>
      <c r="R35" s="33">
        <v>108.406903437457</v>
      </c>
      <c r="S35" s="33">
        <v>108.429742958129</v>
      </c>
      <c r="T35" s="33">
        <v>108.482276905321</v>
      </c>
      <c r="U35" s="15">
        <v>-1.22699681011715E-3</v>
      </c>
      <c r="V35" s="15">
        <v>-1.01633573287943E-3</v>
      </c>
      <c r="W35" s="15">
        <v>-5.3195549196926001E-4</v>
      </c>
      <c r="X35" s="34">
        <v>2.1311604162575999</v>
      </c>
      <c r="Y35" s="34">
        <v>2.1285470928226302</v>
      </c>
      <c r="Z35" s="34">
        <v>2.1291325240454499</v>
      </c>
      <c r="AA35" s="34">
        <v>2.1301171479812302</v>
      </c>
      <c r="AB35" s="33">
        <v>108.406903437457</v>
      </c>
      <c r="AC35" s="33">
        <v>108.429742958129</v>
      </c>
      <c r="AD35" s="33">
        <v>108.482276905321</v>
      </c>
      <c r="AE35" s="15">
        <v>-1.22699681011715E-3</v>
      </c>
      <c r="AF35" s="15">
        <v>-1.01633573287943E-3</v>
      </c>
      <c r="AG35" s="15">
        <v>-5.3195549196926001E-4</v>
      </c>
      <c r="AI35" s="12"/>
      <c r="AJ35">
        <f t="shared" si="6"/>
        <v>0</v>
      </c>
      <c r="AK35">
        <f t="shared" si="7"/>
        <v>0</v>
      </c>
      <c r="AL35">
        <f t="shared" si="14"/>
        <v>1</v>
      </c>
      <c r="AM35">
        <f t="shared" si="4"/>
        <v>1</v>
      </c>
      <c r="AN35">
        <f t="shared" si="15"/>
        <v>1</v>
      </c>
      <c r="AO35" s="28">
        <f t="shared" si="8"/>
        <v>1.3753809025397301E-3</v>
      </c>
      <c r="AP35" s="28">
        <f t="shared" si="9"/>
        <v>-7.3732722234436002E-4</v>
      </c>
      <c r="AQ35" s="28">
        <f t="shared" si="16"/>
        <v>6.3805368019537005E-4</v>
      </c>
      <c r="AR35" s="29">
        <f t="shared" si="17"/>
        <v>2.1975464788233745E-3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1.5912664767054824E-3</v>
      </c>
      <c r="BE35" s="29">
        <f t="shared" si="22"/>
        <v>6.3805368019537005E-4</v>
      </c>
      <c r="BF35" s="29">
        <f t="shared" si="23"/>
        <v>3.788812955528856E-3</v>
      </c>
      <c r="BH35" s="29"/>
    </row>
    <row r="36" spans="1:124" x14ac:dyDescent="0.25">
      <c r="A36" s="1">
        <v>46076</v>
      </c>
      <c r="B36" s="33">
        <v>50.96</v>
      </c>
      <c r="C36" s="33">
        <v>108.51</v>
      </c>
      <c r="D36" s="15">
        <v>5.8887036739458905E-4</v>
      </c>
      <c r="E36" s="15">
        <v>-2.7643400314255001E-4</v>
      </c>
      <c r="F36" s="33">
        <v>0</v>
      </c>
      <c r="G36" s="33">
        <v>0.13980000000000001</v>
      </c>
      <c r="H36" s="33">
        <v>0</v>
      </c>
      <c r="I36" s="33">
        <v>0.27905000000000002</v>
      </c>
      <c r="J36" s="33">
        <v>0</v>
      </c>
      <c r="K36" s="33">
        <v>0</v>
      </c>
      <c r="L36" s="33">
        <v>50.96</v>
      </c>
      <c r="M36" s="33">
        <v>108.51</v>
      </c>
      <c r="N36" s="34">
        <v>2.1293171114599598</v>
      </c>
      <c r="O36" s="34">
        <v>2.1285470928226302</v>
      </c>
      <c r="P36" s="34">
        <v>2.1294482430887798</v>
      </c>
      <c r="Q36" s="34">
        <v>2.1300806282573199</v>
      </c>
      <c r="R36" s="33">
        <v>108.470759850241</v>
      </c>
      <c r="S36" s="33">
        <v>108.500593425356</v>
      </c>
      <c r="T36" s="33">
        <v>108.550769861123</v>
      </c>
      <c r="U36" s="15">
        <v>-3.6169243957997002E-4</v>
      </c>
      <c r="V36" s="15">
        <v>-8.6692308435239794E-5</v>
      </c>
      <c r="W36" s="15">
        <v>3.7565389295685699E-4</v>
      </c>
      <c r="X36" s="34">
        <v>2.1293171114599598</v>
      </c>
      <c r="Y36" s="34">
        <v>2.1285470928226302</v>
      </c>
      <c r="Z36" s="34">
        <v>2.1294482430887798</v>
      </c>
      <c r="AA36" s="34">
        <v>2.1300806282573199</v>
      </c>
      <c r="AB36" s="33">
        <v>108.470759850241</v>
      </c>
      <c r="AC36" s="33">
        <v>108.500593425356</v>
      </c>
      <c r="AD36" s="33">
        <v>108.550769861123</v>
      </c>
      <c r="AE36" s="15">
        <v>-3.6169243957997002E-4</v>
      </c>
      <c r="AF36" s="15">
        <v>-8.6692308435239794E-5</v>
      </c>
      <c r="AG36" s="15">
        <v>3.7565389295685699E-4</v>
      </c>
      <c r="AI36" s="12"/>
      <c r="AJ36">
        <f t="shared" si="6"/>
        <v>0</v>
      </c>
      <c r="AK36">
        <f t="shared" si="7"/>
        <v>1</v>
      </c>
      <c r="AL36">
        <f t="shared" si="14"/>
        <v>1</v>
      </c>
      <c r="AM36">
        <f t="shared" si="4"/>
        <v>1</v>
      </c>
      <c r="AN36">
        <f t="shared" si="15"/>
        <v>1</v>
      </c>
      <c r="AO36" s="28">
        <f t="shared" si="8"/>
        <v>5.8887036739458905E-4</v>
      </c>
      <c r="AP36" s="28">
        <f t="shared" si="9"/>
        <v>2.7643400314255001E-4</v>
      </c>
      <c r="AQ36" s="28">
        <f t="shared" si="16"/>
        <v>8.6530437053713907E-4</v>
      </c>
      <c r="AR36" s="29">
        <f t="shared" si="17"/>
        <v>3.0628508493605136E-3</v>
      </c>
      <c r="AT36" s="12"/>
      <c r="AU36">
        <f t="shared" si="10"/>
        <v>0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1.5912664767054824E-3</v>
      </c>
      <c r="BE36" s="29">
        <f t="shared" si="22"/>
        <v>8.6530437053713907E-4</v>
      </c>
      <c r="BF36" s="29">
        <f t="shared" si="23"/>
        <v>4.6541173260659947E-3</v>
      </c>
      <c r="BH36" s="29"/>
    </row>
    <row r="37" spans="1:124" x14ac:dyDescent="0.25">
      <c r="A37" s="1">
        <v>46077</v>
      </c>
      <c r="B37" s="33">
        <v>51.03</v>
      </c>
      <c r="C37" s="33">
        <v>108.71</v>
      </c>
      <c r="D37" s="15">
        <v>1.37268381197217E-3</v>
      </c>
      <c r="E37" s="15">
        <v>1.8414515837925499E-3</v>
      </c>
      <c r="F37" s="33">
        <v>0</v>
      </c>
      <c r="G37" s="33">
        <v>0.13980000000000001</v>
      </c>
      <c r="H37" s="33">
        <v>0</v>
      </c>
      <c r="I37" s="33">
        <v>0.27905000000000002</v>
      </c>
      <c r="J37" s="33">
        <v>0</v>
      </c>
      <c r="K37" s="33">
        <v>0</v>
      </c>
      <c r="L37" s="33">
        <v>51.03</v>
      </c>
      <c r="M37" s="33">
        <v>108.71</v>
      </c>
      <c r="N37" s="34">
        <v>2.1303155006858701</v>
      </c>
      <c r="O37" s="34">
        <v>2.1285470928226302</v>
      </c>
      <c r="P37" s="34">
        <v>2.12975036746169</v>
      </c>
      <c r="Q37" s="34">
        <v>2.13008670800075</v>
      </c>
      <c r="R37" s="33">
        <v>108.619758146739</v>
      </c>
      <c r="S37" s="33">
        <v>108.66574384482</v>
      </c>
      <c r="T37" s="33">
        <v>108.69801445997101</v>
      </c>
      <c r="U37" s="15">
        <v>-8.3046021140048803E-4</v>
      </c>
      <c r="V37" s="15">
        <v>-4.0718577894536102E-4</v>
      </c>
      <c r="W37" s="15">
        <v>-1.1025849319059799E-4</v>
      </c>
      <c r="X37" s="34">
        <v>2.1303155006858701</v>
      </c>
      <c r="Y37" s="34">
        <v>2.1285470928226302</v>
      </c>
      <c r="Z37" s="34">
        <v>2.12975036746169</v>
      </c>
      <c r="AA37" s="34">
        <v>2.13008670800075</v>
      </c>
      <c r="AB37" s="33">
        <v>108.619758146739</v>
      </c>
      <c r="AC37" s="33">
        <v>108.66574384482</v>
      </c>
      <c r="AD37" s="33">
        <v>108.69801445997101</v>
      </c>
      <c r="AE37" s="15">
        <v>-8.3046021140048803E-4</v>
      </c>
      <c r="AF37" s="15">
        <v>-4.0718577894536102E-4</v>
      </c>
      <c r="AG37" s="15">
        <v>-1.1025849319059799E-4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3.0628508493605136E-3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1.5912664767054824E-3</v>
      </c>
      <c r="BE37" s="29">
        <f t="shared" si="22"/>
        <v>0</v>
      </c>
      <c r="BF37" s="29">
        <f t="shared" si="23"/>
        <v>4.6541173260659947E-3</v>
      </c>
      <c r="BH37" s="29"/>
    </row>
    <row r="38" spans="1:124" x14ac:dyDescent="0.25">
      <c r="A38" s="1">
        <v>46078</v>
      </c>
      <c r="B38" s="33">
        <v>51.06</v>
      </c>
      <c r="C38" s="33">
        <v>108.75</v>
      </c>
      <c r="D38" s="15">
        <v>5.8771673745766401E-4</v>
      </c>
      <c r="E38" s="15">
        <v>3.6788375288463203E-4</v>
      </c>
      <c r="F38" s="33">
        <v>0</v>
      </c>
      <c r="G38" s="33">
        <v>0.13980000000000001</v>
      </c>
      <c r="H38" s="33">
        <v>0</v>
      </c>
      <c r="I38" s="33">
        <v>0.27905000000000002</v>
      </c>
      <c r="J38" s="33">
        <v>0</v>
      </c>
      <c r="K38" s="33">
        <v>0</v>
      </c>
      <c r="L38" s="33">
        <v>51.06</v>
      </c>
      <c r="M38" s="33">
        <v>108.75</v>
      </c>
      <c r="N38" s="34">
        <v>2.1298472385428902</v>
      </c>
      <c r="O38" s="34">
        <v>2.1285470928226302</v>
      </c>
      <c r="P38" s="34">
        <v>2.1299641019584699</v>
      </c>
      <c r="Q38" s="34">
        <v>2.1300422819532101</v>
      </c>
      <c r="R38" s="33">
        <v>108.68361455952299</v>
      </c>
      <c r="S38" s="33">
        <v>108.745053762594</v>
      </c>
      <c r="T38" s="33">
        <v>108.762227310518</v>
      </c>
      <c r="U38" s="15">
        <v>-6.1062722682736904E-4</v>
      </c>
      <c r="V38" s="15">
        <v>-4.5483677178662901E-5</v>
      </c>
      <c r="W38" s="15">
        <v>1.1242871890723299E-4</v>
      </c>
      <c r="X38" s="34">
        <v>2.1298472385428902</v>
      </c>
      <c r="Y38" s="34">
        <v>2.1285470928226302</v>
      </c>
      <c r="Z38" s="34">
        <v>2.1299641019584699</v>
      </c>
      <c r="AA38" s="34">
        <v>2.1300422819532101</v>
      </c>
      <c r="AB38" s="33">
        <v>108.68361455952299</v>
      </c>
      <c r="AC38" s="33">
        <v>108.745053762594</v>
      </c>
      <c r="AD38" s="33">
        <v>108.762227310518</v>
      </c>
      <c r="AE38" s="15">
        <v>-6.1062722682736904E-4</v>
      </c>
      <c r="AF38" s="15">
        <v>-4.5483677178662901E-5</v>
      </c>
      <c r="AG38" s="15">
        <v>1.1242871890723299E-4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3.0628508493605136E-3</v>
      </c>
      <c r="AT38" s="12"/>
      <c r="AU38">
        <f t="shared" si="10"/>
        <v>0</v>
      </c>
      <c r="AV38">
        <f t="shared" si="11"/>
        <v>0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1.5912664767054824E-3</v>
      </c>
      <c r="BE38" s="29">
        <f t="shared" si="22"/>
        <v>0</v>
      </c>
      <c r="BF38" s="29">
        <f t="shared" si="23"/>
        <v>4.6541173260659947E-3</v>
      </c>
      <c r="BH38" s="29"/>
    </row>
    <row r="39" spans="1:124" x14ac:dyDescent="0.25">
      <c r="A39" s="1">
        <v>46079</v>
      </c>
      <c r="B39" s="33">
        <v>51.13</v>
      </c>
      <c r="C39" s="33">
        <v>108.92</v>
      </c>
      <c r="D39" s="15">
        <v>1.3699972785700301E-3</v>
      </c>
      <c r="E39" s="15">
        <v>1.5619978367652999E-3</v>
      </c>
      <c r="F39" s="33">
        <v>0</v>
      </c>
      <c r="G39" s="33">
        <v>0.13980000000000001</v>
      </c>
      <c r="H39" s="33">
        <v>0</v>
      </c>
      <c r="I39" s="33">
        <v>0.27905000000000002</v>
      </c>
      <c r="J39" s="33">
        <v>0</v>
      </c>
      <c r="K39" s="33">
        <v>0</v>
      </c>
      <c r="L39" s="33">
        <v>51.13</v>
      </c>
      <c r="M39" s="33">
        <v>108.92</v>
      </c>
      <c r="N39" s="34">
        <v>2.1302562096616402</v>
      </c>
      <c r="O39" s="34">
        <v>2.1285470928226302</v>
      </c>
      <c r="P39" s="34">
        <v>2.13009732410924</v>
      </c>
      <c r="Q39" s="34">
        <v>2.12996027337361</v>
      </c>
      <c r="R39" s="33">
        <v>108.832612856021</v>
      </c>
      <c r="S39" s="33">
        <v>108.905064533136</v>
      </c>
      <c r="T39" s="33">
        <v>108.909061876268</v>
      </c>
      <c r="U39" s="15">
        <v>-8.0262778502249795E-4</v>
      </c>
      <c r="V39" s="15">
        <v>-1.3713267496102201E-4</v>
      </c>
      <c r="W39" s="15">
        <v>-1.00428507077203E-4</v>
      </c>
      <c r="X39" s="34">
        <v>2.1302562096616402</v>
      </c>
      <c r="Y39" s="34">
        <v>2.1285470928226302</v>
      </c>
      <c r="Z39" s="34">
        <v>2.13009732410924</v>
      </c>
      <c r="AA39" s="34">
        <v>2.12996027337361</v>
      </c>
      <c r="AB39" s="33">
        <v>108.832612856021</v>
      </c>
      <c r="AC39" s="33">
        <v>108.905064533136</v>
      </c>
      <c r="AD39" s="33">
        <v>108.909061876268</v>
      </c>
      <c r="AE39" s="15">
        <v>-8.0262778502249795E-4</v>
      </c>
      <c r="AF39" s="15">
        <v>-1.3713267496102201E-4</v>
      </c>
      <c r="AG39" s="15">
        <v>-1.00428507077203E-4</v>
      </c>
      <c r="AI39" s="12"/>
      <c r="AJ39">
        <f t="shared" si="6"/>
        <v>0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3.0628508493605136E-3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1.5912664767054824E-3</v>
      </c>
      <c r="BE39" s="29">
        <f t="shared" si="22"/>
        <v>0</v>
      </c>
      <c r="BF39" s="29">
        <f t="shared" si="23"/>
        <v>4.6541173260659947E-3</v>
      </c>
      <c r="BH39" s="29"/>
    </row>
    <row r="40" spans="1:124" x14ac:dyDescent="0.25">
      <c r="A40" s="1">
        <v>46080</v>
      </c>
      <c r="B40" s="33">
        <v>51.15</v>
      </c>
      <c r="C40" s="33">
        <v>108.92</v>
      </c>
      <c r="D40" s="15">
        <v>3.9108330572747699E-4</v>
      </c>
      <c r="E40" s="15">
        <v>0</v>
      </c>
      <c r="F40" s="33">
        <v>0</v>
      </c>
      <c r="G40" s="33">
        <v>0.13980000000000001</v>
      </c>
      <c r="H40" s="33">
        <v>0</v>
      </c>
      <c r="I40" s="33">
        <v>0.27905000000000002</v>
      </c>
      <c r="J40" s="33">
        <v>0</v>
      </c>
      <c r="K40" s="33">
        <v>0</v>
      </c>
      <c r="L40" s="33">
        <v>51.15</v>
      </c>
      <c r="M40" s="33">
        <v>108.92</v>
      </c>
      <c r="N40" s="34">
        <v>2.1294232649071301</v>
      </c>
      <c r="O40" s="34">
        <v>2.1285470928226302</v>
      </c>
      <c r="P40" s="34">
        <v>2.1301383309229802</v>
      </c>
      <c r="Q40" s="34">
        <v>2.1298399876878502</v>
      </c>
      <c r="R40" s="33">
        <v>108.87518379787799</v>
      </c>
      <c r="S40" s="33">
        <v>108.95447812818701</v>
      </c>
      <c r="T40" s="33">
        <v>108.94746798305999</v>
      </c>
      <c r="U40" s="15">
        <v>-4.1154447929499498E-4</v>
      </c>
      <c r="V40" s="15">
        <v>3.1649533962589303E-4</v>
      </c>
      <c r="W40" s="15">
        <v>2.5215314117594401E-4</v>
      </c>
      <c r="X40" s="34">
        <v>2.1294232649071301</v>
      </c>
      <c r="Y40" s="34">
        <v>2.1285470928226302</v>
      </c>
      <c r="Z40" s="34">
        <v>2.1301383309229802</v>
      </c>
      <c r="AA40" s="34">
        <v>2.1298399876878502</v>
      </c>
      <c r="AB40" s="33">
        <v>108.87518379787799</v>
      </c>
      <c r="AC40" s="33">
        <v>108.95447812818701</v>
      </c>
      <c r="AD40" s="33">
        <v>108.94746798305999</v>
      </c>
      <c r="AE40" s="15">
        <v>-4.1154447929499498E-4</v>
      </c>
      <c r="AF40" s="15">
        <v>3.1649533962589303E-4</v>
      </c>
      <c r="AG40" s="15">
        <v>2.5215314117594401E-4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3.0628508493605136E-3</v>
      </c>
      <c r="AT40" s="12"/>
      <c r="AU40">
        <f t="shared" si="10"/>
        <v>0</v>
      </c>
      <c r="AV40">
        <f t="shared" si="11"/>
        <v>0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1.5912664767054824E-3</v>
      </c>
      <c r="BE40" s="29">
        <f t="shared" si="22"/>
        <v>0</v>
      </c>
      <c r="BF40" s="29">
        <f t="shared" si="23"/>
        <v>4.6541173260659947E-3</v>
      </c>
      <c r="BH40" s="29"/>
    </row>
    <row r="41" spans="1:124" x14ac:dyDescent="0.25">
      <c r="A41" s="1">
        <v>46083</v>
      </c>
      <c r="B41" s="33">
        <v>50.87</v>
      </c>
      <c r="C41" s="33">
        <v>108.27</v>
      </c>
      <c r="D41" s="15">
        <v>-5.4891335629618501E-3</v>
      </c>
      <c r="E41" s="15">
        <v>-5.9855604827520103E-3</v>
      </c>
      <c r="F41" s="33">
        <v>0.1487</v>
      </c>
      <c r="G41" s="33">
        <v>0.28849999999999998</v>
      </c>
      <c r="H41" s="33">
        <v>0.29221999999999998</v>
      </c>
      <c r="I41" s="33">
        <v>0.57126999999999994</v>
      </c>
      <c r="J41" s="33">
        <v>0</v>
      </c>
      <c r="K41" s="33">
        <v>0</v>
      </c>
      <c r="L41" s="33">
        <v>50.87</v>
      </c>
      <c r="M41" s="33">
        <v>108.27</v>
      </c>
      <c r="N41" s="34">
        <v>2.1283664242185898</v>
      </c>
      <c r="O41" s="34">
        <v>2.1285470928226302</v>
      </c>
      <c r="P41" s="34">
        <v>2.1300324084353202</v>
      </c>
      <c r="Q41" s="34">
        <v>2.1296028500380202</v>
      </c>
      <c r="R41" s="33">
        <v>108.279190611887</v>
      </c>
      <c r="S41" s="33">
        <v>108.360136894052</v>
      </c>
      <c r="T41" s="33">
        <v>108.344960173681</v>
      </c>
      <c r="U41" s="15">
        <v>8.4882440495236104E-5</v>
      </c>
      <c r="V41" s="15">
        <v>8.3217321972016303E-4</v>
      </c>
      <c r="W41" s="15">
        <v>6.9210526007394896E-4</v>
      </c>
      <c r="X41" s="34">
        <v>2.1283664242185898</v>
      </c>
      <c r="Y41" s="34">
        <v>2.1285470928226302</v>
      </c>
      <c r="Z41" s="34">
        <v>2.1300324084353202</v>
      </c>
      <c r="AA41" s="34">
        <v>2.1296028500380202</v>
      </c>
      <c r="AB41" s="33">
        <v>108.279190611887</v>
      </c>
      <c r="AC41" s="33">
        <v>108.360136894052</v>
      </c>
      <c r="AD41" s="33">
        <v>108.344960173681</v>
      </c>
      <c r="AE41" s="15">
        <v>8.4882440495236104E-5</v>
      </c>
      <c r="AF41" s="15">
        <v>8.3217321972016303E-4</v>
      </c>
      <c r="AG41" s="15">
        <v>6.9210526007394896E-4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3.0628508493605136E-3</v>
      </c>
      <c r="AT41" s="12"/>
      <c r="AU41">
        <f t="shared" si="10"/>
        <v>0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1.5912664767054824E-3</v>
      </c>
      <c r="BE41" s="29">
        <f t="shared" si="22"/>
        <v>0</v>
      </c>
      <c r="BF41" s="29">
        <f t="shared" si="23"/>
        <v>4.6541173260659947E-3</v>
      </c>
      <c r="BH41" s="29"/>
    </row>
    <row r="42" spans="1:124" x14ac:dyDescent="0.25">
      <c r="A42" s="1">
        <v>46084</v>
      </c>
      <c r="B42" s="33">
        <v>50.6</v>
      </c>
      <c r="C42" s="33">
        <v>107.76</v>
      </c>
      <c r="D42" s="15">
        <v>-5.3217825412536796E-3</v>
      </c>
      <c r="E42" s="15">
        <v>-4.7215752206982101E-3</v>
      </c>
      <c r="F42" s="33">
        <v>0</v>
      </c>
      <c r="G42" s="33">
        <v>0.28849999999999998</v>
      </c>
      <c r="H42" s="33">
        <v>0</v>
      </c>
      <c r="I42" s="33">
        <v>0.57126999999999994</v>
      </c>
      <c r="J42" s="33">
        <v>0</v>
      </c>
      <c r="K42" s="33">
        <v>0</v>
      </c>
      <c r="L42" s="33">
        <v>50.6</v>
      </c>
      <c r="M42" s="33">
        <v>107.76</v>
      </c>
      <c r="N42" s="34">
        <v>2.1296442687747001</v>
      </c>
      <c r="O42" s="34">
        <v>2.1285470928226302</v>
      </c>
      <c r="P42" s="34">
        <v>2.1300422451810799</v>
      </c>
      <c r="Q42" s="34">
        <v>2.1294487718761199</v>
      </c>
      <c r="R42" s="33">
        <v>107.704482896825</v>
      </c>
      <c r="S42" s="33">
        <v>107.779639866827</v>
      </c>
      <c r="T42" s="33">
        <v>107.757904211924</v>
      </c>
      <c r="U42" s="15">
        <v>-5.1532488006034995E-4</v>
      </c>
      <c r="V42" s="15">
        <v>1.8223902474442599E-4</v>
      </c>
      <c r="W42" s="15">
        <v>-1.94488535287928E-5</v>
      </c>
      <c r="X42" s="34">
        <v>2.1296442687747001</v>
      </c>
      <c r="Y42" s="34">
        <v>2.1285470928226302</v>
      </c>
      <c r="Z42" s="34">
        <v>2.1300422451810799</v>
      </c>
      <c r="AA42" s="34">
        <v>2.1294487718761199</v>
      </c>
      <c r="AB42" s="33">
        <v>107.704482896825</v>
      </c>
      <c r="AC42" s="33">
        <v>107.779639866827</v>
      </c>
      <c r="AD42" s="33">
        <v>107.757904211924</v>
      </c>
      <c r="AE42" s="15">
        <v>-5.1532488006034995E-4</v>
      </c>
      <c r="AF42" s="15">
        <v>1.8223902474442599E-4</v>
      </c>
      <c r="AG42" s="15">
        <v>-1.94488535287928E-5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3.0628508493605136E-3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1.5912664767054824E-3</v>
      </c>
      <c r="BE42" s="29">
        <f t="shared" si="22"/>
        <v>0</v>
      </c>
      <c r="BF42" s="29">
        <f t="shared" si="23"/>
        <v>4.6541173260659947E-3</v>
      </c>
      <c r="BH42" s="29"/>
    </row>
    <row r="43" spans="1:124" x14ac:dyDescent="0.25">
      <c r="A43" s="1">
        <v>46085</v>
      </c>
      <c r="B43" s="33">
        <v>50.57</v>
      </c>
      <c r="C43" s="33">
        <v>107.75</v>
      </c>
      <c r="D43" s="15">
        <v>-5.9306120152819602E-4</v>
      </c>
      <c r="E43" s="15">
        <v>-9.2803118251448305E-5</v>
      </c>
      <c r="F43" s="33">
        <v>0</v>
      </c>
      <c r="G43" s="33">
        <v>0.28849999999999998</v>
      </c>
      <c r="H43" s="33">
        <v>0</v>
      </c>
      <c r="I43" s="33">
        <v>0.57126999999999994</v>
      </c>
      <c r="J43" s="33">
        <v>0</v>
      </c>
      <c r="K43" s="33">
        <v>0</v>
      </c>
      <c r="L43" s="33">
        <v>50.57</v>
      </c>
      <c r="M43" s="33">
        <v>107.75</v>
      </c>
      <c r="N43" s="34">
        <v>2.1307099070595199</v>
      </c>
      <c r="O43" s="34">
        <v>2.1285470928226302</v>
      </c>
      <c r="P43" s="34">
        <v>2.1301560986475501</v>
      </c>
      <c r="Q43" s="34">
        <v>2.1294199107934499</v>
      </c>
      <c r="R43" s="33">
        <v>107.64062648404</v>
      </c>
      <c r="S43" s="33">
        <v>107.71623633880699</v>
      </c>
      <c r="T43" s="33">
        <v>107.68622439377501</v>
      </c>
      <c r="U43" s="15">
        <v>-1.0155829633371599E-3</v>
      </c>
      <c r="V43" s="15">
        <v>-3.1340094896302201E-4</v>
      </c>
      <c r="W43" s="15">
        <v>-5.9206020962040301E-4</v>
      </c>
      <c r="X43" s="34">
        <v>2.1307099070595199</v>
      </c>
      <c r="Y43" s="34">
        <v>2.1285470928226302</v>
      </c>
      <c r="Z43" s="34">
        <v>2.1301560986475501</v>
      </c>
      <c r="AA43" s="34">
        <v>2.1294199107934499</v>
      </c>
      <c r="AB43" s="33">
        <v>107.64062648404</v>
      </c>
      <c r="AC43" s="33">
        <v>107.71623633880699</v>
      </c>
      <c r="AD43" s="33">
        <v>107.68622439377501</v>
      </c>
      <c r="AE43" s="15">
        <v>-1.0155829633371599E-3</v>
      </c>
      <c r="AF43" s="15">
        <v>-3.1340094896302201E-4</v>
      </c>
      <c r="AG43" s="15">
        <v>-5.9206020962040301E-4</v>
      </c>
      <c r="AI43" s="12"/>
      <c r="AJ43">
        <f t="shared" si="6"/>
        <v>0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3.0628508493605136E-3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1.5912664767054824E-3</v>
      </c>
      <c r="BE43" s="29">
        <f t="shared" si="22"/>
        <v>0</v>
      </c>
      <c r="BF43" s="29">
        <f t="shared" si="23"/>
        <v>4.6541173260659947E-3</v>
      </c>
      <c r="BH43" s="29"/>
    </row>
    <row r="44" spans="1:124" x14ac:dyDescent="0.25">
      <c r="A44" s="1">
        <v>46086</v>
      </c>
      <c r="B44" s="33">
        <v>50.58</v>
      </c>
      <c r="C44" s="33">
        <v>107.62</v>
      </c>
      <c r="D44" s="15">
        <v>1.9772614992735299E-4</v>
      </c>
      <c r="E44" s="15">
        <v>-1.2072249225834901E-3</v>
      </c>
      <c r="F44" s="33">
        <v>0</v>
      </c>
      <c r="G44" s="33">
        <v>0.28849999999999998</v>
      </c>
      <c r="H44" s="33">
        <v>0</v>
      </c>
      <c r="I44" s="33">
        <v>0.57126999999999994</v>
      </c>
      <c r="J44" s="33">
        <v>0</v>
      </c>
      <c r="K44" s="33">
        <v>0</v>
      </c>
      <c r="L44" s="33">
        <v>50.58</v>
      </c>
      <c r="M44" s="33">
        <v>107.62</v>
      </c>
      <c r="N44" s="34">
        <v>2.1277184657967498</v>
      </c>
      <c r="O44" s="34">
        <v>2.1285470928226302</v>
      </c>
      <c r="P44" s="34">
        <v>2.1296758807364702</v>
      </c>
      <c r="Q44" s="34">
        <v>2.1293357114081801</v>
      </c>
      <c r="R44" s="33">
        <v>107.661911954969</v>
      </c>
      <c r="S44" s="33">
        <v>107.74329546959299</v>
      </c>
      <c r="T44" s="33">
        <v>107.706059087933</v>
      </c>
      <c r="U44" s="15">
        <v>3.8936810917369901E-4</v>
      </c>
      <c r="V44" s="15">
        <v>1.14499996663475E-3</v>
      </c>
      <c r="W44" s="15">
        <v>7.9933745947809599E-4</v>
      </c>
      <c r="X44" s="34">
        <v>2.1277184657967498</v>
      </c>
      <c r="Y44" s="34">
        <v>2.1285470928226302</v>
      </c>
      <c r="Z44" s="34">
        <v>2.1296758807364702</v>
      </c>
      <c r="AA44" s="34">
        <v>2.1293357114081801</v>
      </c>
      <c r="AB44" s="33">
        <v>107.661911954969</v>
      </c>
      <c r="AC44" s="33">
        <v>107.74329546959299</v>
      </c>
      <c r="AD44" s="33">
        <v>107.706059087933</v>
      </c>
      <c r="AE44" s="15">
        <v>3.8936810917369901E-4</v>
      </c>
      <c r="AF44" s="15">
        <v>1.14499996663475E-3</v>
      </c>
      <c r="AG44" s="15">
        <v>7.9933745947809599E-4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3.0628508493605136E-3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1.5912664767054824E-3</v>
      </c>
      <c r="BE44" s="29">
        <f t="shared" si="22"/>
        <v>0</v>
      </c>
      <c r="BF44" s="29">
        <f t="shared" si="23"/>
        <v>4.6541173260659947E-3</v>
      </c>
      <c r="BH44" s="29"/>
    </row>
    <row r="45" spans="1:124" x14ac:dyDescent="0.25">
      <c r="A45" s="1">
        <v>46087</v>
      </c>
      <c r="B45" s="33">
        <v>50.56</v>
      </c>
      <c r="C45" s="33">
        <v>107.55</v>
      </c>
      <c r="D45" s="15">
        <v>-3.9549140321703098E-4</v>
      </c>
      <c r="E45" s="15">
        <v>-6.5064834753459299E-4</v>
      </c>
      <c r="F45" s="33">
        <v>0</v>
      </c>
      <c r="G45" s="33">
        <v>0.28849999999999998</v>
      </c>
      <c r="H45" s="33">
        <v>0</v>
      </c>
      <c r="I45" s="33">
        <v>0.57126999999999994</v>
      </c>
      <c r="J45" s="33">
        <v>0</v>
      </c>
      <c r="K45" s="33">
        <v>0</v>
      </c>
      <c r="L45" s="33">
        <v>50.56</v>
      </c>
      <c r="M45" s="33">
        <v>107.55</v>
      </c>
      <c r="N45" s="34">
        <v>2.1271756329113898</v>
      </c>
      <c r="O45" s="34">
        <v>2.1285470928226302</v>
      </c>
      <c r="P45" s="34">
        <v>2.1292774024018399</v>
      </c>
      <c r="Q45" s="34">
        <v>2.1292049632236498</v>
      </c>
      <c r="R45" s="33">
        <v>107.61934101311201</v>
      </c>
      <c r="S45" s="33">
        <v>107.67641253003499</v>
      </c>
      <c r="T45" s="33">
        <v>107.65921356879799</v>
      </c>
      <c r="U45" s="15">
        <v>6.4452505349136397E-4</v>
      </c>
      <c r="V45" s="15">
        <v>1.1746935990463599E-3</v>
      </c>
      <c r="W45" s="15">
        <v>1.0149526255155499E-3</v>
      </c>
      <c r="X45" s="34">
        <v>2.1271756329113898</v>
      </c>
      <c r="Y45" s="34">
        <v>2.1285470928226302</v>
      </c>
      <c r="Z45" s="34">
        <v>2.1292774024018399</v>
      </c>
      <c r="AA45" s="34">
        <v>2.1292049632236498</v>
      </c>
      <c r="AB45" s="33">
        <v>107.61934101311201</v>
      </c>
      <c r="AC45" s="33">
        <v>107.67641253003499</v>
      </c>
      <c r="AD45" s="33">
        <v>107.65921356879799</v>
      </c>
      <c r="AE45" s="15">
        <v>6.4452505349136397E-4</v>
      </c>
      <c r="AF45" s="15">
        <v>1.1746935990463599E-3</v>
      </c>
      <c r="AG45" s="15">
        <v>1.0149526255155499E-3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3.0628508493605136E-3</v>
      </c>
      <c r="AT45" s="12"/>
      <c r="AU45">
        <f t="shared" si="10"/>
        <v>1</v>
      </c>
      <c r="AV45">
        <f t="shared" si="11"/>
        <v>0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1.5912664767054824E-3</v>
      </c>
      <c r="BE45" s="29">
        <f t="shared" si="22"/>
        <v>0</v>
      </c>
      <c r="BF45" s="29">
        <f t="shared" si="23"/>
        <v>4.6541173260659947E-3</v>
      </c>
      <c r="BH45" s="29"/>
    </row>
    <row r="46" spans="1:124" x14ac:dyDescent="0.25">
      <c r="A46" s="1">
        <v>46090</v>
      </c>
      <c r="B46" s="33">
        <v>50.51</v>
      </c>
      <c r="C46" s="33">
        <v>107.68</v>
      </c>
      <c r="D46" s="15">
        <v>-9.8941335864086394E-4</v>
      </c>
      <c r="E46" s="15">
        <v>1.2080101826786201E-3</v>
      </c>
      <c r="F46" s="33">
        <v>0</v>
      </c>
      <c r="G46" s="33">
        <v>0.28849999999999998</v>
      </c>
      <c r="H46" s="33">
        <v>0</v>
      </c>
      <c r="I46" s="33">
        <v>0.57126999999999994</v>
      </c>
      <c r="J46" s="33">
        <v>0</v>
      </c>
      <c r="K46" s="33">
        <v>0</v>
      </c>
      <c r="L46" s="33">
        <v>50.51</v>
      </c>
      <c r="M46" s="33">
        <v>107.68</v>
      </c>
      <c r="N46" s="34">
        <v>2.1318550782023298</v>
      </c>
      <c r="O46" s="34">
        <v>2.1285470928226302</v>
      </c>
      <c r="P46" s="34">
        <v>2.1295311990760801</v>
      </c>
      <c r="Q46" s="34">
        <v>2.1294897210824302</v>
      </c>
      <c r="R46" s="33">
        <v>107.51291365847101</v>
      </c>
      <c r="S46" s="33">
        <v>107.54980159531701</v>
      </c>
      <c r="T46" s="33">
        <v>107.546142692426</v>
      </c>
      <c r="U46" s="15">
        <v>-1.5528984878282E-3</v>
      </c>
      <c r="V46" s="15">
        <v>-1.20985495130392E-3</v>
      </c>
      <c r="W46" s="15">
        <v>-1.24387607525561E-3</v>
      </c>
      <c r="X46" s="34">
        <v>2.1318550782023298</v>
      </c>
      <c r="Y46" s="34">
        <v>2.1285470928226302</v>
      </c>
      <c r="Z46" s="34">
        <v>2.1295311990760801</v>
      </c>
      <c r="AA46" s="34">
        <v>2.1294897210824302</v>
      </c>
      <c r="AB46" s="33">
        <v>107.51291365847101</v>
      </c>
      <c r="AC46" s="33">
        <v>107.54980159531701</v>
      </c>
      <c r="AD46" s="33">
        <v>107.546142692426</v>
      </c>
      <c r="AE46" s="15">
        <v>-1.5528984878282E-3</v>
      </c>
      <c r="AF46" s="15">
        <v>-1.20985495130392E-3</v>
      </c>
      <c r="AG46" s="15">
        <v>-1.24387607525561E-3</v>
      </c>
      <c r="AI46" s="12"/>
      <c r="AJ46">
        <f t="shared" si="6"/>
        <v>1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3.0628508493605136E-3</v>
      </c>
      <c r="AT46" s="12"/>
      <c r="AU46">
        <f t="shared" si="10"/>
        <v>0</v>
      </c>
      <c r="AV46">
        <f t="shared" si="11"/>
        <v>1</v>
      </c>
      <c r="AW46">
        <f t="shared" si="18"/>
        <v>1</v>
      </c>
      <c r="AX46">
        <f t="shared" si="5"/>
        <v>1</v>
      </c>
      <c r="AY46">
        <f t="shared" si="19"/>
        <v>1</v>
      </c>
      <c r="AZ46" s="28">
        <f t="shared" si="12"/>
        <v>9.8941335864086394E-4</v>
      </c>
      <c r="BA46" s="28">
        <f t="shared" si="13"/>
        <v>1.2080101826786201E-3</v>
      </c>
      <c r="BB46" s="28">
        <f t="shared" si="20"/>
        <v>2.197423541319484E-3</v>
      </c>
      <c r="BC46" s="29">
        <f t="shared" si="21"/>
        <v>3.7886900180249664E-3</v>
      </c>
      <c r="BE46" s="29">
        <f t="shared" si="22"/>
        <v>2.197423541319484E-3</v>
      </c>
      <c r="BF46" s="29">
        <f t="shared" si="23"/>
        <v>6.8515408673854791E-3</v>
      </c>
      <c r="BH46" s="29"/>
    </row>
    <row r="47" spans="1:124" x14ac:dyDescent="0.25">
      <c r="A47" s="1">
        <v>46091</v>
      </c>
      <c r="B47" s="33">
        <v>50.42</v>
      </c>
      <c r="C47" s="33">
        <v>107.47</v>
      </c>
      <c r="D47" s="15">
        <v>-1.7834147201873901E-3</v>
      </c>
      <c r="E47" s="15">
        <v>-1.95212704335586E-3</v>
      </c>
      <c r="F47" s="33">
        <v>0</v>
      </c>
      <c r="G47" s="33">
        <v>0.28849999999999998</v>
      </c>
      <c r="H47" s="33">
        <v>0</v>
      </c>
      <c r="I47" s="33">
        <v>0.57126999999999994</v>
      </c>
      <c r="J47" s="33">
        <v>0</v>
      </c>
      <c r="K47" s="33">
        <v>0</v>
      </c>
      <c r="L47" s="33">
        <v>50.42</v>
      </c>
      <c r="M47" s="33">
        <v>107.47</v>
      </c>
      <c r="N47" s="34">
        <v>2.1314954383181202</v>
      </c>
      <c r="O47" s="34">
        <v>2.1285470928226302</v>
      </c>
      <c r="P47" s="34">
        <v>2.12964919283931</v>
      </c>
      <c r="Q47" s="34">
        <v>2.1296997801505002</v>
      </c>
      <c r="R47" s="33">
        <v>107.321344420117</v>
      </c>
      <c r="S47" s="33">
        <v>107.37096305741601</v>
      </c>
      <c r="T47" s="33">
        <v>107.368871736976</v>
      </c>
      <c r="U47" s="15">
        <v>-1.3841861646597901E-3</v>
      </c>
      <c r="V47" s="15">
        <v>-9.2195592674261995E-4</v>
      </c>
      <c r="W47" s="15">
        <v>-9.41433639779159E-4</v>
      </c>
      <c r="X47" s="34">
        <v>2.1314954383181202</v>
      </c>
      <c r="Y47" s="34">
        <v>2.1285470928226302</v>
      </c>
      <c r="Z47" s="34">
        <v>2.12964919283931</v>
      </c>
      <c r="AA47" s="34">
        <v>2.1296997801505002</v>
      </c>
      <c r="AB47" s="33">
        <v>107.321344420117</v>
      </c>
      <c r="AC47" s="33">
        <v>107.37096305741601</v>
      </c>
      <c r="AD47" s="33">
        <v>107.368871736976</v>
      </c>
      <c r="AE47" s="15">
        <v>-1.3841861646597901E-3</v>
      </c>
      <c r="AF47" s="15">
        <v>-9.2195592674261995E-4</v>
      </c>
      <c r="AG47" s="15">
        <v>-9.41433639779159E-4</v>
      </c>
      <c r="AI47" s="12"/>
      <c r="AJ47">
        <f t="shared" si="6"/>
        <v>0</v>
      </c>
      <c r="AK47">
        <f t="shared" si="7"/>
        <v>0</v>
      </c>
      <c r="AL47">
        <f t="shared" si="14"/>
        <v>1</v>
      </c>
      <c r="AM47">
        <f t="shared" si="4"/>
        <v>1</v>
      </c>
      <c r="AN47">
        <f t="shared" si="15"/>
        <v>1</v>
      </c>
      <c r="AO47" s="28">
        <f t="shared" si="8"/>
        <v>-1.7834147201873901E-3</v>
      </c>
      <c r="AP47" s="28">
        <f t="shared" si="9"/>
        <v>1.95212704335586E-3</v>
      </c>
      <c r="AQ47" s="28">
        <f t="shared" si="16"/>
        <v>1.6871232316846996E-4</v>
      </c>
      <c r="AR47" s="29">
        <f t="shared" si="17"/>
        <v>3.2315631725289835E-3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3.7886900180249664E-3</v>
      </c>
      <c r="BE47" s="29">
        <f t="shared" si="22"/>
        <v>1.6871232316846996E-4</v>
      </c>
      <c r="BF47" s="29">
        <f t="shared" si="23"/>
        <v>7.0202531905539491E-3</v>
      </c>
      <c r="BH47" s="29"/>
    </row>
    <row r="48" spans="1:124" x14ac:dyDescent="0.25">
      <c r="A48" s="1">
        <v>46092</v>
      </c>
      <c r="B48" s="33">
        <v>50.33</v>
      </c>
      <c r="C48" s="33">
        <v>107.24</v>
      </c>
      <c r="D48" s="15">
        <v>-1.7866009715051499E-3</v>
      </c>
      <c r="E48" s="15">
        <v>-2.1424254853033699E-3</v>
      </c>
      <c r="F48" s="33">
        <v>0</v>
      </c>
      <c r="G48" s="33">
        <v>0.28849999999999998</v>
      </c>
      <c r="H48" s="33">
        <v>0</v>
      </c>
      <c r="I48" s="33">
        <v>0.57126999999999994</v>
      </c>
      <c r="J48" s="33">
        <v>0</v>
      </c>
      <c r="K48" s="33">
        <v>0</v>
      </c>
      <c r="L48" s="33">
        <v>50.33</v>
      </c>
      <c r="M48" s="33">
        <v>107.24</v>
      </c>
      <c r="N48" s="34">
        <v>2.13073713490959</v>
      </c>
      <c r="O48" s="34">
        <v>2.1285470928226302</v>
      </c>
      <c r="P48" s="34">
        <v>2.1297381824759798</v>
      </c>
      <c r="Q48" s="34">
        <v>2.1298511422172202</v>
      </c>
      <c r="R48" s="33">
        <v>107.12977518176299</v>
      </c>
      <c r="S48" s="33">
        <v>107.185243875602</v>
      </c>
      <c r="T48" s="33">
        <v>107.18778993497401</v>
      </c>
      <c r="U48" s="15">
        <v>-1.0283616508614301E-3</v>
      </c>
      <c r="V48" s="15">
        <v>-5.1072461990026203E-4</v>
      </c>
      <c r="W48" s="15">
        <v>-4.8697107844782598E-4</v>
      </c>
      <c r="X48" s="34">
        <v>2.13073713490959</v>
      </c>
      <c r="Y48" s="34">
        <v>2.1285470928226302</v>
      </c>
      <c r="Z48" s="34">
        <v>2.1297381824759798</v>
      </c>
      <c r="AA48" s="34">
        <v>2.1298511422172202</v>
      </c>
      <c r="AB48" s="33">
        <v>107.12977518176299</v>
      </c>
      <c r="AC48" s="33">
        <v>107.185243875602</v>
      </c>
      <c r="AD48" s="33">
        <v>107.18778993497401</v>
      </c>
      <c r="AE48" s="15">
        <v>-1.0283616508614301E-3</v>
      </c>
      <c r="AF48" s="15">
        <v>-5.1072461990026203E-4</v>
      </c>
      <c r="AG48" s="15">
        <v>-4.8697107844782598E-4</v>
      </c>
      <c r="AI48" s="12"/>
      <c r="AJ48">
        <f t="shared" si="6"/>
        <v>0</v>
      </c>
      <c r="AK48">
        <f t="shared" si="7"/>
        <v>0</v>
      </c>
      <c r="AL48">
        <f t="shared" si="14"/>
        <v>1</v>
      </c>
      <c r="AM48">
        <f t="shared" si="4"/>
        <v>1</v>
      </c>
      <c r="AN48">
        <f t="shared" si="15"/>
        <v>1</v>
      </c>
      <c r="AO48" s="28">
        <f t="shared" si="8"/>
        <v>-1.7866009715051499E-3</v>
      </c>
      <c r="AP48" s="28">
        <f t="shared" si="9"/>
        <v>2.1424254853033699E-3</v>
      </c>
      <c r="AQ48" s="28">
        <f t="shared" si="16"/>
        <v>3.5582451379821993E-4</v>
      </c>
      <c r="AR48" s="29">
        <f t="shared" si="17"/>
        <v>3.5873876863272034E-3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3.7886900180249664E-3</v>
      </c>
      <c r="BE48" s="29">
        <f t="shared" si="22"/>
        <v>3.5582451379821993E-4</v>
      </c>
      <c r="BF48" s="29">
        <f t="shared" si="23"/>
        <v>7.3760777043521686E-3</v>
      </c>
      <c r="BH48" s="29"/>
    </row>
    <row r="49" spans="1:60" x14ac:dyDescent="0.25">
      <c r="A49" s="1">
        <v>46093</v>
      </c>
      <c r="B49" s="33">
        <v>50.2</v>
      </c>
      <c r="C49" s="33">
        <v>106.98</v>
      </c>
      <c r="D49" s="15">
        <v>-2.5862940905849699E-3</v>
      </c>
      <c r="E49" s="15">
        <v>-2.4274122646544601E-3</v>
      </c>
      <c r="F49" s="33">
        <v>0</v>
      </c>
      <c r="G49" s="33">
        <v>0.28849999999999998</v>
      </c>
      <c r="H49" s="33">
        <v>0</v>
      </c>
      <c r="I49" s="33">
        <v>0.57126999999999994</v>
      </c>
      <c r="J49" s="33">
        <v>0</v>
      </c>
      <c r="K49" s="33">
        <v>0</v>
      </c>
      <c r="L49" s="33">
        <v>50.2</v>
      </c>
      <c r="M49" s="33">
        <v>106.98</v>
      </c>
      <c r="N49" s="34">
        <v>2.1310756972111502</v>
      </c>
      <c r="O49" s="34">
        <v>2.1285470928226302</v>
      </c>
      <c r="P49" s="34">
        <v>2.1298201312309302</v>
      </c>
      <c r="Q49" s="34">
        <v>2.12995872767008</v>
      </c>
      <c r="R49" s="33">
        <v>106.853064059696</v>
      </c>
      <c r="S49" s="33">
        <v>106.91285676029401</v>
      </c>
      <c r="T49" s="33">
        <v>106.91852733930401</v>
      </c>
      <c r="U49" s="15">
        <v>-1.1872434767921901E-3</v>
      </c>
      <c r="V49" s="15">
        <v>-6.2782126461009195E-4</v>
      </c>
      <c r="W49" s="15">
        <v>-5.7478340923793904E-4</v>
      </c>
      <c r="X49" s="34">
        <v>2.1310756972111502</v>
      </c>
      <c r="Y49" s="34">
        <v>2.1285470928226302</v>
      </c>
      <c r="Z49" s="34">
        <v>2.1298201312309302</v>
      </c>
      <c r="AA49" s="34">
        <v>2.12995872767008</v>
      </c>
      <c r="AB49" s="33">
        <v>106.853064059696</v>
      </c>
      <c r="AC49" s="33">
        <v>106.91285676029401</v>
      </c>
      <c r="AD49" s="33">
        <v>106.91852733930401</v>
      </c>
      <c r="AE49" s="15">
        <v>-1.1872434767921901E-3</v>
      </c>
      <c r="AF49" s="15">
        <v>-6.2782126461009195E-4</v>
      </c>
      <c r="AG49" s="15">
        <v>-5.7478340923793904E-4</v>
      </c>
      <c r="AI49" s="12"/>
      <c r="AJ49">
        <f t="shared" si="6"/>
        <v>0</v>
      </c>
      <c r="AK49">
        <f t="shared" si="7"/>
        <v>0</v>
      </c>
      <c r="AL49">
        <f t="shared" si="14"/>
        <v>1</v>
      </c>
      <c r="AM49">
        <f t="shared" si="4"/>
        <v>1</v>
      </c>
      <c r="AN49">
        <f t="shared" si="15"/>
        <v>1</v>
      </c>
      <c r="AO49" s="28">
        <f t="shared" si="8"/>
        <v>-2.5862940905849699E-3</v>
      </c>
      <c r="AP49" s="28">
        <f t="shared" si="9"/>
        <v>2.4274122646544601E-3</v>
      </c>
      <c r="AQ49" s="28">
        <f t="shared" si="16"/>
        <v>-1.5888182593050979E-4</v>
      </c>
      <c r="AR49" s="29">
        <f t="shared" si="17"/>
        <v>3.4285058603966937E-3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3.7886900180249664E-3</v>
      </c>
      <c r="BE49" s="29">
        <f t="shared" si="22"/>
        <v>-1.5888182593050979E-4</v>
      </c>
      <c r="BF49" s="29">
        <f t="shared" si="23"/>
        <v>7.2171958784216592E-3</v>
      </c>
      <c r="BH49" s="29"/>
    </row>
    <row r="50" spans="1:60" x14ac:dyDescent="0.25">
      <c r="A50" s="1">
        <v>46094</v>
      </c>
      <c r="B50" s="33">
        <v>50.36</v>
      </c>
      <c r="C50" s="33">
        <v>107.25</v>
      </c>
      <c r="D50" s="15">
        <v>3.1821824784627698E-3</v>
      </c>
      <c r="E50" s="15">
        <v>2.52065670502219E-3</v>
      </c>
      <c r="F50" s="33">
        <v>0</v>
      </c>
      <c r="G50" s="33">
        <v>0.28849999999999998</v>
      </c>
      <c r="H50" s="33">
        <v>0</v>
      </c>
      <c r="I50" s="33">
        <v>0.57126999999999994</v>
      </c>
      <c r="J50" s="33">
        <v>0</v>
      </c>
      <c r="K50" s="33">
        <v>0</v>
      </c>
      <c r="L50" s="33">
        <v>50.36</v>
      </c>
      <c r="M50" s="33">
        <v>107.25</v>
      </c>
      <c r="N50" s="34">
        <v>2.1296664019062699</v>
      </c>
      <c r="O50" s="34">
        <v>2.1285470928226302</v>
      </c>
      <c r="P50" s="34">
        <v>2.12984444493084</v>
      </c>
      <c r="Q50" s="34">
        <v>2.1299913879269101</v>
      </c>
      <c r="R50" s="33">
        <v>107.19363159454799</v>
      </c>
      <c r="S50" s="33">
        <v>107.25774180878901</v>
      </c>
      <c r="T50" s="33">
        <v>107.26472152546501</v>
      </c>
      <c r="U50" s="15">
        <v>-5.2571770335155797E-4</v>
      </c>
      <c r="V50" s="15">
        <v>7.2182092150486793E-5</v>
      </c>
      <c r="W50" s="15">
        <v>1.3725422091333299E-4</v>
      </c>
      <c r="X50" s="34">
        <v>2.1296664019062699</v>
      </c>
      <c r="Y50" s="34">
        <v>2.1285470928226302</v>
      </c>
      <c r="Z50" s="34">
        <v>2.12984444493084</v>
      </c>
      <c r="AA50" s="34">
        <v>2.1299913879269101</v>
      </c>
      <c r="AB50" s="33">
        <v>107.19363159454799</v>
      </c>
      <c r="AC50" s="33">
        <v>107.25774180878901</v>
      </c>
      <c r="AD50" s="33">
        <v>107.26472152546501</v>
      </c>
      <c r="AE50" s="15">
        <v>-5.2571770335155797E-4</v>
      </c>
      <c r="AF50" s="15">
        <v>7.2182092150486793E-5</v>
      </c>
      <c r="AG50" s="15">
        <v>1.3725422091333299E-4</v>
      </c>
      <c r="AI50" s="12"/>
      <c r="AJ50">
        <f t="shared" si="6"/>
        <v>0</v>
      </c>
      <c r="AK50">
        <f t="shared" si="7"/>
        <v>1</v>
      </c>
      <c r="AL50">
        <f t="shared" si="14"/>
        <v>1</v>
      </c>
      <c r="AM50">
        <f t="shared" si="4"/>
        <v>1</v>
      </c>
      <c r="AN50">
        <f t="shared" si="15"/>
        <v>1</v>
      </c>
      <c r="AO50" s="28">
        <f t="shared" si="8"/>
        <v>3.1821824784627698E-3</v>
      </c>
      <c r="AP50" s="28">
        <f t="shared" si="9"/>
        <v>-2.52065670502219E-3</v>
      </c>
      <c r="AQ50" s="28">
        <f t="shared" si="16"/>
        <v>6.6152577344057986E-4</v>
      </c>
      <c r="AR50" s="29">
        <f t="shared" si="17"/>
        <v>4.0900316338372735E-3</v>
      </c>
      <c r="AT50" s="12"/>
      <c r="AU50">
        <f t="shared" si="10"/>
        <v>0</v>
      </c>
      <c r="AV50">
        <f t="shared" si="11"/>
        <v>0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3.7886900180249664E-3</v>
      </c>
      <c r="BE50" s="29">
        <f t="shared" si="22"/>
        <v>6.6152577344057986E-4</v>
      </c>
      <c r="BF50" s="29">
        <f t="shared" si="23"/>
        <v>7.8787216518622395E-3</v>
      </c>
      <c r="BH50" s="29"/>
    </row>
    <row r="51" spans="1:60" x14ac:dyDescent="0.25">
      <c r="A51" s="1">
        <v>46097</v>
      </c>
      <c r="B51" s="33">
        <v>50.38</v>
      </c>
      <c r="C51" s="33">
        <v>107.38</v>
      </c>
      <c r="D51" s="15">
        <v>3.9706174831772098E-4</v>
      </c>
      <c r="E51" s="15">
        <v>1.2113871862970799E-3</v>
      </c>
      <c r="F51" s="33">
        <v>0</v>
      </c>
      <c r="G51" s="33">
        <v>0.28849999999999998</v>
      </c>
      <c r="H51" s="33">
        <v>0</v>
      </c>
      <c r="I51" s="33">
        <v>0.57126999999999994</v>
      </c>
      <c r="J51" s="33">
        <v>0</v>
      </c>
      <c r="K51" s="33">
        <v>0</v>
      </c>
      <c r="L51" s="33">
        <v>50.38</v>
      </c>
      <c r="M51" s="33">
        <v>107.38</v>
      </c>
      <c r="N51" s="34">
        <v>2.1314013497419602</v>
      </c>
      <c r="O51" s="34">
        <v>2.1285470928226302</v>
      </c>
      <c r="P51" s="34">
        <v>2.13014793748318</v>
      </c>
      <c r="Q51" s="34">
        <v>2.1300901729592501</v>
      </c>
      <c r="R51" s="33">
        <v>107.23620253640399</v>
      </c>
      <c r="S51" s="33">
        <v>107.30156313561599</v>
      </c>
      <c r="T51" s="33">
        <v>107.308966123757</v>
      </c>
      <c r="U51" s="15">
        <v>-1.34004314133083E-3</v>
      </c>
      <c r="V51" s="15">
        <v>-7.3072756438429605E-4</v>
      </c>
      <c r="W51" s="15">
        <v>-6.6173758360054595E-4</v>
      </c>
      <c r="X51" s="34">
        <v>2.1314013497419602</v>
      </c>
      <c r="Y51" s="34">
        <v>2.1285470928226302</v>
      </c>
      <c r="Z51" s="34">
        <v>2.13014793748318</v>
      </c>
      <c r="AA51" s="34">
        <v>2.1300901729592501</v>
      </c>
      <c r="AB51" s="33">
        <v>107.23620253640399</v>
      </c>
      <c r="AC51" s="33">
        <v>107.30156313561599</v>
      </c>
      <c r="AD51" s="33">
        <v>107.308966123757</v>
      </c>
      <c r="AE51" s="15">
        <v>-1.34004314133083E-3</v>
      </c>
      <c r="AF51" s="15">
        <v>-7.3072756438429605E-4</v>
      </c>
      <c r="AG51" s="15">
        <v>-6.6173758360054595E-4</v>
      </c>
      <c r="AI51" s="12"/>
      <c r="AJ51">
        <f t="shared" si="6"/>
        <v>0</v>
      </c>
      <c r="AK51">
        <f t="shared" si="7"/>
        <v>0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4.0900316338372735E-3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3.7886900180249664E-3</v>
      </c>
      <c r="BE51" s="29">
        <f t="shared" si="22"/>
        <v>0</v>
      </c>
      <c r="BF51" s="29">
        <f t="shared" si="23"/>
        <v>7.8787216518622395E-3</v>
      </c>
      <c r="BH51" s="29"/>
    </row>
    <row r="52" spans="1:60" x14ac:dyDescent="0.25">
      <c r="A52" s="1">
        <v>46098</v>
      </c>
      <c r="B52" s="33">
        <v>50.34</v>
      </c>
      <c r="C52" s="33">
        <v>107.22</v>
      </c>
      <c r="D52" s="15">
        <v>-7.9428121729428498E-4</v>
      </c>
      <c r="E52" s="15">
        <v>-1.4911465950317501E-3</v>
      </c>
      <c r="F52" s="33">
        <v>0</v>
      </c>
      <c r="G52" s="33">
        <v>0.28849999999999998</v>
      </c>
      <c r="H52" s="33">
        <v>0</v>
      </c>
      <c r="I52" s="33">
        <v>0.57126999999999994</v>
      </c>
      <c r="J52" s="33">
        <v>0</v>
      </c>
      <c r="K52" s="33">
        <v>0</v>
      </c>
      <c r="L52" s="33">
        <v>50.34</v>
      </c>
      <c r="M52" s="33">
        <v>107.22</v>
      </c>
      <c r="N52" s="34">
        <v>2.1299165673420699</v>
      </c>
      <c r="O52" s="34">
        <v>2.1285470928226302</v>
      </c>
      <c r="P52" s="34">
        <v>2.1301751673399201</v>
      </c>
      <c r="Q52" s="34">
        <v>2.1301087062605002</v>
      </c>
      <c r="R52" s="33">
        <v>107.151060652691</v>
      </c>
      <c r="S52" s="33">
        <v>107.231647172903</v>
      </c>
      <c r="T52" s="33">
        <v>107.22873930676801</v>
      </c>
      <c r="U52" s="15">
        <v>-6.4317776359335401E-4</v>
      </c>
      <c r="V52" s="15">
        <v>1.08622834736141E-4</v>
      </c>
      <c r="W52" s="15">
        <v>8.1504855676145998E-5</v>
      </c>
      <c r="X52" s="34">
        <v>2.1299165673420699</v>
      </c>
      <c r="Y52" s="34">
        <v>2.1285470928226302</v>
      </c>
      <c r="Z52" s="34">
        <v>2.1301751673399201</v>
      </c>
      <c r="AA52" s="34">
        <v>2.1301087062605002</v>
      </c>
      <c r="AB52" s="33">
        <v>107.151060652691</v>
      </c>
      <c r="AC52" s="33">
        <v>107.231647172903</v>
      </c>
      <c r="AD52" s="33">
        <v>107.22873930676801</v>
      </c>
      <c r="AE52" s="15">
        <v>-6.4317776359335401E-4</v>
      </c>
      <c r="AF52" s="15">
        <v>1.08622834736141E-4</v>
      </c>
      <c r="AG52" s="15">
        <v>8.1504855676145998E-5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4.0900316338372735E-3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3.7886900180249664E-3</v>
      </c>
      <c r="BE52" s="29">
        <f t="shared" si="22"/>
        <v>0</v>
      </c>
      <c r="BF52" s="29">
        <f t="shared" si="23"/>
        <v>7.8787216518622395E-3</v>
      </c>
      <c r="BH52" s="29"/>
    </row>
    <row r="53" spans="1:60" x14ac:dyDescent="0.25">
      <c r="A53" s="1">
        <v>46099</v>
      </c>
      <c r="B53" s="33">
        <v>50.27</v>
      </c>
      <c r="C53" s="33">
        <v>106.97</v>
      </c>
      <c r="D53" s="15">
        <v>-1.3915120026859499E-3</v>
      </c>
      <c r="E53" s="15">
        <v>-2.33437708135222E-3</v>
      </c>
      <c r="F53" s="33">
        <v>0</v>
      </c>
      <c r="G53" s="33">
        <v>0.28849999999999998</v>
      </c>
      <c r="H53" s="33">
        <v>0</v>
      </c>
      <c r="I53" s="33">
        <v>0.57126999999999994</v>
      </c>
      <c r="J53" s="33">
        <v>0</v>
      </c>
      <c r="K53" s="33">
        <v>0</v>
      </c>
      <c r="L53" s="33">
        <v>50.27</v>
      </c>
      <c r="M53" s="33">
        <v>106.97</v>
      </c>
      <c r="N53" s="34">
        <v>2.1279092898348901</v>
      </c>
      <c r="O53" s="34">
        <v>2.1285470928226302</v>
      </c>
      <c r="P53" s="34">
        <v>2.1298951056174502</v>
      </c>
      <c r="Q53" s="34">
        <v>2.1300256021325001</v>
      </c>
      <c r="R53" s="33">
        <v>107.002062356194</v>
      </c>
      <c r="S53" s="33">
        <v>107.083905662177</v>
      </c>
      <c r="T53" s="33">
        <v>107.08056466371499</v>
      </c>
      <c r="U53" s="15">
        <v>2.9968731507279699E-4</v>
      </c>
      <c r="V53" s="15">
        <v>1.06427091415959E-3</v>
      </c>
      <c r="W53" s="15">
        <v>1.0330706085479599E-3</v>
      </c>
      <c r="X53" s="34">
        <v>2.1279092898348901</v>
      </c>
      <c r="Y53" s="34">
        <v>2.1285470928226302</v>
      </c>
      <c r="Z53" s="34">
        <v>2.1298951056174502</v>
      </c>
      <c r="AA53" s="34">
        <v>2.1300256021325001</v>
      </c>
      <c r="AB53" s="33">
        <v>107.002062356194</v>
      </c>
      <c r="AC53" s="33">
        <v>107.083905662177</v>
      </c>
      <c r="AD53" s="33">
        <v>107.08056466371499</v>
      </c>
      <c r="AE53" s="15">
        <v>2.9968731507279699E-4</v>
      </c>
      <c r="AF53" s="15">
        <v>1.06427091415959E-3</v>
      </c>
      <c r="AG53" s="15">
        <v>1.0330706085479599E-3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4.0900316338372735E-3</v>
      </c>
      <c r="AT53" s="12"/>
      <c r="AU53">
        <f t="shared" si="10"/>
        <v>1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3.7886900180249664E-3</v>
      </c>
      <c r="BE53" s="29">
        <f t="shared" si="22"/>
        <v>0</v>
      </c>
      <c r="BF53" s="29">
        <f t="shared" si="23"/>
        <v>7.8787216518622395E-3</v>
      </c>
      <c r="BH53" s="29"/>
    </row>
    <row r="54" spans="1:60" x14ac:dyDescent="0.25">
      <c r="A54" s="1">
        <v>46100</v>
      </c>
      <c r="B54" s="33">
        <v>50.23</v>
      </c>
      <c r="C54" s="33">
        <v>106.85</v>
      </c>
      <c r="D54" s="15">
        <v>-7.9601994253063895E-4</v>
      </c>
      <c r="E54" s="15">
        <v>-1.12243955288293E-3</v>
      </c>
      <c r="F54" s="33">
        <v>0</v>
      </c>
      <c r="G54" s="33">
        <v>0.28849999999999998</v>
      </c>
      <c r="H54" s="33">
        <v>0</v>
      </c>
      <c r="I54" s="33">
        <v>0.57126999999999994</v>
      </c>
      <c r="J54" s="33">
        <v>0</v>
      </c>
      <c r="K54" s="33">
        <v>0</v>
      </c>
      <c r="L54" s="33">
        <v>50.23</v>
      </c>
      <c r="M54" s="33">
        <v>106.85</v>
      </c>
      <c r="N54" s="34">
        <v>2.1272148118654099</v>
      </c>
      <c r="O54" s="34">
        <v>2.1285470928226302</v>
      </c>
      <c r="P54" s="34">
        <v>2.1298447402243199</v>
      </c>
      <c r="Q54" s="34">
        <v>2.1297603104803899</v>
      </c>
      <c r="R54" s="33">
        <v>106.916920472481</v>
      </c>
      <c r="S54" s="33">
        <v>106.984631155164</v>
      </c>
      <c r="T54" s="33">
        <v>106.991185995115</v>
      </c>
      <c r="U54" s="15">
        <v>6.2610692542507096E-4</v>
      </c>
      <c r="V54" s="15">
        <v>1.25920831650949E-3</v>
      </c>
      <c r="W54" s="15">
        <v>1.32047542641228E-3</v>
      </c>
      <c r="X54" s="34">
        <v>2.1272148118654099</v>
      </c>
      <c r="Y54" s="34">
        <v>2.1285470928226302</v>
      </c>
      <c r="Z54" s="34">
        <v>2.1298447402243199</v>
      </c>
      <c r="AA54" s="34">
        <v>2.1297603104803899</v>
      </c>
      <c r="AB54" s="33">
        <v>106.916920472481</v>
      </c>
      <c r="AC54" s="33">
        <v>106.984631155164</v>
      </c>
      <c r="AD54" s="33">
        <v>106.991185995115</v>
      </c>
      <c r="AE54" s="15">
        <v>6.2610692542507096E-4</v>
      </c>
      <c r="AF54" s="15">
        <v>1.25920831650949E-3</v>
      </c>
      <c r="AG54" s="15">
        <v>1.32047542641228E-3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4.0900316338372735E-3</v>
      </c>
      <c r="AT54" s="12"/>
      <c r="AU54">
        <f t="shared" si="10"/>
        <v>1</v>
      </c>
      <c r="AV54">
        <f t="shared" si="11"/>
        <v>0</v>
      </c>
      <c r="AW54">
        <f t="shared" si="18"/>
        <v>1</v>
      </c>
      <c r="AX54">
        <f t="shared" si="5"/>
        <v>1</v>
      </c>
      <c r="AY54">
        <f t="shared" si="19"/>
        <v>1</v>
      </c>
      <c r="AZ54" s="28">
        <f t="shared" si="12"/>
        <v>7.9601994253063895E-4</v>
      </c>
      <c r="BA54" s="28">
        <f t="shared" si="13"/>
        <v>-1.12243955288293E-3</v>
      </c>
      <c r="BB54" s="28">
        <f t="shared" si="20"/>
        <v>-3.2641961035229105E-4</v>
      </c>
      <c r="BC54" s="29">
        <f t="shared" si="21"/>
        <v>3.4622704076726755E-3</v>
      </c>
      <c r="BE54" s="29">
        <f t="shared" si="22"/>
        <v>-3.2641961035229105E-4</v>
      </c>
      <c r="BF54" s="29">
        <f t="shared" si="23"/>
        <v>7.5523020415099486E-3</v>
      </c>
      <c r="BH54" s="29"/>
    </row>
    <row r="55" spans="1:60" x14ac:dyDescent="0.25">
      <c r="A55" s="1">
        <v>46101</v>
      </c>
      <c r="B55" s="33">
        <v>49.8</v>
      </c>
      <c r="C55" s="33">
        <v>105.91</v>
      </c>
      <c r="D55" s="15">
        <v>-8.5974737313460805E-3</v>
      </c>
      <c r="E55" s="15">
        <v>-8.8363049095787505E-3</v>
      </c>
      <c r="F55" s="33">
        <v>0</v>
      </c>
      <c r="G55" s="33">
        <v>0.28849999999999998</v>
      </c>
      <c r="H55" s="33">
        <v>0</v>
      </c>
      <c r="I55" s="33">
        <v>0.57126999999999994</v>
      </c>
      <c r="J55" s="33">
        <v>0</v>
      </c>
      <c r="K55" s="33">
        <v>0</v>
      </c>
      <c r="L55" s="33">
        <v>49.8</v>
      </c>
      <c r="M55" s="33">
        <v>105.91</v>
      </c>
      <c r="N55" s="34">
        <v>2.12670682730923</v>
      </c>
      <c r="O55" s="34">
        <v>2.1285470928226302</v>
      </c>
      <c r="P55" s="34">
        <v>2.1297978596640998</v>
      </c>
      <c r="Q55" s="34">
        <v>2.1295376310329699</v>
      </c>
      <c r="R55" s="33">
        <v>106.00164522256701</v>
      </c>
      <c r="S55" s="33">
        <v>106.06626806317099</v>
      </c>
      <c r="T55" s="33">
        <v>106.062063461923</v>
      </c>
      <c r="U55" s="15">
        <v>8.6493810365784001E-4</v>
      </c>
      <c r="V55" s="15">
        <v>1.4743923261550499E-3</v>
      </c>
      <c r="W55" s="15">
        <v>1.4347502734612799E-3</v>
      </c>
      <c r="X55" s="34">
        <v>2.12670682730923</v>
      </c>
      <c r="Y55" s="34">
        <v>2.1285470928226302</v>
      </c>
      <c r="Z55" s="34">
        <v>2.1297978596640998</v>
      </c>
      <c r="AA55" s="34">
        <v>2.1295376310329699</v>
      </c>
      <c r="AB55" s="33">
        <v>106.00164522256701</v>
      </c>
      <c r="AC55" s="33">
        <v>106.06626806317099</v>
      </c>
      <c r="AD55" s="33">
        <v>106.062063461923</v>
      </c>
      <c r="AE55" s="15">
        <v>8.6493810365784001E-4</v>
      </c>
      <c r="AF55" s="15">
        <v>1.4743923261550499E-3</v>
      </c>
      <c r="AG55" s="15">
        <v>1.4347502734612799E-3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4.0900316338372735E-3</v>
      </c>
      <c r="AT55" s="12"/>
      <c r="AU55">
        <f t="shared" si="10"/>
        <v>1</v>
      </c>
      <c r="AV55">
        <f t="shared" si="11"/>
        <v>0</v>
      </c>
      <c r="AW55">
        <f t="shared" si="18"/>
        <v>1</v>
      </c>
      <c r="AX55">
        <f t="shared" si="5"/>
        <v>1</v>
      </c>
      <c r="AY55">
        <f t="shared" si="19"/>
        <v>1</v>
      </c>
      <c r="AZ55" s="28">
        <f t="shared" si="12"/>
        <v>8.5974737313460805E-3</v>
      </c>
      <c r="BA55" s="28">
        <f t="shared" si="13"/>
        <v>-8.8363049095787505E-3</v>
      </c>
      <c r="BB55" s="28">
        <f t="shared" si="20"/>
        <v>-2.3883117823267005E-4</v>
      </c>
      <c r="BC55" s="29">
        <f t="shared" si="21"/>
        <v>3.2234392294400054E-3</v>
      </c>
      <c r="BE55" s="29">
        <f t="shared" si="22"/>
        <v>-2.3883117823267005E-4</v>
      </c>
      <c r="BF55" s="29">
        <f t="shared" si="23"/>
        <v>7.3134708632772785E-3</v>
      </c>
      <c r="BH55" s="29"/>
    </row>
    <row r="56" spans="1:60" x14ac:dyDescent="0.25">
      <c r="A56" s="1">
        <v>46104</v>
      </c>
      <c r="B56" s="33">
        <v>49.94</v>
      </c>
      <c r="C56" s="33">
        <v>106.41</v>
      </c>
      <c r="D56" s="15">
        <v>2.8073008210198198E-3</v>
      </c>
      <c r="E56" s="15">
        <v>4.70988059806239E-3</v>
      </c>
      <c r="F56" s="33">
        <v>0</v>
      </c>
      <c r="G56" s="33">
        <v>0.28849999999999998</v>
      </c>
      <c r="H56" s="33">
        <v>0</v>
      </c>
      <c r="I56" s="33">
        <v>0.57126999999999994</v>
      </c>
      <c r="J56" s="33">
        <v>0</v>
      </c>
      <c r="K56" s="33">
        <v>0</v>
      </c>
      <c r="L56" s="33">
        <v>49.94</v>
      </c>
      <c r="M56" s="33">
        <v>106.41</v>
      </c>
      <c r="N56" s="34">
        <v>2.13075690828994</v>
      </c>
      <c r="O56" s="34">
        <v>2.1285470928226302</v>
      </c>
      <c r="P56" s="34">
        <v>2.1296880426728602</v>
      </c>
      <c r="Q56" s="34">
        <v>2.1296096208744699</v>
      </c>
      <c r="R56" s="33">
        <v>106.299641815562</v>
      </c>
      <c r="S56" s="33">
        <v>106.362105111625</v>
      </c>
      <c r="T56" s="33">
        <v>106.349109293786</v>
      </c>
      <c r="U56" s="15">
        <v>-1.0376416733847199E-3</v>
      </c>
      <c r="V56" s="15">
        <v>-4.5019895026454198E-4</v>
      </c>
      <c r="W56" s="15">
        <v>-5.7239107719190305E-4</v>
      </c>
      <c r="X56" s="34">
        <v>2.13075690828994</v>
      </c>
      <c r="Y56" s="34">
        <v>2.1285470928226302</v>
      </c>
      <c r="Z56" s="34">
        <v>2.1296880426728602</v>
      </c>
      <c r="AA56" s="34">
        <v>2.1296096208744699</v>
      </c>
      <c r="AB56" s="33">
        <v>106.299641815562</v>
      </c>
      <c r="AC56" s="33">
        <v>106.362105111625</v>
      </c>
      <c r="AD56" s="33">
        <v>106.349109293786</v>
      </c>
      <c r="AE56" s="15">
        <v>-1.0376416733847199E-3</v>
      </c>
      <c r="AF56" s="15">
        <v>-4.5019895026454198E-4</v>
      </c>
      <c r="AG56" s="15">
        <v>-5.7239107719190305E-4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4.0900316338372735E-3</v>
      </c>
      <c r="AT56" s="12"/>
      <c r="AU56">
        <f t="shared" si="10"/>
        <v>0</v>
      </c>
      <c r="AV56">
        <f t="shared" si="11"/>
        <v>1</v>
      </c>
      <c r="AW56">
        <f t="shared" si="18"/>
        <v>1</v>
      </c>
      <c r="AX56">
        <f t="shared" si="5"/>
        <v>1</v>
      </c>
      <c r="AY56">
        <f t="shared" si="19"/>
        <v>1</v>
      </c>
      <c r="AZ56" s="28">
        <f t="shared" si="12"/>
        <v>-2.8073008210198198E-3</v>
      </c>
      <c r="BA56" s="28">
        <f t="shared" si="13"/>
        <v>4.70988059806239E-3</v>
      </c>
      <c r="BB56" s="28">
        <f t="shared" si="20"/>
        <v>1.9025797770425702E-3</v>
      </c>
      <c r="BC56" s="29">
        <f t="shared" si="21"/>
        <v>5.1260190064825756E-3</v>
      </c>
      <c r="BE56" s="29">
        <f t="shared" si="22"/>
        <v>1.9025797770425702E-3</v>
      </c>
      <c r="BF56" s="29">
        <f t="shared" si="23"/>
        <v>9.2160506403198492E-3</v>
      </c>
      <c r="BH56" s="29"/>
    </row>
    <row r="57" spans="1:60" x14ac:dyDescent="0.25">
      <c r="A57" s="1">
        <v>46105</v>
      </c>
      <c r="B57" s="33">
        <v>49.62</v>
      </c>
      <c r="C57" s="33">
        <v>105.67</v>
      </c>
      <c r="D57" s="15">
        <v>-6.42830658797219E-3</v>
      </c>
      <c r="E57" s="15">
        <v>-6.9785270007006999E-3</v>
      </c>
      <c r="F57" s="33">
        <v>0</v>
      </c>
      <c r="G57" s="33">
        <v>0.28849999999999998</v>
      </c>
      <c r="H57" s="33">
        <v>0</v>
      </c>
      <c r="I57" s="33">
        <v>0.57126999999999994</v>
      </c>
      <c r="J57" s="33">
        <v>0</v>
      </c>
      <c r="K57" s="33">
        <v>0</v>
      </c>
      <c r="L57" s="33">
        <v>49.62</v>
      </c>
      <c r="M57" s="33">
        <v>105.67</v>
      </c>
      <c r="N57" s="34">
        <v>2.1295848448206298</v>
      </c>
      <c r="O57" s="34">
        <v>2.1285470928226302</v>
      </c>
      <c r="P57" s="34">
        <v>2.1294969833231101</v>
      </c>
      <c r="Q57" s="34">
        <v>2.12957308808121</v>
      </c>
      <c r="R57" s="33">
        <v>105.61850674585899</v>
      </c>
      <c r="S57" s="33">
        <v>105.675120677427</v>
      </c>
      <c r="T57" s="33">
        <v>105.671229387791</v>
      </c>
      <c r="U57" s="15">
        <v>-4.8742126065625502E-4</v>
      </c>
      <c r="V57" s="15">
        <v>4.8457966877261503E-5</v>
      </c>
      <c r="W57" s="15">
        <v>1.16341500908552E-5</v>
      </c>
      <c r="X57" s="34">
        <v>2.1295848448206298</v>
      </c>
      <c r="Y57" s="34">
        <v>2.1285470928226302</v>
      </c>
      <c r="Z57" s="34">
        <v>2.1294969833231101</v>
      </c>
      <c r="AA57" s="34">
        <v>2.12957308808121</v>
      </c>
      <c r="AB57" s="33">
        <v>105.61850674585899</v>
      </c>
      <c r="AC57" s="33">
        <v>105.675120677427</v>
      </c>
      <c r="AD57" s="33">
        <v>105.671229387791</v>
      </c>
      <c r="AE57" s="15">
        <v>-4.8742126065625502E-4</v>
      </c>
      <c r="AF57" s="15">
        <v>4.8457966877261503E-5</v>
      </c>
      <c r="AG57" s="15">
        <v>1.16341500908552E-5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4.0900316338372735E-3</v>
      </c>
      <c r="AT57" s="12"/>
      <c r="AU57">
        <f t="shared" si="10"/>
        <v>0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5.1260190064825756E-3</v>
      </c>
      <c r="BE57" s="29">
        <f t="shared" si="22"/>
        <v>0</v>
      </c>
      <c r="BF57" s="29">
        <f t="shared" si="23"/>
        <v>9.2160506403198492E-3</v>
      </c>
      <c r="BH57" s="29"/>
    </row>
    <row r="58" spans="1:60" x14ac:dyDescent="0.25">
      <c r="A58" s="1">
        <v>46106</v>
      </c>
      <c r="B58" s="33">
        <v>49.73</v>
      </c>
      <c r="C58" s="33">
        <v>106</v>
      </c>
      <c r="D58" s="15">
        <v>2.21439446299213E-3</v>
      </c>
      <c r="E58" s="15">
        <v>3.1180636591277202E-3</v>
      </c>
      <c r="F58" s="33">
        <v>0</v>
      </c>
      <c r="G58" s="33">
        <v>0.28849999999999998</v>
      </c>
      <c r="H58" s="33">
        <v>0</v>
      </c>
      <c r="I58" s="33">
        <v>0.57126999999999994</v>
      </c>
      <c r="J58" s="33">
        <v>0</v>
      </c>
      <c r="K58" s="33">
        <v>0</v>
      </c>
      <c r="L58" s="33">
        <v>49.73</v>
      </c>
      <c r="M58" s="33">
        <v>106</v>
      </c>
      <c r="N58" s="34">
        <v>2.1315101548361102</v>
      </c>
      <c r="O58" s="34">
        <v>2.1285470928226302</v>
      </c>
      <c r="P58" s="34">
        <v>2.12957428531577</v>
      </c>
      <c r="Q58" s="34">
        <v>2.12965623389587</v>
      </c>
      <c r="R58" s="33">
        <v>105.852646926069</v>
      </c>
      <c r="S58" s="33">
        <v>105.899884980658</v>
      </c>
      <c r="T58" s="33">
        <v>105.90366967027801</v>
      </c>
      <c r="U58" s="15">
        <v>-1.39109045679175E-3</v>
      </c>
      <c r="V58" s="15">
        <v>-9.4492761805605396E-4</v>
      </c>
      <c r="W58" s="15">
        <v>-9.0918988337328102E-4</v>
      </c>
      <c r="X58" s="34">
        <v>2.1315101548361102</v>
      </c>
      <c r="Y58" s="34">
        <v>2.1285470928226302</v>
      </c>
      <c r="Z58" s="34">
        <v>2.12957428531577</v>
      </c>
      <c r="AA58" s="34">
        <v>2.12965623389587</v>
      </c>
      <c r="AB58" s="33">
        <v>105.852646926069</v>
      </c>
      <c r="AC58" s="33">
        <v>105.899884980658</v>
      </c>
      <c r="AD58" s="33">
        <v>105.90366967027801</v>
      </c>
      <c r="AE58" s="15">
        <v>-1.39109045679175E-3</v>
      </c>
      <c r="AF58" s="15">
        <v>-9.4492761805605396E-4</v>
      </c>
      <c r="AG58" s="15">
        <v>-9.0918988337328102E-4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4.0900316338372735E-3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5.1260190064825756E-3</v>
      </c>
      <c r="BE58" s="29">
        <f t="shared" si="22"/>
        <v>0</v>
      </c>
      <c r="BF58" s="29">
        <f t="shared" si="23"/>
        <v>9.2160506403198492E-3</v>
      </c>
      <c r="BH58" s="29"/>
    </row>
    <row r="59" spans="1:60" x14ac:dyDescent="0.25">
      <c r="A59" s="1">
        <v>46107</v>
      </c>
      <c r="B59" s="33">
        <v>49.63</v>
      </c>
      <c r="C59" s="33">
        <v>105.6</v>
      </c>
      <c r="D59" s="15">
        <v>-2.0128831272976399E-3</v>
      </c>
      <c r="E59" s="15">
        <v>-3.7807228399060399E-3</v>
      </c>
      <c r="F59" s="33">
        <v>0</v>
      </c>
      <c r="G59" s="33">
        <v>0.28849999999999998</v>
      </c>
      <c r="H59" s="33">
        <v>0</v>
      </c>
      <c r="I59" s="33">
        <v>0.57126999999999994</v>
      </c>
      <c r="J59" s="33">
        <v>0</v>
      </c>
      <c r="K59" s="33">
        <v>0</v>
      </c>
      <c r="L59" s="33">
        <v>49.63</v>
      </c>
      <c r="M59" s="33">
        <v>105.6</v>
      </c>
      <c r="N59" s="34">
        <v>2.1277453153334598</v>
      </c>
      <c r="O59" s="34">
        <v>2.1285470928226302</v>
      </c>
      <c r="P59" s="34">
        <v>2.1292412471279998</v>
      </c>
      <c r="Q59" s="34">
        <v>2.1295306891794601</v>
      </c>
      <c r="R59" s="33">
        <v>105.639792216787</v>
      </c>
      <c r="S59" s="33">
        <v>105.690771780221</v>
      </c>
      <c r="T59" s="33">
        <v>105.69483888825199</v>
      </c>
      <c r="U59" s="15">
        <v>3.7674925581682801E-4</v>
      </c>
      <c r="V59" s="15">
        <v>8.5921202370818801E-4</v>
      </c>
      <c r="W59" s="15">
        <v>8.9769248619790795E-4</v>
      </c>
      <c r="X59" s="34">
        <v>2.1277453153334598</v>
      </c>
      <c r="Y59" s="34">
        <v>2.1285470928226302</v>
      </c>
      <c r="Z59" s="34">
        <v>2.1292412471279998</v>
      </c>
      <c r="AA59" s="34">
        <v>2.1295306891794601</v>
      </c>
      <c r="AB59" s="33">
        <v>105.639792216787</v>
      </c>
      <c r="AC59" s="33">
        <v>105.690771780221</v>
      </c>
      <c r="AD59" s="33">
        <v>105.69483888825199</v>
      </c>
      <c r="AE59" s="15">
        <v>3.7674925581682801E-4</v>
      </c>
      <c r="AF59" s="15">
        <v>8.5921202370818801E-4</v>
      </c>
      <c r="AG59" s="15">
        <v>8.9769248619790795E-4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4.0900316338372735E-3</v>
      </c>
      <c r="AT59" s="12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5.1260190064825756E-3</v>
      </c>
      <c r="BE59" s="29">
        <f t="shared" si="22"/>
        <v>0</v>
      </c>
      <c r="BF59" s="29">
        <f t="shared" si="23"/>
        <v>9.2160506403198492E-3</v>
      </c>
      <c r="BH59" s="29"/>
    </row>
    <row r="60" spans="1:60" x14ac:dyDescent="0.25">
      <c r="A60" s="1">
        <v>46108</v>
      </c>
      <c r="B60" s="33">
        <v>49.64</v>
      </c>
      <c r="C60" s="33">
        <v>105.64</v>
      </c>
      <c r="D60" s="15">
        <v>2.01470737056991E-4</v>
      </c>
      <c r="E60" s="15">
        <v>3.7871615677046903E-4</v>
      </c>
      <c r="F60" s="33">
        <v>0</v>
      </c>
      <c r="G60" s="33">
        <v>0.28849999999999998</v>
      </c>
      <c r="H60" s="33">
        <v>0</v>
      </c>
      <c r="I60" s="33">
        <v>0.57126999999999994</v>
      </c>
      <c r="J60" s="33">
        <v>0</v>
      </c>
      <c r="K60" s="33">
        <v>0</v>
      </c>
      <c r="L60" s="33">
        <v>49.64</v>
      </c>
      <c r="M60" s="33">
        <v>105.64</v>
      </c>
      <c r="N60" s="34">
        <v>2.1281224818694602</v>
      </c>
      <c r="O60" s="34">
        <v>2.1285470928226302</v>
      </c>
      <c r="P60" s="34">
        <v>2.1290868551243198</v>
      </c>
      <c r="Q60" s="34">
        <v>2.1294656500275799</v>
      </c>
      <c r="R60" s="33">
        <v>105.66107768771499</v>
      </c>
      <c r="S60" s="33">
        <v>105.695535507434</v>
      </c>
      <c r="T60" s="33">
        <v>105.70990341086799</v>
      </c>
      <c r="U60" s="15">
        <v>1.9950383610340899E-4</v>
      </c>
      <c r="V60" s="15">
        <v>5.2556716104609205E-4</v>
      </c>
      <c r="W60" s="15">
        <v>6.6149463320874498E-4</v>
      </c>
      <c r="X60" s="34">
        <v>2.1281224818694602</v>
      </c>
      <c r="Y60" s="34">
        <v>2.1285470928226302</v>
      </c>
      <c r="Z60" s="34">
        <v>2.1290868551243198</v>
      </c>
      <c r="AA60" s="34">
        <v>2.1294656500275799</v>
      </c>
      <c r="AB60" s="33">
        <v>105.66107768771499</v>
      </c>
      <c r="AC60" s="33">
        <v>105.695535507434</v>
      </c>
      <c r="AD60" s="33">
        <v>105.70990341086799</v>
      </c>
      <c r="AE60" s="15">
        <v>1.9950383610340899E-4</v>
      </c>
      <c r="AF60" s="15">
        <v>5.2556716104609205E-4</v>
      </c>
      <c r="AG60" s="15">
        <v>6.6149463320874498E-4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4.0900316338372735E-3</v>
      </c>
      <c r="AT60" s="12"/>
      <c r="AU60">
        <f t="shared" si="10"/>
        <v>0</v>
      </c>
      <c r="AV60">
        <f t="shared" si="11"/>
        <v>0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5.1260190064825756E-3</v>
      </c>
      <c r="BE60" s="29">
        <f t="shared" si="22"/>
        <v>0</v>
      </c>
      <c r="BF60" s="29">
        <f t="shared" si="23"/>
        <v>9.2160506403198492E-3</v>
      </c>
      <c r="BH60" s="29"/>
    </row>
    <row r="61" spans="1:60" x14ac:dyDescent="0.25">
      <c r="A61" s="1">
        <v>46111</v>
      </c>
      <c r="B61" s="33">
        <v>49.77</v>
      </c>
      <c r="C61" s="33">
        <v>105.95</v>
      </c>
      <c r="D61" s="15">
        <v>2.6154325340564701E-3</v>
      </c>
      <c r="E61" s="15">
        <v>2.9301972853766102E-3</v>
      </c>
      <c r="F61" s="33">
        <v>0</v>
      </c>
      <c r="G61" s="33">
        <v>0.28849999999999998</v>
      </c>
      <c r="H61" s="33">
        <v>0</v>
      </c>
      <c r="I61" s="33">
        <v>0.57126999999999994</v>
      </c>
      <c r="J61" s="33">
        <v>0</v>
      </c>
      <c r="K61" s="33">
        <v>0</v>
      </c>
      <c r="L61" s="33">
        <v>49.77</v>
      </c>
      <c r="M61" s="33">
        <v>105.95</v>
      </c>
      <c r="N61" s="34">
        <v>2.1287924452481399</v>
      </c>
      <c r="O61" s="34">
        <v>2.1285470928226302</v>
      </c>
      <c r="P61" s="34">
        <v>2.1288259646749301</v>
      </c>
      <c r="Q61" s="34">
        <v>2.1294869510790599</v>
      </c>
      <c r="R61" s="33">
        <v>105.93778880978201</v>
      </c>
      <c r="S61" s="33">
        <v>105.964652779537</v>
      </c>
      <c r="T61" s="33">
        <v>105.98350540187199</v>
      </c>
      <c r="U61" s="15">
        <v>-1.15260915216883E-4</v>
      </c>
      <c r="V61" s="15">
        <v>1.3828944217535199E-4</v>
      </c>
      <c r="W61" s="15">
        <v>3.1618787306401702E-4</v>
      </c>
      <c r="X61" s="34">
        <v>2.1287924452481399</v>
      </c>
      <c r="Y61" s="34">
        <v>2.1285470928226302</v>
      </c>
      <c r="Z61" s="34">
        <v>2.1288259646749301</v>
      </c>
      <c r="AA61" s="34">
        <v>2.1294869510790599</v>
      </c>
      <c r="AB61" s="33">
        <v>105.93778880978201</v>
      </c>
      <c r="AC61" s="33">
        <v>105.964652779537</v>
      </c>
      <c r="AD61" s="33">
        <v>105.98350540187199</v>
      </c>
      <c r="AE61" s="15">
        <v>-1.15260915216883E-4</v>
      </c>
      <c r="AF61" s="15">
        <v>1.3828944217535199E-4</v>
      </c>
      <c r="AG61" s="15">
        <v>3.1618787306401702E-4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4.0900316338372735E-3</v>
      </c>
      <c r="AT61" s="12"/>
      <c r="AU61">
        <f t="shared" si="10"/>
        <v>0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5.1260190064825756E-3</v>
      </c>
      <c r="BE61" s="29">
        <f t="shared" si="22"/>
        <v>0</v>
      </c>
      <c r="BF61" s="29">
        <f t="shared" si="23"/>
        <v>9.2160506403198492E-3</v>
      </c>
      <c r="BH61" s="29"/>
    </row>
    <row r="62" spans="1:60" x14ac:dyDescent="0.25">
      <c r="A62" s="1">
        <v>46112</v>
      </c>
      <c r="B62" s="33">
        <v>49.89</v>
      </c>
      <c r="C62" s="33">
        <v>106.15</v>
      </c>
      <c r="D62" s="15">
        <v>2.4081890024830899E-3</v>
      </c>
      <c r="E62" s="15">
        <v>1.88590343495704E-3</v>
      </c>
      <c r="F62" s="33">
        <v>0</v>
      </c>
      <c r="G62" s="33">
        <v>0.28849999999999998</v>
      </c>
      <c r="H62" s="33">
        <v>0</v>
      </c>
      <c r="I62" s="33">
        <v>0.57126999999999994</v>
      </c>
      <c r="J62" s="33">
        <v>0</v>
      </c>
      <c r="K62" s="33">
        <v>0</v>
      </c>
      <c r="L62" s="33">
        <v>49.89</v>
      </c>
      <c r="M62" s="33">
        <v>106.15</v>
      </c>
      <c r="N62" s="34">
        <v>2.1276808979755399</v>
      </c>
      <c r="O62" s="34">
        <v>2.1285470928226302</v>
      </c>
      <c r="P62" s="34">
        <v>2.12860239773828</v>
      </c>
      <c r="Q62" s="34">
        <v>2.1293887825390998</v>
      </c>
      <c r="R62" s="33">
        <v>106.193214460921</v>
      </c>
      <c r="S62" s="33">
        <v>106.20712737763201</v>
      </c>
      <c r="T62" s="33">
        <v>106.240103989334</v>
      </c>
      <c r="U62" s="15">
        <v>4.0702465230920001E-4</v>
      </c>
      <c r="V62" s="15">
        <v>5.3803119034671497E-4</v>
      </c>
      <c r="W62" s="15">
        <v>8.4847639365010397E-4</v>
      </c>
      <c r="X62" s="34">
        <v>2.1276808979755399</v>
      </c>
      <c r="Y62" s="34">
        <v>2.1285470928226302</v>
      </c>
      <c r="Z62" s="34">
        <v>2.12860239773828</v>
      </c>
      <c r="AA62" s="34">
        <v>2.1293887825390998</v>
      </c>
      <c r="AB62" s="33">
        <v>106.193214460921</v>
      </c>
      <c r="AC62" s="33">
        <v>106.20712737763201</v>
      </c>
      <c r="AD62" s="33">
        <v>106.240103989334</v>
      </c>
      <c r="AE62" s="15">
        <v>4.0702465230920001E-4</v>
      </c>
      <c r="AF62" s="15">
        <v>5.3803119034671497E-4</v>
      </c>
      <c r="AG62" s="15">
        <v>8.4847639365010397E-4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4.0900316338372735E-3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5.1260190064825756E-3</v>
      </c>
      <c r="BE62" s="29">
        <f t="shared" si="22"/>
        <v>0</v>
      </c>
      <c r="BF62" s="29">
        <f t="shared" si="23"/>
        <v>9.2160506403198492E-3</v>
      </c>
      <c r="BH62" s="29"/>
    </row>
    <row r="63" spans="1:60" x14ac:dyDescent="0.25">
      <c r="A63" s="1">
        <v>46113</v>
      </c>
      <c r="B63" s="33">
        <v>49.91</v>
      </c>
      <c r="C63" s="33">
        <v>106.31</v>
      </c>
      <c r="D63" s="15">
        <v>4.0080160857183301E-4</v>
      </c>
      <c r="E63" s="15">
        <v>1.5061661512486299E-3</v>
      </c>
      <c r="F63" s="33">
        <v>0.14149999999999999</v>
      </c>
      <c r="G63" s="33">
        <v>0.42999999999999899</v>
      </c>
      <c r="H63" s="33">
        <v>0.28211999999999998</v>
      </c>
      <c r="I63" s="33">
        <v>0.85338999999999898</v>
      </c>
      <c r="J63" s="33">
        <v>0</v>
      </c>
      <c r="K63" s="33">
        <v>0</v>
      </c>
      <c r="L63" s="33">
        <v>49.91</v>
      </c>
      <c r="M63" s="33">
        <v>106.31</v>
      </c>
      <c r="N63" s="34">
        <v>2.1300340613103499</v>
      </c>
      <c r="O63" s="34">
        <v>2.1285470928226302</v>
      </c>
      <c r="P63" s="34">
        <v>2.1288148748858302</v>
      </c>
      <c r="Q63" s="34">
        <v>2.12935499025164</v>
      </c>
      <c r="R63" s="33">
        <v>106.235785402777</v>
      </c>
      <c r="S63" s="33">
        <v>106.238545671117</v>
      </c>
      <c r="T63" s="33">
        <v>106.277794136526</v>
      </c>
      <c r="U63" s="15">
        <v>-6.9833989036759104E-4</v>
      </c>
      <c r="V63" s="15">
        <v>-6.7235775571514796E-4</v>
      </c>
      <c r="W63" s="15">
        <v>-3.0298883198403198E-4</v>
      </c>
      <c r="X63" s="34">
        <v>2.1300340613103499</v>
      </c>
      <c r="Y63" s="34">
        <v>2.1285470928226302</v>
      </c>
      <c r="Z63" s="34">
        <v>2.1288148748858302</v>
      </c>
      <c r="AA63" s="34">
        <v>2.12935499025164</v>
      </c>
      <c r="AB63" s="33">
        <v>106.235785402777</v>
      </c>
      <c r="AC63" s="33">
        <v>106.238545671117</v>
      </c>
      <c r="AD63" s="33">
        <v>106.277794136526</v>
      </c>
      <c r="AE63" s="15">
        <v>-6.9833989036759104E-4</v>
      </c>
      <c r="AF63" s="15">
        <v>-6.7235775571514796E-4</v>
      </c>
      <c r="AG63" s="15">
        <v>-3.0298883198403198E-4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4.0900316338372735E-3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5.1260190064825756E-3</v>
      </c>
      <c r="BE63" s="29">
        <f t="shared" si="22"/>
        <v>0</v>
      </c>
      <c r="BF63" s="29">
        <f t="shared" si="23"/>
        <v>9.2160506403198492E-3</v>
      </c>
      <c r="BH63" s="29"/>
    </row>
    <row r="64" spans="1:60" x14ac:dyDescent="0.25">
      <c r="A64" s="1">
        <v>46114</v>
      </c>
      <c r="B64" s="33">
        <v>50</v>
      </c>
      <c r="C64" s="33">
        <v>106.49</v>
      </c>
      <c r="D64" s="15">
        <v>1.80162194662822E-3</v>
      </c>
      <c r="E64" s="15">
        <v>1.69172972677848E-3</v>
      </c>
      <c r="F64" s="33">
        <v>0</v>
      </c>
      <c r="G64" s="33">
        <v>0.42999999999999899</v>
      </c>
      <c r="H64" s="33">
        <v>0</v>
      </c>
      <c r="I64" s="33">
        <v>0.85338999999999898</v>
      </c>
      <c r="J64" s="33">
        <v>0</v>
      </c>
      <c r="K64" s="33">
        <v>0</v>
      </c>
      <c r="L64" s="33">
        <v>50</v>
      </c>
      <c r="M64" s="33">
        <v>106.49</v>
      </c>
      <c r="N64" s="34">
        <v>2.1297999999999999</v>
      </c>
      <c r="O64" s="34">
        <v>2.1285470928226302</v>
      </c>
      <c r="P64" s="34">
        <v>2.1290733936992901</v>
      </c>
      <c r="Q64" s="34">
        <v>2.1294590669617999</v>
      </c>
      <c r="R64" s="33">
        <v>106.427354641131</v>
      </c>
      <c r="S64" s="33">
        <v>106.440743744291</v>
      </c>
      <c r="T64" s="33">
        <v>106.467749512582</v>
      </c>
      <c r="U64" s="15">
        <v>-5.8844767051789097E-4</v>
      </c>
      <c r="V64" s="15">
        <v>-4.62650491148384E-4</v>
      </c>
      <c r="W64" s="15">
        <v>-2.08966215595804E-4</v>
      </c>
      <c r="X64" s="34">
        <v>2.1297999999999999</v>
      </c>
      <c r="Y64" s="34">
        <v>2.1285470928226302</v>
      </c>
      <c r="Z64" s="34">
        <v>2.1290733936992901</v>
      </c>
      <c r="AA64" s="34">
        <v>2.1294590669617999</v>
      </c>
      <c r="AB64" s="33">
        <v>106.427354641131</v>
      </c>
      <c r="AC64" s="33">
        <v>106.440743744291</v>
      </c>
      <c r="AD64" s="33">
        <v>106.467749512582</v>
      </c>
      <c r="AE64" s="15">
        <v>-5.8844767051789097E-4</v>
      </c>
      <c r="AF64" s="15">
        <v>-4.62650491148384E-4</v>
      </c>
      <c r="AG64" s="15">
        <v>-2.08966215595804E-4</v>
      </c>
      <c r="AI64" s="12"/>
      <c r="AJ64">
        <f t="shared" si="6"/>
        <v>0</v>
      </c>
      <c r="AK64">
        <f t="shared" si="7"/>
        <v>0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4.0900316338372735E-3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5.1260190064825756E-3</v>
      </c>
      <c r="BE64" s="29">
        <f t="shared" si="22"/>
        <v>0</v>
      </c>
      <c r="BF64" s="29">
        <f t="shared" si="23"/>
        <v>9.2160506403198492E-3</v>
      </c>
      <c r="BH64" s="29"/>
    </row>
    <row r="65" spans="1:60" x14ac:dyDescent="0.25">
      <c r="A65" s="1">
        <v>46118</v>
      </c>
      <c r="B65" s="33">
        <v>49.96</v>
      </c>
      <c r="C65" s="33">
        <v>106.45</v>
      </c>
      <c r="D65" s="15">
        <v>-8.0032017076915498E-4</v>
      </c>
      <c r="E65" s="15">
        <v>-3.7569268780380101E-4</v>
      </c>
      <c r="F65" s="33">
        <v>0</v>
      </c>
      <c r="G65" s="33">
        <v>0.42999999999999899</v>
      </c>
      <c r="H65" s="33">
        <v>0</v>
      </c>
      <c r="I65" s="33">
        <v>0.85338999999999898</v>
      </c>
      <c r="J65" s="33">
        <v>0</v>
      </c>
      <c r="K65" s="33">
        <v>0</v>
      </c>
      <c r="L65" s="33">
        <v>49.96</v>
      </c>
      <c r="M65" s="33">
        <v>106.45</v>
      </c>
      <c r="N65" s="34">
        <v>2.1307045636509199</v>
      </c>
      <c r="O65" s="34">
        <v>2.1285470928226302</v>
      </c>
      <c r="P65" s="34">
        <v>2.1294731673334502</v>
      </c>
      <c r="Q65" s="34">
        <v>2.1296355134987799</v>
      </c>
      <c r="R65" s="33">
        <v>106.34221275741901</v>
      </c>
      <c r="S65" s="33">
        <v>106.368506749216</v>
      </c>
      <c r="T65" s="33">
        <v>106.387774985411</v>
      </c>
      <c r="U65" s="15">
        <v>-1.0130751534830999E-3</v>
      </c>
      <c r="V65" s="15">
        <v>-7.6584744448559704E-4</v>
      </c>
      <c r="W65" s="15">
        <v>-5.8471778672982604E-4</v>
      </c>
      <c r="X65" s="34">
        <v>2.1307045636509199</v>
      </c>
      <c r="Y65" s="34">
        <v>2.1285470928226302</v>
      </c>
      <c r="Z65" s="34">
        <v>2.1294731673334502</v>
      </c>
      <c r="AA65" s="34">
        <v>2.1296355134987799</v>
      </c>
      <c r="AB65" s="33">
        <v>106.34221275741901</v>
      </c>
      <c r="AC65" s="33">
        <v>106.368506749216</v>
      </c>
      <c r="AD65" s="33">
        <v>106.387774985411</v>
      </c>
      <c r="AE65" s="15">
        <v>-1.0130751534830999E-3</v>
      </c>
      <c r="AF65" s="15">
        <v>-7.6584744448559704E-4</v>
      </c>
      <c r="AG65" s="15">
        <v>-5.8471778672982604E-4</v>
      </c>
      <c r="AI65" s="12"/>
      <c r="AJ65">
        <f t="shared" si="6"/>
        <v>0</v>
      </c>
      <c r="AK65">
        <f t="shared" si="7"/>
        <v>0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4.0900316338372735E-3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5.1260190064825756E-3</v>
      </c>
      <c r="BE65" s="29">
        <f t="shared" si="22"/>
        <v>0</v>
      </c>
      <c r="BF65" s="29">
        <f t="shared" si="23"/>
        <v>9.2160506403198492E-3</v>
      </c>
      <c r="BH65" s="29"/>
    </row>
    <row r="66" spans="1:60" x14ac:dyDescent="0.25">
      <c r="A66" s="1">
        <v>46119</v>
      </c>
      <c r="B66" s="33">
        <v>50.01</v>
      </c>
      <c r="C66" s="33">
        <v>106.57</v>
      </c>
      <c r="D66" s="15">
        <v>1.0003001734354301E-3</v>
      </c>
      <c r="E66" s="15">
        <v>1.12665489337627E-3</v>
      </c>
      <c r="F66" s="33">
        <v>0</v>
      </c>
      <c r="G66" s="33">
        <v>0.42999999999999899</v>
      </c>
      <c r="H66" s="33">
        <v>0</v>
      </c>
      <c r="I66" s="33">
        <v>0.85338999999999898</v>
      </c>
      <c r="J66" s="33">
        <v>0</v>
      </c>
      <c r="K66" s="33">
        <v>0</v>
      </c>
      <c r="L66" s="33">
        <v>50.01</v>
      </c>
      <c r="M66" s="33">
        <v>106.57</v>
      </c>
      <c r="N66" s="34">
        <v>2.1309738052389502</v>
      </c>
      <c r="O66" s="34">
        <v>2.1285470928226302</v>
      </c>
      <c r="P66" s="34">
        <v>2.1294948570283498</v>
      </c>
      <c r="Q66" s="34">
        <v>2.1295914498506101</v>
      </c>
      <c r="R66" s="33">
        <v>106.44864011206</v>
      </c>
      <c r="S66" s="33">
        <v>106.494953098346</v>
      </c>
      <c r="T66" s="33">
        <v>106.50307203007399</v>
      </c>
      <c r="U66" s="15">
        <v>-1.13942987342406E-3</v>
      </c>
      <c r="V66" s="15">
        <v>-7.0445095418915403E-4</v>
      </c>
      <c r="W66" s="15">
        <v>-6.2821614659537605E-4</v>
      </c>
      <c r="X66" s="34">
        <v>2.1309738052389502</v>
      </c>
      <c r="Y66" s="34">
        <v>2.1285470928226302</v>
      </c>
      <c r="Z66" s="34">
        <v>2.1294948570283498</v>
      </c>
      <c r="AA66" s="34">
        <v>2.1295914498506101</v>
      </c>
      <c r="AB66" s="33">
        <v>106.44864011206</v>
      </c>
      <c r="AC66" s="33">
        <v>106.494953098346</v>
      </c>
      <c r="AD66" s="33">
        <v>106.50307203007399</v>
      </c>
      <c r="AE66" s="15">
        <v>-1.13942987342406E-3</v>
      </c>
      <c r="AF66" s="15">
        <v>-7.0445095418915403E-4</v>
      </c>
      <c r="AG66" s="15">
        <v>-6.2821614659537605E-4</v>
      </c>
      <c r="AI66" s="12"/>
      <c r="AJ66">
        <f t="shared" si="6"/>
        <v>0</v>
      </c>
      <c r="AK66">
        <f t="shared" si="7"/>
        <v>0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4.0900316338372735E-3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5.1260190064825756E-3</v>
      </c>
      <c r="BE66" s="29">
        <f t="shared" si="22"/>
        <v>0</v>
      </c>
      <c r="BF66" s="29">
        <f t="shared" si="23"/>
        <v>9.2160506403198492E-3</v>
      </c>
      <c r="BH66" s="29"/>
    </row>
    <row r="67" spans="1:60" x14ac:dyDescent="0.25">
      <c r="A67" s="1">
        <v>46120</v>
      </c>
      <c r="B67" s="33">
        <v>50.13</v>
      </c>
      <c r="C67" s="33">
        <v>106.76</v>
      </c>
      <c r="D67" s="15">
        <v>2.3966458445998898E-3</v>
      </c>
      <c r="E67" s="15">
        <v>1.7812783034586201E-3</v>
      </c>
      <c r="F67" s="33">
        <v>0</v>
      </c>
      <c r="G67" s="33">
        <v>0.42999999999999899</v>
      </c>
      <c r="H67" s="33">
        <v>0</v>
      </c>
      <c r="I67" s="33">
        <v>0.85338999999999898</v>
      </c>
      <c r="J67" s="33">
        <v>0</v>
      </c>
      <c r="K67" s="33">
        <v>0</v>
      </c>
      <c r="L67" s="33">
        <v>50.13</v>
      </c>
      <c r="M67" s="33">
        <v>106.76</v>
      </c>
      <c r="N67" s="34">
        <v>2.1296628765210399</v>
      </c>
      <c r="O67" s="34">
        <v>2.1285470928226302</v>
      </c>
      <c r="P67" s="34">
        <v>2.1295026601984</v>
      </c>
      <c r="Q67" s="34">
        <v>2.1294998217607599</v>
      </c>
      <c r="R67" s="33">
        <v>106.704065763198</v>
      </c>
      <c r="S67" s="33">
        <v>106.751577182831</v>
      </c>
      <c r="T67" s="33">
        <v>106.756419381011</v>
      </c>
      <c r="U67" s="15">
        <v>-5.2406233228295001E-4</v>
      </c>
      <c r="V67" s="15">
        <v>-7.8897990299581501E-5</v>
      </c>
      <c r="W67" s="15">
        <v>-3.3539518875808E-5</v>
      </c>
      <c r="X67" s="34">
        <v>2.1296628765210399</v>
      </c>
      <c r="Y67" s="34">
        <v>2.1285470928226302</v>
      </c>
      <c r="Z67" s="34">
        <v>2.1295026601984</v>
      </c>
      <c r="AA67" s="34">
        <v>2.1294998217607599</v>
      </c>
      <c r="AB67" s="33">
        <v>106.704065763198</v>
      </c>
      <c r="AC67" s="33">
        <v>106.751577182831</v>
      </c>
      <c r="AD67" s="33">
        <v>106.756419381011</v>
      </c>
      <c r="AE67" s="15">
        <v>-5.2406233228295001E-4</v>
      </c>
      <c r="AF67" s="15">
        <v>-7.8897990299581501E-5</v>
      </c>
      <c r="AG67" s="15">
        <v>-3.3539518875808E-5</v>
      </c>
      <c r="AI67" s="12"/>
      <c r="AJ67">
        <f t="shared" si="6"/>
        <v>0</v>
      </c>
      <c r="AK67">
        <f t="shared" si="7"/>
        <v>0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4.0900316338372735E-3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5.1260190064825756E-3</v>
      </c>
      <c r="BE67" s="29">
        <f t="shared" si="22"/>
        <v>0</v>
      </c>
      <c r="BF67" s="29">
        <f t="shared" si="23"/>
        <v>9.2160506403198492E-3</v>
      </c>
      <c r="BH67" s="29"/>
    </row>
    <row r="68" spans="1:60" x14ac:dyDescent="0.25">
      <c r="A68" s="1">
        <v>46121</v>
      </c>
      <c r="B68" s="33">
        <v>50.26</v>
      </c>
      <c r="C68" s="33">
        <v>107</v>
      </c>
      <c r="D68" s="15">
        <v>2.5899008400340098E-3</v>
      </c>
      <c r="E68" s="15">
        <v>2.2455099255828202E-3</v>
      </c>
      <c r="F68" s="33">
        <v>0</v>
      </c>
      <c r="G68" s="33">
        <v>0.42999999999999899</v>
      </c>
      <c r="H68" s="33">
        <v>0</v>
      </c>
      <c r="I68" s="33">
        <v>0.85338999999999898</v>
      </c>
      <c r="J68" s="33">
        <v>0</v>
      </c>
      <c r="K68" s="33">
        <v>0</v>
      </c>
      <c r="L68" s="33">
        <v>50.26</v>
      </c>
      <c r="M68" s="33">
        <v>107</v>
      </c>
      <c r="N68" s="34">
        <v>2.1289295662554699</v>
      </c>
      <c r="O68" s="34">
        <v>2.1285470928226302</v>
      </c>
      <c r="P68" s="34">
        <v>2.1292446013403299</v>
      </c>
      <c r="Q68" s="34">
        <v>2.1294094433280502</v>
      </c>
      <c r="R68" s="33">
        <v>106.980776885265</v>
      </c>
      <c r="S68" s="33">
        <v>107.02880370157099</v>
      </c>
      <c r="T68" s="33">
        <v>107.028661041695</v>
      </c>
      <c r="U68" s="15">
        <v>-1.7967141783176201E-4</v>
      </c>
      <c r="V68" s="15">
        <v>2.6915724656998102E-4</v>
      </c>
      <c r="W68" s="15">
        <v>2.6782433462521198E-4</v>
      </c>
      <c r="X68" s="34">
        <v>2.1289295662554699</v>
      </c>
      <c r="Y68" s="34">
        <v>2.1285470928226302</v>
      </c>
      <c r="Z68" s="34">
        <v>2.1292446013403299</v>
      </c>
      <c r="AA68" s="34">
        <v>2.1294094433280502</v>
      </c>
      <c r="AB68" s="33">
        <v>106.980776885265</v>
      </c>
      <c r="AC68" s="33">
        <v>107.02880370157099</v>
      </c>
      <c r="AD68" s="33">
        <v>107.028661041695</v>
      </c>
      <c r="AE68" s="15">
        <v>-1.7967141783176201E-4</v>
      </c>
      <c r="AF68" s="15">
        <v>2.6915724656998102E-4</v>
      </c>
      <c r="AG68" s="15">
        <v>2.6782433462521198E-4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4.0900316338372735E-3</v>
      </c>
      <c r="AT68" s="12"/>
      <c r="AU68">
        <f t="shared" si="10"/>
        <v>0</v>
      </c>
      <c r="AV68">
        <f t="shared" si="11"/>
        <v>0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5.1260190064825756E-3</v>
      </c>
      <c r="BE68" s="29">
        <f t="shared" si="22"/>
        <v>0</v>
      </c>
      <c r="BF68" s="29">
        <f t="shared" si="23"/>
        <v>9.2160506403198492E-3</v>
      </c>
      <c r="BH68" s="29"/>
    </row>
    <row r="69" spans="1:60" x14ac:dyDescent="0.25">
      <c r="A69" s="1">
        <v>46122</v>
      </c>
      <c r="B69" s="33">
        <v>50.24</v>
      </c>
      <c r="C69" s="33">
        <v>106.84</v>
      </c>
      <c r="D69" s="15">
        <v>-3.98009955502813E-4</v>
      </c>
      <c r="E69" s="15">
        <v>-1.49644622014607E-3</v>
      </c>
      <c r="F69" s="33">
        <v>0</v>
      </c>
      <c r="G69" s="33">
        <v>0.42999999999999899</v>
      </c>
      <c r="H69" s="33">
        <v>0</v>
      </c>
      <c r="I69" s="33">
        <v>0.85338999999999898</v>
      </c>
      <c r="J69" s="33">
        <v>0</v>
      </c>
      <c r="K69" s="33">
        <v>0</v>
      </c>
      <c r="L69" s="33">
        <v>50.24</v>
      </c>
      <c r="M69" s="33">
        <v>106.84</v>
      </c>
      <c r="N69" s="34">
        <v>2.1265923566878899</v>
      </c>
      <c r="O69" s="34">
        <v>2.1285470928226302</v>
      </c>
      <c r="P69" s="34">
        <v>2.1291293054757698</v>
      </c>
      <c r="Q69" s="34">
        <v>2.1291852763018899</v>
      </c>
      <c r="R69" s="33">
        <v>106.938205943409</v>
      </c>
      <c r="S69" s="33">
        <v>106.97324877133801</v>
      </c>
      <c r="T69" s="33">
        <v>106.98153043280099</v>
      </c>
      <c r="U69" s="15">
        <v>9.1876484681141404E-4</v>
      </c>
      <c r="V69" s="15">
        <v>1.2464034792477199E-3</v>
      </c>
      <c r="W69" s="15">
        <v>1.32381854328926E-3</v>
      </c>
      <c r="X69" s="34">
        <v>2.1265923566878899</v>
      </c>
      <c r="Y69" s="34">
        <v>2.1285470928226302</v>
      </c>
      <c r="Z69" s="34">
        <v>2.1291293054757698</v>
      </c>
      <c r="AA69" s="34">
        <v>2.1291852763018899</v>
      </c>
      <c r="AB69" s="33">
        <v>106.938205943409</v>
      </c>
      <c r="AC69" s="33">
        <v>106.97324877133801</v>
      </c>
      <c r="AD69" s="33">
        <v>106.98153043280099</v>
      </c>
      <c r="AE69" s="15">
        <v>9.1876484681141404E-4</v>
      </c>
      <c r="AF69" s="15">
        <v>1.2464034792477199E-3</v>
      </c>
      <c r="AG69" s="15">
        <v>1.32381854328926E-3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4.0900316338372735E-3</v>
      </c>
      <c r="AT69" s="12"/>
      <c r="AU69">
        <f t="shared" si="10"/>
        <v>1</v>
      </c>
      <c r="AV69">
        <f t="shared" si="11"/>
        <v>0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5.1260190064825756E-3</v>
      </c>
      <c r="BE69" s="29">
        <f t="shared" si="22"/>
        <v>0</v>
      </c>
      <c r="BF69" s="29">
        <f t="shared" si="23"/>
        <v>9.2160506403198492E-3</v>
      </c>
      <c r="BH69" s="29"/>
    </row>
    <row r="70" spans="1:60" x14ac:dyDescent="0.25">
      <c r="A70" s="1">
        <v>46125</v>
      </c>
      <c r="B70" s="33">
        <v>50.3</v>
      </c>
      <c r="C70" s="33">
        <v>107</v>
      </c>
      <c r="D70" s="15">
        <v>1.1935549457502701E-3</v>
      </c>
      <c r="E70" s="15">
        <v>1.4964462201460099E-3</v>
      </c>
      <c r="F70" s="33">
        <v>0</v>
      </c>
      <c r="G70" s="33">
        <v>0.42999999999999899</v>
      </c>
      <c r="H70" s="33">
        <v>0</v>
      </c>
      <c r="I70" s="33">
        <v>0.85338999999999898</v>
      </c>
      <c r="J70" s="33">
        <v>0</v>
      </c>
      <c r="K70" s="33">
        <v>0</v>
      </c>
      <c r="L70" s="33">
        <v>50.3</v>
      </c>
      <c r="M70" s="33">
        <v>107</v>
      </c>
      <c r="N70" s="34">
        <v>2.12723658051689</v>
      </c>
      <c r="O70" s="34">
        <v>2.1285470928226302</v>
      </c>
      <c r="P70" s="34">
        <v>2.12904071534052</v>
      </c>
      <c r="Q70" s="34">
        <v>2.1290637852324199</v>
      </c>
      <c r="R70" s="33">
        <v>107.06591876897799</v>
      </c>
      <c r="S70" s="33">
        <v>107.09520406543101</v>
      </c>
      <c r="T70" s="33">
        <v>107.098019397985</v>
      </c>
      <c r="U70" s="15">
        <v>6.1587357241568296E-4</v>
      </c>
      <c r="V70" s="15">
        <v>8.8936202118629901E-4</v>
      </c>
      <c r="W70" s="15">
        <v>9.1564980478678402E-4</v>
      </c>
      <c r="X70" s="34">
        <v>2.12723658051689</v>
      </c>
      <c r="Y70" s="34">
        <v>2.1285470928226302</v>
      </c>
      <c r="Z70" s="34">
        <v>2.12904071534052</v>
      </c>
      <c r="AA70" s="34">
        <v>2.1290637852324199</v>
      </c>
      <c r="AB70" s="33">
        <v>107.06591876897799</v>
      </c>
      <c r="AC70" s="33">
        <v>107.09520406543101</v>
      </c>
      <c r="AD70" s="33">
        <v>107.098019397985</v>
      </c>
      <c r="AE70" s="15">
        <v>6.1587357241568296E-4</v>
      </c>
      <c r="AF70" s="15">
        <v>8.8936202118629901E-4</v>
      </c>
      <c r="AG70" s="15">
        <v>9.1564980478678402E-4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4.0900316338372735E-3</v>
      </c>
      <c r="AT70" s="12"/>
      <c r="AU70">
        <f t="shared" si="10"/>
        <v>0</v>
      </c>
      <c r="AV70">
        <f t="shared" si="11"/>
        <v>0</v>
      </c>
      <c r="AW70">
        <f t="shared" si="18"/>
        <v>1</v>
      </c>
      <c r="AX70">
        <f t="shared" si="5"/>
        <v>1</v>
      </c>
      <c r="AY70">
        <f t="shared" si="19"/>
        <v>1</v>
      </c>
      <c r="AZ70" s="28">
        <f t="shared" si="12"/>
        <v>-1.1935549457502701E-3</v>
      </c>
      <c r="BA70" s="28">
        <f t="shared" si="13"/>
        <v>1.4964462201460099E-3</v>
      </c>
      <c r="BB70" s="28">
        <f t="shared" si="20"/>
        <v>3.0289127439573986E-4</v>
      </c>
      <c r="BC70" s="29">
        <f t="shared" si="21"/>
        <v>5.4289102808783157E-3</v>
      </c>
      <c r="BE70" s="29">
        <f t="shared" si="22"/>
        <v>3.0289127439573986E-4</v>
      </c>
      <c r="BF70" s="29">
        <f t="shared" si="23"/>
        <v>9.5189419147155892E-3</v>
      </c>
      <c r="BH70" s="29"/>
    </row>
    <row r="71" spans="1:60" x14ac:dyDescent="0.25">
      <c r="A71" s="1">
        <v>46126</v>
      </c>
      <c r="B71" s="33">
        <v>50.34</v>
      </c>
      <c r="C71" s="33">
        <v>107.08</v>
      </c>
      <c r="D71" s="15">
        <v>7.9491260147634198E-4</v>
      </c>
      <c r="E71" s="15">
        <v>7.4738419024559404E-4</v>
      </c>
      <c r="F71" s="33">
        <v>0</v>
      </c>
      <c r="G71" s="33">
        <v>0.42999999999999899</v>
      </c>
      <c r="H71" s="33">
        <v>0</v>
      </c>
      <c r="I71" s="33">
        <v>0.85338999999999898</v>
      </c>
      <c r="J71" s="33">
        <v>0</v>
      </c>
      <c r="K71" s="33">
        <v>0</v>
      </c>
      <c r="L71" s="33">
        <v>50.34</v>
      </c>
      <c r="M71" s="33">
        <v>107.08</v>
      </c>
      <c r="N71" s="34">
        <v>2.1271354787445298</v>
      </c>
      <c r="O71" s="34">
        <v>2.1285470928226302</v>
      </c>
      <c r="P71" s="34">
        <v>2.1288750186901599</v>
      </c>
      <c r="Q71" s="34">
        <v>2.1288504916825501</v>
      </c>
      <c r="R71" s="33">
        <v>107.151060652691</v>
      </c>
      <c r="S71" s="33">
        <v>107.17590961024101</v>
      </c>
      <c r="T71" s="33">
        <v>107.1770709486</v>
      </c>
      <c r="U71" s="15">
        <v>6.6340198364650495E-4</v>
      </c>
      <c r="V71" s="15">
        <v>8.95280945320096E-4</v>
      </c>
      <c r="W71" s="15">
        <v>9.0611670188573995E-4</v>
      </c>
      <c r="X71" s="34">
        <v>2.1271354787445298</v>
      </c>
      <c r="Y71" s="34">
        <v>2.1285470928226302</v>
      </c>
      <c r="Z71" s="34">
        <v>2.1288750186901599</v>
      </c>
      <c r="AA71" s="34">
        <v>2.1288504916825501</v>
      </c>
      <c r="AB71" s="33">
        <v>107.151060652691</v>
      </c>
      <c r="AC71" s="33">
        <v>107.17590961024101</v>
      </c>
      <c r="AD71" s="33">
        <v>107.1770709486</v>
      </c>
      <c r="AE71" s="15">
        <v>6.6340198364650495E-4</v>
      </c>
      <c r="AF71" s="15">
        <v>8.95280945320096E-4</v>
      </c>
      <c r="AG71" s="15">
        <v>9.0611670188573995E-4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4.0900316338372735E-3</v>
      </c>
      <c r="AT71" s="12"/>
      <c r="AU71">
        <f t="shared" si="10"/>
        <v>0</v>
      </c>
      <c r="AV71">
        <f t="shared" si="11"/>
        <v>0</v>
      </c>
      <c r="AW71">
        <f t="shared" si="18"/>
        <v>1</v>
      </c>
      <c r="AX71">
        <f t="shared" si="5"/>
        <v>1</v>
      </c>
      <c r="AY71">
        <f t="shared" si="19"/>
        <v>1</v>
      </c>
      <c r="AZ71" s="28">
        <f t="shared" si="12"/>
        <v>-7.9491260147634198E-4</v>
      </c>
      <c r="BA71" s="28">
        <f t="shared" si="13"/>
        <v>7.4738419024559404E-4</v>
      </c>
      <c r="BB71" s="28">
        <f t="shared" si="20"/>
        <v>-4.7528411230747937E-5</v>
      </c>
      <c r="BC71" s="29">
        <f t="shared" si="21"/>
        <v>5.3813818696475677E-3</v>
      </c>
      <c r="BE71" s="29">
        <f t="shared" si="22"/>
        <v>-4.7528411230747937E-5</v>
      </c>
      <c r="BF71" s="29">
        <f t="shared" si="23"/>
        <v>9.4714135034848421E-3</v>
      </c>
      <c r="BH71" s="29"/>
    </row>
    <row r="72" spans="1:60" x14ac:dyDescent="0.25">
      <c r="A72" s="1">
        <v>46127</v>
      </c>
      <c r="B72" s="33">
        <v>50.26</v>
      </c>
      <c r="C72" s="33">
        <v>106.88</v>
      </c>
      <c r="D72" s="15">
        <v>-1.5904575917238301E-3</v>
      </c>
      <c r="E72" s="15">
        <v>-1.8695088638162099E-3</v>
      </c>
      <c r="F72" s="33">
        <v>0</v>
      </c>
      <c r="G72" s="33">
        <v>0.42999999999999899</v>
      </c>
      <c r="H72" s="33">
        <v>0</v>
      </c>
      <c r="I72" s="33">
        <v>0.85338999999999898</v>
      </c>
      <c r="J72" s="33">
        <v>0</v>
      </c>
      <c r="K72" s="33">
        <v>0</v>
      </c>
      <c r="L72" s="33">
        <v>50.26</v>
      </c>
      <c r="M72" s="33">
        <v>106.88</v>
      </c>
      <c r="N72" s="34">
        <v>2.1265419816951798</v>
      </c>
      <c r="O72" s="34">
        <v>2.1285470928226302</v>
      </c>
      <c r="P72" s="34">
        <v>2.1287611270621198</v>
      </c>
      <c r="Q72" s="34">
        <v>2.1286817624002001</v>
      </c>
      <c r="R72" s="33">
        <v>106.980776885265</v>
      </c>
      <c r="S72" s="33">
        <v>106.997258439367</v>
      </c>
      <c r="T72" s="33">
        <v>106.996025711965</v>
      </c>
      <c r="U72" s="15">
        <v>9.4245325573875699E-4</v>
      </c>
      <c r="V72" s="15">
        <v>1.09650228333467E-3</v>
      </c>
      <c r="W72" s="15">
        <v>1.0849811049250199E-3</v>
      </c>
      <c r="X72" s="34">
        <v>2.1265419816951798</v>
      </c>
      <c r="Y72" s="34">
        <v>2.1285470928226302</v>
      </c>
      <c r="Z72" s="34">
        <v>2.1287611270621198</v>
      </c>
      <c r="AA72" s="34">
        <v>2.1286817624002001</v>
      </c>
      <c r="AB72" s="33">
        <v>106.980776885265</v>
      </c>
      <c r="AC72" s="33">
        <v>106.997258439367</v>
      </c>
      <c r="AD72" s="33">
        <v>106.996025711965</v>
      </c>
      <c r="AE72" s="15">
        <v>9.4245325573875699E-4</v>
      </c>
      <c r="AF72" s="15">
        <v>1.09650228333467E-3</v>
      </c>
      <c r="AG72" s="15">
        <v>1.0849811049250199E-3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4.0900316338372735E-3</v>
      </c>
      <c r="AT72" s="12"/>
      <c r="AU72">
        <f t="shared" si="10"/>
        <v>1</v>
      </c>
      <c r="AV72">
        <f t="shared" si="11"/>
        <v>0</v>
      </c>
      <c r="AW72">
        <f t="shared" si="18"/>
        <v>1</v>
      </c>
      <c r="AX72">
        <f t="shared" si="5"/>
        <v>1</v>
      </c>
      <c r="AY72">
        <f t="shared" si="19"/>
        <v>1</v>
      </c>
      <c r="AZ72" s="28">
        <f t="shared" si="12"/>
        <v>1.5904575917238301E-3</v>
      </c>
      <c r="BA72" s="28">
        <f t="shared" si="13"/>
        <v>-1.8695088638162099E-3</v>
      </c>
      <c r="BB72" s="28">
        <f t="shared" si="20"/>
        <v>-2.7905127209237987E-4</v>
      </c>
      <c r="BC72" s="29">
        <f t="shared" si="21"/>
        <v>5.102330597555188E-3</v>
      </c>
      <c r="BE72" s="29">
        <f t="shared" si="22"/>
        <v>-2.7905127209237987E-4</v>
      </c>
      <c r="BF72" s="29">
        <f t="shared" si="23"/>
        <v>9.1923622313924615E-3</v>
      </c>
      <c r="BH72" s="29"/>
    </row>
    <row r="73" spans="1:60" x14ac:dyDescent="0.25">
      <c r="A73" s="1">
        <v>46128</v>
      </c>
      <c r="B73" s="33">
        <v>50.29</v>
      </c>
      <c r="C73" s="33">
        <v>106.98</v>
      </c>
      <c r="D73" s="15">
        <v>5.9671806842739004E-4</v>
      </c>
      <c r="E73" s="15">
        <v>9.3519131476854601E-4</v>
      </c>
      <c r="F73" s="33">
        <v>0</v>
      </c>
      <c r="G73" s="33">
        <v>0.42999999999999899</v>
      </c>
      <c r="H73" s="33">
        <v>0</v>
      </c>
      <c r="I73" s="33">
        <v>0.85338999999999898</v>
      </c>
      <c r="J73" s="33">
        <v>0</v>
      </c>
      <c r="K73" s="33">
        <v>0</v>
      </c>
      <c r="L73" s="33">
        <v>50.29</v>
      </c>
      <c r="M73" s="33">
        <v>106.98</v>
      </c>
      <c r="N73" s="34">
        <v>2.1272618810896802</v>
      </c>
      <c r="O73" s="34">
        <v>2.1285470928226302</v>
      </c>
      <c r="P73" s="34">
        <v>2.12848390904005</v>
      </c>
      <c r="Q73" s="34">
        <v>2.1286493919629401</v>
      </c>
      <c r="R73" s="33">
        <v>107.04463329805</v>
      </c>
      <c r="S73" s="33">
        <v>107.05539707995401</v>
      </c>
      <c r="T73" s="33">
        <v>107.051405831106</v>
      </c>
      <c r="U73" s="15">
        <v>6.0398000939771801E-4</v>
      </c>
      <c r="V73" s="15">
        <v>7.0452910221092198E-4</v>
      </c>
      <c r="W73" s="15">
        <v>6.6724631815937799E-4</v>
      </c>
      <c r="X73" s="34">
        <v>2.1272618810896802</v>
      </c>
      <c r="Y73" s="34">
        <v>2.1285470928226302</v>
      </c>
      <c r="Z73" s="34">
        <v>2.12848390904005</v>
      </c>
      <c r="AA73" s="34">
        <v>2.1286493919629401</v>
      </c>
      <c r="AB73" s="33">
        <v>107.04463329805</v>
      </c>
      <c r="AC73" s="33">
        <v>107.05539707995401</v>
      </c>
      <c r="AD73" s="33">
        <v>107.051405831106</v>
      </c>
      <c r="AE73" s="15">
        <v>6.0398000939771801E-4</v>
      </c>
      <c r="AF73" s="15">
        <v>7.0452910221092198E-4</v>
      </c>
      <c r="AG73" s="15">
        <v>6.6724631815937799E-4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4.0900316338372735E-3</v>
      </c>
      <c r="AT73" s="12"/>
      <c r="AU73">
        <f t="shared" si="10"/>
        <v>0</v>
      </c>
      <c r="AV73">
        <f t="shared" si="11"/>
        <v>0</v>
      </c>
      <c r="AW73">
        <f t="shared" si="18"/>
        <v>1</v>
      </c>
      <c r="AX73">
        <f t="shared" si="5"/>
        <v>1</v>
      </c>
      <c r="AY73">
        <f t="shared" si="19"/>
        <v>1</v>
      </c>
      <c r="AZ73" s="28">
        <f t="shared" si="12"/>
        <v>-5.9671806842739004E-4</v>
      </c>
      <c r="BA73" s="28">
        <f t="shared" si="13"/>
        <v>9.3519131476854601E-4</v>
      </c>
      <c r="BB73" s="28">
        <f t="shared" si="20"/>
        <v>3.3847324634115597E-4</v>
      </c>
      <c r="BC73" s="29">
        <f t="shared" si="21"/>
        <v>5.4408038438963444E-3</v>
      </c>
      <c r="BE73" s="29">
        <f t="shared" si="22"/>
        <v>3.3847324634115597E-4</v>
      </c>
      <c r="BF73" s="29">
        <f t="shared" si="23"/>
        <v>9.5308354777336179E-3</v>
      </c>
      <c r="BH73" s="29"/>
    </row>
    <row r="74" spans="1:60" x14ac:dyDescent="0.25">
      <c r="A74" s="1">
        <v>46129</v>
      </c>
      <c r="B74" s="33">
        <v>50.45</v>
      </c>
      <c r="C74" s="33">
        <v>107.37</v>
      </c>
      <c r="D74" s="15">
        <v>3.1764966157446198E-3</v>
      </c>
      <c r="E74" s="15">
        <v>3.6389123429400099E-3</v>
      </c>
      <c r="F74" s="33">
        <v>0</v>
      </c>
      <c r="G74" s="33">
        <v>0.42999999999999899</v>
      </c>
      <c r="H74" s="33">
        <v>0</v>
      </c>
      <c r="I74" s="33">
        <v>0.85338999999999898</v>
      </c>
      <c r="J74" s="33">
        <v>0</v>
      </c>
      <c r="K74" s="33">
        <v>0</v>
      </c>
      <c r="L74" s="33">
        <v>50.45</v>
      </c>
      <c r="M74" s="33">
        <v>107.37</v>
      </c>
      <c r="N74" s="34">
        <v>2.1282457879088201</v>
      </c>
      <c r="O74" s="34">
        <v>2.1285470928226302</v>
      </c>
      <c r="P74" s="34">
        <v>2.1283284878309399</v>
      </c>
      <c r="Q74" s="34">
        <v>2.1287009407651101</v>
      </c>
      <c r="R74" s="33">
        <v>107.385200832902</v>
      </c>
      <c r="S74" s="33">
        <v>107.38201321107</v>
      </c>
      <c r="T74" s="33">
        <v>107.39036182453</v>
      </c>
      <c r="U74" s="15">
        <v>1.4156428220222299E-4</v>
      </c>
      <c r="V74" s="15">
        <v>1.11879846003694E-4</v>
      </c>
      <c r="W74" s="15">
        <v>1.89623675604374E-4</v>
      </c>
      <c r="X74" s="34">
        <v>2.1282457879088201</v>
      </c>
      <c r="Y74" s="34">
        <v>2.1285470928226302</v>
      </c>
      <c r="Z74" s="34">
        <v>2.1283284878309399</v>
      </c>
      <c r="AA74" s="34">
        <v>2.1287009407651101</v>
      </c>
      <c r="AB74" s="33">
        <v>107.385200832902</v>
      </c>
      <c r="AC74" s="33">
        <v>107.38201321107</v>
      </c>
      <c r="AD74" s="33">
        <v>107.39036182453</v>
      </c>
      <c r="AE74" s="15">
        <v>1.4156428220222299E-4</v>
      </c>
      <c r="AF74" s="15">
        <v>1.11879846003694E-4</v>
      </c>
      <c r="AG74" s="15">
        <v>1.89623675604374E-4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4.0900316338372735E-3</v>
      </c>
      <c r="AT74" s="12"/>
      <c r="AU74">
        <f t="shared" si="10"/>
        <v>0</v>
      </c>
      <c r="AV74">
        <f t="shared" si="11"/>
        <v>0</v>
      </c>
      <c r="AW74">
        <f t="shared" si="18"/>
        <v>1</v>
      </c>
      <c r="AX74">
        <f t="shared" si="5"/>
        <v>1</v>
      </c>
      <c r="AY74">
        <f t="shared" si="19"/>
        <v>1</v>
      </c>
      <c r="AZ74" s="28">
        <f t="shared" si="12"/>
        <v>-3.1764966157446198E-3</v>
      </c>
      <c r="BA74" s="28">
        <f t="shared" si="13"/>
        <v>3.6389123429400099E-3</v>
      </c>
      <c r="BB74" s="28">
        <f t="shared" si="20"/>
        <v>4.6241572719539015E-4</v>
      </c>
      <c r="BC74" s="29">
        <f t="shared" si="21"/>
        <v>5.9032195710917341E-3</v>
      </c>
      <c r="BE74" s="29">
        <f t="shared" si="22"/>
        <v>4.6241572719539015E-4</v>
      </c>
      <c r="BF74" s="29">
        <f t="shared" si="23"/>
        <v>9.9932512049290077E-3</v>
      </c>
      <c r="BH74" s="29"/>
    </row>
    <row r="75" spans="1:60" x14ac:dyDescent="0.25">
      <c r="A75" s="1">
        <v>46132</v>
      </c>
      <c r="B75" s="33">
        <v>50.47</v>
      </c>
      <c r="C75" s="33">
        <v>107.42</v>
      </c>
      <c r="D75" s="15">
        <v>3.9635355255287997E-4</v>
      </c>
      <c r="E75" s="15">
        <v>4.6557103126916398E-4</v>
      </c>
      <c r="F75" s="33">
        <v>0</v>
      </c>
      <c r="G75" s="33">
        <v>0.42999999999999899</v>
      </c>
      <c r="H75" s="33">
        <v>0</v>
      </c>
      <c r="I75" s="33">
        <v>0.85338999999999898</v>
      </c>
      <c r="J75" s="33">
        <v>0</v>
      </c>
      <c r="K75" s="33">
        <v>0</v>
      </c>
      <c r="L75" s="33">
        <v>50.47</v>
      </c>
      <c r="M75" s="33">
        <v>107.42</v>
      </c>
      <c r="N75" s="34">
        <v>2.12839310481474</v>
      </c>
      <c r="O75" s="34">
        <v>2.1285470928226302</v>
      </c>
      <c r="P75" s="34">
        <v>2.1280973419473201</v>
      </c>
      <c r="Q75" s="34">
        <v>2.1287852546403898</v>
      </c>
      <c r="R75" s="33">
        <v>107.427771774758</v>
      </c>
      <c r="S75" s="33">
        <v>107.416738780827</v>
      </c>
      <c r="T75" s="33">
        <v>107.435536480415</v>
      </c>
      <c r="U75" s="15">
        <v>7.2346803486109896E-5</v>
      </c>
      <c r="V75" s="15">
        <v>-3.0359976521638198E-5</v>
      </c>
      <c r="W75" s="15">
        <v>1.4462257474957799E-4</v>
      </c>
      <c r="X75" s="34">
        <v>2.12839310481474</v>
      </c>
      <c r="Y75" s="34">
        <v>2.1285470928226302</v>
      </c>
      <c r="Z75" s="34">
        <v>2.1280973419473201</v>
      </c>
      <c r="AA75" s="34">
        <v>2.1287852546403898</v>
      </c>
      <c r="AB75" s="33">
        <v>107.427771774758</v>
      </c>
      <c r="AC75" s="33">
        <v>107.416738780827</v>
      </c>
      <c r="AD75" s="33">
        <v>107.435536480415</v>
      </c>
      <c r="AE75" s="15">
        <v>7.2346803486109896E-5</v>
      </c>
      <c r="AF75" s="15">
        <v>-3.0359976521638198E-5</v>
      </c>
      <c r="AG75" s="15">
        <v>1.4462257474957799E-4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4.0900316338372735E-3</v>
      </c>
      <c r="AT75" s="12"/>
      <c r="AU75">
        <f t="shared" si="10"/>
        <v>0</v>
      </c>
      <c r="AV75">
        <f t="shared" si="11"/>
        <v>0</v>
      </c>
      <c r="AW75">
        <f t="shared" si="18"/>
        <v>1</v>
      </c>
      <c r="AX75">
        <f t="shared" si="5"/>
        <v>1</v>
      </c>
      <c r="AY75">
        <f t="shared" si="19"/>
        <v>1</v>
      </c>
      <c r="AZ75" s="28">
        <f t="shared" si="12"/>
        <v>-3.9635355255287997E-4</v>
      </c>
      <c r="BA75" s="28">
        <f t="shared" si="13"/>
        <v>4.6557103126916398E-4</v>
      </c>
      <c r="BB75" s="28">
        <f t="shared" si="20"/>
        <v>6.9217478716284005E-5</v>
      </c>
      <c r="BC75" s="29">
        <f t="shared" si="21"/>
        <v>5.9724370498080185E-3</v>
      </c>
      <c r="BE75" s="29">
        <f t="shared" si="22"/>
        <v>6.9217478716284005E-5</v>
      </c>
      <c r="BF75" s="29">
        <f t="shared" si="23"/>
        <v>1.0062468683645291E-2</v>
      </c>
      <c r="BH75" s="29"/>
    </row>
    <row r="76" spans="1:60" x14ac:dyDescent="0.25">
      <c r="A76" s="1">
        <v>46133</v>
      </c>
      <c r="B76" s="33">
        <v>50.38</v>
      </c>
      <c r="C76" s="33">
        <v>107.24</v>
      </c>
      <c r="D76" s="15">
        <v>-1.7848294277068399E-3</v>
      </c>
      <c r="E76" s="15">
        <v>-1.6770711095548201E-3</v>
      </c>
      <c r="F76" s="33">
        <v>0</v>
      </c>
      <c r="G76" s="33">
        <v>0.42999999999999899</v>
      </c>
      <c r="H76" s="33">
        <v>0</v>
      </c>
      <c r="I76" s="33">
        <v>0.85338999999999898</v>
      </c>
      <c r="J76" s="33">
        <v>0</v>
      </c>
      <c r="K76" s="33">
        <v>0</v>
      </c>
      <c r="L76" s="33">
        <v>50.38</v>
      </c>
      <c r="M76" s="33">
        <v>107.24</v>
      </c>
      <c r="N76" s="34">
        <v>2.1286224692338198</v>
      </c>
      <c r="O76" s="34">
        <v>2.1285470928226302</v>
      </c>
      <c r="P76" s="34">
        <v>2.1278622083468099</v>
      </c>
      <c r="Q76" s="34">
        <v>2.1286785326875801</v>
      </c>
      <c r="R76" s="33">
        <v>107.23620253640399</v>
      </c>
      <c r="S76" s="33">
        <v>107.213544087306</v>
      </c>
      <c r="T76" s="33">
        <v>107.248201128782</v>
      </c>
      <c r="U76" s="15">
        <v>-3.5411514665945302E-5</v>
      </c>
      <c r="V76" s="15">
        <v>-2.46728613795177E-4</v>
      </c>
      <c r="W76" s="15">
        <v>7.6471607703946796E-5</v>
      </c>
      <c r="X76" s="34">
        <v>2.1286224692338198</v>
      </c>
      <c r="Y76" s="34">
        <v>2.1285470928226302</v>
      </c>
      <c r="Z76" s="34">
        <v>2.1278622083468099</v>
      </c>
      <c r="AA76" s="34">
        <v>2.1286785326875801</v>
      </c>
      <c r="AB76" s="33">
        <v>107.23620253640399</v>
      </c>
      <c r="AC76" s="33">
        <v>107.213544087306</v>
      </c>
      <c r="AD76" s="33">
        <v>107.248201128782</v>
      </c>
      <c r="AE76" s="15">
        <v>-3.5411514665945302E-5</v>
      </c>
      <c r="AF76" s="15">
        <v>-2.46728613795177E-4</v>
      </c>
      <c r="AG76" s="15">
        <v>7.6471607703946796E-5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4.0900316338372735E-3</v>
      </c>
      <c r="AT76" s="12"/>
      <c r="AU76">
        <f t="shared" si="10"/>
        <v>0</v>
      </c>
      <c r="AV76">
        <f t="shared" si="11"/>
        <v>0</v>
      </c>
      <c r="AW76">
        <f t="shared" si="18"/>
        <v>1</v>
      </c>
      <c r="AX76">
        <f t="shared" si="5"/>
        <v>1</v>
      </c>
      <c r="AY76">
        <f t="shared" si="19"/>
        <v>1</v>
      </c>
      <c r="AZ76" s="28">
        <f t="shared" si="12"/>
        <v>1.7848294277068399E-3</v>
      </c>
      <c r="BA76" s="28">
        <f t="shared" si="13"/>
        <v>-1.6770711095548201E-3</v>
      </c>
      <c r="BB76" s="28">
        <f t="shared" si="20"/>
        <v>1.0775831815201982E-4</v>
      </c>
      <c r="BC76" s="29">
        <f t="shared" si="21"/>
        <v>6.0801953679600384E-3</v>
      </c>
      <c r="BE76" s="29">
        <f t="shared" si="22"/>
        <v>1.0775831815201982E-4</v>
      </c>
      <c r="BF76" s="29">
        <f t="shared" si="23"/>
        <v>1.0170227001797311E-2</v>
      </c>
      <c r="BH76" s="29"/>
    </row>
    <row r="77" spans="1:60" x14ac:dyDescent="0.25">
      <c r="A77" s="1">
        <v>46134</v>
      </c>
      <c r="B77" s="33">
        <v>50.43</v>
      </c>
      <c r="C77" s="33">
        <v>107.31</v>
      </c>
      <c r="D77" s="15">
        <v>9.9196516416969307E-4</v>
      </c>
      <c r="E77" s="15">
        <v>6.5252857127765798E-4</v>
      </c>
      <c r="F77" s="33">
        <v>0</v>
      </c>
      <c r="G77" s="33">
        <v>0.42999999999999899</v>
      </c>
      <c r="H77" s="33">
        <v>0</v>
      </c>
      <c r="I77" s="33">
        <v>0.85338999999999898</v>
      </c>
      <c r="J77" s="33">
        <v>0</v>
      </c>
      <c r="K77" s="33">
        <v>0</v>
      </c>
      <c r="L77" s="33">
        <v>50.43</v>
      </c>
      <c r="M77" s="33">
        <v>107.31</v>
      </c>
      <c r="N77" s="34">
        <v>2.1279000594883999</v>
      </c>
      <c r="O77" s="34">
        <v>2.1285470928226302</v>
      </c>
      <c r="P77" s="34">
        <v>2.1276859266435402</v>
      </c>
      <c r="Q77" s="34">
        <v>2.1285942934209698</v>
      </c>
      <c r="R77" s="33">
        <v>107.34262989104499</v>
      </c>
      <c r="S77" s="33">
        <v>107.308091166929</v>
      </c>
      <c r="T77" s="33">
        <v>107.34925840343401</v>
      </c>
      <c r="U77" s="15">
        <v>3.0402507822624799E-4</v>
      </c>
      <c r="V77" s="15">
        <v>-1.7788184211751199E-5</v>
      </c>
      <c r="W77" s="15">
        <v>3.6577414982807201E-4</v>
      </c>
      <c r="X77" s="34">
        <v>2.1279000594883999</v>
      </c>
      <c r="Y77" s="34">
        <v>2.1285470928226302</v>
      </c>
      <c r="Z77" s="34">
        <v>2.1276859266435402</v>
      </c>
      <c r="AA77" s="34">
        <v>2.1285942934209698</v>
      </c>
      <c r="AB77" s="33">
        <v>107.34262989104499</v>
      </c>
      <c r="AC77" s="33">
        <v>107.308091166929</v>
      </c>
      <c r="AD77" s="33">
        <v>107.34925840343401</v>
      </c>
      <c r="AE77" s="15">
        <v>3.0402507822624799E-4</v>
      </c>
      <c r="AF77" s="15">
        <v>-1.7788184211751199E-5</v>
      </c>
      <c r="AG77" s="15">
        <v>3.6577414982807201E-4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4.0900316338372735E-3</v>
      </c>
      <c r="AT77" s="12"/>
      <c r="AU77">
        <f t="shared" si="10"/>
        <v>0</v>
      </c>
      <c r="AV77">
        <f t="shared" si="11"/>
        <v>0</v>
      </c>
      <c r="AW77">
        <f t="shared" si="18"/>
        <v>1</v>
      </c>
      <c r="AX77">
        <f t="shared" si="5"/>
        <v>1</v>
      </c>
      <c r="AY77">
        <f t="shared" si="19"/>
        <v>1</v>
      </c>
      <c r="AZ77" s="28">
        <f t="shared" si="12"/>
        <v>-9.9196516416969307E-4</v>
      </c>
      <c r="BA77" s="28">
        <f t="shared" si="13"/>
        <v>6.5252857127765798E-4</v>
      </c>
      <c r="BB77" s="28">
        <f t="shared" si="20"/>
        <v>-3.3943659289203509E-4</v>
      </c>
      <c r="BC77" s="29">
        <f t="shared" si="21"/>
        <v>5.7407587750680032E-3</v>
      </c>
      <c r="BE77" s="29">
        <f t="shared" si="22"/>
        <v>-3.3943659289203509E-4</v>
      </c>
      <c r="BF77" s="29">
        <f t="shared" si="23"/>
        <v>9.8307904089052767E-3</v>
      </c>
      <c r="BH77" s="29"/>
    </row>
    <row r="78" spans="1:60" x14ac:dyDescent="0.25">
      <c r="A78" s="1">
        <v>46135</v>
      </c>
      <c r="B78" s="33">
        <v>50.45</v>
      </c>
      <c r="C78" s="33">
        <v>107.33</v>
      </c>
      <c r="D78" s="15">
        <v>3.9651071098407699E-4</v>
      </c>
      <c r="E78" s="15">
        <v>1.8635855439682399E-4</v>
      </c>
      <c r="F78" s="33">
        <v>0</v>
      </c>
      <c r="G78" s="33">
        <v>0.42999999999999899</v>
      </c>
      <c r="H78" s="33">
        <v>0</v>
      </c>
      <c r="I78" s="33">
        <v>0.85338999999999898</v>
      </c>
      <c r="J78" s="33">
        <v>0</v>
      </c>
      <c r="K78" s="33">
        <v>0</v>
      </c>
      <c r="L78" s="33">
        <v>50.45</v>
      </c>
      <c r="M78" s="33">
        <v>107.33</v>
      </c>
      <c r="N78" s="34">
        <v>2.12745292368681</v>
      </c>
      <c r="O78" s="34">
        <v>2.1285470928226302</v>
      </c>
      <c r="P78" s="34">
        <v>2.1275382623866799</v>
      </c>
      <c r="Q78" s="34">
        <v>2.1283914318635002</v>
      </c>
      <c r="R78" s="33">
        <v>107.385200832902</v>
      </c>
      <c r="S78" s="33">
        <v>107.341754999166</v>
      </c>
      <c r="T78" s="33">
        <v>107.38758210308799</v>
      </c>
      <c r="U78" s="15">
        <v>5.1417723481339995E-4</v>
      </c>
      <c r="V78" s="15">
        <v>1.09516029984361E-4</v>
      </c>
      <c r="W78" s="15">
        <v>5.3635202021661205E-4</v>
      </c>
      <c r="X78" s="34">
        <v>2.12745292368681</v>
      </c>
      <c r="Y78" s="34">
        <v>2.1285470928226302</v>
      </c>
      <c r="Z78" s="34">
        <v>2.1275382623866799</v>
      </c>
      <c r="AA78" s="34">
        <v>2.1283914318635002</v>
      </c>
      <c r="AB78" s="33">
        <v>107.385200832902</v>
      </c>
      <c r="AC78" s="33">
        <v>107.341754999166</v>
      </c>
      <c r="AD78" s="33">
        <v>107.38758210308799</v>
      </c>
      <c r="AE78" s="15">
        <v>5.1417723481339995E-4</v>
      </c>
      <c r="AF78" s="15">
        <v>1.09516029984361E-4</v>
      </c>
      <c r="AG78" s="15">
        <v>5.3635202021661205E-4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4.0900316338372735E-3</v>
      </c>
      <c r="AT78" s="12"/>
      <c r="AU78">
        <f t="shared" si="10"/>
        <v>0</v>
      </c>
      <c r="AV78">
        <f t="shared" si="11"/>
        <v>0</v>
      </c>
      <c r="AW78">
        <f t="shared" si="18"/>
        <v>1</v>
      </c>
      <c r="AX78">
        <f t="shared" si="5"/>
        <v>1</v>
      </c>
      <c r="AY78">
        <f t="shared" si="19"/>
        <v>1</v>
      </c>
      <c r="AZ78" s="28">
        <f t="shared" si="12"/>
        <v>-3.9651071098407699E-4</v>
      </c>
      <c r="BA78" s="28">
        <f t="shared" si="13"/>
        <v>1.8635855439682399E-4</v>
      </c>
      <c r="BB78" s="28">
        <f t="shared" si="20"/>
        <v>-2.10152156587253E-4</v>
      </c>
      <c r="BC78" s="29">
        <f t="shared" si="21"/>
        <v>5.5306066184807505E-3</v>
      </c>
      <c r="BE78" s="29">
        <f t="shared" si="22"/>
        <v>-2.10152156587253E-4</v>
      </c>
      <c r="BF78" s="29">
        <f t="shared" si="23"/>
        <v>9.6206382523180232E-3</v>
      </c>
      <c r="BH78" s="29"/>
    </row>
    <row r="79" spans="1:60" x14ac:dyDescent="0.25">
      <c r="A79" s="1">
        <v>46136</v>
      </c>
      <c r="B79" s="33">
        <v>50.47</v>
      </c>
      <c r="C79" s="33">
        <v>107.37</v>
      </c>
      <c r="D79" s="15">
        <v>3.9635355255287997E-4</v>
      </c>
      <c r="E79" s="15">
        <v>3.7261295261118398E-4</v>
      </c>
      <c r="F79" s="33">
        <v>0</v>
      </c>
      <c r="G79" s="33">
        <v>0.42999999999999899</v>
      </c>
      <c r="H79" s="33">
        <v>0</v>
      </c>
      <c r="I79" s="33">
        <v>0.85338999999999898</v>
      </c>
      <c r="J79" s="33">
        <v>0</v>
      </c>
      <c r="K79" s="33">
        <v>0</v>
      </c>
      <c r="L79" s="33">
        <v>50.47</v>
      </c>
      <c r="M79" s="33">
        <v>107.37</v>
      </c>
      <c r="N79" s="34">
        <v>2.1274024172775898</v>
      </c>
      <c r="O79" s="34">
        <v>2.1285470928226302</v>
      </c>
      <c r="P79" s="34">
        <v>2.1276192684456401</v>
      </c>
      <c r="Q79" s="34">
        <v>2.1283742869607098</v>
      </c>
      <c r="R79" s="33">
        <v>107.427771774758</v>
      </c>
      <c r="S79" s="33">
        <v>107.376856102655</v>
      </c>
      <c r="T79" s="33">
        <v>107.419915566151</v>
      </c>
      <c r="U79" s="15">
        <v>5.3791783475519905E-4</v>
      </c>
      <c r="V79" s="15">
        <v>6.3852880386717004E-5</v>
      </c>
      <c r="W79" s="15">
        <v>4.6478501486702602E-4</v>
      </c>
      <c r="X79" s="34">
        <v>2.1274024172775898</v>
      </c>
      <c r="Y79" s="34">
        <v>2.1285470928226302</v>
      </c>
      <c r="Z79" s="34">
        <v>2.1276192684456401</v>
      </c>
      <c r="AA79" s="34">
        <v>2.1283742869607098</v>
      </c>
      <c r="AB79" s="33">
        <v>107.427771774758</v>
      </c>
      <c r="AC79" s="33">
        <v>107.376856102655</v>
      </c>
      <c r="AD79" s="33">
        <v>107.419915566151</v>
      </c>
      <c r="AE79" s="15">
        <v>5.3791783475519905E-4</v>
      </c>
      <c r="AF79" s="15">
        <v>6.3852880386717004E-5</v>
      </c>
      <c r="AG79" s="15">
        <v>4.6478501486702602E-4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4.0900316338372735E-3</v>
      </c>
      <c r="AT79" s="12"/>
      <c r="AU79">
        <f t="shared" si="10"/>
        <v>0</v>
      </c>
      <c r="AV79">
        <f t="shared" si="11"/>
        <v>0</v>
      </c>
      <c r="AW79">
        <f t="shared" si="18"/>
        <v>1</v>
      </c>
      <c r="AX79">
        <f t="shared" si="5"/>
        <v>1</v>
      </c>
      <c r="AY79">
        <f t="shared" si="19"/>
        <v>1</v>
      </c>
      <c r="AZ79" s="28">
        <f t="shared" si="12"/>
        <v>-3.9635355255287997E-4</v>
      </c>
      <c r="BA79" s="28">
        <f t="shared" si="13"/>
        <v>3.7261295261118398E-4</v>
      </c>
      <c r="BB79" s="28">
        <f t="shared" si="20"/>
        <v>-2.3740599941695999E-5</v>
      </c>
      <c r="BC79" s="29">
        <f t="shared" si="21"/>
        <v>5.5068660185390549E-3</v>
      </c>
      <c r="BE79" s="29">
        <f t="shared" si="22"/>
        <v>-2.3740599941695999E-5</v>
      </c>
      <c r="BF79" s="29">
        <f t="shared" si="23"/>
        <v>9.5968976523763266E-3</v>
      </c>
      <c r="BH79" s="29"/>
    </row>
    <row r="80" spans="1:60" x14ac:dyDescent="0.25">
      <c r="A80" s="1">
        <v>46139</v>
      </c>
      <c r="B80" s="33">
        <v>50.47</v>
      </c>
      <c r="C80" s="33">
        <v>107.41</v>
      </c>
      <c r="D80" s="15">
        <v>0</v>
      </c>
      <c r="E80" s="15">
        <v>3.72474163911375E-4</v>
      </c>
      <c r="F80" s="33">
        <v>0</v>
      </c>
      <c r="G80" s="33">
        <v>0.42999999999999899</v>
      </c>
      <c r="H80" s="33">
        <v>0</v>
      </c>
      <c r="I80" s="33">
        <v>0.85338999999999898</v>
      </c>
      <c r="J80" s="33">
        <v>0</v>
      </c>
      <c r="K80" s="33">
        <v>0</v>
      </c>
      <c r="L80" s="33">
        <v>50.47</v>
      </c>
      <c r="M80" s="33">
        <v>107.41</v>
      </c>
      <c r="N80" s="34">
        <v>2.1281949673073099</v>
      </c>
      <c r="O80" s="34">
        <v>2.1285470928226302</v>
      </c>
      <c r="P80" s="34">
        <v>2.1277151071246898</v>
      </c>
      <c r="Q80" s="34">
        <v>2.1283779112326</v>
      </c>
      <c r="R80" s="33">
        <v>107.427771774758</v>
      </c>
      <c r="S80" s="33">
        <v>107.380944478451</v>
      </c>
      <c r="T80" s="33">
        <v>107.41905026290701</v>
      </c>
      <c r="U80" s="15">
        <v>1.6544367084370099E-4</v>
      </c>
      <c r="V80" s="15">
        <v>-2.7054698973322602E-4</v>
      </c>
      <c r="W80" s="15">
        <v>8.4255485015334805E-5</v>
      </c>
      <c r="X80" s="34">
        <v>2.1281949673073099</v>
      </c>
      <c r="Y80" s="34">
        <v>2.1285470928226302</v>
      </c>
      <c r="Z80" s="34">
        <v>2.1277151071246898</v>
      </c>
      <c r="AA80" s="34">
        <v>2.1283779112326</v>
      </c>
      <c r="AB80" s="33">
        <v>107.427771774758</v>
      </c>
      <c r="AC80" s="33">
        <v>107.380944478451</v>
      </c>
      <c r="AD80" s="33">
        <v>107.41905026290701</v>
      </c>
      <c r="AE80" s="15">
        <v>1.6544367084370099E-4</v>
      </c>
      <c r="AF80" s="15">
        <v>-2.7054698973322602E-4</v>
      </c>
      <c r="AG80" s="15">
        <v>8.4255485015334805E-5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4.0900316338372735E-3</v>
      </c>
      <c r="AT80" s="12"/>
      <c r="AU80">
        <f t="shared" si="10"/>
        <v>0</v>
      </c>
      <c r="AV80">
        <f t="shared" si="11"/>
        <v>0</v>
      </c>
      <c r="AW80">
        <f t="shared" si="18"/>
        <v>1</v>
      </c>
      <c r="AX80">
        <f t="shared" si="5"/>
        <v>1</v>
      </c>
      <c r="AY80">
        <f t="shared" si="19"/>
        <v>1</v>
      </c>
      <c r="AZ80" s="28">
        <f t="shared" si="12"/>
        <v>0</v>
      </c>
      <c r="BA80" s="28">
        <f t="shared" si="13"/>
        <v>3.72474163911375E-4</v>
      </c>
      <c r="BB80" s="28">
        <f t="shared" si="20"/>
        <v>3.72474163911375E-4</v>
      </c>
      <c r="BC80" s="29">
        <f t="shared" si="21"/>
        <v>5.87934018245043E-3</v>
      </c>
      <c r="BE80" s="29">
        <f t="shared" si="22"/>
        <v>3.72474163911375E-4</v>
      </c>
      <c r="BF80" s="29">
        <f t="shared" si="23"/>
        <v>9.9693718162877018E-3</v>
      </c>
      <c r="BH80" s="29"/>
    </row>
    <row r="81" spans="1:60" x14ac:dyDescent="0.25">
      <c r="A81" s="1">
        <v>46140</v>
      </c>
      <c r="B81" s="33">
        <v>50.39</v>
      </c>
      <c r="C81" s="33">
        <v>107.3</v>
      </c>
      <c r="D81" s="15">
        <v>-1.5863576596642701E-3</v>
      </c>
      <c r="E81" s="15">
        <v>-1.0246379733028601E-3</v>
      </c>
      <c r="F81" s="33">
        <v>0</v>
      </c>
      <c r="G81" s="33">
        <v>0.42999999999999899</v>
      </c>
      <c r="H81" s="33">
        <v>0</v>
      </c>
      <c r="I81" s="33">
        <v>0.85338999999999898</v>
      </c>
      <c r="J81" s="33">
        <v>0</v>
      </c>
      <c r="K81" s="33">
        <v>0</v>
      </c>
      <c r="L81" s="33">
        <v>50.39</v>
      </c>
      <c r="M81" s="33">
        <v>107.3</v>
      </c>
      <c r="N81" s="34">
        <v>2.1293907521333599</v>
      </c>
      <c r="O81" s="34">
        <v>2.1285470928226302</v>
      </c>
      <c r="P81" s="34">
        <v>2.1279406344635698</v>
      </c>
      <c r="Q81" s="34">
        <v>2.12840782657686</v>
      </c>
      <c r="R81" s="33">
        <v>107.257488007332</v>
      </c>
      <c r="S81" s="33">
        <v>107.215564248013</v>
      </c>
      <c r="T81" s="33">
        <v>107.24896294701099</v>
      </c>
      <c r="U81" s="15">
        <v>-3.9627601551766402E-4</v>
      </c>
      <c r="V81" s="15">
        <v>-7.8722265811678597E-4</v>
      </c>
      <c r="W81" s="15">
        <v>-4.7576136701444802E-4</v>
      </c>
      <c r="X81" s="34">
        <v>2.1293907521333599</v>
      </c>
      <c r="Y81" s="34">
        <v>2.1285470928226302</v>
      </c>
      <c r="Z81" s="34">
        <v>2.1279406344635698</v>
      </c>
      <c r="AA81" s="34">
        <v>2.12840782657686</v>
      </c>
      <c r="AB81" s="33">
        <v>107.257488007332</v>
      </c>
      <c r="AC81" s="33">
        <v>107.215564248013</v>
      </c>
      <c r="AD81" s="33">
        <v>107.24896294701099</v>
      </c>
      <c r="AE81" s="15">
        <v>-3.9627601551766402E-4</v>
      </c>
      <c r="AF81" s="15">
        <v>-7.8722265811678597E-4</v>
      </c>
      <c r="AG81" s="15">
        <v>-4.7576136701444802E-4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4.0900316338372735E-3</v>
      </c>
      <c r="AT81" s="12"/>
      <c r="AU81">
        <f t="shared" si="10"/>
        <v>0</v>
      </c>
      <c r="AV81">
        <f t="shared" si="11"/>
        <v>1</v>
      </c>
      <c r="AW81">
        <f t="shared" si="18"/>
        <v>1</v>
      </c>
      <c r="AX81">
        <f t="shared" si="5"/>
        <v>1</v>
      </c>
      <c r="AY81">
        <f t="shared" si="19"/>
        <v>1</v>
      </c>
      <c r="AZ81" s="28">
        <f t="shared" si="12"/>
        <v>1.5863576596642701E-3</v>
      </c>
      <c r="BA81" s="28">
        <f t="shared" si="13"/>
        <v>-1.0246379733028601E-3</v>
      </c>
      <c r="BB81" s="28">
        <f t="shared" si="20"/>
        <v>5.6171968636141E-4</v>
      </c>
      <c r="BC81" s="29">
        <f t="shared" si="21"/>
        <v>6.44105986881184E-3</v>
      </c>
      <c r="BE81" s="29">
        <f t="shared" si="22"/>
        <v>5.6171968636141E-4</v>
      </c>
      <c r="BF81" s="29">
        <f t="shared" si="23"/>
        <v>1.0531091502649113E-2</v>
      </c>
      <c r="BH81" s="29"/>
    </row>
    <row r="82" spans="1:60" x14ac:dyDescent="0.25">
      <c r="A82" s="1">
        <v>46141</v>
      </c>
      <c r="B82" s="33">
        <v>50.29</v>
      </c>
      <c r="C82" s="33">
        <v>107.04</v>
      </c>
      <c r="D82" s="15">
        <v>-1.9864925086333501E-3</v>
      </c>
      <c r="E82" s="15">
        <v>-2.4260532567343799E-3</v>
      </c>
      <c r="F82" s="33">
        <v>0</v>
      </c>
      <c r="G82" s="33">
        <v>0.42999999999999899</v>
      </c>
      <c r="H82" s="33">
        <v>0</v>
      </c>
      <c r="I82" s="33">
        <v>0.85338999999999898</v>
      </c>
      <c r="J82" s="33">
        <v>0</v>
      </c>
      <c r="K82" s="33">
        <v>0</v>
      </c>
      <c r="L82" s="33">
        <v>50.29</v>
      </c>
      <c r="M82" s="33">
        <v>107.04</v>
      </c>
      <c r="N82" s="34">
        <v>2.12845496122489</v>
      </c>
      <c r="O82" s="34">
        <v>2.1285470928226302</v>
      </c>
      <c r="P82" s="34">
        <v>2.1281319324165402</v>
      </c>
      <c r="Q82" s="34">
        <v>2.12844652973933</v>
      </c>
      <c r="R82" s="33">
        <v>107.04463329805</v>
      </c>
      <c r="S82" s="33">
        <v>107.014134507173</v>
      </c>
      <c r="T82" s="33">
        <v>107.03762959855</v>
      </c>
      <c r="U82" s="15">
        <v>4.3284732583278797E-5</v>
      </c>
      <c r="V82" s="15">
        <v>-2.4167244433156201E-4</v>
      </c>
      <c r="W82" s="15">
        <v>-2.21452512703878E-5</v>
      </c>
      <c r="X82" s="34">
        <v>2.12845496122489</v>
      </c>
      <c r="Y82" s="34">
        <v>2.1285470928226302</v>
      </c>
      <c r="Z82" s="34">
        <v>2.1281319324165402</v>
      </c>
      <c r="AA82" s="34">
        <v>2.12844652973933</v>
      </c>
      <c r="AB82" s="33">
        <v>107.04463329805</v>
      </c>
      <c r="AC82" s="33">
        <v>107.014134507173</v>
      </c>
      <c r="AD82" s="33">
        <v>107.03762959855</v>
      </c>
      <c r="AE82" s="15">
        <v>4.3284732583278797E-5</v>
      </c>
      <c r="AF82" s="15">
        <v>-2.4167244433156201E-4</v>
      </c>
      <c r="AG82" s="15">
        <v>-2.21452512703878E-5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4.0900316338372735E-3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6.44105986881184E-3</v>
      </c>
      <c r="BE82" s="29">
        <f t="shared" si="22"/>
        <v>0</v>
      </c>
      <c r="BF82" s="29">
        <f t="shared" si="23"/>
        <v>1.0531091502649113E-2</v>
      </c>
      <c r="BH82" s="29"/>
    </row>
    <row r="83" spans="1:60" x14ac:dyDescent="0.25">
      <c r="A83" s="1">
        <v>46142</v>
      </c>
      <c r="B83" s="33">
        <v>50.31</v>
      </c>
      <c r="C83" s="33">
        <v>107.13</v>
      </c>
      <c r="D83" s="15">
        <v>3.9761431935387198E-4</v>
      </c>
      <c r="E83" s="15">
        <v>8.4045389454832497E-4</v>
      </c>
      <c r="F83" s="33">
        <v>0</v>
      </c>
      <c r="G83" s="33">
        <v>0.42999999999999899</v>
      </c>
      <c r="H83" s="33">
        <v>0</v>
      </c>
      <c r="I83" s="33">
        <v>0.85338999999999898</v>
      </c>
      <c r="J83" s="33">
        <v>0</v>
      </c>
      <c r="K83" s="33">
        <v>0</v>
      </c>
      <c r="L83" s="33">
        <v>50.31</v>
      </c>
      <c r="M83" s="33">
        <v>107.13</v>
      </c>
      <c r="N83" s="34">
        <v>2.1293977340488901</v>
      </c>
      <c r="O83" s="34">
        <v>2.1285470928226302</v>
      </c>
      <c r="P83" s="34">
        <v>2.1283455177124599</v>
      </c>
      <c r="Q83" s="34">
        <v>2.1284147133762601</v>
      </c>
      <c r="R83" s="33">
        <v>107.087204239907</v>
      </c>
      <c r="S83" s="33">
        <v>107.06631751987599</v>
      </c>
      <c r="T83" s="33">
        <v>107.082144911185</v>
      </c>
      <c r="U83" s="15">
        <v>-3.9955484261117099E-4</v>
      </c>
      <c r="V83" s="15">
        <v>-5.94617897612309E-4</v>
      </c>
      <c r="W83" s="15">
        <v>-4.4680090038761702E-4</v>
      </c>
      <c r="X83" s="34">
        <v>2.1293977340488901</v>
      </c>
      <c r="Y83" s="34">
        <v>2.1285470928226302</v>
      </c>
      <c r="Z83" s="34">
        <v>2.1283455177124599</v>
      </c>
      <c r="AA83" s="34">
        <v>2.1284147133762601</v>
      </c>
      <c r="AB83" s="33">
        <v>107.087204239907</v>
      </c>
      <c r="AC83" s="33">
        <v>107.06631751987599</v>
      </c>
      <c r="AD83" s="33">
        <v>107.082144911185</v>
      </c>
      <c r="AE83" s="15">
        <v>-3.9955484261117099E-4</v>
      </c>
      <c r="AF83" s="15">
        <v>-5.94617897612309E-4</v>
      </c>
      <c r="AG83" s="15">
        <v>-4.4680090038761702E-4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4.0900316338372735E-3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6.44105986881184E-3</v>
      </c>
      <c r="BE83" s="29">
        <f t="shared" si="22"/>
        <v>0</v>
      </c>
      <c r="BF83" s="29">
        <f t="shared" si="23"/>
        <v>1.0531091502649113E-2</v>
      </c>
      <c r="BH83" s="29"/>
    </row>
    <row r="84" spans="1:60" x14ac:dyDescent="0.25">
      <c r="A84" s="1">
        <v>46143</v>
      </c>
      <c r="B84" s="33">
        <v>50.17</v>
      </c>
      <c r="C84" s="33">
        <v>106.81</v>
      </c>
      <c r="D84" s="15">
        <v>-2.78662600706552E-3</v>
      </c>
      <c r="E84" s="15">
        <v>-2.99149517286259E-3</v>
      </c>
      <c r="F84" s="33">
        <v>0.14230000000000001</v>
      </c>
      <c r="G84" s="33">
        <v>0.57229999999999903</v>
      </c>
      <c r="H84" s="33">
        <v>0.28893000000000002</v>
      </c>
      <c r="I84" s="33">
        <v>1.14231999999999</v>
      </c>
      <c r="J84" s="33">
        <v>0</v>
      </c>
      <c r="K84" s="33">
        <v>0</v>
      </c>
      <c r="L84" s="33">
        <v>50.17</v>
      </c>
      <c r="M84" s="33">
        <v>106.81</v>
      </c>
      <c r="N84" s="34">
        <v>2.1289615307952898</v>
      </c>
      <c r="O84" s="34">
        <v>2.1285470928226302</v>
      </c>
      <c r="P84" s="34">
        <v>2.1284170920011101</v>
      </c>
      <c r="Q84" s="34">
        <v>2.1283727899160199</v>
      </c>
      <c r="R84" s="33">
        <v>106.789207646911</v>
      </c>
      <c r="S84" s="33">
        <v>106.77909462363399</v>
      </c>
      <c r="T84" s="33">
        <v>106.78256617008699</v>
      </c>
      <c r="U84" s="15">
        <v>-1.9468567681406499E-4</v>
      </c>
      <c r="V84" s="15">
        <v>-2.8939096011188902E-4</v>
      </c>
      <c r="W84" s="15">
        <v>-2.5688000809858102E-4</v>
      </c>
      <c r="X84" s="34">
        <v>2.1289615307952898</v>
      </c>
      <c r="Y84" s="34">
        <v>2.1285470928226302</v>
      </c>
      <c r="Z84" s="34">
        <v>2.1284170920011101</v>
      </c>
      <c r="AA84" s="34">
        <v>2.1283727899160199</v>
      </c>
      <c r="AB84" s="33">
        <v>106.789207646911</v>
      </c>
      <c r="AC84" s="33">
        <v>106.77909462363399</v>
      </c>
      <c r="AD84" s="33">
        <v>106.78256617008699</v>
      </c>
      <c r="AE84" s="15">
        <v>-1.9468567681406499E-4</v>
      </c>
      <c r="AF84" s="15">
        <v>-2.8939096011188902E-4</v>
      </c>
      <c r="AG84" s="15">
        <v>-2.5688000809858102E-4</v>
      </c>
      <c r="AI84" s="12"/>
      <c r="AJ84">
        <f t="shared" si="6"/>
        <v>0</v>
      </c>
      <c r="AK84">
        <f t="shared" si="7"/>
        <v>0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4.0900316338372735E-3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6.44105986881184E-3</v>
      </c>
      <c r="BE84" s="29">
        <f t="shared" si="22"/>
        <v>0</v>
      </c>
      <c r="BF84" s="29">
        <f t="shared" si="23"/>
        <v>1.0531091502649113E-2</v>
      </c>
      <c r="BH84" s="29"/>
    </row>
    <row r="85" spans="1:60" x14ac:dyDescent="0.25">
      <c r="A85" s="1">
        <v>46146</v>
      </c>
      <c r="B85" s="33">
        <v>50.12</v>
      </c>
      <c r="C85" s="33">
        <v>106.69</v>
      </c>
      <c r="D85" s="15">
        <v>-9.9710846829417798E-4</v>
      </c>
      <c r="E85" s="15">
        <v>-1.1241218982342299E-3</v>
      </c>
      <c r="F85" s="33">
        <v>0</v>
      </c>
      <c r="G85" s="33">
        <v>0.57229999999999903</v>
      </c>
      <c r="H85" s="33">
        <v>0</v>
      </c>
      <c r="I85" s="33">
        <v>1.14231999999999</v>
      </c>
      <c r="J85" s="33">
        <v>0</v>
      </c>
      <c r="K85" s="33">
        <v>0</v>
      </c>
      <c r="L85" s="33">
        <v>50.12</v>
      </c>
      <c r="M85" s="33">
        <v>106.69</v>
      </c>
      <c r="N85" s="34">
        <v>2.1286911412609699</v>
      </c>
      <c r="O85" s="34">
        <v>2.1285470928226302</v>
      </c>
      <c r="P85" s="34">
        <v>2.1284468956457299</v>
      </c>
      <c r="Q85" s="34">
        <v>2.1282721187965299</v>
      </c>
      <c r="R85" s="33">
        <v>106.68278029227</v>
      </c>
      <c r="S85" s="33">
        <v>106.676264651095</v>
      </c>
      <c r="T85" s="33">
        <v>106.67404423059099</v>
      </c>
      <c r="U85" s="15">
        <v>-6.7672246873970294E-5</v>
      </c>
      <c r="V85" s="15">
        <v>-1.28749021741037E-4</v>
      </c>
      <c r="W85" s="15">
        <v>-1.49563807679223E-4</v>
      </c>
      <c r="X85" s="34">
        <v>2.1286911412609699</v>
      </c>
      <c r="Y85" s="34">
        <v>2.1285470928226302</v>
      </c>
      <c r="Z85" s="34">
        <v>2.1284468956457299</v>
      </c>
      <c r="AA85" s="34">
        <v>2.1282721187965299</v>
      </c>
      <c r="AB85" s="33">
        <v>106.68278029227</v>
      </c>
      <c r="AC85" s="33">
        <v>106.676264651095</v>
      </c>
      <c r="AD85" s="33">
        <v>106.67404423059099</v>
      </c>
      <c r="AE85" s="15">
        <v>-6.7672246873970294E-5</v>
      </c>
      <c r="AF85" s="15">
        <v>-1.28749021741037E-4</v>
      </c>
      <c r="AG85" s="15">
        <v>-1.49563807679223E-4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4.0900316338372735E-3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6.44105986881184E-3</v>
      </c>
      <c r="BE85" s="29">
        <f t="shared" si="22"/>
        <v>0</v>
      </c>
      <c r="BF85" s="29">
        <f t="shared" si="23"/>
        <v>1.0531091502649113E-2</v>
      </c>
      <c r="BH85" s="29"/>
    </row>
    <row r="86" spans="1:60" x14ac:dyDescent="0.25">
      <c r="A86" s="1">
        <v>46147</v>
      </c>
      <c r="B86" s="33">
        <v>50.14</v>
      </c>
      <c r="C86" s="33">
        <v>106.77</v>
      </c>
      <c r="D86" s="15">
        <v>3.9896270227978402E-4</v>
      </c>
      <c r="E86" s="15">
        <v>7.4955498684113402E-4</v>
      </c>
      <c r="F86" s="33">
        <v>0</v>
      </c>
      <c r="G86" s="33">
        <v>0.57229999999999903</v>
      </c>
      <c r="H86" s="33">
        <v>0</v>
      </c>
      <c r="I86" s="33">
        <v>1.14231999999999</v>
      </c>
      <c r="J86" s="33">
        <v>0</v>
      </c>
      <c r="K86" s="33">
        <v>0</v>
      </c>
      <c r="L86" s="33">
        <v>50.14</v>
      </c>
      <c r="M86" s="33">
        <v>106.77</v>
      </c>
      <c r="N86" s="34">
        <v>2.1294375747905798</v>
      </c>
      <c r="O86" s="34">
        <v>2.1285470928226302</v>
      </c>
      <c r="P86" s="34">
        <v>2.12852840620141</v>
      </c>
      <c r="Q86" s="34">
        <v>2.12819530727411</v>
      </c>
      <c r="R86" s="33">
        <v>106.725351234127</v>
      </c>
      <c r="S86" s="33">
        <v>106.720327347677</v>
      </c>
      <c r="T86" s="33">
        <v>106.711564036458</v>
      </c>
      <c r="U86" s="15">
        <v>-4.1826453143527101E-4</v>
      </c>
      <c r="V86" s="15">
        <v>-4.6533867680311402E-4</v>
      </c>
      <c r="W86" s="15">
        <v>-5.4745678171520199E-4</v>
      </c>
      <c r="X86" s="34">
        <v>2.1294375747905798</v>
      </c>
      <c r="Y86" s="34">
        <v>2.1285470928226302</v>
      </c>
      <c r="Z86" s="34">
        <v>2.12852840620141</v>
      </c>
      <c r="AA86" s="34">
        <v>2.12819530727411</v>
      </c>
      <c r="AB86" s="33">
        <v>106.725351234127</v>
      </c>
      <c r="AC86" s="33">
        <v>106.720327347677</v>
      </c>
      <c r="AD86" s="33">
        <v>106.711564036458</v>
      </c>
      <c r="AE86" s="15">
        <v>-4.1826453143527101E-4</v>
      </c>
      <c r="AF86" s="15">
        <v>-4.6533867680311402E-4</v>
      </c>
      <c r="AG86" s="15">
        <v>-5.4745678171520199E-4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4.0900316338372735E-3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6.44105986881184E-3</v>
      </c>
      <c r="BE86" s="29">
        <f t="shared" si="22"/>
        <v>0</v>
      </c>
      <c r="BF86" s="29">
        <f t="shared" si="23"/>
        <v>1.0531091502649113E-2</v>
      </c>
      <c r="BH86" s="29"/>
    </row>
    <row r="87" spans="1:60" x14ac:dyDescent="0.25">
      <c r="A87" s="1">
        <v>46148</v>
      </c>
      <c r="B87" s="33">
        <v>50.23</v>
      </c>
      <c r="C87" s="33">
        <v>106.99</v>
      </c>
      <c r="D87" s="15">
        <v>1.79336503180593E-3</v>
      </c>
      <c r="E87" s="15">
        <v>2.0583839603040902E-3</v>
      </c>
      <c r="F87" s="33">
        <v>0</v>
      </c>
      <c r="G87" s="33">
        <v>0.57229999999999903</v>
      </c>
      <c r="H87" s="33">
        <v>0</v>
      </c>
      <c r="I87" s="33">
        <v>1.14231999999999</v>
      </c>
      <c r="J87" s="33">
        <v>0</v>
      </c>
      <c r="K87" s="33">
        <v>0</v>
      </c>
      <c r="L87" s="33">
        <v>50.23</v>
      </c>
      <c r="M87" s="33">
        <v>106.99</v>
      </c>
      <c r="N87" s="34">
        <v>2.1300019908421199</v>
      </c>
      <c r="O87" s="34">
        <v>2.1285470928226302</v>
      </c>
      <c r="P87" s="34">
        <v>2.12873859933678</v>
      </c>
      <c r="Q87" s="34">
        <v>2.1282122629901599</v>
      </c>
      <c r="R87" s="33">
        <v>106.916920472481</v>
      </c>
      <c r="S87" s="33">
        <v>106.915981843496</v>
      </c>
      <c r="T87" s="33">
        <v>106.899250284378</v>
      </c>
      <c r="U87" s="15">
        <v>-6.8328345993342503E-4</v>
      </c>
      <c r="V87" s="15">
        <v>-6.9206254840930204E-4</v>
      </c>
      <c r="W87" s="15">
        <v>-8.4856738659094301E-4</v>
      </c>
      <c r="X87" s="34">
        <v>2.1300019908421199</v>
      </c>
      <c r="Y87" s="34">
        <v>2.1285470928226302</v>
      </c>
      <c r="Z87" s="34">
        <v>2.12873859933678</v>
      </c>
      <c r="AA87" s="34">
        <v>2.1282122629901599</v>
      </c>
      <c r="AB87" s="33">
        <v>106.916920472481</v>
      </c>
      <c r="AC87" s="33">
        <v>106.915981843496</v>
      </c>
      <c r="AD87" s="33">
        <v>106.899250284378</v>
      </c>
      <c r="AE87" s="15">
        <v>-6.8328345993342503E-4</v>
      </c>
      <c r="AF87" s="15">
        <v>-6.9206254840930204E-4</v>
      </c>
      <c r="AG87" s="15">
        <v>-8.4856738659094301E-4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4.0900316338372735E-3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6.44105986881184E-3</v>
      </c>
      <c r="BE87" s="29">
        <f t="shared" ref="BE87:BE150" si="42">AQ87+BB87</f>
        <v>0</v>
      </c>
      <c r="BF87" s="29">
        <f t="shared" ref="BF87:BF150" si="43">BF86+BE87</f>
        <v>1.0531091502649113E-2</v>
      </c>
      <c r="BH87" s="29"/>
    </row>
    <row r="88" spans="1:60" x14ac:dyDescent="0.25">
      <c r="A88" s="1">
        <v>46149</v>
      </c>
      <c r="B88" s="33">
        <v>50.2</v>
      </c>
      <c r="C88" s="33">
        <v>106.99</v>
      </c>
      <c r="D88" s="15">
        <v>-5.9743106426971297E-4</v>
      </c>
      <c r="E88" s="15">
        <v>0</v>
      </c>
      <c r="F88" s="33">
        <v>0</v>
      </c>
      <c r="G88" s="33">
        <v>0.57229999999999903</v>
      </c>
      <c r="H88" s="33">
        <v>0</v>
      </c>
      <c r="I88" s="33">
        <v>1.14231999999999</v>
      </c>
      <c r="J88" s="33">
        <v>0</v>
      </c>
      <c r="K88" s="33">
        <v>0</v>
      </c>
      <c r="L88" s="33">
        <v>50.2</v>
      </c>
      <c r="M88" s="33">
        <v>106.99</v>
      </c>
      <c r="N88" s="34">
        <v>2.1312749003984002</v>
      </c>
      <c r="O88" s="34">
        <v>2.1285470928226302</v>
      </c>
      <c r="P88" s="34">
        <v>2.12912079700794</v>
      </c>
      <c r="Q88" s="34">
        <v>2.1283295296973099</v>
      </c>
      <c r="R88" s="33">
        <v>106.853064059696</v>
      </c>
      <c r="S88" s="33">
        <v>106.86267768670599</v>
      </c>
      <c r="T88" s="33">
        <v>106.83625560210599</v>
      </c>
      <c r="U88" s="15">
        <v>-1.2807145242031801E-3</v>
      </c>
      <c r="V88" s="15">
        <v>-1.1907480393943399E-3</v>
      </c>
      <c r="W88" s="15">
        <v>-1.43803130214472E-3</v>
      </c>
      <c r="X88" s="34">
        <v>2.1312749003984002</v>
      </c>
      <c r="Y88" s="34">
        <v>2.1285470928226302</v>
      </c>
      <c r="Z88" s="34">
        <v>2.12912079700794</v>
      </c>
      <c r="AA88" s="34">
        <v>2.1283295296973099</v>
      </c>
      <c r="AB88" s="33">
        <v>106.853064059696</v>
      </c>
      <c r="AC88" s="33">
        <v>106.86267768670599</v>
      </c>
      <c r="AD88" s="33">
        <v>106.83625560210599</v>
      </c>
      <c r="AE88" s="15">
        <v>-1.2807145242031801E-3</v>
      </c>
      <c r="AF88" s="15">
        <v>-1.1907480393943399E-3</v>
      </c>
      <c r="AG88" s="15">
        <v>-1.43803130214472E-3</v>
      </c>
      <c r="AI88" s="12"/>
      <c r="AJ88">
        <f t="shared" si="26"/>
        <v>1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4.0900316338372735E-3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6.44105986881184E-3</v>
      </c>
      <c r="BE88" s="29">
        <f t="shared" si="42"/>
        <v>0</v>
      </c>
      <c r="BF88" s="29">
        <f t="shared" si="43"/>
        <v>1.0531091502649113E-2</v>
      </c>
      <c r="BH88" s="29"/>
    </row>
    <row r="89" spans="1:60" x14ac:dyDescent="0.25">
      <c r="A89" s="1">
        <v>46150</v>
      </c>
      <c r="B89" s="33">
        <v>50.25</v>
      </c>
      <c r="C89" s="33">
        <v>107</v>
      </c>
      <c r="D89" s="15">
        <v>9.9552024150161901E-4</v>
      </c>
      <c r="E89" s="15">
        <v>9.3462311391120104E-5</v>
      </c>
      <c r="F89" s="33">
        <v>0</v>
      </c>
      <c r="G89" s="33">
        <v>0.57229999999999903</v>
      </c>
      <c r="H89" s="33">
        <v>0</v>
      </c>
      <c r="I89" s="33">
        <v>1.14231999999999</v>
      </c>
      <c r="J89" s="33">
        <v>0</v>
      </c>
      <c r="K89" s="33">
        <v>0</v>
      </c>
      <c r="L89" s="33">
        <v>50.25</v>
      </c>
      <c r="M89" s="33">
        <v>107</v>
      </c>
      <c r="N89" s="34">
        <v>2.1293532338308401</v>
      </c>
      <c r="O89" s="34">
        <v>2.1285470928226302</v>
      </c>
      <c r="P89" s="34">
        <v>2.12931587866326</v>
      </c>
      <c r="Q89" s="34">
        <v>2.1284675735544498</v>
      </c>
      <c r="R89" s="33">
        <v>106.95949141433699</v>
      </c>
      <c r="S89" s="33">
        <v>106.988320049649</v>
      </c>
      <c r="T89" s="33">
        <v>106.94855886728899</v>
      </c>
      <c r="U89" s="15">
        <v>-3.7865659409264802E-4</v>
      </c>
      <c r="V89" s="15">
        <v>-1.09164372706761E-4</v>
      </c>
      <c r="W89" s="15">
        <v>-4.8087385092641802E-4</v>
      </c>
      <c r="X89" s="34">
        <v>2.1293532338308401</v>
      </c>
      <c r="Y89" s="34">
        <v>2.1285470928226302</v>
      </c>
      <c r="Z89" s="34">
        <v>2.12931587866326</v>
      </c>
      <c r="AA89" s="34">
        <v>2.1284675735544498</v>
      </c>
      <c r="AB89" s="33">
        <v>106.95949141433699</v>
      </c>
      <c r="AC89" s="33">
        <v>106.988320049649</v>
      </c>
      <c r="AD89" s="33">
        <v>106.94855886728899</v>
      </c>
      <c r="AE89" s="15">
        <v>-3.7865659409264802E-4</v>
      </c>
      <c r="AF89" s="15">
        <v>-1.09164372706761E-4</v>
      </c>
      <c r="AG89" s="15">
        <v>-4.8087385092641802E-4</v>
      </c>
      <c r="AI89" s="12"/>
      <c r="AJ89">
        <f t="shared" si="26"/>
        <v>0</v>
      </c>
      <c r="AK89">
        <f t="shared" si="27"/>
        <v>0</v>
      </c>
      <c r="AL89">
        <f t="shared" si="34"/>
        <v>1</v>
      </c>
      <c r="AM89">
        <f t="shared" si="24"/>
        <v>1</v>
      </c>
      <c r="AN89">
        <f t="shared" si="35"/>
        <v>1</v>
      </c>
      <c r="AO89" s="28">
        <f t="shared" si="28"/>
        <v>9.9552024150161901E-4</v>
      </c>
      <c r="AP89" s="28">
        <f t="shared" si="29"/>
        <v>-9.3462311391120104E-5</v>
      </c>
      <c r="AQ89" s="28">
        <f t="shared" si="36"/>
        <v>9.0205793011049887E-4</v>
      </c>
      <c r="AR89" s="29">
        <f t="shared" si="37"/>
        <v>4.9920895639477721E-3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6.44105986881184E-3</v>
      </c>
      <c r="BE89" s="29">
        <f t="shared" si="42"/>
        <v>9.0205793011049887E-4</v>
      </c>
      <c r="BF89" s="29">
        <f t="shared" si="43"/>
        <v>1.1433149432759611E-2</v>
      </c>
      <c r="BH89" s="29"/>
    </row>
    <row r="90" spans="1:60" x14ac:dyDescent="0.25">
      <c r="A90" s="1">
        <v>46153</v>
      </c>
      <c r="B90" s="33">
        <v>50.22</v>
      </c>
      <c r="C90" s="33">
        <v>106.94</v>
      </c>
      <c r="D90" s="15">
        <v>-5.9719320974616302E-4</v>
      </c>
      <c r="E90" s="15">
        <v>-5.6090494132067297E-4</v>
      </c>
      <c r="F90" s="33">
        <v>0</v>
      </c>
      <c r="G90" s="33">
        <v>0.57229999999999903</v>
      </c>
      <c r="H90" s="33">
        <v>0</v>
      </c>
      <c r="I90" s="33">
        <v>1.14231999999999</v>
      </c>
      <c r="J90" s="33">
        <v>0</v>
      </c>
      <c r="K90" s="33">
        <v>0</v>
      </c>
      <c r="L90" s="33">
        <v>50.22</v>
      </c>
      <c r="M90" s="33">
        <v>106.94</v>
      </c>
      <c r="N90" s="34">
        <v>2.1294305057745899</v>
      </c>
      <c r="O90" s="34">
        <v>2.1285470928226302</v>
      </c>
      <c r="P90" s="34">
        <v>2.1294394325099901</v>
      </c>
      <c r="Q90" s="34">
        <v>2.12857726981734</v>
      </c>
      <c r="R90" s="33">
        <v>106.89563500155199</v>
      </c>
      <c r="S90" s="33">
        <v>106.934243426469</v>
      </c>
      <c r="T90" s="33">
        <v>106.891641543904</v>
      </c>
      <c r="U90" s="15">
        <v>-4.1494486251817899E-4</v>
      </c>
      <c r="V90" s="15">
        <v>-5.3831386517230799E-5</v>
      </c>
      <c r="W90" s="15">
        <v>-4.5230403293280801E-4</v>
      </c>
      <c r="X90" s="34">
        <v>2.1294305057745899</v>
      </c>
      <c r="Y90" s="34">
        <v>2.1285470928226302</v>
      </c>
      <c r="Z90" s="34">
        <v>2.1294394325099901</v>
      </c>
      <c r="AA90" s="34">
        <v>2.12857726981734</v>
      </c>
      <c r="AB90" s="33">
        <v>106.89563500155199</v>
      </c>
      <c r="AC90" s="33">
        <v>106.934243426469</v>
      </c>
      <c r="AD90" s="33">
        <v>106.891641543904</v>
      </c>
      <c r="AE90" s="15">
        <v>-4.1494486251817899E-4</v>
      </c>
      <c r="AF90" s="15">
        <v>-5.3831386517230799E-5</v>
      </c>
      <c r="AG90" s="15">
        <v>-4.5230403293280801E-4</v>
      </c>
      <c r="AI90" s="12"/>
      <c r="AJ90">
        <f t="shared" si="26"/>
        <v>0</v>
      </c>
      <c r="AK90">
        <f t="shared" si="27"/>
        <v>0</v>
      </c>
      <c r="AL90">
        <f t="shared" si="34"/>
        <v>1</v>
      </c>
      <c r="AM90">
        <f t="shared" si="24"/>
        <v>1</v>
      </c>
      <c r="AN90">
        <f t="shared" si="35"/>
        <v>1</v>
      </c>
      <c r="AO90" s="28">
        <f t="shared" si="28"/>
        <v>-5.9719320974616302E-4</v>
      </c>
      <c r="AP90" s="28">
        <f t="shared" si="29"/>
        <v>5.6090494132067297E-4</v>
      </c>
      <c r="AQ90" s="28">
        <f t="shared" si="36"/>
        <v>-3.6288268425490049E-5</v>
      </c>
      <c r="AR90" s="29">
        <f t="shared" si="37"/>
        <v>4.9558012955222821E-3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6.44105986881184E-3</v>
      </c>
      <c r="BE90" s="29">
        <f t="shared" si="42"/>
        <v>-3.6288268425490049E-5</v>
      </c>
      <c r="BF90" s="29">
        <f t="shared" si="43"/>
        <v>1.139686116433412E-2</v>
      </c>
      <c r="BH90" s="29"/>
    </row>
    <row r="91" spans="1:60" x14ac:dyDescent="0.25">
      <c r="A91" s="1">
        <v>46154</v>
      </c>
      <c r="B91" s="33">
        <v>50.12</v>
      </c>
      <c r="C91" s="33">
        <v>106.72</v>
      </c>
      <c r="D91" s="15">
        <v>-1.9932237015714799E-3</v>
      </c>
      <c r="E91" s="15">
        <v>-2.05934735327192E-3</v>
      </c>
      <c r="F91" s="33">
        <v>0</v>
      </c>
      <c r="G91" s="33">
        <v>0.57229999999999903</v>
      </c>
      <c r="H91" s="33">
        <v>0</v>
      </c>
      <c r="I91" s="33">
        <v>1.14231999999999</v>
      </c>
      <c r="J91" s="33">
        <v>0</v>
      </c>
      <c r="K91" s="33">
        <v>0</v>
      </c>
      <c r="L91" s="33">
        <v>50.12</v>
      </c>
      <c r="M91" s="33">
        <v>106.72</v>
      </c>
      <c r="N91" s="34">
        <v>2.1292897047086901</v>
      </c>
      <c r="O91" s="34">
        <v>2.1285470928226302</v>
      </c>
      <c r="P91" s="34">
        <v>2.12942932776753</v>
      </c>
      <c r="Q91" s="34">
        <v>2.1286849811155499</v>
      </c>
      <c r="R91" s="33">
        <v>106.68278029227</v>
      </c>
      <c r="S91" s="33">
        <v>106.727504357401</v>
      </c>
      <c r="T91" s="33">
        <v>106.684292763245</v>
      </c>
      <c r="U91" s="15">
        <v>-3.48821210817683E-4</v>
      </c>
      <c r="V91" s="15">
        <v>7.0315719331438402E-5</v>
      </c>
      <c r="W91" s="15">
        <v>-3.3464403762062498E-4</v>
      </c>
      <c r="X91" s="34">
        <v>2.1292897047086901</v>
      </c>
      <c r="Y91" s="34">
        <v>2.1285470928226302</v>
      </c>
      <c r="Z91" s="34">
        <v>2.12942932776753</v>
      </c>
      <c r="AA91" s="34">
        <v>2.1286849811155499</v>
      </c>
      <c r="AB91" s="33">
        <v>106.68278029227</v>
      </c>
      <c r="AC91" s="33">
        <v>106.727504357401</v>
      </c>
      <c r="AD91" s="33">
        <v>106.684292763245</v>
      </c>
      <c r="AE91" s="15">
        <v>-3.48821210817683E-4</v>
      </c>
      <c r="AF91" s="15">
        <v>7.0315719331438402E-5</v>
      </c>
      <c r="AG91" s="15">
        <v>-3.3464403762062498E-4</v>
      </c>
      <c r="AI91" s="12"/>
      <c r="AJ91">
        <f t="shared" si="26"/>
        <v>0</v>
      </c>
      <c r="AK91">
        <f t="shared" si="27"/>
        <v>0</v>
      </c>
      <c r="AL91">
        <f t="shared" si="34"/>
        <v>1</v>
      </c>
      <c r="AM91">
        <f t="shared" si="24"/>
        <v>1</v>
      </c>
      <c r="AN91">
        <f t="shared" si="35"/>
        <v>1</v>
      </c>
      <c r="AO91" s="28">
        <f t="shared" si="28"/>
        <v>-1.9932237015714799E-3</v>
      </c>
      <c r="AP91" s="28">
        <f t="shared" si="29"/>
        <v>2.05934735327192E-3</v>
      </c>
      <c r="AQ91" s="28">
        <f t="shared" si="36"/>
        <v>6.6123651700440104E-5</v>
      </c>
      <c r="AR91" s="29">
        <f t="shared" si="37"/>
        <v>5.0219249472227227E-3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6.44105986881184E-3</v>
      </c>
      <c r="BE91" s="29">
        <f t="shared" si="42"/>
        <v>6.6123651700440104E-5</v>
      </c>
      <c r="BF91" s="29">
        <f t="shared" si="43"/>
        <v>1.146298481603456E-2</v>
      </c>
      <c r="BH91" s="29"/>
    </row>
    <row r="92" spans="1:60" x14ac:dyDescent="0.25">
      <c r="A92" s="1">
        <v>46155</v>
      </c>
      <c r="B92" s="33">
        <v>50.1</v>
      </c>
      <c r="C92" s="33">
        <v>106.64</v>
      </c>
      <c r="D92" s="15">
        <v>-3.9912193704832902E-4</v>
      </c>
      <c r="E92" s="15">
        <v>-7.4990629686034896E-4</v>
      </c>
      <c r="F92" s="33">
        <v>0</v>
      </c>
      <c r="G92" s="33">
        <v>0.57229999999999903</v>
      </c>
      <c r="H92" s="33">
        <v>0</v>
      </c>
      <c r="I92" s="33">
        <v>1.14231999999999</v>
      </c>
      <c r="J92" s="33">
        <v>0</v>
      </c>
      <c r="K92" s="33">
        <v>0</v>
      </c>
      <c r="L92" s="33">
        <v>50.1</v>
      </c>
      <c r="M92" s="33">
        <v>106.64</v>
      </c>
      <c r="N92" s="34">
        <v>2.1285429141716499</v>
      </c>
      <c r="O92" s="34">
        <v>2.1285470928226302</v>
      </c>
      <c r="P92" s="34">
        <v>2.1294381230621999</v>
      </c>
      <c r="Q92" s="34">
        <v>2.1287850277393701</v>
      </c>
      <c r="R92" s="33">
        <v>106.640209350414</v>
      </c>
      <c r="S92" s="33">
        <v>106.684409321153</v>
      </c>
      <c r="T92" s="33">
        <v>106.647117553889</v>
      </c>
      <c r="U92" s="15">
        <v>1.9631489941799199E-6</v>
      </c>
      <c r="V92" s="15">
        <v>4.16354808492664E-4</v>
      </c>
      <c r="W92" s="15">
        <v>6.6741526384012201E-5</v>
      </c>
      <c r="X92" s="34">
        <v>2.1285429141716499</v>
      </c>
      <c r="Y92" s="34">
        <v>2.1285470928226302</v>
      </c>
      <c r="Z92" s="34">
        <v>2.1294381230621999</v>
      </c>
      <c r="AA92" s="34">
        <v>2.1287850277393701</v>
      </c>
      <c r="AB92" s="33">
        <v>106.640209350414</v>
      </c>
      <c r="AC92" s="33">
        <v>106.684409321153</v>
      </c>
      <c r="AD92" s="33">
        <v>106.647117553889</v>
      </c>
      <c r="AE92" s="15">
        <v>1.9631489941799199E-6</v>
      </c>
      <c r="AF92" s="15">
        <v>4.16354808492664E-4</v>
      </c>
      <c r="AG92" s="15">
        <v>6.6741526384012201E-5</v>
      </c>
      <c r="AI92" s="12"/>
      <c r="AJ92">
        <f t="shared" si="26"/>
        <v>0</v>
      </c>
      <c r="AK92">
        <f t="shared" si="27"/>
        <v>1</v>
      </c>
      <c r="AL92">
        <f t="shared" si="34"/>
        <v>1</v>
      </c>
      <c r="AM92">
        <f t="shared" si="24"/>
        <v>1</v>
      </c>
      <c r="AN92">
        <f t="shared" si="35"/>
        <v>1</v>
      </c>
      <c r="AO92" s="28">
        <f t="shared" si="28"/>
        <v>-3.9912193704832902E-4</v>
      </c>
      <c r="AP92" s="28">
        <f t="shared" si="29"/>
        <v>7.4990629686034896E-4</v>
      </c>
      <c r="AQ92" s="28">
        <f t="shared" si="36"/>
        <v>3.5078435981201995E-4</v>
      </c>
      <c r="AR92" s="29">
        <f t="shared" si="37"/>
        <v>5.3727093070347429E-3</v>
      </c>
      <c r="AT92" s="12"/>
      <c r="AU92">
        <f t="shared" si="30"/>
        <v>0</v>
      </c>
      <c r="AV92">
        <f t="shared" si="31"/>
        <v>0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6.44105986881184E-3</v>
      </c>
      <c r="BE92" s="29">
        <f t="shared" si="42"/>
        <v>3.5078435981201995E-4</v>
      </c>
      <c r="BF92" s="29">
        <f t="shared" si="43"/>
        <v>1.181376917584658E-2</v>
      </c>
      <c r="BH92" s="29"/>
    </row>
    <row r="93" spans="1:60" x14ac:dyDescent="0.25">
      <c r="A93" s="1">
        <v>46156</v>
      </c>
      <c r="B93" s="33">
        <v>50.05</v>
      </c>
      <c r="C93" s="33">
        <v>106.66</v>
      </c>
      <c r="D93" s="15">
        <v>-9.985023295896601E-4</v>
      </c>
      <c r="E93" s="15">
        <v>1.87529302002869E-4</v>
      </c>
      <c r="F93" s="33">
        <v>0</v>
      </c>
      <c r="G93" s="33">
        <v>0.57229999999999903</v>
      </c>
      <c r="H93" s="33">
        <v>0</v>
      </c>
      <c r="I93" s="33">
        <v>1.14231999999999</v>
      </c>
      <c r="J93" s="33">
        <v>0</v>
      </c>
      <c r="K93" s="33">
        <v>0</v>
      </c>
      <c r="L93" s="33">
        <v>50.05</v>
      </c>
      <c r="M93" s="33">
        <v>106.66</v>
      </c>
      <c r="N93" s="34">
        <v>2.1310689310689299</v>
      </c>
      <c r="O93" s="34">
        <v>2.1285470928226302</v>
      </c>
      <c r="P93" s="34">
        <v>2.1296052427642098</v>
      </c>
      <c r="Q93" s="34">
        <v>2.1289753802383302</v>
      </c>
      <c r="R93" s="33">
        <v>106.533781995773</v>
      </c>
      <c r="S93" s="33">
        <v>106.578378059263</v>
      </c>
      <c r="T93" s="33">
        <v>106.545690638355</v>
      </c>
      <c r="U93" s="15">
        <v>-1.18406848259822E-3</v>
      </c>
      <c r="V93" s="15">
        <v>-7.6554647869376299E-4</v>
      </c>
      <c r="W93" s="15">
        <v>-1.0722919473190101E-3</v>
      </c>
      <c r="X93" s="34">
        <v>2.1310689310689299</v>
      </c>
      <c r="Y93" s="34">
        <v>2.1285470928226302</v>
      </c>
      <c r="Z93" s="34">
        <v>2.1296052427642098</v>
      </c>
      <c r="AA93" s="34">
        <v>2.1289753802383302</v>
      </c>
      <c r="AB93" s="33">
        <v>106.533781995773</v>
      </c>
      <c r="AC93" s="33">
        <v>106.578378059263</v>
      </c>
      <c r="AD93" s="33">
        <v>106.545690638355</v>
      </c>
      <c r="AE93" s="15">
        <v>-1.18406848259822E-3</v>
      </c>
      <c r="AF93" s="15">
        <v>-7.6554647869376299E-4</v>
      </c>
      <c r="AG93" s="15">
        <v>-1.0722919473190101E-3</v>
      </c>
      <c r="AI93" s="12"/>
      <c r="AJ93">
        <f t="shared" si="26"/>
        <v>1</v>
      </c>
      <c r="AK93">
        <f t="shared" si="27"/>
        <v>0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5.3727093070347429E-3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6.44105986881184E-3</v>
      </c>
      <c r="BE93" s="29">
        <f t="shared" si="42"/>
        <v>0</v>
      </c>
      <c r="BF93" s="29">
        <f t="shared" si="43"/>
        <v>1.181376917584658E-2</v>
      </c>
      <c r="BH93" s="29"/>
    </row>
    <row r="94" spans="1:60" x14ac:dyDescent="0.25">
      <c r="A94" s="1">
        <v>46157</v>
      </c>
      <c r="B94" s="33">
        <v>49.83</v>
      </c>
      <c r="C94" s="33">
        <v>106.12</v>
      </c>
      <c r="D94" s="15">
        <v>-4.4052934679163699E-3</v>
      </c>
      <c r="E94" s="15">
        <v>-5.0756759029171898E-3</v>
      </c>
      <c r="F94" s="33">
        <v>0</v>
      </c>
      <c r="G94" s="33">
        <v>0.57229999999999903</v>
      </c>
      <c r="H94" s="33">
        <v>0</v>
      </c>
      <c r="I94" s="33">
        <v>1.14231999999999</v>
      </c>
      <c r="J94" s="33">
        <v>0</v>
      </c>
      <c r="K94" s="33">
        <v>0</v>
      </c>
      <c r="L94" s="33">
        <v>49.83</v>
      </c>
      <c r="M94" s="33">
        <v>106.12</v>
      </c>
      <c r="N94" s="34">
        <v>2.1296407786474001</v>
      </c>
      <c r="O94" s="34">
        <v>2.1285470928226302</v>
      </c>
      <c r="P94" s="34">
        <v>2.12967316754942</v>
      </c>
      <c r="Q94" s="34">
        <v>2.1290451297752599</v>
      </c>
      <c r="R94" s="33">
        <v>106.06550163535201</v>
      </c>
      <c r="S94" s="33">
        <v>106.11822924694</v>
      </c>
      <c r="T94" s="33">
        <v>106.086843197276</v>
      </c>
      <c r="U94" s="15">
        <v>-5.1368604759748104E-4</v>
      </c>
      <c r="V94" s="15">
        <v>-1.6686466577492299E-5</v>
      </c>
      <c r="W94" s="15">
        <v>-3.1249513440617899E-4</v>
      </c>
      <c r="X94" s="34">
        <v>2.1296407786474001</v>
      </c>
      <c r="Y94" s="34">
        <v>2.1285470928226302</v>
      </c>
      <c r="Z94" s="34">
        <v>2.12967316754942</v>
      </c>
      <c r="AA94" s="34">
        <v>2.1290451297752599</v>
      </c>
      <c r="AB94" s="33">
        <v>106.06550163535201</v>
      </c>
      <c r="AC94" s="33">
        <v>106.11822924694</v>
      </c>
      <c r="AD94" s="33">
        <v>106.086843197276</v>
      </c>
      <c r="AE94" s="15">
        <v>-5.1368604759748104E-4</v>
      </c>
      <c r="AF94" s="15">
        <v>-1.6686466577492299E-5</v>
      </c>
      <c r="AG94" s="15">
        <v>-3.1249513440617899E-4</v>
      </c>
      <c r="AI94" s="12"/>
      <c r="AJ94">
        <f t="shared" si="26"/>
        <v>0</v>
      </c>
      <c r="AK94">
        <f t="shared" si="27"/>
        <v>0</v>
      </c>
      <c r="AL94">
        <f t="shared" si="34"/>
        <v>1</v>
      </c>
      <c r="AM94">
        <f t="shared" si="24"/>
        <v>1</v>
      </c>
      <c r="AN94">
        <f t="shared" si="35"/>
        <v>1</v>
      </c>
      <c r="AO94" s="28">
        <f t="shared" si="28"/>
        <v>-4.4052934679163699E-3</v>
      </c>
      <c r="AP94" s="28">
        <f t="shared" si="29"/>
        <v>5.0756759029171898E-3</v>
      </c>
      <c r="AQ94" s="28">
        <f t="shared" si="36"/>
        <v>6.7038243500081984E-4</v>
      </c>
      <c r="AR94" s="29">
        <f t="shared" si="37"/>
        <v>6.0430917420355628E-3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6.44105986881184E-3</v>
      </c>
      <c r="BE94" s="29">
        <f t="shared" si="42"/>
        <v>6.7038243500081984E-4</v>
      </c>
      <c r="BF94" s="29">
        <f t="shared" si="43"/>
        <v>1.2484151610847399E-2</v>
      </c>
      <c r="BH94" s="29"/>
    </row>
    <row r="95" spans="1:60" x14ac:dyDescent="0.25">
      <c r="A95" s="1">
        <v>46160</v>
      </c>
      <c r="B95" s="33">
        <v>49.84</v>
      </c>
      <c r="C95" s="33">
        <v>106.08</v>
      </c>
      <c r="D95" s="15">
        <v>2.0066218588456899E-4</v>
      </c>
      <c r="E95" s="15">
        <v>-3.7700283198656301E-4</v>
      </c>
      <c r="F95" s="33">
        <v>0</v>
      </c>
      <c r="G95" s="33">
        <v>0.57229999999999903</v>
      </c>
      <c r="H95" s="33">
        <v>0</v>
      </c>
      <c r="I95" s="33">
        <v>1.14231999999999</v>
      </c>
      <c r="J95" s="33">
        <v>0</v>
      </c>
      <c r="K95" s="33">
        <v>0</v>
      </c>
      <c r="L95" s="33">
        <v>49.84</v>
      </c>
      <c r="M95" s="33">
        <v>106.08</v>
      </c>
      <c r="N95" s="34">
        <v>2.1284109149277599</v>
      </c>
      <c r="O95" s="34">
        <v>2.1285470928226302</v>
      </c>
      <c r="P95" s="34">
        <v>2.1296451449161</v>
      </c>
      <c r="Q95" s="34">
        <v>2.1290460202809101</v>
      </c>
      <c r="R95" s="33">
        <v>106.08678710628</v>
      </c>
      <c r="S95" s="33">
        <v>106.142910670663</v>
      </c>
      <c r="T95" s="33">
        <v>106.111609267999</v>
      </c>
      <c r="U95" s="15">
        <v>6.3978970273836594E-5</v>
      </c>
      <c r="V95" s="15">
        <v>5.9287352441945702E-4</v>
      </c>
      <c r="W95" s="15">
        <v>2.9793136818374503E-4</v>
      </c>
      <c r="X95" s="34">
        <v>2.1284109149277599</v>
      </c>
      <c r="Y95" s="34">
        <v>2.1285470928226302</v>
      </c>
      <c r="Z95" s="34">
        <v>2.1296451449161</v>
      </c>
      <c r="AA95" s="34">
        <v>2.1290460202809101</v>
      </c>
      <c r="AB95" s="33">
        <v>106.08678710628</v>
      </c>
      <c r="AC95" s="33">
        <v>106.142910670663</v>
      </c>
      <c r="AD95" s="33">
        <v>106.111609267999</v>
      </c>
      <c r="AE95" s="15">
        <v>6.3978970273836594E-5</v>
      </c>
      <c r="AF95" s="15">
        <v>5.9287352441945702E-4</v>
      </c>
      <c r="AG95" s="15">
        <v>2.9793136818374503E-4</v>
      </c>
      <c r="AI95" s="12"/>
      <c r="AJ95">
        <f t="shared" si="26"/>
        <v>0</v>
      </c>
      <c r="AK95">
        <f t="shared" si="27"/>
        <v>1</v>
      </c>
      <c r="AL95">
        <f t="shared" si="34"/>
        <v>1</v>
      </c>
      <c r="AM95">
        <f t="shared" si="24"/>
        <v>1</v>
      </c>
      <c r="AN95">
        <f t="shared" si="35"/>
        <v>1</v>
      </c>
      <c r="AO95" s="28">
        <f t="shared" si="28"/>
        <v>2.0066218588456899E-4</v>
      </c>
      <c r="AP95" s="28">
        <f t="shared" si="29"/>
        <v>3.7700283198656301E-4</v>
      </c>
      <c r="AQ95" s="28">
        <f t="shared" si="36"/>
        <v>5.7766501787113198E-4</v>
      </c>
      <c r="AR95" s="29">
        <f t="shared" si="37"/>
        <v>6.6207567599066951E-3</v>
      </c>
      <c r="AT95" s="12"/>
      <c r="AU95">
        <f t="shared" si="30"/>
        <v>0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6.44105986881184E-3</v>
      </c>
      <c r="BE95" s="29">
        <f t="shared" si="42"/>
        <v>5.7766501787113198E-4</v>
      </c>
      <c r="BF95" s="29">
        <f t="shared" si="43"/>
        <v>1.3061816628718531E-2</v>
      </c>
      <c r="BH95" s="29"/>
    </row>
    <row r="96" spans="1:60" x14ac:dyDescent="0.25">
      <c r="A96" s="1">
        <v>46161</v>
      </c>
      <c r="B96" s="33">
        <v>49.68</v>
      </c>
      <c r="C96" s="33">
        <v>105.67</v>
      </c>
      <c r="D96" s="15">
        <v>-3.2154368539744601E-3</v>
      </c>
      <c r="E96" s="15">
        <v>-3.8724959846129499E-3</v>
      </c>
      <c r="F96" s="33">
        <v>0</v>
      </c>
      <c r="G96" s="33">
        <v>0.57229999999999903</v>
      </c>
      <c r="H96" s="33">
        <v>0</v>
      </c>
      <c r="I96" s="33">
        <v>1.14231999999999</v>
      </c>
      <c r="J96" s="33">
        <v>0</v>
      </c>
      <c r="K96" s="33">
        <v>0</v>
      </c>
      <c r="L96" s="33">
        <v>49.68</v>
      </c>
      <c r="M96" s="33">
        <v>105.67</v>
      </c>
      <c r="N96" s="34">
        <v>2.12701288244766</v>
      </c>
      <c r="O96" s="34">
        <v>2.1285470928226302</v>
      </c>
      <c r="P96" s="34">
        <v>2.1294026756818001</v>
      </c>
      <c r="Q96" s="34">
        <v>2.1289655409416102</v>
      </c>
      <c r="R96" s="33">
        <v>105.746219571428</v>
      </c>
      <c r="S96" s="33">
        <v>105.80077079943101</v>
      </c>
      <c r="T96" s="33">
        <v>105.77100628755601</v>
      </c>
      <c r="U96" s="15">
        <v>7.2103810091223605E-4</v>
      </c>
      <c r="V96" s="15">
        <v>1.2367743835859099E-3</v>
      </c>
      <c r="W96" s="15">
        <v>9.5540876401189697E-4</v>
      </c>
      <c r="X96" s="34">
        <v>2.12701288244766</v>
      </c>
      <c r="Y96" s="34">
        <v>2.1285470928226302</v>
      </c>
      <c r="Z96" s="34">
        <v>2.1294026756818001</v>
      </c>
      <c r="AA96" s="34">
        <v>2.1289655409416102</v>
      </c>
      <c r="AB96" s="33">
        <v>105.746219571428</v>
      </c>
      <c r="AC96" s="33">
        <v>105.80077079943101</v>
      </c>
      <c r="AD96" s="33">
        <v>105.77100628755601</v>
      </c>
      <c r="AE96" s="15">
        <v>7.2103810091223605E-4</v>
      </c>
      <c r="AF96" s="15">
        <v>1.2367743835859099E-3</v>
      </c>
      <c r="AG96" s="15">
        <v>9.5540876401189697E-4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6.6207567599066951E-3</v>
      </c>
      <c r="AT96" s="12"/>
      <c r="AU96">
        <f t="shared" si="30"/>
        <v>0</v>
      </c>
      <c r="AV96">
        <f t="shared" si="31"/>
        <v>0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6.44105986881184E-3</v>
      </c>
      <c r="BE96" s="29">
        <f t="shared" si="42"/>
        <v>0</v>
      </c>
      <c r="BF96" s="29">
        <f t="shared" si="43"/>
        <v>1.3061816628718531E-2</v>
      </c>
      <c r="BH96" s="29"/>
    </row>
    <row r="97" spans="1:60" x14ac:dyDescent="0.25">
      <c r="A97" s="1">
        <v>46162</v>
      </c>
      <c r="B97" s="33">
        <v>49.8</v>
      </c>
      <c r="C97" s="33">
        <v>105.93</v>
      </c>
      <c r="D97" s="15">
        <v>2.4125464053839198E-3</v>
      </c>
      <c r="E97" s="15">
        <v>2.4574681554654599E-3</v>
      </c>
      <c r="F97" s="33">
        <v>0</v>
      </c>
      <c r="G97" s="33">
        <v>0.57229999999999903</v>
      </c>
      <c r="H97" s="33">
        <v>0</v>
      </c>
      <c r="I97" s="33">
        <v>1.14231999999999</v>
      </c>
      <c r="J97" s="33">
        <v>0</v>
      </c>
      <c r="K97" s="33">
        <v>0</v>
      </c>
      <c r="L97" s="33">
        <v>49.8</v>
      </c>
      <c r="M97" s="33">
        <v>105.93</v>
      </c>
      <c r="N97" s="34">
        <v>2.1271084337349402</v>
      </c>
      <c r="O97" s="34">
        <v>2.1285470928226302</v>
      </c>
      <c r="P97" s="34">
        <v>2.1291133199710899</v>
      </c>
      <c r="Q97" s="34">
        <v>2.1289259596539298</v>
      </c>
      <c r="R97" s="33">
        <v>106.00164522256701</v>
      </c>
      <c r="S97" s="33">
        <v>106.04425324895401</v>
      </c>
      <c r="T97" s="33">
        <v>106.02248393889199</v>
      </c>
      <c r="U97" s="15">
        <v>6.7611635083073105E-4</v>
      </c>
      <c r="V97" s="15">
        <v>1.07799186237993E-3</v>
      </c>
      <c r="W97" s="15">
        <v>8.7268564201754102E-4</v>
      </c>
      <c r="X97" s="34">
        <v>2.1271084337349402</v>
      </c>
      <c r="Y97" s="34">
        <v>2.1285470928226302</v>
      </c>
      <c r="Z97" s="34">
        <v>2.1291133199710899</v>
      </c>
      <c r="AA97" s="34">
        <v>2.1289259596539298</v>
      </c>
      <c r="AB97" s="33">
        <v>106.00164522256701</v>
      </c>
      <c r="AC97" s="33">
        <v>106.04425324895401</v>
      </c>
      <c r="AD97" s="33">
        <v>106.02248393889199</v>
      </c>
      <c r="AE97" s="15">
        <v>6.7611635083073105E-4</v>
      </c>
      <c r="AF97" s="15">
        <v>1.07799186237993E-3</v>
      </c>
      <c r="AG97" s="15">
        <v>8.7268564201754102E-4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6.6207567599066951E-3</v>
      </c>
      <c r="AT97" s="12"/>
      <c r="AU97">
        <f t="shared" si="30"/>
        <v>0</v>
      </c>
      <c r="AV97">
        <f t="shared" si="31"/>
        <v>0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6.44105986881184E-3</v>
      </c>
      <c r="BE97" s="29">
        <f t="shared" si="42"/>
        <v>0</v>
      </c>
      <c r="BF97" s="29">
        <f t="shared" si="43"/>
        <v>1.3061816628718531E-2</v>
      </c>
      <c r="BH97" s="29"/>
    </row>
    <row r="98" spans="1:60" x14ac:dyDescent="0.25">
      <c r="A98" s="1">
        <v>46163</v>
      </c>
      <c r="B98" s="33">
        <v>49.85</v>
      </c>
      <c r="C98" s="33">
        <v>106.08</v>
      </c>
      <c r="D98" s="15">
        <v>1.0035123772401001E-3</v>
      </c>
      <c r="E98" s="15">
        <v>1.41502782914747E-3</v>
      </c>
      <c r="F98" s="33">
        <v>0</v>
      </c>
      <c r="G98" s="33">
        <v>0.57229999999999903</v>
      </c>
      <c r="H98" s="33">
        <v>0</v>
      </c>
      <c r="I98" s="33">
        <v>1.14231999999999</v>
      </c>
      <c r="J98" s="33">
        <v>0</v>
      </c>
      <c r="K98" s="33">
        <v>0</v>
      </c>
      <c r="L98" s="33">
        <v>49.85</v>
      </c>
      <c r="M98" s="33">
        <v>106.08</v>
      </c>
      <c r="N98" s="34">
        <v>2.1279839518555601</v>
      </c>
      <c r="O98" s="34">
        <v>2.1285470928226302</v>
      </c>
      <c r="P98" s="34">
        <v>2.1287842251167999</v>
      </c>
      <c r="Q98" s="34">
        <v>2.1289525110623702</v>
      </c>
      <c r="R98" s="33">
        <v>106.10807257720801</v>
      </c>
      <c r="S98" s="33">
        <v>106.136299000558</v>
      </c>
      <c r="T98" s="33">
        <v>106.12695908874799</v>
      </c>
      <c r="U98" s="15">
        <v>2.6460089892351899E-4</v>
      </c>
      <c r="V98" s="15">
        <v>5.3058131863367199E-4</v>
      </c>
      <c r="W98" s="15">
        <v>4.4257822379608502E-4</v>
      </c>
      <c r="X98" s="34">
        <v>2.1279839518555601</v>
      </c>
      <c r="Y98" s="34">
        <v>2.1285470928226302</v>
      </c>
      <c r="Z98" s="34">
        <v>2.1287842251167999</v>
      </c>
      <c r="AA98" s="34">
        <v>2.1289525110623702</v>
      </c>
      <c r="AB98" s="33">
        <v>106.10807257720801</v>
      </c>
      <c r="AC98" s="33">
        <v>106.136299000558</v>
      </c>
      <c r="AD98" s="33">
        <v>106.12695908874799</v>
      </c>
      <c r="AE98" s="15">
        <v>2.6460089892351899E-4</v>
      </c>
      <c r="AF98" s="15">
        <v>5.3058131863367199E-4</v>
      </c>
      <c r="AG98" s="15">
        <v>4.4257822379608502E-4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6.6207567599066951E-3</v>
      </c>
      <c r="AT98" s="12"/>
      <c r="AU98">
        <f t="shared" si="30"/>
        <v>0</v>
      </c>
      <c r="AV98">
        <f t="shared" si="31"/>
        <v>0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6.44105986881184E-3</v>
      </c>
      <c r="BE98" s="29">
        <f t="shared" si="42"/>
        <v>0</v>
      </c>
      <c r="BF98" s="29">
        <f t="shared" si="43"/>
        <v>1.3061816628718531E-2</v>
      </c>
      <c r="BH98" s="29"/>
    </row>
    <row r="99" spans="1:60" x14ac:dyDescent="0.25">
      <c r="A99" s="1">
        <v>46164</v>
      </c>
      <c r="B99" s="33">
        <v>49.88</v>
      </c>
      <c r="C99" s="33">
        <v>106.17</v>
      </c>
      <c r="D99" s="15">
        <v>6.0162440398849699E-4</v>
      </c>
      <c r="E99" s="15">
        <v>8.4805658792932298E-4</v>
      </c>
      <c r="F99" s="33">
        <v>0</v>
      </c>
      <c r="G99" s="33">
        <v>0.57229999999999903</v>
      </c>
      <c r="H99" s="33">
        <v>0</v>
      </c>
      <c r="I99" s="33">
        <v>1.14231999999999</v>
      </c>
      <c r="J99" s="33">
        <v>0</v>
      </c>
      <c r="K99" s="33">
        <v>0</v>
      </c>
      <c r="L99" s="33">
        <v>49.88</v>
      </c>
      <c r="M99" s="33">
        <v>106.17</v>
      </c>
      <c r="N99" s="34">
        <v>2.1285084202085001</v>
      </c>
      <c r="O99" s="34">
        <v>2.1285470928226302</v>
      </c>
      <c r="P99" s="34">
        <v>2.1286997437545701</v>
      </c>
      <c r="Q99" s="34">
        <v>2.1290078112089201</v>
      </c>
      <c r="R99" s="33">
        <v>106.17192898999301</v>
      </c>
      <c r="S99" s="33">
        <v>106.183757148826</v>
      </c>
      <c r="T99" s="33">
        <v>106.192151251791</v>
      </c>
      <c r="U99" s="15">
        <v>1.8168714982373101E-5</v>
      </c>
      <c r="V99" s="15">
        <v>1.2956821701918999E-4</v>
      </c>
      <c r="W99" s="15">
        <v>2.08617700857314E-4</v>
      </c>
      <c r="X99" s="34">
        <v>2.1285084202085001</v>
      </c>
      <c r="Y99" s="34">
        <v>2.1285470928226302</v>
      </c>
      <c r="Z99" s="34">
        <v>2.1286997437545701</v>
      </c>
      <c r="AA99" s="34">
        <v>2.1290078112089201</v>
      </c>
      <c r="AB99" s="33">
        <v>106.17192898999301</v>
      </c>
      <c r="AC99" s="33">
        <v>106.183757148826</v>
      </c>
      <c r="AD99" s="33">
        <v>106.192151251791</v>
      </c>
      <c r="AE99" s="15">
        <v>1.8168714982373101E-5</v>
      </c>
      <c r="AF99" s="15">
        <v>1.2956821701918999E-4</v>
      </c>
      <c r="AG99" s="15">
        <v>2.08617700857314E-4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6.6207567599066951E-3</v>
      </c>
      <c r="AT99" s="12"/>
      <c r="AU99">
        <f t="shared" si="30"/>
        <v>0</v>
      </c>
      <c r="AV99">
        <f t="shared" si="31"/>
        <v>0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6.44105986881184E-3</v>
      </c>
      <c r="BE99" s="29">
        <f t="shared" si="42"/>
        <v>0</v>
      </c>
      <c r="BF99" s="29">
        <f t="shared" si="43"/>
        <v>1.3061816628718531E-2</v>
      </c>
      <c r="BH99" s="29"/>
    </row>
    <row r="100" spans="1:60" x14ac:dyDescent="0.25">
      <c r="A100" s="1">
        <v>46168</v>
      </c>
      <c r="B100" s="33">
        <v>50.09</v>
      </c>
      <c r="C100" s="33">
        <v>106.65</v>
      </c>
      <c r="D100" s="15">
        <v>4.2012665576897602E-3</v>
      </c>
      <c r="E100" s="15">
        <v>4.5108618918779601E-3</v>
      </c>
      <c r="F100" s="33">
        <v>0</v>
      </c>
      <c r="G100" s="33">
        <v>0.57229999999999903</v>
      </c>
      <c r="H100" s="33">
        <v>0</v>
      </c>
      <c r="I100" s="33">
        <v>1.14231999999999</v>
      </c>
      <c r="J100" s="33">
        <v>0</v>
      </c>
      <c r="K100" s="33">
        <v>0</v>
      </c>
      <c r="L100" s="33">
        <v>50.09</v>
      </c>
      <c r="M100" s="33">
        <v>106.65</v>
      </c>
      <c r="N100" s="34">
        <v>2.12916749850269</v>
      </c>
      <c r="O100" s="34">
        <v>2.1285470928226302</v>
      </c>
      <c r="P100" s="34">
        <v>2.1286734430273802</v>
      </c>
      <c r="Q100" s="34">
        <v>2.12905643776869</v>
      </c>
      <c r="R100" s="33">
        <v>106.618923879486</v>
      </c>
      <c r="S100" s="33">
        <v>106.62657016466601</v>
      </c>
      <c r="T100" s="33">
        <v>106.64200126345401</v>
      </c>
      <c r="U100" s="15">
        <v>-2.9142661920579402E-4</v>
      </c>
      <c r="V100" s="15">
        <v>-2.1971316783309501E-4</v>
      </c>
      <c r="W100" s="15">
        <v>-7.5002686472245298E-5</v>
      </c>
      <c r="X100" s="34">
        <v>2.12916749850269</v>
      </c>
      <c r="Y100" s="34">
        <v>2.1285470928226302</v>
      </c>
      <c r="Z100" s="34">
        <v>2.1286734430273802</v>
      </c>
      <c r="AA100" s="34">
        <v>2.12905643776869</v>
      </c>
      <c r="AB100" s="33">
        <v>106.618923879486</v>
      </c>
      <c r="AC100" s="33">
        <v>106.62657016466601</v>
      </c>
      <c r="AD100" s="33">
        <v>106.64200126345401</v>
      </c>
      <c r="AE100" s="15">
        <v>-2.9142661920579402E-4</v>
      </c>
      <c r="AF100" s="15">
        <v>-2.1971316783309501E-4</v>
      </c>
      <c r="AG100" s="15">
        <v>-7.5002686472245298E-5</v>
      </c>
      <c r="AI100" s="12"/>
      <c r="AJ100">
        <f t="shared" si="26"/>
        <v>0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6.6207567599066951E-3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6.44105986881184E-3</v>
      </c>
      <c r="BE100" s="29">
        <f t="shared" si="42"/>
        <v>0</v>
      </c>
      <c r="BF100" s="29">
        <f t="shared" si="43"/>
        <v>1.3061816628718531E-2</v>
      </c>
      <c r="BH100" s="29"/>
    </row>
    <row r="101" spans="1:60" x14ac:dyDescent="0.25">
      <c r="A101" s="1">
        <v>46169</v>
      </c>
      <c r="B101" s="33">
        <v>50.21</v>
      </c>
      <c r="C101" s="33">
        <v>106.89</v>
      </c>
      <c r="D101" s="15">
        <v>2.3928226770887099E-3</v>
      </c>
      <c r="E101" s="15">
        <v>2.2478233684947099E-3</v>
      </c>
      <c r="F101" s="33">
        <v>0</v>
      </c>
      <c r="G101" s="33">
        <v>0.57229999999999903</v>
      </c>
      <c r="H101" s="33">
        <v>0</v>
      </c>
      <c r="I101" s="33">
        <v>1.14231999999999</v>
      </c>
      <c r="J101" s="33">
        <v>0</v>
      </c>
      <c r="K101" s="33">
        <v>0</v>
      </c>
      <c r="L101" s="33">
        <v>50.21</v>
      </c>
      <c r="M101" s="33">
        <v>106.89</v>
      </c>
      <c r="N101" s="34">
        <v>2.1288587930690999</v>
      </c>
      <c r="O101" s="34">
        <v>2.1285470928226302</v>
      </c>
      <c r="P101" s="34">
        <v>2.12863035186342</v>
      </c>
      <c r="Q101" s="34">
        <v>2.1290298398154701</v>
      </c>
      <c r="R101" s="33">
        <v>106.874349530624</v>
      </c>
      <c r="S101" s="33">
        <v>106.88069357440401</v>
      </c>
      <c r="T101" s="33">
        <v>106.899923740365</v>
      </c>
      <c r="U101" s="15">
        <v>-1.4642731061191401E-4</v>
      </c>
      <c r="V101" s="15">
        <v>-8.7069237091374097E-5</v>
      </c>
      <c r="W101" s="15">
        <v>9.2836371325936095E-5</v>
      </c>
      <c r="X101" s="34">
        <v>2.1288587930690999</v>
      </c>
      <c r="Y101" s="34">
        <v>2.1285470928226302</v>
      </c>
      <c r="Z101" s="34">
        <v>2.12863035186342</v>
      </c>
      <c r="AA101" s="34">
        <v>2.1290298398154701</v>
      </c>
      <c r="AB101" s="33">
        <v>106.874349530624</v>
      </c>
      <c r="AC101" s="33">
        <v>106.88069357440401</v>
      </c>
      <c r="AD101" s="33">
        <v>106.899923740365</v>
      </c>
      <c r="AE101" s="15">
        <v>-1.4642731061191401E-4</v>
      </c>
      <c r="AF101" s="15">
        <v>-8.7069237091374097E-5</v>
      </c>
      <c r="AG101" s="15">
        <v>9.2836371325936095E-5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6.6207567599066951E-3</v>
      </c>
      <c r="AT101" s="12"/>
      <c r="AU101">
        <f t="shared" si="30"/>
        <v>0</v>
      </c>
      <c r="AV101">
        <f t="shared" si="31"/>
        <v>0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6.44105986881184E-3</v>
      </c>
      <c r="BE101" s="29">
        <f t="shared" si="42"/>
        <v>0</v>
      </c>
      <c r="BF101" s="29">
        <f t="shared" si="43"/>
        <v>1.3061816628718531E-2</v>
      </c>
      <c r="BH101" s="29"/>
    </row>
    <row r="102" spans="1:60" x14ac:dyDescent="0.25">
      <c r="A102" s="1">
        <v>46170</v>
      </c>
      <c r="B102" s="33">
        <v>50.28</v>
      </c>
      <c r="C102" s="33">
        <v>107.03</v>
      </c>
      <c r="D102" s="15">
        <v>1.39317367543251E-3</v>
      </c>
      <c r="E102" s="15">
        <v>1.3089007104298499E-3</v>
      </c>
      <c r="F102" s="33">
        <v>0</v>
      </c>
      <c r="G102" s="33">
        <v>0.57229999999999903</v>
      </c>
      <c r="H102" s="33">
        <v>0</v>
      </c>
      <c r="I102" s="33">
        <v>1.14231999999999</v>
      </c>
      <c r="J102" s="33">
        <v>0</v>
      </c>
      <c r="K102" s="33">
        <v>0</v>
      </c>
      <c r="L102" s="33">
        <v>50.28</v>
      </c>
      <c r="M102" s="33">
        <v>107.03</v>
      </c>
      <c r="N102" s="34">
        <v>2.1286793953858298</v>
      </c>
      <c r="O102" s="34">
        <v>2.1285470928226302</v>
      </c>
      <c r="P102" s="34">
        <v>2.1286439999848401</v>
      </c>
      <c r="Q102" s="34">
        <v>2.12904106152352</v>
      </c>
      <c r="R102" s="33">
        <v>107.023347827122</v>
      </c>
      <c r="S102" s="33">
        <v>107.027534091692</v>
      </c>
      <c r="T102" s="33">
        <v>107.047620345922</v>
      </c>
      <c r="U102" s="15">
        <v>-6.2154345609138505E-5</v>
      </c>
      <c r="V102" s="15">
        <v>-2.3039677791470499E-5</v>
      </c>
      <c r="W102" s="15">
        <v>1.64616422151302E-4</v>
      </c>
      <c r="X102" s="34">
        <v>2.1286793953858298</v>
      </c>
      <c r="Y102" s="34">
        <v>2.1285470928226302</v>
      </c>
      <c r="Z102" s="34">
        <v>2.1286439999848401</v>
      </c>
      <c r="AA102" s="34">
        <v>2.12904106152352</v>
      </c>
      <c r="AB102" s="33">
        <v>107.023347827122</v>
      </c>
      <c r="AC102" s="33">
        <v>107.027534091692</v>
      </c>
      <c r="AD102" s="33">
        <v>107.047620345922</v>
      </c>
      <c r="AE102" s="15">
        <v>-6.2154345609138505E-5</v>
      </c>
      <c r="AF102" s="15">
        <v>-2.3039677791470499E-5</v>
      </c>
      <c r="AG102" s="15">
        <v>1.64616422151302E-4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6.6207567599066951E-3</v>
      </c>
      <c r="AT102" s="12"/>
      <c r="AU102">
        <f t="shared" si="30"/>
        <v>0</v>
      </c>
      <c r="AV102">
        <f t="shared" si="31"/>
        <v>0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6.44105986881184E-3</v>
      </c>
      <c r="BE102" s="29">
        <f t="shared" si="42"/>
        <v>0</v>
      </c>
      <c r="BF102" s="29">
        <f t="shared" si="43"/>
        <v>1.3061816628718531E-2</v>
      </c>
      <c r="BH102" s="29"/>
    </row>
    <row r="103" spans="1:60" x14ac:dyDescent="0.25">
      <c r="A103" s="1">
        <v>46171</v>
      </c>
      <c r="B103" s="33">
        <v>50.36</v>
      </c>
      <c r="C103" s="33">
        <v>107.17</v>
      </c>
      <c r="D103" s="15">
        <v>1.5898254540997699E-3</v>
      </c>
      <c r="E103" s="15">
        <v>1.30718972862142E-3</v>
      </c>
      <c r="F103" s="33">
        <v>0</v>
      </c>
      <c r="G103" s="33">
        <v>0.57229999999999903</v>
      </c>
      <c r="H103" s="33">
        <v>0</v>
      </c>
      <c r="I103" s="33">
        <v>1.14231999999999</v>
      </c>
      <c r="J103" s="33">
        <v>0</v>
      </c>
      <c r="K103" s="33">
        <v>0</v>
      </c>
      <c r="L103" s="33">
        <v>50.36</v>
      </c>
      <c r="M103" s="33">
        <v>107.17</v>
      </c>
      <c r="N103" s="34">
        <v>2.1280778395551998</v>
      </c>
      <c r="O103" s="34">
        <v>2.1285470928226302</v>
      </c>
      <c r="P103" s="34">
        <v>2.1283448908334601</v>
      </c>
      <c r="Q103" s="34">
        <v>2.1289750667988399</v>
      </c>
      <c r="R103" s="33">
        <v>107.19363159454799</v>
      </c>
      <c r="S103" s="33">
        <v>107.19851183923601</v>
      </c>
      <c r="T103" s="33">
        <v>107.218507858324</v>
      </c>
      <c r="U103" s="15">
        <v>2.20481379869079E-4</v>
      </c>
      <c r="V103" s="15">
        <v>2.66007718765551E-4</v>
      </c>
      <c r="W103" s="15">
        <v>4.52522941990059E-4</v>
      </c>
      <c r="X103" s="34">
        <v>2.1280778395551998</v>
      </c>
      <c r="Y103" s="34">
        <v>2.1285470928226302</v>
      </c>
      <c r="Z103" s="34">
        <v>2.1283448908334601</v>
      </c>
      <c r="AA103" s="34">
        <v>2.1289750667988399</v>
      </c>
      <c r="AB103" s="33">
        <v>107.19363159454799</v>
      </c>
      <c r="AC103" s="33">
        <v>107.19851183923601</v>
      </c>
      <c r="AD103" s="33">
        <v>107.218507858324</v>
      </c>
      <c r="AE103" s="15">
        <v>2.20481379869079E-4</v>
      </c>
      <c r="AF103" s="15">
        <v>2.66007718765551E-4</v>
      </c>
      <c r="AG103" s="15">
        <v>4.52522941990059E-4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6.6207567599066951E-3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6.44105986881184E-3</v>
      </c>
      <c r="BE103" s="29">
        <f t="shared" si="42"/>
        <v>0</v>
      </c>
      <c r="BF103" s="29">
        <f t="shared" si="43"/>
        <v>1.3061816628718531E-2</v>
      </c>
      <c r="BH103" s="29"/>
    </row>
    <row r="104" spans="1:60" x14ac:dyDescent="0.25">
      <c r="A104" s="1">
        <v>46174</v>
      </c>
      <c r="B104" s="33">
        <v>50.29</v>
      </c>
      <c r="C104" s="33">
        <v>106.94</v>
      </c>
      <c r="D104" s="15">
        <v>-1.3909589922730401E-3</v>
      </c>
      <c r="E104" s="15">
        <v>-2.1484292043202E-3</v>
      </c>
      <c r="F104" s="33">
        <v>0.1381</v>
      </c>
      <c r="G104" s="33">
        <v>0.71039999999999903</v>
      </c>
      <c r="H104" s="33">
        <v>0.27983999999999998</v>
      </c>
      <c r="I104" s="33">
        <v>1.4221599999999901</v>
      </c>
      <c r="J104" s="33">
        <v>0</v>
      </c>
      <c r="K104" s="33">
        <v>0</v>
      </c>
      <c r="L104" s="33">
        <v>50.29</v>
      </c>
      <c r="M104" s="33">
        <v>106.94</v>
      </c>
      <c r="N104" s="34">
        <v>2.1264664943328602</v>
      </c>
      <c r="O104" s="34">
        <v>2.1285470928226302</v>
      </c>
      <c r="P104" s="34">
        <v>2.1280274624020099</v>
      </c>
      <c r="Q104" s="34">
        <v>2.1288503149757099</v>
      </c>
      <c r="R104" s="33">
        <v>107.04463329805</v>
      </c>
      <c r="S104" s="33">
        <v>107.034464560015</v>
      </c>
      <c r="T104" s="33">
        <v>107.066156109313</v>
      </c>
      <c r="U104" s="15">
        <v>9.7795159191626699E-4</v>
      </c>
      <c r="V104" s="15">
        <v>8.8295177040386102E-4</v>
      </c>
      <c r="W104" s="15">
        <v>1.17899527958076E-3</v>
      </c>
      <c r="X104" s="34">
        <v>2.1264664943328602</v>
      </c>
      <c r="Y104" s="34">
        <v>2.1285470928226302</v>
      </c>
      <c r="Z104" s="34">
        <v>2.1280274624020099</v>
      </c>
      <c r="AA104" s="34">
        <v>2.1288503149757099</v>
      </c>
      <c r="AB104" s="33">
        <v>107.04463329805</v>
      </c>
      <c r="AC104" s="33">
        <v>107.034464560015</v>
      </c>
      <c r="AD104" s="33">
        <v>107.066156109313</v>
      </c>
      <c r="AE104" s="15">
        <v>9.7795159191626699E-4</v>
      </c>
      <c r="AF104" s="15">
        <v>8.8295177040386102E-4</v>
      </c>
      <c r="AG104" s="15">
        <v>1.17899527958076E-3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6.6207567599066951E-3</v>
      </c>
      <c r="AT104" s="12"/>
      <c r="AU104">
        <f t="shared" si="30"/>
        <v>1</v>
      </c>
      <c r="AV104">
        <f t="shared" si="31"/>
        <v>0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6.44105986881184E-3</v>
      </c>
      <c r="BE104" s="29">
        <f t="shared" si="42"/>
        <v>0</v>
      </c>
      <c r="BF104" s="29">
        <f t="shared" si="43"/>
        <v>1.3061816628718531E-2</v>
      </c>
      <c r="BH104" s="29"/>
    </row>
    <row r="105" spans="1:60" x14ac:dyDescent="0.25">
      <c r="A105" s="1">
        <v>46175</v>
      </c>
      <c r="B105" s="33">
        <v>50.34</v>
      </c>
      <c r="C105" s="33">
        <v>107.1</v>
      </c>
      <c r="D105" s="15">
        <v>9.9373952329642008E-4</v>
      </c>
      <c r="E105" s="15">
        <v>1.49504793311746E-3</v>
      </c>
      <c r="F105" s="33">
        <v>0</v>
      </c>
      <c r="G105" s="33">
        <v>0.71039999999999903</v>
      </c>
      <c r="H105" s="33">
        <v>0</v>
      </c>
      <c r="I105" s="33">
        <v>1.4221599999999901</v>
      </c>
      <c r="J105" s="33">
        <v>0</v>
      </c>
      <c r="K105" s="33">
        <v>0</v>
      </c>
      <c r="L105" s="33">
        <v>50.34</v>
      </c>
      <c r="M105" s="33">
        <v>107.1</v>
      </c>
      <c r="N105" s="34">
        <v>2.1275327771156101</v>
      </c>
      <c r="O105" s="34">
        <v>2.1285470928226302</v>
      </c>
      <c r="P105" s="34">
        <v>2.1279396486208002</v>
      </c>
      <c r="Q105" s="34">
        <v>2.1287923967684499</v>
      </c>
      <c r="R105" s="33">
        <v>107.151060652691</v>
      </c>
      <c r="S105" s="33">
        <v>107.12490245731701</v>
      </c>
      <c r="T105" s="33">
        <v>107.16632485587699</v>
      </c>
      <c r="U105" s="15">
        <v>4.7664318209532001E-4</v>
      </c>
      <c r="V105" s="15">
        <v>2.3248891369766301E-4</v>
      </c>
      <c r="W105" s="15">
        <v>6.1908802552803201E-4</v>
      </c>
      <c r="X105" s="34">
        <v>2.1275327771156101</v>
      </c>
      <c r="Y105" s="34">
        <v>2.1285470928226302</v>
      </c>
      <c r="Z105" s="34">
        <v>2.1279396486208002</v>
      </c>
      <c r="AA105" s="34">
        <v>2.1287923967684499</v>
      </c>
      <c r="AB105" s="33">
        <v>107.151060652691</v>
      </c>
      <c r="AC105" s="33">
        <v>107.12490245731701</v>
      </c>
      <c r="AD105" s="33">
        <v>107.16632485587699</v>
      </c>
      <c r="AE105" s="15">
        <v>4.7664318209532001E-4</v>
      </c>
      <c r="AF105" s="15">
        <v>2.3248891369766301E-4</v>
      </c>
      <c r="AG105" s="15">
        <v>6.1908802552803201E-4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6.6207567599066951E-3</v>
      </c>
      <c r="AT105" s="12"/>
      <c r="AU105">
        <f t="shared" si="30"/>
        <v>0</v>
      </c>
      <c r="AV105">
        <f t="shared" si="31"/>
        <v>0</v>
      </c>
      <c r="AW105">
        <f t="shared" si="38"/>
        <v>1</v>
      </c>
      <c r="AX105">
        <f t="shared" si="25"/>
        <v>1</v>
      </c>
      <c r="AY105">
        <f t="shared" si="39"/>
        <v>1</v>
      </c>
      <c r="AZ105" s="28">
        <f t="shared" si="32"/>
        <v>-9.9373952329642008E-4</v>
      </c>
      <c r="BA105" s="28">
        <f t="shared" si="33"/>
        <v>1.49504793311746E-3</v>
      </c>
      <c r="BB105" s="28">
        <f t="shared" si="40"/>
        <v>5.0130840982103996E-4</v>
      </c>
      <c r="BC105" s="29">
        <f t="shared" si="41"/>
        <v>6.9423682786328798E-3</v>
      </c>
      <c r="BE105" s="29">
        <f t="shared" si="42"/>
        <v>5.0130840982103996E-4</v>
      </c>
      <c r="BF105" s="29">
        <f t="shared" si="43"/>
        <v>1.3563125038539571E-2</v>
      </c>
      <c r="BH105" s="29"/>
    </row>
    <row r="106" spans="1:60" x14ac:dyDescent="0.25">
      <c r="A106" s="1">
        <v>46176</v>
      </c>
      <c r="B106" s="33">
        <v>50.31</v>
      </c>
      <c r="C106" s="33">
        <v>107.01</v>
      </c>
      <c r="D106" s="15">
        <v>-5.9612520394268997E-4</v>
      </c>
      <c r="E106" s="15">
        <v>-8.4068941479312404E-4</v>
      </c>
      <c r="F106" s="33">
        <v>0</v>
      </c>
      <c r="G106" s="33">
        <v>0.71039999999999903</v>
      </c>
      <c r="H106" s="33">
        <v>0</v>
      </c>
      <c r="I106" s="33">
        <v>1.4221599999999901</v>
      </c>
      <c r="J106" s="33">
        <v>0</v>
      </c>
      <c r="K106" s="33">
        <v>0</v>
      </c>
      <c r="L106" s="33">
        <v>50.31</v>
      </c>
      <c r="M106" s="33">
        <v>107.01</v>
      </c>
      <c r="N106" s="34">
        <v>2.1270125223613499</v>
      </c>
      <c r="O106" s="34">
        <v>2.1285470928226302</v>
      </c>
      <c r="P106" s="34">
        <v>2.1279396126121601</v>
      </c>
      <c r="Q106" s="34">
        <v>2.1286711441469799</v>
      </c>
      <c r="R106" s="33">
        <v>107.087204239907</v>
      </c>
      <c r="S106" s="33">
        <v>107.056643722112</v>
      </c>
      <c r="T106" s="33">
        <v>107.09954548141999</v>
      </c>
      <c r="U106" s="15">
        <v>7.2120739294568605E-4</v>
      </c>
      <c r="V106" s="15">
        <v>4.3578693101928903E-4</v>
      </c>
      <c r="W106" s="15">
        <v>8.3644553483328704E-4</v>
      </c>
      <c r="X106" s="34">
        <v>2.1270125223613499</v>
      </c>
      <c r="Y106" s="34">
        <v>2.1285470928226302</v>
      </c>
      <c r="Z106" s="34">
        <v>2.1279396126121601</v>
      </c>
      <c r="AA106" s="34">
        <v>2.1286711441469799</v>
      </c>
      <c r="AB106" s="33">
        <v>107.087204239907</v>
      </c>
      <c r="AC106" s="33">
        <v>107.056643722112</v>
      </c>
      <c r="AD106" s="33">
        <v>107.09954548141999</v>
      </c>
      <c r="AE106" s="15">
        <v>7.2120739294568605E-4</v>
      </c>
      <c r="AF106" s="15">
        <v>4.3578693101928903E-4</v>
      </c>
      <c r="AG106" s="15">
        <v>8.3644553483328704E-4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6.6207567599066951E-3</v>
      </c>
      <c r="AT106" s="12"/>
      <c r="AU106">
        <f t="shared" si="30"/>
        <v>0</v>
      </c>
      <c r="AV106">
        <f t="shared" si="31"/>
        <v>0</v>
      </c>
      <c r="AW106">
        <f t="shared" si="38"/>
        <v>1</v>
      </c>
      <c r="AX106">
        <f t="shared" si="25"/>
        <v>1</v>
      </c>
      <c r="AY106">
        <f t="shared" si="39"/>
        <v>1</v>
      </c>
      <c r="AZ106" s="28">
        <f t="shared" si="32"/>
        <v>5.9612520394268997E-4</v>
      </c>
      <c r="BA106" s="28">
        <f t="shared" si="33"/>
        <v>-8.4068941479312404E-4</v>
      </c>
      <c r="BB106" s="28">
        <f t="shared" si="40"/>
        <v>-2.4456421085043408E-4</v>
      </c>
      <c r="BC106" s="29">
        <f t="shared" si="41"/>
        <v>6.6978040677824454E-3</v>
      </c>
      <c r="BE106" s="29">
        <f t="shared" si="42"/>
        <v>-2.4456421085043408E-4</v>
      </c>
      <c r="BF106" s="29">
        <f t="shared" si="43"/>
        <v>1.3318560827689138E-2</v>
      </c>
      <c r="BH106" s="29"/>
    </row>
    <row r="107" spans="1:60" x14ac:dyDescent="0.25">
      <c r="A107" s="1">
        <v>46177</v>
      </c>
      <c r="B107" s="33">
        <v>50.38</v>
      </c>
      <c r="C107" s="33">
        <v>107.19</v>
      </c>
      <c r="D107" s="15">
        <v>1.3904064212368801E-3</v>
      </c>
      <c r="E107" s="15">
        <v>1.6806726645182399E-3</v>
      </c>
      <c r="F107" s="33">
        <v>0</v>
      </c>
      <c r="G107" s="33">
        <v>0.71039999999999903</v>
      </c>
      <c r="H107" s="33">
        <v>0</v>
      </c>
      <c r="I107" s="33">
        <v>1.4221599999999901</v>
      </c>
      <c r="J107" s="33">
        <v>0</v>
      </c>
      <c r="K107" s="33">
        <v>0</v>
      </c>
      <c r="L107" s="33">
        <v>50.38</v>
      </c>
      <c r="M107" s="33">
        <v>107.19</v>
      </c>
      <c r="N107" s="34">
        <v>2.12763001190948</v>
      </c>
      <c r="O107" s="34">
        <v>2.1285470928226302</v>
      </c>
      <c r="P107" s="34">
        <v>2.1279917704296198</v>
      </c>
      <c r="Q107" s="34">
        <v>2.1285525452003502</v>
      </c>
      <c r="R107" s="33">
        <v>107.23620253640399</v>
      </c>
      <c r="S107" s="33">
        <v>107.205597683401</v>
      </c>
      <c r="T107" s="33">
        <v>107.242452242125</v>
      </c>
      <c r="U107" s="15">
        <v>4.3094114966444398E-4</v>
      </c>
      <c r="V107" s="15">
        <v>1.4550376590903699E-4</v>
      </c>
      <c r="W107" s="15">
        <v>4.8921926343730197E-4</v>
      </c>
      <c r="X107" s="34">
        <v>2.12763001190948</v>
      </c>
      <c r="Y107" s="34">
        <v>2.1285470928226302</v>
      </c>
      <c r="Z107" s="34">
        <v>2.1279917704296198</v>
      </c>
      <c r="AA107" s="34">
        <v>2.1285525452003502</v>
      </c>
      <c r="AB107" s="33">
        <v>107.23620253640399</v>
      </c>
      <c r="AC107" s="33">
        <v>107.205597683401</v>
      </c>
      <c r="AD107" s="33">
        <v>107.242452242125</v>
      </c>
      <c r="AE107" s="15">
        <v>4.3094114966444398E-4</v>
      </c>
      <c r="AF107" s="15">
        <v>1.4550376590903699E-4</v>
      </c>
      <c r="AG107" s="15">
        <v>4.8921926343730197E-4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6.6207567599066951E-3</v>
      </c>
      <c r="AT107" s="12"/>
      <c r="AU107">
        <f t="shared" si="30"/>
        <v>0</v>
      </c>
      <c r="AV107">
        <f t="shared" si="31"/>
        <v>0</v>
      </c>
      <c r="AW107">
        <f t="shared" si="38"/>
        <v>1</v>
      </c>
      <c r="AX107">
        <f t="shared" si="25"/>
        <v>1</v>
      </c>
      <c r="AY107">
        <f t="shared" si="39"/>
        <v>1</v>
      </c>
      <c r="AZ107" s="28">
        <f t="shared" si="32"/>
        <v>-1.3904064212368801E-3</v>
      </c>
      <c r="BA107" s="28">
        <f t="shared" si="33"/>
        <v>1.6806726645182399E-3</v>
      </c>
      <c r="BB107" s="28">
        <f t="shared" si="40"/>
        <v>2.9026624328135986E-4</v>
      </c>
      <c r="BC107" s="29">
        <f t="shared" si="41"/>
        <v>6.9880703110638057E-3</v>
      </c>
      <c r="BE107" s="29">
        <f t="shared" si="42"/>
        <v>2.9026624328135986E-4</v>
      </c>
      <c r="BF107" s="29">
        <f t="shared" si="43"/>
        <v>1.3608827070970497E-2</v>
      </c>
      <c r="BH107" s="29"/>
    </row>
    <row r="108" spans="1:60" x14ac:dyDescent="0.25">
      <c r="A108" s="1">
        <v>46178</v>
      </c>
      <c r="B108" s="33">
        <v>50.3</v>
      </c>
      <c r="C108" s="33">
        <v>106.97</v>
      </c>
      <c r="D108" s="15">
        <v>-1.58919381877075E-3</v>
      </c>
      <c r="E108" s="15">
        <v>-2.0545393853886101E-3</v>
      </c>
      <c r="F108" s="33">
        <v>0</v>
      </c>
      <c r="G108" s="33">
        <v>0.71039999999999903</v>
      </c>
      <c r="H108" s="33">
        <v>0</v>
      </c>
      <c r="I108" s="33">
        <v>1.4221599999999901</v>
      </c>
      <c r="J108" s="33">
        <v>0</v>
      </c>
      <c r="K108" s="33">
        <v>0</v>
      </c>
      <c r="L108" s="33">
        <v>50.3</v>
      </c>
      <c r="M108" s="33">
        <v>106.97</v>
      </c>
      <c r="N108" s="34">
        <v>2.1266401590457198</v>
      </c>
      <c r="O108" s="34">
        <v>2.1285470928226302</v>
      </c>
      <c r="P108" s="34">
        <v>2.1278573911486398</v>
      </c>
      <c r="Q108" s="34">
        <v>2.1283208081327198</v>
      </c>
      <c r="R108" s="33">
        <v>107.06591876897799</v>
      </c>
      <c r="S108" s="33">
        <v>107.03798605260999</v>
      </c>
      <c r="T108" s="33">
        <v>107.06619302357799</v>
      </c>
      <c r="U108" s="15">
        <v>8.9628671628236105E-4</v>
      </c>
      <c r="V108" s="15">
        <v>6.3535998026215199E-4</v>
      </c>
      <c r="W108" s="15">
        <v>8.9884826202094102E-4</v>
      </c>
      <c r="X108" s="34">
        <v>2.1266401590457198</v>
      </c>
      <c r="Y108" s="34">
        <v>2.1285470928226302</v>
      </c>
      <c r="Z108" s="34">
        <v>2.1278573911486398</v>
      </c>
      <c r="AA108" s="34">
        <v>2.1283208081327198</v>
      </c>
      <c r="AB108" s="33">
        <v>107.06591876897799</v>
      </c>
      <c r="AC108" s="33">
        <v>107.03798605260999</v>
      </c>
      <c r="AD108" s="33">
        <v>107.06619302357799</v>
      </c>
      <c r="AE108" s="15">
        <v>8.9628671628236105E-4</v>
      </c>
      <c r="AF108" s="15">
        <v>6.3535998026215199E-4</v>
      </c>
      <c r="AG108" s="15">
        <v>8.9884826202094102E-4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6.6207567599066951E-3</v>
      </c>
      <c r="AT108" s="12"/>
      <c r="AU108">
        <f t="shared" si="30"/>
        <v>0</v>
      </c>
      <c r="AV108">
        <f t="shared" si="31"/>
        <v>0</v>
      </c>
      <c r="AW108">
        <f t="shared" si="38"/>
        <v>1</v>
      </c>
      <c r="AX108">
        <f t="shared" si="25"/>
        <v>1</v>
      </c>
      <c r="AY108">
        <f t="shared" si="39"/>
        <v>1</v>
      </c>
      <c r="AZ108" s="28">
        <f t="shared" si="32"/>
        <v>1.58919381877075E-3</v>
      </c>
      <c r="BA108" s="28">
        <f t="shared" si="33"/>
        <v>-2.0545393853886101E-3</v>
      </c>
      <c r="BB108" s="28">
        <f t="shared" si="40"/>
        <v>-4.6534556661786009E-4</v>
      </c>
      <c r="BC108" s="29">
        <f t="shared" si="41"/>
        <v>6.5227247444459456E-3</v>
      </c>
      <c r="BE108" s="29">
        <f t="shared" si="42"/>
        <v>-4.6534556661786009E-4</v>
      </c>
      <c r="BF108" s="29">
        <f t="shared" si="43"/>
        <v>1.3143481504352638E-2</v>
      </c>
      <c r="BH108" s="29"/>
    </row>
    <row r="109" spans="1:60" x14ac:dyDescent="0.25">
      <c r="A109" s="1">
        <v>46181</v>
      </c>
      <c r="B109" s="33">
        <v>50.29</v>
      </c>
      <c r="C109" s="33">
        <v>106.94</v>
      </c>
      <c r="D109" s="15">
        <v>-1.9882692182014299E-4</v>
      </c>
      <c r="E109" s="15">
        <v>-2.80491797453932E-4</v>
      </c>
      <c r="F109" s="33">
        <v>0</v>
      </c>
      <c r="G109" s="33">
        <v>0.71039999999999903</v>
      </c>
      <c r="H109" s="33">
        <v>0</v>
      </c>
      <c r="I109" s="33">
        <v>1.4221599999999901</v>
      </c>
      <c r="J109" s="33">
        <v>0</v>
      </c>
      <c r="K109" s="33">
        <v>0</v>
      </c>
      <c r="L109" s="33">
        <v>50.29</v>
      </c>
      <c r="M109" s="33">
        <v>106.94</v>
      </c>
      <c r="N109" s="34">
        <v>2.1264664943328602</v>
      </c>
      <c r="O109" s="34">
        <v>2.1285470928226302</v>
      </c>
      <c r="P109" s="34">
        <v>2.1276531985610698</v>
      </c>
      <c r="Q109" s="34">
        <v>2.1281764711578202</v>
      </c>
      <c r="R109" s="33">
        <v>107.04463329805</v>
      </c>
      <c r="S109" s="33">
        <v>107.009948200865</v>
      </c>
      <c r="T109" s="33">
        <v>107.033253440994</v>
      </c>
      <c r="U109" s="15">
        <v>9.7795159191626699E-4</v>
      </c>
      <c r="V109" s="15">
        <v>6.5387445938204101E-4</v>
      </c>
      <c r="W109" s="15">
        <v>8.7163648165474404E-4</v>
      </c>
      <c r="X109" s="34">
        <v>2.1264664943328602</v>
      </c>
      <c r="Y109" s="34">
        <v>2.1285470928226302</v>
      </c>
      <c r="Z109" s="34">
        <v>2.1276531985610698</v>
      </c>
      <c r="AA109" s="34">
        <v>2.1281764711578202</v>
      </c>
      <c r="AB109" s="33">
        <v>107.04463329805</v>
      </c>
      <c r="AC109" s="33">
        <v>107.009948200865</v>
      </c>
      <c r="AD109" s="33">
        <v>107.033253440994</v>
      </c>
      <c r="AE109" s="15">
        <v>9.7795159191626699E-4</v>
      </c>
      <c r="AF109" s="15">
        <v>6.5387445938204101E-4</v>
      </c>
      <c r="AG109" s="15">
        <v>8.7163648165474404E-4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6.6207567599066951E-3</v>
      </c>
      <c r="AT109" s="12"/>
      <c r="AU109">
        <f t="shared" si="30"/>
        <v>0</v>
      </c>
      <c r="AV109">
        <f t="shared" si="31"/>
        <v>0</v>
      </c>
      <c r="AW109">
        <f t="shared" si="38"/>
        <v>1</v>
      </c>
      <c r="AX109">
        <f t="shared" si="25"/>
        <v>1</v>
      </c>
      <c r="AY109">
        <f t="shared" si="39"/>
        <v>1</v>
      </c>
      <c r="AZ109" s="28">
        <f t="shared" si="32"/>
        <v>1.9882692182014299E-4</v>
      </c>
      <c r="BA109" s="28">
        <f t="shared" si="33"/>
        <v>-2.80491797453932E-4</v>
      </c>
      <c r="BB109" s="28">
        <f t="shared" si="40"/>
        <v>-8.1664875633789011E-5</v>
      </c>
      <c r="BC109" s="29">
        <f t="shared" si="41"/>
        <v>6.4410598688121566E-3</v>
      </c>
      <c r="BE109" s="29">
        <f t="shared" si="42"/>
        <v>-8.1664875633789011E-5</v>
      </c>
      <c r="BF109" s="29">
        <f t="shared" si="43"/>
        <v>1.3061816628718848E-2</v>
      </c>
      <c r="BH109" s="29"/>
    </row>
    <row r="110" spans="1:60" x14ac:dyDescent="0.25">
      <c r="A110" s="1">
        <v>46182</v>
      </c>
      <c r="B110" s="33">
        <v>50.37</v>
      </c>
      <c r="C110" s="33">
        <v>107.04</v>
      </c>
      <c r="D110" s="15">
        <v>1.58950957368566E-3</v>
      </c>
      <c r="E110" s="15">
        <v>9.3466685933290704E-4</v>
      </c>
      <c r="F110" s="33">
        <v>0</v>
      </c>
      <c r="G110" s="33">
        <v>0.71039999999999903</v>
      </c>
      <c r="H110" s="33">
        <v>0</v>
      </c>
      <c r="I110" s="33">
        <v>1.4221599999999901</v>
      </c>
      <c r="J110" s="33">
        <v>0</v>
      </c>
      <c r="K110" s="33">
        <v>0</v>
      </c>
      <c r="L110" s="33">
        <v>50.37</v>
      </c>
      <c r="M110" s="33">
        <v>107.04</v>
      </c>
      <c r="N110" s="34">
        <v>2.1250744490768301</v>
      </c>
      <c r="O110" s="34">
        <v>2.1285470928226302</v>
      </c>
      <c r="P110" s="34">
        <v>2.1272438936184899</v>
      </c>
      <c r="Q110" s="34">
        <v>2.1279586683229299</v>
      </c>
      <c r="R110" s="33">
        <v>107.214917065476</v>
      </c>
      <c r="S110" s="33">
        <v>107.169891611521</v>
      </c>
      <c r="T110" s="33">
        <v>107.196248852219</v>
      </c>
      <c r="U110" s="15">
        <v>1.6327943062690001E-3</v>
      </c>
      <c r="V110" s="15">
        <v>1.2127509748896799E-3</v>
      </c>
      <c r="W110" s="15">
        <v>1.45865959435709E-3</v>
      </c>
      <c r="X110" s="34">
        <v>2.1250744490768301</v>
      </c>
      <c r="Y110" s="34">
        <v>2.1285470928226302</v>
      </c>
      <c r="Z110" s="34">
        <v>2.1272438936184899</v>
      </c>
      <c r="AA110" s="34">
        <v>2.1279586683229299</v>
      </c>
      <c r="AB110" s="33">
        <v>107.214917065476</v>
      </c>
      <c r="AC110" s="33">
        <v>107.169891611521</v>
      </c>
      <c r="AD110" s="33">
        <v>107.196248852219</v>
      </c>
      <c r="AE110" s="15">
        <v>1.6327943062690001E-3</v>
      </c>
      <c r="AF110" s="15">
        <v>1.2127509748896799E-3</v>
      </c>
      <c r="AG110" s="15">
        <v>1.45865959435709E-3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6.6207567599066951E-3</v>
      </c>
      <c r="AT110" s="12"/>
      <c r="AU110">
        <f t="shared" si="30"/>
        <v>1</v>
      </c>
      <c r="AV110">
        <f t="shared" si="31"/>
        <v>0</v>
      </c>
      <c r="AW110">
        <f t="shared" si="38"/>
        <v>1</v>
      </c>
      <c r="AX110">
        <f t="shared" si="25"/>
        <v>1</v>
      </c>
      <c r="AY110">
        <f t="shared" si="39"/>
        <v>1</v>
      </c>
      <c r="AZ110" s="28">
        <f t="shared" si="32"/>
        <v>-1.58950957368566E-3</v>
      </c>
      <c r="BA110" s="28">
        <f t="shared" si="33"/>
        <v>9.3466685933290704E-4</v>
      </c>
      <c r="BB110" s="28">
        <f t="shared" si="40"/>
        <v>-6.5484271435275294E-4</v>
      </c>
      <c r="BC110" s="29">
        <f t="shared" si="41"/>
        <v>5.7862171544594034E-3</v>
      </c>
      <c r="BE110" s="29">
        <f t="shared" si="42"/>
        <v>-6.5484271435275294E-4</v>
      </c>
      <c r="BF110" s="29">
        <f t="shared" si="43"/>
        <v>1.2406973914366095E-2</v>
      </c>
      <c r="BH110" s="29"/>
    </row>
    <row r="111" spans="1:60" x14ac:dyDescent="0.25">
      <c r="A111" s="1">
        <v>46183</v>
      </c>
      <c r="B111" s="33">
        <v>50.26</v>
      </c>
      <c r="C111" s="33">
        <v>106.82</v>
      </c>
      <c r="D111" s="15">
        <v>-2.18622764211305E-3</v>
      </c>
      <c r="E111" s="15">
        <v>-2.0574214682941702E-3</v>
      </c>
      <c r="F111" s="33">
        <v>0</v>
      </c>
      <c r="G111" s="33">
        <v>0.71039999999999903</v>
      </c>
      <c r="H111" s="33">
        <v>0</v>
      </c>
      <c r="I111" s="33">
        <v>1.4221599999999901</v>
      </c>
      <c r="J111" s="33">
        <v>0</v>
      </c>
      <c r="K111" s="33">
        <v>0</v>
      </c>
      <c r="L111" s="33">
        <v>50.26</v>
      </c>
      <c r="M111" s="33">
        <v>106.82</v>
      </c>
      <c r="N111" s="34">
        <v>2.1253481894150399</v>
      </c>
      <c r="O111" s="34">
        <v>2.1285470928226302</v>
      </c>
      <c r="P111" s="34">
        <v>2.1268928332530801</v>
      </c>
      <c r="Q111" s="34">
        <v>2.12776159255825</v>
      </c>
      <c r="R111" s="33">
        <v>106.980776885265</v>
      </c>
      <c r="S111" s="33">
        <v>106.915278093265</v>
      </c>
      <c r="T111" s="33">
        <v>106.95120266991</v>
      </c>
      <c r="U111" s="15">
        <v>1.50398813245014E-3</v>
      </c>
      <c r="V111" s="15">
        <v>8.9155239534103605E-4</v>
      </c>
      <c r="W111" s="15">
        <v>1.2275057140203501E-3</v>
      </c>
      <c r="X111" s="34">
        <v>2.1253481894150399</v>
      </c>
      <c r="Y111" s="34">
        <v>2.1285470928226302</v>
      </c>
      <c r="Z111" s="34">
        <v>2.1268928332530801</v>
      </c>
      <c r="AA111" s="34">
        <v>2.12776159255825</v>
      </c>
      <c r="AB111" s="33">
        <v>106.980776885265</v>
      </c>
      <c r="AC111" s="33">
        <v>106.915278093265</v>
      </c>
      <c r="AD111" s="33">
        <v>106.95120266991</v>
      </c>
      <c r="AE111" s="15">
        <v>1.50398813245014E-3</v>
      </c>
      <c r="AF111" s="15">
        <v>8.9155239534103605E-4</v>
      </c>
      <c r="AG111" s="15">
        <v>1.2275057140203501E-3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6.6207567599066951E-3</v>
      </c>
      <c r="AT111" s="12"/>
      <c r="AU111">
        <f t="shared" si="30"/>
        <v>1</v>
      </c>
      <c r="AV111">
        <f t="shared" si="31"/>
        <v>0</v>
      </c>
      <c r="AW111">
        <f t="shared" si="38"/>
        <v>1</v>
      </c>
      <c r="AX111">
        <f t="shared" si="25"/>
        <v>1</v>
      </c>
      <c r="AY111">
        <f t="shared" si="39"/>
        <v>1</v>
      </c>
      <c r="AZ111" s="28">
        <f t="shared" si="32"/>
        <v>2.18622764211305E-3</v>
      </c>
      <c r="BA111" s="28">
        <f t="shared" si="33"/>
        <v>-2.0574214682941702E-3</v>
      </c>
      <c r="BB111" s="28">
        <f t="shared" si="40"/>
        <v>1.2880617381887983E-4</v>
      </c>
      <c r="BC111" s="29">
        <f t="shared" si="41"/>
        <v>5.9150233282782832E-3</v>
      </c>
      <c r="BE111" s="29">
        <f t="shared" si="42"/>
        <v>1.2880617381887983E-4</v>
      </c>
      <c r="BF111" s="29">
        <f t="shared" si="43"/>
        <v>1.2535780088184975E-2</v>
      </c>
      <c r="BH111" s="29"/>
    </row>
    <row r="112" spans="1:60" x14ac:dyDescent="0.25">
      <c r="A112" s="1">
        <v>46184</v>
      </c>
      <c r="B112" s="33">
        <v>50.34</v>
      </c>
      <c r="C112" s="33">
        <v>107.06</v>
      </c>
      <c r="D112" s="15">
        <v>1.59045759172385E-3</v>
      </c>
      <c r="E112" s="15">
        <v>2.2442500536110702E-3</v>
      </c>
      <c r="F112" s="33">
        <v>0</v>
      </c>
      <c r="G112" s="33">
        <v>0.71039999999999903</v>
      </c>
      <c r="H112" s="33">
        <v>0</v>
      </c>
      <c r="I112" s="33">
        <v>1.4221599999999901</v>
      </c>
      <c r="J112" s="33">
        <v>0</v>
      </c>
      <c r="K112" s="33">
        <v>0</v>
      </c>
      <c r="L112" s="33">
        <v>50.34</v>
      </c>
      <c r="M112" s="33">
        <v>107.06</v>
      </c>
      <c r="N112" s="34">
        <v>2.1267381803734602</v>
      </c>
      <c r="O112" s="34">
        <v>2.1285470928226302</v>
      </c>
      <c r="P112" s="34">
        <v>2.1266987117518399</v>
      </c>
      <c r="Q112" s="34">
        <v>2.12767135586834</v>
      </c>
      <c r="R112" s="33">
        <v>107.151060652691</v>
      </c>
      <c r="S112" s="33">
        <v>107.06778522595999</v>
      </c>
      <c r="T112" s="33">
        <v>107.111518569382</v>
      </c>
      <c r="U112" s="15">
        <v>8.5019567056291204E-4</v>
      </c>
      <c r="V112" s="15">
        <v>7.2715700631550197E-5</v>
      </c>
      <c r="W112" s="15">
        <v>4.8109637285386598E-4</v>
      </c>
      <c r="X112" s="34">
        <v>2.1267381803734602</v>
      </c>
      <c r="Y112" s="34">
        <v>2.1285470928226302</v>
      </c>
      <c r="Z112" s="34">
        <v>2.1266987117518399</v>
      </c>
      <c r="AA112" s="34">
        <v>2.12767135586834</v>
      </c>
      <c r="AB112" s="33">
        <v>107.151060652691</v>
      </c>
      <c r="AC112" s="33">
        <v>107.06778522595999</v>
      </c>
      <c r="AD112" s="33">
        <v>107.111518569382</v>
      </c>
      <c r="AE112" s="15">
        <v>8.5019567056291204E-4</v>
      </c>
      <c r="AF112" s="15">
        <v>7.2715700631550197E-5</v>
      </c>
      <c r="AG112" s="15">
        <v>4.8109637285386598E-4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6.6207567599066951E-3</v>
      </c>
      <c r="AT112" s="12"/>
      <c r="AU112">
        <f t="shared" si="30"/>
        <v>0</v>
      </c>
      <c r="AV112">
        <f t="shared" si="31"/>
        <v>0</v>
      </c>
      <c r="AW112">
        <f t="shared" si="38"/>
        <v>1</v>
      </c>
      <c r="AX112">
        <f t="shared" si="25"/>
        <v>1</v>
      </c>
      <c r="AY112">
        <f t="shared" si="39"/>
        <v>1</v>
      </c>
      <c r="AZ112" s="28">
        <f t="shared" si="32"/>
        <v>-1.59045759172385E-3</v>
      </c>
      <c r="BA112" s="28">
        <f t="shared" si="33"/>
        <v>2.2442500536110702E-3</v>
      </c>
      <c r="BB112" s="28">
        <f t="shared" si="40"/>
        <v>6.5379246188722014E-4</v>
      </c>
      <c r="BC112" s="29">
        <f t="shared" si="41"/>
        <v>6.5688157901655029E-3</v>
      </c>
      <c r="BE112" s="29">
        <f t="shared" si="42"/>
        <v>6.5379246188722014E-4</v>
      </c>
      <c r="BF112" s="29">
        <f t="shared" si="43"/>
        <v>1.3189572550072194E-2</v>
      </c>
      <c r="BH112" s="29"/>
    </row>
    <row r="113" spans="1:60" x14ac:dyDescent="0.25">
      <c r="A113" s="1">
        <v>46185</v>
      </c>
      <c r="B113" s="33">
        <v>50.3</v>
      </c>
      <c r="C113" s="33">
        <v>107.05</v>
      </c>
      <c r="D113" s="15">
        <v>-7.9491260147636095E-4</v>
      </c>
      <c r="E113" s="15">
        <v>-9.3409929543425399E-5</v>
      </c>
      <c r="F113" s="33">
        <v>0</v>
      </c>
      <c r="G113" s="33">
        <v>0.71039999999999903</v>
      </c>
      <c r="H113" s="33">
        <v>0</v>
      </c>
      <c r="I113" s="33">
        <v>1.4221599999999901</v>
      </c>
      <c r="J113" s="33">
        <v>0</v>
      </c>
      <c r="K113" s="33">
        <v>0</v>
      </c>
      <c r="L113" s="33">
        <v>50.3</v>
      </c>
      <c r="M113" s="33">
        <v>107.05</v>
      </c>
      <c r="N113" s="34">
        <v>2.1282306163021798</v>
      </c>
      <c r="O113" s="34">
        <v>2.1285470928226302</v>
      </c>
      <c r="P113" s="34">
        <v>2.1267139894265399</v>
      </c>
      <c r="Q113" s="34">
        <v>2.12752944013</v>
      </c>
      <c r="R113" s="33">
        <v>107.06591876897799</v>
      </c>
      <c r="S113" s="33">
        <v>106.972945201117</v>
      </c>
      <c r="T113" s="33">
        <v>107.02186920017699</v>
      </c>
      <c r="U113" s="15">
        <v>1.48692998629953E-4</v>
      </c>
      <c r="V113" s="15">
        <v>-7.20061133062785E-4</v>
      </c>
      <c r="W113" s="15">
        <v>-2.62816409174501E-4</v>
      </c>
      <c r="X113" s="34">
        <v>2.1282306163021798</v>
      </c>
      <c r="Y113" s="34">
        <v>2.1285470928226302</v>
      </c>
      <c r="Z113" s="34">
        <v>2.1267139894265399</v>
      </c>
      <c r="AA113" s="34">
        <v>2.12752944013</v>
      </c>
      <c r="AB113" s="33">
        <v>107.06591876897799</v>
      </c>
      <c r="AC113" s="33">
        <v>106.972945201117</v>
      </c>
      <c r="AD113" s="33">
        <v>107.02186920017699</v>
      </c>
      <c r="AE113" s="15">
        <v>1.48692998629953E-4</v>
      </c>
      <c r="AF113" s="15">
        <v>-7.20061133062785E-4</v>
      </c>
      <c r="AG113" s="15">
        <v>-2.62816409174501E-4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6.6207567599066951E-3</v>
      </c>
      <c r="AT113" s="12"/>
      <c r="AU113">
        <f t="shared" si="30"/>
        <v>0</v>
      </c>
      <c r="AV113">
        <f t="shared" si="31"/>
        <v>1</v>
      </c>
      <c r="AW113">
        <f t="shared" si="38"/>
        <v>1</v>
      </c>
      <c r="AX113">
        <f t="shared" si="25"/>
        <v>1</v>
      </c>
      <c r="AY113">
        <f t="shared" si="39"/>
        <v>1</v>
      </c>
      <c r="AZ113" s="28">
        <f t="shared" si="32"/>
        <v>7.9491260147636095E-4</v>
      </c>
      <c r="BA113" s="28">
        <f t="shared" si="33"/>
        <v>-9.3409929543425399E-5</v>
      </c>
      <c r="BB113" s="28">
        <f t="shared" si="40"/>
        <v>7.0150267193293551E-4</v>
      </c>
      <c r="BC113" s="29">
        <f t="shared" si="41"/>
        <v>7.2703184620984381E-3</v>
      </c>
      <c r="BE113" s="29">
        <f t="shared" si="42"/>
        <v>7.0150267193293551E-4</v>
      </c>
      <c r="BF113" s="29">
        <f t="shared" si="43"/>
        <v>1.3891075222005131E-2</v>
      </c>
      <c r="BH113" s="29"/>
    </row>
    <row r="114" spans="1:60" x14ac:dyDescent="0.25">
      <c r="A114" s="1">
        <v>46188</v>
      </c>
      <c r="B114" s="33">
        <v>50.35</v>
      </c>
      <c r="C114" s="33">
        <v>107.17</v>
      </c>
      <c r="D114" s="15">
        <v>9.9354205887795702E-4</v>
      </c>
      <c r="E114" s="15">
        <v>1.12034368921394E-3</v>
      </c>
      <c r="F114" s="33">
        <v>0</v>
      </c>
      <c r="G114" s="33">
        <v>0.71039999999999903</v>
      </c>
      <c r="H114" s="33">
        <v>0</v>
      </c>
      <c r="I114" s="33">
        <v>1.4221599999999901</v>
      </c>
      <c r="J114" s="33">
        <v>0</v>
      </c>
      <c r="K114" s="33">
        <v>0</v>
      </c>
      <c r="L114" s="33">
        <v>50.35</v>
      </c>
      <c r="M114" s="33">
        <v>107.17</v>
      </c>
      <c r="N114" s="34">
        <v>2.1285004965243202</v>
      </c>
      <c r="O114" s="34">
        <v>2.1285470928226302</v>
      </c>
      <c r="P114" s="34">
        <v>2.1269173896456901</v>
      </c>
      <c r="Q114" s="34">
        <v>2.12747242602385</v>
      </c>
      <c r="R114" s="33">
        <v>107.17234612361899</v>
      </c>
      <c r="S114" s="33">
        <v>107.080049367626</v>
      </c>
      <c r="T114" s="33">
        <v>107.121107310545</v>
      </c>
      <c r="U114" s="15">
        <v>2.1891368294021098E-5</v>
      </c>
      <c r="V114" s="15">
        <v>-8.3967903787221596E-4</v>
      </c>
      <c r="W114" s="15">
        <v>-4.5632029173947798E-4</v>
      </c>
      <c r="X114" s="34">
        <v>2.1285004965243202</v>
      </c>
      <c r="Y114" s="34">
        <v>2.1285470928226302</v>
      </c>
      <c r="Z114" s="34">
        <v>2.1269173896456901</v>
      </c>
      <c r="AA114" s="34">
        <v>2.12747242602385</v>
      </c>
      <c r="AB114" s="33">
        <v>107.17234612361899</v>
      </c>
      <c r="AC114" s="33">
        <v>107.080049367626</v>
      </c>
      <c r="AD114" s="33">
        <v>107.121107310545</v>
      </c>
      <c r="AE114" s="15">
        <v>2.1891368294021098E-5</v>
      </c>
      <c r="AF114" s="15">
        <v>-8.3967903787221596E-4</v>
      </c>
      <c r="AG114" s="15">
        <v>-4.5632029173947798E-4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6.6207567599066951E-3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7.2703184620984381E-3</v>
      </c>
      <c r="BE114" s="29">
        <f t="shared" si="42"/>
        <v>0</v>
      </c>
      <c r="BF114" s="29">
        <f t="shared" si="43"/>
        <v>1.3891075222005131E-2</v>
      </c>
      <c r="BH114" s="29"/>
    </row>
    <row r="115" spans="1:60" x14ac:dyDescent="0.25">
      <c r="A115" s="1">
        <v>46189</v>
      </c>
      <c r="B115" s="33">
        <v>50.35</v>
      </c>
      <c r="C115" s="33">
        <v>107.17</v>
      </c>
      <c r="D115" s="15">
        <v>0</v>
      </c>
      <c r="E115" s="15">
        <v>0</v>
      </c>
      <c r="F115" s="33">
        <v>0</v>
      </c>
      <c r="G115" s="33">
        <v>0.71039999999999903</v>
      </c>
      <c r="H115" s="33">
        <v>0</v>
      </c>
      <c r="I115" s="33">
        <v>1.4221599999999901</v>
      </c>
      <c r="J115" s="33">
        <v>0</v>
      </c>
      <c r="K115" s="33">
        <v>0</v>
      </c>
      <c r="L115" s="33">
        <v>50.35</v>
      </c>
      <c r="M115" s="33">
        <v>107.17</v>
      </c>
      <c r="N115" s="34">
        <v>2.1285004965243202</v>
      </c>
      <c r="O115" s="34">
        <v>2.1285470928226302</v>
      </c>
      <c r="P115" s="34">
        <v>2.1270141615865601</v>
      </c>
      <c r="Q115" s="34">
        <v>2.1274769051036801</v>
      </c>
      <c r="R115" s="33">
        <v>107.17234612361899</v>
      </c>
      <c r="S115" s="33">
        <v>107.09029056866</v>
      </c>
      <c r="T115" s="33">
        <v>107.118236650301</v>
      </c>
      <c r="U115" s="15">
        <v>2.1891368294021098E-5</v>
      </c>
      <c r="V115" s="15">
        <v>-7.4404300307063002E-4</v>
      </c>
      <c r="W115" s="15">
        <v>-4.8311891977785099E-4</v>
      </c>
      <c r="X115" s="34">
        <v>2.1285004965243202</v>
      </c>
      <c r="Y115" s="34">
        <v>2.1285470928226302</v>
      </c>
      <c r="Z115" s="34">
        <v>2.1270141615865601</v>
      </c>
      <c r="AA115" s="34">
        <v>2.1274769051036801</v>
      </c>
      <c r="AB115" s="33">
        <v>107.17234612361899</v>
      </c>
      <c r="AC115" s="33">
        <v>107.09029056866</v>
      </c>
      <c r="AD115" s="33">
        <v>107.118236650301</v>
      </c>
      <c r="AE115" s="15">
        <v>2.1891368294021098E-5</v>
      </c>
      <c r="AF115" s="15">
        <v>-7.4404300307063002E-4</v>
      </c>
      <c r="AG115" s="15">
        <v>-4.8311891977785099E-4</v>
      </c>
      <c r="AI115" s="12"/>
      <c r="AJ115">
        <f t="shared" si="26"/>
        <v>0</v>
      </c>
      <c r="AK115">
        <f t="shared" si="27"/>
        <v>0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6.6207567599066951E-3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7.2703184620984381E-3</v>
      </c>
      <c r="BE115" s="29">
        <f t="shared" si="42"/>
        <v>0</v>
      </c>
      <c r="BF115" s="29">
        <f t="shared" si="43"/>
        <v>1.3891075222005131E-2</v>
      </c>
      <c r="BH115" s="29"/>
    </row>
    <row r="116" spans="1:60" x14ac:dyDescent="0.25">
      <c r="A116" s="1">
        <v>46190</v>
      </c>
      <c r="B116" s="33">
        <v>50.29</v>
      </c>
      <c r="C116" s="33">
        <v>106.98</v>
      </c>
      <c r="D116" s="15">
        <v>-1.19236898069796E-3</v>
      </c>
      <c r="E116" s="15">
        <v>-1.7744576218016201E-3</v>
      </c>
      <c r="F116" s="33">
        <v>0</v>
      </c>
      <c r="G116" s="33">
        <v>0.71039999999999903</v>
      </c>
      <c r="H116" s="33">
        <v>0</v>
      </c>
      <c r="I116" s="33">
        <v>1.4221599999999901</v>
      </c>
      <c r="J116" s="33">
        <v>0</v>
      </c>
      <c r="K116" s="33">
        <v>0</v>
      </c>
      <c r="L116" s="33">
        <v>50.29</v>
      </c>
      <c r="M116" s="33">
        <v>106.98</v>
      </c>
      <c r="N116" s="34">
        <v>2.1272618810896802</v>
      </c>
      <c r="O116" s="34">
        <v>2.1285470928226302</v>
      </c>
      <c r="P116" s="34">
        <v>2.1270390974593898</v>
      </c>
      <c r="Q116" s="34">
        <v>2.1274893550357801</v>
      </c>
      <c r="R116" s="33">
        <v>107.04463329805</v>
      </c>
      <c r="S116" s="33">
        <v>106.967542186188</v>
      </c>
      <c r="T116" s="33">
        <v>106.990813557664</v>
      </c>
      <c r="U116" s="15">
        <v>6.0398000939771801E-4</v>
      </c>
      <c r="V116" s="15">
        <v>-1.16456713627752E-4</v>
      </c>
      <c r="W116" s="15">
        <v>1.0107507181509E-4</v>
      </c>
      <c r="X116" s="34">
        <v>2.1272618810896802</v>
      </c>
      <c r="Y116" s="34">
        <v>2.1285470928226302</v>
      </c>
      <c r="Z116" s="34">
        <v>2.1270390974593898</v>
      </c>
      <c r="AA116" s="34">
        <v>2.1274893550357801</v>
      </c>
      <c r="AB116" s="33">
        <v>107.04463329805</v>
      </c>
      <c r="AC116" s="33">
        <v>106.967542186188</v>
      </c>
      <c r="AD116" s="33">
        <v>106.990813557664</v>
      </c>
      <c r="AE116" s="15">
        <v>6.0398000939771801E-4</v>
      </c>
      <c r="AF116" s="15">
        <v>-1.16456713627752E-4</v>
      </c>
      <c r="AG116" s="15">
        <v>1.0107507181509E-4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6.6207567599066951E-3</v>
      </c>
      <c r="AT116" s="12"/>
      <c r="AU116">
        <f t="shared" si="30"/>
        <v>0</v>
      </c>
      <c r="AV116">
        <f t="shared" si="31"/>
        <v>0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7.2703184620984381E-3</v>
      </c>
      <c r="BE116" s="29">
        <f t="shared" si="42"/>
        <v>0</v>
      </c>
      <c r="BF116" s="29">
        <f t="shared" si="43"/>
        <v>1.3891075222005131E-2</v>
      </c>
      <c r="BH116" s="29"/>
    </row>
    <row r="117" spans="1:60" x14ac:dyDescent="0.25">
      <c r="A117" s="1">
        <v>46191</v>
      </c>
      <c r="B117" s="33">
        <v>50.45</v>
      </c>
      <c r="C117" s="33">
        <v>107.33</v>
      </c>
      <c r="D117" s="15">
        <v>3.1764966157446198E-3</v>
      </c>
      <c r="E117" s="15">
        <v>3.2662993903288902E-3</v>
      </c>
      <c r="F117" s="33">
        <v>0</v>
      </c>
      <c r="G117" s="33">
        <v>0.71039999999999903</v>
      </c>
      <c r="H117" s="33">
        <v>0</v>
      </c>
      <c r="I117" s="33">
        <v>1.4221599999999901</v>
      </c>
      <c r="J117" s="33">
        <v>0</v>
      </c>
      <c r="K117" s="33">
        <v>0</v>
      </c>
      <c r="L117" s="33">
        <v>50.45</v>
      </c>
      <c r="M117" s="33">
        <v>107.33</v>
      </c>
      <c r="N117" s="34">
        <v>2.12745292368681</v>
      </c>
      <c r="O117" s="34">
        <v>2.1285470928226302</v>
      </c>
      <c r="P117" s="34">
        <v>2.1270213886371199</v>
      </c>
      <c r="Q117" s="34">
        <v>2.1275065795333701</v>
      </c>
      <c r="R117" s="33">
        <v>107.385200832902</v>
      </c>
      <c r="S117" s="33">
        <v>107.309122466826</v>
      </c>
      <c r="T117" s="33">
        <v>107.331837961555</v>
      </c>
      <c r="U117" s="15">
        <v>5.1417723481339995E-4</v>
      </c>
      <c r="V117" s="15">
        <v>-1.9453614047102E-4</v>
      </c>
      <c r="W117" s="15">
        <v>1.7124250613852601E-5</v>
      </c>
      <c r="X117" s="34">
        <v>2.12745292368681</v>
      </c>
      <c r="Y117" s="34">
        <v>2.1285470928226302</v>
      </c>
      <c r="Z117" s="34">
        <v>2.1270213886371199</v>
      </c>
      <c r="AA117" s="34">
        <v>2.1275065795333701</v>
      </c>
      <c r="AB117" s="33">
        <v>107.385200832902</v>
      </c>
      <c r="AC117" s="33">
        <v>107.309122466826</v>
      </c>
      <c r="AD117" s="33">
        <v>107.331837961555</v>
      </c>
      <c r="AE117" s="15">
        <v>5.1417723481339995E-4</v>
      </c>
      <c r="AF117" s="15">
        <v>-1.9453614047102E-4</v>
      </c>
      <c r="AG117" s="15">
        <v>1.7124250613852601E-5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6.6207567599066951E-3</v>
      </c>
      <c r="AT117" s="12"/>
      <c r="AU117">
        <f t="shared" si="30"/>
        <v>0</v>
      </c>
      <c r="AV117">
        <f t="shared" si="31"/>
        <v>0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7.2703184620984381E-3</v>
      </c>
      <c r="BE117" s="29">
        <f t="shared" si="42"/>
        <v>0</v>
      </c>
      <c r="BF117" s="29">
        <f t="shared" si="43"/>
        <v>1.3891075222005131E-2</v>
      </c>
      <c r="BH117" s="29"/>
    </row>
    <row r="118" spans="1:60" x14ac:dyDescent="0.25">
      <c r="A118" s="1">
        <v>46195</v>
      </c>
      <c r="B118" s="33">
        <v>50.44</v>
      </c>
      <c r="C118" s="33">
        <v>107.32</v>
      </c>
      <c r="D118" s="15">
        <v>-1.9823570289929099E-4</v>
      </c>
      <c r="E118" s="15">
        <v>-9.3174936009717202E-5</v>
      </c>
      <c r="F118" s="33">
        <v>0</v>
      </c>
      <c r="G118" s="33">
        <v>0.71039999999999903</v>
      </c>
      <c r="H118" s="33">
        <v>0</v>
      </c>
      <c r="I118" s="33">
        <v>1.4221599999999901</v>
      </c>
      <c r="J118" s="33">
        <v>0</v>
      </c>
      <c r="K118" s="33">
        <v>0</v>
      </c>
      <c r="L118" s="33">
        <v>50.44</v>
      </c>
      <c r="M118" s="33">
        <v>107.32</v>
      </c>
      <c r="N118" s="34">
        <v>2.1276764472640699</v>
      </c>
      <c r="O118" s="34">
        <v>2.1285470928226302</v>
      </c>
      <c r="P118" s="34">
        <v>2.12712501745896</v>
      </c>
      <c r="Q118" s="34">
        <v>2.1274912043038001</v>
      </c>
      <c r="R118" s="33">
        <v>107.363915361973</v>
      </c>
      <c r="S118" s="33">
        <v>107.286958842856</v>
      </c>
      <c r="T118" s="33">
        <v>107.311431871663</v>
      </c>
      <c r="U118" s="15">
        <v>4.09116467923743E-4</v>
      </c>
      <c r="V118" s="15">
        <v>-3.0792251642264702E-4</v>
      </c>
      <c r="W118" s="15">
        <v>-7.9840387461936499E-5</v>
      </c>
      <c r="X118" s="34">
        <v>2.1276764472640699</v>
      </c>
      <c r="Y118" s="34">
        <v>2.1285470928226302</v>
      </c>
      <c r="Z118" s="34">
        <v>2.12712501745896</v>
      </c>
      <c r="AA118" s="34">
        <v>2.1274912043038001</v>
      </c>
      <c r="AB118" s="33">
        <v>107.363915361973</v>
      </c>
      <c r="AC118" s="33">
        <v>107.286958842856</v>
      </c>
      <c r="AD118" s="33">
        <v>107.311431871663</v>
      </c>
      <c r="AE118" s="15">
        <v>4.09116467923743E-4</v>
      </c>
      <c r="AF118" s="15">
        <v>-3.0792251642264702E-4</v>
      </c>
      <c r="AG118" s="15">
        <v>-7.9840387461936499E-5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6.6207567599066951E-3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7.2703184620984381E-3</v>
      </c>
      <c r="BE118" s="29">
        <f t="shared" si="42"/>
        <v>0</v>
      </c>
      <c r="BF118" s="29">
        <f t="shared" si="43"/>
        <v>1.3891075222005131E-2</v>
      </c>
      <c r="BH118" s="29"/>
    </row>
    <row r="119" spans="1:60" x14ac:dyDescent="0.25">
      <c r="A119" s="1">
        <v>46196</v>
      </c>
      <c r="B119" s="33">
        <v>50.43</v>
      </c>
      <c r="C119" s="33">
        <v>107.26</v>
      </c>
      <c r="D119" s="15">
        <v>-1.9827500808487699E-4</v>
      </c>
      <c r="E119" s="15">
        <v>-5.5923200264414998E-4</v>
      </c>
      <c r="F119" s="33">
        <v>0</v>
      </c>
      <c r="G119" s="33">
        <v>0.71039999999999903</v>
      </c>
      <c r="H119" s="33">
        <v>0</v>
      </c>
      <c r="I119" s="33">
        <v>1.4221599999999901</v>
      </c>
      <c r="J119" s="33">
        <v>0</v>
      </c>
      <c r="K119" s="33">
        <v>0</v>
      </c>
      <c r="L119" s="33">
        <v>50.43</v>
      </c>
      <c r="M119" s="33">
        <v>107.26</v>
      </c>
      <c r="N119" s="34">
        <v>2.12690858615903</v>
      </c>
      <c r="O119" s="34">
        <v>2.1285470928226302</v>
      </c>
      <c r="P119" s="34">
        <v>2.1271692266415698</v>
      </c>
      <c r="Q119" s="34">
        <v>2.12741121260132</v>
      </c>
      <c r="R119" s="33">
        <v>107.34262989104499</v>
      </c>
      <c r="S119" s="33">
        <v>107.270914630455</v>
      </c>
      <c r="T119" s="33">
        <v>107.28938143304001</v>
      </c>
      <c r="U119" s="15">
        <v>7.7007346248324704E-4</v>
      </c>
      <c r="V119" s="15">
        <v>1.0175345109287401E-4</v>
      </c>
      <c r="W119" s="15">
        <v>2.7388970341566201E-4</v>
      </c>
      <c r="X119" s="34">
        <v>2.12690858615903</v>
      </c>
      <c r="Y119" s="34">
        <v>2.1285470928226302</v>
      </c>
      <c r="Z119" s="34">
        <v>2.1271692266415698</v>
      </c>
      <c r="AA119" s="34">
        <v>2.12741121260132</v>
      </c>
      <c r="AB119" s="33">
        <v>107.34262989104499</v>
      </c>
      <c r="AC119" s="33">
        <v>107.270914630455</v>
      </c>
      <c r="AD119" s="33">
        <v>107.28938143304001</v>
      </c>
      <c r="AE119" s="15">
        <v>7.7007346248324704E-4</v>
      </c>
      <c r="AF119" s="15">
        <v>1.0175345109287401E-4</v>
      </c>
      <c r="AG119" s="15">
        <v>2.7388970341566201E-4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6.6207567599066951E-3</v>
      </c>
      <c r="AT119" s="12"/>
      <c r="AU119">
        <f t="shared" si="30"/>
        <v>0</v>
      </c>
      <c r="AV119">
        <f t="shared" si="31"/>
        <v>0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7.2703184620984381E-3</v>
      </c>
      <c r="BE119" s="29">
        <f t="shared" si="42"/>
        <v>0</v>
      </c>
      <c r="BF119" s="29">
        <f t="shared" si="43"/>
        <v>1.3891075222005131E-2</v>
      </c>
      <c r="BH119" s="29"/>
    </row>
    <row r="120" spans="1:60" x14ac:dyDescent="0.25">
      <c r="A120" s="1">
        <v>46197</v>
      </c>
      <c r="B120" s="33">
        <v>50.49</v>
      </c>
      <c r="C120" s="33">
        <v>107.46</v>
      </c>
      <c r="D120" s="15">
        <v>1.18906078219053E-3</v>
      </c>
      <c r="E120" s="15">
        <v>1.8628917458961101E-3</v>
      </c>
      <c r="F120" s="33">
        <v>0</v>
      </c>
      <c r="G120" s="33">
        <v>0.71039999999999903</v>
      </c>
      <c r="H120" s="33">
        <v>0</v>
      </c>
      <c r="I120" s="33">
        <v>1.4221599999999901</v>
      </c>
      <c r="J120" s="33">
        <v>0</v>
      </c>
      <c r="K120" s="33">
        <v>0</v>
      </c>
      <c r="L120" s="33">
        <v>50.49</v>
      </c>
      <c r="M120" s="33">
        <v>107.46</v>
      </c>
      <c r="N120" s="34">
        <v>2.1283422459893</v>
      </c>
      <c r="O120" s="34">
        <v>2.1285470928226302</v>
      </c>
      <c r="P120" s="34">
        <v>2.1274960063328199</v>
      </c>
      <c r="Q120" s="34">
        <v>2.12736994997565</v>
      </c>
      <c r="R120" s="33">
        <v>107.47034271661499</v>
      </c>
      <c r="S120" s="33">
        <v>107.40077425313299</v>
      </c>
      <c r="T120" s="33">
        <v>107.412992124241</v>
      </c>
      <c r="U120" s="15">
        <v>9.6242498777395394E-5</v>
      </c>
      <c r="V120" s="15">
        <v>-5.5129419106469805E-4</v>
      </c>
      <c r="W120" s="15">
        <v>-4.3754104267969198E-4</v>
      </c>
      <c r="X120" s="34">
        <v>2.1283422459893</v>
      </c>
      <c r="Y120" s="34">
        <v>2.1285470928226302</v>
      </c>
      <c r="Z120" s="34">
        <v>2.1274960063328199</v>
      </c>
      <c r="AA120" s="34">
        <v>2.12736994997565</v>
      </c>
      <c r="AB120" s="33">
        <v>107.47034271661499</v>
      </c>
      <c r="AC120" s="33">
        <v>107.40077425313299</v>
      </c>
      <c r="AD120" s="33">
        <v>107.412992124241</v>
      </c>
      <c r="AE120" s="15">
        <v>9.6242498777395394E-5</v>
      </c>
      <c r="AF120" s="15">
        <v>-5.5129419106469805E-4</v>
      </c>
      <c r="AG120" s="15">
        <v>-4.3754104267969198E-4</v>
      </c>
      <c r="AI120" s="12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6.6207567599066951E-3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7.2703184620984381E-3</v>
      </c>
      <c r="BE120" s="29">
        <f t="shared" si="42"/>
        <v>0</v>
      </c>
      <c r="BF120" s="29">
        <f t="shared" si="43"/>
        <v>1.3891075222005131E-2</v>
      </c>
      <c r="BH120" s="29"/>
    </row>
    <row r="121" spans="1:60" x14ac:dyDescent="0.25">
      <c r="A121" s="1">
        <v>46198</v>
      </c>
      <c r="B121" s="33">
        <v>50.53</v>
      </c>
      <c r="C121" s="33">
        <v>107.58</v>
      </c>
      <c r="D121" s="15">
        <v>7.9192243299285102E-4</v>
      </c>
      <c r="E121" s="15">
        <v>1.1160715444211199E-3</v>
      </c>
      <c r="F121" s="33">
        <v>0</v>
      </c>
      <c r="G121" s="33">
        <v>0.71039999999999903</v>
      </c>
      <c r="H121" s="33">
        <v>0</v>
      </c>
      <c r="I121" s="33">
        <v>1.4221599999999901</v>
      </c>
      <c r="J121" s="33">
        <v>0</v>
      </c>
      <c r="K121" s="33">
        <v>0</v>
      </c>
      <c r="L121" s="33">
        <v>50.53</v>
      </c>
      <c r="M121" s="33">
        <v>107.58</v>
      </c>
      <c r="N121" s="34">
        <v>2.1290322580645098</v>
      </c>
      <c r="O121" s="34">
        <v>2.1285470928226302</v>
      </c>
      <c r="P121" s="34">
        <v>2.12786441319777</v>
      </c>
      <c r="Q121" s="34">
        <v>2.1273786232254199</v>
      </c>
      <c r="R121" s="33">
        <v>107.55548460032701</v>
      </c>
      <c r="S121" s="33">
        <v>107.502373199997</v>
      </c>
      <c r="T121" s="33">
        <v>107.49600357227</v>
      </c>
      <c r="U121" s="15">
        <v>-2.2790661265096199E-4</v>
      </c>
      <c r="V121" s="15">
        <v>-7.2183324200828295E-4</v>
      </c>
      <c r="W121" s="15">
        <v>-7.8108604033325698E-4</v>
      </c>
      <c r="X121" s="34">
        <v>2.1290322580645098</v>
      </c>
      <c r="Y121" s="34">
        <v>2.1285470928226302</v>
      </c>
      <c r="Z121" s="34">
        <v>2.12786441319777</v>
      </c>
      <c r="AA121" s="34">
        <v>2.1273786232254199</v>
      </c>
      <c r="AB121" s="33">
        <v>107.55548460032701</v>
      </c>
      <c r="AC121" s="33">
        <v>107.502373199997</v>
      </c>
      <c r="AD121" s="33">
        <v>107.49600357227</v>
      </c>
      <c r="AE121" s="15">
        <v>-2.2790661265096199E-4</v>
      </c>
      <c r="AF121" s="15">
        <v>-7.2183324200828295E-4</v>
      </c>
      <c r="AG121" s="15">
        <v>-7.8108604033325698E-4</v>
      </c>
      <c r="AI121" s="12"/>
      <c r="AJ121">
        <f t="shared" si="26"/>
        <v>0</v>
      </c>
      <c r="AK121">
        <f t="shared" si="27"/>
        <v>0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6.6207567599066951E-3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7.2703184620984381E-3</v>
      </c>
      <c r="BE121" s="29">
        <f t="shared" si="42"/>
        <v>0</v>
      </c>
      <c r="BF121" s="29">
        <f t="shared" si="43"/>
        <v>1.3891075222005131E-2</v>
      </c>
      <c r="BH121" s="29"/>
    </row>
    <row r="122" spans="1:60" x14ac:dyDescent="0.25">
      <c r="A122" s="1">
        <v>46199</v>
      </c>
      <c r="B122" s="33">
        <v>50.56</v>
      </c>
      <c r="C122" s="33">
        <v>107.6</v>
      </c>
      <c r="D122" s="15">
        <v>5.9353053478488097E-4</v>
      </c>
      <c r="E122" s="15">
        <v>1.8589088258745499E-4</v>
      </c>
      <c r="F122" s="33">
        <v>0</v>
      </c>
      <c r="G122" s="33">
        <v>0.71039999999999903</v>
      </c>
      <c r="H122" s="33">
        <v>0</v>
      </c>
      <c r="I122" s="33">
        <v>1.4221599999999901</v>
      </c>
      <c r="J122" s="33">
        <v>0</v>
      </c>
      <c r="K122" s="33">
        <v>0</v>
      </c>
      <c r="L122" s="33">
        <v>50.56</v>
      </c>
      <c r="M122" s="33">
        <v>107.6</v>
      </c>
      <c r="N122" s="34">
        <v>2.12816455696202</v>
      </c>
      <c r="O122" s="34">
        <v>2.1285470928226302</v>
      </c>
      <c r="P122" s="34">
        <v>2.1280070508566298</v>
      </c>
      <c r="Q122" s="34">
        <v>2.1273528813042302</v>
      </c>
      <c r="R122" s="33">
        <v>107.61934101311201</v>
      </c>
      <c r="S122" s="33">
        <v>107.584824731279</v>
      </c>
      <c r="T122" s="33">
        <v>107.560263190277</v>
      </c>
      <c r="U122" s="15">
        <v>1.7973303954638099E-4</v>
      </c>
      <c r="V122" s="15">
        <v>-1.4104404215943699E-4</v>
      </c>
      <c r="W122" s="15">
        <v>-3.6936941408147802E-4</v>
      </c>
      <c r="X122" s="34">
        <v>2.12816455696202</v>
      </c>
      <c r="Y122" s="34">
        <v>2.1285470928226302</v>
      </c>
      <c r="Z122" s="34">
        <v>2.1280070508566298</v>
      </c>
      <c r="AA122" s="34">
        <v>2.1273528813042302</v>
      </c>
      <c r="AB122" s="33">
        <v>107.61934101311201</v>
      </c>
      <c r="AC122" s="33">
        <v>107.584824731279</v>
      </c>
      <c r="AD122" s="33">
        <v>107.560263190277</v>
      </c>
      <c r="AE122" s="15">
        <v>1.7973303954638099E-4</v>
      </c>
      <c r="AF122" s="15">
        <v>-1.4104404215943699E-4</v>
      </c>
      <c r="AG122" s="15">
        <v>-3.6936941408147802E-4</v>
      </c>
      <c r="AI122" s="12"/>
      <c r="AJ122">
        <f t="shared" si="26"/>
        <v>0</v>
      </c>
      <c r="AK122">
        <f t="shared" si="27"/>
        <v>0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6.6207567599066951E-3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7.2703184620984381E-3</v>
      </c>
      <c r="BE122" s="29">
        <f t="shared" si="42"/>
        <v>0</v>
      </c>
      <c r="BF122" s="29">
        <f t="shared" si="43"/>
        <v>1.3891075222005131E-2</v>
      </c>
      <c r="BH122" s="29"/>
    </row>
    <row r="123" spans="1:60" x14ac:dyDescent="0.25">
      <c r="A123" s="1">
        <v>46202</v>
      </c>
      <c r="B123" s="33">
        <v>50.64</v>
      </c>
      <c r="C123" s="33">
        <v>107.71</v>
      </c>
      <c r="D123" s="15">
        <v>1.5810279973187699E-3</v>
      </c>
      <c r="E123" s="15">
        <v>1.02178263499485E-3</v>
      </c>
      <c r="F123" s="33">
        <v>0</v>
      </c>
      <c r="G123" s="33">
        <v>0.71039999999999903</v>
      </c>
      <c r="H123" s="33">
        <v>0</v>
      </c>
      <c r="I123" s="33">
        <v>1.4221599999999901</v>
      </c>
      <c r="J123" s="33">
        <v>0</v>
      </c>
      <c r="K123" s="33">
        <v>0</v>
      </c>
      <c r="L123" s="33">
        <v>50.64</v>
      </c>
      <c r="M123" s="33">
        <v>107.71</v>
      </c>
      <c r="N123" s="34">
        <v>2.1269747235387002</v>
      </c>
      <c r="O123" s="34">
        <v>2.1285470928226302</v>
      </c>
      <c r="P123" s="34">
        <v>2.1278814615802801</v>
      </c>
      <c r="Q123" s="34">
        <v>2.1272977255034098</v>
      </c>
      <c r="R123" s="33">
        <v>107.78962478053801</v>
      </c>
      <c r="S123" s="33">
        <v>107.762277055379</v>
      </c>
      <c r="T123" s="33">
        <v>107.729149909246</v>
      </c>
      <c r="U123" s="15">
        <v>7.3897840187050101E-4</v>
      </c>
      <c r="V123" s="15">
        <v>4.8523231962717297E-4</v>
      </c>
      <c r="W123" s="15">
        <v>1.7777557426417199E-4</v>
      </c>
      <c r="X123" s="34">
        <v>2.1269747235387002</v>
      </c>
      <c r="Y123" s="34">
        <v>2.1285470928226302</v>
      </c>
      <c r="Z123" s="34">
        <v>2.1278814615802801</v>
      </c>
      <c r="AA123" s="34">
        <v>2.1272977255034098</v>
      </c>
      <c r="AB123" s="33">
        <v>107.78962478053801</v>
      </c>
      <c r="AC123" s="33">
        <v>107.762277055379</v>
      </c>
      <c r="AD123" s="33">
        <v>107.729149909246</v>
      </c>
      <c r="AE123" s="15">
        <v>7.3897840187050101E-4</v>
      </c>
      <c r="AF123" s="15">
        <v>4.8523231962717297E-4</v>
      </c>
      <c r="AG123" s="15">
        <v>1.7777557426417199E-4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6.6207567599066951E-3</v>
      </c>
      <c r="AT123" s="12"/>
      <c r="AU123">
        <f t="shared" si="30"/>
        <v>0</v>
      </c>
      <c r="AV123">
        <f t="shared" si="31"/>
        <v>0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7.2703184620984381E-3</v>
      </c>
      <c r="BE123" s="29">
        <f t="shared" si="42"/>
        <v>0</v>
      </c>
      <c r="BF123" s="29">
        <f t="shared" si="43"/>
        <v>1.3891075222005131E-2</v>
      </c>
      <c r="BH123" s="29"/>
    </row>
    <row r="124" spans="1:60" x14ac:dyDescent="0.25">
      <c r="A124" s="1">
        <v>46203</v>
      </c>
      <c r="B124" s="33">
        <v>50.58</v>
      </c>
      <c r="C124" s="33">
        <v>107.62</v>
      </c>
      <c r="D124" s="15">
        <v>-1.18553659410169E-3</v>
      </c>
      <c r="E124" s="15">
        <v>-8.3592630140509497E-4</v>
      </c>
      <c r="F124" s="33">
        <v>0</v>
      </c>
      <c r="G124" s="33">
        <v>0.71039999999999903</v>
      </c>
      <c r="H124" s="33">
        <v>0</v>
      </c>
      <c r="I124" s="33">
        <v>1.4221599999999901</v>
      </c>
      <c r="J124" s="33">
        <v>0</v>
      </c>
      <c r="K124" s="33">
        <v>0</v>
      </c>
      <c r="L124" s="33">
        <v>50.58</v>
      </c>
      <c r="M124" s="33">
        <v>107.62</v>
      </c>
      <c r="N124" s="34">
        <v>2.1277184657967498</v>
      </c>
      <c r="O124" s="34">
        <v>2.1285470928226302</v>
      </c>
      <c r="P124" s="34">
        <v>2.1278032585075199</v>
      </c>
      <c r="Q124" s="34">
        <v>2.1273603240766001</v>
      </c>
      <c r="R124" s="33">
        <v>107.661911954969</v>
      </c>
      <c r="S124" s="33">
        <v>107.62824432673</v>
      </c>
      <c r="T124" s="33">
        <v>107.598718955962</v>
      </c>
      <c r="U124" s="15">
        <v>3.8936810917369901E-4</v>
      </c>
      <c r="V124" s="15">
        <v>7.66029638054317E-5</v>
      </c>
      <c r="W124" s="15">
        <v>-1.9776201819206901E-4</v>
      </c>
      <c r="X124" s="34">
        <v>2.1277184657967498</v>
      </c>
      <c r="Y124" s="34">
        <v>2.1285470928226302</v>
      </c>
      <c r="Z124" s="34">
        <v>2.1278032585075199</v>
      </c>
      <c r="AA124" s="34">
        <v>2.1273603240766001</v>
      </c>
      <c r="AB124" s="33">
        <v>107.661911954969</v>
      </c>
      <c r="AC124" s="33">
        <v>107.62824432673</v>
      </c>
      <c r="AD124" s="33">
        <v>107.598718955962</v>
      </c>
      <c r="AE124" s="15">
        <v>3.8936810917369901E-4</v>
      </c>
      <c r="AF124" s="15">
        <v>7.66029638054317E-5</v>
      </c>
      <c r="AG124" s="15">
        <v>-1.9776201819206901E-4</v>
      </c>
      <c r="AI124" s="12"/>
      <c r="AJ124">
        <f t="shared" si="26"/>
        <v>0</v>
      </c>
      <c r="AK124">
        <f t="shared" si="27"/>
        <v>0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6.6207567599066951E-3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7.2703184620984381E-3</v>
      </c>
      <c r="BE124" s="29">
        <f t="shared" si="42"/>
        <v>0</v>
      </c>
      <c r="BF124" s="29">
        <f t="shared" si="43"/>
        <v>1.3891075222005131E-2</v>
      </c>
      <c r="BH124" s="29"/>
    </row>
    <row r="125" spans="1:60" x14ac:dyDescent="0.25">
      <c r="A125" s="1">
        <v>46204</v>
      </c>
      <c r="B125" s="33">
        <v>50.47</v>
      </c>
      <c r="C125" s="33">
        <v>107.34</v>
      </c>
      <c r="D125" s="15">
        <v>-2.1771408896480498E-3</v>
      </c>
      <c r="E125" s="15">
        <v>-2.60513731259082E-3</v>
      </c>
      <c r="F125" s="33">
        <v>0.14199999999999999</v>
      </c>
      <c r="G125" s="33">
        <v>0.85239999999999905</v>
      </c>
      <c r="H125" s="33">
        <v>0.28858</v>
      </c>
      <c r="I125" s="33">
        <v>1.7107399999999999</v>
      </c>
      <c r="J125" s="33">
        <v>0</v>
      </c>
      <c r="K125" s="33">
        <v>0</v>
      </c>
      <c r="L125" s="33">
        <v>50.47</v>
      </c>
      <c r="M125" s="33">
        <v>107.34</v>
      </c>
      <c r="N125" s="34">
        <v>2.1268080047553002</v>
      </c>
      <c r="O125" s="34">
        <v>2.1285470928226302</v>
      </c>
      <c r="P125" s="34">
        <v>2.1276340093306199</v>
      </c>
      <c r="Q125" s="34">
        <v>2.1273240854585902</v>
      </c>
      <c r="R125" s="33">
        <v>107.427771774758</v>
      </c>
      <c r="S125" s="33">
        <v>107.39023045687399</v>
      </c>
      <c r="T125" s="33">
        <v>107.367875556146</v>
      </c>
      <c r="U125" s="15">
        <v>8.1736453211646699E-4</v>
      </c>
      <c r="V125" s="15">
        <v>4.6784709990834898E-4</v>
      </c>
      <c r="W125" s="15">
        <v>2.59660305713501E-4</v>
      </c>
      <c r="X125" s="34">
        <v>2.1268080047553002</v>
      </c>
      <c r="Y125" s="34">
        <v>2.1285470928226302</v>
      </c>
      <c r="Z125" s="34">
        <v>2.1276340093306199</v>
      </c>
      <c r="AA125" s="34">
        <v>2.1273240854585902</v>
      </c>
      <c r="AB125" s="33">
        <v>107.427771774758</v>
      </c>
      <c r="AC125" s="33">
        <v>107.39023045687399</v>
      </c>
      <c r="AD125" s="33">
        <v>107.367875556146</v>
      </c>
      <c r="AE125" s="15">
        <v>8.1736453211646699E-4</v>
      </c>
      <c r="AF125" s="15">
        <v>4.6784709990834898E-4</v>
      </c>
      <c r="AG125" s="15">
        <v>2.59660305713501E-4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6.6207567599066951E-3</v>
      </c>
      <c r="AT125" s="12"/>
      <c r="AU125">
        <f t="shared" si="30"/>
        <v>0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7.2703184620984381E-3</v>
      </c>
      <c r="BE125" s="29">
        <f t="shared" si="42"/>
        <v>0</v>
      </c>
      <c r="BF125" s="29">
        <f t="shared" si="43"/>
        <v>1.3891075222005131E-2</v>
      </c>
      <c r="BH125" s="29"/>
    </row>
    <row r="126" spans="1:60" x14ac:dyDescent="0.25">
      <c r="A126" s="1">
        <v>46205</v>
      </c>
      <c r="B126" s="33">
        <v>50.53</v>
      </c>
      <c r="C126" s="33">
        <v>107.5</v>
      </c>
      <c r="D126" s="15">
        <v>1.1881189516463201E-3</v>
      </c>
      <c r="E126" s="15">
        <v>1.48948081903466E-3</v>
      </c>
      <c r="F126" s="33">
        <v>0</v>
      </c>
      <c r="G126" s="33">
        <v>0.85239999999999905</v>
      </c>
      <c r="H126" s="33">
        <v>0</v>
      </c>
      <c r="I126" s="33">
        <v>1.7107399999999999</v>
      </c>
      <c r="J126" s="33">
        <v>0</v>
      </c>
      <c r="K126" s="33">
        <v>0</v>
      </c>
      <c r="L126" s="33">
        <v>50.53</v>
      </c>
      <c r="M126" s="33">
        <v>107.5</v>
      </c>
      <c r="N126" s="34">
        <v>2.1274490401741502</v>
      </c>
      <c r="O126" s="34">
        <v>2.1285470928226302</v>
      </c>
      <c r="P126" s="34">
        <v>2.1276527252390598</v>
      </c>
      <c r="Q126" s="34">
        <v>2.1273459113492299</v>
      </c>
      <c r="R126" s="33">
        <v>107.55548460032701</v>
      </c>
      <c r="S126" s="33">
        <v>107.50934649147599</v>
      </c>
      <c r="T126" s="33">
        <v>107.49368603822199</v>
      </c>
      <c r="U126" s="15">
        <v>5.16002664728164E-4</v>
      </c>
      <c r="V126" s="15">
        <v>8.6940327336351293E-5</v>
      </c>
      <c r="W126" s="15">
        <v>-5.873625310135E-5</v>
      </c>
      <c r="X126" s="34">
        <v>2.1274490401741502</v>
      </c>
      <c r="Y126" s="34">
        <v>2.1285470928226302</v>
      </c>
      <c r="Z126" s="34">
        <v>2.1276527252390598</v>
      </c>
      <c r="AA126" s="34">
        <v>2.1273459113492299</v>
      </c>
      <c r="AB126" s="33">
        <v>107.55548460032701</v>
      </c>
      <c r="AC126" s="33">
        <v>107.50934649147599</v>
      </c>
      <c r="AD126" s="33">
        <v>107.49368603822199</v>
      </c>
      <c r="AE126" s="15">
        <v>5.16002664728164E-4</v>
      </c>
      <c r="AF126" s="15">
        <v>8.6940327336351293E-5</v>
      </c>
      <c r="AG126" s="15">
        <v>-5.873625310135E-5</v>
      </c>
      <c r="AI126" s="12"/>
      <c r="AJ126">
        <f t="shared" si="26"/>
        <v>0</v>
      </c>
      <c r="AK126">
        <f t="shared" si="27"/>
        <v>0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6.6207567599066951E-3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7.2703184620984381E-3</v>
      </c>
      <c r="BE126" s="29">
        <f t="shared" si="42"/>
        <v>0</v>
      </c>
      <c r="BF126" s="29">
        <f t="shared" si="43"/>
        <v>1.3891075222005131E-2</v>
      </c>
      <c r="BH126" s="29"/>
    </row>
    <row r="127" spans="1:60" x14ac:dyDescent="0.25">
      <c r="A127" s="1">
        <v>46209</v>
      </c>
      <c r="B127" s="33">
        <v>50.54</v>
      </c>
      <c r="C127" s="33">
        <v>107.57</v>
      </c>
      <c r="D127" s="15">
        <v>1.9788265623091699E-4</v>
      </c>
      <c r="E127" s="15">
        <v>6.5095087619645303E-4</v>
      </c>
      <c r="F127" s="33">
        <v>0</v>
      </c>
      <c r="G127" s="33">
        <v>0.85239999999999905</v>
      </c>
      <c r="H127" s="33">
        <v>0</v>
      </c>
      <c r="I127" s="33">
        <v>1.7107399999999999</v>
      </c>
      <c r="J127" s="33">
        <v>0</v>
      </c>
      <c r="K127" s="33">
        <v>0</v>
      </c>
      <c r="L127" s="33">
        <v>50.54</v>
      </c>
      <c r="M127" s="33">
        <v>107.57</v>
      </c>
      <c r="N127" s="34">
        <v>2.1284131381084199</v>
      </c>
      <c r="O127" s="34">
        <v>2.1285470928226302</v>
      </c>
      <c r="P127" s="34">
        <v>2.1277487466812302</v>
      </c>
      <c r="Q127" s="34">
        <v>2.1273850676591701</v>
      </c>
      <c r="R127" s="33">
        <v>107.57677007125601</v>
      </c>
      <c r="S127" s="33">
        <v>107.53156873358201</v>
      </c>
      <c r="T127" s="33">
        <v>107.51606235958999</v>
      </c>
      <c r="U127" s="15">
        <v>6.2934444762582494E-5</v>
      </c>
      <c r="V127" s="15">
        <v>-3.5733134865205797E-4</v>
      </c>
      <c r="W127" s="15">
        <v>-5.0154473933606495E-4</v>
      </c>
      <c r="X127" s="34">
        <v>2.1284131381084199</v>
      </c>
      <c r="Y127" s="34">
        <v>2.1285470928226302</v>
      </c>
      <c r="Z127" s="34">
        <v>2.1277487466812302</v>
      </c>
      <c r="AA127" s="34">
        <v>2.1273850676591701</v>
      </c>
      <c r="AB127" s="33">
        <v>107.57677007125601</v>
      </c>
      <c r="AC127" s="33">
        <v>107.53156873358201</v>
      </c>
      <c r="AD127" s="33">
        <v>107.51606235958999</v>
      </c>
      <c r="AE127" s="15">
        <v>6.2934444762582494E-5</v>
      </c>
      <c r="AF127" s="15">
        <v>-3.5733134865205797E-4</v>
      </c>
      <c r="AG127" s="15">
        <v>-5.0154473933606495E-4</v>
      </c>
      <c r="AI127" s="12"/>
      <c r="AJ127">
        <f t="shared" si="26"/>
        <v>0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6.6207567599066951E-3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7.2703184620984381E-3</v>
      </c>
      <c r="BE127" s="29">
        <f t="shared" si="42"/>
        <v>0</v>
      </c>
      <c r="BF127" s="29">
        <f t="shared" si="43"/>
        <v>1.3891075222005131E-2</v>
      </c>
      <c r="BH127" s="29"/>
    </row>
    <row r="128" spans="1:60" x14ac:dyDescent="0.25">
      <c r="A128" s="1">
        <v>46210</v>
      </c>
      <c r="B128" s="33">
        <v>50.42</v>
      </c>
      <c r="C128" s="33">
        <v>107.24</v>
      </c>
      <c r="D128" s="15">
        <v>-2.3771802002743201E-3</v>
      </c>
      <c r="E128" s="15">
        <v>-3.0724850761555201E-3</v>
      </c>
      <c r="F128" s="33">
        <v>0</v>
      </c>
      <c r="G128" s="33">
        <v>0.85239999999999905</v>
      </c>
      <c r="H128" s="33">
        <v>0</v>
      </c>
      <c r="I128" s="33">
        <v>1.7107399999999999</v>
      </c>
      <c r="J128" s="33">
        <v>0</v>
      </c>
      <c r="K128" s="33">
        <v>0</v>
      </c>
      <c r="L128" s="33">
        <v>50.42</v>
      </c>
      <c r="M128" s="33">
        <v>107.24</v>
      </c>
      <c r="N128" s="34">
        <v>2.1269337564458501</v>
      </c>
      <c r="O128" s="34">
        <v>2.1285470928226302</v>
      </c>
      <c r="P128" s="34">
        <v>2.1276744775993999</v>
      </c>
      <c r="Q128" s="34">
        <v>2.1273997475291799</v>
      </c>
      <c r="R128" s="33">
        <v>107.321344420117</v>
      </c>
      <c r="S128" s="33">
        <v>107.281091807667</v>
      </c>
      <c r="T128" s="33">
        <v>107.262755111375</v>
      </c>
      <c r="U128" s="15">
        <v>7.5823932064366902E-4</v>
      </c>
      <c r="V128" s="15">
        <v>3.8310273198717201E-4</v>
      </c>
      <c r="W128" s="15">
        <v>2.1216614629807201E-4</v>
      </c>
      <c r="X128" s="34">
        <v>2.1269337564458501</v>
      </c>
      <c r="Y128" s="34">
        <v>2.1285470928226302</v>
      </c>
      <c r="Z128" s="34">
        <v>2.1276744775993999</v>
      </c>
      <c r="AA128" s="34">
        <v>2.1273997475291799</v>
      </c>
      <c r="AB128" s="33">
        <v>107.321344420117</v>
      </c>
      <c r="AC128" s="33">
        <v>107.281091807667</v>
      </c>
      <c r="AD128" s="33">
        <v>107.262755111375</v>
      </c>
      <c r="AE128" s="15">
        <v>7.5823932064366902E-4</v>
      </c>
      <c r="AF128" s="15">
        <v>3.8310273198717201E-4</v>
      </c>
      <c r="AG128" s="15">
        <v>2.1216614629807201E-4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6.6207567599066951E-3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7.2703184620984381E-3</v>
      </c>
      <c r="BE128" s="29">
        <f t="shared" si="42"/>
        <v>0</v>
      </c>
      <c r="BF128" s="29">
        <f t="shared" si="43"/>
        <v>1.3891075222005131E-2</v>
      </c>
      <c r="BH128" s="29"/>
    </row>
    <row r="129" spans="1:60" x14ac:dyDescent="0.25">
      <c r="A129" s="1">
        <v>46211</v>
      </c>
      <c r="B129" s="33">
        <v>50.26</v>
      </c>
      <c r="C129" s="33">
        <v>106.91</v>
      </c>
      <c r="D129" s="15">
        <v>-3.1783896443276999E-3</v>
      </c>
      <c r="E129" s="15">
        <v>-3.0819543423500099E-3</v>
      </c>
      <c r="F129" s="33">
        <v>0</v>
      </c>
      <c r="G129" s="33">
        <v>0.85239999999999905</v>
      </c>
      <c r="H129" s="33">
        <v>0</v>
      </c>
      <c r="I129" s="33">
        <v>1.7107399999999999</v>
      </c>
      <c r="J129" s="33">
        <v>0</v>
      </c>
      <c r="K129" s="33">
        <v>0</v>
      </c>
      <c r="L129" s="33">
        <v>50.26</v>
      </c>
      <c r="M129" s="33">
        <v>106.91</v>
      </c>
      <c r="N129" s="34">
        <v>2.1271388778352498</v>
      </c>
      <c r="O129" s="34">
        <v>2.1285470928226302</v>
      </c>
      <c r="P129" s="34">
        <v>2.1276975067670301</v>
      </c>
      <c r="Q129" s="34">
        <v>2.1274333667043002</v>
      </c>
      <c r="R129" s="33">
        <v>106.980776885265</v>
      </c>
      <c r="S129" s="33">
        <v>106.936919244146</v>
      </c>
      <c r="T129" s="33">
        <v>106.923111310816</v>
      </c>
      <c r="U129" s="15">
        <v>6.6180401866600396E-4</v>
      </c>
      <c r="V129" s="15">
        <v>2.5176181526084302E-4</v>
      </c>
      <c r="W129" s="15">
        <v>1.2263124969640301E-4</v>
      </c>
      <c r="X129" s="34">
        <v>2.1271388778352498</v>
      </c>
      <c r="Y129" s="34">
        <v>2.1285470928226302</v>
      </c>
      <c r="Z129" s="34">
        <v>2.1276975067670301</v>
      </c>
      <c r="AA129" s="34">
        <v>2.1274333667043002</v>
      </c>
      <c r="AB129" s="33">
        <v>106.980776885265</v>
      </c>
      <c r="AC129" s="33">
        <v>106.936919244146</v>
      </c>
      <c r="AD129" s="33">
        <v>106.923111310816</v>
      </c>
      <c r="AE129" s="15">
        <v>6.6180401866600396E-4</v>
      </c>
      <c r="AF129" s="15">
        <v>2.5176181526084302E-4</v>
      </c>
      <c r="AG129" s="15">
        <v>1.2263124969640301E-4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6.6207567599066951E-3</v>
      </c>
      <c r="AT129" s="12"/>
      <c r="AU129">
        <f t="shared" si="30"/>
        <v>0</v>
      </c>
      <c r="AV129">
        <f t="shared" si="31"/>
        <v>0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7.2703184620984381E-3</v>
      </c>
      <c r="BE129" s="29">
        <f t="shared" si="42"/>
        <v>0</v>
      </c>
      <c r="BF129" s="29">
        <f t="shared" si="43"/>
        <v>1.3891075222005131E-2</v>
      </c>
      <c r="BH129" s="29"/>
    </row>
    <row r="130" spans="1:60" x14ac:dyDescent="0.25">
      <c r="A130" s="1">
        <v>46212</v>
      </c>
      <c r="B130" s="33">
        <v>50.29</v>
      </c>
      <c r="C130" s="33">
        <v>106.94</v>
      </c>
      <c r="D130" s="15">
        <v>5.9671806842739004E-4</v>
      </c>
      <c r="E130" s="15">
        <v>2.8057049517705599E-4</v>
      </c>
      <c r="F130" s="33">
        <v>0</v>
      </c>
      <c r="G130" s="33">
        <v>0.85239999999999905</v>
      </c>
      <c r="H130" s="33">
        <v>0</v>
      </c>
      <c r="I130" s="33">
        <v>1.7107399999999999</v>
      </c>
      <c r="J130" s="33">
        <v>0</v>
      </c>
      <c r="K130" s="33">
        <v>0</v>
      </c>
      <c r="L130" s="33">
        <v>50.29</v>
      </c>
      <c r="M130" s="33">
        <v>106.94</v>
      </c>
      <c r="N130" s="34">
        <v>2.1264664943328602</v>
      </c>
      <c r="O130" s="34">
        <v>2.1285470928226302</v>
      </c>
      <c r="P130" s="34">
        <v>2.1275099316013799</v>
      </c>
      <c r="Q130" s="34">
        <v>2.1275029689671001</v>
      </c>
      <c r="R130" s="33">
        <v>107.04463329805</v>
      </c>
      <c r="S130" s="33">
        <v>107.001907615313</v>
      </c>
      <c r="T130" s="33">
        <v>106.988624011559</v>
      </c>
      <c r="U130" s="15">
        <v>9.7795159191626699E-4</v>
      </c>
      <c r="V130" s="15">
        <v>5.7873296290486596E-4</v>
      </c>
      <c r="W130" s="15">
        <v>4.54581640221794E-4</v>
      </c>
      <c r="X130" s="34">
        <v>2.1264664943328602</v>
      </c>
      <c r="Y130" s="34">
        <v>2.1285470928226302</v>
      </c>
      <c r="Z130" s="34">
        <v>2.1275099316013799</v>
      </c>
      <c r="AA130" s="34">
        <v>2.1275029689671001</v>
      </c>
      <c r="AB130" s="33">
        <v>107.04463329805</v>
      </c>
      <c r="AC130" s="33">
        <v>107.001907615313</v>
      </c>
      <c r="AD130" s="33">
        <v>106.988624011559</v>
      </c>
      <c r="AE130" s="15">
        <v>9.7795159191626699E-4</v>
      </c>
      <c r="AF130" s="15">
        <v>5.7873296290486596E-4</v>
      </c>
      <c r="AG130" s="15">
        <v>4.54581640221794E-4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6.6207567599066951E-3</v>
      </c>
      <c r="AT130" s="12"/>
      <c r="AU130">
        <f t="shared" si="30"/>
        <v>0</v>
      </c>
      <c r="AV130">
        <f t="shared" si="31"/>
        <v>0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7.2703184620984381E-3</v>
      </c>
      <c r="BE130" s="29">
        <f t="shared" si="42"/>
        <v>0</v>
      </c>
      <c r="BF130" s="29">
        <f t="shared" si="43"/>
        <v>1.3891075222005131E-2</v>
      </c>
      <c r="BH130" s="29"/>
    </row>
    <row r="131" spans="1:60" x14ac:dyDescent="0.25">
      <c r="A131" s="1">
        <v>46213</v>
      </c>
      <c r="B131" s="33">
        <v>50.34</v>
      </c>
      <c r="C131" s="33">
        <v>107.01</v>
      </c>
      <c r="D131" s="15">
        <v>9.9373952329642008E-4</v>
      </c>
      <c r="E131" s="15">
        <v>6.5435851832442696E-4</v>
      </c>
      <c r="F131" s="33">
        <v>0</v>
      </c>
      <c r="G131" s="33">
        <v>0.85239999999999905</v>
      </c>
      <c r="H131" s="33">
        <v>0</v>
      </c>
      <c r="I131" s="33">
        <v>1.7107399999999999</v>
      </c>
      <c r="J131" s="33">
        <v>0</v>
      </c>
      <c r="K131" s="33">
        <v>0</v>
      </c>
      <c r="L131" s="33">
        <v>50.34</v>
      </c>
      <c r="M131" s="33">
        <v>107.01</v>
      </c>
      <c r="N131" s="34">
        <v>2.12574493444576</v>
      </c>
      <c r="O131" s="34">
        <v>2.1285470928226302</v>
      </c>
      <c r="P131" s="34">
        <v>2.12718119923951</v>
      </c>
      <c r="Q131" s="34">
        <v>2.1275228062186402</v>
      </c>
      <c r="R131" s="33">
        <v>107.151060652691</v>
      </c>
      <c r="S131" s="33">
        <v>107.098849956813</v>
      </c>
      <c r="T131" s="33">
        <v>107.098499457804</v>
      </c>
      <c r="U131" s="15">
        <v>1.31733259688828E-3</v>
      </c>
      <c r="V131" s="15">
        <v>8.29951325523387E-4</v>
      </c>
      <c r="W131" s="15">
        <v>8.2667865188226102E-4</v>
      </c>
      <c r="X131" s="34">
        <v>2.12574493444576</v>
      </c>
      <c r="Y131" s="34">
        <v>2.1285470928226302</v>
      </c>
      <c r="Z131" s="34">
        <v>2.12718119923951</v>
      </c>
      <c r="AA131" s="34">
        <v>2.1275228062186402</v>
      </c>
      <c r="AB131" s="33">
        <v>107.151060652691</v>
      </c>
      <c r="AC131" s="33">
        <v>107.098849956813</v>
      </c>
      <c r="AD131" s="33">
        <v>107.098499457804</v>
      </c>
      <c r="AE131" s="15">
        <v>1.31733259688828E-3</v>
      </c>
      <c r="AF131" s="15">
        <v>8.29951325523387E-4</v>
      </c>
      <c r="AG131" s="15">
        <v>8.2667865188226102E-4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6.6207567599066951E-3</v>
      </c>
      <c r="AT131" s="12"/>
      <c r="AU131">
        <f t="shared" si="30"/>
        <v>0</v>
      </c>
      <c r="AV131">
        <f t="shared" si="31"/>
        <v>0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7.2703184620984381E-3</v>
      </c>
      <c r="BE131" s="29">
        <f t="shared" si="42"/>
        <v>0</v>
      </c>
      <c r="BF131" s="29">
        <f t="shared" si="43"/>
        <v>1.3891075222005131E-2</v>
      </c>
      <c r="BH131" s="29"/>
    </row>
    <row r="132" spans="1:60" x14ac:dyDescent="0.25">
      <c r="A132" s="1">
        <v>46216</v>
      </c>
      <c r="B132" s="33">
        <v>50.27</v>
      </c>
      <c r="C132" s="33">
        <v>106.9</v>
      </c>
      <c r="D132" s="15">
        <v>-1.3915120026859499E-3</v>
      </c>
      <c r="E132" s="15">
        <v>-1.02847000791034E-3</v>
      </c>
      <c r="F132" s="33">
        <v>0</v>
      </c>
      <c r="G132" s="33">
        <v>0.85239999999999905</v>
      </c>
      <c r="H132" s="33">
        <v>0</v>
      </c>
      <c r="I132" s="33">
        <v>1.7107399999999999</v>
      </c>
      <c r="J132" s="33">
        <v>0</v>
      </c>
      <c r="K132" s="33">
        <v>0</v>
      </c>
      <c r="L132" s="33">
        <v>50.27</v>
      </c>
      <c r="M132" s="33">
        <v>106.9</v>
      </c>
      <c r="N132" s="34">
        <v>2.1265168092301501</v>
      </c>
      <c r="O132" s="34">
        <v>2.1285470928226302</v>
      </c>
      <c r="P132" s="34">
        <v>2.1270164244663201</v>
      </c>
      <c r="Q132" s="34">
        <v>2.1275117376614698</v>
      </c>
      <c r="R132" s="33">
        <v>107.002062356194</v>
      </c>
      <c r="S132" s="33">
        <v>106.93339888577</v>
      </c>
      <c r="T132" s="33">
        <v>106.950571468611</v>
      </c>
      <c r="U132" s="15">
        <v>9.54290602112829E-4</v>
      </c>
      <c r="V132" s="15">
        <v>3.1238231460457898E-4</v>
      </c>
      <c r="W132" s="15">
        <v>4.7296080816229899E-4</v>
      </c>
      <c r="X132" s="34">
        <v>2.1265168092301501</v>
      </c>
      <c r="Y132" s="34">
        <v>2.1285470928226302</v>
      </c>
      <c r="Z132" s="34">
        <v>2.1270164244663201</v>
      </c>
      <c r="AA132" s="34">
        <v>2.1275117376614698</v>
      </c>
      <c r="AB132" s="33">
        <v>107.002062356194</v>
      </c>
      <c r="AC132" s="33">
        <v>106.93339888577</v>
      </c>
      <c r="AD132" s="33">
        <v>106.950571468611</v>
      </c>
      <c r="AE132" s="15">
        <v>9.54290602112829E-4</v>
      </c>
      <c r="AF132" s="15">
        <v>3.1238231460457898E-4</v>
      </c>
      <c r="AG132" s="15">
        <v>4.7296080816229899E-4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6.6207567599066951E-3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7.2703184620984381E-3</v>
      </c>
      <c r="BE132" s="29">
        <f t="shared" si="42"/>
        <v>0</v>
      </c>
      <c r="BF132" s="29">
        <f t="shared" si="43"/>
        <v>1.3891075222005131E-2</v>
      </c>
      <c r="BH132" s="29"/>
    </row>
    <row r="133" spans="1:60" x14ac:dyDescent="0.25">
      <c r="A133" s="1">
        <v>46217</v>
      </c>
      <c r="B133" s="33">
        <v>50.29</v>
      </c>
      <c r="C133" s="33">
        <v>106.95</v>
      </c>
      <c r="D133" s="15">
        <v>3.9777247938934898E-4</v>
      </c>
      <c r="E133" s="15">
        <v>4.6761749741509997E-4</v>
      </c>
      <c r="F133" s="33">
        <v>0</v>
      </c>
      <c r="G133" s="33">
        <v>0.85239999999999905</v>
      </c>
      <c r="H133" s="33">
        <v>0</v>
      </c>
      <c r="I133" s="33">
        <v>1.7107399999999999</v>
      </c>
      <c r="J133" s="33">
        <v>0</v>
      </c>
      <c r="K133" s="33">
        <v>0</v>
      </c>
      <c r="L133" s="33">
        <v>50.29</v>
      </c>
      <c r="M133" s="33">
        <v>106.95</v>
      </c>
      <c r="N133" s="34">
        <v>2.1266653410220702</v>
      </c>
      <c r="O133" s="34">
        <v>2.1285470928226302</v>
      </c>
      <c r="P133" s="34">
        <v>2.12698548621466</v>
      </c>
      <c r="Q133" s="34">
        <v>2.1274334738974701</v>
      </c>
      <c r="R133" s="33">
        <v>107.04463329805</v>
      </c>
      <c r="S133" s="33">
        <v>106.967655986411</v>
      </c>
      <c r="T133" s="33">
        <v>106.992565286995</v>
      </c>
      <c r="U133" s="15">
        <v>8.8444558408712099E-4</v>
      </c>
      <c r="V133" s="15">
        <v>1.6507273670497699E-4</v>
      </c>
      <c r="W133" s="15">
        <v>3.9791322030955999E-4</v>
      </c>
      <c r="X133" s="34">
        <v>2.1266653410220702</v>
      </c>
      <c r="Y133" s="34">
        <v>2.1285470928226302</v>
      </c>
      <c r="Z133" s="34">
        <v>2.12698548621466</v>
      </c>
      <c r="AA133" s="34">
        <v>2.1274334738974701</v>
      </c>
      <c r="AB133" s="33">
        <v>107.04463329805</v>
      </c>
      <c r="AC133" s="33">
        <v>106.967655986411</v>
      </c>
      <c r="AD133" s="33">
        <v>106.992565286995</v>
      </c>
      <c r="AE133" s="15">
        <v>8.8444558408712099E-4</v>
      </c>
      <c r="AF133" s="15">
        <v>1.6507273670497699E-4</v>
      </c>
      <c r="AG133" s="15">
        <v>3.9791322030955999E-4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6.6207567599066951E-3</v>
      </c>
      <c r="AT133" s="12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7.2703184620984381E-3</v>
      </c>
      <c r="BE133" s="29">
        <f t="shared" si="42"/>
        <v>0</v>
      </c>
      <c r="BF133" s="29">
        <f t="shared" si="43"/>
        <v>1.3891075222005131E-2</v>
      </c>
      <c r="BH133" s="29"/>
    </row>
    <row r="134" spans="1:60" x14ac:dyDescent="0.25">
      <c r="A134" s="1">
        <v>46218</v>
      </c>
      <c r="B134" s="33">
        <v>50.21</v>
      </c>
      <c r="C134" s="33">
        <v>106.76</v>
      </c>
      <c r="D134" s="15">
        <v>-1.59204013725917E-3</v>
      </c>
      <c r="E134" s="15">
        <v>-1.7781109920911699E-3</v>
      </c>
      <c r="F134" s="33">
        <v>0</v>
      </c>
      <c r="G134" s="33">
        <v>0.85239999999999905</v>
      </c>
      <c r="H134" s="33">
        <v>0</v>
      </c>
      <c r="I134" s="33">
        <v>1.7107399999999999</v>
      </c>
      <c r="J134" s="33">
        <v>0</v>
      </c>
      <c r="K134" s="33">
        <v>0</v>
      </c>
      <c r="L134" s="33">
        <v>50.21</v>
      </c>
      <c r="M134" s="33">
        <v>106.76</v>
      </c>
      <c r="N134" s="34">
        <v>2.1262696673969299</v>
      </c>
      <c r="O134" s="34">
        <v>2.1285470928226302</v>
      </c>
      <c r="P134" s="34">
        <v>2.1268406063746701</v>
      </c>
      <c r="Q134" s="34">
        <v>2.1273219324411001</v>
      </c>
      <c r="R134" s="33">
        <v>106.874349530624</v>
      </c>
      <c r="S134" s="33">
        <v>106.795941262838</v>
      </c>
      <c r="T134" s="33">
        <v>106.81843472439201</v>
      </c>
      <c r="U134" s="15">
        <v>1.0705164389189601E-3</v>
      </c>
      <c r="V134" s="15">
        <v>3.3659811068678999E-4</v>
      </c>
      <c r="W134" s="15">
        <v>5.47196873369155E-4</v>
      </c>
      <c r="X134" s="34">
        <v>2.1262696673969299</v>
      </c>
      <c r="Y134" s="34">
        <v>2.1285470928226302</v>
      </c>
      <c r="Z134" s="34">
        <v>2.1268406063746701</v>
      </c>
      <c r="AA134" s="34">
        <v>2.1273219324411001</v>
      </c>
      <c r="AB134" s="33">
        <v>106.874349530624</v>
      </c>
      <c r="AC134" s="33">
        <v>106.795941262838</v>
      </c>
      <c r="AD134" s="33">
        <v>106.81843472439201</v>
      </c>
      <c r="AE134" s="15">
        <v>1.0705164389189601E-3</v>
      </c>
      <c r="AF134" s="15">
        <v>3.3659811068678999E-4</v>
      </c>
      <c r="AG134" s="15">
        <v>5.47196873369155E-4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6.6207567599066951E-3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7.2703184620984381E-3</v>
      </c>
      <c r="BE134" s="29">
        <f t="shared" si="42"/>
        <v>0</v>
      </c>
      <c r="BF134" s="29">
        <f t="shared" si="43"/>
        <v>1.3891075222005131E-2</v>
      </c>
      <c r="BH134" s="29"/>
    </row>
    <row r="135" spans="1:60" x14ac:dyDescent="0.25">
      <c r="A135" s="1">
        <v>46219</v>
      </c>
      <c r="B135" s="33">
        <v>50.16</v>
      </c>
      <c r="C135" s="33">
        <v>106.62</v>
      </c>
      <c r="D135" s="15">
        <v>-9.9631372194891794E-4</v>
      </c>
      <c r="E135" s="15">
        <v>-1.3122131417083801E-3</v>
      </c>
      <c r="F135" s="33">
        <v>0</v>
      </c>
      <c r="G135" s="33">
        <v>0.85239999999999905</v>
      </c>
      <c r="H135" s="33">
        <v>0</v>
      </c>
      <c r="I135" s="33">
        <v>1.7107399999999999</v>
      </c>
      <c r="J135" s="33">
        <v>0</v>
      </c>
      <c r="K135" s="33">
        <v>0</v>
      </c>
      <c r="L135" s="33">
        <v>50.16</v>
      </c>
      <c r="M135" s="33">
        <v>106.62</v>
      </c>
      <c r="N135" s="34">
        <v>2.1255980861244002</v>
      </c>
      <c r="O135" s="34">
        <v>2.1285470928226302</v>
      </c>
      <c r="P135" s="34">
        <v>2.1267196145115799</v>
      </c>
      <c r="Q135" s="34">
        <v>2.1271768119211001</v>
      </c>
      <c r="R135" s="33">
        <v>106.767922175983</v>
      </c>
      <c r="S135" s="33">
        <v>106.68232481575301</v>
      </c>
      <c r="T135" s="33">
        <v>106.706468131245</v>
      </c>
      <c r="U135" s="15">
        <v>1.38641585867843E-3</v>
      </c>
      <c r="V135" s="15">
        <v>5.84380105387167E-4</v>
      </c>
      <c r="W135" s="15">
        <v>8.1066486253248695E-4</v>
      </c>
      <c r="X135" s="34">
        <v>2.1255980861244002</v>
      </c>
      <c r="Y135" s="34">
        <v>2.1285470928226302</v>
      </c>
      <c r="Z135" s="34">
        <v>2.1267196145115799</v>
      </c>
      <c r="AA135" s="34">
        <v>2.1271768119211001</v>
      </c>
      <c r="AB135" s="33">
        <v>106.767922175983</v>
      </c>
      <c r="AC135" s="33">
        <v>106.68232481575301</v>
      </c>
      <c r="AD135" s="33">
        <v>106.706468131245</v>
      </c>
      <c r="AE135" s="15">
        <v>1.38641585867843E-3</v>
      </c>
      <c r="AF135" s="15">
        <v>5.84380105387167E-4</v>
      </c>
      <c r="AG135" s="15">
        <v>8.1066486253248695E-4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6.6207567599066951E-3</v>
      </c>
      <c r="AT135" s="12"/>
      <c r="AU135">
        <f t="shared" si="30"/>
        <v>0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7.2703184620984381E-3</v>
      </c>
      <c r="BE135" s="29">
        <f t="shared" si="42"/>
        <v>0</v>
      </c>
      <c r="BF135" s="29">
        <f t="shared" si="43"/>
        <v>1.3891075222005131E-2</v>
      </c>
      <c r="BH135" s="29"/>
    </row>
    <row r="136" spans="1:60" x14ac:dyDescent="0.25">
      <c r="A136" s="1">
        <v>46220</v>
      </c>
      <c r="B136" s="33">
        <v>50.13</v>
      </c>
      <c r="C136" s="33">
        <v>106.58</v>
      </c>
      <c r="D136" s="15">
        <v>-5.9826504925312497E-4</v>
      </c>
      <c r="E136" s="15">
        <v>-3.7523452597883103E-4</v>
      </c>
      <c r="F136" s="33">
        <v>0</v>
      </c>
      <c r="G136" s="33">
        <v>0.85239999999999905</v>
      </c>
      <c r="H136" s="33">
        <v>0</v>
      </c>
      <c r="I136" s="33">
        <v>1.7107399999999999</v>
      </c>
      <c r="J136" s="33">
        <v>0</v>
      </c>
      <c r="K136" s="33">
        <v>0</v>
      </c>
      <c r="L136" s="33">
        <v>50.13</v>
      </c>
      <c r="M136" s="33">
        <v>106.58</v>
      </c>
      <c r="N136" s="34">
        <v>2.1260722122481499</v>
      </c>
      <c r="O136" s="34">
        <v>2.1285470928226302</v>
      </c>
      <c r="P136" s="34">
        <v>2.1265819317189898</v>
      </c>
      <c r="Q136" s="34">
        <v>2.1271173284790201</v>
      </c>
      <c r="R136" s="33">
        <v>106.704065763198</v>
      </c>
      <c r="S136" s="33">
        <v>106.612454275465</v>
      </c>
      <c r="T136" s="33">
        <v>106.63537358160499</v>
      </c>
      <c r="U136" s="15">
        <v>1.16338533540418E-3</v>
      </c>
      <c r="V136" s="15">
        <v>3.0445989120000001E-4</v>
      </c>
      <c r="W136" s="15">
        <v>5.1941454239241001E-4</v>
      </c>
      <c r="X136" s="34">
        <v>2.1260722122481499</v>
      </c>
      <c r="Y136" s="34">
        <v>2.1285470928226302</v>
      </c>
      <c r="Z136" s="34">
        <v>2.1265819317189898</v>
      </c>
      <c r="AA136" s="34">
        <v>2.1271173284790201</v>
      </c>
      <c r="AB136" s="33">
        <v>106.704065763198</v>
      </c>
      <c r="AC136" s="33">
        <v>106.612454275465</v>
      </c>
      <c r="AD136" s="33">
        <v>106.63537358160499</v>
      </c>
      <c r="AE136" s="15">
        <v>1.16338533540418E-3</v>
      </c>
      <c r="AF136" s="15">
        <v>3.0445989120000001E-4</v>
      </c>
      <c r="AG136" s="15">
        <v>5.1941454239241001E-4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6.6207567599066951E-3</v>
      </c>
      <c r="AT136" s="12"/>
      <c r="AU136">
        <f t="shared" si="30"/>
        <v>0</v>
      </c>
      <c r="AV136">
        <f t="shared" si="31"/>
        <v>0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7.2703184620984381E-3</v>
      </c>
      <c r="BE136" s="29">
        <f t="shared" si="42"/>
        <v>0</v>
      </c>
      <c r="BF136" s="29">
        <f t="shared" si="43"/>
        <v>1.3891075222005131E-2</v>
      </c>
      <c r="BH136" s="29"/>
    </row>
    <row r="137" spans="1:60" x14ac:dyDescent="0.25">
      <c r="A137" s="1">
        <v>46223</v>
      </c>
      <c r="B137" s="33">
        <v>50.05</v>
      </c>
      <c r="C137" s="33">
        <v>106.4</v>
      </c>
      <c r="D137" s="15">
        <v>-1.5971255141825501E-3</v>
      </c>
      <c r="E137" s="15">
        <v>-1.69029996109206E-3</v>
      </c>
      <c r="F137" s="33">
        <v>0</v>
      </c>
      <c r="G137" s="33">
        <v>0.85239999999999905</v>
      </c>
      <c r="H137" s="33">
        <v>0</v>
      </c>
      <c r="I137" s="33">
        <v>1.7107399999999999</v>
      </c>
      <c r="J137" s="33">
        <v>0</v>
      </c>
      <c r="K137" s="33">
        <v>0</v>
      </c>
      <c r="L137" s="33">
        <v>50.05</v>
      </c>
      <c r="M137" s="33">
        <v>106.4</v>
      </c>
      <c r="N137" s="34">
        <v>2.1258741258741201</v>
      </c>
      <c r="O137" s="34">
        <v>2.1285470928226302</v>
      </c>
      <c r="P137" s="34">
        <v>2.1263280304955501</v>
      </c>
      <c r="Q137" s="34">
        <v>2.1270383885883901</v>
      </c>
      <c r="R137" s="33">
        <v>106.533781995773</v>
      </c>
      <c r="S137" s="33">
        <v>106.435425682535</v>
      </c>
      <c r="T137" s="33">
        <v>106.462222290375</v>
      </c>
      <c r="U137" s="15">
        <v>1.2565597823137699E-3</v>
      </c>
      <c r="V137" s="15">
        <v>3.32892729196614E-4</v>
      </c>
      <c r="W137" s="15">
        <v>5.8462503565091502E-4</v>
      </c>
      <c r="X137" s="34">
        <v>2.1258741258741201</v>
      </c>
      <c r="Y137" s="34">
        <v>2.1285470928226302</v>
      </c>
      <c r="Z137" s="34">
        <v>2.1263280304955501</v>
      </c>
      <c r="AA137" s="34">
        <v>2.1270383885883901</v>
      </c>
      <c r="AB137" s="33">
        <v>106.533781995773</v>
      </c>
      <c r="AC137" s="33">
        <v>106.435425682535</v>
      </c>
      <c r="AD137" s="33">
        <v>106.462222290375</v>
      </c>
      <c r="AE137" s="15">
        <v>1.2565597823137699E-3</v>
      </c>
      <c r="AF137" s="15">
        <v>3.32892729196614E-4</v>
      </c>
      <c r="AG137" s="15">
        <v>5.8462503565091502E-4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6.6207567599066951E-3</v>
      </c>
      <c r="AT137" s="12"/>
      <c r="AU137">
        <f t="shared" si="30"/>
        <v>0</v>
      </c>
      <c r="AV137">
        <f t="shared" si="31"/>
        <v>0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7.2703184620984381E-3</v>
      </c>
      <c r="BE137" s="29">
        <f t="shared" si="42"/>
        <v>0</v>
      </c>
      <c r="BF137" s="29">
        <f t="shared" si="43"/>
        <v>1.3891075222005131E-2</v>
      </c>
      <c r="BH137" s="29"/>
    </row>
    <row r="138" spans="1:60" x14ac:dyDescent="0.25">
      <c r="A138" s="1">
        <v>46224</v>
      </c>
      <c r="B138" s="33">
        <v>49.95</v>
      </c>
      <c r="C138" s="33">
        <v>106.17</v>
      </c>
      <c r="D138" s="15">
        <v>-2.0000006666669899E-3</v>
      </c>
      <c r="E138" s="15">
        <v>-2.1639938820623801E-3</v>
      </c>
      <c r="F138" s="33">
        <v>0</v>
      </c>
      <c r="G138" s="33">
        <v>0.85239999999999905</v>
      </c>
      <c r="H138" s="33">
        <v>0</v>
      </c>
      <c r="I138" s="33">
        <v>1.7107399999999999</v>
      </c>
      <c r="J138" s="33">
        <v>0</v>
      </c>
      <c r="K138" s="33">
        <v>0</v>
      </c>
      <c r="L138" s="33">
        <v>49.95</v>
      </c>
      <c r="M138" s="33">
        <v>106.17</v>
      </c>
      <c r="N138" s="34">
        <v>2.1255255255255201</v>
      </c>
      <c r="O138" s="34">
        <v>2.1285470928226302</v>
      </c>
      <c r="P138" s="34">
        <v>2.12618720740352</v>
      </c>
      <c r="Q138" s="34">
        <v>2.1269308425014599</v>
      </c>
      <c r="R138" s="33">
        <v>106.32092728649</v>
      </c>
      <c r="S138" s="33">
        <v>106.21008512325299</v>
      </c>
      <c r="T138" s="33">
        <v>106.24556750999</v>
      </c>
      <c r="U138" s="15">
        <v>1.42055299770938E-3</v>
      </c>
      <c r="V138" s="15">
        <v>3.7748476940217498E-4</v>
      </c>
      <c r="W138" s="15">
        <v>7.1150635581075704E-4</v>
      </c>
      <c r="X138" s="34">
        <v>2.1255255255255201</v>
      </c>
      <c r="Y138" s="34">
        <v>2.1285470928226302</v>
      </c>
      <c r="Z138" s="34">
        <v>2.12618720740352</v>
      </c>
      <c r="AA138" s="34">
        <v>2.1269308425014599</v>
      </c>
      <c r="AB138" s="33">
        <v>106.32092728649</v>
      </c>
      <c r="AC138" s="33">
        <v>106.21008512325299</v>
      </c>
      <c r="AD138" s="33">
        <v>106.24556750999</v>
      </c>
      <c r="AE138" s="15">
        <v>1.42055299770938E-3</v>
      </c>
      <c r="AF138" s="15">
        <v>3.7748476940217498E-4</v>
      </c>
      <c r="AG138" s="15">
        <v>7.1150635581075704E-4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6.6207567599066951E-3</v>
      </c>
      <c r="AT138" s="12"/>
      <c r="AU138">
        <f t="shared" si="30"/>
        <v>0</v>
      </c>
      <c r="AV138">
        <f t="shared" si="31"/>
        <v>0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7.2703184620984381E-3</v>
      </c>
      <c r="BE138" s="29">
        <f t="shared" si="42"/>
        <v>0</v>
      </c>
      <c r="BF138" s="29">
        <f t="shared" si="43"/>
        <v>1.3891075222005131E-2</v>
      </c>
      <c r="BH138" s="29"/>
    </row>
    <row r="139" spans="1:60" x14ac:dyDescent="0.25">
      <c r="A139" s="1">
        <v>46225</v>
      </c>
      <c r="B139" s="33">
        <v>49.81</v>
      </c>
      <c r="C139" s="33">
        <v>105.88</v>
      </c>
      <c r="D139" s="15">
        <v>-2.8067380093704602E-3</v>
      </c>
      <c r="E139" s="15">
        <v>-2.7352056665812799E-3</v>
      </c>
      <c r="F139" s="33">
        <v>0</v>
      </c>
      <c r="G139" s="33">
        <v>0.85239999999999905</v>
      </c>
      <c r="H139" s="33">
        <v>0</v>
      </c>
      <c r="I139" s="33">
        <v>1.7107399999999999</v>
      </c>
      <c r="J139" s="33">
        <v>0</v>
      </c>
      <c r="K139" s="33">
        <v>0</v>
      </c>
      <c r="L139" s="33">
        <v>49.81</v>
      </c>
      <c r="M139" s="33">
        <v>105.88</v>
      </c>
      <c r="N139" s="34">
        <v>2.1256775747841798</v>
      </c>
      <c r="O139" s="34">
        <v>2.1285470928226302</v>
      </c>
      <c r="P139" s="34">
        <v>2.1260410770984102</v>
      </c>
      <c r="Q139" s="34">
        <v>2.1268692919327199</v>
      </c>
      <c r="R139" s="33">
        <v>106.022930693495</v>
      </c>
      <c r="S139" s="33">
        <v>105.905384800769</v>
      </c>
      <c r="T139" s="33">
        <v>105.94242526499799</v>
      </c>
      <c r="U139" s="15">
        <v>1.3490206549199399E-3</v>
      </c>
      <c r="V139" s="15">
        <v>2.39721932796429E-4</v>
      </c>
      <c r="W139" s="15">
        <v>5.8941131211408195E-4</v>
      </c>
      <c r="X139" s="34">
        <v>2.1256775747841798</v>
      </c>
      <c r="Y139" s="34">
        <v>2.1285470928226302</v>
      </c>
      <c r="Z139" s="34">
        <v>2.1260410770984102</v>
      </c>
      <c r="AA139" s="34">
        <v>2.1268692919327199</v>
      </c>
      <c r="AB139" s="33">
        <v>106.022930693495</v>
      </c>
      <c r="AC139" s="33">
        <v>105.905384800769</v>
      </c>
      <c r="AD139" s="33">
        <v>105.94242526499799</v>
      </c>
      <c r="AE139" s="15">
        <v>1.3490206549199399E-3</v>
      </c>
      <c r="AF139" s="15">
        <v>2.39721932796429E-4</v>
      </c>
      <c r="AG139" s="15">
        <v>5.8941131211408195E-4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6.6207567599066951E-3</v>
      </c>
      <c r="AT139" s="12"/>
      <c r="AU139">
        <f t="shared" si="30"/>
        <v>0</v>
      </c>
      <c r="AV139">
        <f t="shared" si="31"/>
        <v>0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7.2703184620984381E-3</v>
      </c>
      <c r="BE139" s="29">
        <f t="shared" si="42"/>
        <v>0</v>
      </c>
      <c r="BF139" s="29">
        <f t="shared" si="43"/>
        <v>1.3891075222005131E-2</v>
      </c>
      <c r="BH139" s="29"/>
    </row>
    <row r="140" spans="1:60" x14ac:dyDescent="0.25">
      <c r="A140" s="1">
        <v>46226</v>
      </c>
      <c r="B140" s="33">
        <v>49.51</v>
      </c>
      <c r="C140" s="33">
        <v>105.26</v>
      </c>
      <c r="D140" s="15">
        <v>-6.0410977118603897E-3</v>
      </c>
      <c r="E140" s="15">
        <v>-5.8728974332675496E-3</v>
      </c>
      <c r="F140" s="33">
        <v>0</v>
      </c>
      <c r="G140" s="33">
        <v>0.85239999999999905</v>
      </c>
      <c r="H140" s="33">
        <v>0</v>
      </c>
      <c r="I140" s="33">
        <v>1.7107399999999999</v>
      </c>
      <c r="J140" s="33">
        <v>0</v>
      </c>
      <c r="K140" s="33">
        <v>0</v>
      </c>
      <c r="L140" s="33">
        <v>49.51</v>
      </c>
      <c r="M140" s="33">
        <v>105.26</v>
      </c>
      <c r="N140" s="34">
        <v>2.1260351444152699</v>
      </c>
      <c r="O140" s="34">
        <v>2.1285470928226302</v>
      </c>
      <c r="P140" s="34">
        <v>2.1259979421066499</v>
      </c>
      <c r="Q140" s="34">
        <v>2.12675393685402</v>
      </c>
      <c r="R140" s="33">
        <v>105.38436656564799</v>
      </c>
      <c r="S140" s="33">
        <v>105.260293727142</v>
      </c>
      <c r="T140" s="33">
        <v>105.30129864358901</v>
      </c>
      <c r="U140" s="15">
        <v>1.18082037632714E-3</v>
      </c>
      <c r="V140" s="15">
        <v>2.79048767684487E-6</v>
      </c>
      <c r="W140" s="15">
        <v>3.9227193586674301E-4</v>
      </c>
      <c r="X140" s="34">
        <v>2.1260351444152699</v>
      </c>
      <c r="Y140" s="34">
        <v>2.1285470928226302</v>
      </c>
      <c r="Z140" s="34">
        <v>2.1259979421066499</v>
      </c>
      <c r="AA140" s="34">
        <v>2.12675393685402</v>
      </c>
      <c r="AB140" s="33">
        <v>105.38436656564799</v>
      </c>
      <c r="AC140" s="33">
        <v>105.260293727142</v>
      </c>
      <c r="AD140" s="33">
        <v>105.30129864358901</v>
      </c>
      <c r="AE140" s="15">
        <v>1.18082037632714E-3</v>
      </c>
      <c r="AF140" s="15">
        <v>2.79048767684487E-6</v>
      </c>
      <c r="AG140" s="15">
        <v>3.9227193586674301E-4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6.6207567599066951E-3</v>
      </c>
      <c r="AT140" s="12"/>
      <c r="AU140">
        <f t="shared" si="30"/>
        <v>0</v>
      </c>
      <c r="AV140">
        <f t="shared" si="31"/>
        <v>0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7.2703184620984381E-3</v>
      </c>
      <c r="BE140" s="29">
        <f t="shared" si="42"/>
        <v>0</v>
      </c>
      <c r="BF140" s="29">
        <f t="shared" si="43"/>
        <v>1.3891075222005131E-2</v>
      </c>
      <c r="BH140" s="29"/>
    </row>
    <row r="141" spans="1:60" x14ac:dyDescent="0.25">
      <c r="A141" s="1">
        <v>46227</v>
      </c>
      <c r="B141" s="33">
        <v>49.61</v>
      </c>
      <c r="C141" s="33">
        <v>105.55</v>
      </c>
      <c r="D141" s="15">
        <v>2.0177569396259399E-3</v>
      </c>
      <c r="E141" s="15">
        <v>2.7512943686967299E-3</v>
      </c>
      <c r="F141" s="33">
        <v>0</v>
      </c>
      <c r="G141" s="33">
        <v>0.85239999999999905</v>
      </c>
      <c r="H141" s="33">
        <v>0</v>
      </c>
      <c r="I141" s="33">
        <v>1.7107399999999999</v>
      </c>
      <c r="J141" s="33">
        <v>0</v>
      </c>
      <c r="K141" s="33">
        <v>0</v>
      </c>
      <c r="L141" s="33">
        <v>49.61</v>
      </c>
      <c r="M141" s="33">
        <v>105.55</v>
      </c>
      <c r="N141" s="34">
        <v>2.1275952428945701</v>
      </c>
      <c r="O141" s="34">
        <v>2.1285470928226302</v>
      </c>
      <c r="P141" s="34">
        <v>2.1261829729515398</v>
      </c>
      <c r="Q141" s="34">
        <v>2.1266820860955198</v>
      </c>
      <c r="R141" s="33">
        <v>105.597221274931</v>
      </c>
      <c r="S141" s="33">
        <v>105.47075790791099</v>
      </c>
      <c r="T141" s="33">
        <v>105.50826280732799</v>
      </c>
      <c r="U141" s="15">
        <v>4.4728294725629398E-4</v>
      </c>
      <c r="V141" s="15">
        <v>-7.5103602696722799E-4</v>
      </c>
      <c r="W141" s="15">
        <v>-3.9550399648739901E-4</v>
      </c>
      <c r="X141" s="34">
        <v>2.1275952428945701</v>
      </c>
      <c r="Y141" s="34">
        <v>2.1285470928226302</v>
      </c>
      <c r="Z141" s="34">
        <v>2.1261829729515398</v>
      </c>
      <c r="AA141" s="34">
        <v>2.1266820860955198</v>
      </c>
      <c r="AB141" s="33">
        <v>105.597221274931</v>
      </c>
      <c r="AC141" s="33">
        <v>105.47075790791099</v>
      </c>
      <c r="AD141" s="33">
        <v>105.50826280732799</v>
      </c>
      <c r="AE141" s="15">
        <v>4.4728294725629398E-4</v>
      </c>
      <c r="AF141" s="15">
        <v>-7.5103602696722799E-4</v>
      </c>
      <c r="AG141" s="15">
        <v>-3.9550399648739901E-4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6.6207567599066951E-3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7.2703184620984381E-3</v>
      </c>
      <c r="BE141" s="29">
        <f t="shared" si="42"/>
        <v>0</v>
      </c>
      <c r="BF141" s="29">
        <f t="shared" si="43"/>
        <v>1.3891075222005131E-2</v>
      </c>
      <c r="BH141" s="29"/>
    </row>
    <row r="142" spans="1:60" x14ac:dyDescent="0.25">
      <c r="A142" s="1">
        <v>46230</v>
      </c>
      <c r="B142" s="33">
        <v>49.69</v>
      </c>
      <c r="C142" s="33">
        <v>105.8</v>
      </c>
      <c r="D142" s="15">
        <v>1.61127930127171E-3</v>
      </c>
      <c r="E142" s="15">
        <v>2.3657451298694501E-3</v>
      </c>
      <c r="F142" s="33">
        <v>0</v>
      </c>
      <c r="G142" s="33">
        <v>0.85239999999999905</v>
      </c>
      <c r="H142" s="33">
        <v>0</v>
      </c>
      <c r="I142" s="33">
        <v>1.7107399999999999</v>
      </c>
      <c r="J142" s="33">
        <v>0</v>
      </c>
      <c r="K142" s="33">
        <v>0</v>
      </c>
      <c r="L142" s="33">
        <v>49.69</v>
      </c>
      <c r="M142" s="33">
        <v>105.8</v>
      </c>
      <c r="N142" s="34">
        <v>2.1292010464882201</v>
      </c>
      <c r="O142" s="34">
        <v>2.1285470928226302</v>
      </c>
      <c r="P142" s="34">
        <v>2.1264513966773402</v>
      </c>
      <c r="Q142" s="34">
        <v>2.1267339105718301</v>
      </c>
      <c r="R142" s="33">
        <v>105.76750504235601</v>
      </c>
      <c r="S142" s="33">
        <v>105.650031925962</v>
      </c>
      <c r="T142" s="33">
        <v>105.67483285808601</v>
      </c>
      <c r="U142" s="15">
        <v>-3.0718288134140901E-4</v>
      </c>
      <c r="V142" s="15">
        <v>-1.4184731760737499E-3</v>
      </c>
      <c r="W142" s="15">
        <v>-1.1837546325281501E-3</v>
      </c>
      <c r="X142" s="34">
        <v>2.1292010464882201</v>
      </c>
      <c r="Y142" s="34">
        <v>2.1285470928226302</v>
      </c>
      <c r="Z142" s="34">
        <v>2.1264513966773402</v>
      </c>
      <c r="AA142" s="34">
        <v>2.1267339105718301</v>
      </c>
      <c r="AB142" s="33">
        <v>105.76750504235601</v>
      </c>
      <c r="AC142" s="33">
        <v>105.650031925962</v>
      </c>
      <c r="AD142" s="33">
        <v>105.67483285808601</v>
      </c>
      <c r="AE142" s="15">
        <v>-3.0718288134140901E-4</v>
      </c>
      <c r="AF142" s="15">
        <v>-1.4184731760737499E-3</v>
      </c>
      <c r="AG142" s="15">
        <v>-1.1837546325281501E-3</v>
      </c>
      <c r="AI142" s="12"/>
      <c r="AJ142">
        <f t="shared" si="26"/>
        <v>1</v>
      </c>
      <c r="AK142">
        <f t="shared" si="27"/>
        <v>0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6.6207567599066951E-3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7.2703184620984381E-3</v>
      </c>
      <c r="BE142" s="29">
        <f t="shared" si="42"/>
        <v>0</v>
      </c>
      <c r="BF142" s="29">
        <f t="shared" si="43"/>
        <v>1.3891075222005131E-2</v>
      </c>
      <c r="BH142" s="29"/>
    </row>
    <row r="143" spans="1:60" x14ac:dyDescent="0.25">
      <c r="A143" s="1">
        <v>46231</v>
      </c>
      <c r="B143" s="33">
        <v>49.77</v>
      </c>
      <c r="C143" s="33">
        <v>106</v>
      </c>
      <c r="D143" s="15">
        <v>1.60868725623362E-3</v>
      </c>
      <c r="E143" s="15">
        <v>1.8885746878681501E-3</v>
      </c>
      <c r="F143" s="33">
        <v>0</v>
      </c>
      <c r="G143" s="33">
        <v>0.85239999999999905</v>
      </c>
      <c r="H143" s="33">
        <v>0</v>
      </c>
      <c r="I143" s="33">
        <v>1.7107399999999999</v>
      </c>
      <c r="J143" s="33">
        <v>0</v>
      </c>
      <c r="K143" s="33">
        <v>0</v>
      </c>
      <c r="L143" s="33">
        <v>49.77</v>
      </c>
      <c r="M143" s="33">
        <v>106</v>
      </c>
      <c r="N143" s="34">
        <v>2.1297970665059198</v>
      </c>
      <c r="O143" s="34">
        <v>2.1285470928226302</v>
      </c>
      <c r="P143" s="34">
        <v>2.1267645692257302</v>
      </c>
      <c r="Q143" s="34">
        <v>2.1268750277201902</v>
      </c>
      <c r="R143" s="33">
        <v>105.93778880978201</v>
      </c>
      <c r="S143" s="33">
        <v>105.833486012631</v>
      </c>
      <c r="T143" s="33">
        <v>105.84754672916</v>
      </c>
      <c r="U143" s="15">
        <v>-5.8707031297595795E-4</v>
      </c>
      <c r="V143" s="15">
        <v>-1.57212180943254E-3</v>
      </c>
      <c r="W143" s="15">
        <v>-1.4392736617523899E-3</v>
      </c>
      <c r="X143" s="34">
        <v>2.1297970665059198</v>
      </c>
      <c r="Y143" s="34">
        <v>2.1285470928226302</v>
      </c>
      <c r="Z143" s="34">
        <v>2.1267645692257302</v>
      </c>
      <c r="AA143" s="34">
        <v>2.1268750277201902</v>
      </c>
      <c r="AB143" s="33">
        <v>105.93778880978201</v>
      </c>
      <c r="AC143" s="33">
        <v>105.833486012631</v>
      </c>
      <c r="AD143" s="33">
        <v>105.84754672916</v>
      </c>
      <c r="AE143" s="15">
        <v>-5.8707031297595795E-4</v>
      </c>
      <c r="AF143" s="15">
        <v>-1.57212180943254E-3</v>
      </c>
      <c r="AG143" s="15">
        <v>-1.4392736617523899E-3</v>
      </c>
      <c r="AI143" s="12"/>
      <c r="AJ143">
        <f t="shared" si="26"/>
        <v>1</v>
      </c>
      <c r="AK143">
        <f t="shared" si="27"/>
        <v>0</v>
      </c>
      <c r="AL143">
        <f t="shared" si="34"/>
        <v>1</v>
      </c>
      <c r="AM143">
        <f t="shared" si="24"/>
        <v>1</v>
      </c>
      <c r="AN143">
        <f t="shared" si="35"/>
        <v>1</v>
      </c>
      <c r="AO143" s="28">
        <f t="shared" si="28"/>
        <v>1.60868725623362E-3</v>
      </c>
      <c r="AP143" s="28">
        <f t="shared" si="29"/>
        <v>-1.8885746878681501E-3</v>
      </c>
      <c r="AQ143" s="28">
        <f t="shared" si="36"/>
        <v>-2.7988743163453013E-4</v>
      </c>
      <c r="AR143" s="29">
        <f t="shared" si="37"/>
        <v>6.3408693282721654E-3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7.2703184620984381E-3</v>
      </c>
      <c r="BE143" s="29">
        <f t="shared" si="42"/>
        <v>-2.7988743163453013E-4</v>
      </c>
      <c r="BF143" s="29">
        <f t="shared" si="43"/>
        <v>1.3611187790370601E-2</v>
      </c>
      <c r="BH143" s="29"/>
    </row>
    <row r="144" spans="1:60" x14ac:dyDescent="0.25">
      <c r="A144" s="1">
        <v>46232</v>
      </c>
      <c r="B144" s="33">
        <v>49.7</v>
      </c>
      <c r="C144" s="33">
        <v>105.77</v>
      </c>
      <c r="D144" s="15">
        <v>-1.4074597678798201E-3</v>
      </c>
      <c r="E144" s="15">
        <v>-2.1721687721056901E-3</v>
      </c>
      <c r="F144" s="33">
        <v>0</v>
      </c>
      <c r="G144" s="33">
        <v>0.85239999999999905</v>
      </c>
      <c r="H144" s="33">
        <v>0</v>
      </c>
      <c r="I144" s="33">
        <v>1.7107399999999999</v>
      </c>
      <c r="J144" s="33">
        <v>0</v>
      </c>
      <c r="K144" s="33">
        <v>0</v>
      </c>
      <c r="L144" s="33">
        <v>49.7</v>
      </c>
      <c r="M144" s="33">
        <v>105.77</v>
      </c>
      <c r="N144" s="34">
        <v>2.1281690140845</v>
      </c>
      <c r="O144" s="34">
        <v>2.1285470928226302</v>
      </c>
      <c r="P144" s="34">
        <v>2.1269545038944799</v>
      </c>
      <c r="Q144" s="34">
        <v>2.1268975551345801</v>
      </c>
      <c r="R144" s="33">
        <v>105.78879051328499</v>
      </c>
      <c r="S144" s="33">
        <v>105.700199090518</v>
      </c>
      <c r="T144" s="33">
        <v>105.70568887769301</v>
      </c>
      <c r="U144" s="15">
        <v>1.77638691249958E-4</v>
      </c>
      <c r="V144" s="15">
        <v>-6.6014892231811798E-4</v>
      </c>
      <c r="W144" s="15">
        <v>-6.0821293104674199E-4</v>
      </c>
      <c r="X144" s="34">
        <v>2.1281690140845</v>
      </c>
      <c r="Y144" s="34">
        <v>2.1285470928226302</v>
      </c>
      <c r="Z144" s="34">
        <v>2.1269545038944799</v>
      </c>
      <c r="AA144" s="34">
        <v>2.1268975551345801</v>
      </c>
      <c r="AB144" s="33">
        <v>105.78879051328499</v>
      </c>
      <c r="AC144" s="33">
        <v>105.700199090518</v>
      </c>
      <c r="AD144" s="33">
        <v>105.70568887769301</v>
      </c>
      <c r="AE144" s="15">
        <v>1.77638691249958E-4</v>
      </c>
      <c r="AF144" s="15">
        <v>-6.6014892231811798E-4</v>
      </c>
      <c r="AG144" s="15">
        <v>-6.0821293104674199E-4</v>
      </c>
      <c r="AI144" s="12"/>
      <c r="AJ144">
        <f t="shared" si="26"/>
        <v>0</v>
      </c>
      <c r="AK144">
        <f t="shared" si="27"/>
        <v>0</v>
      </c>
      <c r="AL144">
        <f t="shared" si="34"/>
        <v>1</v>
      </c>
      <c r="AM144">
        <f t="shared" si="24"/>
        <v>1</v>
      </c>
      <c r="AN144">
        <f t="shared" si="35"/>
        <v>1</v>
      </c>
      <c r="AO144" s="28">
        <f t="shared" si="28"/>
        <v>-1.4074597678798201E-3</v>
      </c>
      <c r="AP144" s="28">
        <f t="shared" si="29"/>
        <v>2.1721687721056901E-3</v>
      </c>
      <c r="AQ144" s="28">
        <f t="shared" si="36"/>
        <v>7.6470900422587001E-4</v>
      </c>
      <c r="AR144" s="29">
        <f t="shared" si="37"/>
        <v>7.1055783324980356E-3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7.2703184620984381E-3</v>
      </c>
      <c r="BE144" s="29">
        <f t="shared" si="42"/>
        <v>7.6470900422587001E-4</v>
      </c>
      <c r="BF144" s="29">
        <f t="shared" si="43"/>
        <v>1.4375896794596471E-2</v>
      </c>
      <c r="BH144" s="29"/>
    </row>
    <row r="145" spans="1:60" x14ac:dyDescent="0.25">
      <c r="A145" s="1">
        <v>46233</v>
      </c>
      <c r="B145" s="33">
        <v>49.65</v>
      </c>
      <c r="C145" s="33">
        <v>105.76</v>
      </c>
      <c r="D145" s="15">
        <v>-1.0065426114015E-3</v>
      </c>
      <c r="E145" s="15">
        <v>-9.4549236585236894E-5</v>
      </c>
      <c r="F145" s="33">
        <v>0</v>
      </c>
      <c r="G145" s="33">
        <v>0.85239999999999905</v>
      </c>
      <c r="H145" s="33">
        <v>0</v>
      </c>
      <c r="I145" s="33">
        <v>1.7107399999999999</v>
      </c>
      <c r="J145" s="33">
        <v>0</v>
      </c>
      <c r="K145" s="33">
        <v>0</v>
      </c>
      <c r="L145" s="33">
        <v>49.65</v>
      </c>
      <c r="M145" s="33">
        <v>105.76</v>
      </c>
      <c r="N145" s="34">
        <v>2.13011077542799</v>
      </c>
      <c r="O145" s="34">
        <v>2.1285470928226302</v>
      </c>
      <c r="P145" s="34">
        <v>2.1274057728248401</v>
      </c>
      <c r="Q145" s="34">
        <v>2.12706269366821</v>
      </c>
      <c r="R145" s="33">
        <v>105.68236315864399</v>
      </c>
      <c r="S145" s="33">
        <v>105.603291118361</v>
      </c>
      <c r="T145" s="33">
        <v>105.60046361243199</v>
      </c>
      <c r="U145" s="15">
        <v>-7.3435468356625796E-4</v>
      </c>
      <c r="V145" s="15">
        <v>-1.48283942328749E-3</v>
      </c>
      <c r="W145" s="15">
        <v>-1.50961457160873E-3</v>
      </c>
      <c r="X145" s="34">
        <v>2.13011077542799</v>
      </c>
      <c r="Y145" s="34">
        <v>2.1285470928226302</v>
      </c>
      <c r="Z145" s="34">
        <v>2.1274057728248401</v>
      </c>
      <c r="AA145" s="34">
        <v>2.12706269366821</v>
      </c>
      <c r="AB145" s="33">
        <v>105.68236315864399</v>
      </c>
      <c r="AC145" s="33">
        <v>105.603291118361</v>
      </c>
      <c r="AD145" s="33">
        <v>105.60046361243199</v>
      </c>
      <c r="AE145" s="15">
        <v>-7.3435468356625796E-4</v>
      </c>
      <c r="AF145" s="15">
        <v>-1.48283942328749E-3</v>
      </c>
      <c r="AG145" s="15">
        <v>-1.50961457160873E-3</v>
      </c>
      <c r="AI145" s="12"/>
      <c r="AJ145">
        <f t="shared" si="26"/>
        <v>1</v>
      </c>
      <c r="AK145">
        <f t="shared" si="27"/>
        <v>0</v>
      </c>
      <c r="AL145">
        <f t="shared" si="34"/>
        <v>1</v>
      </c>
      <c r="AM145">
        <f t="shared" si="24"/>
        <v>1</v>
      </c>
      <c r="AN145">
        <f t="shared" si="35"/>
        <v>1</v>
      </c>
      <c r="AO145" s="28">
        <f t="shared" si="28"/>
        <v>-1.0065426114015E-3</v>
      </c>
      <c r="AP145" s="28">
        <f t="shared" si="29"/>
        <v>9.4549236585236894E-5</v>
      </c>
      <c r="AQ145" s="28">
        <f t="shared" si="36"/>
        <v>-9.1199337481626314E-4</v>
      </c>
      <c r="AR145" s="29">
        <f t="shared" si="37"/>
        <v>6.1935849576817727E-3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7.2703184620984381E-3</v>
      </c>
      <c r="BE145" s="29">
        <f t="shared" si="42"/>
        <v>-9.1199337481626314E-4</v>
      </c>
      <c r="BF145" s="29">
        <f t="shared" si="43"/>
        <v>1.3463903419780208E-2</v>
      </c>
      <c r="BH145" s="29"/>
    </row>
    <row r="146" spans="1:60" x14ac:dyDescent="0.25">
      <c r="A146" s="1">
        <v>46234</v>
      </c>
      <c r="B146" s="33">
        <v>49.6</v>
      </c>
      <c r="C146" s="33">
        <v>105.64</v>
      </c>
      <c r="D146" s="15">
        <v>-1.0075567602997101E-3</v>
      </c>
      <c r="E146" s="15">
        <v>-1.1352886744446899E-3</v>
      </c>
      <c r="F146" s="33">
        <v>0</v>
      </c>
      <c r="G146" s="33">
        <v>0.85239999999999905</v>
      </c>
      <c r="H146" s="33">
        <v>0</v>
      </c>
      <c r="I146" s="33">
        <v>1.7107399999999999</v>
      </c>
      <c r="J146" s="33">
        <v>0</v>
      </c>
      <c r="K146" s="33">
        <v>0</v>
      </c>
      <c r="L146" s="33">
        <v>49.6</v>
      </c>
      <c r="M146" s="33">
        <v>105.64</v>
      </c>
      <c r="N146" s="34">
        <v>2.1298387096774101</v>
      </c>
      <c r="O146" s="34">
        <v>2.1285470928226302</v>
      </c>
      <c r="P146" s="34">
        <v>2.1277824225677699</v>
      </c>
      <c r="Q146" s="34">
        <v>2.1271821771433799</v>
      </c>
      <c r="R146" s="33">
        <v>105.575935804002</v>
      </c>
      <c r="S146" s="33">
        <v>105.519326332112</v>
      </c>
      <c r="T146" s="33">
        <v>105.502309605943</v>
      </c>
      <c r="U146" s="15">
        <v>-6.0662276942125698E-4</v>
      </c>
      <c r="V146" s="15">
        <v>-1.14296330757039E-3</v>
      </c>
      <c r="W146" s="15">
        <v>-1.3042427529704999E-3</v>
      </c>
      <c r="X146" s="34">
        <v>2.1298387096774101</v>
      </c>
      <c r="Y146" s="34">
        <v>2.1285470928226302</v>
      </c>
      <c r="Z146" s="34">
        <v>2.1277824225677699</v>
      </c>
      <c r="AA146" s="34">
        <v>2.1271821771433799</v>
      </c>
      <c r="AB146" s="33">
        <v>105.575935804002</v>
      </c>
      <c r="AC146" s="33">
        <v>105.519326332112</v>
      </c>
      <c r="AD146" s="33">
        <v>105.502309605943</v>
      </c>
      <c r="AE146" s="15">
        <v>-6.0662276942125698E-4</v>
      </c>
      <c r="AF146" s="15">
        <v>-1.14296330757039E-3</v>
      </c>
      <c r="AG146" s="15">
        <v>-1.3042427529704999E-3</v>
      </c>
      <c r="AI146" s="12"/>
      <c r="AJ146">
        <f t="shared" si="26"/>
        <v>1</v>
      </c>
      <c r="AK146">
        <f t="shared" si="27"/>
        <v>0</v>
      </c>
      <c r="AL146">
        <f t="shared" si="34"/>
        <v>1</v>
      </c>
      <c r="AM146">
        <f t="shared" si="24"/>
        <v>0</v>
      </c>
      <c r="AN146">
        <f t="shared" si="35"/>
        <v>1</v>
      </c>
      <c r="AO146" s="28">
        <f t="shared" si="28"/>
        <v>-1.0075567602997101E-3</v>
      </c>
      <c r="AP146" s="28">
        <f t="shared" si="29"/>
        <v>1.1352886744446899E-3</v>
      </c>
      <c r="AQ146" s="28">
        <f t="shared" si="36"/>
        <v>1.2773191414497983E-4</v>
      </c>
      <c r="AR146" s="29">
        <f t="shared" si="37"/>
        <v>6.3213168718267527E-3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7.2703184620984381E-3</v>
      </c>
      <c r="BE146" s="29">
        <f t="shared" si="42"/>
        <v>1.2773191414497983E-4</v>
      </c>
      <c r="BF146" s="29">
        <f t="shared" si="43"/>
        <v>1.3591635333925187E-2</v>
      </c>
      <c r="BH146" s="29"/>
    </row>
    <row r="147" spans="1:60" x14ac:dyDescent="0.25">
      <c r="A147" s="1">
        <v>46237</v>
      </c>
      <c r="B147" s="33">
        <v>49.52</v>
      </c>
      <c r="C147" s="33">
        <v>105.45</v>
      </c>
      <c r="D147" s="15">
        <v>-1.6142053545411101E-3</v>
      </c>
      <c r="E147" s="15">
        <v>-1.80018050414785E-3</v>
      </c>
      <c r="F147" s="33">
        <v>0.14149999999999999</v>
      </c>
      <c r="G147" s="33">
        <v>0.99389999999999901</v>
      </c>
      <c r="H147" s="33">
        <v>0.2863</v>
      </c>
      <c r="I147" s="33">
        <v>1.9970399999999999</v>
      </c>
      <c r="J147" s="33">
        <v>0</v>
      </c>
      <c r="K147" s="33">
        <v>0</v>
      </c>
      <c r="L147" s="33">
        <v>49.52</v>
      </c>
      <c r="M147" s="33">
        <v>105.45</v>
      </c>
      <c r="N147" s="34">
        <v>2.1294426494345702</v>
      </c>
      <c r="O147" s="34">
        <v>2.1285470928226302</v>
      </c>
      <c r="P147" s="34">
        <v>2.1281392749238202</v>
      </c>
      <c r="Q147" s="34">
        <v>2.1272336527096898</v>
      </c>
      <c r="R147" s="33">
        <v>105.405652036577</v>
      </c>
      <c r="S147" s="33">
        <v>105.36778556555601</v>
      </c>
      <c r="T147" s="33">
        <v>105.33806141213999</v>
      </c>
      <c r="U147" s="15">
        <v>-4.2064761981450599E-4</v>
      </c>
      <c r="V147" s="15">
        <v>-7.7995733036500105E-4</v>
      </c>
      <c r="W147" s="15">
        <v>-1.06209618924771E-3</v>
      </c>
      <c r="X147" s="34">
        <v>2.1294426494345702</v>
      </c>
      <c r="Y147" s="34">
        <v>2.1285470928226302</v>
      </c>
      <c r="Z147" s="34">
        <v>2.1281392749238202</v>
      </c>
      <c r="AA147" s="34">
        <v>2.1272336527096898</v>
      </c>
      <c r="AB147" s="33">
        <v>105.405652036577</v>
      </c>
      <c r="AC147" s="33">
        <v>105.36778556555601</v>
      </c>
      <c r="AD147" s="33">
        <v>105.33806141213999</v>
      </c>
      <c r="AE147" s="15">
        <v>-4.2064761981450599E-4</v>
      </c>
      <c r="AF147" s="15">
        <v>-7.7995733036500105E-4</v>
      </c>
      <c r="AG147" s="15">
        <v>-1.06209618924771E-3</v>
      </c>
      <c r="AI147" s="12"/>
      <c r="AJ147">
        <f t="shared" si="26"/>
        <v>1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6.3213168718267527E-3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7.2703184620984381E-3</v>
      </c>
      <c r="BE147" s="29">
        <f t="shared" si="42"/>
        <v>0</v>
      </c>
      <c r="BF147" s="29">
        <f t="shared" si="43"/>
        <v>1.3591635333925187E-2</v>
      </c>
      <c r="BH147" s="29"/>
    </row>
    <row r="148" spans="1:60" x14ac:dyDescent="0.25">
      <c r="A148" s="1">
        <v>46238</v>
      </c>
      <c r="B148" s="33">
        <v>49.66</v>
      </c>
      <c r="C148" s="33">
        <v>105.76</v>
      </c>
      <c r="D148" s="15">
        <v>2.82315170367966E-3</v>
      </c>
      <c r="E148" s="15">
        <v>2.9354691785926199E-3</v>
      </c>
      <c r="F148" s="33">
        <v>0</v>
      </c>
      <c r="G148" s="33">
        <v>0.99389999999999901</v>
      </c>
      <c r="H148" s="33">
        <v>0</v>
      </c>
      <c r="I148" s="33">
        <v>1.9970399999999999</v>
      </c>
      <c r="J148" s="33">
        <v>0</v>
      </c>
      <c r="K148" s="33">
        <v>0</v>
      </c>
      <c r="L148" s="33">
        <v>49.66</v>
      </c>
      <c r="M148" s="33">
        <v>105.76</v>
      </c>
      <c r="N148" s="34">
        <v>2.12968183648811</v>
      </c>
      <c r="O148" s="34">
        <v>2.1285470928226302</v>
      </c>
      <c r="P148" s="34">
        <v>2.1285549060200699</v>
      </c>
      <c r="Q148" s="34">
        <v>2.1273710567117998</v>
      </c>
      <c r="R148" s="33">
        <v>105.703648629572</v>
      </c>
      <c r="S148" s="33">
        <v>105.68339639271601</v>
      </c>
      <c r="T148" s="33">
        <v>105.638423193563</v>
      </c>
      <c r="U148" s="15">
        <v>-5.3296509472739795E-4</v>
      </c>
      <c r="V148" s="15">
        <v>-7.2457794323661404E-4</v>
      </c>
      <c r="W148" s="15">
        <v>-1.15021501110523E-3</v>
      </c>
      <c r="X148" s="34">
        <v>2.12968183648811</v>
      </c>
      <c r="Y148" s="34">
        <v>2.1285470928226302</v>
      </c>
      <c r="Z148" s="34">
        <v>2.1285549060200699</v>
      </c>
      <c r="AA148" s="34">
        <v>2.1273710567117998</v>
      </c>
      <c r="AB148" s="33">
        <v>105.703648629572</v>
      </c>
      <c r="AC148" s="33">
        <v>105.68339639271601</v>
      </c>
      <c r="AD148" s="33">
        <v>105.638423193563</v>
      </c>
      <c r="AE148" s="15">
        <v>-5.3296509472739795E-4</v>
      </c>
      <c r="AF148" s="15">
        <v>-7.2457794323661404E-4</v>
      </c>
      <c r="AG148" s="15">
        <v>-1.15021501110523E-3</v>
      </c>
      <c r="AI148" s="12"/>
      <c r="AJ148">
        <f t="shared" si="26"/>
        <v>1</v>
      </c>
      <c r="AK148">
        <f t="shared" si="27"/>
        <v>0</v>
      </c>
      <c r="AL148">
        <f t="shared" si="34"/>
        <v>1</v>
      </c>
      <c r="AM148">
        <f t="shared" si="24"/>
        <v>1</v>
      </c>
      <c r="AN148">
        <f t="shared" si="35"/>
        <v>1</v>
      </c>
      <c r="AO148" s="28">
        <f t="shared" si="28"/>
        <v>2.82315170367966E-3</v>
      </c>
      <c r="AP148" s="28">
        <f t="shared" si="29"/>
        <v>-2.9354691785926199E-3</v>
      </c>
      <c r="AQ148" s="28">
        <f t="shared" si="36"/>
        <v>-1.1231747491295989E-4</v>
      </c>
      <c r="AR148" s="29">
        <f t="shared" si="37"/>
        <v>6.2089993969137933E-3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7.2703184620984381E-3</v>
      </c>
      <c r="BE148" s="29">
        <f t="shared" si="42"/>
        <v>-1.1231747491295989E-4</v>
      </c>
      <c r="BF148" s="29">
        <f t="shared" si="43"/>
        <v>1.3479317859012227E-2</v>
      </c>
      <c r="BH148" s="29"/>
    </row>
    <row r="149" spans="1:60" x14ac:dyDescent="0.25">
      <c r="A149" s="1">
        <v>46239</v>
      </c>
      <c r="B149" s="33">
        <v>49.69</v>
      </c>
      <c r="C149" s="33">
        <v>105.82</v>
      </c>
      <c r="D149" s="15">
        <v>6.0392553420872896E-4</v>
      </c>
      <c r="E149" s="15">
        <v>5.6716137260940497E-4</v>
      </c>
      <c r="F149" s="33">
        <v>0</v>
      </c>
      <c r="G149" s="33">
        <v>0.99389999999999901</v>
      </c>
      <c r="H149" s="33">
        <v>0</v>
      </c>
      <c r="I149" s="33">
        <v>1.9970399999999999</v>
      </c>
      <c r="J149" s="33">
        <v>0</v>
      </c>
      <c r="K149" s="33">
        <v>0</v>
      </c>
      <c r="L149" s="33">
        <v>49.69</v>
      </c>
      <c r="M149" s="33">
        <v>105.82</v>
      </c>
      <c r="N149" s="34">
        <v>2.12960354196015</v>
      </c>
      <c r="O149" s="34">
        <v>2.1285470928226302</v>
      </c>
      <c r="P149" s="34">
        <v>2.1289475027376699</v>
      </c>
      <c r="Q149" s="34">
        <v>2.1274942899180398</v>
      </c>
      <c r="R149" s="33">
        <v>105.76750504235601</v>
      </c>
      <c r="S149" s="33">
        <v>105.767893280137</v>
      </c>
      <c r="T149" s="33">
        <v>105.709067808009</v>
      </c>
      <c r="U149" s="15">
        <v>-4.9620093312801596E-4</v>
      </c>
      <c r="V149" s="15">
        <v>-4.9253026822890103E-4</v>
      </c>
      <c r="W149" s="15">
        <v>-1.0488601241409E-3</v>
      </c>
      <c r="X149" s="34">
        <v>2.12960354196015</v>
      </c>
      <c r="Y149" s="34">
        <v>2.1285470928226302</v>
      </c>
      <c r="Z149" s="34">
        <v>2.1289475027376699</v>
      </c>
      <c r="AA149" s="34">
        <v>2.1274942899180398</v>
      </c>
      <c r="AB149" s="33">
        <v>105.76750504235601</v>
      </c>
      <c r="AC149" s="33">
        <v>105.767893280137</v>
      </c>
      <c r="AD149" s="33">
        <v>105.709067808009</v>
      </c>
      <c r="AE149" s="15">
        <v>-4.9620093312801596E-4</v>
      </c>
      <c r="AF149" s="15">
        <v>-4.9253026822890103E-4</v>
      </c>
      <c r="AG149" s="15">
        <v>-1.0488601241409E-3</v>
      </c>
      <c r="AI149" s="12"/>
      <c r="AJ149">
        <f t="shared" si="26"/>
        <v>1</v>
      </c>
      <c r="AK149">
        <f t="shared" si="27"/>
        <v>0</v>
      </c>
      <c r="AL149">
        <f t="shared" si="34"/>
        <v>1</v>
      </c>
      <c r="AM149">
        <f t="shared" ref="AM149:AM176" si="44">IF(F150+H150&gt;0,0,1)</f>
        <v>1</v>
      </c>
      <c r="AN149">
        <f t="shared" si="35"/>
        <v>1</v>
      </c>
      <c r="AO149" s="28">
        <f t="shared" si="28"/>
        <v>6.0392553420872896E-4</v>
      </c>
      <c r="AP149" s="28">
        <f t="shared" si="29"/>
        <v>-5.6716137260940497E-4</v>
      </c>
      <c r="AQ149" s="28">
        <f t="shared" si="36"/>
        <v>3.6764161599323985E-5</v>
      </c>
      <c r="AR149" s="29">
        <f t="shared" si="37"/>
        <v>6.2457635585131174E-3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7.2703184620984381E-3</v>
      </c>
      <c r="BE149" s="29">
        <f t="shared" si="42"/>
        <v>3.6764161599323985E-5</v>
      </c>
      <c r="BF149" s="29">
        <f t="shared" si="43"/>
        <v>1.3516082020611551E-2</v>
      </c>
      <c r="BH149" s="29"/>
    </row>
    <row r="150" spans="1:60" x14ac:dyDescent="0.25">
      <c r="A150" s="1">
        <v>46240</v>
      </c>
      <c r="B150" s="33">
        <v>49.67</v>
      </c>
      <c r="C150" s="33">
        <v>105.66</v>
      </c>
      <c r="D150" s="15">
        <v>-4.02576494969963E-4</v>
      </c>
      <c r="E150" s="15">
        <v>-1.5131457398158601E-3</v>
      </c>
      <c r="F150" s="33">
        <v>0</v>
      </c>
      <c r="G150" s="33">
        <v>0.99389999999999901</v>
      </c>
      <c r="H150" s="33">
        <v>0</v>
      </c>
      <c r="I150" s="33">
        <v>1.9970399999999999</v>
      </c>
      <c r="J150" s="33">
        <v>0</v>
      </c>
      <c r="K150" s="33">
        <v>0</v>
      </c>
      <c r="L150" s="33">
        <v>49.67</v>
      </c>
      <c r="M150" s="33">
        <v>105.66</v>
      </c>
      <c r="N150" s="34">
        <v>2.1272397825649199</v>
      </c>
      <c r="O150" s="34">
        <v>2.1285470928226302</v>
      </c>
      <c r="P150" s="34">
        <v>2.1290679665526402</v>
      </c>
      <c r="Q150" s="34">
        <v>2.12753295432965</v>
      </c>
      <c r="R150" s="33">
        <v>105.72493410049999</v>
      </c>
      <c r="S150" s="33">
        <v>105.74482246098</v>
      </c>
      <c r="T150" s="33">
        <v>105.672641380229</v>
      </c>
      <c r="U150" s="15">
        <v>6.1436831171780403E-4</v>
      </c>
      <c r="V150" s="15">
        <v>8.0246481177469599E-4</v>
      </c>
      <c r="W150" s="15">
        <v>1.19634905066995E-4</v>
      </c>
      <c r="X150" s="34">
        <v>2.1272397825649199</v>
      </c>
      <c r="Y150" s="34">
        <v>2.1285470928226302</v>
      </c>
      <c r="Z150" s="34">
        <v>2.1290679665526402</v>
      </c>
      <c r="AA150" s="34">
        <v>2.12753295432965</v>
      </c>
      <c r="AB150" s="33">
        <v>105.72493410049999</v>
      </c>
      <c r="AC150" s="33">
        <v>105.74482246098</v>
      </c>
      <c r="AD150" s="33">
        <v>105.672641380229</v>
      </c>
      <c r="AE150" s="15">
        <v>6.1436831171780403E-4</v>
      </c>
      <c r="AF150" s="15">
        <v>8.0246481177469599E-4</v>
      </c>
      <c r="AG150" s="15">
        <v>1.19634905066995E-4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1</v>
      </c>
      <c r="AM150">
        <f t="shared" si="44"/>
        <v>1</v>
      </c>
      <c r="AN150">
        <f t="shared" si="35"/>
        <v>1</v>
      </c>
      <c r="AO150" s="28">
        <f t="shared" ref="AO150:AO176" si="48">AN150*D150</f>
        <v>-4.02576494969963E-4</v>
      </c>
      <c r="AP150" s="28">
        <f t="shared" ref="AP150:AP176" si="49">-AN150*$E150</f>
        <v>1.5131457398158601E-3</v>
      </c>
      <c r="AQ150" s="28">
        <f t="shared" si="36"/>
        <v>1.1105692448458971E-3</v>
      </c>
      <c r="AR150" s="29">
        <f t="shared" si="37"/>
        <v>7.3563328033590149E-3</v>
      </c>
      <c r="AT150" s="12"/>
      <c r="AU150">
        <f t="shared" ref="AU150:AU176" si="50">IF($AG150&gt;AT$21,1,0)</f>
        <v>0</v>
      </c>
      <c r="AV150">
        <f t="shared" ref="AV150:AV176" si="51">IF($AG150&lt;AT$22,1,0)</f>
        <v>0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7.2703184620984381E-3</v>
      </c>
      <c r="BE150" s="29">
        <f t="shared" si="42"/>
        <v>1.1105692448458971E-3</v>
      </c>
      <c r="BF150" s="29">
        <f t="shared" si="43"/>
        <v>1.4626651265457449E-2</v>
      </c>
      <c r="BH150" s="29"/>
    </row>
    <row r="151" spans="1:60" x14ac:dyDescent="0.25">
      <c r="A151" s="1">
        <v>46241</v>
      </c>
      <c r="B151" s="33">
        <v>49.81</v>
      </c>
      <c r="C151" s="33">
        <v>105.94</v>
      </c>
      <c r="D151" s="15">
        <v>2.8146379659328602E-3</v>
      </c>
      <c r="E151" s="15">
        <v>2.6465043802109201E-3</v>
      </c>
      <c r="F151" s="33">
        <v>0</v>
      </c>
      <c r="G151" s="33">
        <v>0.99389999999999901</v>
      </c>
      <c r="H151" s="33">
        <v>0</v>
      </c>
      <c r="I151" s="33">
        <v>1.9970399999999999</v>
      </c>
      <c r="J151" s="33">
        <v>0</v>
      </c>
      <c r="K151" s="33">
        <v>0</v>
      </c>
      <c r="L151" s="33">
        <v>49.81</v>
      </c>
      <c r="M151" s="33">
        <v>105.94</v>
      </c>
      <c r="N151" s="34">
        <v>2.1268821521782701</v>
      </c>
      <c r="O151" s="34">
        <v>2.1285470928226302</v>
      </c>
      <c r="P151" s="34">
        <v>2.12899665748101</v>
      </c>
      <c r="Q151" s="34">
        <v>2.12758981521627</v>
      </c>
      <c r="R151" s="33">
        <v>106.022930693495</v>
      </c>
      <c r="S151" s="33">
        <v>106.04887541398701</v>
      </c>
      <c r="T151" s="33">
        <v>105.97241645515901</v>
      </c>
      <c r="U151" s="15">
        <v>7.8250189743988197E-4</v>
      </c>
      <c r="V151" s="15">
        <v>1.02718053810479E-3</v>
      </c>
      <c r="W151" s="15">
        <v>3.0594201090258501E-4</v>
      </c>
      <c r="X151" s="34">
        <v>2.1268821521782701</v>
      </c>
      <c r="Y151" s="34">
        <v>2.1285470928226302</v>
      </c>
      <c r="Z151" s="34">
        <v>2.12899665748101</v>
      </c>
      <c r="AA151" s="34">
        <v>2.12758981521627</v>
      </c>
      <c r="AB151" s="33">
        <v>106.022930693495</v>
      </c>
      <c r="AC151" s="33">
        <v>106.04887541398701</v>
      </c>
      <c r="AD151" s="33">
        <v>105.97241645515901</v>
      </c>
      <c r="AE151" s="15">
        <v>7.8250189743988197E-4</v>
      </c>
      <c r="AF151" s="15">
        <v>1.02718053810479E-3</v>
      </c>
      <c r="AG151" s="15">
        <v>3.0594201090258501E-4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7.3563328033590149E-3</v>
      </c>
      <c r="AT151" s="12"/>
      <c r="AU151">
        <f t="shared" si="50"/>
        <v>0</v>
      </c>
      <c r="AV151">
        <f t="shared" si="51"/>
        <v>0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7.2703184620984381E-3</v>
      </c>
      <c r="BE151" s="29">
        <f t="shared" ref="BE151:BE176" si="62">AQ151+BB151</f>
        <v>0</v>
      </c>
      <c r="BF151" s="29">
        <f t="shared" ref="BF151:BF176" si="63">BF150+BE151</f>
        <v>1.4626651265457449E-2</v>
      </c>
      <c r="BH151" s="29"/>
    </row>
    <row r="152" spans="1:60" x14ac:dyDescent="0.25">
      <c r="A152" s="1">
        <v>46244</v>
      </c>
      <c r="B152" s="33">
        <v>49.78</v>
      </c>
      <c r="C152" s="33">
        <v>105.85</v>
      </c>
      <c r="D152" s="15">
        <v>-6.0247014574610098E-4</v>
      </c>
      <c r="E152" s="15">
        <v>-8.4989853550647497E-4</v>
      </c>
      <c r="F152" s="33">
        <v>0</v>
      </c>
      <c r="G152" s="33">
        <v>0.99389999999999901</v>
      </c>
      <c r="H152" s="33">
        <v>0</v>
      </c>
      <c r="I152" s="33">
        <v>1.9970399999999999</v>
      </c>
      <c r="J152" s="33">
        <v>0</v>
      </c>
      <c r="K152" s="33">
        <v>0</v>
      </c>
      <c r="L152" s="33">
        <v>49.78</v>
      </c>
      <c r="M152" s="33">
        <v>105.85</v>
      </c>
      <c r="N152" s="34">
        <v>2.1263559662514999</v>
      </c>
      <c r="O152" s="34">
        <v>2.1285470928226302</v>
      </c>
      <c r="P152" s="34">
        <v>2.12871214945734</v>
      </c>
      <c r="Q152" s="34">
        <v>2.1275817730673401</v>
      </c>
      <c r="R152" s="33">
        <v>105.95907428071099</v>
      </c>
      <c r="S152" s="33">
        <v>105.981453609404</v>
      </c>
      <c r="T152" s="33">
        <v>105.911421001466</v>
      </c>
      <c r="U152" s="15">
        <v>1.0299302872002201E-3</v>
      </c>
      <c r="V152" s="15">
        <v>1.24111527385456E-3</v>
      </c>
      <c r="W152" s="15">
        <v>5.80096250754095E-4</v>
      </c>
      <c r="X152" s="34">
        <v>2.1263559662514999</v>
      </c>
      <c r="Y152" s="34">
        <v>2.1285470928226302</v>
      </c>
      <c r="Z152" s="34">
        <v>2.12871214945734</v>
      </c>
      <c r="AA152" s="34">
        <v>2.1275817730673401</v>
      </c>
      <c r="AB152" s="33">
        <v>105.95907428071099</v>
      </c>
      <c r="AC152" s="33">
        <v>105.981453609404</v>
      </c>
      <c r="AD152" s="33">
        <v>105.911421001466</v>
      </c>
      <c r="AE152" s="15">
        <v>1.0299302872002201E-3</v>
      </c>
      <c r="AF152" s="15">
        <v>1.24111527385456E-3</v>
      </c>
      <c r="AG152" s="15">
        <v>5.80096250754095E-4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7.3563328033590149E-3</v>
      </c>
      <c r="AT152" s="12"/>
      <c r="AU152">
        <f t="shared" si="50"/>
        <v>0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7.2703184620984381E-3</v>
      </c>
      <c r="BE152" s="29">
        <f t="shared" si="62"/>
        <v>0</v>
      </c>
      <c r="BF152" s="29">
        <f t="shared" si="63"/>
        <v>1.4626651265457449E-2</v>
      </c>
      <c r="BH152" s="29"/>
    </row>
    <row r="153" spans="1:60" x14ac:dyDescent="0.25">
      <c r="A153" s="1">
        <v>46245</v>
      </c>
      <c r="B153" s="33">
        <v>49.83</v>
      </c>
      <c r="C153" s="33">
        <v>105.93</v>
      </c>
      <c r="D153" s="15">
        <v>1.00391535386729E-3</v>
      </c>
      <c r="E153" s="15">
        <v>7.5550102753079503E-4</v>
      </c>
      <c r="F153" s="33">
        <v>0</v>
      </c>
      <c r="G153" s="33">
        <v>0.99389999999999901</v>
      </c>
      <c r="H153" s="33">
        <v>0</v>
      </c>
      <c r="I153" s="33">
        <v>1.9970399999999999</v>
      </c>
      <c r="J153" s="33">
        <v>0</v>
      </c>
      <c r="K153" s="33">
        <v>0</v>
      </c>
      <c r="L153" s="33">
        <v>49.83</v>
      </c>
      <c r="M153" s="33">
        <v>105.93</v>
      </c>
      <c r="N153" s="34">
        <v>2.1258278145695302</v>
      </c>
      <c r="O153" s="34">
        <v>2.1285470928226302</v>
      </c>
      <c r="P153" s="34">
        <v>2.1283152242636998</v>
      </c>
      <c r="Q153" s="34">
        <v>2.1275398967447101</v>
      </c>
      <c r="R153" s="33">
        <v>106.06550163535201</v>
      </c>
      <c r="S153" s="33">
        <v>106.07372640745901</v>
      </c>
      <c r="T153" s="33">
        <v>106.01739975194501</v>
      </c>
      <c r="U153" s="15">
        <v>1.2783446135366801E-3</v>
      </c>
      <c r="V153" s="15">
        <v>1.3558858791211199E-3</v>
      </c>
      <c r="W153" s="15">
        <v>8.2473063601616202E-4</v>
      </c>
      <c r="X153" s="34">
        <v>2.1258278145695302</v>
      </c>
      <c r="Y153" s="34">
        <v>2.1285470928226302</v>
      </c>
      <c r="Z153" s="34">
        <v>2.1283152242636998</v>
      </c>
      <c r="AA153" s="34">
        <v>2.1275398967447101</v>
      </c>
      <c r="AB153" s="33">
        <v>106.06550163535201</v>
      </c>
      <c r="AC153" s="33">
        <v>106.07372640745901</v>
      </c>
      <c r="AD153" s="33">
        <v>106.01739975194501</v>
      </c>
      <c r="AE153" s="15">
        <v>1.2783446135366801E-3</v>
      </c>
      <c r="AF153" s="15">
        <v>1.3558858791211199E-3</v>
      </c>
      <c r="AG153" s="15">
        <v>8.2473063601616202E-4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7.3563328033590149E-3</v>
      </c>
      <c r="AT153" s="12"/>
      <c r="AU153">
        <f t="shared" si="50"/>
        <v>0</v>
      </c>
      <c r="AV153">
        <f t="shared" si="51"/>
        <v>0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7.2703184620984381E-3</v>
      </c>
      <c r="BE153" s="29">
        <f t="shared" si="62"/>
        <v>0</v>
      </c>
      <c r="BF153" s="29">
        <f t="shared" si="63"/>
        <v>1.4626651265457449E-2</v>
      </c>
      <c r="BH153" s="29"/>
    </row>
    <row r="154" spans="1:60" x14ac:dyDescent="0.25">
      <c r="A154" s="1">
        <v>46246</v>
      </c>
      <c r="B154" s="33">
        <v>49.82</v>
      </c>
      <c r="C154" s="33">
        <v>105.98</v>
      </c>
      <c r="D154" s="15">
        <v>-2.0070245927878401E-4</v>
      </c>
      <c r="E154" s="15">
        <v>4.7189845621123302E-4</v>
      </c>
      <c r="F154" s="33">
        <v>0</v>
      </c>
      <c r="G154" s="33">
        <v>0.99389999999999901</v>
      </c>
      <c r="H154" s="33">
        <v>0</v>
      </c>
      <c r="I154" s="33">
        <v>1.9970399999999999</v>
      </c>
      <c r="J154" s="33">
        <v>0</v>
      </c>
      <c r="K154" s="33">
        <v>0</v>
      </c>
      <c r="L154" s="33">
        <v>49.82</v>
      </c>
      <c r="M154" s="33">
        <v>105.98</v>
      </c>
      <c r="N154" s="34">
        <v>2.1272581292653499</v>
      </c>
      <c r="O154" s="34">
        <v>2.1285470928226302</v>
      </c>
      <c r="P154" s="34">
        <v>2.1282241357817799</v>
      </c>
      <c r="Q154" s="34">
        <v>2.1275893198381302</v>
      </c>
      <c r="R154" s="33">
        <v>106.04421616442301</v>
      </c>
      <c r="S154" s="33">
        <v>106.032664472817</v>
      </c>
      <c r="T154" s="33">
        <v>105.994037655821</v>
      </c>
      <c r="U154" s="15">
        <v>6.0574369804656397E-4</v>
      </c>
      <c r="V154" s="15">
        <v>4.9680498126618798E-4</v>
      </c>
      <c r="W154" s="15">
        <v>1.3244693546004199E-4</v>
      </c>
      <c r="X154" s="34">
        <v>2.1272581292653499</v>
      </c>
      <c r="Y154" s="34">
        <v>2.1285470928226302</v>
      </c>
      <c r="Z154" s="34">
        <v>2.1282241357817799</v>
      </c>
      <c r="AA154" s="34">
        <v>2.1275893198381302</v>
      </c>
      <c r="AB154" s="33">
        <v>106.04421616442301</v>
      </c>
      <c r="AC154" s="33">
        <v>106.032664472817</v>
      </c>
      <c r="AD154" s="33">
        <v>105.994037655821</v>
      </c>
      <c r="AE154" s="15">
        <v>6.0574369804656397E-4</v>
      </c>
      <c r="AF154" s="15">
        <v>4.9680498126618798E-4</v>
      </c>
      <c r="AG154" s="15">
        <v>1.3244693546004199E-4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7.3563328033590149E-3</v>
      </c>
      <c r="AT154" s="12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7.2703184620984381E-3</v>
      </c>
      <c r="BE154" s="29">
        <f t="shared" si="62"/>
        <v>0</v>
      </c>
      <c r="BF154" s="29">
        <f t="shared" si="63"/>
        <v>1.4626651265457449E-2</v>
      </c>
      <c r="BH154" s="29"/>
    </row>
    <row r="155" spans="1:60" x14ac:dyDescent="0.25">
      <c r="A155" s="1">
        <v>46247</v>
      </c>
      <c r="B155" s="33">
        <v>49.91</v>
      </c>
      <c r="C155" s="33">
        <v>106.16</v>
      </c>
      <c r="D155" s="15">
        <v>1.80487364748334E-3</v>
      </c>
      <c r="E155" s="15">
        <v>1.6969929593358599E-3</v>
      </c>
      <c r="F155" s="33">
        <v>0</v>
      </c>
      <c r="G155" s="33">
        <v>0.99389999999999901</v>
      </c>
      <c r="H155" s="33">
        <v>0</v>
      </c>
      <c r="I155" s="33">
        <v>1.9970399999999999</v>
      </c>
      <c r="J155" s="33">
        <v>0</v>
      </c>
      <c r="K155" s="33">
        <v>0</v>
      </c>
      <c r="L155" s="33">
        <v>49.91</v>
      </c>
      <c r="M155" s="33">
        <v>106.16</v>
      </c>
      <c r="N155" s="34">
        <v>2.1270286515728301</v>
      </c>
      <c r="O155" s="34">
        <v>2.1285470928226302</v>
      </c>
      <c r="P155" s="34">
        <v>2.1279159233962699</v>
      </c>
      <c r="Q155" s="34">
        <v>2.1276608481105499</v>
      </c>
      <c r="R155" s="33">
        <v>106.235785402777</v>
      </c>
      <c r="S155" s="33">
        <v>106.219666616868</v>
      </c>
      <c r="T155" s="33">
        <v>106.18798295312099</v>
      </c>
      <c r="U155" s="15">
        <v>7.1362438619408403E-4</v>
      </c>
      <c r="V155" s="15">
        <v>5.61886355593518E-4</v>
      </c>
      <c r="W155" s="15">
        <v>2.63557514361757E-4</v>
      </c>
      <c r="X155" s="34">
        <v>2.1270286515728301</v>
      </c>
      <c r="Y155" s="34">
        <v>2.1285470928226302</v>
      </c>
      <c r="Z155" s="34">
        <v>2.1279159233962699</v>
      </c>
      <c r="AA155" s="34">
        <v>2.1276608481105499</v>
      </c>
      <c r="AB155" s="33">
        <v>106.235785402777</v>
      </c>
      <c r="AC155" s="33">
        <v>106.219666616868</v>
      </c>
      <c r="AD155" s="33">
        <v>106.18798295312099</v>
      </c>
      <c r="AE155" s="15">
        <v>7.1362438619408403E-4</v>
      </c>
      <c r="AF155" s="15">
        <v>5.61886355593518E-4</v>
      </c>
      <c r="AG155" s="15">
        <v>2.63557514361757E-4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7.3563328033590149E-3</v>
      </c>
      <c r="AT155" s="12"/>
      <c r="AU155">
        <f t="shared" si="50"/>
        <v>0</v>
      </c>
      <c r="AV155">
        <f t="shared" si="51"/>
        <v>0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7.2703184620984381E-3</v>
      </c>
      <c r="BE155" s="29">
        <f t="shared" si="62"/>
        <v>0</v>
      </c>
      <c r="BF155" s="29">
        <f t="shared" si="63"/>
        <v>1.4626651265457449E-2</v>
      </c>
      <c r="BH155" s="29"/>
    </row>
    <row r="156" spans="1:60" x14ac:dyDescent="0.25">
      <c r="A156" s="1">
        <v>46248</v>
      </c>
      <c r="B156" s="33">
        <v>49.76</v>
      </c>
      <c r="C156" s="33">
        <v>105.86</v>
      </c>
      <c r="D156" s="15">
        <v>-3.00993505059381E-3</v>
      </c>
      <c r="E156" s="15">
        <v>-2.82992359411056E-3</v>
      </c>
      <c r="F156" s="33">
        <v>0</v>
      </c>
      <c r="G156" s="33">
        <v>0.99389999999999901</v>
      </c>
      <c r="H156" s="33">
        <v>0</v>
      </c>
      <c r="I156" s="33">
        <v>1.9970399999999999</v>
      </c>
      <c r="J156" s="33">
        <v>0</v>
      </c>
      <c r="K156" s="33">
        <v>0</v>
      </c>
      <c r="L156" s="33">
        <v>49.76</v>
      </c>
      <c r="M156" s="33">
        <v>105.86</v>
      </c>
      <c r="N156" s="34">
        <v>2.1274115755627001</v>
      </c>
      <c r="O156" s="34">
        <v>2.1285470928226302</v>
      </c>
      <c r="P156" s="34">
        <v>2.1276732099847901</v>
      </c>
      <c r="Q156" s="34">
        <v>2.12772781627628</v>
      </c>
      <c r="R156" s="33">
        <v>105.916503338854</v>
      </c>
      <c r="S156" s="33">
        <v>105.885096348198</v>
      </c>
      <c r="T156" s="33">
        <v>105.87240380198099</v>
      </c>
      <c r="U156" s="15">
        <v>5.3361292971081402E-4</v>
      </c>
      <c r="V156" s="15">
        <v>2.3704301774849699E-4</v>
      </c>
      <c r="W156" s="15">
        <v>1.17164890899152E-4</v>
      </c>
      <c r="X156" s="34">
        <v>2.1274115755627001</v>
      </c>
      <c r="Y156" s="34">
        <v>2.1285470928226302</v>
      </c>
      <c r="Z156" s="34">
        <v>2.1276732099847901</v>
      </c>
      <c r="AA156" s="34">
        <v>2.12772781627628</v>
      </c>
      <c r="AB156" s="33">
        <v>105.916503338854</v>
      </c>
      <c r="AC156" s="33">
        <v>105.885096348198</v>
      </c>
      <c r="AD156" s="33">
        <v>105.87240380198099</v>
      </c>
      <c r="AE156" s="15">
        <v>5.3361292971081402E-4</v>
      </c>
      <c r="AF156" s="15">
        <v>2.3704301774849699E-4</v>
      </c>
      <c r="AG156" s="15">
        <v>1.17164890899152E-4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7.3563328033590149E-3</v>
      </c>
      <c r="AT156" s="12"/>
      <c r="AU156">
        <f t="shared" si="50"/>
        <v>0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7.2703184620984381E-3</v>
      </c>
      <c r="BE156" s="29">
        <f t="shared" si="62"/>
        <v>0</v>
      </c>
      <c r="BF156" s="29">
        <f t="shared" si="63"/>
        <v>1.4626651265457449E-2</v>
      </c>
      <c r="BH156" s="29"/>
    </row>
    <row r="157" spans="1:60" x14ac:dyDescent="0.25">
      <c r="A157" s="1">
        <v>46251</v>
      </c>
      <c r="B157" s="33">
        <v>49.64</v>
      </c>
      <c r="C157" s="33">
        <v>105.56</v>
      </c>
      <c r="D157" s="15">
        <v>-2.4144880945174601E-3</v>
      </c>
      <c r="E157" s="15">
        <v>-2.8379547947181998E-3</v>
      </c>
      <c r="F157" s="33">
        <v>0</v>
      </c>
      <c r="G157" s="33">
        <v>0.99389999999999901</v>
      </c>
      <c r="H157" s="33">
        <v>0</v>
      </c>
      <c r="I157" s="33">
        <v>1.9970399999999999</v>
      </c>
      <c r="J157" s="33">
        <v>0</v>
      </c>
      <c r="K157" s="33">
        <v>0</v>
      </c>
      <c r="L157" s="33">
        <v>49.64</v>
      </c>
      <c r="M157" s="33">
        <v>105.56</v>
      </c>
      <c r="N157" s="34">
        <v>2.1265108783239302</v>
      </c>
      <c r="O157" s="34">
        <v>2.1285470928226302</v>
      </c>
      <c r="P157" s="34">
        <v>2.12738003287373</v>
      </c>
      <c r="Q157" s="34">
        <v>2.12775965389877</v>
      </c>
      <c r="R157" s="33">
        <v>105.66107768771499</v>
      </c>
      <c r="S157" s="33">
        <v>105.617698143645</v>
      </c>
      <c r="T157" s="33">
        <v>105.62040879995401</v>
      </c>
      <c r="U157" s="15">
        <v>9.5707962991153201E-4</v>
      </c>
      <c r="V157" s="15">
        <v>5.4644165163538101E-4</v>
      </c>
      <c r="W157" s="15">
        <v>5.7210611482224499E-4</v>
      </c>
      <c r="X157" s="34">
        <v>2.1265108783239302</v>
      </c>
      <c r="Y157" s="34">
        <v>2.1285470928226302</v>
      </c>
      <c r="Z157" s="34">
        <v>2.12738003287373</v>
      </c>
      <c r="AA157" s="34">
        <v>2.12775965389877</v>
      </c>
      <c r="AB157" s="33">
        <v>105.66107768771499</v>
      </c>
      <c r="AC157" s="33">
        <v>105.617698143645</v>
      </c>
      <c r="AD157" s="33">
        <v>105.62040879995401</v>
      </c>
      <c r="AE157" s="15">
        <v>9.5707962991153201E-4</v>
      </c>
      <c r="AF157" s="15">
        <v>5.4644165163538101E-4</v>
      </c>
      <c r="AG157" s="15">
        <v>5.7210611482224499E-4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7.3563328033590149E-3</v>
      </c>
      <c r="AT157" s="12"/>
      <c r="AU157">
        <f t="shared" si="50"/>
        <v>0</v>
      </c>
      <c r="AV157">
        <f t="shared" si="51"/>
        <v>0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7.2703184620984381E-3</v>
      </c>
      <c r="BE157" s="29">
        <f t="shared" si="62"/>
        <v>0</v>
      </c>
      <c r="BF157" s="29">
        <f t="shared" si="63"/>
        <v>1.4626651265457449E-2</v>
      </c>
      <c r="BH157" s="29"/>
    </row>
    <row r="158" spans="1:60" x14ac:dyDescent="0.25">
      <c r="A158" s="1">
        <v>46252</v>
      </c>
      <c r="B158" s="33">
        <v>49.53</v>
      </c>
      <c r="C158" s="33">
        <v>105.37</v>
      </c>
      <c r="D158" s="15">
        <v>-2.2184137362601299E-3</v>
      </c>
      <c r="E158" s="15">
        <v>-1.8015460236870901E-3</v>
      </c>
      <c r="F158" s="33">
        <v>0</v>
      </c>
      <c r="G158" s="33">
        <v>0.99389999999999901</v>
      </c>
      <c r="H158" s="33">
        <v>0</v>
      </c>
      <c r="I158" s="33">
        <v>1.9970399999999999</v>
      </c>
      <c r="J158" s="33">
        <v>0</v>
      </c>
      <c r="K158" s="33">
        <v>0</v>
      </c>
      <c r="L158" s="33">
        <v>49.53</v>
      </c>
      <c r="M158" s="33">
        <v>105.37</v>
      </c>
      <c r="N158" s="34">
        <v>2.1273975368463498</v>
      </c>
      <c r="O158" s="34">
        <v>2.1285470928226302</v>
      </c>
      <c r="P158" s="34">
        <v>2.1271516029095499</v>
      </c>
      <c r="Q158" s="34">
        <v>2.1278532544648101</v>
      </c>
      <c r="R158" s="33">
        <v>105.426937507505</v>
      </c>
      <c r="S158" s="33">
        <v>105.36913302823601</v>
      </c>
      <c r="T158" s="33">
        <v>105.38793565760599</v>
      </c>
      <c r="U158" s="15">
        <v>5.4021191733843695E-4</v>
      </c>
      <c r="V158" s="15">
        <v>-8.2279143081493694E-6</v>
      </c>
      <c r="W158" s="15">
        <v>1.70201492947569E-4</v>
      </c>
      <c r="X158" s="34">
        <v>2.1273975368463498</v>
      </c>
      <c r="Y158" s="34">
        <v>2.1285470928226302</v>
      </c>
      <c r="Z158" s="34">
        <v>2.1271516029095499</v>
      </c>
      <c r="AA158" s="34">
        <v>2.1278532544648101</v>
      </c>
      <c r="AB158" s="33">
        <v>105.426937507505</v>
      </c>
      <c r="AC158" s="33">
        <v>105.36913302823601</v>
      </c>
      <c r="AD158" s="33">
        <v>105.38793565760599</v>
      </c>
      <c r="AE158" s="15">
        <v>5.4021191733843695E-4</v>
      </c>
      <c r="AF158" s="15">
        <v>-8.2279143081493694E-6</v>
      </c>
      <c r="AG158" s="15">
        <v>1.70201492947569E-4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7.3563328033590149E-3</v>
      </c>
      <c r="AT158" s="12"/>
      <c r="AU158">
        <f t="shared" si="50"/>
        <v>0</v>
      </c>
      <c r="AV158">
        <f t="shared" si="51"/>
        <v>0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7.2703184620984381E-3</v>
      </c>
      <c r="BE158" s="29">
        <f t="shared" si="62"/>
        <v>0</v>
      </c>
      <c r="BF158" s="29">
        <f t="shared" si="63"/>
        <v>1.4626651265457449E-2</v>
      </c>
      <c r="BH158" s="29"/>
    </row>
    <row r="159" spans="1:60" x14ac:dyDescent="0.25">
      <c r="A159" s="1">
        <v>46253</v>
      </c>
      <c r="B159" s="33">
        <v>49.66</v>
      </c>
      <c r="C159" s="33">
        <v>105.68</v>
      </c>
      <c r="D159" s="15">
        <v>2.6212334798740599E-3</v>
      </c>
      <c r="E159" s="15">
        <v>2.93769460263359E-3</v>
      </c>
      <c r="F159" s="33">
        <v>0</v>
      </c>
      <c r="G159" s="33">
        <v>0.99389999999999901</v>
      </c>
      <c r="H159" s="33">
        <v>0</v>
      </c>
      <c r="I159" s="33">
        <v>1.9970399999999999</v>
      </c>
      <c r="J159" s="33">
        <v>0</v>
      </c>
      <c r="K159" s="33">
        <v>0</v>
      </c>
      <c r="L159" s="33">
        <v>49.66</v>
      </c>
      <c r="M159" s="33">
        <v>105.68</v>
      </c>
      <c r="N159" s="34">
        <v>2.12807088199758</v>
      </c>
      <c r="O159" s="34">
        <v>2.1285470928226302</v>
      </c>
      <c r="P159" s="34">
        <v>2.1269983369132999</v>
      </c>
      <c r="Q159" s="34">
        <v>2.12797291982548</v>
      </c>
      <c r="R159" s="33">
        <v>105.703648629572</v>
      </c>
      <c r="S159" s="33">
        <v>105.634348600488</v>
      </c>
      <c r="T159" s="33">
        <v>105.669192616722</v>
      </c>
      <c r="U159" s="15">
        <v>2.2375079457882501E-4</v>
      </c>
      <c r="V159" s="15">
        <v>-4.3207099303872401E-4</v>
      </c>
      <c r="W159" s="15">
        <v>-1.02270400494406E-4</v>
      </c>
      <c r="X159" s="34">
        <v>2.12807088199758</v>
      </c>
      <c r="Y159" s="34">
        <v>2.1285470928226302</v>
      </c>
      <c r="Z159" s="34">
        <v>2.1269983369132999</v>
      </c>
      <c r="AA159" s="34">
        <v>2.12797291982548</v>
      </c>
      <c r="AB159" s="33">
        <v>105.703648629572</v>
      </c>
      <c r="AC159" s="33">
        <v>105.634348600488</v>
      </c>
      <c r="AD159" s="33">
        <v>105.669192616722</v>
      </c>
      <c r="AE159" s="15">
        <v>2.2375079457882501E-4</v>
      </c>
      <c r="AF159" s="15">
        <v>-4.3207099303872401E-4</v>
      </c>
      <c r="AG159" s="15">
        <v>-1.02270400494406E-4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7.3563328033590149E-3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7.2703184620984381E-3</v>
      </c>
      <c r="BE159" s="29">
        <f t="shared" si="62"/>
        <v>0</v>
      </c>
      <c r="BF159" s="29">
        <f t="shared" si="63"/>
        <v>1.4626651265457449E-2</v>
      </c>
      <c r="BH159" s="29"/>
    </row>
    <row r="160" spans="1:60" x14ac:dyDescent="0.25">
      <c r="A160" s="1">
        <v>46254</v>
      </c>
      <c r="B160" s="33">
        <v>49.57</v>
      </c>
      <c r="C160" s="33">
        <v>105.47</v>
      </c>
      <c r="D160" s="15">
        <v>-1.8139680475379001E-3</v>
      </c>
      <c r="E160" s="15">
        <v>-1.98910792554704E-3</v>
      </c>
      <c r="F160" s="33">
        <v>0</v>
      </c>
      <c r="G160" s="33">
        <v>0.99389999999999901</v>
      </c>
      <c r="H160" s="33">
        <v>0</v>
      </c>
      <c r="I160" s="33">
        <v>1.9970399999999999</v>
      </c>
      <c r="J160" s="33">
        <v>0</v>
      </c>
      <c r="K160" s="33">
        <v>0</v>
      </c>
      <c r="L160" s="33">
        <v>49.57</v>
      </c>
      <c r="M160" s="33">
        <v>105.47</v>
      </c>
      <c r="N160" s="34">
        <v>2.1276982045591999</v>
      </c>
      <c r="O160" s="34">
        <v>2.1285470928226302</v>
      </c>
      <c r="P160" s="34">
        <v>2.1270441791127199</v>
      </c>
      <c r="Q160" s="34">
        <v>2.1280560728326798</v>
      </c>
      <c r="R160" s="33">
        <v>105.51207939121799</v>
      </c>
      <c r="S160" s="33">
        <v>105.435307560792</v>
      </c>
      <c r="T160" s="33">
        <v>105.483617635749</v>
      </c>
      <c r="U160" s="15">
        <v>3.9889067258797202E-4</v>
      </c>
      <c r="V160" s="15">
        <v>-3.28985931381336E-4</v>
      </c>
      <c r="W160" s="15">
        <v>1.2910549646899199E-4</v>
      </c>
      <c r="X160" s="34">
        <v>2.1276982045591999</v>
      </c>
      <c r="Y160" s="34">
        <v>2.1285470928226302</v>
      </c>
      <c r="Z160" s="34">
        <v>2.1270441791127199</v>
      </c>
      <c r="AA160" s="34">
        <v>2.1280560728326798</v>
      </c>
      <c r="AB160" s="33">
        <v>105.51207939121799</v>
      </c>
      <c r="AC160" s="33">
        <v>105.435307560792</v>
      </c>
      <c r="AD160" s="33">
        <v>105.483617635749</v>
      </c>
      <c r="AE160" s="15">
        <v>3.9889067258797202E-4</v>
      </c>
      <c r="AF160" s="15">
        <v>-3.28985931381336E-4</v>
      </c>
      <c r="AG160" s="15">
        <v>1.2910549646899199E-4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7.3563328033590149E-3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7.2703184620984381E-3</v>
      </c>
      <c r="BE160" s="29">
        <f t="shared" si="62"/>
        <v>0</v>
      </c>
      <c r="BF160" s="29">
        <f t="shared" si="63"/>
        <v>1.4626651265457449E-2</v>
      </c>
      <c r="BH160" s="29"/>
    </row>
    <row r="161" spans="1:60" x14ac:dyDescent="0.25">
      <c r="A161" s="1">
        <v>46255</v>
      </c>
      <c r="B161" s="33">
        <v>49.54</v>
      </c>
      <c r="C161" s="33">
        <v>105.34</v>
      </c>
      <c r="D161" s="15">
        <v>-6.0538797126907101E-4</v>
      </c>
      <c r="E161" s="15">
        <v>-1.23333823327956E-3</v>
      </c>
      <c r="F161" s="33">
        <v>0</v>
      </c>
      <c r="G161" s="33">
        <v>0.99389999999999901</v>
      </c>
      <c r="H161" s="33">
        <v>0</v>
      </c>
      <c r="I161" s="33">
        <v>1.9970399999999999</v>
      </c>
      <c r="J161" s="33">
        <v>0</v>
      </c>
      <c r="K161" s="33">
        <v>0</v>
      </c>
      <c r="L161" s="33">
        <v>49.54</v>
      </c>
      <c r="M161" s="33">
        <v>105.34</v>
      </c>
      <c r="N161" s="34">
        <v>2.12636253532499</v>
      </c>
      <c r="O161" s="34">
        <v>2.1285470928226302</v>
      </c>
      <c r="P161" s="34">
        <v>2.1269922174274001</v>
      </c>
      <c r="Q161" s="34">
        <v>2.1279944374542001</v>
      </c>
      <c r="R161" s="33">
        <v>105.44822297843299</v>
      </c>
      <c r="S161" s="33">
        <v>105.373768633244</v>
      </c>
      <c r="T161" s="33">
        <v>105.42389784813101</v>
      </c>
      <c r="U161" s="15">
        <v>1.02684093459866E-3</v>
      </c>
      <c r="V161" s="15">
        <v>3.20516630239233E-4</v>
      </c>
      <c r="W161" s="15">
        <v>7.9613115357240701E-4</v>
      </c>
      <c r="X161" s="34">
        <v>2.12636253532499</v>
      </c>
      <c r="Y161" s="34">
        <v>2.1285470928226302</v>
      </c>
      <c r="Z161" s="34">
        <v>2.1269922174274001</v>
      </c>
      <c r="AA161" s="34">
        <v>2.1279944374542001</v>
      </c>
      <c r="AB161" s="33">
        <v>105.44822297843299</v>
      </c>
      <c r="AC161" s="33">
        <v>105.373768633244</v>
      </c>
      <c r="AD161" s="33">
        <v>105.42389784813101</v>
      </c>
      <c r="AE161" s="15">
        <v>1.02684093459866E-3</v>
      </c>
      <c r="AF161" s="15">
        <v>3.20516630239233E-4</v>
      </c>
      <c r="AG161" s="15">
        <v>7.9613115357240701E-4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7.3563328033590149E-3</v>
      </c>
      <c r="AT161" s="12"/>
      <c r="AU161">
        <f t="shared" si="50"/>
        <v>0</v>
      </c>
      <c r="AV161">
        <f t="shared" si="51"/>
        <v>0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7.2703184620984381E-3</v>
      </c>
      <c r="BE161" s="29">
        <f t="shared" si="62"/>
        <v>0</v>
      </c>
      <c r="BF161" s="29">
        <f t="shared" si="63"/>
        <v>1.4626651265457449E-2</v>
      </c>
      <c r="BH161" s="29"/>
    </row>
    <row r="162" spans="1:60" x14ac:dyDescent="0.25">
      <c r="A162" s="1">
        <v>46258</v>
      </c>
      <c r="B162" s="33">
        <v>49.54</v>
      </c>
      <c r="C162" s="33">
        <v>105.41</v>
      </c>
      <c r="D162" s="15">
        <v>0</v>
      </c>
      <c r="E162" s="15">
        <v>6.6429421185456097E-4</v>
      </c>
      <c r="F162" s="33">
        <v>0</v>
      </c>
      <c r="G162" s="33">
        <v>0.99389999999999901</v>
      </c>
      <c r="H162" s="33">
        <v>0</v>
      </c>
      <c r="I162" s="33">
        <v>1.9970399999999999</v>
      </c>
      <c r="J162" s="33">
        <v>0</v>
      </c>
      <c r="K162" s="33">
        <v>0</v>
      </c>
      <c r="L162" s="33">
        <v>49.54</v>
      </c>
      <c r="M162" s="33">
        <v>105.41</v>
      </c>
      <c r="N162" s="34">
        <v>2.1277755349212701</v>
      </c>
      <c r="O162" s="34">
        <v>2.1285470928226302</v>
      </c>
      <c r="P162" s="34">
        <v>2.1271341742943699</v>
      </c>
      <c r="Q162" s="34">
        <v>2.1279231618758501</v>
      </c>
      <c r="R162" s="33">
        <v>105.44822297843299</v>
      </c>
      <c r="S162" s="33">
        <v>105.37119445135301</v>
      </c>
      <c r="T162" s="33">
        <v>105.420844431481</v>
      </c>
      <c r="U162" s="15">
        <v>3.6254672274408398E-4</v>
      </c>
      <c r="V162" s="15">
        <v>-3.68206937872322E-4</v>
      </c>
      <c r="W162" s="15">
        <v>1.02873291810834E-4</v>
      </c>
      <c r="X162" s="34">
        <v>2.1277755349212701</v>
      </c>
      <c r="Y162" s="34">
        <v>2.1285470928226302</v>
      </c>
      <c r="Z162" s="34">
        <v>2.1271341742943699</v>
      </c>
      <c r="AA162" s="34">
        <v>2.1279231618758501</v>
      </c>
      <c r="AB162" s="33">
        <v>105.44822297843299</v>
      </c>
      <c r="AC162" s="33">
        <v>105.37119445135301</v>
      </c>
      <c r="AD162" s="33">
        <v>105.420844431481</v>
      </c>
      <c r="AE162" s="15">
        <v>3.6254672274408398E-4</v>
      </c>
      <c r="AF162" s="15">
        <v>-3.68206937872322E-4</v>
      </c>
      <c r="AG162" s="15">
        <v>1.02873291810834E-4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7.3563328033590149E-3</v>
      </c>
      <c r="AT162" s="12"/>
      <c r="AU162">
        <f t="shared" si="50"/>
        <v>0</v>
      </c>
      <c r="AV162">
        <f t="shared" si="51"/>
        <v>0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7.2703184620984381E-3</v>
      </c>
      <c r="BE162" s="29">
        <f t="shared" si="62"/>
        <v>0</v>
      </c>
      <c r="BF162" s="29">
        <f t="shared" si="63"/>
        <v>1.4626651265457449E-2</v>
      </c>
      <c r="BH162" s="29"/>
    </row>
    <row r="163" spans="1:60" x14ac:dyDescent="0.25">
      <c r="A163" s="1">
        <v>46259</v>
      </c>
      <c r="B163" s="33">
        <v>49.58</v>
      </c>
      <c r="C163" s="33">
        <v>105.58</v>
      </c>
      <c r="D163" s="15">
        <v>8.0710254583084805E-4</v>
      </c>
      <c r="E163" s="15">
        <v>1.6114511283723001E-3</v>
      </c>
      <c r="F163" s="33">
        <v>0</v>
      </c>
      <c r="G163" s="33">
        <v>0.99389999999999901</v>
      </c>
      <c r="H163" s="33">
        <v>0</v>
      </c>
      <c r="I163" s="33">
        <v>1.9970399999999999</v>
      </c>
      <c r="J163" s="33">
        <v>0</v>
      </c>
      <c r="K163" s="33">
        <v>0</v>
      </c>
      <c r="L163" s="33">
        <v>49.58</v>
      </c>
      <c r="M163" s="33">
        <v>105.58</v>
      </c>
      <c r="N163" s="34">
        <v>2.1294876966518701</v>
      </c>
      <c r="O163" s="34">
        <v>2.1285470928226302</v>
      </c>
      <c r="P163" s="34">
        <v>2.12750016250261</v>
      </c>
      <c r="Q163" s="34">
        <v>2.12790769338315</v>
      </c>
      <c r="R163" s="33">
        <v>105.533364862146</v>
      </c>
      <c r="S163" s="33">
        <v>105.46331236151499</v>
      </c>
      <c r="T163" s="33">
        <v>105.502430365805</v>
      </c>
      <c r="U163" s="15">
        <v>-4.4180185979734098E-4</v>
      </c>
      <c r="V163" s="15">
        <v>-1.10581708626405E-3</v>
      </c>
      <c r="W163" s="15">
        <v>-7.3497010198640895E-4</v>
      </c>
      <c r="X163" s="34">
        <v>2.1294876966518701</v>
      </c>
      <c r="Y163" s="34">
        <v>2.1285470928226302</v>
      </c>
      <c r="Z163" s="34">
        <v>2.12750016250261</v>
      </c>
      <c r="AA163" s="34">
        <v>2.12790769338315</v>
      </c>
      <c r="AB163" s="33">
        <v>105.533364862146</v>
      </c>
      <c r="AC163" s="33">
        <v>105.46331236151499</v>
      </c>
      <c r="AD163" s="33">
        <v>105.502430365805</v>
      </c>
      <c r="AE163" s="15">
        <v>-4.4180185979734098E-4</v>
      </c>
      <c r="AF163" s="15">
        <v>-1.10581708626405E-3</v>
      </c>
      <c r="AG163" s="15">
        <v>-7.3497010198640895E-4</v>
      </c>
      <c r="AI163" s="12"/>
      <c r="AJ163">
        <f t="shared" si="46"/>
        <v>0</v>
      </c>
      <c r="AK163">
        <f t="shared" si="47"/>
        <v>0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7.3563328033590149E-3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7.2703184620984381E-3</v>
      </c>
      <c r="BE163" s="29">
        <f t="shared" si="62"/>
        <v>0</v>
      </c>
      <c r="BF163" s="29">
        <f t="shared" si="63"/>
        <v>1.4626651265457449E-2</v>
      </c>
      <c r="BH163" s="29"/>
    </row>
    <row r="164" spans="1:60" x14ac:dyDescent="0.25">
      <c r="A164" s="1">
        <v>46260</v>
      </c>
      <c r="B164" s="33">
        <v>49.51</v>
      </c>
      <c r="C164" s="33">
        <v>105.45</v>
      </c>
      <c r="D164" s="15">
        <v>-1.41285723371271E-3</v>
      </c>
      <c r="E164" s="15">
        <v>-1.23205247068658E-3</v>
      </c>
      <c r="F164" s="33">
        <v>0</v>
      </c>
      <c r="G164" s="33">
        <v>0.99389999999999901</v>
      </c>
      <c r="H164" s="33">
        <v>0</v>
      </c>
      <c r="I164" s="33">
        <v>1.9970399999999999</v>
      </c>
      <c r="J164" s="33">
        <v>0</v>
      </c>
      <c r="K164" s="33">
        <v>0</v>
      </c>
      <c r="L164" s="33">
        <v>49.51</v>
      </c>
      <c r="M164" s="33">
        <v>105.45</v>
      </c>
      <c r="N164" s="34">
        <v>2.1298727529791899</v>
      </c>
      <c r="O164" s="34">
        <v>2.1285470928226302</v>
      </c>
      <c r="P164" s="34">
        <v>2.1277616248739899</v>
      </c>
      <c r="Q164" s="34">
        <v>2.12799288032789</v>
      </c>
      <c r="R164" s="33">
        <v>105.38436656564799</v>
      </c>
      <c r="S164" s="33">
        <v>105.33253304550399</v>
      </c>
      <c r="T164" s="33">
        <v>105.3527098994</v>
      </c>
      <c r="U164" s="15">
        <v>-6.2260662282369404E-4</v>
      </c>
      <c r="V164" s="15">
        <v>-1.1145797041069399E-3</v>
      </c>
      <c r="W164" s="15">
        <v>-9.2304418243988203E-4</v>
      </c>
      <c r="X164" s="34">
        <v>2.1298727529791899</v>
      </c>
      <c r="Y164" s="34">
        <v>2.1285470928226302</v>
      </c>
      <c r="Z164" s="34">
        <v>2.1277616248739899</v>
      </c>
      <c r="AA164" s="34">
        <v>2.12799288032789</v>
      </c>
      <c r="AB164" s="33">
        <v>105.38436656564799</v>
      </c>
      <c r="AC164" s="33">
        <v>105.33253304550399</v>
      </c>
      <c r="AD164" s="33">
        <v>105.3527098994</v>
      </c>
      <c r="AE164" s="15">
        <v>-6.2260662282369404E-4</v>
      </c>
      <c r="AF164" s="15">
        <v>-1.1145797041069399E-3</v>
      </c>
      <c r="AG164" s="15">
        <v>-9.2304418243988203E-4</v>
      </c>
      <c r="AI164" s="12"/>
      <c r="AJ164">
        <f t="shared" si="46"/>
        <v>0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7.3563328033590149E-3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7.2703184620984381E-3</v>
      </c>
      <c r="BE164" s="29">
        <f t="shared" si="62"/>
        <v>0</v>
      </c>
      <c r="BF164" s="29">
        <f t="shared" si="63"/>
        <v>1.4626651265457449E-2</v>
      </c>
      <c r="BH164" s="29"/>
    </row>
    <row r="165" spans="1:60" x14ac:dyDescent="0.25">
      <c r="A165" s="1">
        <v>46261</v>
      </c>
      <c r="B165" s="33">
        <v>49.48</v>
      </c>
      <c r="C165" s="33">
        <v>105.39</v>
      </c>
      <c r="D165" s="15">
        <v>-6.0612184904456495E-4</v>
      </c>
      <c r="E165" s="15">
        <v>-5.6915197893829203E-4</v>
      </c>
      <c r="F165" s="33">
        <v>0</v>
      </c>
      <c r="G165" s="33">
        <v>0.99389999999999901</v>
      </c>
      <c r="H165" s="33">
        <v>0</v>
      </c>
      <c r="I165" s="33">
        <v>1.9970399999999999</v>
      </c>
      <c r="J165" s="33">
        <v>0</v>
      </c>
      <c r="K165" s="33">
        <v>0</v>
      </c>
      <c r="L165" s="33">
        <v>49.48</v>
      </c>
      <c r="M165" s="33">
        <v>105.39</v>
      </c>
      <c r="N165" s="34">
        <v>2.1299514955537502</v>
      </c>
      <c r="O165" s="34">
        <v>2.1285470928226302</v>
      </c>
      <c r="P165" s="34">
        <v>2.1280539092720798</v>
      </c>
      <c r="Q165" s="34">
        <v>2.12798491633417</v>
      </c>
      <c r="R165" s="33">
        <v>105.320510152864</v>
      </c>
      <c r="S165" s="33">
        <v>105.28164519876501</v>
      </c>
      <c r="T165" s="33">
        <v>105.29308771862399</v>
      </c>
      <c r="U165" s="15">
        <v>-6.59576492929858E-4</v>
      </c>
      <c r="V165" s="15">
        <v>-1.0286606029688301E-3</v>
      </c>
      <c r="W165" s="15">
        <v>-9.1998165833507E-4</v>
      </c>
      <c r="X165" s="34">
        <v>2.1299514955537502</v>
      </c>
      <c r="Y165" s="34">
        <v>2.1285470928226302</v>
      </c>
      <c r="Z165" s="34">
        <v>2.1280539092720798</v>
      </c>
      <c r="AA165" s="34">
        <v>2.12798491633417</v>
      </c>
      <c r="AB165" s="33">
        <v>105.320510152864</v>
      </c>
      <c r="AC165" s="33">
        <v>105.28164519876501</v>
      </c>
      <c r="AD165" s="33">
        <v>105.29308771862399</v>
      </c>
      <c r="AE165" s="15">
        <v>-6.59576492929858E-4</v>
      </c>
      <c r="AF165" s="15">
        <v>-1.0286606029688301E-3</v>
      </c>
      <c r="AG165" s="15">
        <v>-9.1998165833507E-4</v>
      </c>
      <c r="AI165" s="12"/>
      <c r="AJ165">
        <f t="shared" si="46"/>
        <v>0</v>
      </c>
      <c r="AK165">
        <f t="shared" si="47"/>
        <v>0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7.3563328033590149E-3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7.2703184620984381E-3</v>
      </c>
      <c r="BE165" s="29">
        <f t="shared" si="62"/>
        <v>0</v>
      </c>
      <c r="BF165" s="29">
        <f t="shared" si="63"/>
        <v>1.4626651265457449E-2</v>
      </c>
      <c r="BH165" s="29"/>
    </row>
    <row r="166" spans="1:60" x14ac:dyDescent="0.25">
      <c r="A166" s="1">
        <v>46262</v>
      </c>
      <c r="B166" s="33">
        <v>49.4</v>
      </c>
      <c r="C166" s="33">
        <v>105.22</v>
      </c>
      <c r="D166" s="15">
        <v>-1.6181233304102601E-3</v>
      </c>
      <c r="E166" s="15">
        <v>-1.61435864318414E-3</v>
      </c>
      <c r="F166" s="33">
        <v>0</v>
      </c>
      <c r="G166" s="33">
        <v>0.99389999999999901</v>
      </c>
      <c r="H166" s="33">
        <v>0</v>
      </c>
      <c r="I166" s="33">
        <v>1.9970399999999999</v>
      </c>
      <c r="J166" s="33">
        <v>0</v>
      </c>
      <c r="K166" s="33">
        <v>0</v>
      </c>
      <c r="L166" s="33">
        <v>49.4</v>
      </c>
      <c r="M166" s="33">
        <v>105.22</v>
      </c>
      <c r="N166" s="34">
        <v>2.1299595141700398</v>
      </c>
      <c r="O166" s="34">
        <v>2.1285470928226302</v>
      </c>
      <c r="P166" s="34">
        <v>2.1283087031328201</v>
      </c>
      <c r="Q166" s="34">
        <v>2.12799095655881</v>
      </c>
      <c r="R166" s="33">
        <v>105.150226385438</v>
      </c>
      <c r="S166" s="33">
        <v>105.125863118041</v>
      </c>
      <c r="T166" s="33">
        <v>105.122454866908</v>
      </c>
      <c r="U166" s="15">
        <v>-6.63341180156002E-4</v>
      </c>
      <c r="V166" s="15">
        <v>-8.9506764571653399E-4</v>
      </c>
      <c r="W166" s="15">
        <v>-9.2748884333357395E-4</v>
      </c>
      <c r="X166" s="34">
        <v>2.1299595141700398</v>
      </c>
      <c r="Y166" s="34">
        <v>2.1285470928226302</v>
      </c>
      <c r="Z166" s="34">
        <v>2.1283087031328201</v>
      </c>
      <c r="AA166" s="34">
        <v>2.12799095655881</v>
      </c>
      <c r="AB166" s="33">
        <v>105.150226385438</v>
      </c>
      <c r="AC166" s="33">
        <v>105.125863118041</v>
      </c>
      <c r="AD166" s="33">
        <v>105.122454866908</v>
      </c>
      <c r="AE166" s="15">
        <v>-6.63341180156002E-4</v>
      </c>
      <c r="AF166" s="15">
        <v>-8.9506764571653399E-4</v>
      </c>
      <c r="AG166" s="15">
        <v>-9.2748884333357395E-4</v>
      </c>
      <c r="AI166" s="12"/>
      <c r="AJ166">
        <f t="shared" si="46"/>
        <v>0</v>
      </c>
      <c r="AK166">
        <f t="shared" si="47"/>
        <v>0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7.3563328033590149E-3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7.2703184620984381E-3</v>
      </c>
      <c r="BE166" s="29">
        <f t="shared" si="62"/>
        <v>0</v>
      </c>
      <c r="BF166" s="29">
        <f t="shared" si="63"/>
        <v>1.4626651265457449E-2</v>
      </c>
      <c r="BH166" s="29"/>
    </row>
    <row r="167" spans="1:60" x14ac:dyDescent="0.25">
      <c r="A167" s="1">
        <v>46265</v>
      </c>
      <c r="B167" s="33">
        <v>49.34</v>
      </c>
      <c r="C167" s="33">
        <v>105.1</v>
      </c>
      <c r="D167" s="15">
        <v>-1.21531309266604E-3</v>
      </c>
      <c r="E167" s="15">
        <v>-1.14111841975572E-3</v>
      </c>
      <c r="F167" s="33">
        <v>0</v>
      </c>
      <c r="G167" s="33">
        <v>0.99389999999999901</v>
      </c>
      <c r="H167" s="33">
        <v>0</v>
      </c>
      <c r="I167" s="33">
        <v>1.9970399999999999</v>
      </c>
      <c r="J167" s="33">
        <v>0</v>
      </c>
      <c r="K167" s="33">
        <v>0</v>
      </c>
      <c r="L167" s="33">
        <v>49.34</v>
      </c>
      <c r="M167" s="33">
        <v>105.1</v>
      </c>
      <c r="N167" s="34">
        <v>2.1301175516822002</v>
      </c>
      <c r="O167" s="34">
        <v>2.1285470928226302</v>
      </c>
      <c r="P167" s="34">
        <v>2.1286693704686401</v>
      </c>
      <c r="Q167" s="34">
        <v>2.12802470167119</v>
      </c>
      <c r="R167" s="33">
        <v>105.022513559869</v>
      </c>
      <c r="S167" s="33">
        <v>105.010751412573</v>
      </c>
      <c r="T167" s="33">
        <v>104.995073796611</v>
      </c>
      <c r="U167" s="15">
        <v>-7.3753585306627397E-4</v>
      </c>
      <c r="V167" s="15">
        <v>-8.4953856186997898E-4</v>
      </c>
      <c r="W167" s="15">
        <v>-9.9884504872789102E-4</v>
      </c>
      <c r="X167" s="34">
        <v>2.1301175516822002</v>
      </c>
      <c r="Y167" s="34">
        <v>2.1285470928226302</v>
      </c>
      <c r="Z167" s="34">
        <v>2.1286693704686401</v>
      </c>
      <c r="AA167" s="34">
        <v>2.12802470167119</v>
      </c>
      <c r="AB167" s="33">
        <v>105.022513559869</v>
      </c>
      <c r="AC167" s="33">
        <v>105.010751412573</v>
      </c>
      <c r="AD167" s="33">
        <v>104.995073796611</v>
      </c>
      <c r="AE167" s="15">
        <v>-7.3753585306627397E-4</v>
      </c>
      <c r="AF167" s="15">
        <v>-8.4953856186997898E-4</v>
      </c>
      <c r="AG167" s="15">
        <v>-9.9884504872789102E-4</v>
      </c>
      <c r="AI167" s="12"/>
      <c r="AJ167">
        <f t="shared" si="46"/>
        <v>0</v>
      </c>
      <c r="AK167">
        <f t="shared" si="47"/>
        <v>0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7.3563328033590149E-3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7.2703184620984381E-3</v>
      </c>
      <c r="BE167" s="29">
        <f t="shared" si="62"/>
        <v>0</v>
      </c>
      <c r="BF167" s="29">
        <f t="shared" si="63"/>
        <v>1.4626651265457449E-2</v>
      </c>
      <c r="BH167" s="29"/>
    </row>
    <row r="168" spans="1:60" x14ac:dyDescent="0.25">
      <c r="A168" s="1">
        <v>46266</v>
      </c>
      <c r="B168" s="33">
        <v>48.98</v>
      </c>
      <c r="C168" s="33">
        <v>104.33</v>
      </c>
      <c r="D168" s="15">
        <v>-7.3230595771890802E-3</v>
      </c>
      <c r="E168" s="15">
        <v>-7.3533254030274404E-3</v>
      </c>
      <c r="F168" s="33">
        <v>0.1434</v>
      </c>
      <c r="G168" s="33">
        <v>1.1373</v>
      </c>
      <c r="H168" s="33">
        <v>0.28987299999999999</v>
      </c>
      <c r="I168" s="33">
        <v>2.28691299999999</v>
      </c>
      <c r="J168" s="33">
        <v>0</v>
      </c>
      <c r="K168" s="33">
        <v>0</v>
      </c>
      <c r="L168" s="33">
        <v>48.98</v>
      </c>
      <c r="M168" s="33">
        <v>104.33</v>
      </c>
      <c r="N168" s="34">
        <v>2.1300530828909698</v>
      </c>
      <c r="O168" s="34">
        <v>2.1285470928226302</v>
      </c>
      <c r="P168" s="34">
        <v>2.1289349250731102</v>
      </c>
      <c r="Q168" s="34">
        <v>2.12804326399133</v>
      </c>
      <c r="R168" s="33">
        <v>104.25623660645201</v>
      </c>
      <c r="S168" s="33">
        <v>104.26222576555401</v>
      </c>
      <c r="T168" s="33">
        <v>104.230649887854</v>
      </c>
      <c r="U168" s="15">
        <v>-7.0727002722804401E-4</v>
      </c>
      <c r="V168" s="15">
        <v>-6.4982514647198204E-4</v>
      </c>
      <c r="W168" s="15">
        <v>-9.5272161563825599E-4</v>
      </c>
      <c r="X168" s="34">
        <v>2.1300530828909698</v>
      </c>
      <c r="Y168" s="34">
        <v>2.1285470928226302</v>
      </c>
      <c r="Z168" s="34">
        <v>2.1289349250731102</v>
      </c>
      <c r="AA168" s="34">
        <v>2.12804326399133</v>
      </c>
      <c r="AB168" s="33">
        <v>104.25623660645201</v>
      </c>
      <c r="AC168" s="33">
        <v>104.26222576555401</v>
      </c>
      <c r="AD168" s="33">
        <v>104.230649887854</v>
      </c>
      <c r="AE168" s="15">
        <v>-7.0727002722804401E-4</v>
      </c>
      <c r="AF168" s="15">
        <v>-6.4982514647198204E-4</v>
      </c>
      <c r="AG168" s="15">
        <v>-9.5272161563825599E-4</v>
      </c>
      <c r="AI168" s="12"/>
      <c r="AJ168">
        <f t="shared" si="46"/>
        <v>0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7.3563328033590149E-3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7.2703184620984381E-3</v>
      </c>
      <c r="BE168" s="29">
        <f t="shared" si="62"/>
        <v>0</v>
      </c>
      <c r="BF168" s="29">
        <f t="shared" si="63"/>
        <v>1.4626651265457449E-2</v>
      </c>
      <c r="BH168" s="29"/>
    </row>
    <row r="169" spans="1:60" x14ac:dyDescent="0.25">
      <c r="A169" s="1">
        <v>46267</v>
      </c>
      <c r="B169" s="33">
        <v>48.95</v>
      </c>
      <c r="C169" s="33">
        <v>104.22</v>
      </c>
      <c r="D169" s="15">
        <v>-6.1268254750220603E-4</v>
      </c>
      <c r="E169" s="15">
        <v>-1.0549029988094301E-3</v>
      </c>
      <c r="F169" s="33">
        <v>0</v>
      </c>
      <c r="G169" s="33">
        <v>1.1373</v>
      </c>
      <c r="H169" s="33">
        <v>0</v>
      </c>
      <c r="I169" s="33">
        <v>2.28691299999999</v>
      </c>
      <c r="J169" s="33">
        <v>0</v>
      </c>
      <c r="K169" s="33">
        <v>0</v>
      </c>
      <c r="L169" s="33">
        <v>48.95</v>
      </c>
      <c r="M169" s="33">
        <v>104.22</v>
      </c>
      <c r="N169" s="34">
        <v>2.1291113381000999</v>
      </c>
      <c r="O169" s="34">
        <v>2.1285470928226302</v>
      </c>
      <c r="P169" s="34">
        <v>2.1290389706833599</v>
      </c>
      <c r="Q169" s="34">
        <v>2.1280186537983301</v>
      </c>
      <c r="R169" s="33">
        <v>104.192380193668</v>
      </c>
      <c r="S169" s="33">
        <v>104.211364582328</v>
      </c>
      <c r="T169" s="33">
        <v>104.167717772375</v>
      </c>
      <c r="U169" s="15">
        <v>-2.65049575920712E-4</v>
      </c>
      <c r="V169" s="15">
        <v>-8.2861019438690598E-5</v>
      </c>
      <c r="W169" s="15">
        <v>-5.0177840882406296E-4</v>
      </c>
      <c r="X169" s="34">
        <v>2.1291113381000999</v>
      </c>
      <c r="Y169" s="34">
        <v>2.1285470928226302</v>
      </c>
      <c r="Z169" s="34">
        <v>2.1290389706833599</v>
      </c>
      <c r="AA169" s="34">
        <v>2.1280186537983301</v>
      </c>
      <c r="AB169" s="33">
        <v>104.192380193668</v>
      </c>
      <c r="AC169" s="33">
        <v>104.211364582328</v>
      </c>
      <c r="AD169" s="33">
        <v>104.167717772375</v>
      </c>
      <c r="AE169" s="15">
        <v>-2.65049575920712E-4</v>
      </c>
      <c r="AF169" s="15">
        <v>-8.2861019438690598E-5</v>
      </c>
      <c r="AG169" s="15">
        <v>-5.0177840882406296E-4</v>
      </c>
      <c r="AI169" s="12"/>
      <c r="AJ169">
        <f t="shared" si="46"/>
        <v>0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7.3563328033590149E-3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7.2703184620984381E-3</v>
      </c>
      <c r="BE169" s="29">
        <f t="shared" si="62"/>
        <v>0</v>
      </c>
      <c r="BF169" s="29">
        <f t="shared" si="63"/>
        <v>1.4626651265457449E-2</v>
      </c>
      <c r="BH169" s="29"/>
    </row>
    <row r="170" spans="1:60" x14ac:dyDescent="0.25">
      <c r="A170" s="1">
        <v>46268</v>
      </c>
      <c r="B170" s="33">
        <v>48.86</v>
      </c>
      <c r="C170" s="33">
        <v>104</v>
      </c>
      <c r="D170" s="15">
        <v>-1.8403031469250101E-3</v>
      </c>
      <c r="E170" s="15">
        <v>-2.1131503396958902E-3</v>
      </c>
      <c r="F170" s="33">
        <v>0</v>
      </c>
      <c r="G170" s="33">
        <v>1.1373</v>
      </c>
      <c r="H170" s="33">
        <v>0</v>
      </c>
      <c r="I170" s="33">
        <v>2.28691299999999</v>
      </c>
      <c r="J170" s="33">
        <v>0</v>
      </c>
      <c r="K170" s="33">
        <v>0</v>
      </c>
      <c r="L170" s="33">
        <v>48.86</v>
      </c>
      <c r="M170" s="33">
        <v>104</v>
      </c>
      <c r="N170" s="34">
        <v>2.12853049529267</v>
      </c>
      <c r="O170" s="34">
        <v>2.1285470928226302</v>
      </c>
      <c r="P170" s="34">
        <v>2.1291221997566998</v>
      </c>
      <c r="Q170" s="34">
        <v>2.1280831894347099</v>
      </c>
      <c r="R170" s="33">
        <v>104.00081095531399</v>
      </c>
      <c r="S170" s="33">
        <v>104.024844107589</v>
      </c>
      <c r="T170" s="33">
        <v>103.97499142458599</v>
      </c>
      <c r="U170" s="15">
        <v>7.7976168501794596E-6</v>
      </c>
      <c r="V170" s="15">
        <v>2.38857121261815E-4</v>
      </c>
      <c r="W170" s="15">
        <v>-2.4049598812575599E-4</v>
      </c>
      <c r="X170" s="34">
        <v>2.12853049529267</v>
      </c>
      <c r="Y170" s="34">
        <v>2.1285470928226302</v>
      </c>
      <c r="Z170" s="34">
        <v>2.1291221997566998</v>
      </c>
      <c r="AA170" s="34">
        <v>2.1280831894347099</v>
      </c>
      <c r="AB170" s="33">
        <v>104.00081095531399</v>
      </c>
      <c r="AC170" s="33">
        <v>104.024844107589</v>
      </c>
      <c r="AD170" s="33">
        <v>103.97499142458599</v>
      </c>
      <c r="AE170" s="15">
        <v>7.7976168501794596E-6</v>
      </c>
      <c r="AF170" s="15">
        <v>2.38857121261815E-4</v>
      </c>
      <c r="AG170" s="15">
        <v>-2.4049598812575599E-4</v>
      </c>
      <c r="AI170" s="12"/>
      <c r="AJ170">
        <f t="shared" si="46"/>
        <v>0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7.3563328033590149E-3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7.2703184620984381E-3</v>
      </c>
      <c r="BE170" s="29">
        <f t="shared" si="62"/>
        <v>0</v>
      </c>
      <c r="BF170" s="29">
        <f t="shared" si="63"/>
        <v>1.4626651265457449E-2</v>
      </c>
      <c r="BH170" s="29"/>
    </row>
    <row r="171" spans="1:60" x14ac:dyDescent="0.25">
      <c r="A171" s="1">
        <v>46269</v>
      </c>
      <c r="B171" s="33">
        <v>48.88</v>
      </c>
      <c r="C171" s="33">
        <v>104.03</v>
      </c>
      <c r="D171" s="15">
        <v>4.09249033745472E-4</v>
      </c>
      <c r="E171" s="15">
        <v>2.8841994143116598E-4</v>
      </c>
      <c r="F171" s="33">
        <v>0</v>
      </c>
      <c r="G171" s="33">
        <v>1.1373</v>
      </c>
      <c r="H171" s="33">
        <v>0</v>
      </c>
      <c r="I171" s="33">
        <v>2.28691299999999</v>
      </c>
      <c r="J171" s="33">
        <v>0</v>
      </c>
      <c r="K171" s="33">
        <v>0</v>
      </c>
      <c r="L171" s="33">
        <v>48.88</v>
      </c>
      <c r="M171" s="33">
        <v>104.03</v>
      </c>
      <c r="N171" s="34">
        <v>2.1282733224222499</v>
      </c>
      <c r="O171" s="34">
        <v>2.1285470928226302</v>
      </c>
      <c r="P171" s="34">
        <v>2.1293132784664301</v>
      </c>
      <c r="Q171" s="34">
        <v>2.1281527479469098</v>
      </c>
      <c r="R171" s="33">
        <v>104.04338189716999</v>
      </c>
      <c r="S171" s="33">
        <v>104.07149312410699</v>
      </c>
      <c r="T171" s="33">
        <v>104.020706299569</v>
      </c>
      <c r="U171" s="15">
        <v>1.2862670916442099E-4</v>
      </c>
      <c r="V171" s="15">
        <v>3.9877776977849399E-4</v>
      </c>
      <c r="W171" s="15">
        <v>-8.9340724695441794E-5</v>
      </c>
      <c r="X171" s="34">
        <v>2.1282733224222499</v>
      </c>
      <c r="Y171" s="34">
        <v>2.1285470928226302</v>
      </c>
      <c r="Z171" s="34">
        <v>2.1293132784664301</v>
      </c>
      <c r="AA171" s="34">
        <v>2.1281527479469098</v>
      </c>
      <c r="AB171" s="33">
        <v>104.04338189716999</v>
      </c>
      <c r="AC171" s="33">
        <v>104.07149312410699</v>
      </c>
      <c r="AD171" s="33">
        <v>104.020706299569</v>
      </c>
      <c r="AE171" s="15">
        <v>1.2862670916442099E-4</v>
      </c>
      <c r="AF171" s="15">
        <v>3.9877776977849399E-4</v>
      </c>
      <c r="AG171" s="15">
        <v>-8.9340724695441794E-5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7.3563328033590149E-3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7.2703184620984381E-3</v>
      </c>
      <c r="BE171" s="29">
        <f t="shared" si="62"/>
        <v>0</v>
      </c>
      <c r="BF171" s="29">
        <f t="shared" si="63"/>
        <v>1.4626651265457449E-2</v>
      </c>
      <c r="BH171" s="29"/>
    </row>
    <row r="172" spans="1:60" x14ac:dyDescent="0.25">
      <c r="A172" s="1">
        <v>46273</v>
      </c>
      <c r="B172" s="33">
        <v>48.87</v>
      </c>
      <c r="C172" s="33">
        <v>104.02</v>
      </c>
      <c r="D172" s="15">
        <v>-2.0460358127649499E-4</v>
      </c>
      <c r="E172" s="15">
        <v>-9.6130737877448802E-5</v>
      </c>
      <c r="F172" s="33">
        <v>0</v>
      </c>
      <c r="G172" s="33">
        <v>1.1373</v>
      </c>
      <c r="H172" s="33">
        <v>0</v>
      </c>
      <c r="I172" s="33">
        <v>2.28691299999999</v>
      </c>
      <c r="J172" s="33">
        <v>0</v>
      </c>
      <c r="K172" s="33">
        <v>0</v>
      </c>
      <c r="L172" s="33">
        <v>48.87</v>
      </c>
      <c r="M172" s="33">
        <v>104.02</v>
      </c>
      <c r="N172" s="34">
        <v>2.1285041948025301</v>
      </c>
      <c r="O172" s="34">
        <v>2.1285470928226302</v>
      </c>
      <c r="P172" s="34">
        <v>2.1293861444545601</v>
      </c>
      <c r="Q172" s="34">
        <v>2.1282601593744599</v>
      </c>
      <c r="R172" s="33">
        <v>104.022096426242</v>
      </c>
      <c r="S172" s="33">
        <v>104.059539918654</v>
      </c>
      <c r="T172" s="33">
        <v>104.002824792165</v>
      </c>
      <c r="U172" s="15">
        <v>2.0153865765287401E-5</v>
      </c>
      <c r="V172" s="15">
        <v>3.8004619912269499E-4</v>
      </c>
      <c r="W172" s="15">
        <v>-1.6512810928606301E-4</v>
      </c>
      <c r="X172" s="34">
        <v>2.1285041948025301</v>
      </c>
      <c r="Y172" s="34">
        <v>2.1285470928226302</v>
      </c>
      <c r="Z172" s="34">
        <v>2.1293861444545601</v>
      </c>
      <c r="AA172" s="34">
        <v>2.1282601593744599</v>
      </c>
      <c r="AB172" s="33">
        <v>104.022096426242</v>
      </c>
      <c r="AC172" s="33">
        <v>104.059539918654</v>
      </c>
      <c r="AD172" s="33">
        <v>104.002824792165</v>
      </c>
      <c r="AE172" s="15">
        <v>2.0153865765287401E-5</v>
      </c>
      <c r="AF172" s="15">
        <v>3.8004619912269499E-4</v>
      </c>
      <c r="AG172" s="15">
        <v>-1.6512810928606301E-4</v>
      </c>
      <c r="AI172" s="12"/>
      <c r="AJ172">
        <f t="shared" si="46"/>
        <v>0</v>
      </c>
      <c r="AK172">
        <f t="shared" si="47"/>
        <v>0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7.3563328033590149E-3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7.2703184620984381E-3</v>
      </c>
      <c r="BE172" s="29">
        <f t="shared" si="62"/>
        <v>0</v>
      </c>
      <c r="BF172" s="29">
        <f t="shared" si="63"/>
        <v>1.4626651265457449E-2</v>
      </c>
      <c r="BH172" s="29"/>
    </row>
    <row r="173" spans="1:60" x14ac:dyDescent="0.25">
      <c r="A173" s="1">
        <v>46274</v>
      </c>
      <c r="B173" s="33">
        <v>48.61</v>
      </c>
      <c r="C173" s="33">
        <v>103.48</v>
      </c>
      <c r="D173" s="15">
        <v>-5.3344402246992698E-3</v>
      </c>
      <c r="E173" s="15">
        <v>-5.2048310270979004E-3</v>
      </c>
      <c r="F173" s="33">
        <v>0</v>
      </c>
      <c r="G173" s="33">
        <v>1.1373</v>
      </c>
      <c r="H173" s="33">
        <v>0</v>
      </c>
      <c r="I173" s="33">
        <v>2.28691299999999</v>
      </c>
      <c r="J173" s="33">
        <v>0</v>
      </c>
      <c r="K173" s="33">
        <v>0</v>
      </c>
      <c r="L173" s="33">
        <v>48.61</v>
      </c>
      <c r="M173" s="33">
        <v>103.48</v>
      </c>
      <c r="N173" s="34">
        <v>2.1287800864019699</v>
      </c>
      <c r="O173" s="34">
        <v>2.1285470928226302</v>
      </c>
      <c r="P173" s="34">
        <v>2.1293153834295699</v>
      </c>
      <c r="Q173" s="34">
        <v>2.12840777296609</v>
      </c>
      <c r="R173" s="33">
        <v>103.468674182108</v>
      </c>
      <c r="S173" s="33">
        <v>103.509460481936</v>
      </c>
      <c r="T173" s="33">
        <v>103.45472634719199</v>
      </c>
      <c r="U173" s="15">
        <v>-1.09455331835952E-4</v>
      </c>
      <c r="V173" s="15">
        <v>2.8465683292899801E-4</v>
      </c>
      <c r="W173" s="15">
        <v>-2.44266908496465E-4</v>
      </c>
      <c r="X173" s="34">
        <v>2.1287800864019699</v>
      </c>
      <c r="Y173" s="34">
        <v>2.1285470928226302</v>
      </c>
      <c r="Z173" s="34">
        <v>2.1293153834295699</v>
      </c>
      <c r="AA173" s="34">
        <v>2.12840777296609</v>
      </c>
      <c r="AB173" s="33">
        <v>103.468674182108</v>
      </c>
      <c r="AC173" s="33">
        <v>103.509460481936</v>
      </c>
      <c r="AD173" s="33">
        <v>103.45472634719199</v>
      </c>
      <c r="AE173" s="15">
        <v>-1.09455331835952E-4</v>
      </c>
      <c r="AF173" s="15">
        <v>2.8465683292899801E-4</v>
      </c>
      <c r="AG173" s="15">
        <v>-2.44266908496465E-4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7.3563328033590149E-3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7.2703184620984381E-3</v>
      </c>
      <c r="BE173" s="29">
        <f t="shared" si="62"/>
        <v>0</v>
      </c>
      <c r="BF173" s="29">
        <f t="shared" si="63"/>
        <v>1.4626651265457449E-2</v>
      </c>
      <c r="BH173" s="29"/>
    </row>
    <row r="174" spans="1:60" x14ac:dyDescent="0.25">
      <c r="A174" s="1">
        <v>46275</v>
      </c>
      <c r="B174" s="33">
        <v>48.26</v>
      </c>
      <c r="C174" s="33">
        <v>102.72</v>
      </c>
      <c r="D174" s="15">
        <v>-7.2262108604785004E-3</v>
      </c>
      <c r="E174" s="15">
        <v>-7.3715173761774002E-3</v>
      </c>
      <c r="F174" s="33">
        <v>0</v>
      </c>
      <c r="G174" s="33">
        <v>1.1373</v>
      </c>
      <c r="H174" s="33">
        <v>0</v>
      </c>
      <c r="I174" s="33">
        <v>2.28691299999999</v>
      </c>
      <c r="J174" s="33">
        <v>0</v>
      </c>
      <c r="K174" s="33">
        <v>0</v>
      </c>
      <c r="L174" s="33">
        <v>48.26</v>
      </c>
      <c r="M174" s="33">
        <v>102.72</v>
      </c>
      <c r="N174" s="34">
        <v>2.1284707832573502</v>
      </c>
      <c r="O174" s="34">
        <v>2.1285470928226302</v>
      </c>
      <c r="P174" s="34">
        <v>2.1291751864573798</v>
      </c>
      <c r="Q174" s="34">
        <v>2.1284684056656902</v>
      </c>
      <c r="R174" s="33">
        <v>102.72368269962</v>
      </c>
      <c r="S174" s="33">
        <v>102.760760404311</v>
      </c>
      <c r="T174" s="33">
        <v>102.716959123343</v>
      </c>
      <c r="U174" s="15">
        <v>3.5851183863063398E-5</v>
      </c>
      <c r="V174" s="15">
        <v>3.96732081053031E-4</v>
      </c>
      <c r="W174" s="15">
        <v>-2.96039881977659E-5</v>
      </c>
      <c r="X174" s="34">
        <v>2.1284707832573502</v>
      </c>
      <c r="Y174" s="34">
        <v>2.1285470928226302</v>
      </c>
      <c r="Z174" s="34">
        <v>2.1291751864573798</v>
      </c>
      <c r="AA174" s="34">
        <v>2.1284684056656902</v>
      </c>
      <c r="AB174" s="33">
        <v>102.72368269962</v>
      </c>
      <c r="AC174" s="33">
        <v>102.760760404311</v>
      </c>
      <c r="AD174" s="33">
        <v>102.716959123343</v>
      </c>
      <c r="AE174" s="15">
        <v>3.5851183863063398E-5</v>
      </c>
      <c r="AF174" s="15">
        <v>3.96732081053031E-4</v>
      </c>
      <c r="AG174" s="15">
        <v>-2.96039881977659E-5</v>
      </c>
      <c r="AI174" s="12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7.3563328033590149E-3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7.2703184620984381E-3</v>
      </c>
      <c r="BE174" s="29">
        <f t="shared" si="62"/>
        <v>0</v>
      </c>
      <c r="BF174" s="29">
        <f t="shared" si="63"/>
        <v>1.4626651265457449E-2</v>
      </c>
      <c r="BH174" s="29"/>
    </row>
    <row r="175" spans="1:60" x14ac:dyDescent="0.25">
      <c r="A175" s="1">
        <v>46276</v>
      </c>
      <c r="B175" s="33">
        <v>48.43</v>
      </c>
      <c r="C175" s="33">
        <v>103.17</v>
      </c>
      <c r="D175" s="15">
        <v>3.5163962182521999E-3</v>
      </c>
      <c r="E175" s="15">
        <v>4.37127317063355E-3</v>
      </c>
      <c r="F175" s="33">
        <v>0</v>
      </c>
      <c r="G175" s="33">
        <v>1.1373</v>
      </c>
      <c r="H175" s="33">
        <v>0</v>
      </c>
      <c r="I175" s="33">
        <v>2.28691299999999</v>
      </c>
      <c r="J175" s="33">
        <v>0</v>
      </c>
      <c r="K175" s="33">
        <v>0</v>
      </c>
      <c r="L175" s="33">
        <v>48.43</v>
      </c>
      <c r="M175" s="33">
        <v>103.17</v>
      </c>
      <c r="N175" s="34">
        <v>2.1302911418542201</v>
      </c>
      <c r="O175" s="34">
        <v>2.1285470928226302</v>
      </c>
      <c r="P175" s="34">
        <v>2.12920915108743</v>
      </c>
      <c r="Q175" s="34">
        <v>2.12863153017976</v>
      </c>
      <c r="R175" s="33">
        <v>103.08553570540001</v>
      </c>
      <c r="S175" s="33">
        <v>103.11595428013101</v>
      </c>
      <c r="T175" s="33">
        <v>103.081724886389</v>
      </c>
      <c r="U175" s="15">
        <v>-8.1902576851836497E-4</v>
      </c>
      <c r="V175" s="15">
        <v>-5.2398837617310804E-4</v>
      </c>
      <c r="W175" s="15">
        <v>-8.5599399519479895E-4</v>
      </c>
      <c r="X175" s="34">
        <v>2.1302911418542201</v>
      </c>
      <c r="Y175" s="34">
        <v>2.1285470928226302</v>
      </c>
      <c r="Z175" s="34">
        <v>2.12920915108743</v>
      </c>
      <c r="AA175" s="34">
        <v>2.12863153017976</v>
      </c>
      <c r="AB175" s="33">
        <v>103.08553570540001</v>
      </c>
      <c r="AC175" s="33">
        <v>103.11595428013101</v>
      </c>
      <c r="AD175" s="33">
        <v>103.081724886389</v>
      </c>
      <c r="AE175" s="15">
        <v>-8.1902576851836497E-4</v>
      </c>
      <c r="AF175" s="15">
        <v>-5.2398837617310804E-4</v>
      </c>
      <c r="AG175" s="15">
        <v>-8.5599399519479895E-4</v>
      </c>
      <c r="AI175" s="12"/>
      <c r="AJ175">
        <f t="shared" si="46"/>
        <v>0</v>
      </c>
      <c r="AK175">
        <f t="shared" si="47"/>
        <v>0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7.3563328033590149E-3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7.2703184620984381E-3</v>
      </c>
      <c r="BE175" s="29">
        <f t="shared" si="62"/>
        <v>0</v>
      </c>
      <c r="BF175" s="29">
        <f t="shared" si="63"/>
        <v>1.4626651265457449E-2</v>
      </c>
      <c r="BH175" s="29"/>
    </row>
    <row r="176" spans="1:60" x14ac:dyDescent="0.25">
      <c r="A176" s="1">
        <v>46279</v>
      </c>
      <c r="B176" s="33">
        <v>48.41</v>
      </c>
      <c r="C176" s="33">
        <v>103.11</v>
      </c>
      <c r="D176" s="15">
        <v>-4.1305246353482198E-4</v>
      </c>
      <c r="E176" s="15">
        <v>-5.8173358243229203E-4</v>
      </c>
      <c r="F176" s="33">
        <v>0</v>
      </c>
      <c r="G176" s="33">
        <v>1.1373</v>
      </c>
      <c r="H176" s="33">
        <v>0</v>
      </c>
      <c r="I176" s="33">
        <v>2.28691299999999</v>
      </c>
      <c r="J176" s="33">
        <v>0</v>
      </c>
      <c r="K176" s="33">
        <v>0</v>
      </c>
      <c r="L176" s="33">
        <v>48.41</v>
      </c>
      <c r="M176" s="33">
        <v>103.11</v>
      </c>
      <c r="N176" s="34">
        <v>2.1299318322660601</v>
      </c>
      <c r="O176" s="34">
        <v>2.1285470928226302</v>
      </c>
      <c r="P176" s="34">
        <v>2.12920638289703</v>
      </c>
      <c r="Q176" s="34">
        <v>2.1287575430149199</v>
      </c>
      <c r="R176" s="33">
        <v>103.042964763543</v>
      </c>
      <c r="S176" s="33">
        <v>103.075015004142</v>
      </c>
      <c r="T176" s="33">
        <v>103.047052376002</v>
      </c>
      <c r="U176" s="15">
        <v>-6.50344649620833E-4</v>
      </c>
      <c r="V176" s="15">
        <v>-3.39355371604941E-4</v>
      </c>
      <c r="W176" s="15">
        <v>-6.1067642584655202E-4</v>
      </c>
      <c r="X176" s="34">
        <v>2.1299318322660601</v>
      </c>
      <c r="Y176" s="34">
        <v>2.1285470928226302</v>
      </c>
      <c r="Z176" s="34">
        <v>2.12920638289703</v>
      </c>
      <c r="AA176" s="34">
        <v>2.1287575430149199</v>
      </c>
      <c r="AB176" s="33">
        <v>103.042964763543</v>
      </c>
      <c r="AC176" s="33">
        <v>103.075015004142</v>
      </c>
      <c r="AD176" s="33">
        <v>103.047052376002</v>
      </c>
      <c r="AE176" s="15">
        <v>-6.50344649620833E-4</v>
      </c>
      <c r="AF176" s="15">
        <v>-3.39355371604941E-4</v>
      </c>
      <c r="AG176" s="15">
        <v>-6.1067642584655202E-4</v>
      </c>
      <c r="AI176" s="12"/>
      <c r="AJ176">
        <f t="shared" si="46"/>
        <v>0</v>
      </c>
      <c r="AK176">
        <f t="shared" si="47"/>
        <v>0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7.3563328033590149E-3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7.2703184620984381E-3</v>
      </c>
      <c r="BE176" s="29">
        <f t="shared" si="62"/>
        <v>0</v>
      </c>
      <c r="BF176" s="29">
        <f t="shared" si="63"/>
        <v>1.4626651265457449E-2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2026-09-24T00:39:58Z</dcterms:created>
  <dcterms:modified xsi:type="dcterms:W3CDTF">2026-09-24T01:01:51Z</dcterms:modified>
</cp:coreProperties>
</file>