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08185B02-EF68-428B-867D-5BDEE722807C}" xr6:coauthVersionLast="47" xr6:coauthVersionMax="47" xr10:uidLastSave="{00000000-0000-0000-0000-000000000000}"/>
  <bookViews>
    <workbookView xWindow="-108" yWindow="-108" windowWidth="23256" windowHeight="12456" xr2:uid="{50DAA4F1-36FA-4DAF-8487-151DA83DA4AC}"/>
  </bookViews>
  <sheets>
    <sheet name="XLU_IDU_2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O166" i="1"/>
  <c r="BN166" i="1"/>
  <c r="BF166" i="1"/>
  <c r="BE166" i="1"/>
  <c r="BC166" i="1"/>
  <c r="BB166" i="1"/>
  <c r="BQ165" i="1"/>
  <c r="BO165" i="1"/>
  <c r="BN165" i="1"/>
  <c r="BE165" i="1"/>
  <c r="BC165" i="1"/>
  <c r="BB165" i="1"/>
  <c r="BR164" i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E162" i="1"/>
  <c r="BC162" i="1"/>
  <c r="BB162" i="1"/>
  <c r="BF163" i="1" s="1"/>
  <c r="BQ161" i="1"/>
  <c r="BO161" i="1"/>
  <c r="BN161" i="1"/>
  <c r="BR162" i="1" s="1"/>
  <c r="BI161" i="1"/>
  <c r="BG161" i="1"/>
  <c r="BF161" i="1"/>
  <c r="BH161" i="1" s="1"/>
  <c r="BE161" i="1"/>
  <c r="BF162" i="1" s="1"/>
  <c r="BD161" i="1"/>
  <c r="BC161" i="1"/>
  <c r="BB161" i="1"/>
  <c r="BQ160" i="1"/>
  <c r="BO160" i="1"/>
  <c r="BN160" i="1"/>
  <c r="BR161" i="1" s="1"/>
  <c r="BH160" i="1"/>
  <c r="BF160" i="1"/>
  <c r="BE160" i="1"/>
  <c r="BC160" i="1"/>
  <c r="BB160" i="1"/>
  <c r="BQ159" i="1"/>
  <c r="BO159" i="1"/>
  <c r="BN159" i="1"/>
  <c r="BF159" i="1"/>
  <c r="BE159" i="1"/>
  <c r="BC159" i="1"/>
  <c r="BB159" i="1"/>
  <c r="BQ158" i="1"/>
  <c r="BO158" i="1"/>
  <c r="BN158" i="1"/>
  <c r="BE158" i="1"/>
  <c r="BC158" i="1"/>
  <c r="BB158" i="1"/>
  <c r="BR157" i="1"/>
  <c r="BQ157" i="1"/>
  <c r="BR158" i="1" s="1"/>
  <c r="BO157" i="1"/>
  <c r="BN157" i="1"/>
  <c r="BE157" i="1"/>
  <c r="BC157" i="1"/>
  <c r="BB157" i="1"/>
  <c r="BQ156" i="1"/>
  <c r="BO156" i="1"/>
  <c r="BN156" i="1"/>
  <c r="BE156" i="1"/>
  <c r="BC156" i="1"/>
  <c r="BB156" i="1"/>
  <c r="BQ155" i="1"/>
  <c r="BO155" i="1"/>
  <c r="BN155" i="1"/>
  <c r="BF155" i="1"/>
  <c r="BE155" i="1"/>
  <c r="BC155" i="1"/>
  <c r="BB155" i="1"/>
  <c r="BQ154" i="1"/>
  <c r="BO154" i="1"/>
  <c r="BN154" i="1"/>
  <c r="BR155" i="1" s="1"/>
  <c r="BF154" i="1"/>
  <c r="BD154" i="1" s="1"/>
  <c r="BE154" i="1"/>
  <c r="BC154" i="1"/>
  <c r="BB154" i="1"/>
  <c r="BQ153" i="1"/>
  <c r="BO153" i="1"/>
  <c r="BN153" i="1"/>
  <c r="BR154" i="1" s="1"/>
  <c r="BF153" i="1"/>
  <c r="BE153" i="1"/>
  <c r="BC153" i="1"/>
  <c r="BB153" i="1"/>
  <c r="BR152" i="1"/>
  <c r="BQ152" i="1"/>
  <c r="BO152" i="1"/>
  <c r="BN152" i="1"/>
  <c r="BH152" i="1"/>
  <c r="BE152" i="1"/>
  <c r="BC152" i="1"/>
  <c r="BB152" i="1"/>
  <c r="BQ151" i="1"/>
  <c r="BO151" i="1"/>
  <c r="BN151" i="1"/>
  <c r="BE151" i="1"/>
  <c r="BC151" i="1"/>
  <c r="BB151" i="1"/>
  <c r="BF152" i="1" s="1"/>
  <c r="BQ150" i="1"/>
  <c r="BR151" i="1" s="1"/>
  <c r="BO150" i="1"/>
  <c r="BN150" i="1"/>
  <c r="BF150" i="1"/>
  <c r="BD150" i="1" s="1"/>
  <c r="BE150" i="1"/>
  <c r="BF151" i="1" s="1"/>
  <c r="BG151" i="1" s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C148" i="1"/>
  <c r="BB148" i="1"/>
  <c r="BQ147" i="1"/>
  <c r="BO147" i="1"/>
  <c r="BN147" i="1"/>
  <c r="BF147" i="1"/>
  <c r="BD147" i="1" s="1"/>
  <c r="BE147" i="1"/>
  <c r="BF148" i="1" s="1"/>
  <c r="BC147" i="1"/>
  <c r="BB147" i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F146" i="1" s="1"/>
  <c r="BQ144" i="1"/>
  <c r="BR145" i="1" s="1"/>
  <c r="BO144" i="1"/>
  <c r="BN144" i="1"/>
  <c r="BE144" i="1"/>
  <c r="BC144" i="1"/>
  <c r="BB144" i="1"/>
  <c r="BQ143" i="1"/>
  <c r="BO143" i="1"/>
  <c r="BN143" i="1"/>
  <c r="BG143" i="1"/>
  <c r="BE143" i="1"/>
  <c r="BF144" i="1" s="1"/>
  <c r="BC143" i="1"/>
  <c r="BB143" i="1"/>
  <c r="BQ142" i="1"/>
  <c r="BO142" i="1"/>
  <c r="BN142" i="1"/>
  <c r="BE142" i="1"/>
  <c r="BC142" i="1"/>
  <c r="BB142" i="1"/>
  <c r="BF143" i="1" s="1"/>
  <c r="BD143" i="1" s="1"/>
  <c r="BQ141" i="1"/>
  <c r="BO141" i="1"/>
  <c r="BN141" i="1"/>
  <c r="BF141" i="1"/>
  <c r="BE141" i="1"/>
  <c r="BD141" i="1"/>
  <c r="BC141" i="1"/>
  <c r="BB141" i="1"/>
  <c r="BQ140" i="1"/>
  <c r="BO140" i="1"/>
  <c r="BN140" i="1"/>
  <c r="BE140" i="1"/>
  <c r="BC140" i="1"/>
  <c r="BB140" i="1"/>
  <c r="BQ139" i="1"/>
  <c r="BO139" i="1"/>
  <c r="BN139" i="1"/>
  <c r="BR140" i="1" s="1"/>
  <c r="BH139" i="1"/>
  <c r="BE139" i="1"/>
  <c r="BC139" i="1"/>
  <c r="BB139" i="1"/>
  <c r="BQ138" i="1"/>
  <c r="BO138" i="1"/>
  <c r="BN138" i="1"/>
  <c r="BH138" i="1"/>
  <c r="BE138" i="1"/>
  <c r="BC138" i="1"/>
  <c r="BB138" i="1"/>
  <c r="BF139" i="1" s="1"/>
  <c r="BQ137" i="1"/>
  <c r="BO137" i="1"/>
  <c r="BN137" i="1"/>
  <c r="BE137" i="1"/>
  <c r="BC137" i="1"/>
  <c r="BB137" i="1"/>
  <c r="BF138" i="1" s="1"/>
  <c r="BQ136" i="1"/>
  <c r="BR137" i="1" s="1"/>
  <c r="BO136" i="1"/>
  <c r="BN136" i="1"/>
  <c r="BF136" i="1"/>
  <c r="BD136" i="1" s="1"/>
  <c r="BE136" i="1"/>
  <c r="BF137" i="1" s="1"/>
  <c r="BC136" i="1"/>
  <c r="BB136" i="1"/>
  <c r="BQ135" i="1"/>
  <c r="BO135" i="1"/>
  <c r="BN135" i="1"/>
  <c r="BR136" i="1" s="1"/>
  <c r="BE135" i="1"/>
  <c r="BC135" i="1"/>
  <c r="BB135" i="1"/>
  <c r="BQ134" i="1"/>
  <c r="BO134" i="1"/>
  <c r="BN134" i="1"/>
  <c r="BF134" i="1"/>
  <c r="BG134" i="1" s="1"/>
  <c r="BE134" i="1"/>
  <c r="BD134" i="1"/>
  <c r="BC134" i="1"/>
  <c r="BB134" i="1"/>
  <c r="BQ133" i="1"/>
  <c r="BO133" i="1"/>
  <c r="BN133" i="1"/>
  <c r="BR134" i="1" s="1"/>
  <c r="BH133" i="1"/>
  <c r="BG133" i="1"/>
  <c r="BI133" i="1" s="1"/>
  <c r="BF133" i="1"/>
  <c r="BE133" i="1"/>
  <c r="BD133" i="1"/>
  <c r="BC133" i="1"/>
  <c r="BB133" i="1"/>
  <c r="BQ132" i="1"/>
  <c r="BO132" i="1"/>
  <c r="BN132" i="1"/>
  <c r="BR133" i="1" s="1"/>
  <c r="BF132" i="1"/>
  <c r="BE132" i="1"/>
  <c r="BC132" i="1"/>
  <c r="BB132" i="1"/>
  <c r="BR131" i="1"/>
  <c r="BQ131" i="1"/>
  <c r="BO131" i="1"/>
  <c r="BN131" i="1"/>
  <c r="BE131" i="1"/>
  <c r="BD131" i="1"/>
  <c r="BC131" i="1"/>
  <c r="BB131" i="1"/>
  <c r="BQ130" i="1"/>
  <c r="BO130" i="1"/>
  <c r="BN130" i="1"/>
  <c r="BF130" i="1"/>
  <c r="BH130" i="1" s="1"/>
  <c r="BE130" i="1"/>
  <c r="BD130" i="1"/>
  <c r="BC130" i="1"/>
  <c r="BB130" i="1"/>
  <c r="BF131" i="1" s="1"/>
  <c r="BQ129" i="1"/>
  <c r="BO129" i="1"/>
  <c r="BR130" i="1" s="1"/>
  <c r="BN129" i="1"/>
  <c r="BF129" i="1"/>
  <c r="BE129" i="1"/>
  <c r="BC129" i="1"/>
  <c r="BB129" i="1"/>
  <c r="BQ128" i="1"/>
  <c r="BO128" i="1"/>
  <c r="BN128" i="1"/>
  <c r="BE128" i="1"/>
  <c r="BC128" i="1"/>
  <c r="BB128" i="1"/>
  <c r="BQ127" i="1"/>
  <c r="BO127" i="1"/>
  <c r="BN127" i="1"/>
  <c r="BF127" i="1"/>
  <c r="BE127" i="1"/>
  <c r="BC127" i="1"/>
  <c r="BB127" i="1"/>
  <c r="BQ126" i="1"/>
  <c r="BO126" i="1"/>
  <c r="BN126" i="1"/>
  <c r="BE126" i="1"/>
  <c r="BC126" i="1"/>
  <c r="BB126" i="1"/>
  <c r="BQ125" i="1"/>
  <c r="BO125" i="1"/>
  <c r="BN125" i="1"/>
  <c r="BR126" i="1" s="1"/>
  <c r="BE125" i="1"/>
  <c r="BC125" i="1"/>
  <c r="BB125" i="1"/>
  <c r="BQ124" i="1"/>
  <c r="BO124" i="1"/>
  <c r="BN124" i="1"/>
  <c r="BE124" i="1"/>
  <c r="BC124" i="1"/>
  <c r="BB124" i="1"/>
  <c r="BF125" i="1" s="1"/>
  <c r="BQ123" i="1"/>
  <c r="BO123" i="1"/>
  <c r="BN123" i="1"/>
  <c r="BE123" i="1"/>
  <c r="BC123" i="1"/>
  <c r="BB123" i="1"/>
  <c r="BF124" i="1" s="1"/>
  <c r="BQ122" i="1"/>
  <c r="BO122" i="1"/>
  <c r="BN122" i="1"/>
  <c r="BF122" i="1"/>
  <c r="BD122" i="1" s="1"/>
  <c r="BE122" i="1"/>
  <c r="BC122" i="1"/>
  <c r="BB122" i="1"/>
  <c r="BQ121" i="1"/>
  <c r="BO121" i="1"/>
  <c r="BN121" i="1"/>
  <c r="BE121" i="1"/>
  <c r="BC121" i="1"/>
  <c r="BB121" i="1"/>
  <c r="BQ120" i="1"/>
  <c r="BO120" i="1"/>
  <c r="BN120" i="1"/>
  <c r="BF120" i="1"/>
  <c r="BE120" i="1"/>
  <c r="BC120" i="1"/>
  <c r="BB120" i="1"/>
  <c r="BQ119" i="1"/>
  <c r="BO119" i="1"/>
  <c r="BN119" i="1"/>
  <c r="BF119" i="1"/>
  <c r="BE119" i="1"/>
  <c r="BC119" i="1"/>
  <c r="BB119" i="1"/>
  <c r="BQ118" i="1"/>
  <c r="BO118" i="1"/>
  <c r="BN118" i="1"/>
  <c r="BF118" i="1"/>
  <c r="BE118" i="1"/>
  <c r="BC118" i="1"/>
  <c r="BB118" i="1"/>
  <c r="BQ117" i="1"/>
  <c r="BO117" i="1"/>
  <c r="BN117" i="1"/>
  <c r="BF117" i="1"/>
  <c r="BE117" i="1"/>
  <c r="BD117" i="1"/>
  <c r="BC117" i="1"/>
  <c r="BB117" i="1"/>
  <c r="BQ116" i="1"/>
  <c r="BO116" i="1"/>
  <c r="BN116" i="1"/>
  <c r="BF116" i="1"/>
  <c r="BD116" i="1" s="1"/>
  <c r="BE116" i="1"/>
  <c r="BC116" i="1"/>
  <c r="BB116" i="1"/>
  <c r="BQ115" i="1"/>
  <c r="BO115" i="1"/>
  <c r="BN115" i="1"/>
  <c r="BE115" i="1"/>
  <c r="BC115" i="1"/>
  <c r="BB115" i="1"/>
  <c r="BQ114" i="1"/>
  <c r="BO114" i="1"/>
  <c r="BN114" i="1"/>
  <c r="BF114" i="1"/>
  <c r="BE114" i="1"/>
  <c r="BC114" i="1"/>
  <c r="BB114" i="1"/>
  <c r="BQ113" i="1"/>
  <c r="BO113" i="1"/>
  <c r="BN113" i="1"/>
  <c r="BF113" i="1"/>
  <c r="BE113" i="1"/>
  <c r="BC113" i="1"/>
  <c r="BB113" i="1"/>
  <c r="BQ112" i="1"/>
  <c r="BO112" i="1"/>
  <c r="BN112" i="1"/>
  <c r="BH112" i="1"/>
  <c r="BG112" i="1"/>
  <c r="BI112" i="1" s="1"/>
  <c r="BF112" i="1"/>
  <c r="BD112" i="1" s="1"/>
  <c r="BE112" i="1"/>
  <c r="BC112" i="1"/>
  <c r="BB112" i="1"/>
  <c r="BQ111" i="1"/>
  <c r="BO111" i="1"/>
  <c r="BN111" i="1"/>
  <c r="BR112" i="1" s="1"/>
  <c r="BF111" i="1"/>
  <c r="BE111" i="1"/>
  <c r="BC111" i="1"/>
  <c r="BB111" i="1"/>
  <c r="BQ110" i="1"/>
  <c r="BO110" i="1"/>
  <c r="BN110" i="1"/>
  <c r="BH110" i="1"/>
  <c r="BG110" i="1"/>
  <c r="BI110" i="1" s="1"/>
  <c r="BE110" i="1"/>
  <c r="BC110" i="1"/>
  <c r="BB110" i="1"/>
  <c r="BS109" i="1"/>
  <c r="BR109" i="1"/>
  <c r="BQ109" i="1"/>
  <c r="BO109" i="1"/>
  <c r="BN109" i="1"/>
  <c r="BR110" i="1" s="1"/>
  <c r="BF109" i="1"/>
  <c r="BE109" i="1"/>
  <c r="BC109" i="1"/>
  <c r="BB109" i="1"/>
  <c r="BF110" i="1" s="1"/>
  <c r="BD110" i="1" s="1"/>
  <c r="BQ108" i="1"/>
  <c r="BO108" i="1"/>
  <c r="BN108" i="1"/>
  <c r="BE108" i="1"/>
  <c r="BC108" i="1"/>
  <c r="BB108" i="1"/>
  <c r="BQ107" i="1"/>
  <c r="BO107" i="1"/>
  <c r="BR108" i="1" s="1"/>
  <c r="BN107" i="1"/>
  <c r="BE107" i="1"/>
  <c r="BD107" i="1"/>
  <c r="BC107" i="1"/>
  <c r="BB107" i="1"/>
  <c r="BF108" i="1" s="1"/>
  <c r="BR106" i="1"/>
  <c r="BP106" i="1" s="1"/>
  <c r="BQ106" i="1"/>
  <c r="BO106" i="1"/>
  <c r="BN106" i="1"/>
  <c r="BE106" i="1"/>
  <c r="BC106" i="1"/>
  <c r="BB106" i="1"/>
  <c r="BF107" i="1" s="1"/>
  <c r="BQ105" i="1"/>
  <c r="BO105" i="1"/>
  <c r="BN105" i="1"/>
  <c r="BH105" i="1"/>
  <c r="BE105" i="1"/>
  <c r="BC105" i="1"/>
  <c r="BB105" i="1"/>
  <c r="BF106" i="1" s="1"/>
  <c r="BQ104" i="1"/>
  <c r="BO104" i="1"/>
  <c r="BN104" i="1"/>
  <c r="BH104" i="1"/>
  <c r="BE104" i="1"/>
  <c r="BC104" i="1"/>
  <c r="BB104" i="1"/>
  <c r="BF105" i="1" s="1"/>
  <c r="BD105" i="1" s="1"/>
  <c r="BQ103" i="1"/>
  <c r="BO103" i="1"/>
  <c r="BN103" i="1"/>
  <c r="BE103" i="1"/>
  <c r="BC103" i="1"/>
  <c r="BB103" i="1"/>
  <c r="BF104" i="1" s="1"/>
  <c r="BQ102" i="1"/>
  <c r="BO102" i="1"/>
  <c r="BN102" i="1"/>
  <c r="BH102" i="1"/>
  <c r="BF102" i="1"/>
  <c r="BG102" i="1" s="1"/>
  <c r="BI102" i="1" s="1"/>
  <c r="BE102" i="1"/>
  <c r="BC102" i="1"/>
  <c r="BB102" i="1"/>
  <c r="BF103" i="1" s="1"/>
  <c r="BD103" i="1" s="1"/>
  <c r="BQ101" i="1"/>
  <c r="BO101" i="1"/>
  <c r="BN101" i="1"/>
  <c r="BH101" i="1"/>
  <c r="BG101" i="1"/>
  <c r="BI101" i="1" s="1"/>
  <c r="BF101" i="1"/>
  <c r="BD101" i="1" s="1"/>
  <c r="BE101" i="1"/>
  <c r="BC101" i="1"/>
  <c r="BB101" i="1"/>
  <c r="BQ100" i="1"/>
  <c r="BO100" i="1"/>
  <c r="BN100" i="1"/>
  <c r="BH100" i="1"/>
  <c r="BE100" i="1"/>
  <c r="BC100" i="1"/>
  <c r="BB100" i="1"/>
  <c r="BQ99" i="1"/>
  <c r="BO99" i="1"/>
  <c r="BN99" i="1"/>
  <c r="BE99" i="1"/>
  <c r="BC99" i="1"/>
  <c r="BB99" i="1"/>
  <c r="BF100" i="1" s="1"/>
  <c r="BQ98" i="1"/>
  <c r="BO98" i="1"/>
  <c r="BN98" i="1"/>
  <c r="BF98" i="1"/>
  <c r="BE98" i="1"/>
  <c r="BF99" i="1" s="1"/>
  <c r="BD98" i="1"/>
  <c r="BC98" i="1"/>
  <c r="BB98" i="1"/>
  <c r="BQ97" i="1"/>
  <c r="BO97" i="1"/>
  <c r="BN97" i="1"/>
  <c r="BF97" i="1"/>
  <c r="BG97" i="1" s="1"/>
  <c r="BE97" i="1"/>
  <c r="BD97" i="1"/>
  <c r="BC97" i="1"/>
  <c r="BB97" i="1"/>
  <c r="BQ96" i="1"/>
  <c r="BR97" i="1" s="1"/>
  <c r="BO96" i="1"/>
  <c r="BN96" i="1"/>
  <c r="BF96" i="1"/>
  <c r="BH96" i="1" s="1"/>
  <c r="BE96" i="1"/>
  <c r="BD96" i="1"/>
  <c r="BC96" i="1"/>
  <c r="BB96" i="1"/>
  <c r="BQ95" i="1"/>
  <c r="BO95" i="1"/>
  <c r="BN95" i="1"/>
  <c r="BR96" i="1" s="1"/>
  <c r="BF95" i="1"/>
  <c r="BD95" i="1" s="1"/>
  <c r="BE95" i="1"/>
  <c r="BC95" i="1"/>
  <c r="BB95" i="1"/>
  <c r="BQ94" i="1"/>
  <c r="BO94" i="1"/>
  <c r="BN94" i="1"/>
  <c r="BE94" i="1"/>
  <c r="BC94" i="1"/>
  <c r="BB94" i="1"/>
  <c r="BQ93" i="1"/>
  <c r="BR94" i="1" s="1"/>
  <c r="BO93" i="1"/>
  <c r="BN93" i="1"/>
  <c r="BF93" i="1"/>
  <c r="BE93" i="1"/>
  <c r="BC93" i="1"/>
  <c r="BB93" i="1"/>
  <c r="BQ92" i="1"/>
  <c r="BO92" i="1"/>
  <c r="BN92" i="1"/>
  <c r="BE92" i="1"/>
  <c r="BC92" i="1"/>
  <c r="BB92" i="1"/>
  <c r="BQ91" i="1"/>
  <c r="BO91" i="1"/>
  <c r="BN91" i="1"/>
  <c r="BF91" i="1"/>
  <c r="BH91" i="1" s="1"/>
  <c r="BE91" i="1"/>
  <c r="BD91" i="1"/>
  <c r="BC91" i="1"/>
  <c r="BF92" i="1" s="1"/>
  <c r="BB91" i="1"/>
  <c r="BQ90" i="1"/>
  <c r="BO90" i="1"/>
  <c r="BN90" i="1"/>
  <c r="BR91" i="1" s="1"/>
  <c r="BF90" i="1"/>
  <c r="BG90" i="1" s="1"/>
  <c r="BE90" i="1"/>
  <c r="BD90" i="1"/>
  <c r="BC90" i="1"/>
  <c r="BB90" i="1"/>
  <c r="BQ89" i="1"/>
  <c r="BO89" i="1"/>
  <c r="BN89" i="1"/>
  <c r="BG89" i="1"/>
  <c r="BE89" i="1"/>
  <c r="BC89" i="1"/>
  <c r="BB89" i="1"/>
  <c r="BQ88" i="1"/>
  <c r="BO88" i="1"/>
  <c r="BN88" i="1"/>
  <c r="BE88" i="1"/>
  <c r="BC88" i="1"/>
  <c r="BB88" i="1"/>
  <c r="BF89" i="1" s="1"/>
  <c r="BQ87" i="1"/>
  <c r="BO87" i="1"/>
  <c r="BN87" i="1"/>
  <c r="BF87" i="1"/>
  <c r="BH87" i="1" s="1"/>
  <c r="BE87" i="1"/>
  <c r="BD87" i="1"/>
  <c r="BC87" i="1"/>
  <c r="BB87" i="1"/>
  <c r="BF88" i="1" s="1"/>
  <c r="BQ86" i="1"/>
  <c r="BO86" i="1"/>
  <c r="BN86" i="1"/>
  <c r="BF86" i="1"/>
  <c r="BG86" i="1" s="1"/>
  <c r="BE86" i="1"/>
  <c r="BC86" i="1"/>
  <c r="BB86" i="1"/>
  <c r="BS85" i="1"/>
  <c r="BQ85" i="1"/>
  <c r="BO85" i="1"/>
  <c r="BN85" i="1"/>
  <c r="BF85" i="1"/>
  <c r="BE85" i="1"/>
  <c r="BC85" i="1"/>
  <c r="BB85" i="1"/>
  <c r="BQ84" i="1"/>
  <c r="BO84" i="1"/>
  <c r="BN84" i="1"/>
  <c r="BR85" i="1" s="1"/>
  <c r="BE84" i="1"/>
  <c r="BC84" i="1"/>
  <c r="BB84" i="1"/>
  <c r="BU83" i="1"/>
  <c r="BT83" i="1"/>
  <c r="BS83" i="1"/>
  <c r="BR83" i="1"/>
  <c r="BQ83" i="1"/>
  <c r="BR84" i="1" s="1"/>
  <c r="BP83" i="1"/>
  <c r="BO83" i="1"/>
  <c r="BN83" i="1"/>
  <c r="BE83" i="1"/>
  <c r="BC83" i="1"/>
  <c r="BB83" i="1"/>
  <c r="BF84" i="1" s="1"/>
  <c r="BQ82" i="1"/>
  <c r="BO82" i="1"/>
  <c r="BN82" i="1"/>
  <c r="BF82" i="1"/>
  <c r="BH82" i="1" s="1"/>
  <c r="BE82" i="1"/>
  <c r="BF83" i="1" s="1"/>
  <c r="BD82" i="1"/>
  <c r="BC82" i="1"/>
  <c r="BB82" i="1"/>
  <c r="BQ81" i="1"/>
  <c r="BO81" i="1"/>
  <c r="BN81" i="1"/>
  <c r="BE81" i="1"/>
  <c r="BC81" i="1"/>
  <c r="BB81" i="1"/>
  <c r="BQ80" i="1"/>
  <c r="BO80" i="1"/>
  <c r="BN80" i="1"/>
  <c r="BE80" i="1"/>
  <c r="BC80" i="1"/>
  <c r="BB80" i="1"/>
  <c r="BF81" i="1" s="1"/>
  <c r="BQ79" i="1"/>
  <c r="BR80" i="1" s="1"/>
  <c r="BO79" i="1"/>
  <c r="BN79" i="1"/>
  <c r="BF79" i="1"/>
  <c r="BH79" i="1" s="1"/>
  <c r="BE79" i="1"/>
  <c r="BD79" i="1"/>
  <c r="BC79" i="1"/>
  <c r="BB79" i="1"/>
  <c r="BQ78" i="1"/>
  <c r="BP78" i="1"/>
  <c r="BO78" i="1"/>
  <c r="BN78" i="1"/>
  <c r="BE78" i="1"/>
  <c r="BC78" i="1"/>
  <c r="BB78" i="1"/>
  <c r="BQ77" i="1"/>
  <c r="BO77" i="1"/>
  <c r="BN77" i="1"/>
  <c r="BR78" i="1" s="1"/>
  <c r="BE77" i="1"/>
  <c r="BC77" i="1"/>
  <c r="BB77" i="1"/>
  <c r="BQ76" i="1"/>
  <c r="BO76" i="1"/>
  <c r="BN76" i="1"/>
  <c r="BF76" i="1"/>
  <c r="BE76" i="1"/>
  <c r="BC76" i="1"/>
  <c r="BB76" i="1"/>
  <c r="BQ75" i="1"/>
  <c r="BO75" i="1"/>
  <c r="BN75" i="1"/>
  <c r="BH75" i="1"/>
  <c r="BF75" i="1"/>
  <c r="BG75" i="1" s="1"/>
  <c r="BI75" i="1" s="1"/>
  <c r="BE75" i="1"/>
  <c r="BC75" i="1"/>
  <c r="BB75" i="1"/>
  <c r="BQ74" i="1"/>
  <c r="BO74" i="1"/>
  <c r="BN74" i="1"/>
  <c r="BE74" i="1"/>
  <c r="BC74" i="1"/>
  <c r="BB74" i="1"/>
  <c r="BQ73" i="1"/>
  <c r="BR74" i="1" s="1"/>
  <c r="BO73" i="1"/>
  <c r="BN73" i="1"/>
  <c r="BE73" i="1"/>
  <c r="BC73" i="1"/>
  <c r="BB73" i="1"/>
  <c r="BF74" i="1" s="1"/>
  <c r="BQ72" i="1"/>
  <c r="BO72" i="1"/>
  <c r="BN72" i="1"/>
  <c r="BE72" i="1"/>
  <c r="BC72" i="1"/>
  <c r="BB72" i="1"/>
  <c r="BF73" i="1" s="1"/>
  <c r="BQ71" i="1"/>
  <c r="BO71" i="1"/>
  <c r="BN71" i="1"/>
  <c r="BE71" i="1"/>
  <c r="BD71" i="1"/>
  <c r="BC71" i="1"/>
  <c r="BB71" i="1"/>
  <c r="BF72" i="1" s="1"/>
  <c r="BS70" i="1"/>
  <c r="BU70" i="1" s="1"/>
  <c r="BQ70" i="1"/>
  <c r="BP70" i="1"/>
  <c r="BO70" i="1"/>
  <c r="BN70" i="1"/>
  <c r="BE70" i="1"/>
  <c r="BC70" i="1"/>
  <c r="BB70" i="1"/>
  <c r="BF71" i="1" s="1"/>
  <c r="BQ69" i="1"/>
  <c r="BO69" i="1"/>
  <c r="BN69" i="1"/>
  <c r="BR70" i="1" s="1"/>
  <c r="BT70" i="1" s="1"/>
  <c r="BE69" i="1"/>
  <c r="BC69" i="1"/>
  <c r="BB69" i="1"/>
  <c r="BF70" i="1" s="1"/>
  <c r="BQ68" i="1"/>
  <c r="BO68" i="1"/>
  <c r="BN68" i="1"/>
  <c r="BE68" i="1"/>
  <c r="BC68" i="1"/>
  <c r="BB68" i="1"/>
  <c r="BF69" i="1" s="1"/>
  <c r="BD69" i="1" s="1"/>
  <c r="BQ67" i="1"/>
  <c r="BO67" i="1"/>
  <c r="BN67" i="1"/>
  <c r="BE67" i="1"/>
  <c r="BC67" i="1"/>
  <c r="BB67" i="1"/>
  <c r="BF68" i="1" s="1"/>
  <c r="BQ66" i="1"/>
  <c r="BO66" i="1"/>
  <c r="BN66" i="1"/>
  <c r="BE66" i="1"/>
  <c r="BC66" i="1"/>
  <c r="BB66" i="1"/>
  <c r="BQ65" i="1"/>
  <c r="BO65" i="1"/>
  <c r="BN65" i="1"/>
  <c r="BR66" i="1" s="1"/>
  <c r="BF65" i="1"/>
  <c r="BH65" i="1" s="1"/>
  <c r="BE65" i="1"/>
  <c r="BD65" i="1"/>
  <c r="BC65" i="1"/>
  <c r="BB65" i="1"/>
  <c r="BQ64" i="1"/>
  <c r="BO64" i="1"/>
  <c r="BN64" i="1"/>
  <c r="BF64" i="1"/>
  <c r="BD64" i="1" s="1"/>
  <c r="BE64" i="1"/>
  <c r="BC64" i="1"/>
  <c r="BB64" i="1"/>
  <c r="BQ63" i="1"/>
  <c r="BO63" i="1"/>
  <c r="BN63" i="1"/>
  <c r="BE63" i="1"/>
  <c r="BC63" i="1"/>
  <c r="BB63" i="1"/>
  <c r="BQ62" i="1"/>
  <c r="BO62" i="1"/>
  <c r="BN62" i="1"/>
  <c r="BE62" i="1"/>
  <c r="BC62" i="1"/>
  <c r="BB62" i="1"/>
  <c r="BF63" i="1" s="1"/>
  <c r="BQ61" i="1"/>
  <c r="BO61" i="1"/>
  <c r="BN61" i="1"/>
  <c r="BE61" i="1"/>
  <c r="BC61" i="1"/>
  <c r="BB61" i="1"/>
  <c r="BF62" i="1" s="1"/>
  <c r="BQ60" i="1"/>
  <c r="BO60" i="1"/>
  <c r="BN60" i="1"/>
  <c r="BE60" i="1"/>
  <c r="BC60" i="1"/>
  <c r="BB60" i="1"/>
  <c r="BF61" i="1" s="1"/>
  <c r="BQ59" i="1"/>
  <c r="BO59" i="1"/>
  <c r="BN59" i="1"/>
  <c r="BE59" i="1"/>
  <c r="BC59" i="1"/>
  <c r="BB59" i="1"/>
  <c r="BF60" i="1" s="1"/>
  <c r="BQ58" i="1"/>
  <c r="BO58" i="1"/>
  <c r="BN58" i="1"/>
  <c r="BE58" i="1"/>
  <c r="BC58" i="1"/>
  <c r="BB58" i="1"/>
  <c r="BF59" i="1" s="1"/>
  <c r="BQ57" i="1"/>
  <c r="BO57" i="1"/>
  <c r="BN57" i="1"/>
  <c r="BE57" i="1"/>
  <c r="BC57" i="1"/>
  <c r="BB57" i="1"/>
  <c r="BF58" i="1" s="1"/>
  <c r="BQ56" i="1"/>
  <c r="BO56" i="1"/>
  <c r="BN56" i="1"/>
  <c r="BR57" i="1" s="1"/>
  <c r="BS57" i="1" s="1"/>
  <c r="BE56" i="1"/>
  <c r="BC56" i="1"/>
  <c r="BB56" i="1"/>
  <c r="BQ55" i="1"/>
  <c r="BP55" i="1"/>
  <c r="BO55" i="1"/>
  <c r="BN55" i="1"/>
  <c r="BR56" i="1" s="1"/>
  <c r="BF55" i="1"/>
  <c r="BE55" i="1"/>
  <c r="BD55" i="1"/>
  <c r="BC55" i="1"/>
  <c r="BB55" i="1"/>
  <c r="BF56" i="1" s="1"/>
  <c r="BQ54" i="1"/>
  <c r="BR55" i="1" s="1"/>
  <c r="BO54" i="1"/>
  <c r="BN54" i="1"/>
  <c r="BF54" i="1"/>
  <c r="BD54" i="1" s="1"/>
  <c r="BE54" i="1"/>
  <c r="BC54" i="1"/>
  <c r="BB54" i="1"/>
  <c r="BQ53" i="1"/>
  <c r="BO53" i="1"/>
  <c r="BN53" i="1"/>
  <c r="BF53" i="1"/>
  <c r="BE53" i="1"/>
  <c r="BC53" i="1"/>
  <c r="BB53" i="1"/>
  <c r="BQ52" i="1"/>
  <c r="BO52" i="1"/>
  <c r="BN52" i="1"/>
  <c r="BG52" i="1"/>
  <c r="BI52" i="1" s="1"/>
  <c r="BE52" i="1"/>
  <c r="BC52" i="1"/>
  <c r="BB52" i="1"/>
  <c r="BQ51" i="1"/>
  <c r="BO51" i="1"/>
  <c r="BN51" i="1"/>
  <c r="BR52" i="1" s="1"/>
  <c r="BE51" i="1"/>
  <c r="BC51" i="1"/>
  <c r="BB51" i="1"/>
  <c r="BF52" i="1" s="1"/>
  <c r="BH52" i="1" s="1"/>
  <c r="BQ50" i="1"/>
  <c r="BO50" i="1"/>
  <c r="BN50" i="1"/>
  <c r="BE50" i="1"/>
  <c r="BC50" i="1"/>
  <c r="BB50" i="1"/>
  <c r="BF51" i="1" s="1"/>
  <c r="BQ49" i="1"/>
  <c r="BO49" i="1"/>
  <c r="BN49" i="1"/>
  <c r="BE49" i="1"/>
  <c r="BC49" i="1"/>
  <c r="BB49" i="1"/>
  <c r="BF50" i="1" s="1"/>
  <c r="BQ48" i="1"/>
  <c r="BO48" i="1"/>
  <c r="BN48" i="1"/>
  <c r="BE48" i="1"/>
  <c r="BC48" i="1"/>
  <c r="BB48" i="1"/>
  <c r="BF49" i="1" s="1"/>
  <c r="BT47" i="1"/>
  <c r="BQ47" i="1"/>
  <c r="BO47" i="1"/>
  <c r="BN47" i="1"/>
  <c r="BE47" i="1"/>
  <c r="BC47" i="1"/>
  <c r="BB47" i="1"/>
  <c r="BF48" i="1" s="1"/>
  <c r="BQ46" i="1"/>
  <c r="BO46" i="1"/>
  <c r="BN46" i="1"/>
  <c r="BR47" i="1" s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R45" i="1" s="1"/>
  <c r="BF44" i="1"/>
  <c r="BH44" i="1" s="1"/>
  <c r="BE44" i="1"/>
  <c r="BD44" i="1"/>
  <c r="BC44" i="1"/>
  <c r="BB44" i="1"/>
  <c r="BQ43" i="1"/>
  <c r="BO43" i="1"/>
  <c r="BN43" i="1"/>
  <c r="BF43" i="1"/>
  <c r="BD43" i="1" s="1"/>
  <c r="BE43" i="1"/>
  <c r="BC43" i="1"/>
  <c r="BB43" i="1"/>
  <c r="BQ42" i="1"/>
  <c r="BO42" i="1"/>
  <c r="BN42" i="1"/>
  <c r="BF42" i="1"/>
  <c r="BE42" i="1"/>
  <c r="BC42" i="1"/>
  <c r="BB42" i="1"/>
  <c r="BR41" i="1"/>
  <c r="BT41" i="1" s="1"/>
  <c r="BQ41" i="1"/>
  <c r="BP41" i="1"/>
  <c r="BO41" i="1"/>
  <c r="BN41" i="1"/>
  <c r="BE41" i="1"/>
  <c r="BC41" i="1"/>
  <c r="BB41" i="1"/>
  <c r="BQ40" i="1"/>
  <c r="BO40" i="1"/>
  <c r="BN40" i="1"/>
  <c r="BE40" i="1"/>
  <c r="BC40" i="1"/>
  <c r="BB40" i="1"/>
  <c r="BF41" i="1" s="1"/>
  <c r="BQ39" i="1"/>
  <c r="BP39" i="1"/>
  <c r="BO39" i="1"/>
  <c r="BN39" i="1"/>
  <c r="BR40" i="1" s="1"/>
  <c r="BE39" i="1"/>
  <c r="BC39" i="1"/>
  <c r="BB39" i="1"/>
  <c r="BF40" i="1" s="1"/>
  <c r="BR38" i="1"/>
  <c r="BP38" i="1" s="1"/>
  <c r="BQ38" i="1"/>
  <c r="BR39" i="1" s="1"/>
  <c r="BS39" i="1" s="1"/>
  <c r="BO38" i="1"/>
  <c r="BN38" i="1"/>
  <c r="BE38" i="1"/>
  <c r="BC38" i="1"/>
  <c r="BB38" i="1"/>
  <c r="BF39" i="1" s="1"/>
  <c r="BR37" i="1"/>
  <c r="BS37" i="1" s="1"/>
  <c r="BQ37" i="1"/>
  <c r="BO37" i="1"/>
  <c r="BN37" i="1"/>
  <c r="BE37" i="1"/>
  <c r="BC37" i="1"/>
  <c r="BB37" i="1"/>
  <c r="BF38" i="1" s="1"/>
  <c r="BT36" i="1"/>
  <c r="BQ36" i="1"/>
  <c r="BO36" i="1"/>
  <c r="BN36" i="1"/>
  <c r="BE36" i="1"/>
  <c r="BC36" i="1"/>
  <c r="BB36" i="1"/>
  <c r="BF37" i="1" s="1"/>
  <c r="BQ35" i="1"/>
  <c r="BO35" i="1"/>
  <c r="BN35" i="1"/>
  <c r="BR36" i="1" s="1"/>
  <c r="BS36" i="1" s="1"/>
  <c r="BF35" i="1"/>
  <c r="BE35" i="1"/>
  <c r="BC35" i="1"/>
  <c r="BB35" i="1"/>
  <c r="BF36" i="1" s="1"/>
  <c r="BQ34" i="1"/>
  <c r="BO34" i="1"/>
  <c r="BN34" i="1"/>
  <c r="BR35" i="1" s="1"/>
  <c r="BE34" i="1"/>
  <c r="BC34" i="1"/>
  <c r="BB34" i="1"/>
  <c r="BQ33" i="1"/>
  <c r="BR34" i="1" s="1"/>
  <c r="BO33" i="1"/>
  <c r="BN33" i="1"/>
  <c r="BF33" i="1"/>
  <c r="BH33" i="1" s="1"/>
  <c r="BE33" i="1"/>
  <c r="BF34" i="1" s="1"/>
  <c r="BD33" i="1"/>
  <c r="BC33" i="1"/>
  <c r="BB33" i="1"/>
  <c r="BQ32" i="1"/>
  <c r="BO32" i="1"/>
  <c r="BN32" i="1"/>
  <c r="BR33" i="1" s="1"/>
  <c r="BF32" i="1"/>
  <c r="BG32" i="1" s="1"/>
  <c r="BE32" i="1"/>
  <c r="BD32" i="1"/>
  <c r="BC32" i="1"/>
  <c r="BB32" i="1"/>
  <c r="BQ31" i="1"/>
  <c r="BR32" i="1" s="1"/>
  <c r="BO31" i="1"/>
  <c r="BN31" i="1"/>
  <c r="BG31" i="1"/>
  <c r="BI31" i="1" s="1"/>
  <c r="BE31" i="1"/>
  <c r="BC31" i="1"/>
  <c r="BB31" i="1"/>
  <c r="BQ30" i="1"/>
  <c r="BO30" i="1"/>
  <c r="BN30" i="1"/>
  <c r="BR31" i="1" s="1"/>
  <c r="BE30" i="1"/>
  <c r="BC30" i="1"/>
  <c r="BB30" i="1"/>
  <c r="BF31" i="1" s="1"/>
  <c r="BH31" i="1" s="1"/>
  <c r="BQ29" i="1"/>
  <c r="BP29" i="1"/>
  <c r="BO29" i="1"/>
  <c r="BR30" i="1" s="1"/>
  <c r="BN29" i="1"/>
  <c r="BE29" i="1"/>
  <c r="BC29" i="1"/>
  <c r="BB29" i="1"/>
  <c r="BQ28" i="1"/>
  <c r="BO28" i="1"/>
  <c r="BN28" i="1"/>
  <c r="BR29" i="1" s="1"/>
  <c r="BS29" i="1" s="1"/>
  <c r="BE28" i="1"/>
  <c r="BC28" i="1"/>
  <c r="BB28" i="1"/>
  <c r="BQ27" i="1"/>
  <c r="BO27" i="1"/>
  <c r="BN27" i="1"/>
  <c r="BE27" i="1"/>
  <c r="BC27" i="1"/>
  <c r="BB27" i="1"/>
  <c r="BF28" i="1" s="1"/>
  <c r="BQ26" i="1"/>
  <c r="BR27" i="1" s="1"/>
  <c r="BO26" i="1"/>
  <c r="BN26" i="1"/>
  <c r="BE26" i="1"/>
  <c r="BC26" i="1"/>
  <c r="BB26" i="1"/>
  <c r="BQ25" i="1"/>
  <c r="BO25" i="1"/>
  <c r="BN25" i="1"/>
  <c r="BE25" i="1"/>
  <c r="BC25" i="1"/>
  <c r="BB25" i="1"/>
  <c r="BQ24" i="1"/>
  <c r="BO24" i="1"/>
  <c r="BN24" i="1"/>
  <c r="BE24" i="1"/>
  <c r="BC24" i="1"/>
  <c r="BB24" i="1"/>
  <c r="BF25" i="1" s="1"/>
  <c r="BQ23" i="1"/>
  <c r="BO23" i="1"/>
  <c r="BN23" i="1"/>
  <c r="BR24" i="1" s="1"/>
  <c r="BE23" i="1"/>
  <c r="BC23" i="1"/>
  <c r="BB23" i="1"/>
  <c r="BT22" i="1"/>
  <c r="BR22" i="1"/>
  <c r="BS22" i="1" s="1"/>
  <c r="BU22" i="1" s="1"/>
  <c r="BQ22" i="1"/>
  <c r="BP22" i="1"/>
  <c r="BO22" i="1"/>
  <c r="BN22" i="1"/>
  <c r="BF22" i="1"/>
  <c r="BH22" i="1" s="1"/>
  <c r="BE22" i="1"/>
  <c r="BF23" i="1" s="1"/>
  <c r="BD22" i="1"/>
  <c r="BC22" i="1"/>
  <c r="BB22" i="1"/>
  <c r="BQ21" i="1"/>
  <c r="BE21" i="1"/>
  <c r="BT20" i="1"/>
  <c r="BS20" i="1"/>
  <c r="BH20" i="1"/>
  <c r="BG20" i="1"/>
  <c r="BG41" i="1" l="1"/>
  <c r="BH41" i="1"/>
  <c r="BD41" i="1"/>
  <c r="BG83" i="1"/>
  <c r="BH83" i="1"/>
  <c r="BD83" i="1"/>
  <c r="BG56" i="1"/>
  <c r="BD56" i="1"/>
  <c r="BF57" i="1" s="1"/>
  <c r="BH56" i="1"/>
  <c r="BP31" i="1"/>
  <c r="BT31" i="1"/>
  <c r="BS31" i="1"/>
  <c r="BU31" i="1" s="1"/>
  <c r="BH58" i="1"/>
  <c r="BG58" i="1"/>
  <c r="BI58" i="1" s="1"/>
  <c r="BD58" i="1"/>
  <c r="BH23" i="1"/>
  <c r="BG23" i="1"/>
  <c r="BI23" i="1" s="1"/>
  <c r="BD23" i="1"/>
  <c r="BF24" i="1" s="1"/>
  <c r="BG25" i="1"/>
  <c r="BH25" i="1"/>
  <c r="BD25" i="1"/>
  <c r="BP52" i="1"/>
  <c r="BT52" i="1"/>
  <c r="BS52" i="1"/>
  <c r="BU52" i="1" s="1"/>
  <c r="BH36" i="1"/>
  <c r="BG36" i="1"/>
  <c r="BI36" i="1" s="1"/>
  <c r="BX36" i="1" s="1"/>
  <c r="BD36" i="1"/>
  <c r="BP27" i="1"/>
  <c r="BT27" i="1"/>
  <c r="BS27" i="1"/>
  <c r="BU27" i="1" s="1"/>
  <c r="BX31" i="1"/>
  <c r="BH88" i="1"/>
  <c r="BG88" i="1"/>
  <c r="BD88" i="1"/>
  <c r="BG34" i="1"/>
  <c r="BH34" i="1"/>
  <c r="BD34" i="1"/>
  <c r="BH68" i="1"/>
  <c r="BG68" i="1"/>
  <c r="BI68" i="1" s="1"/>
  <c r="BD68" i="1"/>
  <c r="BF26" i="1"/>
  <c r="BT30" i="1"/>
  <c r="BS30" i="1"/>
  <c r="BU30" i="1" s="1"/>
  <c r="BP30" i="1"/>
  <c r="BG92" i="1"/>
  <c r="BI92" i="1" s="1"/>
  <c r="BH92" i="1"/>
  <c r="BD92" i="1"/>
  <c r="BH137" i="1"/>
  <c r="BG137" i="1"/>
  <c r="BI137" i="1" s="1"/>
  <c r="BD137" i="1"/>
  <c r="BX52" i="1"/>
  <c r="BU37" i="1"/>
  <c r="BG81" i="1"/>
  <c r="BI81" i="1" s="1"/>
  <c r="BD81" i="1"/>
  <c r="BH81" i="1"/>
  <c r="BG148" i="1"/>
  <c r="BI148" i="1" s="1"/>
  <c r="BH148" i="1"/>
  <c r="BD148" i="1"/>
  <c r="BG35" i="1"/>
  <c r="BI35" i="1" s="1"/>
  <c r="BD35" i="1"/>
  <c r="BT74" i="1"/>
  <c r="BS74" i="1"/>
  <c r="BU74" i="1" s="1"/>
  <c r="BG93" i="1"/>
  <c r="BH93" i="1"/>
  <c r="BI151" i="1"/>
  <c r="BX151" i="1" s="1"/>
  <c r="BG155" i="1"/>
  <c r="BD155" i="1"/>
  <c r="BH35" i="1"/>
  <c r="BG51" i="1"/>
  <c r="BD51" i="1"/>
  <c r="BH51" i="1"/>
  <c r="BG109" i="1"/>
  <c r="BD109" i="1"/>
  <c r="BG118" i="1"/>
  <c r="BD118" i="1"/>
  <c r="BG124" i="1"/>
  <c r="BH124" i="1"/>
  <c r="BD124" i="1"/>
  <c r="BH155" i="1"/>
  <c r="BH40" i="1"/>
  <c r="BG40" i="1"/>
  <c r="BI40" i="1" s="1"/>
  <c r="BD40" i="1"/>
  <c r="BT78" i="1"/>
  <c r="BS78" i="1"/>
  <c r="BU78" i="1" s="1"/>
  <c r="BR79" i="1"/>
  <c r="BG95" i="1"/>
  <c r="BH109" i="1"/>
  <c r="BH118" i="1"/>
  <c r="BI134" i="1"/>
  <c r="BX134" i="1" s="1"/>
  <c r="BS32" i="1"/>
  <c r="BU32" i="1" s="1"/>
  <c r="BT32" i="1"/>
  <c r="BP32" i="1"/>
  <c r="BR53" i="1"/>
  <c r="BH61" i="1"/>
  <c r="BD61" i="1"/>
  <c r="BG61" i="1"/>
  <c r="BI61" i="1" s="1"/>
  <c r="BH71" i="1"/>
  <c r="BG71" i="1"/>
  <c r="BI71" i="1" s="1"/>
  <c r="BH89" i="1"/>
  <c r="BI89" i="1" s="1"/>
  <c r="BD89" i="1"/>
  <c r="BT94" i="1"/>
  <c r="BS94" i="1"/>
  <c r="BU94" i="1" s="1"/>
  <c r="BP94" i="1"/>
  <c r="BP97" i="1"/>
  <c r="BT97" i="1"/>
  <c r="BS97" i="1"/>
  <c r="BU97" i="1" s="1"/>
  <c r="BG99" i="1"/>
  <c r="BH99" i="1"/>
  <c r="BD99" i="1"/>
  <c r="BP110" i="1"/>
  <c r="BT110" i="1"/>
  <c r="BS110" i="1"/>
  <c r="BU110" i="1" s="1"/>
  <c r="BX110" i="1" s="1"/>
  <c r="BH134" i="1"/>
  <c r="BP162" i="1"/>
  <c r="BS162" i="1"/>
  <c r="BU162" i="1" s="1"/>
  <c r="BS41" i="1"/>
  <c r="BU41" i="1" s="1"/>
  <c r="BG55" i="1"/>
  <c r="BI55" i="1" s="1"/>
  <c r="BH55" i="1"/>
  <c r="BG85" i="1"/>
  <c r="BD85" i="1"/>
  <c r="BH98" i="1"/>
  <c r="BG98" i="1"/>
  <c r="BI98" i="1" s="1"/>
  <c r="BG147" i="1"/>
  <c r="BI147" i="1" s="1"/>
  <c r="BF29" i="1"/>
  <c r="BG39" i="1"/>
  <c r="BH39" i="1"/>
  <c r="BD39" i="1"/>
  <c r="BG44" i="1"/>
  <c r="BI44" i="1" s="1"/>
  <c r="BH50" i="1"/>
  <c r="BG50" i="1"/>
  <c r="BD50" i="1"/>
  <c r="BT56" i="1"/>
  <c r="BS56" i="1"/>
  <c r="BU56" i="1" s="1"/>
  <c r="BP56" i="1"/>
  <c r="BG60" i="1"/>
  <c r="BH60" i="1"/>
  <c r="BD60" i="1"/>
  <c r="BG65" i="1"/>
  <c r="BI65" i="1" s="1"/>
  <c r="BG70" i="1"/>
  <c r="BD70" i="1"/>
  <c r="BH70" i="1"/>
  <c r="BD84" i="1"/>
  <c r="BH84" i="1"/>
  <c r="BG84" i="1"/>
  <c r="BS106" i="1"/>
  <c r="BR132" i="1"/>
  <c r="BH147" i="1"/>
  <c r="BG154" i="1"/>
  <c r="BI154" i="1" s="1"/>
  <c r="BX154" i="1" s="1"/>
  <c r="BT35" i="1"/>
  <c r="BS35" i="1"/>
  <c r="BU35" i="1" s="1"/>
  <c r="BP35" i="1"/>
  <c r="BP40" i="1"/>
  <c r="BS40" i="1"/>
  <c r="BT40" i="1"/>
  <c r="BG48" i="1"/>
  <c r="BI48" i="1" s="1"/>
  <c r="BH48" i="1"/>
  <c r="BG49" i="1"/>
  <c r="BI49" i="1" s="1"/>
  <c r="BD49" i="1"/>
  <c r="BH49" i="1"/>
  <c r="BH59" i="1"/>
  <c r="BG59" i="1"/>
  <c r="BI59" i="1" s="1"/>
  <c r="BT106" i="1"/>
  <c r="BP131" i="1"/>
  <c r="BT131" i="1"/>
  <c r="BS131" i="1"/>
  <c r="BU131" i="1" s="1"/>
  <c r="BG141" i="1"/>
  <c r="BH141" i="1"/>
  <c r="BR153" i="1"/>
  <c r="BH154" i="1"/>
  <c r="BP161" i="1"/>
  <c r="BT161" i="1"/>
  <c r="BS161" i="1"/>
  <c r="BU161" i="1" s="1"/>
  <c r="BX161" i="1" s="1"/>
  <c r="BG22" i="1"/>
  <c r="BI22" i="1" s="1"/>
  <c r="BG28" i="1"/>
  <c r="BD28" i="1"/>
  <c r="BH28" i="1"/>
  <c r="BG33" i="1"/>
  <c r="BI33" i="1" s="1"/>
  <c r="BH38" i="1"/>
  <c r="BG38" i="1"/>
  <c r="BI38" i="1" s="1"/>
  <c r="BD38" i="1"/>
  <c r="BG43" i="1"/>
  <c r="BI43" i="1" s="1"/>
  <c r="BG54" i="1"/>
  <c r="BI54" i="1" s="1"/>
  <c r="BD59" i="1"/>
  <c r="BG64" i="1"/>
  <c r="BP66" i="1"/>
  <c r="BT66" i="1"/>
  <c r="BS66" i="1"/>
  <c r="BU66" i="1" s="1"/>
  <c r="BG111" i="1"/>
  <c r="BD111" i="1"/>
  <c r="BF123" i="1"/>
  <c r="BD151" i="1"/>
  <c r="BP152" i="1"/>
  <c r="BT152" i="1"/>
  <c r="BS152" i="1"/>
  <c r="BU152" i="1" s="1"/>
  <c r="BT158" i="1"/>
  <c r="BP158" i="1"/>
  <c r="BR159" i="1" s="1"/>
  <c r="BS158" i="1"/>
  <c r="BU158" i="1" s="1"/>
  <c r="BG159" i="1"/>
  <c r="BD159" i="1"/>
  <c r="BU29" i="1"/>
  <c r="BH37" i="1"/>
  <c r="BG37" i="1"/>
  <c r="BI37" i="1" s="1"/>
  <c r="BH43" i="1"/>
  <c r="BD48" i="1"/>
  <c r="BH54" i="1"/>
  <c r="BH64" i="1"/>
  <c r="BG74" i="1"/>
  <c r="BI74" i="1" s="1"/>
  <c r="BX74" i="1" s="1"/>
  <c r="BD74" i="1"/>
  <c r="BH74" i="1"/>
  <c r="BG79" i="1"/>
  <c r="BI79" i="1" s="1"/>
  <c r="BG91" i="1"/>
  <c r="BI91" i="1" s="1"/>
  <c r="BD108" i="1"/>
  <c r="BH108" i="1"/>
  <c r="BG108" i="1"/>
  <c r="BI108" i="1" s="1"/>
  <c r="BH111" i="1"/>
  <c r="BR113" i="1"/>
  <c r="BH117" i="1"/>
  <c r="BG117" i="1"/>
  <c r="BI117" i="1" s="1"/>
  <c r="BG130" i="1"/>
  <c r="BI130" i="1" s="1"/>
  <c r="BG138" i="1"/>
  <c r="BI138" i="1" s="1"/>
  <c r="BD138" i="1"/>
  <c r="BH144" i="1"/>
  <c r="BG144" i="1"/>
  <c r="BI144" i="1" s="1"/>
  <c r="BD144" i="1"/>
  <c r="BP145" i="1"/>
  <c r="BR146" i="1" s="1"/>
  <c r="BT145" i="1"/>
  <c r="BS145" i="1"/>
  <c r="BU145" i="1" s="1"/>
  <c r="BT157" i="1"/>
  <c r="BP157" i="1"/>
  <c r="BH159" i="1"/>
  <c r="BP24" i="1"/>
  <c r="BR25" i="1" s="1"/>
  <c r="BS24" i="1"/>
  <c r="BU24" i="1" s="1"/>
  <c r="BT24" i="1"/>
  <c r="BT29" i="1"/>
  <c r="BD37" i="1"/>
  <c r="BG42" i="1"/>
  <c r="BD42" i="1"/>
  <c r="BG53" i="1"/>
  <c r="BD53" i="1"/>
  <c r="BG63" i="1"/>
  <c r="BD63" i="1"/>
  <c r="BH63" i="1"/>
  <c r="BH97" i="1"/>
  <c r="BI97" i="1" s="1"/>
  <c r="BX97" i="1" s="1"/>
  <c r="BG100" i="1"/>
  <c r="BI100" i="1" s="1"/>
  <c r="BD100" i="1"/>
  <c r="BH114" i="1"/>
  <c r="BG114" i="1"/>
  <c r="BI114" i="1" s="1"/>
  <c r="BD114" i="1"/>
  <c r="BG122" i="1"/>
  <c r="BH151" i="1"/>
  <c r="BS157" i="1"/>
  <c r="BH32" i="1"/>
  <c r="BI32" i="1" s="1"/>
  <c r="BX32" i="1" s="1"/>
  <c r="BT39" i="1"/>
  <c r="BU39" i="1" s="1"/>
  <c r="BH42" i="1"/>
  <c r="BH53" i="1"/>
  <c r="BT85" i="1"/>
  <c r="BU85" i="1" s="1"/>
  <c r="BP85" i="1"/>
  <c r="BG87" i="1"/>
  <c r="BI87" i="1" s="1"/>
  <c r="BH119" i="1"/>
  <c r="BG119" i="1"/>
  <c r="BI119" i="1" s="1"/>
  <c r="BD119" i="1"/>
  <c r="BH122" i="1"/>
  <c r="BR139" i="1"/>
  <c r="BH143" i="1"/>
  <c r="BI143" i="1" s="1"/>
  <c r="BH73" i="1"/>
  <c r="BG73" i="1"/>
  <c r="BI73" i="1" s="1"/>
  <c r="BD73" i="1"/>
  <c r="BG82" i="1"/>
  <c r="BI82" i="1" s="1"/>
  <c r="BR95" i="1"/>
  <c r="BG127" i="1"/>
  <c r="BI127" i="1" s="1"/>
  <c r="BD127" i="1"/>
  <c r="BG153" i="1"/>
  <c r="BD153" i="1"/>
  <c r="BH153" i="1"/>
  <c r="BT37" i="1"/>
  <c r="BP37" i="1"/>
  <c r="BG113" i="1"/>
  <c r="BI113" i="1" s="1"/>
  <c r="BD113" i="1"/>
  <c r="BH86" i="1"/>
  <c r="BI86" i="1" s="1"/>
  <c r="BG106" i="1"/>
  <c r="BH106" i="1"/>
  <c r="BD106" i="1"/>
  <c r="BH113" i="1"/>
  <c r="BF145" i="1"/>
  <c r="BG76" i="1"/>
  <c r="BH76" i="1"/>
  <c r="BD76" i="1"/>
  <c r="BH95" i="1"/>
  <c r="BG69" i="1"/>
  <c r="BH69" i="1"/>
  <c r="BH85" i="1"/>
  <c r="BP45" i="1"/>
  <c r="BT45" i="1"/>
  <c r="BS45" i="1"/>
  <c r="BU45" i="1" s="1"/>
  <c r="BS38" i="1"/>
  <c r="BG62" i="1"/>
  <c r="BH62" i="1"/>
  <c r="BD62" i="1"/>
  <c r="BD86" i="1"/>
  <c r="BD93" i="1"/>
  <c r="BF94" i="1" s="1"/>
  <c r="BG103" i="1"/>
  <c r="BI103" i="1" s="1"/>
  <c r="BH107" i="1"/>
  <c r="BG107" i="1"/>
  <c r="BH127" i="1"/>
  <c r="BD129" i="1"/>
  <c r="BH129" i="1"/>
  <c r="BT136" i="1"/>
  <c r="BP136" i="1"/>
  <c r="BS136" i="1"/>
  <c r="BU136" i="1" s="1"/>
  <c r="BG146" i="1"/>
  <c r="BD146" i="1"/>
  <c r="BH146" i="1"/>
  <c r="BT162" i="1"/>
  <c r="BR23" i="1"/>
  <c r="BP33" i="1"/>
  <c r="BS33" i="1"/>
  <c r="BT33" i="1"/>
  <c r="BT34" i="1"/>
  <c r="BS34" i="1"/>
  <c r="BU34" i="1" s="1"/>
  <c r="BP34" i="1"/>
  <c r="BT38" i="1"/>
  <c r="BR42" i="1"/>
  <c r="BT55" i="1"/>
  <c r="BS55" i="1"/>
  <c r="BU55" i="1" s="1"/>
  <c r="BR65" i="1"/>
  <c r="BH72" i="1"/>
  <c r="BG72" i="1"/>
  <c r="BD72" i="1"/>
  <c r="BP74" i="1"/>
  <c r="BR75" i="1" s="1"/>
  <c r="BP80" i="1"/>
  <c r="BT80" i="1"/>
  <c r="BS80" i="1"/>
  <c r="BU80" i="1" s="1"/>
  <c r="BP84" i="1"/>
  <c r="BT84" i="1"/>
  <c r="BS84" i="1"/>
  <c r="BU84" i="1" s="1"/>
  <c r="BH90" i="1"/>
  <c r="BI90" i="1" s="1"/>
  <c r="BG96" i="1"/>
  <c r="BI96" i="1" s="1"/>
  <c r="BH103" i="1"/>
  <c r="BT108" i="1"/>
  <c r="BS108" i="1"/>
  <c r="BU108" i="1" s="1"/>
  <c r="BP108" i="1"/>
  <c r="BG129" i="1"/>
  <c r="BP112" i="1"/>
  <c r="BT112" i="1"/>
  <c r="BG132" i="1"/>
  <c r="BD132" i="1"/>
  <c r="BH132" i="1"/>
  <c r="BU57" i="1"/>
  <c r="BR81" i="1"/>
  <c r="BR92" i="1"/>
  <c r="BP96" i="1"/>
  <c r="BT96" i="1"/>
  <c r="BS96" i="1"/>
  <c r="BG125" i="1"/>
  <c r="BD125" i="1"/>
  <c r="BF126" i="1" s="1"/>
  <c r="BH125" i="1"/>
  <c r="BP134" i="1"/>
  <c r="BT134" i="1"/>
  <c r="BS134" i="1"/>
  <c r="BU134" i="1" s="1"/>
  <c r="BG136" i="1"/>
  <c r="BI136" i="1" s="1"/>
  <c r="BX136" i="1" s="1"/>
  <c r="BG150" i="1"/>
  <c r="BI150" i="1" s="1"/>
  <c r="BP155" i="1"/>
  <c r="BT155" i="1"/>
  <c r="BS155" i="1"/>
  <c r="BU155" i="1" s="1"/>
  <c r="BT164" i="1"/>
  <c r="BP164" i="1"/>
  <c r="BR165" i="1" s="1"/>
  <c r="BU36" i="1"/>
  <c r="BR67" i="1"/>
  <c r="BR86" i="1"/>
  <c r="BP91" i="1"/>
  <c r="BS91" i="1"/>
  <c r="BT91" i="1"/>
  <c r="BG104" i="1"/>
  <c r="BI104" i="1" s="1"/>
  <c r="BD104" i="1"/>
  <c r="BR111" i="1"/>
  <c r="BS112" i="1"/>
  <c r="BU112" i="1" s="1"/>
  <c r="BX112" i="1" s="1"/>
  <c r="BG116" i="1"/>
  <c r="BG120" i="1"/>
  <c r="BI120" i="1" s="1"/>
  <c r="BH120" i="1"/>
  <c r="BD120" i="1"/>
  <c r="BF121" i="1" s="1"/>
  <c r="BH136" i="1"/>
  <c r="BR138" i="1"/>
  <c r="BH150" i="1"/>
  <c r="BR160" i="1"/>
  <c r="BH163" i="1"/>
  <c r="BG163" i="1"/>
  <c r="BI163" i="1" s="1"/>
  <c r="BD163" i="1"/>
  <c r="BF164" i="1" s="1"/>
  <c r="BS164" i="1"/>
  <c r="BR46" i="1"/>
  <c r="BP47" i="1"/>
  <c r="BR48" i="1" s="1"/>
  <c r="BS47" i="1"/>
  <c r="BU47" i="1" s="1"/>
  <c r="BD75" i="1"/>
  <c r="BD102" i="1"/>
  <c r="BH116" i="1"/>
  <c r="BP126" i="1"/>
  <c r="BR127" i="1" s="1"/>
  <c r="BT126" i="1"/>
  <c r="BS126" i="1"/>
  <c r="BU126" i="1" s="1"/>
  <c r="BT130" i="1"/>
  <c r="BP130" i="1"/>
  <c r="BS130" i="1"/>
  <c r="BU130" i="1" s="1"/>
  <c r="BP133" i="1"/>
  <c r="BT133" i="1"/>
  <c r="BS133" i="1"/>
  <c r="BP154" i="1"/>
  <c r="BT154" i="1"/>
  <c r="BS154" i="1"/>
  <c r="BU154" i="1" s="1"/>
  <c r="BV22" i="1"/>
  <c r="BR26" i="1"/>
  <c r="BR28" i="1"/>
  <c r="BP57" i="1"/>
  <c r="BR58" i="1" s="1"/>
  <c r="BF77" i="1"/>
  <c r="BG105" i="1"/>
  <c r="BI105" i="1" s="1"/>
  <c r="BT109" i="1"/>
  <c r="BU109" i="1" s="1"/>
  <c r="BP109" i="1"/>
  <c r="BR121" i="1"/>
  <c r="BG139" i="1"/>
  <c r="BI139" i="1" s="1"/>
  <c r="BD139" i="1"/>
  <c r="BF140" i="1" s="1"/>
  <c r="BP36" i="1"/>
  <c r="BD52" i="1"/>
  <c r="BF66" i="1"/>
  <c r="BR71" i="1"/>
  <c r="BF80" i="1"/>
  <c r="BF135" i="1"/>
  <c r="BF149" i="1"/>
  <c r="BT151" i="1"/>
  <c r="BP151" i="1"/>
  <c r="BS151" i="1"/>
  <c r="BU151" i="1" s="1"/>
  <c r="BG166" i="1"/>
  <c r="BI166" i="1" s="1"/>
  <c r="BD166" i="1"/>
  <c r="BF167" i="1" s="1"/>
  <c r="BH166" i="1"/>
  <c r="BD31" i="1"/>
  <c r="BF45" i="1"/>
  <c r="BT57" i="1"/>
  <c r="BR117" i="1"/>
  <c r="BR129" i="1"/>
  <c r="BT137" i="1"/>
  <c r="BP137" i="1"/>
  <c r="BS137" i="1"/>
  <c r="BU137" i="1" s="1"/>
  <c r="BP140" i="1"/>
  <c r="BR141" i="1" s="1"/>
  <c r="BT140" i="1"/>
  <c r="BS140" i="1"/>
  <c r="BU140" i="1" s="1"/>
  <c r="BG152" i="1"/>
  <c r="BI152" i="1" s="1"/>
  <c r="BX152" i="1" s="1"/>
  <c r="BD152" i="1"/>
  <c r="BG162" i="1"/>
  <c r="BI162" i="1" s="1"/>
  <c r="BH162" i="1"/>
  <c r="BD162" i="1"/>
  <c r="BF165" i="1"/>
  <c r="BR98" i="1"/>
  <c r="BR105" i="1"/>
  <c r="BF156" i="1"/>
  <c r="BR107" i="1"/>
  <c r="BF115" i="1"/>
  <c r="BG131" i="1"/>
  <c r="BI131" i="1" s="1"/>
  <c r="BX131" i="1" s="1"/>
  <c r="BH131" i="1"/>
  <c r="BG160" i="1"/>
  <c r="BI160" i="1" s="1"/>
  <c r="BD160" i="1"/>
  <c r="BR167" i="1"/>
  <c r="BF128" i="1"/>
  <c r="BF142" i="1"/>
  <c r="BR128" i="1"/>
  <c r="BR135" i="1"/>
  <c r="BR156" i="1"/>
  <c r="BR163" i="1"/>
  <c r="BP159" i="1" l="1"/>
  <c r="BT159" i="1"/>
  <c r="BS159" i="1"/>
  <c r="BU159" i="1" s="1"/>
  <c r="BD164" i="1"/>
  <c r="BH164" i="1"/>
  <c r="BG164" i="1"/>
  <c r="BI164" i="1" s="1"/>
  <c r="BX164" i="1" s="1"/>
  <c r="BH57" i="1"/>
  <c r="BG57" i="1"/>
  <c r="BI57" i="1" s="1"/>
  <c r="BX57" i="1" s="1"/>
  <c r="BD57" i="1"/>
  <c r="BP75" i="1"/>
  <c r="BR76" i="1" s="1"/>
  <c r="BS75" i="1"/>
  <c r="BU75" i="1" s="1"/>
  <c r="BX75" i="1" s="1"/>
  <c r="BT75" i="1"/>
  <c r="BS25" i="1"/>
  <c r="BP25" i="1"/>
  <c r="BT25" i="1"/>
  <c r="BH94" i="1"/>
  <c r="BG94" i="1"/>
  <c r="BI94" i="1" s="1"/>
  <c r="BX94" i="1" s="1"/>
  <c r="BD94" i="1"/>
  <c r="BH24" i="1"/>
  <c r="BG24" i="1"/>
  <c r="BI24" i="1" s="1"/>
  <c r="BX24" i="1" s="1"/>
  <c r="BD24" i="1"/>
  <c r="BP127" i="1"/>
  <c r="BT127" i="1"/>
  <c r="BS127" i="1"/>
  <c r="BU127" i="1" s="1"/>
  <c r="BX127" i="1" s="1"/>
  <c r="BT156" i="1"/>
  <c r="BP156" i="1"/>
  <c r="BS156" i="1"/>
  <c r="BU156" i="1" s="1"/>
  <c r="BG167" i="1"/>
  <c r="BD167" i="1"/>
  <c r="BH167" i="1"/>
  <c r="BT121" i="1"/>
  <c r="BS121" i="1"/>
  <c r="BU121" i="1" s="1"/>
  <c r="BP121" i="1"/>
  <c r="BR122" i="1" s="1"/>
  <c r="BX48" i="1"/>
  <c r="BI155" i="1"/>
  <c r="BX155" i="1" s="1"/>
  <c r="BD115" i="1"/>
  <c r="BH115" i="1"/>
  <c r="BG115" i="1"/>
  <c r="BS46" i="1"/>
  <c r="BP46" i="1"/>
  <c r="BT46" i="1"/>
  <c r="BT65" i="1"/>
  <c r="BS65" i="1"/>
  <c r="BU65" i="1" s="1"/>
  <c r="BP65" i="1"/>
  <c r="BT23" i="1"/>
  <c r="BS23" i="1"/>
  <c r="BU23" i="1" s="1"/>
  <c r="BP23" i="1"/>
  <c r="BT107" i="1"/>
  <c r="BS107" i="1"/>
  <c r="BU107" i="1" s="1"/>
  <c r="BP107" i="1"/>
  <c r="BU164" i="1"/>
  <c r="BU40" i="1"/>
  <c r="BX40" i="1" s="1"/>
  <c r="BT135" i="1"/>
  <c r="BS135" i="1"/>
  <c r="BU135" i="1" s="1"/>
  <c r="BP135" i="1"/>
  <c r="BP141" i="1"/>
  <c r="BR142" i="1" s="1"/>
  <c r="BT141" i="1"/>
  <c r="BS141" i="1"/>
  <c r="BU141" i="1" s="1"/>
  <c r="BX105" i="1"/>
  <c r="BI69" i="1"/>
  <c r="BI124" i="1"/>
  <c r="BI93" i="1"/>
  <c r="BH26" i="1"/>
  <c r="BG26" i="1"/>
  <c r="BI26" i="1" s="1"/>
  <c r="BD26" i="1"/>
  <c r="BF27" i="1" s="1"/>
  <c r="BH156" i="1"/>
  <c r="BD156" i="1"/>
  <c r="BF157" i="1" s="1"/>
  <c r="BG156" i="1"/>
  <c r="BI156" i="1" s="1"/>
  <c r="BX156" i="1" s="1"/>
  <c r="BG77" i="1"/>
  <c r="BD77" i="1"/>
  <c r="BF78" i="1" s="1"/>
  <c r="BH77" i="1"/>
  <c r="BT81" i="1"/>
  <c r="BS81" i="1"/>
  <c r="BU81" i="1" s="1"/>
  <c r="BX81" i="1" s="1"/>
  <c r="BP81" i="1"/>
  <c r="BR82" i="1" s="1"/>
  <c r="BP113" i="1"/>
  <c r="BR114" i="1" s="1"/>
  <c r="BT113" i="1"/>
  <c r="BS113" i="1"/>
  <c r="BU113" i="1" s="1"/>
  <c r="BX113" i="1" s="1"/>
  <c r="BD123" i="1"/>
  <c r="BG123" i="1"/>
  <c r="BH123" i="1"/>
  <c r="BI70" i="1"/>
  <c r="BX70" i="1" s="1"/>
  <c r="BI39" i="1"/>
  <c r="BX39" i="1" s="1"/>
  <c r="BI95" i="1"/>
  <c r="BI56" i="1"/>
  <c r="BX56" i="1" s="1"/>
  <c r="BH142" i="1"/>
  <c r="BD142" i="1"/>
  <c r="BG142" i="1"/>
  <c r="BI142" i="1" s="1"/>
  <c r="BP105" i="1"/>
  <c r="BT105" i="1"/>
  <c r="BS105" i="1"/>
  <c r="BU105" i="1" s="1"/>
  <c r="BH149" i="1"/>
  <c r="BG149" i="1"/>
  <c r="BI149" i="1" s="1"/>
  <c r="BD149" i="1"/>
  <c r="BU91" i="1"/>
  <c r="BX91" i="1" s="1"/>
  <c r="BX37" i="1"/>
  <c r="BH29" i="1"/>
  <c r="BG29" i="1"/>
  <c r="BI29" i="1" s="1"/>
  <c r="BX29" i="1" s="1"/>
  <c r="BD29" i="1"/>
  <c r="BF30" i="1" s="1"/>
  <c r="BT79" i="1"/>
  <c r="BS79" i="1"/>
  <c r="BU79" i="1" s="1"/>
  <c r="BX79" i="1" s="1"/>
  <c r="BP79" i="1"/>
  <c r="BH128" i="1"/>
  <c r="BG128" i="1"/>
  <c r="BI128" i="1" s="1"/>
  <c r="BD128" i="1"/>
  <c r="BP98" i="1"/>
  <c r="BR99" i="1" s="1"/>
  <c r="BS98" i="1"/>
  <c r="BT98" i="1"/>
  <c r="BH135" i="1"/>
  <c r="BG135" i="1"/>
  <c r="BD135" i="1"/>
  <c r="BT160" i="1"/>
  <c r="BS160" i="1"/>
  <c r="BU160" i="1" s="1"/>
  <c r="BP160" i="1"/>
  <c r="BU157" i="1"/>
  <c r="BI63" i="1"/>
  <c r="BI111" i="1"/>
  <c r="BT129" i="1"/>
  <c r="BS129" i="1"/>
  <c r="BU129" i="1" s="1"/>
  <c r="BP129" i="1"/>
  <c r="BP26" i="1"/>
  <c r="BS26" i="1"/>
  <c r="BT26" i="1"/>
  <c r="BT42" i="1"/>
  <c r="BS42" i="1"/>
  <c r="BU42" i="1" s="1"/>
  <c r="BP42" i="1"/>
  <c r="BR43" i="1" s="1"/>
  <c r="BI153" i="1"/>
  <c r="BT146" i="1"/>
  <c r="BP146" i="1"/>
  <c r="BR147" i="1" s="1"/>
  <c r="BS146" i="1"/>
  <c r="BU146" i="1" s="1"/>
  <c r="BI109" i="1"/>
  <c r="BX109" i="1" s="1"/>
  <c r="BP117" i="1"/>
  <c r="BR118" i="1" s="1"/>
  <c r="BT117" i="1"/>
  <c r="BS117" i="1"/>
  <c r="BU117" i="1" s="1"/>
  <c r="BX117" i="1" s="1"/>
  <c r="BP138" i="1"/>
  <c r="BT138" i="1"/>
  <c r="BS138" i="1"/>
  <c r="BU138" i="1" s="1"/>
  <c r="BI132" i="1"/>
  <c r="BG145" i="1"/>
  <c r="BH145" i="1"/>
  <c r="BD145" i="1"/>
  <c r="BI60" i="1"/>
  <c r="BX137" i="1"/>
  <c r="BT167" i="1"/>
  <c r="BS167" i="1"/>
  <c r="BU167" i="1" s="1"/>
  <c r="BP167" i="1"/>
  <c r="BG165" i="1"/>
  <c r="BD165" i="1"/>
  <c r="BH165" i="1"/>
  <c r="BX22" i="1"/>
  <c r="BJ22" i="1"/>
  <c r="BJ23" i="1" s="1"/>
  <c r="BJ24" i="1" s="1"/>
  <c r="BJ25" i="1" s="1"/>
  <c r="BJ26" i="1" s="1"/>
  <c r="BI99" i="1"/>
  <c r="BS53" i="1"/>
  <c r="BT53" i="1"/>
  <c r="BP53" i="1"/>
  <c r="BR54" i="1" s="1"/>
  <c r="BX35" i="1"/>
  <c r="BI34" i="1"/>
  <c r="BX34" i="1" s="1"/>
  <c r="BI83" i="1"/>
  <c r="BX83" i="1" s="1"/>
  <c r="BH121" i="1"/>
  <c r="BG121" i="1"/>
  <c r="BI121" i="1" s="1"/>
  <c r="BX121" i="1" s="1"/>
  <c r="BD121" i="1"/>
  <c r="BS67" i="1"/>
  <c r="BT67" i="1"/>
  <c r="BP67" i="1"/>
  <c r="BR68" i="1" s="1"/>
  <c r="BG126" i="1"/>
  <c r="BI126" i="1" s="1"/>
  <c r="BX126" i="1" s="1"/>
  <c r="BD126" i="1"/>
  <c r="BH126" i="1"/>
  <c r="BI62" i="1"/>
  <c r="BI122" i="1"/>
  <c r="BI42" i="1"/>
  <c r="BX42" i="1" s="1"/>
  <c r="BI159" i="1"/>
  <c r="BX159" i="1" s="1"/>
  <c r="BU106" i="1"/>
  <c r="BI85" i="1"/>
  <c r="BX85" i="1" s="1"/>
  <c r="BI51" i="1"/>
  <c r="BX160" i="1"/>
  <c r="BH45" i="1"/>
  <c r="BD45" i="1"/>
  <c r="BF46" i="1" s="1"/>
  <c r="BG45" i="1"/>
  <c r="BI45" i="1" s="1"/>
  <c r="BX45" i="1" s="1"/>
  <c r="BI125" i="1"/>
  <c r="BU38" i="1"/>
  <c r="BX38" i="1" s="1"/>
  <c r="BT95" i="1"/>
  <c r="BS95" i="1"/>
  <c r="BU95" i="1" s="1"/>
  <c r="BP95" i="1"/>
  <c r="BP48" i="1"/>
  <c r="BR49" i="1" s="1"/>
  <c r="BT48" i="1"/>
  <c r="BS48" i="1"/>
  <c r="BU48" i="1" s="1"/>
  <c r="BT153" i="1"/>
  <c r="BS153" i="1"/>
  <c r="BU153" i="1" s="1"/>
  <c r="BP153" i="1"/>
  <c r="BS111" i="1"/>
  <c r="BT111" i="1"/>
  <c r="BP111" i="1"/>
  <c r="BI25" i="1"/>
  <c r="BP92" i="1"/>
  <c r="BR93" i="1" s="1"/>
  <c r="BT92" i="1"/>
  <c r="BS92" i="1"/>
  <c r="BU92" i="1" s="1"/>
  <c r="BX92" i="1" s="1"/>
  <c r="BI141" i="1"/>
  <c r="BX23" i="1"/>
  <c r="BT128" i="1"/>
  <c r="BS128" i="1"/>
  <c r="BU128" i="1" s="1"/>
  <c r="BP128" i="1"/>
  <c r="BT58" i="1"/>
  <c r="BP58" i="1"/>
  <c r="BR59" i="1" s="1"/>
  <c r="BS58" i="1"/>
  <c r="BI146" i="1"/>
  <c r="BT139" i="1"/>
  <c r="BS139" i="1"/>
  <c r="BU139" i="1" s="1"/>
  <c r="BP139" i="1"/>
  <c r="BX65" i="1"/>
  <c r="BI118" i="1"/>
  <c r="BT28" i="1"/>
  <c r="BS28" i="1"/>
  <c r="BU28" i="1" s="1"/>
  <c r="BP28" i="1"/>
  <c r="BX108" i="1"/>
  <c r="BH80" i="1"/>
  <c r="BG80" i="1"/>
  <c r="BI80" i="1" s="1"/>
  <c r="BX80" i="1" s="1"/>
  <c r="BD80" i="1"/>
  <c r="BI76" i="1"/>
  <c r="BS71" i="1"/>
  <c r="BT71" i="1"/>
  <c r="BP71" i="1"/>
  <c r="BR72" i="1" s="1"/>
  <c r="BT86" i="1"/>
  <c r="BS86" i="1"/>
  <c r="BU86" i="1" s="1"/>
  <c r="BX86" i="1" s="1"/>
  <c r="BP86" i="1"/>
  <c r="BR87" i="1" s="1"/>
  <c r="BI53" i="1"/>
  <c r="BI28" i="1"/>
  <c r="BX28" i="1" s="1"/>
  <c r="BH66" i="1"/>
  <c r="BD66" i="1"/>
  <c r="BF67" i="1" s="1"/>
  <c r="BG66" i="1"/>
  <c r="BI66" i="1" s="1"/>
  <c r="BX66" i="1" s="1"/>
  <c r="BT132" i="1"/>
  <c r="BS132" i="1"/>
  <c r="BU132" i="1" s="1"/>
  <c r="BP132" i="1"/>
  <c r="BX162" i="1"/>
  <c r="BH140" i="1"/>
  <c r="BG140" i="1"/>
  <c r="BI140" i="1" s="1"/>
  <c r="BX140" i="1" s="1"/>
  <c r="BD140" i="1"/>
  <c r="BI129" i="1"/>
  <c r="BX138" i="1"/>
  <c r="BI64" i="1"/>
  <c r="BX55" i="1"/>
  <c r="BT163" i="1"/>
  <c r="BP163" i="1"/>
  <c r="BS163" i="1"/>
  <c r="BU163" i="1" s="1"/>
  <c r="BX163" i="1" s="1"/>
  <c r="BX139" i="1"/>
  <c r="BU133" i="1"/>
  <c r="BX133" i="1" s="1"/>
  <c r="BI116" i="1"/>
  <c r="BT165" i="1"/>
  <c r="BP165" i="1"/>
  <c r="BR166" i="1" s="1"/>
  <c r="BS165" i="1"/>
  <c r="BU165" i="1" s="1"/>
  <c r="BU96" i="1"/>
  <c r="BX96" i="1" s="1"/>
  <c r="BI72" i="1"/>
  <c r="BU33" i="1"/>
  <c r="BX33" i="1" s="1"/>
  <c r="BI107" i="1"/>
  <c r="BI106" i="1"/>
  <c r="BX130" i="1"/>
  <c r="BI84" i="1"/>
  <c r="BX84" i="1" s="1"/>
  <c r="BI50" i="1"/>
  <c r="BI88" i="1"/>
  <c r="BI41" i="1"/>
  <c r="BX41" i="1" s="1"/>
  <c r="BU53" i="1" l="1"/>
  <c r="BU111" i="1"/>
  <c r="BP68" i="1"/>
  <c r="BR69" i="1" s="1"/>
  <c r="BS68" i="1"/>
  <c r="BT68" i="1"/>
  <c r="BI77" i="1"/>
  <c r="BG46" i="1"/>
  <c r="BD46" i="1"/>
  <c r="BF47" i="1" s="1"/>
  <c r="BH46" i="1"/>
  <c r="BX53" i="1"/>
  <c r="BY22" i="1"/>
  <c r="BY23" i="1" s="1"/>
  <c r="BY24" i="1" s="1"/>
  <c r="BP147" i="1"/>
  <c r="BR148" i="1" s="1"/>
  <c r="BT147" i="1"/>
  <c r="BS147" i="1"/>
  <c r="BU147" i="1" s="1"/>
  <c r="BX147" i="1" s="1"/>
  <c r="BX129" i="1"/>
  <c r="BT114" i="1"/>
  <c r="BP114" i="1"/>
  <c r="BR115" i="1" s="1"/>
  <c r="BS114" i="1"/>
  <c r="BU114" i="1" s="1"/>
  <c r="BX114" i="1" s="1"/>
  <c r="BI145" i="1"/>
  <c r="BX145" i="1" s="1"/>
  <c r="BX93" i="1"/>
  <c r="BD30" i="1"/>
  <c r="BG30" i="1"/>
  <c r="BI30" i="1" s="1"/>
  <c r="BX30" i="1" s="1"/>
  <c r="BH30" i="1"/>
  <c r="BX106" i="1"/>
  <c r="BU71" i="1"/>
  <c r="BX71" i="1" s="1"/>
  <c r="BX146" i="1"/>
  <c r="BU46" i="1"/>
  <c r="BU25" i="1"/>
  <c r="BP59" i="1"/>
  <c r="BR60" i="1" s="1"/>
  <c r="BS59" i="1"/>
  <c r="BT59" i="1"/>
  <c r="BX72" i="1"/>
  <c r="BD78" i="1"/>
  <c r="BH78" i="1"/>
  <c r="BG78" i="1"/>
  <c r="BI78" i="1" s="1"/>
  <c r="BX78" i="1" s="1"/>
  <c r="BT76" i="1"/>
  <c r="BS76" i="1"/>
  <c r="BU76" i="1" s="1"/>
  <c r="BX76" i="1" s="1"/>
  <c r="BP76" i="1"/>
  <c r="BR77" i="1" s="1"/>
  <c r="BX99" i="1"/>
  <c r="BP118" i="1"/>
  <c r="BR119" i="1" s="1"/>
  <c r="BT118" i="1"/>
  <c r="BS118" i="1"/>
  <c r="BU118" i="1" s="1"/>
  <c r="BX118" i="1" s="1"/>
  <c r="BU98" i="1"/>
  <c r="BX98" i="1" s="1"/>
  <c r="BG67" i="1"/>
  <c r="BH67" i="1"/>
  <c r="BD67" i="1"/>
  <c r="BP99" i="1"/>
  <c r="BR100" i="1" s="1"/>
  <c r="BT99" i="1"/>
  <c r="BS99" i="1"/>
  <c r="BU99" i="1" s="1"/>
  <c r="BP166" i="1"/>
  <c r="BT166" i="1"/>
  <c r="BS166" i="1"/>
  <c r="BU166" i="1" s="1"/>
  <c r="BX166" i="1" s="1"/>
  <c r="BU67" i="1"/>
  <c r="BI123" i="1"/>
  <c r="BD157" i="1"/>
  <c r="BF158" i="1" s="1"/>
  <c r="BH157" i="1"/>
  <c r="BG157" i="1"/>
  <c r="BI157" i="1" s="1"/>
  <c r="BX157" i="1" s="1"/>
  <c r="BT142" i="1"/>
  <c r="BP142" i="1"/>
  <c r="BR143" i="1" s="1"/>
  <c r="BS142" i="1"/>
  <c r="BX128" i="1"/>
  <c r="BS122" i="1"/>
  <c r="BT122" i="1"/>
  <c r="BP122" i="1"/>
  <c r="BR123" i="1" s="1"/>
  <c r="BX141" i="1"/>
  <c r="BX111" i="1"/>
  <c r="BG27" i="1"/>
  <c r="BH27" i="1"/>
  <c r="BD27" i="1"/>
  <c r="BP87" i="1"/>
  <c r="BR88" i="1" s="1"/>
  <c r="BT87" i="1"/>
  <c r="BS87" i="1"/>
  <c r="BX153" i="1"/>
  <c r="BT49" i="1"/>
  <c r="BS49" i="1"/>
  <c r="BU49" i="1" s="1"/>
  <c r="BX49" i="1" s="1"/>
  <c r="BP49" i="1"/>
  <c r="BR50" i="1" s="1"/>
  <c r="BS43" i="1"/>
  <c r="BT43" i="1"/>
  <c r="BP43" i="1"/>
  <c r="BR44" i="1" s="1"/>
  <c r="BP82" i="1"/>
  <c r="BS82" i="1"/>
  <c r="BU82" i="1" s="1"/>
  <c r="BX82" i="1" s="1"/>
  <c r="BT82" i="1"/>
  <c r="BT72" i="1"/>
  <c r="BS72" i="1"/>
  <c r="BU72" i="1" s="1"/>
  <c r="BP72" i="1"/>
  <c r="BR73" i="1" s="1"/>
  <c r="BT93" i="1"/>
  <c r="BS93" i="1"/>
  <c r="BU93" i="1" s="1"/>
  <c r="BP93" i="1"/>
  <c r="BV23" i="1"/>
  <c r="BV24" i="1" s="1"/>
  <c r="BV25" i="1" s="1"/>
  <c r="BV26" i="1" s="1"/>
  <c r="BV27" i="1" s="1"/>
  <c r="BV28" i="1" s="1"/>
  <c r="BV29" i="1" s="1"/>
  <c r="BV30" i="1" s="1"/>
  <c r="BV31" i="1" s="1"/>
  <c r="BV32" i="1" s="1"/>
  <c r="BV33" i="1" s="1"/>
  <c r="BV34" i="1" s="1"/>
  <c r="BV35" i="1" s="1"/>
  <c r="BV36" i="1" s="1"/>
  <c r="BV37" i="1" s="1"/>
  <c r="BV38" i="1" s="1"/>
  <c r="BV39" i="1" s="1"/>
  <c r="BV40" i="1" s="1"/>
  <c r="BV41" i="1" s="1"/>
  <c r="BV42" i="1" s="1"/>
  <c r="BX132" i="1"/>
  <c r="BI167" i="1"/>
  <c r="BX167" i="1" s="1"/>
  <c r="BX25" i="1"/>
  <c r="BX107" i="1"/>
  <c r="BU58" i="1"/>
  <c r="BX58" i="1" s="1"/>
  <c r="BP54" i="1"/>
  <c r="BS54" i="1"/>
  <c r="BT54" i="1"/>
  <c r="BI165" i="1"/>
  <c r="BX165" i="1" s="1"/>
  <c r="BU26" i="1"/>
  <c r="BX26" i="1" s="1"/>
  <c r="BI135" i="1"/>
  <c r="BX135" i="1" s="1"/>
  <c r="BX95" i="1"/>
  <c r="BI115" i="1"/>
  <c r="BT44" i="1" l="1"/>
  <c r="BS44" i="1"/>
  <c r="BU44" i="1" s="1"/>
  <c r="BX44" i="1" s="1"/>
  <c r="BP44" i="1"/>
  <c r="BY25" i="1"/>
  <c r="BY26" i="1" s="1"/>
  <c r="BI27" i="1"/>
  <c r="BI67" i="1"/>
  <c r="BX67" i="1" s="1"/>
  <c r="BU43" i="1"/>
  <c r="BX43" i="1" s="1"/>
  <c r="BH158" i="1"/>
  <c r="BG158" i="1"/>
  <c r="BI158" i="1" s="1"/>
  <c r="BX158" i="1" s="1"/>
  <c r="BD158" i="1"/>
  <c r="BS50" i="1"/>
  <c r="BT50" i="1"/>
  <c r="BP50" i="1"/>
  <c r="BR51" i="1" s="1"/>
  <c r="BS60" i="1"/>
  <c r="BT60" i="1"/>
  <c r="BP60" i="1"/>
  <c r="BR61" i="1" s="1"/>
  <c r="BT123" i="1"/>
  <c r="BP123" i="1"/>
  <c r="BR124" i="1" s="1"/>
  <c r="BS123" i="1"/>
  <c r="BU123" i="1" s="1"/>
  <c r="BX123" i="1" s="1"/>
  <c r="BH47" i="1"/>
  <c r="BG47" i="1"/>
  <c r="BI47" i="1" s="1"/>
  <c r="BX47" i="1" s="1"/>
  <c r="BD47" i="1"/>
  <c r="BI46" i="1"/>
  <c r="BX46" i="1" s="1"/>
  <c r="BP73" i="1"/>
  <c r="BT73" i="1"/>
  <c r="BS73" i="1"/>
  <c r="BU73" i="1" s="1"/>
  <c r="BX73" i="1" s="1"/>
  <c r="BU122" i="1"/>
  <c r="BX122" i="1" s="1"/>
  <c r="BU68" i="1"/>
  <c r="BX68" i="1" s="1"/>
  <c r="BU87" i="1"/>
  <c r="BX87" i="1" s="1"/>
  <c r="BP69" i="1"/>
  <c r="BT69" i="1"/>
  <c r="BS69" i="1"/>
  <c r="BU69" i="1" s="1"/>
  <c r="BX69" i="1" s="1"/>
  <c r="BV43" i="1"/>
  <c r="BV44" i="1" s="1"/>
  <c r="BV45" i="1" s="1"/>
  <c r="BV46" i="1" s="1"/>
  <c r="BV47" i="1" s="1"/>
  <c r="BV48" i="1" s="1"/>
  <c r="BV49" i="1" s="1"/>
  <c r="BU59" i="1"/>
  <c r="BX59" i="1" s="1"/>
  <c r="BT115" i="1"/>
  <c r="BS115" i="1"/>
  <c r="BP115" i="1"/>
  <c r="BR116" i="1" s="1"/>
  <c r="BP119" i="1"/>
  <c r="BR120" i="1" s="1"/>
  <c r="BT119" i="1"/>
  <c r="BS119" i="1"/>
  <c r="BU119" i="1" s="1"/>
  <c r="BX119" i="1" s="1"/>
  <c r="BU54" i="1"/>
  <c r="BX54" i="1" s="1"/>
  <c r="BT77" i="1"/>
  <c r="BS77" i="1"/>
  <c r="BU77" i="1" s="1"/>
  <c r="BX77" i="1" s="1"/>
  <c r="BP77" i="1"/>
  <c r="BU142" i="1"/>
  <c r="BX142" i="1" s="1"/>
  <c r="BT100" i="1"/>
  <c r="BP100" i="1"/>
  <c r="BR101" i="1" s="1"/>
  <c r="BS100" i="1"/>
  <c r="BU100" i="1" s="1"/>
  <c r="BX100" i="1" s="1"/>
  <c r="BP148" i="1"/>
  <c r="BR149" i="1" s="1"/>
  <c r="BS148" i="1"/>
  <c r="BT148" i="1"/>
  <c r="BT88" i="1"/>
  <c r="BS88" i="1"/>
  <c r="BU88" i="1" s="1"/>
  <c r="BX88" i="1" s="1"/>
  <c r="BP88" i="1"/>
  <c r="BR89" i="1" s="1"/>
  <c r="BT143" i="1"/>
  <c r="BS143" i="1"/>
  <c r="BU143" i="1" s="1"/>
  <c r="BX143" i="1" s="1"/>
  <c r="BP143" i="1"/>
  <c r="BR144" i="1" s="1"/>
  <c r="BP124" i="1" l="1"/>
  <c r="BR125" i="1" s="1"/>
  <c r="BT124" i="1"/>
  <c r="BS124" i="1"/>
  <c r="BU124" i="1" s="1"/>
  <c r="BX124" i="1" s="1"/>
  <c r="BX27" i="1"/>
  <c r="BJ9" i="1"/>
  <c r="BJ10" i="1"/>
  <c r="BJ27" i="1"/>
  <c r="BJ28" i="1" s="1"/>
  <c r="BJ29" i="1" s="1"/>
  <c r="BJ30" i="1" s="1"/>
  <c r="BJ31" i="1" s="1"/>
  <c r="BJ32" i="1" s="1"/>
  <c r="BJ33" i="1" s="1"/>
  <c r="BJ34" i="1" s="1"/>
  <c r="BJ35" i="1" s="1"/>
  <c r="BJ36" i="1" s="1"/>
  <c r="BJ37" i="1" s="1"/>
  <c r="BJ38" i="1" s="1"/>
  <c r="BJ39" i="1" s="1"/>
  <c r="BJ40" i="1" s="1"/>
  <c r="BJ41" i="1" s="1"/>
  <c r="BJ42" i="1" s="1"/>
  <c r="BJ43" i="1" s="1"/>
  <c r="BJ44" i="1" s="1"/>
  <c r="BJ45" i="1" s="1"/>
  <c r="BJ46" i="1" s="1"/>
  <c r="BJ47" i="1" s="1"/>
  <c r="BJ48" i="1" s="1"/>
  <c r="BJ49" i="1" s="1"/>
  <c r="BJ50" i="1" s="1"/>
  <c r="BJ51" i="1" s="1"/>
  <c r="BJ52" i="1" s="1"/>
  <c r="BJ53" i="1" s="1"/>
  <c r="BJ54" i="1" s="1"/>
  <c r="BJ55" i="1" s="1"/>
  <c r="BJ56" i="1" s="1"/>
  <c r="BJ57" i="1" s="1"/>
  <c r="BJ58" i="1" s="1"/>
  <c r="BJ59" i="1" s="1"/>
  <c r="BJ60" i="1" s="1"/>
  <c r="BJ61" i="1" s="1"/>
  <c r="BJ62" i="1" s="1"/>
  <c r="BJ63" i="1" s="1"/>
  <c r="BJ64" i="1" s="1"/>
  <c r="BJ65" i="1" s="1"/>
  <c r="BJ66" i="1" s="1"/>
  <c r="BJ67" i="1" s="1"/>
  <c r="BJ68" i="1" s="1"/>
  <c r="BJ69" i="1" s="1"/>
  <c r="BJ70" i="1" s="1"/>
  <c r="BJ71" i="1" s="1"/>
  <c r="BJ72" i="1" s="1"/>
  <c r="BJ73" i="1" s="1"/>
  <c r="BJ74" i="1" s="1"/>
  <c r="BJ75" i="1" s="1"/>
  <c r="BJ76" i="1" s="1"/>
  <c r="BJ77" i="1" s="1"/>
  <c r="BJ78" i="1" s="1"/>
  <c r="BJ79" i="1" s="1"/>
  <c r="BJ80" i="1" s="1"/>
  <c r="BJ81" i="1" s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08" i="1" s="1"/>
  <c r="BJ109" i="1" s="1"/>
  <c r="BJ110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J122" i="1" s="1"/>
  <c r="BJ123" i="1" s="1"/>
  <c r="BJ124" i="1" s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J142" i="1" s="1"/>
  <c r="BJ143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57" i="1" s="1"/>
  <c r="BJ158" i="1" s="1"/>
  <c r="BJ159" i="1" s="1"/>
  <c r="BJ160" i="1" s="1"/>
  <c r="BJ161" i="1" s="1"/>
  <c r="BJ162" i="1" s="1"/>
  <c r="BJ163" i="1" s="1"/>
  <c r="BJ164" i="1" s="1"/>
  <c r="BJ165" i="1" s="1"/>
  <c r="BJ166" i="1" s="1"/>
  <c r="BJ167" i="1" s="1"/>
  <c r="BJ1" i="1" s="1"/>
  <c r="BP61" i="1"/>
  <c r="BR62" i="1" s="1"/>
  <c r="BS61" i="1"/>
  <c r="BT61" i="1"/>
  <c r="BT51" i="1"/>
  <c r="BS51" i="1"/>
  <c r="BU51" i="1" s="1"/>
  <c r="BX51" i="1" s="1"/>
  <c r="BP51" i="1"/>
  <c r="BT149" i="1"/>
  <c r="BS149" i="1"/>
  <c r="BU149" i="1" s="1"/>
  <c r="BX149" i="1" s="1"/>
  <c r="BP149" i="1"/>
  <c r="BR150" i="1" s="1"/>
  <c r="BT101" i="1"/>
  <c r="BS101" i="1"/>
  <c r="BU101" i="1" s="1"/>
  <c r="BX101" i="1" s="1"/>
  <c r="BP101" i="1"/>
  <c r="BR102" i="1" s="1"/>
  <c r="BT144" i="1"/>
  <c r="BP144" i="1"/>
  <c r="BS144" i="1"/>
  <c r="BU144" i="1" s="1"/>
  <c r="BX144" i="1" s="1"/>
  <c r="BY27" i="1"/>
  <c r="BY28" i="1" s="1"/>
  <c r="BY29" i="1" s="1"/>
  <c r="BY30" i="1" s="1"/>
  <c r="BY31" i="1" s="1"/>
  <c r="BY32" i="1" s="1"/>
  <c r="BY33" i="1" s="1"/>
  <c r="BY34" i="1" s="1"/>
  <c r="BY35" i="1" s="1"/>
  <c r="BY36" i="1" s="1"/>
  <c r="BY37" i="1" s="1"/>
  <c r="BY38" i="1" s="1"/>
  <c r="BY39" i="1" s="1"/>
  <c r="BY40" i="1" s="1"/>
  <c r="BY41" i="1" s="1"/>
  <c r="BY42" i="1" s="1"/>
  <c r="BY43" i="1" s="1"/>
  <c r="BY44" i="1" s="1"/>
  <c r="BY45" i="1" s="1"/>
  <c r="BY46" i="1" s="1"/>
  <c r="BY47" i="1" s="1"/>
  <c r="BY48" i="1" s="1"/>
  <c r="BY49" i="1" s="1"/>
  <c r="BP89" i="1"/>
  <c r="BR90" i="1" s="1"/>
  <c r="BT89" i="1"/>
  <c r="BS89" i="1"/>
  <c r="BU89" i="1" s="1"/>
  <c r="BX89" i="1" s="1"/>
  <c r="BU60" i="1"/>
  <c r="BX60" i="1" s="1"/>
  <c r="BP120" i="1"/>
  <c r="BT120" i="1"/>
  <c r="BS120" i="1"/>
  <c r="BU120" i="1" s="1"/>
  <c r="BX120" i="1" s="1"/>
  <c r="BT116" i="1"/>
  <c r="BP116" i="1"/>
  <c r="BS116" i="1"/>
  <c r="BU116" i="1" s="1"/>
  <c r="BX116" i="1" s="1"/>
  <c r="BU148" i="1"/>
  <c r="BX148" i="1" s="1"/>
  <c r="BU115" i="1"/>
  <c r="BX115" i="1" s="1"/>
  <c r="BU50" i="1"/>
  <c r="BX50" i="1" s="1"/>
  <c r="BT90" i="1" l="1"/>
  <c r="BS90" i="1"/>
  <c r="BU90" i="1" s="1"/>
  <c r="BX90" i="1" s="1"/>
  <c r="BP90" i="1"/>
  <c r="BY50" i="1"/>
  <c r="BY51" i="1" s="1"/>
  <c r="BY52" i="1" s="1"/>
  <c r="BY53" i="1" s="1"/>
  <c r="BY54" i="1" s="1"/>
  <c r="BY55" i="1" s="1"/>
  <c r="BY56" i="1" s="1"/>
  <c r="BY57" i="1" s="1"/>
  <c r="BY58" i="1" s="1"/>
  <c r="BY59" i="1" s="1"/>
  <c r="BY60" i="1" s="1"/>
  <c r="BU61" i="1"/>
  <c r="BX61" i="1" s="1"/>
  <c r="BP62" i="1"/>
  <c r="BR63" i="1" s="1"/>
  <c r="BT62" i="1"/>
  <c r="BS62" i="1"/>
  <c r="BU62" i="1" s="1"/>
  <c r="BX62" i="1" s="1"/>
  <c r="BT102" i="1"/>
  <c r="BP102" i="1"/>
  <c r="BR103" i="1" s="1"/>
  <c r="BS102" i="1"/>
  <c r="BU102" i="1" s="1"/>
  <c r="BX102" i="1" s="1"/>
  <c r="BJ11" i="1"/>
  <c r="BT150" i="1"/>
  <c r="BP150" i="1"/>
  <c r="BS150" i="1"/>
  <c r="BT125" i="1"/>
  <c r="BS125" i="1"/>
  <c r="BU125" i="1" s="1"/>
  <c r="BX125" i="1" s="1"/>
  <c r="BP125" i="1"/>
  <c r="BV50" i="1"/>
  <c r="BV51" i="1" s="1"/>
  <c r="BV52" i="1" s="1"/>
  <c r="BV53" i="1" s="1"/>
  <c r="BV54" i="1" s="1"/>
  <c r="BV55" i="1" s="1"/>
  <c r="BV56" i="1" s="1"/>
  <c r="BV57" i="1" s="1"/>
  <c r="BV58" i="1" s="1"/>
  <c r="BV59" i="1" s="1"/>
  <c r="BV60" i="1" s="1"/>
  <c r="BV61" i="1" s="1"/>
  <c r="BV62" i="1" s="1"/>
  <c r="BP103" i="1" l="1"/>
  <c r="BR104" i="1" s="1"/>
  <c r="BT103" i="1"/>
  <c r="BS103" i="1"/>
  <c r="BT63" i="1"/>
  <c r="BS63" i="1"/>
  <c r="BU63" i="1" s="1"/>
  <c r="BX63" i="1" s="1"/>
  <c r="BP63" i="1"/>
  <c r="BR64" i="1" s="1"/>
  <c r="BU150" i="1"/>
  <c r="BY61" i="1"/>
  <c r="BY62" i="1" s="1"/>
  <c r="BY63" i="1" s="1"/>
  <c r="BP104" i="1" l="1"/>
  <c r="BS104" i="1"/>
  <c r="BU104" i="1" s="1"/>
  <c r="BX104" i="1" s="1"/>
  <c r="BT104" i="1"/>
  <c r="BX150" i="1"/>
  <c r="BS64" i="1"/>
  <c r="BT64" i="1"/>
  <c r="BP64" i="1"/>
  <c r="BV63" i="1"/>
  <c r="BU103" i="1"/>
  <c r="BX103" i="1" s="1"/>
  <c r="BU64" i="1" l="1"/>
  <c r="BX64" i="1" l="1"/>
  <c r="BV9" i="1"/>
  <c r="BV10" i="1"/>
  <c r="BV64" i="1"/>
  <c r="BV65" i="1" s="1"/>
  <c r="BV66" i="1" s="1"/>
  <c r="BV67" i="1" s="1"/>
  <c r="BV68" i="1" s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V89" i="1" s="1"/>
  <c r="BV90" i="1" s="1"/>
  <c r="BV91" i="1" s="1"/>
  <c r="BV92" i="1" s="1"/>
  <c r="BV93" i="1" s="1"/>
  <c r="BV94" i="1" s="1"/>
  <c r="BV95" i="1" s="1"/>
  <c r="BV96" i="1" s="1"/>
  <c r="BV97" i="1" s="1"/>
  <c r="BV98" i="1" s="1"/>
  <c r="BV99" i="1" s="1"/>
  <c r="BV100" i="1" s="1"/>
  <c r="BV101" i="1" s="1"/>
  <c r="BV102" i="1" s="1"/>
  <c r="BV103" i="1" s="1"/>
  <c r="BV104" i="1" s="1"/>
  <c r="BV105" i="1" s="1"/>
  <c r="BV106" i="1" s="1"/>
  <c r="BV107" i="1" s="1"/>
  <c r="BV108" i="1" s="1"/>
  <c r="BV109" i="1" s="1"/>
  <c r="BV110" i="1" s="1"/>
  <c r="BV111" i="1" s="1"/>
  <c r="BV112" i="1" s="1"/>
  <c r="BV113" i="1" s="1"/>
  <c r="BV114" i="1" s="1"/>
  <c r="BV115" i="1" s="1"/>
  <c r="BV116" i="1" s="1"/>
  <c r="BV117" i="1" s="1"/>
  <c r="BV118" i="1" s="1"/>
  <c r="BV119" i="1" s="1"/>
  <c r="BV120" i="1" s="1"/>
  <c r="BV121" i="1" s="1"/>
  <c r="BV122" i="1" s="1"/>
  <c r="BV123" i="1" s="1"/>
  <c r="BV124" i="1" s="1"/>
  <c r="BV125" i="1" s="1"/>
  <c r="BV126" i="1" s="1"/>
  <c r="BV127" i="1" s="1"/>
  <c r="BV128" i="1" s="1"/>
  <c r="BV129" i="1" s="1"/>
  <c r="BV130" i="1" s="1"/>
  <c r="BV131" i="1" s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" i="1" s="1"/>
  <c r="BV11" i="1" l="1"/>
  <c r="BY64" i="1"/>
  <c r="BY65" i="1" s="1"/>
  <c r="BY66" i="1" s="1"/>
  <c r="BY67" i="1" s="1"/>
  <c r="BY68" i="1" s="1"/>
  <c r="BY69" i="1" s="1"/>
  <c r="BY70" i="1" s="1"/>
  <c r="BY71" i="1" s="1"/>
  <c r="BY72" i="1" s="1"/>
  <c r="BY73" i="1" s="1"/>
  <c r="BY74" i="1" s="1"/>
  <c r="BY75" i="1" s="1"/>
  <c r="BY76" i="1" s="1"/>
  <c r="BY77" i="1" s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Y89" i="1" s="1"/>
  <c r="BY90" i="1" s="1"/>
  <c r="BY91" i="1" s="1"/>
  <c r="BY92" i="1" s="1"/>
  <c r="BY93" i="1" s="1"/>
  <c r="BY94" i="1" s="1"/>
  <c r="BY95" i="1" s="1"/>
  <c r="BY96" i="1" s="1"/>
  <c r="BY97" i="1" s="1"/>
  <c r="BY98" i="1" s="1"/>
  <c r="BY99" i="1" s="1"/>
  <c r="BY100" i="1" s="1"/>
  <c r="BY101" i="1" s="1"/>
  <c r="BY102" i="1" s="1"/>
  <c r="BY103" i="1" s="1"/>
  <c r="BY104" i="1" s="1"/>
  <c r="BY105" i="1" s="1"/>
  <c r="BY106" i="1" s="1"/>
  <c r="BY107" i="1" s="1"/>
  <c r="BY108" i="1" s="1"/>
  <c r="BY109" i="1" s="1"/>
  <c r="BY110" i="1" s="1"/>
  <c r="BY111" i="1" s="1"/>
  <c r="BY112" i="1" s="1"/>
  <c r="BY113" i="1" s="1"/>
  <c r="BY114" i="1" s="1"/>
  <c r="BY115" i="1" s="1"/>
  <c r="BY116" i="1" s="1"/>
  <c r="BY117" i="1" s="1"/>
  <c r="BY118" i="1" s="1"/>
  <c r="BY119" i="1" s="1"/>
  <c r="BY120" i="1" s="1"/>
  <c r="BY121" i="1" s="1"/>
  <c r="BY122" i="1" s="1"/>
  <c r="BY123" i="1" s="1"/>
  <c r="BY124" i="1" s="1"/>
  <c r="BY125" i="1" s="1"/>
  <c r="BY126" i="1" s="1"/>
  <c r="BY127" i="1" s="1"/>
  <c r="BY128" i="1" s="1"/>
  <c r="BY129" i="1" s="1"/>
  <c r="BY130" i="1" s="1"/>
  <c r="BY131" i="1" s="1"/>
  <c r="BY132" i="1" s="1"/>
  <c r="BY133" i="1" s="1"/>
  <c r="BY134" i="1" s="1"/>
  <c r="BY135" i="1" s="1"/>
  <c r="BY136" i="1" s="1"/>
  <c r="BY137" i="1" s="1"/>
  <c r="BY138" i="1" s="1"/>
  <c r="BY139" i="1" s="1"/>
  <c r="BY140" i="1" s="1"/>
  <c r="BY141" i="1" s="1"/>
  <c r="BY142" i="1" s="1"/>
  <c r="BY143" i="1" s="1"/>
  <c r="BY144" i="1" s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Y155" i="1" s="1"/>
  <c r="BY156" i="1" s="1"/>
  <c r="BY157" i="1" s="1"/>
  <c r="BY158" i="1" s="1"/>
  <c r="BY159" i="1" s="1"/>
  <c r="BY160" i="1" s="1"/>
  <c r="BY161" i="1" s="1"/>
  <c r="BY162" i="1" s="1"/>
  <c r="BY163" i="1" s="1"/>
  <c r="BY164" i="1" s="1"/>
  <c r="BY165" i="1" s="1"/>
  <c r="BY166" i="1" s="1"/>
  <c r="BY167" i="1" s="1"/>
  <c r="BY1" i="1" s="1"/>
  <c r="BY9" i="1"/>
  <c r="BY10" i="1"/>
  <c r="BY11" i="1" l="1"/>
</calcChain>
</file>

<file path=xl/sharedStrings.xml><?xml version="1.0" encoding="utf-8"?>
<sst xmlns="http://schemas.openxmlformats.org/spreadsheetml/2006/main" count="53" uniqueCount="42">
  <si>
    <t>date</t>
  </si>
  <si>
    <t>XLU</t>
  </si>
  <si>
    <t>IDU</t>
  </si>
  <si>
    <t>XLU log rtn</t>
  </si>
  <si>
    <t>IDU log rtn</t>
  </si>
  <si>
    <t>XLU div</t>
  </si>
  <si>
    <t>XLU div cumsum</t>
  </si>
  <si>
    <t>IDU div</t>
  </si>
  <si>
    <t>IDU div cumsum</t>
  </si>
  <si>
    <t>XLU div adjustment</t>
  </si>
  <si>
    <t>IDU div adjustment</t>
  </si>
  <si>
    <t>XLU*</t>
  </si>
  <si>
    <t>IDU*</t>
  </si>
  <si>
    <t>IDU/XLU</t>
  </si>
  <si>
    <t>IDU/XLU avg</t>
  </si>
  <si>
    <t>IDU/XLU 10 dma</t>
  </si>
  <si>
    <t>IDU/XLU 20 dma</t>
  </si>
  <si>
    <t>XLU x avg</t>
  </si>
  <si>
    <t>XLU x 10 dma</t>
  </si>
  <si>
    <t>XLU x 20 dma</t>
  </si>
  <si>
    <t>log diff XLU x avg / IDU</t>
  </si>
  <si>
    <t>log diff XLU x 10 dma / IDU</t>
  </si>
  <si>
    <t>log diff XLU x 20 dma / IDU</t>
  </si>
  <si>
    <t>IDU*/XLU*</t>
  </si>
  <si>
    <t>IDU*/XLU* avg</t>
  </si>
  <si>
    <t>IDU*/XLU* 10 dma</t>
  </si>
  <si>
    <t>IDU*/XLU* 20 dma</t>
  </si>
  <si>
    <t>XLU* x avg</t>
  </si>
  <si>
    <t>XLU* x 10 dma</t>
  </si>
  <si>
    <t>XLU* x 20 dma</t>
  </si>
  <si>
    <t>log diff XLU* x avg / IDU*</t>
  </si>
  <si>
    <t>log diff XLU* x 10 dma / IDU*</t>
  </si>
  <si>
    <t>log diff XLU* x 20 dma / IDU*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</si>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</sst>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5D6-4D7D-95BF-84A4761C0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XLU_IDU_2!$BY$22:$BY$167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1.3642812404123985E-3</c:v>
                </c:pt>
                <c:pt idx="7">
                  <c:v>1.6444528733110773E-3</c:v>
                </c:pt>
                <c:pt idx="8">
                  <c:v>3.9759740697089783E-3</c:v>
                </c:pt>
                <c:pt idx="9">
                  <c:v>2.5297757832136794E-3</c:v>
                </c:pt>
                <c:pt idx="10">
                  <c:v>2.0522693378020695E-3</c:v>
                </c:pt>
                <c:pt idx="11">
                  <c:v>2.9979347868081675E-3</c:v>
                </c:pt>
                <c:pt idx="12">
                  <c:v>2.2535688534597669E-3</c:v>
                </c:pt>
                <c:pt idx="13">
                  <c:v>8.2861975614644716E-4</c:v>
                </c:pt>
                <c:pt idx="14">
                  <c:v>-5.6980948552075262E-4</c:v>
                </c:pt>
                <c:pt idx="15">
                  <c:v>-1.7698118886542327E-3</c:v>
                </c:pt>
                <c:pt idx="16">
                  <c:v>-1.7153188217482428E-3</c:v>
                </c:pt>
                <c:pt idx="17">
                  <c:v>5.005743119887076E-4</c:v>
                </c:pt>
                <c:pt idx="18">
                  <c:v>9.9651560874760604E-4</c:v>
                </c:pt>
                <c:pt idx="19">
                  <c:v>2.4177554682148555E-3</c:v>
                </c:pt>
                <c:pt idx="20">
                  <c:v>2.8347928784665652E-3</c:v>
                </c:pt>
                <c:pt idx="21">
                  <c:v>2.277740603200885E-3</c:v>
                </c:pt>
                <c:pt idx="22">
                  <c:v>3.3454240402822143E-3</c:v>
                </c:pt>
                <c:pt idx="23">
                  <c:v>3.3454240402822143E-3</c:v>
                </c:pt>
                <c:pt idx="24">
                  <c:v>3.3454240402822143E-3</c:v>
                </c:pt>
                <c:pt idx="25">
                  <c:v>3.3454240402822143E-3</c:v>
                </c:pt>
                <c:pt idx="26">
                  <c:v>3.3454240402822143E-3</c:v>
                </c:pt>
                <c:pt idx="27">
                  <c:v>3.3454240402822143E-3</c:v>
                </c:pt>
                <c:pt idx="28">
                  <c:v>3.3454240402822143E-3</c:v>
                </c:pt>
                <c:pt idx="29">
                  <c:v>3.3454240402822143E-3</c:v>
                </c:pt>
                <c:pt idx="30">
                  <c:v>3.3454240402822143E-3</c:v>
                </c:pt>
                <c:pt idx="31">
                  <c:v>3.3454240402822143E-3</c:v>
                </c:pt>
                <c:pt idx="32">
                  <c:v>3.3454240402822143E-3</c:v>
                </c:pt>
                <c:pt idx="33">
                  <c:v>3.3454240402822143E-3</c:v>
                </c:pt>
                <c:pt idx="34">
                  <c:v>3.3454240402822143E-3</c:v>
                </c:pt>
                <c:pt idx="35">
                  <c:v>3.3454240402822143E-3</c:v>
                </c:pt>
                <c:pt idx="36">
                  <c:v>3.3454240402822143E-3</c:v>
                </c:pt>
                <c:pt idx="37">
                  <c:v>3.3454240402822143E-3</c:v>
                </c:pt>
                <c:pt idx="38">
                  <c:v>3.3454240402822143E-3</c:v>
                </c:pt>
                <c:pt idx="39">
                  <c:v>3.3454240402822143E-3</c:v>
                </c:pt>
                <c:pt idx="40">
                  <c:v>3.3454240402822143E-3</c:v>
                </c:pt>
                <c:pt idx="41">
                  <c:v>3.3454240402822143E-3</c:v>
                </c:pt>
                <c:pt idx="42">
                  <c:v>3.3454240402822143E-3</c:v>
                </c:pt>
                <c:pt idx="43">
                  <c:v>3.3454240402822143E-3</c:v>
                </c:pt>
                <c:pt idx="44">
                  <c:v>3.3454240402822143E-3</c:v>
                </c:pt>
                <c:pt idx="45">
                  <c:v>3.3454240402822143E-3</c:v>
                </c:pt>
                <c:pt idx="46">
                  <c:v>3.3454240402822143E-3</c:v>
                </c:pt>
                <c:pt idx="47">
                  <c:v>3.3454240402822143E-3</c:v>
                </c:pt>
                <c:pt idx="48">
                  <c:v>4.7009159728478144E-3</c:v>
                </c:pt>
                <c:pt idx="49">
                  <c:v>4.2562827456644348E-3</c:v>
                </c:pt>
                <c:pt idx="50">
                  <c:v>4.5740989441584445E-3</c:v>
                </c:pt>
                <c:pt idx="51">
                  <c:v>3.3437859863228144E-3</c:v>
                </c:pt>
                <c:pt idx="52">
                  <c:v>3.7694719323278147E-3</c:v>
                </c:pt>
                <c:pt idx="53">
                  <c:v>4.5083031332307346E-3</c:v>
                </c:pt>
                <c:pt idx="54">
                  <c:v>4.2597691863565353E-3</c:v>
                </c:pt>
                <c:pt idx="55">
                  <c:v>5.7769209551192888E-3</c:v>
                </c:pt>
                <c:pt idx="56">
                  <c:v>5.7769209551192888E-3</c:v>
                </c:pt>
                <c:pt idx="57">
                  <c:v>6.7001448440414989E-3</c:v>
                </c:pt>
                <c:pt idx="58">
                  <c:v>8.3727060439806288E-3</c:v>
                </c:pt>
                <c:pt idx="59">
                  <c:v>8.3727060439806288E-3</c:v>
                </c:pt>
                <c:pt idx="60">
                  <c:v>8.3727060439806288E-3</c:v>
                </c:pt>
                <c:pt idx="61">
                  <c:v>8.3727060439806288E-3</c:v>
                </c:pt>
                <c:pt idx="62">
                  <c:v>8.3727060439806288E-3</c:v>
                </c:pt>
                <c:pt idx="63">
                  <c:v>9.6031993252384679E-3</c:v>
                </c:pt>
                <c:pt idx="64">
                  <c:v>8.4069247230352181E-3</c:v>
                </c:pt>
                <c:pt idx="65">
                  <c:v>8.274486472549818E-3</c:v>
                </c:pt>
                <c:pt idx="66">
                  <c:v>9.3984675987985183E-3</c:v>
                </c:pt>
                <c:pt idx="67">
                  <c:v>8.7776844118881286E-3</c:v>
                </c:pt>
                <c:pt idx="68">
                  <c:v>7.6377222871717686E-3</c:v>
                </c:pt>
                <c:pt idx="69">
                  <c:v>9.4270605697781094E-3</c:v>
                </c:pt>
                <c:pt idx="70">
                  <c:v>9.0984701436968088E-3</c:v>
                </c:pt>
                <c:pt idx="71">
                  <c:v>9.8875749626097381E-3</c:v>
                </c:pt>
                <c:pt idx="72">
                  <c:v>9.8875749626097381E-3</c:v>
                </c:pt>
                <c:pt idx="73">
                  <c:v>9.3236525218600083E-3</c:v>
                </c:pt>
                <c:pt idx="74">
                  <c:v>9.9771168971981277E-3</c:v>
                </c:pt>
                <c:pt idx="75">
                  <c:v>1.1223837898107597E-2</c:v>
                </c:pt>
                <c:pt idx="76">
                  <c:v>1.2974537750075408E-2</c:v>
                </c:pt>
                <c:pt idx="77">
                  <c:v>1.2974537750075408E-2</c:v>
                </c:pt>
                <c:pt idx="78">
                  <c:v>1.2974537750075408E-2</c:v>
                </c:pt>
                <c:pt idx="79">
                  <c:v>1.2974537750075408E-2</c:v>
                </c:pt>
                <c:pt idx="80">
                  <c:v>1.2974537750075408E-2</c:v>
                </c:pt>
                <c:pt idx="81">
                  <c:v>1.2974537750075408E-2</c:v>
                </c:pt>
                <c:pt idx="82">
                  <c:v>1.2974537750075408E-2</c:v>
                </c:pt>
                <c:pt idx="83">
                  <c:v>1.4367769320283609E-2</c:v>
                </c:pt>
                <c:pt idx="84">
                  <c:v>1.2828320136481339E-2</c:v>
                </c:pt>
                <c:pt idx="85">
                  <c:v>1.2128907292725909E-2</c:v>
                </c:pt>
                <c:pt idx="86">
                  <c:v>1.3095470345184879E-2</c:v>
                </c:pt>
                <c:pt idx="87">
                  <c:v>1.2819846745048581E-2</c:v>
                </c:pt>
                <c:pt idx="88">
                  <c:v>1.1064136732161983E-2</c:v>
                </c:pt>
                <c:pt idx="89">
                  <c:v>1.1249811657480364E-2</c:v>
                </c:pt>
                <c:pt idx="90">
                  <c:v>1.3910672838426594E-2</c:v>
                </c:pt>
                <c:pt idx="91">
                  <c:v>1.3910672838426594E-2</c:v>
                </c:pt>
                <c:pt idx="92">
                  <c:v>1.3910672838426594E-2</c:v>
                </c:pt>
                <c:pt idx="93">
                  <c:v>1.3910672838426594E-2</c:v>
                </c:pt>
                <c:pt idx="94">
                  <c:v>1.3910672838426594E-2</c:v>
                </c:pt>
                <c:pt idx="95">
                  <c:v>1.3910672838426594E-2</c:v>
                </c:pt>
                <c:pt idx="96">
                  <c:v>1.3910672838426594E-2</c:v>
                </c:pt>
                <c:pt idx="97">
                  <c:v>1.3910672838426594E-2</c:v>
                </c:pt>
                <c:pt idx="98">
                  <c:v>1.3910672838426594E-2</c:v>
                </c:pt>
                <c:pt idx="99">
                  <c:v>1.3910672838426594E-2</c:v>
                </c:pt>
                <c:pt idx="100">
                  <c:v>1.3910672838426594E-2</c:v>
                </c:pt>
                <c:pt idx="101">
                  <c:v>1.3910672838426594E-2</c:v>
                </c:pt>
                <c:pt idx="102">
                  <c:v>1.3910672838426594E-2</c:v>
                </c:pt>
                <c:pt idx="103">
                  <c:v>1.3910672838426594E-2</c:v>
                </c:pt>
                <c:pt idx="104">
                  <c:v>1.3910672838426594E-2</c:v>
                </c:pt>
                <c:pt idx="105">
                  <c:v>1.3910672838426594E-2</c:v>
                </c:pt>
                <c:pt idx="106">
                  <c:v>1.3910672838426594E-2</c:v>
                </c:pt>
                <c:pt idx="107">
                  <c:v>1.4147032643028783E-2</c:v>
                </c:pt>
                <c:pt idx="108">
                  <c:v>1.3854328336164384E-2</c:v>
                </c:pt>
                <c:pt idx="109">
                  <c:v>1.4293318078324162E-2</c:v>
                </c:pt>
                <c:pt idx="110">
                  <c:v>1.3658618113043293E-2</c:v>
                </c:pt>
                <c:pt idx="111">
                  <c:v>1.3950551570472692E-2</c:v>
                </c:pt>
                <c:pt idx="112">
                  <c:v>1.2882324599390302E-2</c:v>
                </c:pt>
                <c:pt idx="113">
                  <c:v>1.1455370436488362E-2</c:v>
                </c:pt>
                <c:pt idx="114">
                  <c:v>1.2037206320529003E-2</c:v>
                </c:pt>
                <c:pt idx="115">
                  <c:v>1.2170680072788223E-2</c:v>
                </c:pt>
                <c:pt idx="116">
                  <c:v>1.3740877931493405E-2</c:v>
                </c:pt>
                <c:pt idx="117">
                  <c:v>1.4886291367159007E-2</c:v>
                </c:pt>
                <c:pt idx="118">
                  <c:v>1.5476924162718637E-2</c:v>
                </c:pt>
                <c:pt idx="119">
                  <c:v>1.5476924162718637E-2</c:v>
                </c:pt>
                <c:pt idx="120">
                  <c:v>1.5476924162718637E-2</c:v>
                </c:pt>
                <c:pt idx="121">
                  <c:v>1.5476924162718637E-2</c:v>
                </c:pt>
                <c:pt idx="122">
                  <c:v>1.5476924162718637E-2</c:v>
                </c:pt>
                <c:pt idx="123">
                  <c:v>1.5476924162718637E-2</c:v>
                </c:pt>
                <c:pt idx="124">
                  <c:v>1.5476924162718637E-2</c:v>
                </c:pt>
                <c:pt idx="125">
                  <c:v>1.5476924162718637E-2</c:v>
                </c:pt>
                <c:pt idx="126">
                  <c:v>1.5476924162718637E-2</c:v>
                </c:pt>
                <c:pt idx="127">
                  <c:v>1.5476924162718637E-2</c:v>
                </c:pt>
                <c:pt idx="128">
                  <c:v>1.5476924162718637E-2</c:v>
                </c:pt>
                <c:pt idx="129">
                  <c:v>1.4798511558118108E-2</c:v>
                </c:pt>
                <c:pt idx="130">
                  <c:v>1.4149960666367607E-2</c:v>
                </c:pt>
                <c:pt idx="131">
                  <c:v>1.4986661319809007E-2</c:v>
                </c:pt>
                <c:pt idx="132">
                  <c:v>1.5203420942326077E-2</c:v>
                </c:pt>
                <c:pt idx="133">
                  <c:v>1.6441901543083347E-2</c:v>
                </c:pt>
                <c:pt idx="134">
                  <c:v>1.6582211531538497E-2</c:v>
                </c:pt>
                <c:pt idx="135">
                  <c:v>1.6937453787737138E-2</c:v>
                </c:pt>
                <c:pt idx="136">
                  <c:v>1.7777215298147287E-2</c:v>
                </c:pt>
                <c:pt idx="137">
                  <c:v>1.7777215298147287E-2</c:v>
                </c:pt>
                <c:pt idx="138">
                  <c:v>1.7819658036659636E-2</c:v>
                </c:pt>
                <c:pt idx="139">
                  <c:v>1.5145535843296035E-2</c:v>
                </c:pt>
                <c:pt idx="140">
                  <c:v>1.5931523790191957E-2</c:v>
                </c:pt>
                <c:pt idx="141">
                  <c:v>1.7829975847338142E-2</c:v>
                </c:pt>
                <c:pt idx="142">
                  <c:v>1.8447006200778542E-2</c:v>
                </c:pt>
                <c:pt idx="143">
                  <c:v>1.8447006200778542E-2</c:v>
                </c:pt>
                <c:pt idx="144">
                  <c:v>1.8447006200778542E-2</c:v>
                </c:pt>
                <c:pt idx="145">
                  <c:v>1.8447006200778542E-2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6-42FC-99FA-FB2084523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XLU_IDU_2!$BJ$22:$BJ$167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1.3642812404123985E-3</c:v>
                </c:pt>
                <c:pt idx="7">
                  <c:v>1.6444528733110773E-3</c:v>
                </c:pt>
                <c:pt idx="8">
                  <c:v>3.9759740697089783E-3</c:v>
                </c:pt>
                <c:pt idx="9">
                  <c:v>3.9759740697089783E-3</c:v>
                </c:pt>
                <c:pt idx="10">
                  <c:v>3.9759740697089783E-3</c:v>
                </c:pt>
                <c:pt idx="11">
                  <c:v>3.9759740697089783E-3</c:v>
                </c:pt>
                <c:pt idx="12">
                  <c:v>3.9759740697089783E-3</c:v>
                </c:pt>
                <c:pt idx="13">
                  <c:v>3.9759740697089783E-3</c:v>
                </c:pt>
                <c:pt idx="14">
                  <c:v>3.9759740697089783E-3</c:v>
                </c:pt>
                <c:pt idx="15">
                  <c:v>3.9759740697089783E-3</c:v>
                </c:pt>
                <c:pt idx="16">
                  <c:v>3.9759740697089783E-3</c:v>
                </c:pt>
                <c:pt idx="17">
                  <c:v>3.9759740697089783E-3</c:v>
                </c:pt>
                <c:pt idx="18">
                  <c:v>3.9759740697089783E-3</c:v>
                </c:pt>
                <c:pt idx="19">
                  <c:v>3.9759740697089783E-3</c:v>
                </c:pt>
                <c:pt idx="20">
                  <c:v>3.9759740697089783E-3</c:v>
                </c:pt>
                <c:pt idx="21">
                  <c:v>3.9759740697089783E-3</c:v>
                </c:pt>
                <c:pt idx="22">
                  <c:v>3.9759740697089783E-3</c:v>
                </c:pt>
                <c:pt idx="23">
                  <c:v>3.9759740697089783E-3</c:v>
                </c:pt>
                <c:pt idx="24">
                  <c:v>3.9759740697089783E-3</c:v>
                </c:pt>
                <c:pt idx="25">
                  <c:v>3.9759740697089783E-3</c:v>
                </c:pt>
                <c:pt idx="26">
                  <c:v>3.9759740697089783E-3</c:v>
                </c:pt>
                <c:pt idx="27">
                  <c:v>3.9759740697089783E-3</c:v>
                </c:pt>
                <c:pt idx="28">
                  <c:v>3.9759740697089783E-3</c:v>
                </c:pt>
                <c:pt idx="29">
                  <c:v>3.9759740697089783E-3</c:v>
                </c:pt>
                <c:pt idx="30">
                  <c:v>3.9759740697089783E-3</c:v>
                </c:pt>
                <c:pt idx="31">
                  <c:v>3.9759740697089783E-3</c:v>
                </c:pt>
                <c:pt idx="32">
                  <c:v>3.9759740697089783E-3</c:v>
                </c:pt>
                <c:pt idx="33">
                  <c:v>3.9759740697089783E-3</c:v>
                </c:pt>
                <c:pt idx="34">
                  <c:v>3.9759740697089783E-3</c:v>
                </c:pt>
                <c:pt idx="35">
                  <c:v>3.9759740697089783E-3</c:v>
                </c:pt>
                <c:pt idx="36">
                  <c:v>3.9759740697089783E-3</c:v>
                </c:pt>
                <c:pt idx="37">
                  <c:v>3.9759740697089783E-3</c:v>
                </c:pt>
                <c:pt idx="38">
                  <c:v>3.9759740697089783E-3</c:v>
                </c:pt>
                <c:pt idx="39">
                  <c:v>3.9759740697089783E-3</c:v>
                </c:pt>
                <c:pt idx="40">
                  <c:v>3.9759740697089783E-3</c:v>
                </c:pt>
                <c:pt idx="41">
                  <c:v>3.9759740697089783E-3</c:v>
                </c:pt>
                <c:pt idx="42">
                  <c:v>3.9759740697089783E-3</c:v>
                </c:pt>
                <c:pt idx="43">
                  <c:v>3.9759740697089783E-3</c:v>
                </c:pt>
                <c:pt idx="44">
                  <c:v>3.9759740697089783E-3</c:v>
                </c:pt>
                <c:pt idx="45">
                  <c:v>3.9759740697089783E-3</c:v>
                </c:pt>
                <c:pt idx="46">
                  <c:v>3.9759740697089783E-3</c:v>
                </c:pt>
                <c:pt idx="47">
                  <c:v>3.9759740697089783E-3</c:v>
                </c:pt>
                <c:pt idx="48">
                  <c:v>3.9759740697089783E-3</c:v>
                </c:pt>
                <c:pt idx="49">
                  <c:v>3.9759740697089783E-3</c:v>
                </c:pt>
                <c:pt idx="50">
                  <c:v>3.9759740697089783E-3</c:v>
                </c:pt>
                <c:pt idx="51">
                  <c:v>3.9759740697089783E-3</c:v>
                </c:pt>
                <c:pt idx="52">
                  <c:v>3.9759740697089783E-3</c:v>
                </c:pt>
                <c:pt idx="53">
                  <c:v>3.9759740697089783E-3</c:v>
                </c:pt>
                <c:pt idx="54">
                  <c:v>3.9759740697089783E-3</c:v>
                </c:pt>
                <c:pt idx="55">
                  <c:v>3.9759740697089783E-3</c:v>
                </c:pt>
                <c:pt idx="56">
                  <c:v>3.9759740697089783E-3</c:v>
                </c:pt>
                <c:pt idx="57">
                  <c:v>4.8991979586311884E-3</c:v>
                </c:pt>
                <c:pt idx="58">
                  <c:v>6.5717591585703183E-3</c:v>
                </c:pt>
                <c:pt idx="59">
                  <c:v>6.5717591585703183E-3</c:v>
                </c:pt>
                <c:pt idx="60">
                  <c:v>6.5717591585703183E-3</c:v>
                </c:pt>
                <c:pt idx="61">
                  <c:v>6.5717591585703183E-3</c:v>
                </c:pt>
                <c:pt idx="62">
                  <c:v>6.5717591585703183E-3</c:v>
                </c:pt>
                <c:pt idx="63">
                  <c:v>6.5717591585703183E-3</c:v>
                </c:pt>
                <c:pt idx="64">
                  <c:v>6.5717591585703183E-3</c:v>
                </c:pt>
                <c:pt idx="65">
                  <c:v>6.5717591585703183E-3</c:v>
                </c:pt>
                <c:pt idx="66">
                  <c:v>6.5717591585703183E-3</c:v>
                </c:pt>
                <c:pt idx="67">
                  <c:v>6.5717591585703183E-3</c:v>
                </c:pt>
                <c:pt idx="68">
                  <c:v>6.5717591585703183E-3</c:v>
                </c:pt>
                <c:pt idx="69">
                  <c:v>6.5717591585703183E-3</c:v>
                </c:pt>
                <c:pt idx="70">
                  <c:v>6.5717591585703183E-3</c:v>
                </c:pt>
                <c:pt idx="71">
                  <c:v>6.5717591585703183E-3</c:v>
                </c:pt>
                <c:pt idx="72">
                  <c:v>6.5717591585703183E-3</c:v>
                </c:pt>
                <c:pt idx="73">
                  <c:v>6.0078367178205885E-3</c:v>
                </c:pt>
                <c:pt idx="74">
                  <c:v>6.6613010931587079E-3</c:v>
                </c:pt>
                <c:pt idx="75">
                  <c:v>7.9080220940681775E-3</c:v>
                </c:pt>
                <c:pt idx="76">
                  <c:v>9.6587219460359877E-3</c:v>
                </c:pt>
                <c:pt idx="77">
                  <c:v>9.6587219460359877E-3</c:v>
                </c:pt>
                <c:pt idx="78">
                  <c:v>9.6587219460359877E-3</c:v>
                </c:pt>
                <c:pt idx="79">
                  <c:v>9.6587219460359877E-3</c:v>
                </c:pt>
                <c:pt idx="80">
                  <c:v>9.6587219460359877E-3</c:v>
                </c:pt>
                <c:pt idx="81">
                  <c:v>9.6587219460359877E-3</c:v>
                </c:pt>
                <c:pt idx="82">
                  <c:v>9.6587219460359877E-3</c:v>
                </c:pt>
                <c:pt idx="83">
                  <c:v>1.105195351624419E-2</c:v>
                </c:pt>
                <c:pt idx="84">
                  <c:v>9.5125043324419192E-3</c:v>
                </c:pt>
                <c:pt idx="85">
                  <c:v>8.8130914886864892E-3</c:v>
                </c:pt>
                <c:pt idx="86">
                  <c:v>9.7796545411454588E-3</c:v>
                </c:pt>
                <c:pt idx="87">
                  <c:v>9.5040309410091613E-3</c:v>
                </c:pt>
                <c:pt idx="88">
                  <c:v>7.7483209281225627E-3</c:v>
                </c:pt>
                <c:pt idx="89">
                  <c:v>7.9339958534409439E-3</c:v>
                </c:pt>
                <c:pt idx="90">
                  <c:v>1.0594857034387173E-2</c:v>
                </c:pt>
                <c:pt idx="91">
                  <c:v>1.0594857034387173E-2</c:v>
                </c:pt>
                <c:pt idx="92">
                  <c:v>1.0594857034387173E-2</c:v>
                </c:pt>
                <c:pt idx="93">
                  <c:v>1.0594857034387173E-2</c:v>
                </c:pt>
                <c:pt idx="94">
                  <c:v>1.0594857034387173E-2</c:v>
                </c:pt>
                <c:pt idx="95">
                  <c:v>1.0594857034387173E-2</c:v>
                </c:pt>
                <c:pt idx="96">
                  <c:v>1.0594857034387173E-2</c:v>
                </c:pt>
                <c:pt idx="97">
                  <c:v>1.0594857034387173E-2</c:v>
                </c:pt>
                <c:pt idx="98">
                  <c:v>1.0594857034387173E-2</c:v>
                </c:pt>
                <c:pt idx="99">
                  <c:v>1.0594857034387173E-2</c:v>
                </c:pt>
                <c:pt idx="100">
                  <c:v>1.0594857034387173E-2</c:v>
                </c:pt>
                <c:pt idx="101">
                  <c:v>1.0594857034387173E-2</c:v>
                </c:pt>
                <c:pt idx="102">
                  <c:v>1.0594857034387173E-2</c:v>
                </c:pt>
                <c:pt idx="103">
                  <c:v>1.0594857034387173E-2</c:v>
                </c:pt>
                <c:pt idx="104">
                  <c:v>1.0594857034387173E-2</c:v>
                </c:pt>
                <c:pt idx="105">
                  <c:v>1.0594857034387173E-2</c:v>
                </c:pt>
                <c:pt idx="106">
                  <c:v>1.0594857034387173E-2</c:v>
                </c:pt>
                <c:pt idx="107">
                  <c:v>1.0831216838989362E-2</c:v>
                </c:pt>
                <c:pt idx="108">
                  <c:v>1.0538512532124962E-2</c:v>
                </c:pt>
                <c:pt idx="109">
                  <c:v>1.0977502274284741E-2</c:v>
                </c:pt>
                <c:pt idx="110">
                  <c:v>1.0342802309003871E-2</c:v>
                </c:pt>
                <c:pt idx="111">
                  <c:v>1.063473576643327E-2</c:v>
                </c:pt>
                <c:pt idx="112">
                  <c:v>9.5665087953508803E-3</c:v>
                </c:pt>
                <c:pt idx="113">
                  <c:v>8.1395546324489407E-3</c:v>
                </c:pt>
                <c:pt idx="114">
                  <c:v>8.721390516489581E-3</c:v>
                </c:pt>
                <c:pt idx="115">
                  <c:v>8.8548642687488015E-3</c:v>
                </c:pt>
                <c:pt idx="116">
                  <c:v>1.0425062127453984E-2</c:v>
                </c:pt>
                <c:pt idx="117">
                  <c:v>1.1570475563119586E-2</c:v>
                </c:pt>
                <c:pt idx="118">
                  <c:v>1.2161108358679215E-2</c:v>
                </c:pt>
                <c:pt idx="119">
                  <c:v>1.2161108358679215E-2</c:v>
                </c:pt>
                <c:pt idx="120">
                  <c:v>1.2161108358679215E-2</c:v>
                </c:pt>
                <c:pt idx="121">
                  <c:v>1.2161108358679215E-2</c:v>
                </c:pt>
                <c:pt idx="122">
                  <c:v>1.2161108358679215E-2</c:v>
                </c:pt>
                <c:pt idx="123">
                  <c:v>1.2161108358679215E-2</c:v>
                </c:pt>
                <c:pt idx="124">
                  <c:v>1.2161108358679215E-2</c:v>
                </c:pt>
                <c:pt idx="125">
                  <c:v>1.2161108358679215E-2</c:v>
                </c:pt>
                <c:pt idx="126">
                  <c:v>1.2161108358679215E-2</c:v>
                </c:pt>
                <c:pt idx="127">
                  <c:v>1.2161108358679215E-2</c:v>
                </c:pt>
                <c:pt idx="128">
                  <c:v>1.2161108358679215E-2</c:v>
                </c:pt>
                <c:pt idx="129">
                  <c:v>1.1482695754078686E-2</c:v>
                </c:pt>
                <c:pt idx="130">
                  <c:v>1.0834144862328185E-2</c:v>
                </c:pt>
                <c:pt idx="131">
                  <c:v>1.1670845515769586E-2</c:v>
                </c:pt>
                <c:pt idx="132">
                  <c:v>1.1887605138286655E-2</c:v>
                </c:pt>
                <c:pt idx="133">
                  <c:v>1.3126085739043926E-2</c:v>
                </c:pt>
                <c:pt idx="134">
                  <c:v>1.3266395727499075E-2</c:v>
                </c:pt>
                <c:pt idx="135">
                  <c:v>1.3621637983697716E-2</c:v>
                </c:pt>
                <c:pt idx="136">
                  <c:v>1.4461399494107866E-2</c:v>
                </c:pt>
                <c:pt idx="137">
                  <c:v>1.4461399494107866E-2</c:v>
                </c:pt>
                <c:pt idx="138">
                  <c:v>1.4503842232620216E-2</c:v>
                </c:pt>
                <c:pt idx="139">
                  <c:v>1.1829720039256615E-2</c:v>
                </c:pt>
                <c:pt idx="140">
                  <c:v>1.2615707986152537E-2</c:v>
                </c:pt>
                <c:pt idx="141">
                  <c:v>1.4514160043298724E-2</c:v>
                </c:pt>
                <c:pt idx="142">
                  <c:v>1.5131190396739123E-2</c:v>
                </c:pt>
                <c:pt idx="143">
                  <c:v>1.5131190396739123E-2</c:v>
                </c:pt>
                <c:pt idx="144">
                  <c:v>1.5131190396739123E-2</c:v>
                </c:pt>
                <c:pt idx="145">
                  <c:v>1.5131190396739123E-2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B9-44FD-A302-C1D4EEBF7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XLU_IDU_2!$BV$22:$BV$167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-1.4461982864952989E-3</c:v>
                </c:pt>
                <c:pt idx="10">
                  <c:v>-1.9237047319069088E-3</c:v>
                </c:pt>
                <c:pt idx="11">
                  <c:v>-9.7803928290081084E-4</c:v>
                </c:pt>
                <c:pt idx="12">
                  <c:v>-1.7224052162492114E-3</c:v>
                </c:pt>
                <c:pt idx="13">
                  <c:v>-3.1473543135625312E-3</c:v>
                </c:pt>
                <c:pt idx="14">
                  <c:v>-4.5457835552297314E-3</c:v>
                </c:pt>
                <c:pt idx="15">
                  <c:v>-5.7457859583632115E-3</c:v>
                </c:pt>
                <c:pt idx="16">
                  <c:v>-5.6912928914572211E-3</c:v>
                </c:pt>
                <c:pt idx="17">
                  <c:v>-3.4753997577202708E-3</c:v>
                </c:pt>
                <c:pt idx="18">
                  <c:v>-2.9794584609613723E-3</c:v>
                </c:pt>
                <c:pt idx="19">
                  <c:v>-1.5582186014941228E-3</c:v>
                </c:pt>
                <c:pt idx="20">
                  <c:v>-1.1411811912424132E-3</c:v>
                </c:pt>
                <c:pt idx="21">
                  <c:v>-1.6982334665080934E-3</c:v>
                </c:pt>
                <c:pt idx="22">
                  <c:v>-6.305500294267641E-4</c:v>
                </c:pt>
                <c:pt idx="23">
                  <c:v>-6.305500294267641E-4</c:v>
                </c:pt>
                <c:pt idx="24">
                  <c:v>-6.305500294267641E-4</c:v>
                </c:pt>
                <c:pt idx="25">
                  <c:v>-6.305500294267641E-4</c:v>
                </c:pt>
                <c:pt idx="26">
                  <c:v>-6.305500294267641E-4</c:v>
                </c:pt>
                <c:pt idx="27">
                  <c:v>-6.305500294267641E-4</c:v>
                </c:pt>
                <c:pt idx="28">
                  <c:v>-6.305500294267641E-4</c:v>
                </c:pt>
                <c:pt idx="29">
                  <c:v>-6.305500294267641E-4</c:v>
                </c:pt>
                <c:pt idx="30">
                  <c:v>-6.305500294267641E-4</c:v>
                </c:pt>
                <c:pt idx="31">
                  <c:v>-6.305500294267641E-4</c:v>
                </c:pt>
                <c:pt idx="32">
                  <c:v>-6.305500294267641E-4</c:v>
                </c:pt>
                <c:pt idx="33">
                  <c:v>-6.305500294267641E-4</c:v>
                </c:pt>
                <c:pt idx="34">
                  <c:v>-6.305500294267641E-4</c:v>
                </c:pt>
                <c:pt idx="35">
                  <c:v>-6.305500294267641E-4</c:v>
                </c:pt>
                <c:pt idx="36">
                  <c:v>-6.305500294267641E-4</c:v>
                </c:pt>
                <c:pt idx="37">
                  <c:v>-6.305500294267641E-4</c:v>
                </c:pt>
                <c:pt idx="38">
                  <c:v>-6.305500294267641E-4</c:v>
                </c:pt>
                <c:pt idx="39">
                  <c:v>-6.305500294267641E-4</c:v>
                </c:pt>
                <c:pt idx="40">
                  <c:v>-6.305500294267641E-4</c:v>
                </c:pt>
                <c:pt idx="41">
                  <c:v>-6.305500294267641E-4</c:v>
                </c:pt>
                <c:pt idx="42">
                  <c:v>-6.305500294267641E-4</c:v>
                </c:pt>
                <c:pt idx="43">
                  <c:v>-6.305500294267641E-4</c:v>
                </c:pt>
                <c:pt idx="44">
                  <c:v>-6.305500294267641E-4</c:v>
                </c:pt>
                <c:pt idx="45">
                  <c:v>-6.305500294267641E-4</c:v>
                </c:pt>
                <c:pt idx="46">
                  <c:v>-6.305500294267641E-4</c:v>
                </c:pt>
                <c:pt idx="47">
                  <c:v>-6.305500294267641E-4</c:v>
                </c:pt>
                <c:pt idx="48">
                  <c:v>7.2494190313883563E-4</c:v>
                </c:pt>
                <c:pt idx="49">
                  <c:v>2.8030867595545562E-4</c:v>
                </c:pt>
                <c:pt idx="50">
                  <c:v>5.9812487444946532E-4</c:v>
                </c:pt>
                <c:pt idx="51">
                  <c:v>-6.3218808338616483E-4</c:v>
                </c:pt>
                <c:pt idx="52">
                  <c:v>-2.0650213738116451E-4</c:v>
                </c:pt>
                <c:pt idx="53">
                  <c:v>5.3232906352175535E-4</c:v>
                </c:pt>
                <c:pt idx="54">
                  <c:v>2.8379511664755608E-4</c:v>
                </c:pt>
                <c:pt idx="55">
                  <c:v>1.8009468854103092E-3</c:v>
                </c:pt>
                <c:pt idx="56">
                  <c:v>1.8009468854103092E-3</c:v>
                </c:pt>
                <c:pt idx="57">
                  <c:v>1.8009468854103092E-3</c:v>
                </c:pt>
                <c:pt idx="58">
                  <c:v>1.8009468854103092E-3</c:v>
                </c:pt>
                <c:pt idx="59">
                  <c:v>1.8009468854103092E-3</c:v>
                </c:pt>
                <c:pt idx="60">
                  <c:v>1.8009468854103092E-3</c:v>
                </c:pt>
                <c:pt idx="61">
                  <c:v>1.8009468854103092E-3</c:v>
                </c:pt>
                <c:pt idx="62">
                  <c:v>1.8009468854103092E-3</c:v>
                </c:pt>
                <c:pt idx="63">
                  <c:v>3.0314401666681492E-3</c:v>
                </c:pt>
                <c:pt idx="64">
                  <c:v>1.8351655644648992E-3</c:v>
                </c:pt>
                <c:pt idx="65">
                  <c:v>1.7027273139794991E-3</c:v>
                </c:pt>
                <c:pt idx="66">
                  <c:v>2.8267084402281992E-3</c:v>
                </c:pt>
                <c:pt idx="67">
                  <c:v>2.2059252533178095E-3</c:v>
                </c:pt>
                <c:pt idx="68">
                  <c:v>1.0659631286014494E-3</c:v>
                </c:pt>
                <c:pt idx="69">
                  <c:v>2.8553014112077894E-3</c:v>
                </c:pt>
                <c:pt idx="70">
                  <c:v>2.5267109851264888E-3</c:v>
                </c:pt>
                <c:pt idx="71">
                  <c:v>3.315815804039419E-3</c:v>
                </c:pt>
                <c:pt idx="72">
                  <c:v>3.315815804039419E-3</c:v>
                </c:pt>
                <c:pt idx="73">
                  <c:v>3.315815804039419E-3</c:v>
                </c:pt>
                <c:pt idx="74">
                  <c:v>3.315815804039419E-3</c:v>
                </c:pt>
                <c:pt idx="75">
                  <c:v>3.315815804039419E-3</c:v>
                </c:pt>
                <c:pt idx="76">
                  <c:v>3.315815804039419E-3</c:v>
                </c:pt>
                <c:pt idx="77">
                  <c:v>3.315815804039419E-3</c:v>
                </c:pt>
                <c:pt idx="78">
                  <c:v>3.315815804039419E-3</c:v>
                </c:pt>
                <c:pt idx="79">
                  <c:v>3.315815804039419E-3</c:v>
                </c:pt>
                <c:pt idx="80">
                  <c:v>3.315815804039419E-3</c:v>
                </c:pt>
                <c:pt idx="81">
                  <c:v>3.315815804039419E-3</c:v>
                </c:pt>
                <c:pt idx="82">
                  <c:v>3.315815804039419E-3</c:v>
                </c:pt>
                <c:pt idx="83">
                  <c:v>3.315815804039419E-3</c:v>
                </c:pt>
                <c:pt idx="84">
                  <c:v>3.315815804039419E-3</c:v>
                </c:pt>
                <c:pt idx="85">
                  <c:v>3.315815804039419E-3</c:v>
                </c:pt>
                <c:pt idx="86">
                  <c:v>3.315815804039419E-3</c:v>
                </c:pt>
                <c:pt idx="87">
                  <c:v>3.315815804039419E-3</c:v>
                </c:pt>
                <c:pt idx="88">
                  <c:v>3.315815804039419E-3</c:v>
                </c:pt>
                <c:pt idx="89">
                  <c:v>3.315815804039419E-3</c:v>
                </c:pt>
                <c:pt idx="90">
                  <c:v>3.315815804039419E-3</c:v>
                </c:pt>
                <c:pt idx="91">
                  <c:v>3.315815804039419E-3</c:v>
                </c:pt>
                <c:pt idx="92">
                  <c:v>3.315815804039419E-3</c:v>
                </c:pt>
                <c:pt idx="93">
                  <c:v>3.315815804039419E-3</c:v>
                </c:pt>
                <c:pt idx="94">
                  <c:v>3.315815804039419E-3</c:v>
                </c:pt>
                <c:pt idx="95">
                  <c:v>3.315815804039419E-3</c:v>
                </c:pt>
                <c:pt idx="96">
                  <c:v>3.315815804039419E-3</c:v>
                </c:pt>
                <c:pt idx="97">
                  <c:v>3.315815804039419E-3</c:v>
                </c:pt>
                <c:pt idx="98">
                  <c:v>3.315815804039419E-3</c:v>
                </c:pt>
                <c:pt idx="99">
                  <c:v>3.315815804039419E-3</c:v>
                </c:pt>
                <c:pt idx="100">
                  <c:v>3.315815804039419E-3</c:v>
                </c:pt>
                <c:pt idx="101">
                  <c:v>3.315815804039419E-3</c:v>
                </c:pt>
                <c:pt idx="102">
                  <c:v>3.315815804039419E-3</c:v>
                </c:pt>
                <c:pt idx="103">
                  <c:v>3.315815804039419E-3</c:v>
                </c:pt>
                <c:pt idx="104">
                  <c:v>3.315815804039419E-3</c:v>
                </c:pt>
                <c:pt idx="105">
                  <c:v>3.315815804039419E-3</c:v>
                </c:pt>
                <c:pt idx="106">
                  <c:v>3.315815804039419E-3</c:v>
                </c:pt>
                <c:pt idx="107">
                  <c:v>3.315815804039419E-3</c:v>
                </c:pt>
                <c:pt idx="108">
                  <c:v>3.315815804039419E-3</c:v>
                </c:pt>
                <c:pt idx="109">
                  <c:v>3.315815804039419E-3</c:v>
                </c:pt>
                <c:pt idx="110">
                  <c:v>3.315815804039419E-3</c:v>
                </c:pt>
                <c:pt idx="111">
                  <c:v>3.315815804039419E-3</c:v>
                </c:pt>
                <c:pt idx="112">
                  <c:v>3.315815804039419E-3</c:v>
                </c:pt>
                <c:pt idx="113">
                  <c:v>3.315815804039419E-3</c:v>
                </c:pt>
                <c:pt idx="114">
                  <c:v>3.315815804039419E-3</c:v>
                </c:pt>
                <c:pt idx="115">
                  <c:v>3.315815804039419E-3</c:v>
                </c:pt>
                <c:pt idx="116">
                  <c:v>3.315815804039419E-3</c:v>
                </c:pt>
                <c:pt idx="117">
                  <c:v>3.315815804039419E-3</c:v>
                </c:pt>
                <c:pt idx="118">
                  <c:v>3.315815804039419E-3</c:v>
                </c:pt>
                <c:pt idx="119">
                  <c:v>3.315815804039419E-3</c:v>
                </c:pt>
                <c:pt idx="120">
                  <c:v>3.315815804039419E-3</c:v>
                </c:pt>
                <c:pt idx="121">
                  <c:v>3.315815804039419E-3</c:v>
                </c:pt>
                <c:pt idx="122">
                  <c:v>3.315815804039419E-3</c:v>
                </c:pt>
                <c:pt idx="123">
                  <c:v>3.315815804039419E-3</c:v>
                </c:pt>
                <c:pt idx="124">
                  <c:v>3.315815804039419E-3</c:v>
                </c:pt>
                <c:pt idx="125">
                  <c:v>3.315815804039419E-3</c:v>
                </c:pt>
                <c:pt idx="126">
                  <c:v>3.315815804039419E-3</c:v>
                </c:pt>
                <c:pt idx="127">
                  <c:v>3.315815804039419E-3</c:v>
                </c:pt>
                <c:pt idx="128">
                  <c:v>3.315815804039419E-3</c:v>
                </c:pt>
                <c:pt idx="129">
                  <c:v>3.315815804039419E-3</c:v>
                </c:pt>
                <c:pt idx="130">
                  <c:v>3.315815804039419E-3</c:v>
                </c:pt>
                <c:pt idx="131">
                  <c:v>3.315815804039419E-3</c:v>
                </c:pt>
                <c:pt idx="132">
                  <c:v>3.315815804039419E-3</c:v>
                </c:pt>
                <c:pt idx="133">
                  <c:v>3.315815804039419E-3</c:v>
                </c:pt>
                <c:pt idx="134">
                  <c:v>3.315815804039419E-3</c:v>
                </c:pt>
                <c:pt idx="135">
                  <c:v>3.315815804039419E-3</c:v>
                </c:pt>
                <c:pt idx="136">
                  <c:v>3.315815804039419E-3</c:v>
                </c:pt>
                <c:pt idx="137">
                  <c:v>3.315815804039419E-3</c:v>
                </c:pt>
                <c:pt idx="138">
                  <c:v>3.315815804039419E-3</c:v>
                </c:pt>
                <c:pt idx="139">
                  <c:v>3.315815804039419E-3</c:v>
                </c:pt>
                <c:pt idx="140">
                  <c:v>3.315815804039419E-3</c:v>
                </c:pt>
                <c:pt idx="141">
                  <c:v>3.315815804039419E-3</c:v>
                </c:pt>
                <c:pt idx="142">
                  <c:v>3.315815804039419E-3</c:v>
                </c:pt>
                <c:pt idx="143">
                  <c:v>3.315815804039419E-3</c:v>
                </c:pt>
                <c:pt idx="144">
                  <c:v>3.315815804039419E-3</c:v>
                </c:pt>
                <c:pt idx="145">
                  <c:v>3.315815804039419E-3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11-41D6-AA2D-44659005D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XLU_IDU_2!$O$1</c:f>
              <c:strCache>
                <c:ptCount val="1"/>
                <c:pt idx="0">
                  <c:v> IDU/XLU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XLU_IDU_2!$O$2:$O$167</c:f>
              <c:numCache>
                <c:formatCode>_(* #,##0.0000_);_(* \(#,##0.0000\);_(* "-"??_);_(@_)</c:formatCode>
                <c:ptCount val="166"/>
                <c:pt idx="0">
                  <c:v>2.5326711528669299</c:v>
                </c:pt>
                <c:pt idx="1">
                  <c:v>2.5326711528669299</c:v>
                </c:pt>
                <c:pt idx="2">
                  <c:v>2.5326711528669299</c:v>
                </c:pt>
                <c:pt idx="3">
                  <c:v>2.5326711528669299</c:v>
                </c:pt>
                <c:pt idx="4">
                  <c:v>2.5326711528669299</c:v>
                </c:pt>
                <c:pt idx="5">
                  <c:v>2.5326711528669299</c:v>
                </c:pt>
                <c:pt idx="6">
                  <c:v>2.5326711528669299</c:v>
                </c:pt>
                <c:pt idx="7">
                  <c:v>2.5326711528669299</c:v>
                </c:pt>
                <c:pt idx="8">
                  <c:v>2.5326711528669299</c:v>
                </c:pt>
                <c:pt idx="9">
                  <c:v>2.5326711528669299</c:v>
                </c:pt>
                <c:pt idx="10">
                  <c:v>2.5326711528669299</c:v>
                </c:pt>
                <c:pt idx="11">
                  <c:v>2.5326711528669299</c:v>
                </c:pt>
                <c:pt idx="12">
                  <c:v>2.5326711528669299</c:v>
                </c:pt>
                <c:pt idx="13">
                  <c:v>2.5326711528669299</c:v>
                </c:pt>
                <c:pt idx="14">
                  <c:v>2.5326711528669299</c:v>
                </c:pt>
                <c:pt idx="15">
                  <c:v>2.5326711528669299</c:v>
                </c:pt>
                <c:pt idx="16">
                  <c:v>2.5326711528669299</c:v>
                </c:pt>
                <c:pt idx="17">
                  <c:v>2.5326711528669299</c:v>
                </c:pt>
                <c:pt idx="18">
                  <c:v>2.5326711528669299</c:v>
                </c:pt>
                <c:pt idx="19">
                  <c:v>2.5326711528669299</c:v>
                </c:pt>
                <c:pt idx="20">
                  <c:v>2.5326711528669299</c:v>
                </c:pt>
                <c:pt idx="21">
                  <c:v>2.5326711528669299</c:v>
                </c:pt>
                <c:pt idx="22">
                  <c:v>2.5326711528669299</c:v>
                </c:pt>
                <c:pt idx="23">
                  <c:v>2.5326711528669299</c:v>
                </c:pt>
                <c:pt idx="24">
                  <c:v>2.5326711528669299</c:v>
                </c:pt>
                <c:pt idx="25">
                  <c:v>2.5326711528669299</c:v>
                </c:pt>
                <c:pt idx="26">
                  <c:v>2.5326711528669299</c:v>
                </c:pt>
                <c:pt idx="27">
                  <c:v>2.5326711528669299</c:v>
                </c:pt>
                <c:pt idx="28">
                  <c:v>2.5326711528669299</c:v>
                </c:pt>
                <c:pt idx="29">
                  <c:v>2.5326711528669299</c:v>
                </c:pt>
                <c:pt idx="30">
                  <c:v>2.5326711528669299</c:v>
                </c:pt>
                <c:pt idx="31">
                  <c:v>2.5326711528669299</c:v>
                </c:pt>
                <c:pt idx="32">
                  <c:v>2.5326711528669299</c:v>
                </c:pt>
                <c:pt idx="33">
                  <c:v>2.5326711528669299</c:v>
                </c:pt>
                <c:pt idx="34">
                  <c:v>2.5326711528669299</c:v>
                </c:pt>
                <c:pt idx="35">
                  <c:v>2.5326711528669299</c:v>
                </c:pt>
                <c:pt idx="36">
                  <c:v>2.5326711528669299</c:v>
                </c:pt>
                <c:pt idx="37">
                  <c:v>2.5326711528669299</c:v>
                </c:pt>
                <c:pt idx="38">
                  <c:v>2.5326711528669299</c:v>
                </c:pt>
                <c:pt idx="39">
                  <c:v>2.5326711528669299</c:v>
                </c:pt>
                <c:pt idx="40">
                  <c:v>2.5326711528669299</c:v>
                </c:pt>
                <c:pt idx="41">
                  <c:v>2.5326711528669299</c:v>
                </c:pt>
                <c:pt idx="42">
                  <c:v>2.5326711528669299</c:v>
                </c:pt>
                <c:pt idx="43">
                  <c:v>2.5326711528669299</c:v>
                </c:pt>
                <c:pt idx="44">
                  <c:v>2.5326711528669299</c:v>
                </c:pt>
                <c:pt idx="45">
                  <c:v>2.5326711528669299</c:v>
                </c:pt>
                <c:pt idx="46">
                  <c:v>2.5326711528669299</c:v>
                </c:pt>
                <c:pt idx="47">
                  <c:v>2.5326711528669299</c:v>
                </c:pt>
                <c:pt idx="48">
                  <c:v>2.5326711528669299</c:v>
                </c:pt>
                <c:pt idx="49">
                  <c:v>2.5326711528669299</c:v>
                </c:pt>
                <c:pt idx="50">
                  <c:v>2.5326711528669299</c:v>
                </c:pt>
                <c:pt idx="51">
                  <c:v>2.5326711528669299</c:v>
                </c:pt>
                <c:pt idx="52">
                  <c:v>2.5326711528669299</c:v>
                </c:pt>
                <c:pt idx="53">
                  <c:v>2.5326711528669299</c:v>
                </c:pt>
                <c:pt idx="54">
                  <c:v>2.5326711528669299</c:v>
                </c:pt>
                <c:pt idx="55">
                  <c:v>2.5326711528669299</c:v>
                </c:pt>
                <c:pt idx="56">
                  <c:v>2.5326711528669299</c:v>
                </c:pt>
                <c:pt idx="57">
                  <c:v>2.5326711528669299</c:v>
                </c:pt>
                <c:pt idx="58">
                  <c:v>2.5326711528669299</c:v>
                </c:pt>
                <c:pt idx="59">
                  <c:v>2.5326711528669299</c:v>
                </c:pt>
                <c:pt idx="60">
                  <c:v>2.5326711528669299</c:v>
                </c:pt>
                <c:pt idx="61">
                  <c:v>2.5326711528669299</c:v>
                </c:pt>
                <c:pt idx="62">
                  <c:v>2.5326711528669299</c:v>
                </c:pt>
                <c:pt idx="63">
                  <c:v>2.5326711528669299</c:v>
                </c:pt>
                <c:pt idx="64">
                  <c:v>2.5326711528669299</c:v>
                </c:pt>
                <c:pt idx="65">
                  <c:v>2.5326711528669299</c:v>
                </c:pt>
                <c:pt idx="66">
                  <c:v>2.5326711528669299</c:v>
                </c:pt>
                <c:pt idx="67">
                  <c:v>2.5326711528669299</c:v>
                </c:pt>
                <c:pt idx="68">
                  <c:v>2.5326711528669299</c:v>
                </c:pt>
                <c:pt idx="69">
                  <c:v>2.5326711528669299</c:v>
                </c:pt>
                <c:pt idx="70">
                  <c:v>2.5326711528669299</c:v>
                </c:pt>
                <c:pt idx="71">
                  <c:v>2.5326711528669299</c:v>
                </c:pt>
                <c:pt idx="72">
                  <c:v>2.5326711528669299</c:v>
                </c:pt>
                <c:pt idx="73">
                  <c:v>2.5326711528669299</c:v>
                </c:pt>
                <c:pt idx="74">
                  <c:v>2.5326711528669299</c:v>
                </c:pt>
                <c:pt idx="75">
                  <c:v>2.5326711528669299</c:v>
                </c:pt>
                <c:pt idx="76">
                  <c:v>2.5326711528669299</c:v>
                </c:pt>
                <c:pt idx="77">
                  <c:v>2.5326711528669299</c:v>
                </c:pt>
                <c:pt idx="78">
                  <c:v>2.5326711528669299</c:v>
                </c:pt>
                <c:pt idx="79">
                  <c:v>2.5326711528669299</c:v>
                </c:pt>
                <c:pt idx="80">
                  <c:v>2.5326711528669299</c:v>
                </c:pt>
                <c:pt idx="81">
                  <c:v>2.5326711528669299</c:v>
                </c:pt>
                <c:pt idx="82">
                  <c:v>2.5326711528669299</c:v>
                </c:pt>
                <c:pt idx="83">
                  <c:v>2.5326711528669299</c:v>
                </c:pt>
                <c:pt idx="84">
                  <c:v>2.5326711528669299</c:v>
                </c:pt>
                <c:pt idx="85">
                  <c:v>2.5326711528669299</c:v>
                </c:pt>
                <c:pt idx="86">
                  <c:v>2.5326711528669299</c:v>
                </c:pt>
                <c:pt idx="87">
                  <c:v>2.5326711528669299</c:v>
                </c:pt>
                <c:pt idx="88">
                  <c:v>2.5326711528669299</c:v>
                </c:pt>
                <c:pt idx="89">
                  <c:v>2.5326711528669299</c:v>
                </c:pt>
                <c:pt idx="90">
                  <c:v>2.5326711528669299</c:v>
                </c:pt>
                <c:pt idx="91">
                  <c:v>2.5326711528669299</c:v>
                </c:pt>
                <c:pt idx="92">
                  <c:v>2.5326711528669299</c:v>
                </c:pt>
                <c:pt idx="93">
                  <c:v>2.5326711528669299</c:v>
                </c:pt>
                <c:pt idx="94">
                  <c:v>2.5326711528669299</c:v>
                </c:pt>
                <c:pt idx="95">
                  <c:v>2.5326711528669299</c:v>
                </c:pt>
                <c:pt idx="96">
                  <c:v>2.5326711528669299</c:v>
                </c:pt>
                <c:pt idx="97">
                  <c:v>2.5326711528669299</c:v>
                </c:pt>
                <c:pt idx="98">
                  <c:v>2.5326711528669299</c:v>
                </c:pt>
                <c:pt idx="99">
                  <c:v>2.5326711528669299</c:v>
                </c:pt>
                <c:pt idx="100">
                  <c:v>2.5326711528669299</c:v>
                </c:pt>
                <c:pt idx="101">
                  <c:v>2.5326711528669299</c:v>
                </c:pt>
                <c:pt idx="102">
                  <c:v>2.5326711528669299</c:v>
                </c:pt>
                <c:pt idx="103">
                  <c:v>2.5326711528669299</c:v>
                </c:pt>
                <c:pt idx="104">
                  <c:v>2.5326711528669299</c:v>
                </c:pt>
                <c:pt idx="105">
                  <c:v>2.5326711528669299</c:v>
                </c:pt>
                <c:pt idx="106">
                  <c:v>2.5326711528669299</c:v>
                </c:pt>
                <c:pt idx="107">
                  <c:v>2.5326711528669299</c:v>
                </c:pt>
                <c:pt idx="108">
                  <c:v>2.5326711528669299</c:v>
                </c:pt>
                <c:pt idx="109">
                  <c:v>2.5326711528669299</c:v>
                </c:pt>
                <c:pt idx="110">
                  <c:v>2.5326711528669299</c:v>
                </c:pt>
                <c:pt idx="111">
                  <c:v>2.5326711528669299</c:v>
                </c:pt>
                <c:pt idx="112">
                  <c:v>2.5326711528669299</c:v>
                </c:pt>
                <c:pt idx="113">
                  <c:v>2.5326711528669299</c:v>
                </c:pt>
                <c:pt idx="114">
                  <c:v>2.5326711528669299</c:v>
                </c:pt>
                <c:pt idx="115">
                  <c:v>2.5326711528669299</c:v>
                </c:pt>
                <c:pt idx="116">
                  <c:v>2.5326711528669299</c:v>
                </c:pt>
                <c:pt idx="117">
                  <c:v>2.5326711528669299</c:v>
                </c:pt>
                <c:pt idx="118">
                  <c:v>2.5326711528669299</c:v>
                </c:pt>
                <c:pt idx="119">
                  <c:v>2.5326711528669299</c:v>
                </c:pt>
                <c:pt idx="120">
                  <c:v>2.5326711528669299</c:v>
                </c:pt>
                <c:pt idx="121">
                  <c:v>2.5326711528669299</c:v>
                </c:pt>
                <c:pt idx="122">
                  <c:v>2.5326711528669299</c:v>
                </c:pt>
                <c:pt idx="123">
                  <c:v>2.5326711528669299</c:v>
                </c:pt>
                <c:pt idx="124">
                  <c:v>2.5326711528669299</c:v>
                </c:pt>
                <c:pt idx="125">
                  <c:v>2.5326711528669299</c:v>
                </c:pt>
                <c:pt idx="126">
                  <c:v>2.5326711528669299</c:v>
                </c:pt>
                <c:pt idx="127">
                  <c:v>2.5326711528669299</c:v>
                </c:pt>
                <c:pt idx="128">
                  <c:v>2.5326711528669299</c:v>
                </c:pt>
                <c:pt idx="129">
                  <c:v>2.5326711528669299</c:v>
                </c:pt>
                <c:pt idx="130">
                  <c:v>2.5326711528669299</c:v>
                </c:pt>
                <c:pt idx="131">
                  <c:v>2.5326711528669299</c:v>
                </c:pt>
                <c:pt idx="132">
                  <c:v>2.5326711528669299</c:v>
                </c:pt>
                <c:pt idx="133">
                  <c:v>2.5326711528669299</c:v>
                </c:pt>
                <c:pt idx="134">
                  <c:v>2.5326711528669299</c:v>
                </c:pt>
                <c:pt idx="135">
                  <c:v>2.5326711528669299</c:v>
                </c:pt>
                <c:pt idx="136">
                  <c:v>2.5326711528669299</c:v>
                </c:pt>
                <c:pt idx="137">
                  <c:v>2.5326711528669299</c:v>
                </c:pt>
                <c:pt idx="138">
                  <c:v>2.5326711528669299</c:v>
                </c:pt>
                <c:pt idx="139">
                  <c:v>2.5326711528669299</c:v>
                </c:pt>
                <c:pt idx="140">
                  <c:v>2.5326711528669299</c:v>
                </c:pt>
                <c:pt idx="141">
                  <c:v>2.5326711528669299</c:v>
                </c:pt>
                <c:pt idx="142">
                  <c:v>2.5326711528669299</c:v>
                </c:pt>
                <c:pt idx="143">
                  <c:v>2.5326711528669299</c:v>
                </c:pt>
                <c:pt idx="144">
                  <c:v>2.5326711528669299</c:v>
                </c:pt>
                <c:pt idx="145">
                  <c:v>2.5326711528669299</c:v>
                </c:pt>
                <c:pt idx="146">
                  <c:v>2.5326711528669299</c:v>
                </c:pt>
                <c:pt idx="147">
                  <c:v>2.5326711528669299</c:v>
                </c:pt>
                <c:pt idx="148">
                  <c:v>2.5326711528669299</c:v>
                </c:pt>
                <c:pt idx="149">
                  <c:v>2.5326711528669299</c:v>
                </c:pt>
                <c:pt idx="150">
                  <c:v>2.5326711528669299</c:v>
                </c:pt>
                <c:pt idx="151">
                  <c:v>2.5326711528669299</c:v>
                </c:pt>
                <c:pt idx="152">
                  <c:v>2.5326711528669299</c:v>
                </c:pt>
                <c:pt idx="153">
                  <c:v>2.5326711528669299</c:v>
                </c:pt>
                <c:pt idx="154">
                  <c:v>2.5326711528669299</c:v>
                </c:pt>
                <c:pt idx="155">
                  <c:v>2.5326711528669299</c:v>
                </c:pt>
                <c:pt idx="156">
                  <c:v>2.5326711528669299</c:v>
                </c:pt>
                <c:pt idx="157">
                  <c:v>2.5326711528669299</c:v>
                </c:pt>
                <c:pt idx="158">
                  <c:v>2.5326711528669299</c:v>
                </c:pt>
                <c:pt idx="159">
                  <c:v>2.5326711528669299</c:v>
                </c:pt>
                <c:pt idx="160">
                  <c:v>2.5326711528669299</c:v>
                </c:pt>
                <c:pt idx="161">
                  <c:v>2.5326711528669299</c:v>
                </c:pt>
                <c:pt idx="162">
                  <c:v>2.5326711528669299</c:v>
                </c:pt>
                <c:pt idx="163">
                  <c:v>2.5326711528669299</c:v>
                </c:pt>
                <c:pt idx="164">
                  <c:v>2.5326711528669299</c:v>
                </c:pt>
                <c:pt idx="165">
                  <c:v>2.5326711528669299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6D-4970-8A7C-7DBCE5E30EB7}"/>
            </c:ext>
          </c:extLst>
        </c:ser>
        <c:ser>
          <c:idx val="1"/>
          <c:order val="1"/>
          <c:tx>
            <c:strRef>
              <c:f>XLU_IDU_2!$P$1</c:f>
              <c:strCache>
                <c:ptCount val="1"/>
                <c:pt idx="0">
                  <c:v> IDU/XLU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XLU_IDU_2!$P$2:$P$167</c:f>
              <c:numCache>
                <c:formatCode>_(* #,##0.0000_);_(* \(#,##0.0000\);_(* "-"??_);_(@_)</c:formatCode>
                <c:ptCount val="166"/>
                <c:pt idx="9">
                  <c:v>2.5381380611469</c:v>
                </c:pt>
                <c:pt idx="10">
                  <c:v>2.5382241743541099</c:v>
                </c:pt>
                <c:pt idx="11">
                  <c:v>2.53803770385053</c:v>
                </c:pt>
                <c:pt idx="12">
                  <c:v>2.5387604766179899</c:v>
                </c:pt>
                <c:pt idx="13">
                  <c:v>2.5398080043455198</c:v>
                </c:pt>
                <c:pt idx="14">
                  <c:v>2.54072935466702</c:v>
                </c:pt>
                <c:pt idx="15">
                  <c:v>2.54155855074471</c:v>
                </c:pt>
                <c:pt idx="16">
                  <c:v>2.5421863676308498</c:v>
                </c:pt>
                <c:pt idx="17">
                  <c:v>2.5430452022077499</c:v>
                </c:pt>
                <c:pt idx="18">
                  <c:v>2.5433320099650798</c:v>
                </c:pt>
                <c:pt idx="19">
                  <c:v>2.5433412404936799</c:v>
                </c:pt>
                <c:pt idx="20">
                  <c:v>2.5439129435191501</c:v>
                </c:pt>
                <c:pt idx="21">
                  <c:v>2.5443515116771298</c:v>
                </c:pt>
                <c:pt idx="22">
                  <c:v>2.5439275331946201</c:v>
                </c:pt>
                <c:pt idx="23">
                  <c:v>2.5433144902855802</c:v>
                </c:pt>
                <c:pt idx="24">
                  <c:v>2.5426824712240799</c:v>
                </c:pt>
                <c:pt idx="25">
                  <c:v>2.5424647444538002</c:v>
                </c:pt>
                <c:pt idx="26">
                  <c:v>2.5423309670015501</c:v>
                </c:pt>
                <c:pt idx="27">
                  <c:v>2.5419772506246199</c:v>
                </c:pt>
                <c:pt idx="28">
                  <c:v>2.5417469277651099</c:v>
                </c:pt>
                <c:pt idx="29">
                  <c:v>2.5411197912121799</c:v>
                </c:pt>
                <c:pt idx="30">
                  <c:v>2.5399739409947801</c:v>
                </c:pt>
                <c:pt idx="31">
                  <c:v>2.5392216705589301</c:v>
                </c:pt>
                <c:pt idx="32">
                  <c:v>2.5384279708617701</c:v>
                </c:pt>
                <c:pt idx="33">
                  <c:v>2.5369507593112202</c:v>
                </c:pt>
                <c:pt idx="34">
                  <c:v>2.5351335721308899</c:v>
                </c:pt>
                <c:pt idx="35">
                  <c:v>2.5326699613532901</c:v>
                </c:pt>
                <c:pt idx="36">
                  <c:v>2.5305672647652999</c:v>
                </c:pt>
                <c:pt idx="37">
                  <c:v>2.52909526435004</c:v>
                </c:pt>
                <c:pt idx="38">
                  <c:v>2.5283406929985301</c:v>
                </c:pt>
                <c:pt idx="39">
                  <c:v>2.5283123233348599</c:v>
                </c:pt>
                <c:pt idx="40">
                  <c:v>2.5285104950595101</c:v>
                </c:pt>
                <c:pt idx="41">
                  <c:v>2.52832807261467</c:v>
                </c:pt>
                <c:pt idx="42">
                  <c:v>2.52860468009683</c:v>
                </c:pt>
                <c:pt idx="43">
                  <c:v>2.5291253536780398</c:v>
                </c:pt>
                <c:pt idx="44">
                  <c:v>2.5300234870669698</c:v>
                </c:pt>
                <c:pt idx="45">
                  <c:v>2.5305689469073802</c:v>
                </c:pt>
                <c:pt idx="46">
                  <c:v>2.53145942071452</c:v>
                </c:pt>
                <c:pt idx="47">
                  <c:v>2.5318007900755202</c:v>
                </c:pt>
                <c:pt idx="48">
                  <c:v>2.5317309052070902</c:v>
                </c:pt>
                <c:pt idx="49">
                  <c:v>2.53088148602024</c:v>
                </c:pt>
                <c:pt idx="50">
                  <c:v>2.5287342175114702</c:v>
                </c:pt>
                <c:pt idx="51">
                  <c:v>2.5270164921958602</c:v>
                </c:pt>
                <c:pt idx="52">
                  <c:v>2.52510955564038</c:v>
                </c:pt>
                <c:pt idx="53">
                  <c:v>2.52386700973228</c:v>
                </c:pt>
                <c:pt idx="54">
                  <c:v>2.5237665875568398</c:v>
                </c:pt>
                <c:pt idx="55">
                  <c:v>2.5241105588353601</c:v>
                </c:pt>
                <c:pt idx="56">
                  <c:v>2.5240407136679099</c:v>
                </c:pt>
                <c:pt idx="57">
                  <c:v>2.5242199156490801</c:v>
                </c:pt>
                <c:pt idx="58">
                  <c:v>2.5244030904016102</c:v>
                </c:pt>
                <c:pt idx="59">
                  <c:v>2.5250826195391101</c:v>
                </c:pt>
                <c:pt idx="60">
                  <c:v>2.5269018944710901</c:v>
                </c:pt>
                <c:pt idx="61">
                  <c:v>2.5283098776789301</c:v>
                </c:pt>
                <c:pt idx="62">
                  <c:v>2.5302588139896298</c:v>
                </c:pt>
                <c:pt idx="63">
                  <c:v>2.5313803859784398</c:v>
                </c:pt>
                <c:pt idx="64">
                  <c:v>2.5315448284661901</c:v>
                </c:pt>
                <c:pt idx="65">
                  <c:v>2.5312735359839298</c:v>
                </c:pt>
                <c:pt idx="66">
                  <c:v>2.5309186793198202</c:v>
                </c:pt>
                <c:pt idx="67">
                  <c:v>2.5300703011008099</c:v>
                </c:pt>
                <c:pt idx="68">
                  <c:v>2.5298462169852902</c:v>
                </c:pt>
                <c:pt idx="69">
                  <c:v>2.52943328807158</c:v>
                </c:pt>
                <c:pt idx="70">
                  <c:v>2.52915314136852</c:v>
                </c:pt>
                <c:pt idx="71">
                  <c:v>2.5286850753465799</c:v>
                </c:pt>
                <c:pt idx="72">
                  <c:v>2.5277022578922899</c:v>
                </c:pt>
                <c:pt idx="73">
                  <c:v>2.5271855360126998</c:v>
                </c:pt>
                <c:pt idx="74">
                  <c:v>2.52639688748192</c:v>
                </c:pt>
                <c:pt idx="75">
                  <c:v>2.5266386671402801</c:v>
                </c:pt>
                <c:pt idx="76">
                  <c:v>2.5272206029397299</c:v>
                </c:pt>
                <c:pt idx="77">
                  <c:v>2.5278029660061101</c:v>
                </c:pt>
                <c:pt idx="78">
                  <c:v>2.52762011254663</c:v>
                </c:pt>
                <c:pt idx="79">
                  <c:v>2.52765437586095</c:v>
                </c:pt>
                <c:pt idx="80">
                  <c:v>2.5278279945038702</c:v>
                </c:pt>
                <c:pt idx="81">
                  <c:v>2.5279088143067998</c:v>
                </c:pt>
                <c:pt idx="82">
                  <c:v>2.5275975679438001</c:v>
                </c:pt>
                <c:pt idx="83">
                  <c:v>2.52741022239463</c:v>
                </c:pt>
                <c:pt idx="84">
                  <c:v>2.5269837595215301</c:v>
                </c:pt>
                <c:pt idx="85">
                  <c:v>2.5261402814595</c:v>
                </c:pt>
                <c:pt idx="86">
                  <c:v>2.5253788972420601</c:v>
                </c:pt>
                <c:pt idx="87">
                  <c:v>2.5246945176153299</c:v>
                </c:pt>
                <c:pt idx="88">
                  <c:v>2.5241454812191599</c:v>
                </c:pt>
                <c:pt idx="89">
                  <c:v>2.5239430781522301</c:v>
                </c:pt>
                <c:pt idx="90">
                  <c:v>2.5234380563088399</c:v>
                </c:pt>
                <c:pt idx="91">
                  <c:v>2.5235358426857801</c:v>
                </c:pt>
                <c:pt idx="92">
                  <c:v>2.5245150711796902</c:v>
                </c:pt>
                <c:pt idx="93">
                  <c:v>2.5253265763504</c:v>
                </c:pt>
                <c:pt idx="94">
                  <c:v>2.52627450270495</c:v>
                </c:pt>
                <c:pt idx="95">
                  <c:v>2.5269403839079998</c:v>
                </c:pt>
                <c:pt idx="96">
                  <c:v>2.5268803366266699</c:v>
                </c:pt>
                <c:pt idx="97">
                  <c:v>2.5269913594209599</c:v>
                </c:pt>
                <c:pt idx="98">
                  <c:v>2.5273468140933901</c:v>
                </c:pt>
                <c:pt idx="99">
                  <c:v>2.5270726553526099</c:v>
                </c:pt>
                <c:pt idx="100">
                  <c:v>2.5269851864185502</c:v>
                </c:pt>
                <c:pt idx="101">
                  <c:v>2.5267657082445298</c:v>
                </c:pt>
                <c:pt idx="102">
                  <c:v>2.5266489109363102</c:v>
                </c:pt>
                <c:pt idx="103">
                  <c:v>2.5260369250329799</c:v>
                </c:pt>
                <c:pt idx="104">
                  <c:v>2.5259798072784601</c:v>
                </c:pt>
                <c:pt idx="105">
                  <c:v>2.52641523693597</c:v>
                </c:pt>
                <c:pt idx="106">
                  <c:v>2.5270482571038202</c:v>
                </c:pt>
                <c:pt idx="107">
                  <c:v>2.5277366529141898</c:v>
                </c:pt>
                <c:pt idx="108">
                  <c:v>2.52891289902088</c:v>
                </c:pt>
                <c:pt idx="109">
                  <c:v>2.53022029620942</c:v>
                </c:pt>
                <c:pt idx="110">
                  <c:v>2.5307502635051602</c:v>
                </c:pt>
                <c:pt idx="111">
                  <c:v>2.5311822757582001</c:v>
                </c:pt>
                <c:pt idx="112">
                  <c:v>2.5293704566061401</c:v>
                </c:pt>
                <c:pt idx="113">
                  <c:v>2.5279019514391501</c:v>
                </c:pt>
                <c:pt idx="114">
                  <c:v>2.5262635766891202</c:v>
                </c:pt>
                <c:pt idx="115">
                  <c:v>2.5242817634032302</c:v>
                </c:pt>
                <c:pt idx="116">
                  <c:v>2.5238428000829201</c:v>
                </c:pt>
                <c:pt idx="117">
                  <c:v>2.5235245451461599</c:v>
                </c:pt>
                <c:pt idx="118">
                  <c:v>2.5230289611551102</c:v>
                </c:pt>
                <c:pt idx="119">
                  <c:v>2.5223742818649302</c:v>
                </c:pt>
                <c:pt idx="120">
                  <c:v>2.5223823895347901</c:v>
                </c:pt>
                <c:pt idx="121">
                  <c:v>2.52217162673948</c:v>
                </c:pt>
                <c:pt idx="122">
                  <c:v>2.52367660211157</c:v>
                </c:pt>
                <c:pt idx="123">
                  <c:v>2.5255052115421699</c:v>
                </c:pt>
                <c:pt idx="124">
                  <c:v>2.5269709059354901</c:v>
                </c:pt>
                <c:pt idx="125">
                  <c:v>2.5289640230161399</c:v>
                </c:pt>
                <c:pt idx="126">
                  <c:v>2.53011142009517</c:v>
                </c:pt>
                <c:pt idx="127">
                  <c:v>2.5310083787356401</c:v>
                </c:pt>
                <c:pt idx="128">
                  <c:v>2.5317121330097501</c:v>
                </c:pt>
                <c:pt idx="129">
                  <c:v>2.5325106782886002</c:v>
                </c:pt>
                <c:pt idx="130">
                  <c:v>2.53348118197564</c:v>
                </c:pt>
                <c:pt idx="131">
                  <c:v>2.53462717662297</c:v>
                </c:pt>
                <c:pt idx="132">
                  <c:v>2.53587294133705</c:v>
                </c:pt>
                <c:pt idx="133">
                  <c:v>2.5371668601270199</c:v>
                </c:pt>
                <c:pt idx="134">
                  <c:v>2.5384562248192202</c:v>
                </c:pt>
                <c:pt idx="135">
                  <c:v>2.53935057401771</c:v>
                </c:pt>
                <c:pt idx="136">
                  <c:v>2.5393936654557399</c:v>
                </c:pt>
                <c:pt idx="137">
                  <c:v>2.5392061820873302</c:v>
                </c:pt>
                <c:pt idx="138">
                  <c:v>2.5387947368995398</c:v>
                </c:pt>
                <c:pt idx="139">
                  <c:v>2.5382281652410801</c:v>
                </c:pt>
                <c:pt idx="140">
                  <c:v>2.5376623400629201</c:v>
                </c:pt>
                <c:pt idx="141">
                  <c:v>2.5373578168779098</c:v>
                </c:pt>
                <c:pt idx="142">
                  <c:v>2.5370627306614399</c:v>
                </c:pt>
                <c:pt idx="143">
                  <c:v>2.5359219756610001</c:v>
                </c:pt>
                <c:pt idx="144">
                  <c:v>2.5350984451627898</c:v>
                </c:pt>
                <c:pt idx="145">
                  <c:v>2.5345447763696498</c:v>
                </c:pt>
                <c:pt idx="146">
                  <c:v>2.5343539688825798</c:v>
                </c:pt>
                <c:pt idx="147">
                  <c:v>2.5344795259178801</c:v>
                </c:pt>
                <c:pt idx="148">
                  <c:v>2.5353545823503501</c:v>
                </c:pt>
                <c:pt idx="149">
                  <c:v>2.5366686859480501</c:v>
                </c:pt>
                <c:pt idx="150">
                  <c:v>2.53798604380763</c:v>
                </c:pt>
                <c:pt idx="151">
                  <c:v>2.5389032721622198</c:v>
                </c:pt>
                <c:pt idx="152">
                  <c:v>2.5394847219636798</c:v>
                </c:pt>
                <c:pt idx="153">
                  <c:v>2.5402343356560801</c:v>
                </c:pt>
                <c:pt idx="154">
                  <c:v>2.5407790578488298</c:v>
                </c:pt>
                <c:pt idx="155">
                  <c:v>2.5409976488167501</c:v>
                </c:pt>
                <c:pt idx="156">
                  <c:v>2.5410391171586202</c:v>
                </c:pt>
                <c:pt idx="157">
                  <c:v>2.5415091071664899</c:v>
                </c:pt>
                <c:pt idx="158">
                  <c:v>2.5413685035902098</c:v>
                </c:pt>
                <c:pt idx="159">
                  <c:v>2.5417357672135101</c:v>
                </c:pt>
                <c:pt idx="160">
                  <c:v>2.5417378003895799</c:v>
                </c:pt>
                <c:pt idx="161">
                  <c:v>2.5414698992988098</c:v>
                </c:pt>
                <c:pt idx="162">
                  <c:v>2.5411003905274399</c:v>
                </c:pt>
                <c:pt idx="163">
                  <c:v>2.5410178725924699</c:v>
                </c:pt>
                <c:pt idx="164">
                  <c:v>2.5413749508820702</c:v>
                </c:pt>
                <c:pt idx="165">
                  <c:v>2.5422759106931099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6D-4970-8A7C-7DBCE5E30EB7}"/>
            </c:ext>
          </c:extLst>
        </c:ser>
        <c:ser>
          <c:idx val="2"/>
          <c:order val="2"/>
          <c:tx>
            <c:strRef>
              <c:f>XLU_IDU_2!$Q$1</c:f>
              <c:strCache>
                <c:ptCount val="1"/>
                <c:pt idx="0">
                  <c:v> IDU/XLU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XLU_IDU_2!$Q$2:$Q$167</c:f>
              <c:numCache>
                <c:formatCode>_(* #,##0.0000_);_(* \(#,##0.0000\);_(* "-"??_);_(@_)</c:formatCode>
                <c:ptCount val="166"/>
                <c:pt idx="19">
                  <c:v>2.54073965082029</c:v>
                </c:pt>
                <c:pt idx="20">
                  <c:v>2.54106855893663</c:v>
                </c:pt>
                <c:pt idx="21">
                  <c:v>2.5411946077638299</c:v>
                </c:pt>
                <c:pt idx="22">
                  <c:v>2.5413440049062999</c:v>
                </c:pt>
                <c:pt idx="23">
                  <c:v>2.54156124731555</c:v>
                </c:pt>
                <c:pt idx="24">
                  <c:v>2.5417059129455501</c:v>
                </c:pt>
                <c:pt idx="25">
                  <c:v>2.5420116475992498</c:v>
                </c:pt>
                <c:pt idx="26">
                  <c:v>2.5422586673162</c:v>
                </c:pt>
                <c:pt idx="27">
                  <c:v>2.54251122641619</c:v>
                </c:pt>
                <c:pt idx="28">
                  <c:v>2.54253946886509</c:v>
                </c:pt>
                <c:pt idx="29">
                  <c:v>2.5422305158529301</c:v>
                </c:pt>
                <c:pt idx="30">
                  <c:v>2.54194344225697</c:v>
                </c:pt>
                <c:pt idx="31">
                  <c:v>2.5417865911180302</c:v>
                </c:pt>
                <c:pt idx="32">
                  <c:v>2.5411777520281902</c:v>
                </c:pt>
                <c:pt idx="33">
                  <c:v>2.5401326247984</c:v>
                </c:pt>
                <c:pt idx="34">
                  <c:v>2.5389080216774902</c:v>
                </c:pt>
                <c:pt idx="35">
                  <c:v>2.5375673529035399</c:v>
                </c:pt>
                <c:pt idx="36">
                  <c:v>2.5364491158834199</c:v>
                </c:pt>
                <c:pt idx="37">
                  <c:v>2.5355362574873301</c:v>
                </c:pt>
                <c:pt idx="38">
                  <c:v>2.5350438103818198</c:v>
                </c:pt>
                <c:pt idx="39">
                  <c:v>2.5347160572735201</c:v>
                </c:pt>
                <c:pt idx="40">
                  <c:v>2.53424221802715</c:v>
                </c:pt>
                <c:pt idx="41">
                  <c:v>2.5337748715867998</c:v>
                </c:pt>
                <c:pt idx="42">
                  <c:v>2.5335163254793001</c:v>
                </c:pt>
                <c:pt idx="43">
                  <c:v>2.5330380564946302</c:v>
                </c:pt>
                <c:pt idx="44">
                  <c:v>2.53257852959893</c:v>
                </c:pt>
                <c:pt idx="45">
                  <c:v>2.5316194541303401</c:v>
                </c:pt>
                <c:pt idx="46">
                  <c:v>2.53101334273991</c:v>
                </c:pt>
                <c:pt idx="47">
                  <c:v>2.5304480272127798</c:v>
                </c:pt>
                <c:pt idx="48">
                  <c:v>2.53003579910281</c:v>
                </c:pt>
                <c:pt idx="49">
                  <c:v>2.5295969046775499</c:v>
                </c:pt>
                <c:pt idx="50">
                  <c:v>2.5286223562854899</c:v>
                </c:pt>
                <c:pt idx="51">
                  <c:v>2.5276722824052702</c:v>
                </c:pt>
                <c:pt idx="52">
                  <c:v>2.5268571178685999</c:v>
                </c:pt>
                <c:pt idx="53">
                  <c:v>2.5264961817051601</c:v>
                </c:pt>
                <c:pt idx="54">
                  <c:v>2.5268950373119101</c:v>
                </c:pt>
                <c:pt idx="55">
                  <c:v>2.5273397528713701</c:v>
                </c:pt>
                <c:pt idx="56">
                  <c:v>2.5277500671912199</c:v>
                </c:pt>
                <c:pt idx="57">
                  <c:v>2.5280103528622999</c:v>
                </c:pt>
                <c:pt idx="58">
                  <c:v>2.5280669978043502</c:v>
                </c:pt>
                <c:pt idx="59">
                  <c:v>2.5279820527796701</c:v>
                </c:pt>
                <c:pt idx="60">
                  <c:v>2.52781805599128</c:v>
                </c:pt>
                <c:pt idx="61">
                  <c:v>2.5276631849374001</c:v>
                </c:pt>
                <c:pt idx="62">
                  <c:v>2.527684184815</c:v>
                </c:pt>
                <c:pt idx="63">
                  <c:v>2.5276236978553599</c:v>
                </c:pt>
                <c:pt idx="64">
                  <c:v>2.5276557080115101</c:v>
                </c:pt>
                <c:pt idx="65">
                  <c:v>2.52769204740965</c:v>
                </c:pt>
                <c:pt idx="66">
                  <c:v>2.5274796964938702</c:v>
                </c:pt>
                <c:pt idx="67">
                  <c:v>2.5271451083749499</c:v>
                </c:pt>
                <c:pt idx="68">
                  <c:v>2.5271246536934502</c:v>
                </c:pt>
                <c:pt idx="69">
                  <c:v>2.5272579538053499</c:v>
                </c:pt>
                <c:pt idx="70">
                  <c:v>2.5280275179198002</c:v>
                </c:pt>
                <c:pt idx="71">
                  <c:v>2.5284974765127499</c:v>
                </c:pt>
                <c:pt idx="72">
                  <c:v>2.5289805359409598</c:v>
                </c:pt>
                <c:pt idx="73">
                  <c:v>2.52928296099557</c:v>
                </c:pt>
                <c:pt idx="74">
                  <c:v>2.5289708579740502</c:v>
                </c:pt>
                <c:pt idx="75">
                  <c:v>2.5289561015621098</c:v>
                </c:pt>
                <c:pt idx="76">
                  <c:v>2.5290696411297802</c:v>
                </c:pt>
                <c:pt idx="77">
                  <c:v>2.5289366335534602</c:v>
                </c:pt>
                <c:pt idx="78">
                  <c:v>2.5287331647659599</c:v>
                </c:pt>
                <c:pt idx="79">
                  <c:v>2.5285438319662599</c:v>
                </c:pt>
                <c:pt idx="80">
                  <c:v>2.5284905679362</c:v>
                </c:pt>
                <c:pt idx="81">
                  <c:v>2.5282969448266899</c:v>
                </c:pt>
                <c:pt idx="82">
                  <c:v>2.5276499129180401</c:v>
                </c:pt>
                <c:pt idx="83">
                  <c:v>2.5272978792036702</c:v>
                </c:pt>
                <c:pt idx="84">
                  <c:v>2.52669032350172</c:v>
                </c:pt>
                <c:pt idx="85">
                  <c:v>2.52638947429989</c:v>
                </c:pt>
                <c:pt idx="86">
                  <c:v>2.5262997500908999</c:v>
                </c:pt>
                <c:pt idx="87">
                  <c:v>2.5262487418107198</c:v>
                </c:pt>
                <c:pt idx="88">
                  <c:v>2.5258827968828999</c:v>
                </c:pt>
                <c:pt idx="89">
                  <c:v>2.52579872700659</c:v>
                </c:pt>
                <c:pt idx="90">
                  <c:v>2.5256330254063601</c:v>
                </c:pt>
                <c:pt idx="91">
                  <c:v>2.5257223284962902</c:v>
                </c:pt>
                <c:pt idx="92">
                  <c:v>2.5260563195617398</c:v>
                </c:pt>
                <c:pt idx="93">
                  <c:v>2.5263683993725099</c:v>
                </c:pt>
                <c:pt idx="94">
                  <c:v>2.5266291311132401</c:v>
                </c:pt>
                <c:pt idx="95">
                  <c:v>2.5265403326837501</c:v>
                </c:pt>
                <c:pt idx="96">
                  <c:v>2.5261296169343699</c:v>
                </c:pt>
                <c:pt idx="97">
                  <c:v>2.52584293851814</c:v>
                </c:pt>
                <c:pt idx="98">
                  <c:v>2.5257461476562799</c:v>
                </c:pt>
                <c:pt idx="99">
                  <c:v>2.5255078667524198</c:v>
                </c:pt>
                <c:pt idx="100">
                  <c:v>2.5252116213637001</c:v>
                </c:pt>
                <c:pt idx="101">
                  <c:v>2.5251507754651601</c:v>
                </c:pt>
                <c:pt idx="102">
                  <c:v>2.525581991058</c:v>
                </c:pt>
                <c:pt idx="103">
                  <c:v>2.5256817506916902</c:v>
                </c:pt>
                <c:pt idx="104">
                  <c:v>2.5261271549917099</c:v>
                </c:pt>
                <c:pt idx="105">
                  <c:v>2.52667781042198</c:v>
                </c:pt>
                <c:pt idx="106">
                  <c:v>2.5269642968652501</c:v>
                </c:pt>
                <c:pt idx="107">
                  <c:v>2.52736400616757</c:v>
                </c:pt>
                <c:pt idx="108">
                  <c:v>2.52812985655713</c:v>
                </c:pt>
                <c:pt idx="109">
                  <c:v>2.5286464757810201</c:v>
                </c:pt>
                <c:pt idx="110">
                  <c:v>2.5288677249618599</c:v>
                </c:pt>
                <c:pt idx="111">
                  <c:v>2.5289739920013701</c:v>
                </c:pt>
                <c:pt idx="112">
                  <c:v>2.5280096837712298</c:v>
                </c:pt>
                <c:pt idx="113">
                  <c:v>2.5269694382360699</c:v>
                </c:pt>
                <c:pt idx="114">
                  <c:v>2.5261216919837901</c:v>
                </c:pt>
                <c:pt idx="115">
                  <c:v>2.5253485001696001</c:v>
                </c:pt>
                <c:pt idx="116">
                  <c:v>2.5254455285933699</c:v>
                </c:pt>
                <c:pt idx="117">
                  <c:v>2.52563059903017</c:v>
                </c:pt>
                <c:pt idx="118">
                  <c:v>2.5259709300879898</c:v>
                </c:pt>
                <c:pt idx="119">
                  <c:v>2.52629728903718</c:v>
                </c:pt>
                <c:pt idx="120">
                  <c:v>2.52656632651997</c:v>
                </c:pt>
                <c:pt idx="121">
                  <c:v>2.5266769512488398</c:v>
                </c:pt>
                <c:pt idx="122">
                  <c:v>2.5265235293588599</c:v>
                </c:pt>
                <c:pt idx="123">
                  <c:v>2.52670358149066</c:v>
                </c:pt>
                <c:pt idx="124">
                  <c:v>2.52661724131231</c:v>
                </c:pt>
                <c:pt idx="125">
                  <c:v>2.5266228932096899</c:v>
                </c:pt>
                <c:pt idx="126">
                  <c:v>2.5269771100890499</c:v>
                </c:pt>
                <c:pt idx="127">
                  <c:v>2.5272664619409002</c:v>
                </c:pt>
                <c:pt idx="128">
                  <c:v>2.5273705470824299</c:v>
                </c:pt>
                <c:pt idx="129">
                  <c:v>2.5274424800767701</c:v>
                </c:pt>
                <c:pt idx="130">
                  <c:v>2.5279317857552099</c:v>
                </c:pt>
                <c:pt idx="131">
                  <c:v>2.5283994016812299</c:v>
                </c:pt>
                <c:pt idx="132">
                  <c:v>2.52977477172431</c:v>
                </c:pt>
                <c:pt idx="133">
                  <c:v>2.53133603583459</c:v>
                </c:pt>
                <c:pt idx="134">
                  <c:v>2.5327135653773598</c:v>
                </c:pt>
                <c:pt idx="135">
                  <c:v>2.5341572985169298</c:v>
                </c:pt>
                <c:pt idx="136">
                  <c:v>2.53475254277545</c:v>
                </c:pt>
                <c:pt idx="137">
                  <c:v>2.5351072804114798</c:v>
                </c:pt>
                <c:pt idx="138">
                  <c:v>2.5352534349546501</c:v>
                </c:pt>
                <c:pt idx="139">
                  <c:v>2.5353694217648401</c:v>
                </c:pt>
                <c:pt idx="140">
                  <c:v>2.5355717610192801</c:v>
                </c:pt>
                <c:pt idx="141">
                  <c:v>2.5359924967504401</c:v>
                </c:pt>
                <c:pt idx="142">
                  <c:v>2.5364678359992499</c:v>
                </c:pt>
                <c:pt idx="143">
                  <c:v>2.5365444178940102</c:v>
                </c:pt>
                <c:pt idx="144">
                  <c:v>2.5367773349910099</c:v>
                </c:pt>
                <c:pt idx="145">
                  <c:v>2.5369476751936801</c:v>
                </c:pt>
                <c:pt idx="146">
                  <c:v>2.5368738171691598</c:v>
                </c:pt>
                <c:pt idx="147">
                  <c:v>2.5368428540025998</c:v>
                </c:pt>
                <c:pt idx="148">
                  <c:v>2.5370746596249401</c:v>
                </c:pt>
                <c:pt idx="149">
                  <c:v>2.5374484255945702</c:v>
                </c:pt>
                <c:pt idx="150">
                  <c:v>2.53782419193527</c:v>
                </c:pt>
                <c:pt idx="151">
                  <c:v>2.5381305445200599</c:v>
                </c:pt>
                <c:pt idx="152">
                  <c:v>2.5382737263125601</c:v>
                </c:pt>
                <c:pt idx="153">
                  <c:v>2.5380781556585399</c:v>
                </c:pt>
                <c:pt idx="154">
                  <c:v>2.5379387515058101</c:v>
                </c:pt>
                <c:pt idx="155">
                  <c:v>2.5377712125932002</c:v>
                </c:pt>
                <c:pt idx="156">
                  <c:v>2.5376965430206</c:v>
                </c:pt>
                <c:pt idx="157">
                  <c:v>2.5379943165421901</c:v>
                </c:pt>
                <c:pt idx="158">
                  <c:v>2.5383615429702799</c:v>
                </c:pt>
                <c:pt idx="159">
                  <c:v>2.5392022265807799</c:v>
                </c:pt>
                <c:pt idx="160">
                  <c:v>2.5398619220985998</c:v>
                </c:pt>
                <c:pt idx="161">
                  <c:v>2.5401865857305101</c:v>
                </c:pt>
                <c:pt idx="162">
                  <c:v>2.5402925562455598</c:v>
                </c:pt>
                <c:pt idx="163">
                  <c:v>2.5406261041242701</c:v>
                </c:pt>
                <c:pt idx="164">
                  <c:v>2.5410770043654498</c:v>
                </c:pt>
                <c:pt idx="165">
                  <c:v>2.54163677975493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6D-4970-8A7C-7DBCE5E30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XLU_IDU_2!$AE$1</c:f>
              <c:strCache>
                <c:ptCount val="1"/>
                <c:pt idx="0">
                  <c:v>log diff XLU* x avg / IDU*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XLU_IDU_2!$AE$2:$AE$167</c:f>
              <c:numCache>
                <c:formatCode>0.00%</c:formatCode>
                <c:ptCount val="166"/>
                <c:pt idx="1">
                  <c:v>-3.3793257072862399E-3</c:v>
                </c:pt>
                <c:pt idx="2">
                  <c:v>-2.6156642712854999E-3</c:v>
                </c:pt>
                <c:pt idx="3">
                  <c:v>-3.3536155855151402E-3</c:v>
                </c:pt>
                <c:pt idx="4">
                  <c:v>-3.8726207450190098E-3</c:v>
                </c:pt>
                <c:pt idx="5">
                  <c:v>-3.9571981426344298E-3</c:v>
                </c:pt>
                <c:pt idx="6">
                  <c:v>-3.0524161184055602E-3</c:v>
                </c:pt>
                <c:pt idx="7">
                  <c:v>-2.7280350677643E-3</c:v>
                </c:pt>
                <c:pt idx="8">
                  <c:v>-2.1626398177445401E-3</c:v>
                </c:pt>
                <c:pt idx="9">
                  <c:v>-3.37592028334925E-3</c:v>
                </c:pt>
                <c:pt idx="10">
                  <c:v>-2.7271235407172602E-3</c:v>
                </c:pt>
                <c:pt idx="11">
                  <c:v>-2.6445949692757102E-3</c:v>
                </c:pt>
                <c:pt idx="12">
                  <c:v>-5.4606103979527396E-3</c:v>
                </c:pt>
                <c:pt idx="13">
                  <c:v>-7.4711837585002498E-3</c:v>
                </c:pt>
                <c:pt idx="14">
                  <c:v>-7.4932382157901099E-3</c:v>
                </c:pt>
                <c:pt idx="15">
                  <c:v>-7.2159926263509E-3</c:v>
                </c:pt>
                <c:pt idx="16">
                  <c:v>-5.5229846797419302E-3</c:v>
                </c:pt>
                <c:pt idx="17">
                  <c:v>-6.1072584981371704E-3</c:v>
                </c:pt>
                <c:pt idx="18">
                  <c:v>-3.2930403092631001E-3</c:v>
                </c:pt>
                <c:pt idx="19">
                  <c:v>-3.4122765003984602E-3</c:v>
                </c:pt>
                <c:pt idx="20">
                  <c:v>-4.9778537361618797E-3</c:v>
                </c:pt>
                <c:pt idx="21">
                  <c:v>-4.3717829564898997E-3</c:v>
                </c:pt>
                <c:pt idx="22">
                  <c:v>-3.79274661615683E-3</c:v>
                </c:pt>
                <c:pt idx="23">
                  <c:v>-5.0635243865948002E-3</c:v>
                </c:pt>
                <c:pt idx="24">
                  <c:v>-5.0110143074623397E-3</c:v>
                </c:pt>
                <c:pt idx="25">
                  <c:v>-6.36133988501559E-3</c:v>
                </c:pt>
                <c:pt idx="26">
                  <c:v>-4.9970586446030901E-3</c:v>
                </c:pt>
                <c:pt idx="27">
                  <c:v>-4.7168870117044702E-3</c:v>
                </c:pt>
                <c:pt idx="28">
                  <c:v>-2.3853658153065601E-3</c:v>
                </c:pt>
                <c:pt idx="29">
                  <c:v>-9.3916752881118503E-4</c:v>
                </c:pt>
                <c:pt idx="30">
                  <c:v>-4.61661083399541E-4</c:v>
                </c:pt>
                <c:pt idx="31">
                  <c:v>-1.4073265324055901E-3</c:v>
                </c:pt>
                <c:pt idx="32">
                  <c:v>-6.6296059905740804E-4</c:v>
                </c:pt>
                <c:pt idx="33">
                  <c:v>7.6198849825592503E-4</c:v>
                </c:pt>
                <c:pt idx="34">
                  <c:v>2.1604177399232498E-3</c:v>
                </c:pt>
                <c:pt idx="35">
                  <c:v>3.36042014305653E-3</c:v>
                </c:pt>
                <c:pt idx="36">
                  <c:v>3.3059270761504099E-3</c:v>
                </c:pt>
                <c:pt idx="37">
                  <c:v>1.09003394241348E-3</c:v>
                </c:pt>
                <c:pt idx="38">
                  <c:v>5.9409264565457695E-4</c:v>
                </c:pt>
                <c:pt idx="39">
                  <c:v>-8.2714721381278104E-4</c:v>
                </c:pt>
                <c:pt idx="40">
                  <c:v>-1.2441846240644999E-3</c:v>
                </c:pt>
                <c:pt idx="41">
                  <c:v>-6.8713234879878003E-4</c:v>
                </c:pt>
                <c:pt idx="42">
                  <c:v>-1.7548157858801501E-3</c:v>
                </c:pt>
                <c:pt idx="43">
                  <c:v>-1.2952082615829801E-3</c:v>
                </c:pt>
                <c:pt idx="44">
                  <c:v>-1.39044564967616E-3</c:v>
                </c:pt>
                <c:pt idx="45">
                  <c:v>1.1997966786801101E-3</c:v>
                </c:pt>
                <c:pt idx="46">
                  <c:v>-2.18734734634147E-4</c:v>
                </c:pt>
                <c:pt idx="47">
                  <c:v>-2.5964656492503301E-4</c:v>
                </c:pt>
                <c:pt idx="48">
                  <c:v>8.7048583210597695E-4</c:v>
                </c:pt>
                <c:pt idx="49">
                  <c:v>2.5326910336138202E-3</c:v>
                </c:pt>
                <c:pt idx="50">
                  <c:v>2.0308633146169201E-3</c:v>
                </c:pt>
                <c:pt idx="51">
                  <c:v>8.4454140252297402E-4</c:v>
                </c:pt>
                <c:pt idx="52">
                  <c:v>5.0163954889297004E-4</c:v>
                </c:pt>
                <c:pt idx="53">
                  <c:v>-1.8855610149196001E-3</c:v>
                </c:pt>
                <c:pt idx="54">
                  <c:v>4.3707026431588202E-4</c:v>
                </c:pt>
                <c:pt idx="55">
                  <c:v>1.25650463347181E-3</c:v>
                </c:pt>
                <c:pt idx="56">
                  <c:v>1.46794082165679E-3</c:v>
                </c:pt>
                <c:pt idx="57">
                  <c:v>4.4627691699226598E-4</c:v>
                </c:pt>
                <c:pt idx="58">
                  <c:v>1.5459263266273001E-3</c:v>
                </c:pt>
                <c:pt idx="59">
                  <c:v>1.2352828837375201E-3</c:v>
                </c:pt>
                <c:pt idx="60">
                  <c:v>1.44244089903176E-3</c:v>
                </c:pt>
                <c:pt idx="61">
                  <c:v>1.9188709573271299E-3</c:v>
                </c:pt>
                <c:pt idx="62">
                  <c:v>-5.3239755269028405E-4</c:v>
                </c:pt>
                <c:pt idx="63">
                  <c:v>5.6973733055258797E-4</c:v>
                </c:pt>
                <c:pt idx="64">
                  <c:v>-2.5435084472499799E-4</c:v>
                </c:pt>
                <c:pt idx="65">
                  <c:v>2.2725905623437901E-3</c:v>
                </c:pt>
                <c:pt idx="66">
                  <c:v>2.8076363283603299E-3</c:v>
                </c:pt>
                <c:pt idx="67">
                  <c:v>3.7352639480372398E-3</c:v>
                </c:pt>
                <c:pt idx="68">
                  <c:v>2.40338217367897E-3</c:v>
                </c:pt>
                <c:pt idx="69">
                  <c:v>2.8433279946918802E-3</c:v>
                </c:pt>
                <c:pt idx="70">
                  <c:v>2.5404822699637E-3</c:v>
                </c:pt>
                <c:pt idx="71">
                  <c:v>3.7545210910056798E-3</c:v>
                </c:pt>
                <c:pt idx="72">
                  <c:v>3.3366786805554198E-3</c:v>
                </c:pt>
                <c:pt idx="73">
                  <c:v>2.6140292481091299E-3</c:v>
                </c:pt>
                <c:pt idx="74">
                  <c:v>2.88578112759096E-3</c:v>
                </c:pt>
                <c:pt idx="75">
                  <c:v>1.3793989126708499E-3</c:v>
                </c:pt>
                <c:pt idx="76">
                  <c:v>5.5005479517167104E-4</c:v>
                </c:pt>
                <c:pt idx="77">
                  <c:v>1.46570277126362E-3</c:v>
                </c:pt>
                <c:pt idx="78">
                  <c:v>3.1291099426742201E-3</c:v>
                </c:pt>
                <c:pt idx="79">
                  <c:v>2.7149037188627101E-3</c:v>
                </c:pt>
                <c:pt idx="80">
                  <c:v>1.86766248295525E-3</c:v>
                </c:pt>
                <c:pt idx="81">
                  <c:v>3.4215924946768899E-3</c:v>
                </c:pt>
                <c:pt idx="82">
                  <c:v>4.5520035677667596E-3</c:v>
                </c:pt>
                <c:pt idx="83">
                  <c:v>3.3332400561908201E-3</c:v>
                </c:pt>
                <c:pt idx="84">
                  <c:v>4.5231942643776E-3</c:v>
                </c:pt>
                <c:pt idx="85">
                  <c:v>4.67444611318742E-3</c:v>
                </c:pt>
                <c:pt idx="86">
                  <c:v>3.57449252428083E-3</c:v>
                </c:pt>
                <c:pt idx="87">
                  <c:v>4.2043496155039599E-3</c:v>
                </c:pt>
                <c:pt idx="88">
                  <c:v>5.3250604559723202E-3</c:v>
                </c:pt>
                <c:pt idx="89">
                  <c:v>3.5438941281803402E-3</c:v>
                </c:pt>
                <c:pt idx="90">
                  <c:v>3.8868940387371299E-3</c:v>
                </c:pt>
                <c:pt idx="91">
                  <c:v>3.0948850244766901E-3</c:v>
                </c:pt>
                <c:pt idx="92">
                  <c:v>7.8099419818228495E-4</c:v>
                </c:pt>
                <c:pt idx="93">
                  <c:v>2.1789456320105399E-4</c:v>
                </c:pt>
                <c:pt idx="94">
                  <c:v>8.5467562113786396E-4</c:v>
                </c:pt>
                <c:pt idx="95">
                  <c:v>2.0890760544642799E-3</c:v>
                </c:pt>
                <c:pt idx="96">
                  <c:v>3.8147731440929199E-3</c:v>
                </c:pt>
                <c:pt idx="97">
                  <c:v>3.7473241429313402E-3</c:v>
                </c:pt>
                <c:pt idx="98">
                  <c:v>3.91755043621722E-3</c:v>
                </c:pt>
                <c:pt idx="99">
                  <c:v>4.6259528383359397E-3</c:v>
                </c:pt>
                <c:pt idx="100">
                  <c:v>4.2328525400103E-3</c:v>
                </c:pt>
                <c:pt idx="101">
                  <c:v>3.9744993768340798E-3</c:v>
                </c:pt>
                <c:pt idx="102">
                  <c:v>1.2656630162325099E-3</c:v>
                </c:pt>
                <c:pt idx="103">
                  <c:v>2.6242983603693999E-3</c:v>
                </c:pt>
                <c:pt idx="104">
                  <c:v>1.09970885881877E-3</c:v>
                </c:pt>
                <c:pt idx="105">
                  <c:v>3.96575115013283E-4</c:v>
                </c:pt>
                <c:pt idx="106">
                  <c:v>1.3444157250948299E-3</c:v>
                </c:pt>
                <c:pt idx="107">
                  <c:v>1.09762707620957E-3</c:v>
                </c:pt>
                <c:pt idx="108">
                  <c:v>-6.6360865529958E-4</c:v>
                </c:pt>
                <c:pt idx="109">
                  <c:v>-4.7962350559095998E-4</c:v>
                </c:pt>
                <c:pt idx="110">
                  <c:v>2.16484102048202E-3</c:v>
                </c:pt>
                <c:pt idx="111">
                  <c:v>2.27015783634409E-3</c:v>
                </c:pt>
                <c:pt idx="112">
                  <c:v>2.7860687731352798E-3</c:v>
                </c:pt>
                <c:pt idx="113">
                  <c:v>2.8511184101078302E-3</c:v>
                </c:pt>
                <c:pt idx="114">
                  <c:v>1.9320584023479199E-3</c:v>
                </c:pt>
                <c:pt idx="115">
                  <c:v>2.61431101008136E-3</c:v>
                </c:pt>
                <c:pt idx="116">
                  <c:v>3.81119222091139E-3</c:v>
                </c:pt>
                <c:pt idx="117">
                  <c:v>3.0490500962494799E-3</c:v>
                </c:pt>
                <c:pt idx="118">
                  <c:v>1.9809156907026502E-3</c:v>
                </c:pt>
                <c:pt idx="119">
                  <c:v>2.77283317753873E-3</c:v>
                </c:pt>
                <c:pt idx="120">
                  <c:v>2.7995661801197202E-3</c:v>
                </c:pt>
                <c:pt idx="121">
                  <c:v>3.7847345267794301E-3</c:v>
                </c:pt>
                <c:pt idx="122">
                  <c:v>3.1448826733785199E-3</c:v>
                </c:pt>
                <c:pt idx="123">
                  <c:v>1.94177893390914E-3</c:v>
                </c:pt>
                <c:pt idx="124">
                  <c:v>2.4557196508960101E-3</c:v>
                </c:pt>
                <c:pt idx="125">
                  <c:v>1.0661011927382399E-3</c:v>
                </c:pt>
                <c:pt idx="126">
                  <c:v>-7.1802360391123898E-4</c:v>
                </c:pt>
                <c:pt idx="127">
                  <c:v>-4.6811366871164398E-4</c:v>
                </c:pt>
                <c:pt idx="128">
                  <c:v>-7.4663823125644302E-4</c:v>
                </c:pt>
                <c:pt idx="129">
                  <c:v>-3.2578156410883899E-4</c:v>
                </c:pt>
                <c:pt idx="130">
                  <c:v>-9.6832484358366604E-4</c:v>
                </c:pt>
                <c:pt idx="131">
                  <c:v>-6.7810124368522897E-4</c:v>
                </c:pt>
                <c:pt idx="132">
                  <c:v>-1.7124761279431E-3</c:v>
                </c:pt>
                <c:pt idx="133">
                  <c:v>-3.1361174892260298E-3</c:v>
                </c:pt>
                <c:pt idx="134">
                  <c:v>-2.5460544935948198E-3</c:v>
                </c:pt>
                <c:pt idx="135">
                  <c:v>-2.4028100747946002E-3</c:v>
                </c:pt>
                <c:pt idx="136">
                  <c:v>-8.4868933575896601E-4</c:v>
                </c:pt>
                <c:pt idx="137">
                  <c:v>2.3645754366529101E-4</c:v>
                </c:pt>
                <c:pt idx="138">
                  <c:v>8.0886265035863298E-4</c:v>
                </c:pt>
                <c:pt idx="139">
                  <c:v>1.84559612179834E-3</c:v>
                </c:pt>
                <c:pt idx="140">
                  <c:v>1.24132940090385E-3</c:v>
                </c:pt>
                <c:pt idx="141">
                  <c:v>5.1781935900156099E-4</c:v>
                </c:pt>
                <c:pt idx="142">
                  <c:v>-5.47740904570733E-4</c:v>
                </c:pt>
                <c:pt idx="143">
                  <c:v>1.3487531346482601E-3</c:v>
                </c:pt>
                <c:pt idx="144">
                  <c:v>7.03199303258982E-4</c:v>
                </c:pt>
                <c:pt idx="145">
                  <c:v>-2.1760621665170899E-4</c:v>
                </c:pt>
                <c:pt idx="146">
                  <c:v>-6.4822706687232899E-5</c:v>
                </c:pt>
                <c:pt idx="147">
                  <c:v>-1.42630649121078E-4</c:v>
                </c:pt>
                <c:pt idx="148">
                  <c:v>-2.4636012023395702E-3</c:v>
                </c:pt>
                <c:pt idx="149">
                  <c:v>-3.1464627894518598E-3</c:v>
                </c:pt>
                <c:pt idx="150">
                  <c:v>-3.7623639444861702E-3</c:v>
                </c:pt>
                <c:pt idx="151">
                  <c:v>-2.9614569942594498E-3</c:v>
                </c:pt>
                <c:pt idx="152">
                  <c:v>-2.75799572080602E-3</c:v>
                </c:pt>
                <c:pt idx="153">
                  <c:v>-1.54349163719492E-3</c:v>
                </c:pt>
                <c:pt idx="154">
                  <c:v>-1.41835624474734E-3</c:v>
                </c:pt>
                <c:pt idx="155">
                  <c:v>-1.0605010721583799E-3</c:v>
                </c:pt>
                <c:pt idx="156">
                  <c:v>-2.21971141128346E-4</c:v>
                </c:pt>
                <c:pt idx="157">
                  <c:v>-1.9916779467792499E-3</c:v>
                </c:pt>
                <c:pt idx="158">
                  <c:v>-1.9369002511239501E-3</c:v>
                </c:pt>
                <c:pt idx="159">
                  <c:v>-4.5278819391911503E-3</c:v>
                </c:pt>
                <c:pt idx="160">
                  <c:v>-3.7750670358420099E-3</c:v>
                </c:pt>
                <c:pt idx="161">
                  <c:v>-1.9027556423267299E-3</c:v>
                </c:pt>
                <c:pt idx="162">
                  <c:v>-1.30311352123545E-3</c:v>
                </c:pt>
                <c:pt idx="163">
                  <c:v>-1.17769729304914E-3</c:v>
                </c:pt>
                <c:pt idx="164">
                  <c:v>-2.7252621561079499E-3</c:v>
                </c:pt>
                <c:pt idx="165">
                  <c:v>-4.4596074697066399E-3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A3-4837-A310-361A81FE2A79}"/>
            </c:ext>
          </c:extLst>
        </c:ser>
        <c:ser>
          <c:idx val="1"/>
          <c:order val="1"/>
          <c:tx>
            <c:strRef>
              <c:f>XLU_IDU_2!$AF$1</c:f>
              <c:strCache>
                <c:ptCount val="1"/>
                <c:pt idx="0">
                  <c:v>log diff XLU* x 10 dma / IDU*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XLU_IDU_2!$AF$2:$AF$167</c:f>
              <c:numCache>
                <c:formatCode>0.00%</c:formatCode>
                <c:ptCount val="166"/>
                <c:pt idx="10">
                  <c:v>3.6155215565868701E-4</c:v>
                </c:pt>
                <c:pt idx="11">
                  <c:v>4.78007859653287E-4</c:v>
                </c:pt>
                <c:pt idx="12">
                  <c:v>-2.4114752143645402E-3</c:v>
                </c:pt>
                <c:pt idx="13">
                  <c:v>-4.1373129022918096E-3</c:v>
                </c:pt>
                <c:pt idx="14">
                  <c:v>-3.7468386140053502E-3</c:v>
                </c:pt>
                <c:pt idx="15">
                  <c:v>-3.1068950394914099E-3</c:v>
                </c:pt>
                <c:pt idx="16">
                  <c:v>-1.08757890236821E-3</c:v>
                </c:pt>
                <c:pt idx="17">
                  <c:v>-1.42486279526209E-3</c:v>
                </c:pt>
                <c:pt idx="18">
                  <c:v>1.7271313919199999E-3</c:v>
                </c:pt>
                <c:pt idx="19">
                  <c:v>1.72067006810973E-3</c:v>
                </c:pt>
                <c:pt idx="20">
                  <c:v>1.58722131164464E-4</c:v>
                </c:pt>
                <c:pt idx="21">
                  <c:v>9.8955188972489399E-4</c:v>
                </c:pt>
                <c:pt idx="22">
                  <c:v>1.74097241445832E-3</c:v>
                </c:pt>
                <c:pt idx="23">
                  <c:v>3.0354557475699098E-4</c:v>
                </c:pt>
                <c:pt idx="24">
                  <c:v>1.1504376211163001E-4</c:v>
                </c:pt>
                <c:pt idx="25">
                  <c:v>-1.4838148246159499E-3</c:v>
                </c:pt>
                <c:pt idx="26">
                  <c:v>-2.0516601968034601E-4</c:v>
                </c:pt>
                <c:pt idx="27">
                  <c:v>2.23869988743985E-5</c:v>
                </c:pt>
                <c:pt idx="28">
                  <c:v>2.2147677803496298E-3</c:v>
                </c:pt>
                <c:pt idx="29">
                  <c:v>3.5703542037344499E-3</c:v>
                </c:pt>
                <c:pt idx="30">
                  <c:v>3.8010957462753601E-3</c:v>
                </c:pt>
                <c:pt idx="31">
                  <c:v>2.4044052632052502E-3</c:v>
                </c:pt>
                <c:pt idx="32">
                  <c:v>2.8525548273162799E-3</c:v>
                </c:pt>
                <c:pt idx="33">
                  <c:v>3.9648790845252099E-3</c:v>
                </c:pt>
                <c:pt idx="34">
                  <c:v>4.7811994153917799E-3</c:v>
                </c:pt>
                <c:pt idx="35">
                  <c:v>5.2646572426325597E-3</c:v>
                </c:pt>
                <c:pt idx="36">
                  <c:v>4.2379043178240403E-3</c:v>
                </c:pt>
                <c:pt idx="37">
                  <c:v>1.19143714026285E-3</c:v>
                </c:pt>
                <c:pt idx="38">
                  <c:v>1.13638674842192E-4</c:v>
                </c:pt>
                <c:pt idx="39">
                  <c:v>-1.6060019408487599E-3</c:v>
                </c:pt>
                <c:pt idx="40">
                  <c:v>-2.0342600789504898E-3</c:v>
                </c:pt>
                <c:pt idx="41">
                  <c:v>-1.39882984508864E-3</c:v>
                </c:pt>
                <c:pt idx="42">
                  <c:v>-2.5386620931206901E-3</c:v>
                </c:pt>
                <c:pt idx="43">
                  <c:v>-1.96965723413212E-3</c:v>
                </c:pt>
                <c:pt idx="44">
                  <c:v>-1.85900242174237E-3</c:v>
                </c:pt>
                <c:pt idx="45">
                  <c:v>1.0862930693661399E-3</c:v>
                </c:pt>
                <c:pt idx="46">
                  <c:v>-1.1666680775384E-4</c:v>
                </c:pt>
                <c:pt idx="47">
                  <c:v>1.9424626361796E-4</c:v>
                </c:pt>
                <c:pt idx="48">
                  <c:v>1.4592203821080501E-3</c:v>
                </c:pt>
                <c:pt idx="49">
                  <c:v>3.0938223720090199E-3</c:v>
                </c:pt>
                <c:pt idx="50">
                  <c:v>2.2564290875769799E-3</c:v>
                </c:pt>
                <c:pt idx="51">
                  <c:v>7.4275129192991898E-4</c:v>
                </c:pt>
                <c:pt idx="52">
                  <c:v>2.4666678033161198E-4</c:v>
                </c:pt>
                <c:pt idx="53">
                  <c:v>-2.36640387958342E-3</c:v>
                </c:pt>
                <c:pt idx="54">
                  <c:v>1.5383328301659199E-5</c:v>
                </c:pt>
                <c:pt idx="55">
                  <c:v>6.5188509629384903E-4</c:v>
                </c:pt>
                <c:pt idx="56">
                  <c:v>8.5765400775502396E-4</c:v>
                </c:pt>
                <c:pt idx="57">
                  <c:v>-3.3268928343329501E-4</c:v>
                </c:pt>
                <c:pt idx="58">
                  <c:v>6.9631686305384605E-4</c:v>
                </c:pt>
                <c:pt idx="59">
                  <c:v>3.1815130658694498E-4</c:v>
                </c:pt>
                <c:pt idx="60">
                  <c:v>6.5491636662027197E-4</c:v>
                </c:pt>
                <c:pt idx="61">
                  <c:v>1.1901311171702701E-3</c:v>
                </c:pt>
                <c:pt idx="62">
                  <c:v>-1.3685059900865599E-3</c:v>
                </c:pt>
                <c:pt idx="63">
                  <c:v>-1.6288466252508901E-4</c:v>
                </c:pt>
                <c:pt idx="64">
                  <c:v>-1.2328746205039201E-3</c:v>
                </c:pt>
                <c:pt idx="65">
                  <c:v>1.3632678720108999E-3</c:v>
                </c:pt>
                <c:pt idx="66">
                  <c:v>1.79678674814381E-3</c:v>
                </c:pt>
                <c:pt idx="67">
                  <c:v>2.5905867430986501E-3</c:v>
                </c:pt>
                <c:pt idx="68">
                  <c:v>9.3006314240786096E-4</c:v>
                </c:pt>
                <c:pt idx="69">
                  <c:v>1.28430267991901E-3</c:v>
                </c:pt>
                <c:pt idx="70">
                  <c:v>8.2071672142666405E-4</c:v>
                </c:pt>
                <c:pt idx="71">
                  <c:v>1.9249752035159801E-3</c:v>
                </c:pt>
                <c:pt idx="72">
                  <c:v>1.3237357221963001E-3</c:v>
                </c:pt>
                <c:pt idx="73">
                  <c:v>2.13867068970439E-4</c:v>
                </c:pt>
                <c:pt idx="74">
                  <c:v>2.8100348615777798E-4</c:v>
                </c:pt>
                <c:pt idx="75">
                  <c:v>-1.53984653863619E-3</c:v>
                </c:pt>
                <c:pt idx="76">
                  <c:v>-2.27977778400861E-3</c:v>
                </c:pt>
                <c:pt idx="77">
                  <c:v>-1.13813715056481E-3</c:v>
                </c:pt>
                <c:pt idx="78">
                  <c:v>7.5220119819928205E-4</c:v>
                </c:pt>
                <c:pt idx="79">
                  <c:v>2.6544781420493398E-4</c:v>
                </c:pt>
                <c:pt idx="80">
                  <c:v>-5.6895530945589104E-4</c:v>
                </c:pt>
                <c:pt idx="81">
                  <c:v>1.0522700657869799E-3</c:v>
                </c:pt>
                <c:pt idx="82">
                  <c:v>2.2159328953806198E-3</c:v>
                </c:pt>
                <c:pt idx="83">
                  <c:v>8.7582482568382002E-4</c:v>
                </c:pt>
                <c:pt idx="84">
                  <c:v>1.99389248521476E-3</c:v>
                </c:pt>
                <c:pt idx="85">
                  <c:v>1.9815819399379301E-3</c:v>
                </c:pt>
                <c:pt idx="86">
                  <c:v>5.5217927499341104E-4</c:v>
                </c:pt>
                <c:pt idx="87">
                  <c:v>8.7925614720079195E-4</c:v>
                </c:pt>
                <c:pt idx="88">
                  <c:v>1.72593042801871E-3</c:v>
                </c:pt>
                <c:pt idx="89">
                  <c:v>-2.7471722690128401E-4</c:v>
                </c:pt>
                <c:pt idx="90">
                  <c:v>-1.46769554507937E-5</c:v>
                </c:pt>
                <c:pt idx="91">
                  <c:v>-1.0088365250588999E-3</c:v>
                </c:pt>
                <c:pt idx="92">
                  <c:v>-3.2900295045333698E-3</c:v>
                </c:pt>
                <c:pt idx="93">
                  <c:v>-3.4755692437587202E-3</c:v>
                </c:pt>
                <c:pt idx="94">
                  <c:v>-2.52670414923898E-3</c:v>
                </c:pt>
                <c:pt idx="95">
                  <c:v>-9.2526490007605099E-4</c:v>
                </c:pt>
                <c:pt idx="96">
                  <c:v>1.0588409027435699E-3</c:v>
                </c:pt>
                <c:pt idx="97">
                  <c:v>9.6738609597941602E-4</c:v>
                </c:pt>
                <c:pt idx="98">
                  <c:v>1.18325927213011E-3</c:v>
                </c:pt>
                <c:pt idx="99">
                  <c:v>2.0321374719200901E-3</c:v>
                </c:pt>
                <c:pt idx="100">
                  <c:v>1.53098668648437E-3</c:v>
                </c:pt>
                <c:pt idx="101">
                  <c:v>1.23808402571677E-3</c:v>
                </c:pt>
                <c:pt idx="102">
                  <c:v>-1.55864744605766E-3</c:v>
                </c:pt>
                <c:pt idx="103">
                  <c:v>-2.4856752962071501E-4</c:v>
                </c:pt>
                <c:pt idx="104">
                  <c:v>-2.01417611986218E-3</c:v>
                </c:pt>
                <c:pt idx="105">
                  <c:v>-2.7418659010426602E-3</c:v>
                </c:pt>
                <c:pt idx="106">
                  <c:v>-1.6244684149858801E-3</c:v>
                </c:pt>
                <c:pt idx="107">
                  <c:v>-1.62415560401947E-3</c:v>
                </c:pt>
                <c:pt idx="108">
                  <c:v>-3.1203773514513898E-3</c:v>
                </c:pt>
                <c:pt idx="109">
                  <c:v>-2.4780006677680099E-3</c:v>
                </c:pt>
                <c:pt idx="110">
                  <c:v>6.7685359427731902E-4</c:v>
                </c:pt>
                <c:pt idx="111">
                  <c:v>9.8859678628954303E-4</c:v>
                </c:pt>
                <c:pt idx="112">
                  <c:v>1.6746139877417401E-3</c:v>
                </c:pt>
                <c:pt idx="113">
                  <c:v>1.5877504602193899E-3</c:v>
                </c:pt>
                <c:pt idx="114">
                  <c:v>6.4604160731145696E-4</c:v>
                </c:pt>
                <c:pt idx="115">
                  <c:v>1.2450749264176499E-3</c:v>
                </c:pt>
                <c:pt idx="116">
                  <c:v>2.2201881186427199E-3</c:v>
                </c:pt>
                <c:pt idx="117">
                  <c:v>1.21158121337705E-3</c:v>
                </c:pt>
                <c:pt idx="118">
                  <c:v>-5.1668536161227199E-5</c:v>
                </c:pt>
                <c:pt idx="119">
                  <c:v>4.7539777989614101E-4</c:v>
                </c:pt>
                <c:pt idx="120">
                  <c:v>1.76457426712413E-4</c:v>
                </c:pt>
                <c:pt idx="121">
                  <c:v>1.09814229707487E-3</c:v>
                </c:pt>
                <c:pt idx="122">
                  <c:v>3.0687291325112801E-4</c:v>
                </c:pt>
                <c:pt idx="123">
                  <c:v>-9.3210828665906797E-4</c:v>
                </c:pt>
                <c:pt idx="124">
                  <c:v>-3.27194331370558E-4</c:v>
                </c:pt>
                <c:pt idx="125">
                  <c:v>-1.76921114179181E-3</c:v>
                </c:pt>
                <c:pt idx="126">
                  <c:v>-3.3983728086310699E-3</c:v>
                </c:pt>
                <c:pt idx="127">
                  <c:v>-2.6951298765125198E-3</c:v>
                </c:pt>
                <c:pt idx="128">
                  <c:v>-2.6216702812327801E-3</c:v>
                </c:pt>
                <c:pt idx="129">
                  <c:v>-1.9277521088536601E-3</c:v>
                </c:pt>
                <c:pt idx="130">
                  <c:v>-2.2603645360466198E-3</c:v>
                </c:pt>
                <c:pt idx="131">
                  <c:v>-1.5932807742360001E-3</c:v>
                </c:pt>
                <c:pt idx="132">
                  <c:v>-2.1817558386927399E-3</c:v>
                </c:pt>
                <c:pt idx="133">
                  <c:v>-3.1198986407708598E-3</c:v>
                </c:pt>
                <c:pt idx="134">
                  <c:v>-2.02187940225313E-3</c:v>
                </c:pt>
                <c:pt idx="135">
                  <c:v>-1.3788215068782799E-3</c:v>
                </c:pt>
                <c:pt idx="136">
                  <c:v>5.2200707827525195E-4</c:v>
                </c:pt>
                <c:pt idx="137">
                  <c:v>1.62021277336015E-3</c:v>
                </c:pt>
                <c:pt idx="138">
                  <c:v>2.12224755931431E-3</c:v>
                </c:pt>
                <c:pt idx="139">
                  <c:v>3.0036278563684801E-3</c:v>
                </c:pt>
                <c:pt idx="140">
                  <c:v>2.1826158946384E-3</c:v>
                </c:pt>
                <c:pt idx="141">
                  <c:v>1.23835404525481E-3</c:v>
                </c:pt>
                <c:pt idx="142">
                  <c:v>5.3271133234236298E-5</c:v>
                </c:pt>
                <c:pt idx="143">
                  <c:v>1.8332232107417801E-3</c:v>
                </c:pt>
                <c:pt idx="144">
                  <c:v>7.3889769410050599E-4</c:v>
                </c:pt>
                <c:pt idx="145">
                  <c:v>-5.0717416530868102E-4</c:v>
                </c:pt>
                <c:pt idx="146">
                  <c:v>-5.73284903769973E-4</c:v>
                </c:pt>
                <c:pt idx="147">
                  <c:v>-7.2955828621308605E-4</c:v>
                </c:pt>
                <c:pt idx="148">
                  <c:v>-3.0126002623947802E-3</c:v>
                </c:pt>
                <c:pt idx="149">
                  <c:v>-3.36781827736217E-3</c:v>
                </c:pt>
                <c:pt idx="150">
                  <c:v>-3.4842024099940201E-3</c:v>
                </c:pt>
                <c:pt idx="151">
                  <c:v>-2.18255920985152E-3</c:v>
                </c:pt>
                <c:pt idx="152">
                  <c:v>-1.63107655336946E-3</c:v>
                </c:pt>
                <c:pt idx="153">
                  <c:v>-1.9545511262724499E-4</c:v>
                </c:pt>
                <c:pt idx="154">
                  <c:v>2.1850164729502499E-4</c:v>
                </c:pt>
                <c:pt idx="155">
                  <c:v>7.8821873739346902E-4</c:v>
                </c:pt>
                <c:pt idx="156">
                  <c:v>1.71093271239683E-3</c:v>
                </c:pt>
                <c:pt idx="157">
                  <c:v>-4.3087469503639697E-5</c:v>
                </c:pt>
                <c:pt idx="158">
                  <c:v>1.96415009651237E-4</c:v>
                </c:pt>
                <c:pt idx="159">
                  <c:v>-2.44724168706555E-3</c:v>
                </c:pt>
                <c:pt idx="160">
                  <c:v>-1.5560515680843601E-3</c:v>
                </c:pt>
                <c:pt idx="161">
                  <c:v>3.1753210388101602E-4</c:v>
                </c:pt>
                <c:pt idx="162">
                  <c:v>8.1127605018394596E-4</c:v>
                </c:pt>
                <c:pt idx="163">
                  <c:v>7.9120565940432705E-4</c:v>
                </c:pt>
                <c:pt idx="164">
                  <c:v>-7.9291706168913402E-4</c:v>
                </c:pt>
                <c:pt idx="165">
                  <c:v>-2.3965620885867201E-3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A3-4837-A310-361A81FE2A79}"/>
            </c:ext>
          </c:extLst>
        </c:ser>
        <c:ser>
          <c:idx val="2"/>
          <c:order val="2"/>
          <c:tx>
            <c:strRef>
              <c:f>XLU_IDU_2!$AG$1</c:f>
              <c:strCache>
                <c:ptCount val="1"/>
                <c:pt idx="0">
                  <c:v>log diff XLU* x 20 dma / IDU*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XLU_IDU_2!$AG$2:$AG$167</c:f>
              <c:numCache>
                <c:formatCode>0.00%</c:formatCode>
                <c:ptCount val="166"/>
                <c:pt idx="20">
                  <c:v>-8.6470371751363995E-4</c:v>
                </c:pt>
                <c:pt idx="21">
                  <c:v>-1.29187628918202E-4</c:v>
                </c:pt>
                <c:pt idx="22">
                  <c:v>4.9945213535797998E-4</c:v>
                </c:pt>
                <c:pt idx="23">
                  <c:v>-7.1253724057848905E-4</c:v>
                </c:pt>
                <c:pt idx="24">
                  <c:v>-5.7454753961585505E-4</c:v>
                </c:pt>
                <c:pt idx="25">
                  <c:v>-1.86795475129009E-3</c:v>
                </c:pt>
                <c:pt idx="26">
                  <c:v>-3.83393558096003E-4</c:v>
                </c:pt>
                <c:pt idx="27">
                  <c:v>-6.0517505846659997E-6</c:v>
                </c:pt>
                <c:pt idx="28">
                  <c:v>2.42480888711416E-3</c:v>
                </c:pt>
                <c:pt idx="29">
                  <c:v>3.8821152040305201E-3</c:v>
                </c:pt>
                <c:pt idx="30">
                  <c:v>4.2381007100616899E-3</c:v>
                </c:pt>
                <c:pt idx="31">
                  <c:v>3.1795069471789602E-3</c:v>
                </c:pt>
                <c:pt idx="32">
                  <c:v>3.8621657725742701E-3</c:v>
                </c:pt>
                <c:pt idx="33">
                  <c:v>5.0475542309980697E-3</c:v>
                </c:pt>
                <c:pt idx="34">
                  <c:v>6.0346221634655899E-3</c:v>
                </c:pt>
                <c:pt idx="35">
                  <c:v>6.7524062777996503E-3</c:v>
                </c:pt>
                <c:pt idx="36">
                  <c:v>6.1697243766382403E-3</c:v>
                </c:pt>
                <c:pt idx="37">
                  <c:v>3.5130612749272802E-3</c:v>
                </c:pt>
                <c:pt idx="38">
                  <c:v>2.6571590008589701E-3</c:v>
                </c:pt>
                <c:pt idx="39">
                  <c:v>1.04168215056573E-3</c:v>
                </c:pt>
                <c:pt idx="40">
                  <c:v>4.9534744919714805E-4</c:v>
                </c:pt>
                <c:pt idx="41">
                  <c:v>8.6544247525110205E-4</c:v>
                </c:pt>
                <c:pt idx="42">
                  <c:v>-3.86670664178491E-4</c:v>
                </c:pt>
                <c:pt idx="43">
                  <c:v>-2.91082356434071E-5</c:v>
                </c:pt>
                <c:pt idx="44">
                  <c:v>-3.13140196944128E-4</c:v>
                </c:pt>
                <c:pt idx="45">
                  <c:v>2.0956723334209898E-3</c:v>
                </c:pt>
                <c:pt idx="46">
                  <c:v>2.9837394332408502E-4</c:v>
                </c:pt>
                <c:pt idx="47">
                  <c:v>1.8016979388499999E-5</c:v>
                </c:pt>
                <c:pt idx="48">
                  <c:v>9.2476901720567101E-4</c:v>
                </c:pt>
                <c:pt idx="49">
                  <c:v>2.4240537846085398E-3</c:v>
                </c:pt>
                <c:pt idx="50">
                  <c:v>1.74873741453631E-3</c:v>
                </c:pt>
                <c:pt idx="51">
                  <c:v>4.3784409745834701E-4</c:v>
                </c:pt>
                <c:pt idx="52">
                  <c:v>-1.7735025605860601E-5</c:v>
                </c:pt>
                <c:pt idx="53">
                  <c:v>-2.46320224811026E-3</c:v>
                </c:pt>
                <c:pt idx="54">
                  <c:v>-8.0513151265000606E-6</c:v>
                </c:pt>
                <c:pt idx="55">
                  <c:v>8.9747320958250497E-4</c:v>
                </c:pt>
                <c:pt idx="56">
                  <c:v>1.21389480930415E-3</c:v>
                </c:pt>
                <c:pt idx="57">
                  <c:v>2.8393022371201902E-4</c:v>
                </c:pt>
                <c:pt idx="58">
                  <c:v>1.41574747400686E-3</c:v>
                </c:pt>
                <c:pt idx="59">
                  <c:v>1.05755592199101E-3</c:v>
                </c:pt>
                <c:pt idx="60">
                  <c:v>1.16158981329651E-3</c:v>
                </c:pt>
                <c:pt idx="61">
                  <c:v>1.50365511519656E-3</c:v>
                </c:pt>
                <c:pt idx="62">
                  <c:v>-1.0778959408364701E-3</c:v>
                </c:pt>
                <c:pt idx="63">
                  <c:v>-3.6987174227095597E-5</c:v>
                </c:pt>
                <c:pt idx="64">
                  <c:v>-9.5441744221368705E-4</c:v>
                </c:pt>
                <c:pt idx="65">
                  <c:v>1.51563105408964E-3</c:v>
                </c:pt>
                <c:pt idx="66">
                  <c:v>1.9970881876174101E-3</c:v>
                </c:pt>
                <c:pt idx="67">
                  <c:v>2.7734589634224901E-3</c:v>
                </c:pt>
                <c:pt idx="68">
                  <c:v>1.24196655295873E-3</c:v>
                </c:pt>
                <c:pt idx="69">
                  <c:v>1.6053010521758101E-3</c:v>
                </c:pt>
                <c:pt idx="70">
                  <c:v>1.2869458636495701E-3</c:v>
                </c:pt>
                <c:pt idx="71">
                  <c:v>2.4755296989189099E-3</c:v>
                </c:pt>
                <c:pt idx="72">
                  <c:v>1.9123261001039501E-3</c:v>
                </c:pt>
                <c:pt idx="73">
                  <c:v>1.0479847482446399E-3</c:v>
                </c:pt>
                <c:pt idx="74">
                  <c:v>1.0944610066529301E-3</c:v>
                </c:pt>
                <c:pt idx="75">
                  <c:v>-5.3438018454589602E-4</c:v>
                </c:pt>
                <c:pt idx="76">
                  <c:v>-1.36987269718999E-3</c:v>
                </c:pt>
                <c:pt idx="77">
                  <c:v>-4.0828964766413602E-4</c:v>
                </c:pt>
                <c:pt idx="78">
                  <c:v>1.2040981140937299E-3</c:v>
                </c:pt>
                <c:pt idx="79">
                  <c:v>7.1076221747374895E-4</c:v>
                </c:pt>
                <c:pt idx="80">
                  <c:v>-2.1046495287797601E-4</c:v>
                </c:pt>
                <c:pt idx="81">
                  <c:v>1.3221947563261799E-3</c:v>
                </c:pt>
                <c:pt idx="82">
                  <c:v>2.3775098038337798E-3</c:v>
                </c:pt>
                <c:pt idx="83">
                  <c:v>9.0445176110690495E-4</c:v>
                </c:pt>
                <c:pt idx="84">
                  <c:v>1.95615526615524E-3</c:v>
                </c:pt>
                <c:pt idx="85">
                  <c:v>1.8683977069693101E-3</c:v>
                </c:pt>
                <c:pt idx="86">
                  <c:v>6.4842424114793505E-4</c:v>
                </c:pt>
                <c:pt idx="87">
                  <c:v>1.2399479462715101E-3</c:v>
                </c:pt>
                <c:pt idx="88">
                  <c:v>2.3372277978545202E-3</c:v>
                </c:pt>
                <c:pt idx="89">
                  <c:v>4.1009482162344702E-4</c:v>
                </c:pt>
                <c:pt idx="90">
                  <c:v>7.1806790639892496E-4</c:v>
                </c:pt>
                <c:pt idx="91">
                  <c:v>-1.4126094724446401E-4</c:v>
                </c:pt>
                <c:pt idx="92">
                  <c:v>-2.4221767316636202E-3</c:v>
                </c:pt>
                <c:pt idx="93">
                  <c:v>-2.8573539785339401E-3</c:v>
                </c:pt>
                <c:pt idx="94">
                  <c:v>-2.10057439902196E-3</c:v>
                </c:pt>
                <c:pt idx="95">
                  <c:v>-7.6451359101572798E-4</c:v>
                </c:pt>
                <c:pt idx="96">
                  <c:v>9.2565926862960099E-4</c:v>
                </c:pt>
                <c:pt idx="97">
                  <c:v>6.9484553460746998E-4</c:v>
                </c:pt>
                <c:pt idx="98">
                  <c:v>7.5093333347638102E-4</c:v>
                </c:pt>
                <c:pt idx="99">
                  <c:v>1.41992699322708E-3</c:v>
                </c:pt>
                <c:pt idx="100">
                  <c:v>9.3131402769539896E-4</c:v>
                </c:pt>
                <c:pt idx="101">
                  <c:v>5.5466461726943995E-4</c:v>
                </c:pt>
                <c:pt idx="102">
                  <c:v>-2.1818097795449401E-3</c:v>
                </c:pt>
                <c:pt idx="103">
                  <c:v>-6.5878231549018303E-4</c:v>
                </c:pt>
                <c:pt idx="104">
                  <c:v>-2.14791457152721E-3</c:v>
                </c:pt>
                <c:pt idx="105">
                  <c:v>-2.6798139451815698E-3</c:v>
                </c:pt>
                <c:pt idx="106">
                  <c:v>-1.51798679705593E-3</c:v>
                </c:pt>
                <c:pt idx="107">
                  <c:v>-1.65323286462524E-3</c:v>
                </c:pt>
                <c:pt idx="108">
                  <c:v>-3.2591289580788602E-3</c:v>
                </c:pt>
                <c:pt idx="109">
                  <c:v>-2.7756754515562902E-3</c:v>
                </c:pt>
                <c:pt idx="110">
                  <c:v>7.0098568209756094E-5</c:v>
                </c:pt>
                <c:pt idx="111">
                  <c:v>2.6143421086439501E-4</c:v>
                </c:pt>
                <c:pt idx="112">
                  <c:v>8.1855288356978695E-4</c:v>
                </c:pt>
                <c:pt idx="113">
                  <c:v>7.8332530058595801E-4</c:v>
                </c:pt>
                <c:pt idx="114">
                  <c:v>-2.6747484680689698E-4</c:v>
                </c:pt>
                <c:pt idx="115">
                  <c:v>3.6086372093208199E-4</c:v>
                </c:pt>
                <c:pt idx="116">
                  <c:v>1.5314854188925901E-3</c:v>
                </c:pt>
                <c:pt idx="117">
                  <c:v>7.6952206605710501E-4</c:v>
                </c:pt>
                <c:pt idx="118">
                  <c:v>-2.63738279247235E-4</c:v>
                </c:pt>
                <c:pt idx="119">
                  <c:v>6.2493807710739297E-4</c:v>
                </c:pt>
                <c:pt idx="120">
                  <c:v>7.4417915285827398E-4</c:v>
                </c:pt>
                <c:pt idx="121">
                  <c:v>1.80090465095631E-3</c:v>
                </c:pt>
                <c:pt idx="122">
                  <c:v>1.1705230245819701E-3</c:v>
                </c:pt>
                <c:pt idx="123">
                  <c:v>-1.26524429814189E-4</c:v>
                </c:pt>
                <c:pt idx="124">
                  <c:v>4.21534349866935E-4</c:v>
                </c:pt>
                <c:pt idx="125">
                  <c:v>-1.03590434393624E-3</c:v>
                </c:pt>
                <c:pt idx="126">
                  <c:v>-2.8535519233187801E-3</c:v>
                </c:pt>
                <c:pt idx="127">
                  <c:v>-2.5003372456584702E-3</c:v>
                </c:pt>
                <c:pt idx="128">
                  <c:v>-2.7004432668406701E-3</c:v>
                </c:pt>
                <c:pt idx="129">
                  <c:v>-2.27542407638371E-3</c:v>
                </c:pt>
                <c:pt idx="130">
                  <c:v>-2.9256775984293701E-3</c:v>
                </c:pt>
                <c:pt idx="131">
                  <c:v>-2.4785948859952201E-3</c:v>
                </c:pt>
                <c:pt idx="132">
                  <c:v>-3.3654195032898101E-3</c:v>
                </c:pt>
                <c:pt idx="133">
                  <c:v>-4.5639075865095899E-3</c:v>
                </c:pt>
                <c:pt idx="134">
                  <c:v>-3.67405683491268E-3</c:v>
                </c:pt>
                <c:pt idx="135">
                  <c:v>-3.3066101838249099E-3</c:v>
                </c:pt>
                <c:pt idx="136">
                  <c:v>-1.50146436117876E-3</c:v>
                </c:pt>
                <c:pt idx="137">
                  <c:v>-1.83543237476374E-4</c:v>
                </c:pt>
                <c:pt idx="138">
                  <c:v>5.2930982964814104E-4</c:v>
                </c:pt>
                <c:pt idx="139">
                  <c:v>1.6245789179813099E-3</c:v>
                </c:pt>
                <c:pt idx="140">
                  <c:v>1.0665762696419601E-3</c:v>
                </c:pt>
                <c:pt idx="141">
                  <c:v>4.2083138194036002E-4</c:v>
                </c:pt>
                <c:pt idx="142">
                  <c:v>-4.81731550496491E-4</c:v>
                </c:pt>
                <c:pt idx="143">
                  <c:v>1.59912500432383E-3</c:v>
                </c:pt>
                <c:pt idx="144">
                  <c:v>9.8316587053634509E-4</c:v>
                </c:pt>
                <c:pt idx="145">
                  <c:v>1.4981977180264901E-4</c:v>
                </c:pt>
                <c:pt idx="146">
                  <c:v>3.6673580635957702E-4</c:v>
                </c:pt>
                <c:pt idx="147">
                  <c:v>2.56268595971813E-4</c:v>
                </c:pt>
                <c:pt idx="148">
                  <c:v>-2.0809747186959701E-3</c:v>
                </c:pt>
                <c:pt idx="149">
                  <c:v>-2.67788682750185E-3</c:v>
                </c:pt>
                <c:pt idx="150">
                  <c:v>-3.1525849635349701E-3</c:v>
                </c:pt>
                <c:pt idx="151">
                  <c:v>-2.2117403331474599E-3</c:v>
                </c:pt>
                <c:pt idx="152">
                  <c:v>-1.89399554589702E-3</c:v>
                </c:pt>
                <c:pt idx="153">
                  <c:v>-6.2714511849092601E-4</c:v>
                </c:pt>
                <c:pt idx="154">
                  <c:v>-5.8175763937109504E-4</c:v>
                </c:pt>
                <c:pt idx="155">
                  <c:v>-2.8035360750273399E-4</c:v>
                </c:pt>
                <c:pt idx="156">
                  <c:v>4.9099472043178196E-4</c:v>
                </c:pt>
                <c:pt idx="157">
                  <c:v>-1.3100429203892099E-3</c:v>
                </c:pt>
                <c:pt idx="158">
                  <c:v>-1.1438427997690001E-3</c:v>
                </c:pt>
                <c:pt idx="159">
                  <c:v>-3.5975771591813298E-3</c:v>
                </c:pt>
                <c:pt idx="160">
                  <c:v>-2.5260076705423398E-3</c:v>
                </c:pt>
                <c:pt idx="161">
                  <c:v>-4.0290317641344399E-4</c:v>
                </c:pt>
                <c:pt idx="162">
                  <c:v>3.1766273541236699E-4</c:v>
                </c:pt>
                <c:pt idx="163">
                  <c:v>4.8082062985105198E-4</c:v>
                </c:pt>
                <c:pt idx="164">
                  <c:v>-9.40649748791672E-4</c:v>
                </c:pt>
                <c:pt idx="165">
                  <c:v>-2.5037191324396302E-3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A3-4837-A310-361A81FE2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XLU_IDU_2!$Y$1</c:f>
              <c:strCache>
                <c:ptCount val="1"/>
                <c:pt idx="0">
                  <c:v> IDU*/XLU*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XLU_IDU_2!$Y$2:$Y$167</c:f>
              <c:numCache>
                <c:formatCode>_(* #,##0.0000_);_(* \(#,##0.0000\);_(* "-"??_);_(@_)</c:formatCode>
                <c:ptCount val="166"/>
                <c:pt idx="0">
                  <c:v>2.53031067016226</c:v>
                </c:pt>
                <c:pt idx="1">
                  <c:v>2.53031067016226</c:v>
                </c:pt>
                <c:pt idx="2">
                  <c:v>2.53031067016226</c:v>
                </c:pt>
                <c:pt idx="3">
                  <c:v>2.53031067016226</c:v>
                </c:pt>
                <c:pt idx="4">
                  <c:v>2.53031067016226</c:v>
                </c:pt>
                <c:pt idx="5">
                  <c:v>2.53031067016226</c:v>
                </c:pt>
                <c:pt idx="6">
                  <c:v>2.53031067016226</c:v>
                </c:pt>
                <c:pt idx="7">
                  <c:v>2.53031067016226</c:v>
                </c:pt>
                <c:pt idx="8">
                  <c:v>2.53031067016226</c:v>
                </c:pt>
                <c:pt idx="9">
                  <c:v>2.53031067016226</c:v>
                </c:pt>
                <c:pt idx="10">
                  <c:v>2.53031067016226</c:v>
                </c:pt>
                <c:pt idx="11">
                  <c:v>2.53031067016226</c:v>
                </c:pt>
                <c:pt idx="12">
                  <c:v>2.53031067016226</c:v>
                </c:pt>
                <c:pt idx="13">
                  <c:v>2.53031067016226</c:v>
                </c:pt>
                <c:pt idx="14">
                  <c:v>2.53031067016226</c:v>
                </c:pt>
                <c:pt idx="15">
                  <c:v>2.53031067016226</c:v>
                </c:pt>
                <c:pt idx="16">
                  <c:v>2.53031067016226</c:v>
                </c:pt>
                <c:pt idx="17">
                  <c:v>2.53031067016226</c:v>
                </c:pt>
                <c:pt idx="18">
                  <c:v>2.53031067016226</c:v>
                </c:pt>
                <c:pt idx="19">
                  <c:v>2.53031067016226</c:v>
                </c:pt>
                <c:pt idx="20">
                  <c:v>2.53031067016226</c:v>
                </c:pt>
                <c:pt idx="21">
                  <c:v>2.53031067016226</c:v>
                </c:pt>
                <c:pt idx="22">
                  <c:v>2.53031067016226</c:v>
                </c:pt>
                <c:pt idx="23">
                  <c:v>2.53031067016226</c:v>
                </c:pt>
                <c:pt idx="24">
                  <c:v>2.53031067016226</c:v>
                </c:pt>
                <c:pt idx="25">
                  <c:v>2.53031067016226</c:v>
                </c:pt>
                <c:pt idx="26">
                  <c:v>2.53031067016226</c:v>
                </c:pt>
                <c:pt idx="27">
                  <c:v>2.53031067016226</c:v>
                </c:pt>
                <c:pt idx="28">
                  <c:v>2.53031067016226</c:v>
                </c:pt>
                <c:pt idx="29">
                  <c:v>2.53031067016226</c:v>
                </c:pt>
                <c:pt idx="30">
                  <c:v>2.53031067016226</c:v>
                </c:pt>
                <c:pt idx="31">
                  <c:v>2.53031067016226</c:v>
                </c:pt>
                <c:pt idx="32">
                  <c:v>2.53031067016226</c:v>
                </c:pt>
                <c:pt idx="33">
                  <c:v>2.53031067016226</c:v>
                </c:pt>
                <c:pt idx="34">
                  <c:v>2.53031067016226</c:v>
                </c:pt>
                <c:pt idx="35">
                  <c:v>2.53031067016226</c:v>
                </c:pt>
                <c:pt idx="36">
                  <c:v>2.53031067016226</c:v>
                </c:pt>
                <c:pt idx="37">
                  <c:v>2.53031067016226</c:v>
                </c:pt>
                <c:pt idx="38">
                  <c:v>2.53031067016226</c:v>
                </c:pt>
                <c:pt idx="39">
                  <c:v>2.53031067016226</c:v>
                </c:pt>
                <c:pt idx="40">
                  <c:v>2.53031067016226</c:v>
                </c:pt>
                <c:pt idx="41">
                  <c:v>2.53031067016226</c:v>
                </c:pt>
                <c:pt idx="42">
                  <c:v>2.53031067016226</c:v>
                </c:pt>
                <c:pt idx="43">
                  <c:v>2.53031067016226</c:v>
                </c:pt>
                <c:pt idx="44">
                  <c:v>2.53031067016226</c:v>
                </c:pt>
                <c:pt idx="45">
                  <c:v>2.53031067016226</c:v>
                </c:pt>
                <c:pt idx="46">
                  <c:v>2.53031067016226</c:v>
                </c:pt>
                <c:pt idx="47">
                  <c:v>2.53031067016226</c:v>
                </c:pt>
                <c:pt idx="48">
                  <c:v>2.53031067016226</c:v>
                </c:pt>
                <c:pt idx="49">
                  <c:v>2.53031067016226</c:v>
                </c:pt>
                <c:pt idx="50">
                  <c:v>2.53031067016226</c:v>
                </c:pt>
                <c:pt idx="51">
                  <c:v>2.53031067016226</c:v>
                </c:pt>
                <c:pt idx="52">
                  <c:v>2.53031067016226</c:v>
                </c:pt>
                <c:pt idx="53">
                  <c:v>2.53031067016226</c:v>
                </c:pt>
                <c:pt idx="54">
                  <c:v>2.53031067016226</c:v>
                </c:pt>
                <c:pt idx="55">
                  <c:v>2.53031067016226</c:v>
                </c:pt>
                <c:pt idx="56">
                  <c:v>2.53031067016226</c:v>
                </c:pt>
                <c:pt idx="57">
                  <c:v>2.53031067016226</c:v>
                </c:pt>
                <c:pt idx="58">
                  <c:v>2.53031067016226</c:v>
                </c:pt>
                <c:pt idx="59">
                  <c:v>2.53031067016226</c:v>
                </c:pt>
                <c:pt idx="60">
                  <c:v>2.53031067016226</c:v>
                </c:pt>
                <c:pt idx="61">
                  <c:v>2.53031067016226</c:v>
                </c:pt>
                <c:pt idx="62">
                  <c:v>2.53031067016226</c:v>
                </c:pt>
                <c:pt idx="63">
                  <c:v>2.53031067016226</c:v>
                </c:pt>
                <c:pt idx="64">
                  <c:v>2.53031067016226</c:v>
                </c:pt>
                <c:pt idx="65">
                  <c:v>2.53031067016226</c:v>
                </c:pt>
                <c:pt idx="66">
                  <c:v>2.53031067016226</c:v>
                </c:pt>
                <c:pt idx="67">
                  <c:v>2.53031067016226</c:v>
                </c:pt>
                <c:pt idx="68">
                  <c:v>2.53031067016226</c:v>
                </c:pt>
                <c:pt idx="69">
                  <c:v>2.53031067016226</c:v>
                </c:pt>
                <c:pt idx="70">
                  <c:v>2.53031067016226</c:v>
                </c:pt>
                <c:pt idx="71">
                  <c:v>2.53031067016226</c:v>
                </c:pt>
                <c:pt idx="72">
                  <c:v>2.53031067016226</c:v>
                </c:pt>
                <c:pt idx="73">
                  <c:v>2.53031067016226</c:v>
                </c:pt>
                <c:pt idx="74">
                  <c:v>2.53031067016226</c:v>
                </c:pt>
                <c:pt idx="75">
                  <c:v>2.53031067016226</c:v>
                </c:pt>
                <c:pt idx="76">
                  <c:v>2.53031067016226</c:v>
                </c:pt>
                <c:pt idx="77">
                  <c:v>2.53031067016226</c:v>
                </c:pt>
                <c:pt idx="78">
                  <c:v>2.53031067016226</c:v>
                </c:pt>
                <c:pt idx="79">
                  <c:v>2.53031067016226</c:v>
                </c:pt>
                <c:pt idx="80">
                  <c:v>2.53031067016226</c:v>
                </c:pt>
                <c:pt idx="81">
                  <c:v>2.53031067016226</c:v>
                </c:pt>
                <c:pt idx="82">
                  <c:v>2.53031067016226</c:v>
                </c:pt>
                <c:pt idx="83">
                  <c:v>2.53031067016226</c:v>
                </c:pt>
                <c:pt idx="84">
                  <c:v>2.53031067016226</c:v>
                </c:pt>
                <c:pt idx="85">
                  <c:v>2.53031067016226</c:v>
                </c:pt>
                <c:pt idx="86">
                  <c:v>2.53031067016226</c:v>
                </c:pt>
                <c:pt idx="87">
                  <c:v>2.53031067016226</c:v>
                </c:pt>
                <c:pt idx="88">
                  <c:v>2.53031067016226</c:v>
                </c:pt>
                <c:pt idx="89">
                  <c:v>2.53031067016226</c:v>
                </c:pt>
                <c:pt idx="90">
                  <c:v>2.53031067016226</c:v>
                </c:pt>
                <c:pt idx="91">
                  <c:v>2.53031067016226</c:v>
                </c:pt>
                <c:pt idx="92">
                  <c:v>2.53031067016226</c:v>
                </c:pt>
                <c:pt idx="93">
                  <c:v>2.53031067016226</c:v>
                </c:pt>
                <c:pt idx="94">
                  <c:v>2.53031067016226</c:v>
                </c:pt>
                <c:pt idx="95">
                  <c:v>2.53031067016226</c:v>
                </c:pt>
                <c:pt idx="96">
                  <c:v>2.53031067016226</c:v>
                </c:pt>
                <c:pt idx="97">
                  <c:v>2.53031067016226</c:v>
                </c:pt>
                <c:pt idx="98">
                  <c:v>2.53031067016226</c:v>
                </c:pt>
                <c:pt idx="99">
                  <c:v>2.53031067016226</c:v>
                </c:pt>
                <c:pt idx="100">
                  <c:v>2.53031067016226</c:v>
                </c:pt>
                <c:pt idx="101">
                  <c:v>2.53031067016226</c:v>
                </c:pt>
                <c:pt idx="102">
                  <c:v>2.53031067016226</c:v>
                </c:pt>
                <c:pt idx="103">
                  <c:v>2.53031067016226</c:v>
                </c:pt>
                <c:pt idx="104">
                  <c:v>2.53031067016226</c:v>
                </c:pt>
                <c:pt idx="105">
                  <c:v>2.53031067016226</c:v>
                </c:pt>
                <c:pt idx="106">
                  <c:v>2.53031067016226</c:v>
                </c:pt>
                <c:pt idx="107">
                  <c:v>2.53031067016226</c:v>
                </c:pt>
                <c:pt idx="108">
                  <c:v>2.53031067016226</c:v>
                </c:pt>
                <c:pt idx="109">
                  <c:v>2.53031067016226</c:v>
                </c:pt>
                <c:pt idx="110">
                  <c:v>2.53031067016226</c:v>
                </c:pt>
                <c:pt idx="111">
                  <c:v>2.53031067016226</c:v>
                </c:pt>
                <c:pt idx="112">
                  <c:v>2.53031067016226</c:v>
                </c:pt>
                <c:pt idx="113">
                  <c:v>2.53031067016226</c:v>
                </c:pt>
                <c:pt idx="114">
                  <c:v>2.53031067016226</c:v>
                </c:pt>
                <c:pt idx="115">
                  <c:v>2.53031067016226</c:v>
                </c:pt>
                <c:pt idx="116">
                  <c:v>2.53031067016226</c:v>
                </c:pt>
                <c:pt idx="117">
                  <c:v>2.53031067016226</c:v>
                </c:pt>
                <c:pt idx="118">
                  <c:v>2.53031067016226</c:v>
                </c:pt>
                <c:pt idx="119">
                  <c:v>2.53031067016226</c:v>
                </c:pt>
                <c:pt idx="120">
                  <c:v>2.53031067016226</c:v>
                </c:pt>
                <c:pt idx="121">
                  <c:v>2.53031067016226</c:v>
                </c:pt>
                <c:pt idx="122">
                  <c:v>2.53031067016226</c:v>
                </c:pt>
                <c:pt idx="123">
                  <c:v>2.53031067016226</c:v>
                </c:pt>
                <c:pt idx="124">
                  <c:v>2.53031067016226</c:v>
                </c:pt>
                <c:pt idx="125">
                  <c:v>2.53031067016226</c:v>
                </c:pt>
                <c:pt idx="126">
                  <c:v>2.53031067016226</c:v>
                </c:pt>
                <c:pt idx="127">
                  <c:v>2.53031067016226</c:v>
                </c:pt>
                <c:pt idx="128">
                  <c:v>2.53031067016226</c:v>
                </c:pt>
                <c:pt idx="129">
                  <c:v>2.53031067016226</c:v>
                </c:pt>
                <c:pt idx="130">
                  <c:v>2.53031067016226</c:v>
                </c:pt>
                <c:pt idx="131">
                  <c:v>2.53031067016226</c:v>
                </c:pt>
                <c:pt idx="132">
                  <c:v>2.53031067016226</c:v>
                </c:pt>
                <c:pt idx="133">
                  <c:v>2.53031067016226</c:v>
                </c:pt>
                <c:pt idx="134">
                  <c:v>2.53031067016226</c:v>
                </c:pt>
                <c:pt idx="135">
                  <c:v>2.53031067016226</c:v>
                </c:pt>
                <c:pt idx="136">
                  <c:v>2.53031067016226</c:v>
                </c:pt>
                <c:pt idx="137">
                  <c:v>2.53031067016226</c:v>
                </c:pt>
                <c:pt idx="138">
                  <c:v>2.53031067016226</c:v>
                </c:pt>
                <c:pt idx="139">
                  <c:v>2.53031067016226</c:v>
                </c:pt>
                <c:pt idx="140">
                  <c:v>2.53031067016226</c:v>
                </c:pt>
                <c:pt idx="141">
                  <c:v>2.53031067016226</c:v>
                </c:pt>
                <c:pt idx="142">
                  <c:v>2.53031067016226</c:v>
                </c:pt>
                <c:pt idx="143">
                  <c:v>2.53031067016226</c:v>
                </c:pt>
                <c:pt idx="144">
                  <c:v>2.53031067016226</c:v>
                </c:pt>
                <c:pt idx="145">
                  <c:v>2.53031067016226</c:v>
                </c:pt>
                <c:pt idx="146">
                  <c:v>2.53031067016226</c:v>
                </c:pt>
                <c:pt idx="147">
                  <c:v>2.53031067016226</c:v>
                </c:pt>
                <c:pt idx="148">
                  <c:v>2.53031067016226</c:v>
                </c:pt>
                <c:pt idx="149">
                  <c:v>2.53031067016226</c:v>
                </c:pt>
                <c:pt idx="150">
                  <c:v>2.53031067016226</c:v>
                </c:pt>
                <c:pt idx="151">
                  <c:v>2.53031067016226</c:v>
                </c:pt>
                <c:pt idx="152">
                  <c:v>2.53031067016226</c:v>
                </c:pt>
                <c:pt idx="153">
                  <c:v>2.53031067016226</c:v>
                </c:pt>
                <c:pt idx="154">
                  <c:v>2.53031067016226</c:v>
                </c:pt>
                <c:pt idx="155">
                  <c:v>2.53031067016226</c:v>
                </c:pt>
                <c:pt idx="156">
                  <c:v>2.53031067016226</c:v>
                </c:pt>
                <c:pt idx="157">
                  <c:v>2.53031067016226</c:v>
                </c:pt>
                <c:pt idx="158">
                  <c:v>2.53031067016226</c:v>
                </c:pt>
                <c:pt idx="159">
                  <c:v>2.53031067016226</c:v>
                </c:pt>
                <c:pt idx="160">
                  <c:v>2.53031067016226</c:v>
                </c:pt>
                <c:pt idx="161">
                  <c:v>2.53031067016226</c:v>
                </c:pt>
                <c:pt idx="162">
                  <c:v>2.53031067016226</c:v>
                </c:pt>
                <c:pt idx="163">
                  <c:v>2.53031067016226</c:v>
                </c:pt>
                <c:pt idx="164">
                  <c:v>2.53031067016226</c:v>
                </c:pt>
                <c:pt idx="165">
                  <c:v>2.53031067016226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D5-4E0A-9AAD-F44EB6DA94E8}"/>
            </c:ext>
          </c:extLst>
        </c:ser>
        <c:ser>
          <c:idx val="1"/>
          <c:order val="1"/>
          <c:tx>
            <c:strRef>
              <c:f>XLU_IDU_2!$Z$1</c:f>
              <c:strCache>
                <c:ptCount val="1"/>
                <c:pt idx="0">
                  <c:v> IDU*/XLU*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XLU_IDU_2!$Z$2:$Z$167</c:f>
              <c:numCache>
                <c:formatCode>_(* #,##0.0000_);_(* \(#,##0.0000\);_(* "-"??_);_(@_)</c:formatCode>
                <c:ptCount val="166"/>
                <c:pt idx="9">
                  <c:v>2.5381380611469</c:v>
                </c:pt>
                <c:pt idx="10">
                  <c:v>2.5382241743541099</c:v>
                </c:pt>
                <c:pt idx="11">
                  <c:v>2.53803770385053</c:v>
                </c:pt>
                <c:pt idx="12">
                  <c:v>2.5387604766179899</c:v>
                </c:pt>
                <c:pt idx="13">
                  <c:v>2.5398080043455198</c:v>
                </c:pt>
                <c:pt idx="14">
                  <c:v>2.54072935466702</c:v>
                </c:pt>
                <c:pt idx="15">
                  <c:v>2.54155855074471</c:v>
                </c:pt>
                <c:pt idx="16">
                  <c:v>2.5421863676308498</c:v>
                </c:pt>
                <c:pt idx="17">
                  <c:v>2.5430452022077499</c:v>
                </c:pt>
                <c:pt idx="18">
                  <c:v>2.5433320099650798</c:v>
                </c:pt>
                <c:pt idx="19">
                  <c:v>2.5433412404936799</c:v>
                </c:pt>
                <c:pt idx="20">
                  <c:v>2.5439129435191501</c:v>
                </c:pt>
                <c:pt idx="21">
                  <c:v>2.5443515116771298</c:v>
                </c:pt>
                <c:pt idx="22">
                  <c:v>2.5439275331946201</c:v>
                </c:pt>
                <c:pt idx="23">
                  <c:v>2.5433144902855802</c:v>
                </c:pt>
                <c:pt idx="24">
                  <c:v>2.5426824712240799</c:v>
                </c:pt>
                <c:pt idx="25">
                  <c:v>2.5424647444538002</c:v>
                </c:pt>
                <c:pt idx="26">
                  <c:v>2.5423309670015501</c:v>
                </c:pt>
                <c:pt idx="27">
                  <c:v>2.5419772506246199</c:v>
                </c:pt>
                <c:pt idx="28">
                  <c:v>2.5417469277651099</c:v>
                </c:pt>
                <c:pt idx="29">
                  <c:v>2.5411197912121799</c:v>
                </c:pt>
                <c:pt idx="30">
                  <c:v>2.5399739409947801</c:v>
                </c:pt>
                <c:pt idx="31">
                  <c:v>2.5392216705589301</c:v>
                </c:pt>
                <c:pt idx="32">
                  <c:v>2.5384279708617701</c:v>
                </c:pt>
                <c:pt idx="33">
                  <c:v>2.5369507593112202</c:v>
                </c:pt>
                <c:pt idx="34">
                  <c:v>2.5351335721308899</c:v>
                </c:pt>
                <c:pt idx="35">
                  <c:v>2.5326699613532901</c:v>
                </c:pt>
                <c:pt idx="36">
                  <c:v>2.5305672647652999</c:v>
                </c:pt>
                <c:pt idx="37">
                  <c:v>2.52909526435004</c:v>
                </c:pt>
                <c:pt idx="38">
                  <c:v>2.5283406929985301</c:v>
                </c:pt>
                <c:pt idx="39">
                  <c:v>2.5283123233348599</c:v>
                </c:pt>
                <c:pt idx="40">
                  <c:v>2.5285104950595101</c:v>
                </c:pt>
                <c:pt idx="41">
                  <c:v>2.52832807261467</c:v>
                </c:pt>
                <c:pt idx="42">
                  <c:v>2.52860468009683</c:v>
                </c:pt>
                <c:pt idx="43">
                  <c:v>2.5291253536780398</c:v>
                </c:pt>
                <c:pt idx="44">
                  <c:v>2.5300234870669698</c:v>
                </c:pt>
                <c:pt idx="45">
                  <c:v>2.5305689469073802</c:v>
                </c:pt>
                <c:pt idx="46">
                  <c:v>2.53145942071452</c:v>
                </c:pt>
                <c:pt idx="47">
                  <c:v>2.5318007900755202</c:v>
                </c:pt>
                <c:pt idx="48">
                  <c:v>2.5317309052070902</c:v>
                </c:pt>
                <c:pt idx="49">
                  <c:v>2.53088148602024</c:v>
                </c:pt>
                <c:pt idx="50">
                  <c:v>2.5300531226674199</c:v>
                </c:pt>
                <c:pt idx="51">
                  <c:v>2.5296655920875302</c:v>
                </c:pt>
                <c:pt idx="52">
                  <c:v>2.52909428080063</c:v>
                </c:pt>
                <c:pt idx="53">
                  <c:v>2.5292438961467298</c:v>
                </c:pt>
                <c:pt idx="54">
                  <c:v>2.5287812572989901</c:v>
                </c:pt>
                <c:pt idx="55">
                  <c:v>2.52876692603644</c:v>
                </c:pt>
                <c:pt idx="56">
                  <c:v>2.5283404111558401</c:v>
                </c:pt>
                <c:pt idx="57">
                  <c:v>2.5281618072474998</c:v>
                </c:pt>
                <c:pt idx="58">
                  <c:v>2.5279911061819198</c:v>
                </c:pt>
                <c:pt idx="59">
                  <c:v>2.5283187728718199</c:v>
                </c:pt>
                <c:pt idx="60">
                  <c:v>2.5284674036813701</c:v>
                </c:pt>
                <c:pt idx="61">
                  <c:v>2.5281959402566501</c:v>
                </c:pt>
                <c:pt idx="62">
                  <c:v>2.52845758780331</c:v>
                </c:pt>
                <c:pt idx="63">
                  <c:v>2.5278359120137099</c:v>
                </c:pt>
                <c:pt idx="64">
                  <c:v>2.5280108470554201</c:v>
                </c:pt>
                <c:pt idx="65">
                  <c:v>2.52775419900509</c:v>
                </c:pt>
                <c:pt idx="66">
                  <c:v>2.52741593829957</c:v>
                </c:pt>
                <c:pt idx="67">
                  <c:v>2.5265854601821101</c:v>
                </c:pt>
                <c:pt idx="68">
                  <c:v>2.5263689252116999</c:v>
                </c:pt>
                <c:pt idx="69">
                  <c:v>2.5259628687157698</c:v>
                </c:pt>
                <c:pt idx="70">
                  <c:v>2.52568558287641</c:v>
                </c:pt>
                <c:pt idx="71">
                  <c:v>2.5252224220110402</c:v>
                </c:pt>
                <c:pt idx="72">
                  <c:v>2.52424479664238</c:v>
                </c:pt>
                <c:pt idx="73">
                  <c:v>2.5237283499646601</c:v>
                </c:pt>
                <c:pt idx="74">
                  <c:v>2.5229348434104</c:v>
                </c:pt>
                <c:pt idx="75">
                  <c:v>2.5231604363462399</c:v>
                </c:pt>
                <c:pt idx="76">
                  <c:v>2.52373071651532</c:v>
                </c:pt>
                <c:pt idx="77">
                  <c:v>2.5243034946862899</c:v>
                </c:pt>
                <c:pt idx="78">
                  <c:v>2.5241203702789701</c:v>
                </c:pt>
                <c:pt idx="79">
                  <c:v>2.5241527754276198</c:v>
                </c:pt>
                <c:pt idx="80">
                  <c:v>2.5243226449218801</c:v>
                </c:pt>
                <c:pt idx="81">
                  <c:v>2.5244065844793599</c:v>
                </c:pt>
                <c:pt idx="82">
                  <c:v>2.5241002800624099</c:v>
                </c:pt>
                <c:pt idx="83">
                  <c:v>2.52391883772653</c:v>
                </c:pt>
                <c:pt idx="84">
                  <c:v>2.5235060532778801</c:v>
                </c:pt>
                <c:pt idx="85">
                  <c:v>2.5226748234717098</c:v>
                </c:pt>
                <c:pt idx="86">
                  <c:v>2.5219111230586799</c:v>
                </c:pt>
                <c:pt idx="87">
                  <c:v>2.5212201218948902</c:v>
                </c:pt>
                <c:pt idx="88">
                  <c:v>2.52066682187828</c:v>
                </c:pt>
                <c:pt idx="89">
                  <c:v>2.52045771694219</c:v>
                </c:pt>
                <c:pt idx="90">
                  <c:v>2.51994825651057</c:v>
                </c:pt>
                <c:pt idx="91">
                  <c:v>2.5200306547397702</c:v>
                </c:pt>
                <c:pt idx="92">
                  <c:v>2.5209822968907298</c:v>
                </c:pt>
                <c:pt idx="93">
                  <c:v>2.52176917800222</c:v>
                </c:pt>
                <c:pt idx="94">
                  <c:v>2.5226949350591199</c:v>
                </c:pt>
                <c:pt idx="95">
                  <c:v>2.5233469056448801</c:v>
                </c:pt>
                <c:pt idx="96">
                  <c:v>2.52328633139666</c:v>
                </c:pt>
                <c:pt idx="97">
                  <c:v>2.5234015141811099</c:v>
                </c:pt>
                <c:pt idx="98">
                  <c:v>2.5237560159205401</c:v>
                </c:pt>
                <c:pt idx="99">
                  <c:v>2.52348333758545</c:v>
                </c:pt>
                <c:pt idx="100">
                  <c:v>2.5233961540100398</c:v>
                </c:pt>
                <c:pt idx="101">
                  <c:v>2.52317436957158</c:v>
                </c:pt>
                <c:pt idx="102">
                  <c:v>2.5230518587352102</c:v>
                </c:pt>
                <c:pt idx="103">
                  <c:v>2.5224438283519</c:v>
                </c:pt>
                <c:pt idx="104">
                  <c:v>2.52238188788749</c:v>
                </c:pt>
                <c:pt idx="105">
                  <c:v>2.5228096113411098</c:v>
                </c:pt>
                <c:pt idx="106">
                  <c:v>2.5234330783056298</c:v>
                </c:pt>
                <c:pt idx="107">
                  <c:v>2.5241019119804902</c:v>
                </c:pt>
                <c:pt idx="108">
                  <c:v>2.5252592041540298</c:v>
                </c:pt>
                <c:pt idx="109">
                  <c:v>2.52654839950055</c:v>
                </c:pt>
                <c:pt idx="110">
                  <c:v>2.5270699995649801</c:v>
                </c:pt>
                <c:pt idx="111">
                  <c:v>2.52749990656705</c:v>
                </c:pt>
                <c:pt idx="112">
                  <c:v>2.5271159752208301</c:v>
                </c:pt>
                <c:pt idx="113">
                  <c:v>2.5270587396106001</c:v>
                </c:pt>
                <c:pt idx="114">
                  <c:v>2.5268484483302398</c:v>
                </c:pt>
                <c:pt idx="115">
                  <c:v>2.5262881362884801</c:v>
                </c:pt>
                <c:pt idx="116">
                  <c:v>2.5256655719604701</c:v>
                </c:pt>
                <c:pt idx="117">
                  <c:v>2.5251728239264999</c:v>
                </c:pt>
                <c:pt idx="118">
                  <c:v>2.5245041175054102</c:v>
                </c:pt>
                <c:pt idx="119">
                  <c:v>2.5236820876417001</c:v>
                </c:pt>
                <c:pt idx="120">
                  <c:v>2.5235218806150099</c:v>
                </c:pt>
                <c:pt idx="121">
                  <c:v>2.5231398040911501</c:v>
                </c:pt>
                <c:pt idx="122">
                  <c:v>2.52304928186651</c:v>
                </c:pt>
                <c:pt idx="123">
                  <c:v>2.5232788222709299</c:v>
                </c:pt>
                <c:pt idx="124">
                  <c:v>2.5231466100822302</c:v>
                </c:pt>
                <c:pt idx="125">
                  <c:v>2.5235376350743399</c:v>
                </c:pt>
                <c:pt idx="126">
                  <c:v>2.5246818972996001</c:v>
                </c:pt>
                <c:pt idx="127">
                  <c:v>2.52557070174436</c:v>
                </c:pt>
                <c:pt idx="128">
                  <c:v>2.5262604320468598</c:v>
                </c:pt>
                <c:pt idx="129">
                  <c:v>2.52704351944086</c:v>
                </c:pt>
                <c:pt idx="130">
                  <c:v>2.5279960409431799</c:v>
                </c:pt>
                <c:pt idx="131">
                  <c:v>2.5291235252761499</c:v>
                </c:pt>
                <c:pt idx="132">
                  <c:v>2.5303517092203598</c:v>
                </c:pt>
                <c:pt idx="133">
                  <c:v>2.5316373436631401</c:v>
                </c:pt>
                <c:pt idx="134">
                  <c:v>2.5329030063965998</c:v>
                </c:pt>
                <c:pt idx="135">
                  <c:v>2.53378133599545</c:v>
                </c:pt>
                <c:pt idx="136">
                  <c:v>2.5338144243948899</c:v>
                </c:pt>
                <c:pt idx="137">
                  <c:v>2.5336361253347102</c:v>
                </c:pt>
                <c:pt idx="138">
                  <c:v>2.53324254749247</c:v>
                </c:pt>
                <c:pt idx="139">
                  <c:v>2.53269353872609</c:v>
                </c:pt>
                <c:pt idx="140">
                  <c:v>2.5321345037558798</c:v>
                </c:pt>
                <c:pt idx="141">
                  <c:v>2.53183187441965</c:v>
                </c:pt>
                <c:pt idx="142">
                  <c:v>2.5315368269593201</c:v>
                </c:pt>
                <c:pt idx="143">
                  <c:v>2.5304009997938102</c:v>
                </c:pt>
                <c:pt idx="144">
                  <c:v>2.5295780793645601</c:v>
                </c:pt>
                <c:pt idx="145">
                  <c:v>2.5290244298696001</c:v>
                </c:pt>
                <c:pt idx="146">
                  <c:v>2.5288259966400899</c:v>
                </c:pt>
                <c:pt idx="147">
                  <c:v>2.5289219132306902</c:v>
                </c:pt>
                <c:pt idx="148">
                  <c:v>2.5297506339951199</c:v>
                </c:pt>
                <c:pt idx="149">
                  <c:v>2.5310146031600098</c:v>
                </c:pt>
                <c:pt idx="150">
                  <c:v>2.53228229128309</c:v>
                </c:pt>
                <c:pt idx="151">
                  <c:v>2.5331637330397099</c:v>
                </c:pt>
                <c:pt idx="152">
                  <c:v>2.5337239214409499</c:v>
                </c:pt>
                <c:pt idx="153">
                  <c:v>2.5344558207377399</c:v>
                </c:pt>
                <c:pt idx="154">
                  <c:v>2.5349928322919002</c:v>
                </c:pt>
                <c:pt idx="155">
                  <c:v>2.5352062472229102</c:v>
                </c:pt>
                <c:pt idx="156">
                  <c:v>2.5352460163613602</c:v>
                </c:pt>
                <c:pt idx="157">
                  <c:v>2.5357143823909198</c:v>
                </c:pt>
                <c:pt idx="158">
                  <c:v>2.5355808171317</c:v>
                </c:pt>
                <c:pt idx="159">
                  <c:v>2.5359317029504198</c:v>
                </c:pt>
                <c:pt idx="160">
                  <c:v>2.5359349293637301</c:v>
                </c:pt>
                <c:pt idx="161">
                  <c:v>2.5356663927023502</c:v>
                </c:pt>
                <c:pt idx="162">
                  <c:v>2.53529751400615</c:v>
                </c:pt>
                <c:pt idx="163">
                  <c:v>2.53520483065373</c:v>
                </c:pt>
                <c:pt idx="164">
                  <c:v>2.53553620430678</c:v>
                </c:pt>
                <c:pt idx="165">
                  <c:v>2.53639866138582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D5-4E0A-9AAD-F44EB6DA94E8}"/>
            </c:ext>
          </c:extLst>
        </c:ser>
        <c:ser>
          <c:idx val="2"/>
          <c:order val="2"/>
          <c:tx>
            <c:strRef>
              <c:f>XLU_IDU_2!$AA$1</c:f>
              <c:strCache>
                <c:ptCount val="1"/>
                <c:pt idx="0">
                  <c:v> IDU*/XLU*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XLU_IDU_2!$AA$2:$AA$167</c:f>
              <c:numCache>
                <c:formatCode>_(* #,##0.0000_);_(* \(#,##0.0000\);_(* "-"??_);_(@_)</c:formatCode>
                <c:ptCount val="166"/>
                <c:pt idx="19">
                  <c:v>2.54073965082029</c:v>
                </c:pt>
                <c:pt idx="20">
                  <c:v>2.54106855893663</c:v>
                </c:pt>
                <c:pt idx="21">
                  <c:v>2.5411946077638299</c:v>
                </c:pt>
                <c:pt idx="22">
                  <c:v>2.5413440049062999</c:v>
                </c:pt>
                <c:pt idx="23">
                  <c:v>2.54156124731555</c:v>
                </c:pt>
                <c:pt idx="24">
                  <c:v>2.5417059129455501</c:v>
                </c:pt>
                <c:pt idx="25">
                  <c:v>2.5420116475992498</c:v>
                </c:pt>
                <c:pt idx="26">
                  <c:v>2.5422586673162</c:v>
                </c:pt>
                <c:pt idx="27">
                  <c:v>2.54251122641619</c:v>
                </c:pt>
                <c:pt idx="28">
                  <c:v>2.54253946886509</c:v>
                </c:pt>
                <c:pt idx="29">
                  <c:v>2.5422305158529301</c:v>
                </c:pt>
                <c:pt idx="30">
                  <c:v>2.54194344225697</c:v>
                </c:pt>
                <c:pt idx="31">
                  <c:v>2.5417865911180302</c:v>
                </c:pt>
                <c:pt idx="32">
                  <c:v>2.5411777520281902</c:v>
                </c:pt>
                <c:pt idx="33">
                  <c:v>2.5401326247984</c:v>
                </c:pt>
                <c:pt idx="34">
                  <c:v>2.5389080216774902</c:v>
                </c:pt>
                <c:pt idx="35">
                  <c:v>2.5375673529035399</c:v>
                </c:pt>
                <c:pt idx="36">
                  <c:v>2.5364491158834199</c:v>
                </c:pt>
                <c:pt idx="37">
                  <c:v>2.5355362574873301</c:v>
                </c:pt>
                <c:pt idx="38">
                  <c:v>2.5350438103818198</c:v>
                </c:pt>
                <c:pt idx="39">
                  <c:v>2.5347160572735201</c:v>
                </c:pt>
                <c:pt idx="40">
                  <c:v>2.53424221802715</c:v>
                </c:pt>
                <c:pt idx="41">
                  <c:v>2.5337748715867998</c:v>
                </c:pt>
                <c:pt idx="42">
                  <c:v>2.5335163254793001</c:v>
                </c:pt>
                <c:pt idx="43">
                  <c:v>2.5330380564946302</c:v>
                </c:pt>
                <c:pt idx="44">
                  <c:v>2.53257852959893</c:v>
                </c:pt>
                <c:pt idx="45">
                  <c:v>2.5316194541303401</c:v>
                </c:pt>
                <c:pt idx="46">
                  <c:v>2.53101334273991</c:v>
                </c:pt>
                <c:pt idx="47">
                  <c:v>2.5304480272127798</c:v>
                </c:pt>
                <c:pt idx="48">
                  <c:v>2.53003579910281</c:v>
                </c:pt>
                <c:pt idx="49">
                  <c:v>2.5295969046775499</c:v>
                </c:pt>
                <c:pt idx="50">
                  <c:v>2.5292818088634599</c:v>
                </c:pt>
                <c:pt idx="51">
                  <c:v>2.5289968323510998</c:v>
                </c:pt>
                <c:pt idx="52">
                  <c:v>2.5288494804487298</c:v>
                </c:pt>
                <c:pt idx="53">
                  <c:v>2.5291846249123799</c:v>
                </c:pt>
                <c:pt idx="54">
                  <c:v>2.5294023721829801</c:v>
                </c:pt>
                <c:pt idx="55">
                  <c:v>2.5296679364719101</c:v>
                </c:pt>
                <c:pt idx="56">
                  <c:v>2.52989991593518</c:v>
                </c:pt>
                <c:pt idx="57">
                  <c:v>2.52998129866151</c:v>
                </c:pt>
                <c:pt idx="58">
                  <c:v>2.5298610056945101</c:v>
                </c:pt>
                <c:pt idx="59">
                  <c:v>2.5296001294460302</c:v>
                </c:pt>
                <c:pt idx="60">
                  <c:v>2.5292602631743901</c:v>
                </c:pt>
                <c:pt idx="61">
                  <c:v>2.5289307661720901</c:v>
                </c:pt>
                <c:pt idx="62">
                  <c:v>2.52877593430197</c:v>
                </c:pt>
                <c:pt idx="63">
                  <c:v>2.5285399040802199</c:v>
                </c:pt>
                <c:pt idx="64">
                  <c:v>2.5283960521772002</c:v>
                </c:pt>
                <c:pt idx="65">
                  <c:v>2.5282605625207601</c:v>
                </c:pt>
                <c:pt idx="66">
                  <c:v>2.5278781747277099</c:v>
                </c:pt>
                <c:pt idx="67">
                  <c:v>2.5273736337148001</c:v>
                </c:pt>
                <c:pt idx="68">
                  <c:v>2.5271800156968101</c:v>
                </c:pt>
                <c:pt idx="69">
                  <c:v>2.52714082079379</c:v>
                </c:pt>
                <c:pt idx="70">
                  <c:v>2.5270764932788898</c:v>
                </c:pt>
                <c:pt idx="71">
                  <c:v>2.52670918113385</c:v>
                </c:pt>
                <c:pt idx="72">
                  <c:v>2.5263511922228399</c:v>
                </c:pt>
                <c:pt idx="73">
                  <c:v>2.5257821309891799</c:v>
                </c:pt>
                <c:pt idx="74">
                  <c:v>2.52547284523291</c:v>
                </c:pt>
                <c:pt idx="75">
                  <c:v>2.5254573176756701</c:v>
                </c:pt>
                <c:pt idx="76">
                  <c:v>2.5255733274074501</c:v>
                </c:pt>
                <c:pt idx="77">
                  <c:v>2.5254444774342</c:v>
                </c:pt>
                <c:pt idx="78">
                  <c:v>2.5252446477453399</c:v>
                </c:pt>
                <c:pt idx="79">
                  <c:v>2.5250578220716902</c:v>
                </c:pt>
                <c:pt idx="80">
                  <c:v>2.5250041138991399</c:v>
                </c:pt>
                <c:pt idx="81">
                  <c:v>2.5248145032451998</c:v>
                </c:pt>
                <c:pt idx="82">
                  <c:v>2.5241725383524001</c:v>
                </c:pt>
                <c:pt idx="83">
                  <c:v>2.5238235938455902</c:v>
                </c:pt>
                <c:pt idx="84">
                  <c:v>2.5232204483441398</c:v>
                </c:pt>
                <c:pt idx="85">
                  <c:v>2.5229176299089802</c:v>
                </c:pt>
                <c:pt idx="86">
                  <c:v>2.5228209197870002</c:v>
                </c:pt>
                <c:pt idx="87">
                  <c:v>2.52276180829059</c:v>
                </c:pt>
                <c:pt idx="88">
                  <c:v>2.5223935960786301</c:v>
                </c:pt>
                <c:pt idx="89">
                  <c:v>2.5223052461848998</c:v>
                </c:pt>
                <c:pt idx="90">
                  <c:v>2.5221354507162199</c:v>
                </c:pt>
                <c:pt idx="91">
                  <c:v>2.5222186196095699</c:v>
                </c:pt>
                <c:pt idx="92">
                  <c:v>2.5225412884765701</c:v>
                </c:pt>
                <c:pt idx="93">
                  <c:v>2.5228440078643799</c:v>
                </c:pt>
                <c:pt idx="94">
                  <c:v>2.5231004941684998</c:v>
                </c:pt>
                <c:pt idx="95">
                  <c:v>2.5230108645582998</c:v>
                </c:pt>
                <c:pt idx="96">
                  <c:v>2.52259872722767</c:v>
                </c:pt>
                <c:pt idx="97">
                  <c:v>2.5223108180380001</c:v>
                </c:pt>
                <c:pt idx="98">
                  <c:v>2.5222114188994098</c:v>
                </c:pt>
                <c:pt idx="99">
                  <c:v>2.5219705272638202</c:v>
                </c:pt>
                <c:pt idx="100">
                  <c:v>2.5216722052603</c:v>
                </c:pt>
                <c:pt idx="101">
                  <c:v>2.52160251215567</c:v>
                </c:pt>
                <c:pt idx="102">
                  <c:v>2.5220170778129698</c:v>
                </c:pt>
                <c:pt idx="103">
                  <c:v>2.52210650317706</c:v>
                </c:pt>
                <c:pt idx="104">
                  <c:v>2.52253841147331</c:v>
                </c:pt>
                <c:pt idx="105">
                  <c:v>2.5230782584929998</c:v>
                </c:pt>
                <c:pt idx="106">
                  <c:v>2.52335970485115</c:v>
                </c:pt>
                <c:pt idx="107">
                  <c:v>2.5237517130808</c:v>
                </c:pt>
                <c:pt idx="108">
                  <c:v>2.5245076100372899</c:v>
                </c:pt>
                <c:pt idx="109">
                  <c:v>2.525015868543</c:v>
                </c:pt>
                <c:pt idx="110">
                  <c:v>2.5252330767875102</c:v>
                </c:pt>
                <c:pt idx="111">
                  <c:v>2.5253371380693102</c:v>
                </c:pt>
                <c:pt idx="112">
                  <c:v>2.5250839169780201</c:v>
                </c:pt>
                <c:pt idx="113">
                  <c:v>2.5247512839812498</c:v>
                </c:pt>
                <c:pt idx="114">
                  <c:v>2.52461516810886</c:v>
                </c:pt>
                <c:pt idx="115">
                  <c:v>2.5245488738147999</c:v>
                </c:pt>
                <c:pt idx="116">
                  <c:v>2.5245493251330502</c:v>
                </c:pt>
                <c:pt idx="117">
                  <c:v>2.5246373679534999</c:v>
                </c:pt>
                <c:pt idx="118">
                  <c:v>2.52488166082972</c:v>
                </c:pt>
                <c:pt idx="119">
                  <c:v>2.5251152435711299</c:v>
                </c:pt>
                <c:pt idx="120">
                  <c:v>2.5252959400899999</c:v>
                </c:pt>
                <c:pt idx="121">
                  <c:v>2.5253198553291001</c:v>
                </c:pt>
                <c:pt idx="122">
                  <c:v>2.5250826285436698</c:v>
                </c:pt>
                <c:pt idx="123">
                  <c:v>2.5251687809407701</c:v>
                </c:pt>
                <c:pt idx="124">
                  <c:v>2.5249975292062299</c:v>
                </c:pt>
                <c:pt idx="125">
                  <c:v>2.52491288568141</c:v>
                </c:pt>
                <c:pt idx="126">
                  <c:v>2.52517373463004</c:v>
                </c:pt>
                <c:pt idx="127">
                  <c:v>2.5253717628354302</c:v>
                </c:pt>
                <c:pt idx="128">
                  <c:v>2.5253822747761401</c:v>
                </c:pt>
                <c:pt idx="129">
                  <c:v>2.5253628035412801</c:v>
                </c:pt>
                <c:pt idx="130">
                  <c:v>2.5257589607791</c:v>
                </c:pt>
                <c:pt idx="131">
                  <c:v>2.5261316646836498</c:v>
                </c:pt>
                <c:pt idx="132">
                  <c:v>2.52670049554344</c:v>
                </c:pt>
                <c:pt idx="133">
                  <c:v>2.5274580829670299</c:v>
                </c:pt>
                <c:pt idx="134">
                  <c:v>2.5280248082394099</c:v>
                </c:pt>
                <c:pt idx="135">
                  <c:v>2.5286594855349001</c:v>
                </c:pt>
                <c:pt idx="136">
                  <c:v>2.5292481608472501</c:v>
                </c:pt>
                <c:pt idx="137">
                  <c:v>2.5296034135395402</c:v>
                </c:pt>
                <c:pt idx="138">
                  <c:v>2.5297514897696698</c:v>
                </c:pt>
                <c:pt idx="139">
                  <c:v>2.5298685290834699</c:v>
                </c:pt>
                <c:pt idx="140">
                  <c:v>2.53006527234953</c:v>
                </c:pt>
                <c:pt idx="141">
                  <c:v>2.5304776998478999</c:v>
                </c:pt>
                <c:pt idx="142">
                  <c:v>2.53094426808984</c:v>
                </c:pt>
                <c:pt idx="143">
                  <c:v>2.5310191717284698</c:v>
                </c:pt>
                <c:pt idx="144">
                  <c:v>2.53124054288058</c:v>
                </c:pt>
                <c:pt idx="145">
                  <c:v>2.5314028829325199</c:v>
                </c:pt>
                <c:pt idx="146">
                  <c:v>2.5313202105174901</c:v>
                </c:pt>
                <c:pt idx="147">
                  <c:v>2.5312790192826999</c:v>
                </c:pt>
                <c:pt idx="148">
                  <c:v>2.5314965907437998</c:v>
                </c:pt>
                <c:pt idx="149">
                  <c:v>2.5318540709430502</c:v>
                </c:pt>
                <c:pt idx="150">
                  <c:v>2.53220839751949</c:v>
                </c:pt>
                <c:pt idx="151">
                  <c:v>2.5324978037296799</c:v>
                </c:pt>
                <c:pt idx="152">
                  <c:v>2.5326303742001399</c:v>
                </c:pt>
                <c:pt idx="153">
                  <c:v>2.5324284102657701</c:v>
                </c:pt>
                <c:pt idx="154">
                  <c:v>2.5322854558282302</c:v>
                </c:pt>
                <c:pt idx="155">
                  <c:v>2.5321153385462498</c:v>
                </c:pt>
                <c:pt idx="156">
                  <c:v>2.5320360065007201</c:v>
                </c:pt>
                <c:pt idx="157">
                  <c:v>2.5323181478108099</c:v>
                </c:pt>
                <c:pt idx="158">
                  <c:v>2.53266572556341</c:v>
                </c:pt>
                <c:pt idx="159">
                  <c:v>2.5334731530552101</c:v>
                </c:pt>
                <c:pt idx="160">
                  <c:v>2.5341086103234098</c:v>
                </c:pt>
                <c:pt idx="161">
                  <c:v>2.5344150628710298</c:v>
                </c:pt>
                <c:pt idx="162">
                  <c:v>2.53451071772355</c:v>
                </c:pt>
                <c:pt idx="163">
                  <c:v>2.5348303256957299</c:v>
                </c:pt>
                <c:pt idx="164">
                  <c:v>2.5352645182993401</c:v>
                </c:pt>
                <c:pt idx="165">
                  <c:v>2.5358024543043598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D5-4E0A-9AAD-F44EB6DA9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XLU_IDU_2!$U$1</c:f>
              <c:strCache>
                <c:ptCount val="1"/>
                <c:pt idx="0">
                  <c:v>log diff XLU x avg / IDU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XLU_IDU_2!$U$2:$U$167</c:f>
              <c:numCache>
                <c:formatCode>0.00%</c:formatCode>
                <c:ptCount val="166"/>
                <c:pt idx="1">
                  <c:v>-2.4468780081992199E-3</c:v>
                </c:pt>
                <c:pt idx="2">
                  <c:v>-1.6832165721984301E-3</c:v>
                </c:pt>
                <c:pt idx="3">
                  <c:v>-2.42116788642804E-3</c:v>
                </c:pt>
                <c:pt idx="4">
                  <c:v>-2.9401730459319001E-3</c:v>
                </c:pt>
                <c:pt idx="5">
                  <c:v>-3.0247504435474098E-3</c:v>
                </c:pt>
                <c:pt idx="6">
                  <c:v>-2.11996841931863E-3</c:v>
                </c:pt>
                <c:pt idx="7">
                  <c:v>-1.7955873686771901E-3</c:v>
                </c:pt>
                <c:pt idx="8">
                  <c:v>-1.23019211865749E-3</c:v>
                </c:pt>
                <c:pt idx="9">
                  <c:v>-2.4434725842621499E-3</c:v>
                </c:pt>
                <c:pt idx="10">
                  <c:v>-1.7946758416301899E-3</c:v>
                </c:pt>
                <c:pt idx="11">
                  <c:v>-1.7121472701886499E-3</c:v>
                </c:pt>
                <c:pt idx="12">
                  <c:v>-4.5281626988655996E-3</c:v>
                </c:pt>
                <c:pt idx="13">
                  <c:v>-6.5387360594132797E-3</c:v>
                </c:pt>
                <c:pt idx="14">
                  <c:v>-6.5607905167030002E-3</c:v>
                </c:pt>
                <c:pt idx="15">
                  <c:v>-6.2835449272637903E-3</c:v>
                </c:pt>
                <c:pt idx="16">
                  <c:v>-4.59053698065483E-3</c:v>
                </c:pt>
                <c:pt idx="17">
                  <c:v>-5.1748107990500797E-3</c:v>
                </c:pt>
                <c:pt idx="18">
                  <c:v>-2.3605926101759899E-3</c:v>
                </c:pt>
                <c:pt idx="19">
                  <c:v>-2.4798288013113102E-3</c:v>
                </c:pt>
                <c:pt idx="20">
                  <c:v>-4.0454060370748602E-3</c:v>
                </c:pt>
                <c:pt idx="21">
                  <c:v>-3.4393352574029101E-3</c:v>
                </c:pt>
                <c:pt idx="22">
                  <c:v>-2.8602989170698799E-3</c:v>
                </c:pt>
                <c:pt idx="23">
                  <c:v>-4.1310766875076203E-3</c:v>
                </c:pt>
                <c:pt idx="24">
                  <c:v>-4.0785666083753697E-3</c:v>
                </c:pt>
                <c:pt idx="25">
                  <c:v>-5.4288921859285497E-3</c:v>
                </c:pt>
                <c:pt idx="26">
                  <c:v>-4.0646109455160003E-3</c:v>
                </c:pt>
                <c:pt idx="27">
                  <c:v>-3.7844393126175101E-3</c:v>
                </c:pt>
                <c:pt idx="28">
                  <c:v>-1.45291811621959E-3</c:v>
                </c:pt>
                <c:pt idx="29">
                  <c:v>-6.7198297242878E-6</c:v>
                </c:pt>
                <c:pt idx="30">
                  <c:v>4.7078661568747599E-4</c:v>
                </c:pt>
                <c:pt idx="31">
                  <c:v>-4.74878833318637E-4</c:v>
                </c:pt>
                <c:pt idx="32">
                  <c:v>2.6948710002953002E-4</c:v>
                </c:pt>
                <c:pt idx="33">
                  <c:v>1.69443619734289E-3</c:v>
                </c:pt>
                <c:pt idx="34">
                  <c:v>3.0928654390102901E-3</c:v>
                </c:pt>
                <c:pt idx="35">
                  <c:v>4.2928678421435499E-3</c:v>
                </c:pt>
                <c:pt idx="36">
                  <c:v>4.2383747752374702E-3</c:v>
                </c:pt>
                <c:pt idx="37">
                  <c:v>2.0224816415005801E-3</c:v>
                </c:pt>
                <c:pt idx="38">
                  <c:v>1.52654034474148E-3</c:v>
                </c:pt>
                <c:pt idx="39">
                  <c:v>1.05300485274341E-4</c:v>
                </c:pt>
                <c:pt idx="40">
                  <c:v>-3.1173692497749901E-4</c:v>
                </c:pt>
                <c:pt idx="41">
                  <c:v>2.4531535028808301E-4</c:v>
                </c:pt>
                <c:pt idx="42">
                  <c:v>-8.2236808679307801E-4</c:v>
                </c:pt>
                <c:pt idx="43">
                  <c:v>-3.6276056249588001E-4</c:v>
                </c:pt>
                <c:pt idx="44">
                  <c:v>-4.5799795058910897E-4</c:v>
                </c:pt>
                <c:pt idx="45">
                  <c:v>2.13224437776705E-3</c:v>
                </c:pt>
                <c:pt idx="46">
                  <c:v>7.1371296445280205E-4</c:v>
                </c:pt>
                <c:pt idx="47">
                  <c:v>6.7280113416203901E-4</c:v>
                </c:pt>
                <c:pt idx="48">
                  <c:v>1.80293353119283E-3</c:v>
                </c:pt>
                <c:pt idx="49">
                  <c:v>3.4651387327010201E-3</c:v>
                </c:pt>
                <c:pt idx="50">
                  <c:v>8.2000189425168197E-3</c:v>
                </c:pt>
                <c:pt idx="51">
                  <c:v>7.0523622771351199E-3</c:v>
                </c:pt>
                <c:pt idx="52">
                  <c:v>6.7292334808827497E-3</c:v>
                </c:pt>
                <c:pt idx="53">
                  <c:v>4.5535943862176501E-3</c:v>
                </c:pt>
                <c:pt idx="54">
                  <c:v>-6.1593984850939304E-5</c:v>
                </c:pt>
                <c:pt idx="55">
                  <c:v>7.7213441682692297E-4</c:v>
                </c:pt>
                <c:pt idx="56">
                  <c:v>9.8972464063633498E-4</c:v>
                </c:pt>
                <c:pt idx="57">
                  <c:v>-3.4985722540590203E-5</c:v>
                </c:pt>
                <c:pt idx="58">
                  <c:v>1.0786434685057099E-3</c:v>
                </c:pt>
                <c:pt idx="59">
                  <c:v>7.7639020695098105E-4</c:v>
                </c:pt>
                <c:pt idx="60">
                  <c:v>9.8374819824962895E-4</c:v>
                </c:pt>
                <c:pt idx="61">
                  <c:v>1.4693501167947799E-3</c:v>
                </c:pt>
                <c:pt idx="62">
                  <c:v>-9.8804989576690397E-4</c:v>
                </c:pt>
                <c:pt idx="63">
                  <c:v>1.1483370627449201E-4</c:v>
                </c:pt>
                <c:pt idx="64">
                  <c:v>-7.1062812364255305E-4</c:v>
                </c:pt>
                <c:pt idx="65">
                  <c:v>1.84470819377131E-3</c:v>
                </c:pt>
                <c:pt idx="66">
                  <c:v>2.3932126986189201E-3</c:v>
                </c:pt>
                <c:pt idx="67">
                  <c:v>3.3202565905712002E-3</c:v>
                </c:pt>
                <c:pt idx="68">
                  <c:v>1.9647646580054699E-3</c:v>
                </c:pt>
                <c:pt idx="69">
                  <c:v>2.40939788518865E-3</c:v>
                </c:pt>
                <c:pt idx="70">
                  <c:v>2.0915816866946E-3</c:v>
                </c:pt>
                <c:pt idx="71">
                  <c:v>3.3218946445302401E-3</c:v>
                </c:pt>
                <c:pt idx="72">
                  <c:v>2.8962086985253599E-3</c:v>
                </c:pt>
                <c:pt idx="73">
                  <c:v>2.15737749762244E-3</c:v>
                </c:pt>
                <c:pt idx="74">
                  <c:v>2.4059114444967399E-3</c:v>
                </c:pt>
                <c:pt idx="75">
                  <c:v>8.8875967573389802E-4</c:v>
                </c:pt>
                <c:pt idx="76">
                  <c:v>9.2639948308965905E-5</c:v>
                </c:pt>
                <c:pt idx="77">
                  <c:v>1.01586383723112E-3</c:v>
                </c:pt>
                <c:pt idx="78">
                  <c:v>2.6884250371706701E-3</c:v>
                </c:pt>
                <c:pt idx="79">
                  <c:v>2.2737954437908399E-3</c:v>
                </c:pt>
                <c:pt idx="80">
                  <c:v>1.4048662832498299E-3</c:v>
                </c:pt>
                <c:pt idx="81">
                  <c:v>3.0017751305123101E-3</c:v>
                </c:pt>
                <c:pt idx="82">
                  <c:v>4.1294585113777101E-3</c:v>
                </c:pt>
                <c:pt idx="83">
                  <c:v>2.8989652301198801E-3</c:v>
                </c:pt>
                <c:pt idx="84">
                  <c:v>4.0952398323231996E-3</c:v>
                </c:pt>
                <c:pt idx="85">
                  <c:v>4.22767808280865E-3</c:v>
                </c:pt>
                <c:pt idx="86">
                  <c:v>3.1036969565599098E-3</c:v>
                </c:pt>
                <c:pt idx="87">
                  <c:v>3.7244801434702201E-3</c:v>
                </c:pt>
                <c:pt idx="88">
                  <c:v>4.8644422681865997E-3</c:v>
                </c:pt>
                <c:pt idx="89">
                  <c:v>3.0751039855806601E-3</c:v>
                </c:pt>
                <c:pt idx="90">
                  <c:v>3.4036944116619199E-3</c:v>
                </c:pt>
                <c:pt idx="91">
                  <c:v>2.6145895927487798E-3</c:v>
                </c:pt>
                <c:pt idx="92">
                  <c:v>2.54590169946049E-4</c:v>
                </c:pt>
                <c:pt idx="93">
                  <c:v>-3.0933227080365901E-4</c:v>
                </c:pt>
                <c:pt idx="94">
                  <c:v>3.4413210453445399E-4</c:v>
                </c:pt>
                <c:pt idx="95">
                  <c:v>1.5908531054437799E-3</c:v>
                </c:pt>
                <c:pt idx="96">
                  <c:v>3.34155295741172E-3</c:v>
                </c:pt>
                <c:pt idx="97">
                  <c:v>3.2845787433722698E-3</c:v>
                </c:pt>
                <c:pt idx="98">
                  <c:v>3.4551146703275001E-3</c:v>
                </c:pt>
                <c:pt idx="99">
                  <c:v>4.1615163100632499E-3</c:v>
                </c:pt>
                <c:pt idx="100">
                  <c:v>3.7502943626665599E-3</c:v>
                </c:pt>
                <c:pt idx="101">
                  <c:v>3.4838237312015199E-3</c:v>
                </c:pt>
                <c:pt idx="102">
                  <c:v>7.1597656273669698E-4</c:v>
                </c:pt>
                <c:pt idx="103">
                  <c:v>2.1092081329449701E-3</c:v>
                </c:pt>
                <c:pt idx="104">
                  <c:v>5.6975894914276695E-4</c:v>
                </c:pt>
                <c:pt idx="105">
                  <c:v>-1.29653894612747E-4</c:v>
                </c:pt>
                <c:pt idx="106">
                  <c:v>8.36909157846322E-4</c:v>
                </c:pt>
                <c:pt idx="107">
                  <c:v>5.6128555771000905E-4</c:v>
                </c:pt>
                <c:pt idx="108">
                  <c:v>-1.1944244551764301E-3</c:v>
                </c:pt>
                <c:pt idx="109">
                  <c:v>-1.00874952985813E-3</c:v>
                </c:pt>
                <c:pt idx="110">
                  <c:v>1.6521116510880801E-3</c:v>
                </c:pt>
                <c:pt idx="111">
                  <c:v>1.77357672815272E-3</c:v>
                </c:pt>
                <c:pt idx="112">
                  <c:v>7.9006359184769399E-3</c:v>
                </c:pt>
                <c:pt idx="113">
                  <c:v>7.9366438260066903E-3</c:v>
                </c:pt>
                <c:pt idx="114">
                  <c:v>7.0634438071959403E-3</c:v>
                </c:pt>
                <c:pt idx="115">
                  <c:v>7.7250920694122201E-3</c:v>
                </c:pt>
                <c:pt idx="116">
                  <c:v>2.57306953842852E-3</c:v>
                </c:pt>
                <c:pt idx="117">
                  <c:v>1.81938008072948E-3</c:v>
                </c:pt>
                <c:pt idx="118">
                  <c:v>7.6191618925778703E-4</c:v>
                </c:pt>
                <c:pt idx="119">
                  <c:v>1.5769202213093999E-3</c:v>
                </c:pt>
                <c:pt idx="120">
                  <c:v>1.6200469059522301E-3</c:v>
                </c:pt>
                <c:pt idx="121">
                  <c:v>2.6075775701764202E-3</c:v>
                </c:pt>
                <c:pt idx="122">
                  <c:v>1.9291220011973999E-3</c:v>
                </c:pt>
                <c:pt idx="123">
                  <c:v>6.8538429082121101E-4</c:v>
                </c:pt>
                <c:pt idx="124">
                  <c:v>1.2521915356211799E-3</c:v>
                </c:pt>
                <c:pt idx="125">
                  <c:v>-1.74279021243962E-4</c:v>
                </c:pt>
                <c:pt idx="126">
                  <c:v>-1.9587016380304802E-3</c:v>
                </c:pt>
                <c:pt idx="127">
                  <c:v>-1.7223418334282299E-3</c:v>
                </c:pt>
                <c:pt idx="128">
                  <c:v>-2.01504614029277E-3</c:v>
                </c:pt>
                <c:pt idx="129">
                  <c:v>-1.57605639813308E-3</c:v>
                </c:pt>
                <c:pt idx="130">
                  <c:v>-2.2107563634138501E-3</c:v>
                </c:pt>
                <c:pt idx="131">
                  <c:v>-1.9188229059845E-3</c:v>
                </c:pt>
                <c:pt idx="132">
                  <c:v>-2.9870498770669801E-3</c:v>
                </c:pt>
                <c:pt idx="133">
                  <c:v>-4.4140040399688399E-3</c:v>
                </c:pt>
                <c:pt idx="134">
                  <c:v>-3.8321681559281202E-3</c:v>
                </c:pt>
                <c:pt idx="135">
                  <c:v>-3.6986944036689999E-3</c:v>
                </c:pt>
                <c:pt idx="136">
                  <c:v>-2.12849654496376E-3</c:v>
                </c:pt>
                <c:pt idx="137">
                  <c:v>-9.83083109298119E-4</c:v>
                </c:pt>
                <c:pt idx="138">
                  <c:v>-3.9245031373861199E-4</c:v>
                </c:pt>
                <c:pt idx="139">
                  <c:v>6.5997051406869805E-4</c:v>
                </c:pt>
                <c:pt idx="140">
                  <c:v>2.0902737379379E-5</c:v>
                </c:pt>
                <c:pt idx="141">
                  <c:v>-7.18027690700636E-4</c:v>
                </c:pt>
                <c:pt idx="142">
                  <c:v>-1.8247311616244901E-3</c:v>
                </c:pt>
                <c:pt idx="143">
                  <c:v>8.04007203591443E-5</c:v>
                </c:pt>
                <c:pt idx="144">
                  <c:v>-5.8771934416501496E-4</c:v>
                </c:pt>
                <c:pt idx="145">
                  <c:v>-1.5182837090675901E-3</c:v>
                </c:pt>
                <c:pt idx="146">
                  <c:v>-1.3764313115686899E-3</c:v>
                </c:pt>
                <c:pt idx="147">
                  <c:v>-1.4782228426010399E-3</c:v>
                </c:pt>
                <c:pt idx="148">
                  <c:v>-3.8402174889049698E-3</c:v>
                </c:pt>
                <c:pt idx="149">
                  <c:v>-4.5186300935056998E-3</c:v>
                </c:pt>
                <c:pt idx="150">
                  <c:v>-5.1671809852562303E-3</c:v>
                </c:pt>
                <c:pt idx="151">
                  <c:v>-4.3304803318147903E-3</c:v>
                </c:pt>
                <c:pt idx="152">
                  <c:v>-4.1137207092975898E-3</c:v>
                </c:pt>
                <c:pt idx="153">
                  <c:v>-2.8752401085404798E-3</c:v>
                </c:pt>
                <c:pt idx="154">
                  <c:v>-2.7349301200852798E-3</c:v>
                </c:pt>
                <c:pt idx="155">
                  <c:v>-2.3796878638866099E-3</c:v>
                </c:pt>
                <c:pt idx="156">
                  <c:v>-1.5399263534764901E-3</c:v>
                </c:pt>
                <c:pt idx="157">
                  <c:v>-3.3294758647040598E-3</c:v>
                </c:pt>
                <c:pt idx="158">
                  <c:v>-3.2870331261916201E-3</c:v>
                </c:pt>
                <c:pt idx="159">
                  <c:v>-5.9611553195551802E-3</c:v>
                </c:pt>
                <c:pt idx="160">
                  <c:v>-5.1751673726592199E-3</c:v>
                </c:pt>
                <c:pt idx="161">
                  <c:v>-3.2767153155130201E-3</c:v>
                </c:pt>
                <c:pt idx="162">
                  <c:v>-2.6596849620726202E-3</c:v>
                </c:pt>
                <c:pt idx="163">
                  <c:v>-2.5503089175015199E-3</c:v>
                </c:pt>
                <c:pt idx="164">
                  <c:v>-4.13997998840448E-3</c:v>
                </c:pt>
                <c:pt idx="165">
                  <c:v>-5.9223002295434998E-3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75-4961-B057-726DD1089F47}"/>
            </c:ext>
          </c:extLst>
        </c:ser>
        <c:ser>
          <c:idx val="1"/>
          <c:order val="1"/>
          <c:tx>
            <c:strRef>
              <c:f>XLU_IDU_2!$V$1</c:f>
              <c:strCache>
                <c:ptCount val="1"/>
                <c:pt idx="0">
                  <c:v>log diff XLU x 10 dma / IDU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XLU_IDU_2!$V$2:$V$167</c:f>
              <c:numCache>
                <c:formatCode>0.00%</c:formatCode>
                <c:ptCount val="166"/>
                <c:pt idx="10">
                  <c:v>3.6155215565868701E-4</c:v>
                </c:pt>
                <c:pt idx="11">
                  <c:v>4.78007859653287E-4</c:v>
                </c:pt>
                <c:pt idx="12">
                  <c:v>-2.4114752143645402E-3</c:v>
                </c:pt>
                <c:pt idx="13">
                  <c:v>-4.1373129022918096E-3</c:v>
                </c:pt>
                <c:pt idx="14">
                  <c:v>-3.7468386140053502E-3</c:v>
                </c:pt>
                <c:pt idx="15">
                  <c:v>-3.1068950394914099E-3</c:v>
                </c:pt>
                <c:pt idx="16">
                  <c:v>-1.08757890236821E-3</c:v>
                </c:pt>
                <c:pt idx="17">
                  <c:v>-1.42486279526209E-3</c:v>
                </c:pt>
                <c:pt idx="18">
                  <c:v>1.7271313919199999E-3</c:v>
                </c:pt>
                <c:pt idx="19">
                  <c:v>1.72067006810973E-3</c:v>
                </c:pt>
                <c:pt idx="20">
                  <c:v>1.58722131164464E-4</c:v>
                </c:pt>
                <c:pt idx="21">
                  <c:v>9.8955188972489399E-4</c:v>
                </c:pt>
                <c:pt idx="22">
                  <c:v>1.74097241445832E-3</c:v>
                </c:pt>
                <c:pt idx="23">
                  <c:v>3.0354557475699098E-4</c:v>
                </c:pt>
                <c:pt idx="24">
                  <c:v>1.1504376211163001E-4</c:v>
                </c:pt>
                <c:pt idx="25">
                  <c:v>-1.4838148246159499E-3</c:v>
                </c:pt>
                <c:pt idx="26">
                  <c:v>-2.0516601968034601E-4</c:v>
                </c:pt>
                <c:pt idx="27">
                  <c:v>2.23869988743985E-5</c:v>
                </c:pt>
                <c:pt idx="28">
                  <c:v>2.2147677803496298E-3</c:v>
                </c:pt>
                <c:pt idx="29">
                  <c:v>3.5703542037344499E-3</c:v>
                </c:pt>
                <c:pt idx="30">
                  <c:v>3.8010957462753601E-3</c:v>
                </c:pt>
                <c:pt idx="31">
                  <c:v>2.4044052632052502E-3</c:v>
                </c:pt>
                <c:pt idx="32">
                  <c:v>2.8525548273162799E-3</c:v>
                </c:pt>
                <c:pt idx="33">
                  <c:v>3.9648790845252099E-3</c:v>
                </c:pt>
                <c:pt idx="34">
                  <c:v>4.7811994153917799E-3</c:v>
                </c:pt>
                <c:pt idx="35">
                  <c:v>5.2646572426325597E-3</c:v>
                </c:pt>
                <c:pt idx="36">
                  <c:v>4.2379043178240403E-3</c:v>
                </c:pt>
                <c:pt idx="37">
                  <c:v>1.19143714026285E-3</c:v>
                </c:pt>
                <c:pt idx="38">
                  <c:v>1.13638674842192E-4</c:v>
                </c:pt>
                <c:pt idx="39">
                  <c:v>-1.6060019408487599E-3</c:v>
                </c:pt>
                <c:pt idx="40">
                  <c:v>-2.0342600789504898E-3</c:v>
                </c:pt>
                <c:pt idx="41">
                  <c:v>-1.39882984508864E-3</c:v>
                </c:pt>
                <c:pt idx="42">
                  <c:v>-2.5386620931206901E-3</c:v>
                </c:pt>
                <c:pt idx="43">
                  <c:v>-1.96965723413212E-3</c:v>
                </c:pt>
                <c:pt idx="44">
                  <c:v>-1.85900242174237E-3</c:v>
                </c:pt>
                <c:pt idx="45">
                  <c:v>1.0862930693661399E-3</c:v>
                </c:pt>
                <c:pt idx="46">
                  <c:v>-1.1666680775384E-4</c:v>
                </c:pt>
                <c:pt idx="47">
                  <c:v>1.9424626361796E-4</c:v>
                </c:pt>
                <c:pt idx="48">
                  <c:v>1.4592203821080501E-3</c:v>
                </c:pt>
                <c:pt idx="49">
                  <c:v>3.0938223720090199E-3</c:v>
                </c:pt>
                <c:pt idx="50">
                  <c:v>7.4931370163901804E-3</c:v>
                </c:pt>
                <c:pt idx="51">
                  <c:v>5.4966931056897499E-3</c:v>
                </c:pt>
                <c:pt idx="52">
                  <c:v>4.4940508285200497E-3</c:v>
                </c:pt>
                <c:pt idx="53">
                  <c:v>1.5635071143000499E-3</c:v>
                </c:pt>
                <c:pt idx="54">
                  <c:v>-3.5438784048829699E-3</c:v>
                </c:pt>
                <c:pt idx="55">
                  <c:v>-2.7499398070858299E-3</c:v>
                </c:pt>
                <c:pt idx="56">
                  <c:v>-2.3960660450375098E-3</c:v>
                </c:pt>
                <c:pt idx="57">
                  <c:v>-3.4484479908138701E-3</c:v>
                </c:pt>
                <c:pt idx="58">
                  <c:v>-2.2638232651057502E-3</c:v>
                </c:pt>
                <c:pt idx="59">
                  <c:v>-2.4935122839408199E-3</c:v>
                </c:pt>
                <c:pt idx="60">
                  <c:v>-2.0170064306070799E-3</c:v>
                </c:pt>
                <c:pt idx="61">
                  <c:v>-8.1118258518351604E-4</c:v>
                </c:pt>
                <c:pt idx="62">
                  <c:v>-2.7115403578899301E-3</c:v>
                </c:pt>
                <c:pt idx="63">
                  <c:v>-8.3810819718648996E-4</c:v>
                </c:pt>
                <c:pt idx="64">
                  <c:v>-1.2204044979707701E-3</c:v>
                </c:pt>
                <c:pt idx="65">
                  <c:v>1.39989129675665E-3</c:v>
                </c:pt>
                <c:pt idx="66">
                  <c:v>1.8412252641745201E-3</c:v>
                </c:pt>
                <c:pt idx="67">
                  <c:v>2.6280703451783999E-3</c:v>
                </c:pt>
                <c:pt idx="68">
                  <c:v>9.3731657733107097E-4</c:v>
                </c:pt>
                <c:pt idx="69">
                  <c:v>1.2933775465080999E-3</c:v>
                </c:pt>
                <c:pt idx="70">
                  <c:v>8.1232509501915197E-4</c:v>
                </c:pt>
                <c:pt idx="71">
                  <c:v>1.93187718823255E-3</c:v>
                </c:pt>
                <c:pt idx="72">
                  <c:v>1.3211058348957E-3</c:v>
                </c:pt>
                <c:pt idx="73">
                  <c:v>1.9353168298975499E-4</c:v>
                </c:pt>
                <c:pt idx="74">
                  <c:v>2.37621178295376E-4</c:v>
                </c:pt>
                <c:pt idx="75">
                  <c:v>-1.5916452335458099E-3</c:v>
                </c:pt>
                <c:pt idx="76">
                  <c:v>-2.2920681640921699E-3</c:v>
                </c:pt>
                <c:pt idx="77">
                  <c:v>-1.13855064373844E-3</c:v>
                </c:pt>
                <c:pt idx="78">
                  <c:v>7.6442019169070501E-4</c:v>
                </c:pt>
                <c:pt idx="79">
                  <c:v>2.7745107035506098E-4</c:v>
                </c:pt>
                <c:pt idx="80">
                  <c:v>-5.77922618808698E-4</c:v>
                </c:pt>
                <c:pt idx="81">
                  <c:v>1.08767152108268E-3</c:v>
                </c:pt>
                <c:pt idx="82">
                  <c:v>2.2473264249871202E-3</c:v>
                </c:pt>
                <c:pt idx="83">
                  <c:v>8.9370151660519504E-4</c:v>
                </c:pt>
                <c:pt idx="84">
                  <c:v>2.01585336488997E-3</c:v>
                </c:pt>
                <c:pt idx="85">
                  <c:v>1.9795422556511499E-3</c:v>
                </c:pt>
                <c:pt idx="86">
                  <c:v>5.2171693202275702E-4</c:v>
                </c:pt>
                <c:pt idx="87">
                  <c:v>8.4105249643933204E-4</c:v>
                </c:pt>
                <c:pt idx="88">
                  <c:v>1.7099771233978201E-3</c:v>
                </c:pt>
                <c:pt idx="89">
                  <c:v>-2.96851275136679E-4</c:v>
                </c:pt>
                <c:pt idx="90">
                  <c:v>-4.8450831722585002E-5</c:v>
                </c:pt>
                <c:pt idx="91">
                  <c:v>-1.03766807790165E-3</c:v>
                </c:pt>
                <c:pt idx="92">
                  <c:v>-3.35891700232445E-3</c:v>
                </c:pt>
                <c:pt idx="93">
                  <c:v>-3.5348764360034601E-3</c:v>
                </c:pt>
                <c:pt idx="94">
                  <c:v>-2.56001379341972E-3</c:v>
                </c:pt>
                <c:pt idx="95">
                  <c:v>-9.3799539635803304E-4</c:v>
                </c:pt>
                <c:pt idx="96">
                  <c:v>1.0762520077475699E-3</c:v>
                </c:pt>
                <c:pt idx="97">
                  <c:v>9.9551467085654791E-4</c:v>
                </c:pt>
                <c:pt idx="98">
                  <c:v>1.20998633697659E-3</c:v>
                </c:pt>
                <c:pt idx="99">
                  <c:v>2.0570412772292499E-3</c:v>
                </c:pt>
                <c:pt idx="100">
                  <c:v>1.53733654849427E-3</c:v>
                </c:pt>
                <c:pt idx="101">
                  <c:v>1.23625256799183E-3</c:v>
                </c:pt>
                <c:pt idx="102">
                  <c:v>-1.618452136087E-3</c:v>
                </c:pt>
                <c:pt idx="103">
                  <c:v>-2.7144566991143003E-4</c:v>
                </c:pt>
                <c:pt idx="104">
                  <c:v>-2.0531366736836099E-3</c:v>
                </c:pt>
                <c:pt idx="105">
                  <c:v>-2.7751613802055402E-3</c:v>
                </c:pt>
                <c:pt idx="106">
                  <c:v>-1.63623268540362E-3</c:v>
                </c:pt>
                <c:pt idx="107">
                  <c:v>-1.66132705072316E-3</c:v>
                </c:pt>
                <c:pt idx="108">
                  <c:v>-3.1446631340068202E-3</c:v>
                </c:pt>
                <c:pt idx="109">
                  <c:v>-2.49376074302101E-3</c:v>
                </c:pt>
                <c:pt idx="110">
                  <c:v>6.8394676997306702E-4</c:v>
                </c:pt>
                <c:pt idx="111">
                  <c:v>1.0148449158211301E-3</c:v>
                </c:pt>
                <c:pt idx="112">
                  <c:v>7.3125947468219302E-3</c:v>
                </c:pt>
                <c:pt idx="113">
                  <c:v>6.6325467903798003E-3</c:v>
                </c:pt>
                <c:pt idx="114">
                  <c:v>5.1785968772472303E-3</c:v>
                </c:pt>
                <c:pt idx="115">
                  <c:v>5.1919186063090397E-3</c:v>
                </c:pt>
                <c:pt idx="116">
                  <c:v>-7.4489576561609003E-4</c:v>
                </c:pt>
                <c:pt idx="117">
                  <c:v>-1.67249666939646E-3</c:v>
                </c:pt>
                <c:pt idx="118">
                  <c:v>-2.8560678621280199E-3</c:v>
                </c:pt>
                <c:pt idx="119">
                  <c:v>-2.2374687595082599E-3</c:v>
                </c:pt>
                <c:pt idx="120">
                  <c:v>-2.4538572265059501E-3</c:v>
                </c:pt>
                <c:pt idx="121">
                  <c:v>-1.4631122665747E-3</c:v>
                </c:pt>
                <c:pt idx="122">
                  <c:v>-2.22512836231239E-3</c:v>
                </c:pt>
                <c:pt idx="123">
                  <c:v>-2.8723457857277698E-3</c:v>
                </c:pt>
                <c:pt idx="124">
                  <c:v>-1.58121940248988E-3</c:v>
                </c:pt>
                <c:pt idx="125">
                  <c:v>-2.4275013942390801E-3</c:v>
                </c:pt>
                <c:pt idx="126">
                  <c:v>-3.4234972563690698E-3</c:v>
                </c:pt>
                <c:pt idx="127">
                  <c:v>-2.7335379308248901E-3</c:v>
                </c:pt>
                <c:pt idx="128">
                  <c:v>-2.6717915684652499E-3</c:v>
                </c:pt>
                <c:pt idx="129">
                  <c:v>-1.9547875543279498E-3</c:v>
                </c:pt>
                <c:pt idx="130">
                  <c:v>-2.2741201610948299E-3</c:v>
                </c:pt>
                <c:pt idx="131">
                  <c:v>-1.59904210901103E-3</c:v>
                </c:pt>
                <c:pt idx="132">
                  <c:v>-2.2150314459382699E-3</c:v>
                </c:pt>
                <c:pt idx="133">
                  <c:v>-3.1506081469878898E-3</c:v>
                </c:pt>
                <c:pt idx="134">
                  <c:v>-2.05865648673939E-3</c:v>
                </c:pt>
                <c:pt idx="135">
                  <c:v>-1.4171210843694801E-3</c:v>
                </c:pt>
                <c:pt idx="136">
                  <c:v>5.0533484289477695E-4</c:v>
                </c:pt>
                <c:pt idx="137">
                  <c:v>1.6677176064076901E-3</c:v>
                </c:pt>
                <c:pt idx="138">
                  <c:v>2.1845177023553201E-3</c:v>
                </c:pt>
                <c:pt idx="139">
                  <c:v>3.0748884654799801E-3</c:v>
                </c:pt>
                <c:pt idx="140">
                  <c:v>2.2126301806008001E-3</c:v>
                </c:pt>
                <c:pt idx="141">
                  <c:v>1.2507535798602599E-3</c:v>
                </c:pt>
                <c:pt idx="142">
                  <c:v>2.4041448491771799E-5</c:v>
                </c:pt>
                <c:pt idx="143">
                  <c:v>1.8128699165063399E-3</c:v>
                </c:pt>
                <c:pt idx="144">
                  <c:v>6.9501263189987201E-4</c:v>
                </c:pt>
                <c:pt idx="145">
                  <c:v>-5.6035046663450397E-4</c:v>
                </c:pt>
                <c:pt idx="146">
                  <c:v>-6.3692322102275496E-4</c:v>
                </c:pt>
                <c:pt idx="147">
                  <c:v>-8.1400033054069296E-4</c:v>
                </c:pt>
                <c:pt idx="148">
                  <c:v>-3.1264541760065699E-3</c:v>
                </c:pt>
                <c:pt idx="149">
                  <c:v>-3.4596655679142202E-3</c:v>
                </c:pt>
                <c:pt idx="150">
                  <c:v>-3.5900391731679099E-3</c:v>
                </c:pt>
                <c:pt idx="151">
                  <c:v>-2.2341473789222201E-3</c:v>
                </c:pt>
                <c:pt idx="152">
                  <c:v>-1.6560529675282299E-3</c:v>
                </c:pt>
                <c:pt idx="153">
                  <c:v>-1.8858245710621799E-4</c:v>
                </c:pt>
                <c:pt idx="154">
                  <c:v>2.4686735673374401E-4</c:v>
                </c:pt>
                <c:pt idx="155">
                  <c:v>8.1652439701193104E-4</c:v>
                </c:pt>
                <c:pt idx="156">
                  <c:v>1.7423152552976801E-3</c:v>
                </c:pt>
                <c:pt idx="157">
                  <c:v>-3.0914680225137301E-5</c:v>
                </c:pt>
                <c:pt idx="158">
                  <c:v>1.9647072423717299E-4</c:v>
                </c:pt>
                <c:pt idx="159">
                  <c:v>-2.5329758688407301E-3</c:v>
                </c:pt>
                <c:pt idx="160">
                  <c:v>-1.60248424687826E-3</c:v>
                </c:pt>
                <c:pt idx="161">
                  <c:v>2.9676772632618699E-4</c:v>
                </c:pt>
                <c:pt idx="162">
                  <c:v>8.08391766728559E-4</c:v>
                </c:pt>
                <c:pt idx="163">
                  <c:v>7.7236548493685197E-4</c:v>
                </c:pt>
                <c:pt idx="164">
                  <c:v>-8.4977942097445999E-4</c:v>
                </c:pt>
                <c:pt idx="165">
                  <c:v>-2.4915838450192298E-3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75-4961-B057-726DD1089F47}"/>
            </c:ext>
          </c:extLst>
        </c:ser>
        <c:ser>
          <c:idx val="2"/>
          <c:order val="2"/>
          <c:tx>
            <c:strRef>
              <c:f>XLU_IDU_2!$W$1</c:f>
              <c:strCache>
                <c:ptCount val="1"/>
                <c:pt idx="0">
                  <c:v>log diff XLU x 20 dma / IDU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XLU_IDU_2!$W$2:$W$167</c:f>
              <c:numCache>
                <c:formatCode>0.00%</c:formatCode>
                <c:ptCount val="166"/>
                <c:pt idx="20">
                  <c:v>-8.6470371751363995E-4</c:v>
                </c:pt>
                <c:pt idx="21">
                  <c:v>-1.29187628918202E-4</c:v>
                </c:pt>
                <c:pt idx="22">
                  <c:v>4.9945213535797998E-4</c:v>
                </c:pt>
                <c:pt idx="23">
                  <c:v>-7.1253724057848905E-4</c:v>
                </c:pt>
                <c:pt idx="24">
                  <c:v>-5.7454753961585505E-4</c:v>
                </c:pt>
                <c:pt idx="25">
                  <c:v>-1.86795475129009E-3</c:v>
                </c:pt>
                <c:pt idx="26">
                  <c:v>-3.83393558096003E-4</c:v>
                </c:pt>
                <c:pt idx="27">
                  <c:v>-6.0517505846659997E-6</c:v>
                </c:pt>
                <c:pt idx="28">
                  <c:v>2.42480888711416E-3</c:v>
                </c:pt>
                <c:pt idx="29">
                  <c:v>3.8821152040305201E-3</c:v>
                </c:pt>
                <c:pt idx="30">
                  <c:v>4.2381007100616899E-3</c:v>
                </c:pt>
                <c:pt idx="31">
                  <c:v>3.1795069471789602E-3</c:v>
                </c:pt>
                <c:pt idx="32">
                  <c:v>3.8621657725742701E-3</c:v>
                </c:pt>
                <c:pt idx="33">
                  <c:v>5.0475542309980697E-3</c:v>
                </c:pt>
                <c:pt idx="34">
                  <c:v>6.0346221634655899E-3</c:v>
                </c:pt>
                <c:pt idx="35">
                  <c:v>6.7524062777996503E-3</c:v>
                </c:pt>
                <c:pt idx="36">
                  <c:v>6.1697243766382403E-3</c:v>
                </c:pt>
                <c:pt idx="37">
                  <c:v>3.5130612749272802E-3</c:v>
                </c:pt>
                <c:pt idx="38">
                  <c:v>2.6571590008589701E-3</c:v>
                </c:pt>
                <c:pt idx="39">
                  <c:v>1.04168215056573E-3</c:v>
                </c:pt>
                <c:pt idx="40">
                  <c:v>4.9534744919714805E-4</c:v>
                </c:pt>
                <c:pt idx="41">
                  <c:v>8.6544247525110205E-4</c:v>
                </c:pt>
                <c:pt idx="42">
                  <c:v>-3.86670664178491E-4</c:v>
                </c:pt>
                <c:pt idx="43">
                  <c:v>-2.91082356434071E-5</c:v>
                </c:pt>
                <c:pt idx="44">
                  <c:v>-3.13140196944128E-4</c:v>
                </c:pt>
                <c:pt idx="45">
                  <c:v>2.0956723334209898E-3</c:v>
                </c:pt>
                <c:pt idx="46">
                  <c:v>2.9837394332408502E-4</c:v>
                </c:pt>
                <c:pt idx="47">
                  <c:v>1.8016979388499999E-5</c:v>
                </c:pt>
                <c:pt idx="48">
                  <c:v>9.2476901720567101E-4</c:v>
                </c:pt>
                <c:pt idx="49">
                  <c:v>2.4240537846085398E-3</c:v>
                </c:pt>
                <c:pt idx="50">
                  <c:v>6.9854453433494104E-3</c:v>
                </c:pt>
                <c:pt idx="51">
                  <c:v>5.4524560722249496E-3</c:v>
                </c:pt>
                <c:pt idx="52">
                  <c:v>4.7535288072157204E-3</c:v>
                </c:pt>
                <c:pt idx="53">
                  <c:v>2.2553415664513998E-3</c:v>
                </c:pt>
                <c:pt idx="54">
                  <c:v>-2.5026969647630598E-3</c:v>
                </c:pt>
                <c:pt idx="55">
                  <c:v>-1.51111195143924E-3</c:v>
                </c:pt>
                <c:pt idx="56">
                  <c:v>-1.1175443229089199E-3</c:v>
                </c:pt>
                <c:pt idx="57">
                  <c:v>-1.9799175821565498E-3</c:v>
                </c:pt>
                <c:pt idx="58">
                  <c:v>-7.6332240788100001E-4</c:v>
                </c:pt>
                <c:pt idx="59">
                  <c:v>-1.0431689940142901E-3</c:v>
                </c:pt>
                <c:pt idx="60">
                  <c:v>-8.6941234788929698E-4</c:v>
                </c:pt>
                <c:pt idx="61">
                  <c:v>-4.4868514152630298E-4</c:v>
                </c:pt>
                <c:pt idx="62">
                  <c:v>-2.9673537243980301E-3</c:v>
                </c:pt>
                <c:pt idx="63">
                  <c:v>-1.8561621363477299E-3</c:v>
                </c:pt>
                <c:pt idx="64">
                  <c:v>-2.70555404571897E-3</c:v>
                </c:pt>
                <c:pt idx="65">
                  <c:v>-1.37553678077464E-4</c:v>
                </c:pt>
                <c:pt idx="66">
                  <c:v>4.2532744333239199E-4</c:v>
                </c:pt>
                <c:pt idx="67">
                  <c:v>1.2683580013515001E-3</c:v>
                </c:pt>
                <c:pt idx="68">
                  <c:v>-2.19522835366695E-4</c:v>
                </c:pt>
                <c:pt idx="69">
                  <c:v>2.1701637133121499E-4</c:v>
                </c:pt>
                <c:pt idx="70">
                  <c:v>-4.8053479180613499E-5</c:v>
                </c:pt>
                <c:pt idx="71">
                  <c:v>1.48671869256434E-3</c:v>
                </c:pt>
                <c:pt idx="72">
                  <c:v>1.2469147880087199E-3</c:v>
                </c:pt>
                <c:pt idx="73">
                  <c:v>6.99111379409867E-4</c:v>
                </c:pt>
                <c:pt idx="74">
                  <c:v>1.0672219577337199E-3</c:v>
                </c:pt>
                <c:pt idx="75">
                  <c:v>-5.7333327518318102E-4</c:v>
                </c:pt>
                <c:pt idx="76">
                  <c:v>-1.3752879670371301E-3</c:v>
                </c:pt>
                <c:pt idx="77">
                  <c:v>-4.0716926204696998E-4</c:v>
                </c:pt>
                <c:pt idx="78">
                  <c:v>1.21279905084421E-3</c:v>
                </c:pt>
                <c:pt idx="79">
                  <c:v>7.1770995903040703E-4</c:v>
                </c:pt>
                <c:pt idx="80">
                  <c:v>-2.2609459390447701E-4</c:v>
                </c:pt>
                <c:pt idx="81">
                  <c:v>1.3497489309353299E-3</c:v>
                </c:pt>
                <c:pt idx="82">
                  <c:v>2.4008528197355002E-3</c:v>
                </c:pt>
                <c:pt idx="83">
                  <c:v>9.1441068047636096E-4</c:v>
                </c:pt>
                <c:pt idx="84">
                  <c:v>1.9714024534915799E-3</c:v>
                </c:pt>
                <c:pt idx="85">
                  <c:v>1.8634144582060201E-3</c:v>
                </c:pt>
                <c:pt idx="86">
                  <c:v>6.2035775261661203E-4</c:v>
                </c:pt>
                <c:pt idx="87">
                  <c:v>1.20562551199307E-3</c:v>
                </c:pt>
                <c:pt idx="88">
                  <c:v>2.32539652710903E-3</c:v>
                </c:pt>
                <c:pt idx="89">
                  <c:v>3.91190706649554E-4</c:v>
                </c:pt>
                <c:pt idx="90">
                  <c:v>6.8649721492334095E-4</c:v>
                </c:pt>
                <c:pt idx="91">
                  <c:v>-1.68213399896224E-4</c:v>
                </c:pt>
                <c:pt idx="92">
                  <c:v>-2.4928547519703801E-3</c:v>
                </c:pt>
                <c:pt idx="93">
                  <c:v>-2.9245500746250801E-3</c:v>
                </c:pt>
                <c:pt idx="94">
                  <c:v>-2.14754904964716E-3</c:v>
                </c:pt>
                <c:pt idx="95">
                  <c:v>-7.9762920908492603E-4</c:v>
                </c:pt>
                <c:pt idx="96">
                  <c:v>9.1792500601552195E-4</c:v>
                </c:pt>
                <c:pt idx="97">
                  <c:v>6.9837704210563302E-4</c:v>
                </c:pt>
                <c:pt idx="98">
                  <c:v>7.5542129293344501E-4</c:v>
                </c:pt>
                <c:pt idx="99">
                  <c:v>1.42350197654029E-3</c:v>
                </c:pt>
                <c:pt idx="100">
                  <c:v>9.1793478206157904E-4</c:v>
                </c:pt>
                <c:pt idx="101">
                  <c:v>5.3415595727416599E-4</c:v>
                </c:pt>
                <c:pt idx="102">
                  <c:v>-2.25778686760652E-3</c:v>
                </c:pt>
                <c:pt idx="103">
                  <c:v>-6.9380162112006095E-4</c:v>
                </c:pt>
                <c:pt idx="104">
                  <c:v>-2.1937519235330299E-3</c:v>
                </c:pt>
                <c:pt idx="105">
                  <c:v>-2.7168301871452402E-3</c:v>
                </c:pt>
                <c:pt idx="106">
                  <c:v>-1.53230683888111E-3</c:v>
                </c:pt>
                <c:pt idx="107">
                  <c:v>-1.6945522307900099E-3</c:v>
                </c:pt>
                <c:pt idx="108">
                  <c:v>-3.29209709127878E-3</c:v>
                </c:pt>
                <c:pt idx="109">
                  <c:v>-2.8034446859293502E-3</c:v>
                </c:pt>
                <c:pt idx="110">
                  <c:v>6.1743992113024406E-5</c:v>
                </c:pt>
                <c:pt idx="111">
                  <c:v>2.7070232068315798E-4</c:v>
                </c:pt>
                <c:pt idx="112">
                  <c:v>6.4397822168636596E-3</c:v>
                </c:pt>
                <c:pt idx="113">
                  <c:v>6.09441327856755E-3</c:v>
                </c:pt>
                <c:pt idx="114">
                  <c:v>4.8096406202911097E-3</c:v>
                </c:pt>
                <c:pt idx="115">
                  <c:v>5.1357531724308802E-3</c:v>
                </c:pt>
                <c:pt idx="116">
                  <c:v>-3.2239481938641402E-4</c:v>
                </c:pt>
                <c:pt idx="117">
                  <c:v>-1.0376632196310799E-3</c:v>
                </c:pt>
                <c:pt idx="118">
                  <c:v>-2.0218475040622102E-3</c:v>
                </c:pt>
                <c:pt idx="119">
                  <c:v>-1.0721016257362001E-3</c:v>
                </c:pt>
                <c:pt idx="120">
                  <c:v>-8.9978189928153595E-4</c:v>
                </c:pt>
                <c:pt idx="121">
                  <c:v>1.9423787825269799E-4</c:v>
                </c:pt>
                <c:pt idx="122">
                  <c:v>-4.4043403622759099E-4</c:v>
                </c:pt>
                <c:pt idx="123">
                  <c:v>-1.74489440766574E-3</c:v>
                </c:pt>
                <c:pt idx="124">
                  <c:v>-1.10682492670329E-3</c:v>
                </c:pt>
                <c:pt idx="125">
                  <c:v>-2.5674671427166301E-3</c:v>
                </c:pt>
                <c:pt idx="126">
                  <c:v>-4.3496528195480699E-3</c:v>
                </c:pt>
                <c:pt idx="127">
                  <c:v>-3.9731090353240404E-3</c:v>
                </c:pt>
                <c:pt idx="128">
                  <c:v>-4.1513147636994896E-3</c:v>
                </c:pt>
                <c:pt idx="129">
                  <c:v>-3.6711409992792399E-3</c:v>
                </c:pt>
                <c:pt idx="130">
                  <c:v>-4.2773797756088996E-3</c:v>
                </c:pt>
                <c:pt idx="131">
                  <c:v>-3.7918678987603101E-3</c:v>
                </c:pt>
                <c:pt idx="132">
                  <c:v>-4.6751323307953297E-3</c:v>
                </c:pt>
                <c:pt idx="133">
                  <c:v>-5.5582657276150296E-3</c:v>
                </c:pt>
                <c:pt idx="134">
                  <c:v>-4.3594648257468203E-3</c:v>
                </c:pt>
                <c:pt idx="135">
                  <c:v>-3.6819483862231299E-3</c:v>
                </c:pt>
                <c:pt idx="136">
                  <c:v>-1.54187881875662E-3</c:v>
                </c:pt>
                <c:pt idx="137">
                  <c:v>-1.61604523497616E-4</c:v>
                </c:pt>
                <c:pt idx="138">
                  <c:v>5.6896809248271202E-4</c:v>
                </c:pt>
                <c:pt idx="139">
                  <c:v>1.67903947077651E-3</c:v>
                </c:pt>
                <c:pt idx="140">
                  <c:v>1.0857202395779899E-3</c:v>
                </c:pt>
                <c:pt idx="141">
                  <c:v>4.2659324334834301E-4</c:v>
                </c:pt>
                <c:pt idx="142">
                  <c:v>-5.1419071606388601E-4</c:v>
                </c:pt>
                <c:pt idx="143">
                  <c:v>1.5783607686435199E-3</c:v>
                </c:pt>
                <c:pt idx="144">
                  <c:v>9.40432586550122E-4</c:v>
                </c:pt>
                <c:pt idx="145">
                  <c:v>1.01688574664222E-4</c:v>
                </c:pt>
                <c:pt idx="146">
                  <c:v>3.1068698516110402E-4</c:v>
                </c:pt>
                <c:pt idx="147">
                  <c:v>1.7978208282074499E-4</c:v>
                </c:pt>
                <c:pt idx="148">
                  <c:v>-2.19441788300073E-3</c:v>
                </c:pt>
                <c:pt idx="149">
                  <c:v>-2.7814590288101301E-3</c:v>
                </c:pt>
                <c:pt idx="150">
                  <c:v>-3.2826991431648199E-3</c:v>
                </c:pt>
                <c:pt idx="151">
                  <c:v>-2.2979211864090098E-3</c:v>
                </c:pt>
                <c:pt idx="152">
                  <c:v>-1.9604541891953399E-3</c:v>
                </c:pt>
                <c:pt idx="153">
                  <c:v>-6.6556287530304995E-4</c:v>
                </c:pt>
                <c:pt idx="154">
                  <c:v>-6.0230454073985395E-4</c:v>
                </c:pt>
                <c:pt idx="155">
                  <c:v>-3.0198887573099097E-4</c:v>
                </c:pt>
                <c:pt idx="156">
                  <c:v>4.7175668268405597E-4</c:v>
                </c:pt>
                <c:pt idx="157">
                  <c:v>-1.3472165491552699E-3</c:v>
                </c:pt>
                <c:pt idx="158">
                  <c:v>-1.1874406120039301E-3</c:v>
                </c:pt>
                <c:pt idx="159">
                  <c:v>-3.7168816841461698E-3</c:v>
                </c:pt>
                <c:pt idx="160">
                  <c:v>-2.5997571306653399E-3</c:v>
                </c:pt>
                <c:pt idx="161">
                  <c:v>-4.41534571623822E-4</c:v>
                </c:pt>
                <c:pt idx="162">
                  <c:v>3.0331488899726198E-4</c:v>
                </c:pt>
                <c:pt idx="163">
                  <c:v>4.5440767409752703E-4</c:v>
                </c:pt>
                <c:pt idx="164">
                  <c:v>-1.0039690772219599E-3</c:v>
                </c:pt>
                <c:pt idx="165">
                  <c:v>-2.6088290328090602E-3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75-4961-B057-726DD1089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B7F1D-8290-4389-A115-DAF386FD5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D92B03-31AF-4CB7-9AE6-40B03FBEAD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A83697-23B4-44B7-92B2-22C22B09E3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1E554E8-CD99-4457-AA7F-1D73AEC7B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8AE518-2461-4FD9-B013-1D590BF367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911961B-0F16-4211-9E70-828B778062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AD4B5C4-0A71-4903-B66E-A74F099073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A94F286-7F0E-4FF1-9C66-8FCC2FBFA9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XLU_IDU_1.csv" TargetMode="External"/><Relationship Id="rId1" Type="http://schemas.openxmlformats.org/officeDocument/2006/relationships/externalLinkPath" Target="XLU_IDU_1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XLU_IDU_1"/>
    </sheetNames>
    <sheetDataSet>
      <sheetData sheetId="0">
        <row r="1">
          <cell r="O1" t="str">
            <v>IDU/XLU avg</v>
          </cell>
          <cell r="P1" t="str">
            <v>IDU/XLU 10 dma</v>
          </cell>
          <cell r="Q1" t="str">
            <v>IDU/XLU 20 dma</v>
          </cell>
          <cell r="U1" t="str">
            <v>log diff XLU x avg / IDU</v>
          </cell>
          <cell r="V1" t="str">
            <v>log diff XLU x 10 dma / IDU</v>
          </cell>
          <cell r="W1" t="str">
            <v>log diff XLU x 20 dma / IDU</v>
          </cell>
          <cell r="Y1" t="str">
            <v>IDU*/XLU* avg</v>
          </cell>
          <cell r="Z1" t="str">
            <v>IDU*/XLU* 10 dma</v>
          </cell>
          <cell r="AA1" t="str">
            <v>IDU*/XLU* 20 dma</v>
          </cell>
          <cell r="AE1" t="str">
            <v>log diff XLU* x avg / IDU*</v>
          </cell>
          <cell r="AF1" t="str">
            <v>log diff XLU* x 10 dma / IDU*</v>
          </cell>
          <cell r="AG1" t="str">
            <v>log diff XLU* x 20 dma / IDU*</v>
          </cell>
        </row>
        <row r="2">
          <cell r="O2">
            <v>2.5326711528669299</v>
          </cell>
          <cell r="Y2">
            <v>2.5333350730781099</v>
          </cell>
        </row>
        <row r="3">
          <cell r="O3">
            <v>2.5326711528669299</v>
          </cell>
          <cell r="U3">
            <v>-2.4468780081992199E-3</v>
          </cell>
          <cell r="Y3">
            <v>2.5333350730781099</v>
          </cell>
          <cell r="AE3">
            <v>-2.1847700733218598E-3</v>
          </cell>
        </row>
        <row r="4">
          <cell r="O4">
            <v>2.5326711528669299</v>
          </cell>
          <cell r="U4">
            <v>-1.6832165721984301E-3</v>
          </cell>
          <cell r="Y4">
            <v>2.5333350730781099</v>
          </cell>
          <cell r="AE4">
            <v>-1.4211086373210999E-3</v>
          </cell>
        </row>
        <row r="5">
          <cell r="O5">
            <v>2.5326711528669299</v>
          </cell>
          <cell r="U5">
            <v>-2.42116788642804E-3</v>
          </cell>
          <cell r="Y5">
            <v>2.5333350730781099</v>
          </cell>
          <cell r="AE5">
            <v>-2.1590599515507098E-3</v>
          </cell>
        </row>
        <row r="6">
          <cell r="O6">
            <v>2.5326711528669299</v>
          </cell>
          <cell r="U6">
            <v>-2.9401730459319001E-3</v>
          </cell>
          <cell r="Y6">
            <v>2.5333350730781099</v>
          </cell>
          <cell r="AE6">
            <v>-2.6780651110546402E-3</v>
          </cell>
        </row>
        <row r="7">
          <cell r="O7">
            <v>2.5326711528669299</v>
          </cell>
          <cell r="U7">
            <v>-3.0247504435474098E-3</v>
          </cell>
          <cell r="Y7">
            <v>2.5333350730781099</v>
          </cell>
          <cell r="AE7">
            <v>-2.7626425086700098E-3</v>
          </cell>
        </row>
        <row r="8">
          <cell r="O8">
            <v>2.5326711528669299</v>
          </cell>
          <cell r="U8">
            <v>-2.11996841931863E-3</v>
          </cell>
          <cell r="Y8">
            <v>2.5333350730781099</v>
          </cell>
          <cell r="AE8">
            <v>-1.85786048444121E-3</v>
          </cell>
        </row>
        <row r="9">
          <cell r="O9">
            <v>2.5326711528669299</v>
          </cell>
          <cell r="U9">
            <v>-1.7955873686771901E-3</v>
          </cell>
          <cell r="Y9">
            <v>2.5333350730781099</v>
          </cell>
          <cell r="AE9">
            <v>-1.5334794337998499E-3</v>
          </cell>
        </row>
        <row r="10">
          <cell r="O10">
            <v>2.5326711528669299</v>
          </cell>
          <cell r="U10">
            <v>-1.23019211865749E-3</v>
          </cell>
          <cell r="Y10">
            <v>2.5333350730781099</v>
          </cell>
          <cell r="AE10">
            <v>-9.6808418378025005E-4</v>
          </cell>
        </row>
        <row r="11">
          <cell r="O11">
            <v>2.5326711528669299</v>
          </cell>
          <cell r="P11">
            <v>2.5381380611469</v>
          </cell>
          <cell r="U11">
            <v>-2.4434725842621499E-3</v>
          </cell>
          <cell r="Y11">
            <v>2.5333350730781099</v>
          </cell>
          <cell r="Z11">
            <v>2.5381380611469</v>
          </cell>
          <cell r="AE11">
            <v>-2.1813646493848201E-3</v>
          </cell>
        </row>
        <row r="12">
          <cell r="O12">
            <v>2.5326711528669299</v>
          </cell>
          <cell r="P12">
            <v>2.5382241743541099</v>
          </cell>
          <cell r="U12">
            <v>-1.7946758416301899E-3</v>
          </cell>
          <cell r="V12">
            <v>3.6155215565868701E-4</v>
          </cell>
          <cell r="Y12">
            <v>2.5333350730781099</v>
          </cell>
          <cell r="Z12">
            <v>2.5382241743541099</v>
          </cell>
          <cell r="AE12">
            <v>-1.5325679067528699E-3</v>
          </cell>
          <cell r="AF12">
            <v>3.6155215565868701E-4</v>
          </cell>
        </row>
        <row r="13">
          <cell r="O13">
            <v>2.5326711528669299</v>
          </cell>
          <cell r="P13">
            <v>2.53803770385053</v>
          </cell>
          <cell r="U13">
            <v>-1.7121472701886499E-3</v>
          </cell>
          <cell r="V13">
            <v>4.78007859653287E-4</v>
          </cell>
          <cell r="Y13">
            <v>2.5333350730781099</v>
          </cell>
          <cell r="Z13">
            <v>2.53803770385053</v>
          </cell>
          <cell r="AE13">
            <v>-1.45003933531137E-3</v>
          </cell>
          <cell r="AF13">
            <v>4.78007859653287E-4</v>
          </cell>
        </row>
        <row r="14">
          <cell r="O14">
            <v>2.5326711528669299</v>
          </cell>
          <cell r="P14">
            <v>2.5387604766179899</v>
          </cell>
          <cell r="U14">
            <v>-4.5281626988655996E-3</v>
          </cell>
          <cell r="V14">
            <v>-2.4114752143645402E-3</v>
          </cell>
          <cell r="Y14">
            <v>2.5333350730781099</v>
          </cell>
          <cell r="Z14">
            <v>2.5387604766179899</v>
          </cell>
          <cell r="AE14">
            <v>-4.26605476398837E-3</v>
          </cell>
          <cell r="AF14">
            <v>-2.4114752143645402E-3</v>
          </cell>
        </row>
        <row r="15">
          <cell r="O15">
            <v>2.5326711528669299</v>
          </cell>
          <cell r="P15">
            <v>2.5398080043455198</v>
          </cell>
          <cell r="U15">
            <v>-6.5387360594132797E-3</v>
          </cell>
          <cell r="V15">
            <v>-4.1373129022918096E-3</v>
          </cell>
          <cell r="Y15">
            <v>2.5333350730781099</v>
          </cell>
          <cell r="Z15">
            <v>2.5398080043455198</v>
          </cell>
          <cell r="AE15">
            <v>-6.2766281245358697E-3</v>
          </cell>
          <cell r="AF15">
            <v>-4.1373129022918096E-3</v>
          </cell>
        </row>
        <row r="16">
          <cell r="O16">
            <v>2.5326711528669299</v>
          </cell>
          <cell r="P16">
            <v>2.54072935466702</v>
          </cell>
          <cell r="U16">
            <v>-6.5607905167030002E-3</v>
          </cell>
          <cell r="V16">
            <v>-3.7468386140053502E-3</v>
          </cell>
          <cell r="Y16">
            <v>2.5333350730781099</v>
          </cell>
          <cell r="Z16">
            <v>2.54072935466702</v>
          </cell>
          <cell r="AE16">
            <v>-6.2986825818255598E-3</v>
          </cell>
          <cell r="AF16">
            <v>-3.7468386140053502E-3</v>
          </cell>
        </row>
        <row r="17">
          <cell r="O17">
            <v>2.5326711528669299</v>
          </cell>
          <cell r="P17">
            <v>2.54155855074471</v>
          </cell>
          <cell r="U17">
            <v>-6.2835449272637903E-3</v>
          </cell>
          <cell r="V17">
            <v>-3.1068950394914099E-3</v>
          </cell>
          <cell r="Y17">
            <v>2.5333350730781099</v>
          </cell>
          <cell r="Z17">
            <v>2.54155855074471</v>
          </cell>
          <cell r="AE17">
            <v>-6.0214369923864202E-3</v>
          </cell>
          <cell r="AF17">
            <v>-3.1068950394914099E-3</v>
          </cell>
        </row>
        <row r="18">
          <cell r="O18">
            <v>2.5326711528669299</v>
          </cell>
          <cell r="P18">
            <v>2.5421863676308498</v>
          </cell>
          <cell r="U18">
            <v>-4.59053698065483E-3</v>
          </cell>
          <cell r="V18">
            <v>-1.08757890236821E-3</v>
          </cell>
          <cell r="Y18">
            <v>2.5333350730781099</v>
          </cell>
          <cell r="Z18">
            <v>2.5421863676308498</v>
          </cell>
          <cell r="AE18">
            <v>-4.3284290457773697E-3</v>
          </cell>
          <cell r="AF18">
            <v>-1.08757890236821E-3</v>
          </cell>
        </row>
        <row r="19">
          <cell r="O19">
            <v>2.5326711528669299</v>
          </cell>
          <cell r="P19">
            <v>2.5430452022077499</v>
          </cell>
          <cell r="U19">
            <v>-5.1748107990500797E-3</v>
          </cell>
          <cell r="V19">
            <v>-1.42486279526209E-3</v>
          </cell>
          <cell r="Y19">
            <v>2.5333350730781099</v>
          </cell>
          <cell r="Z19">
            <v>2.5430452022077499</v>
          </cell>
          <cell r="AE19">
            <v>-4.91270286417274E-3</v>
          </cell>
          <cell r="AF19">
            <v>-1.42486279526209E-3</v>
          </cell>
        </row>
        <row r="20">
          <cell r="O20">
            <v>2.5326711528669299</v>
          </cell>
          <cell r="P20">
            <v>2.5433320099650798</v>
          </cell>
          <cell r="U20">
            <v>-2.3605926101759899E-3</v>
          </cell>
          <cell r="V20">
            <v>1.7271313919199999E-3</v>
          </cell>
          <cell r="Y20">
            <v>2.5333350730781099</v>
          </cell>
          <cell r="Z20">
            <v>2.5433320099650798</v>
          </cell>
          <cell r="AE20">
            <v>-2.0984846752986502E-3</v>
          </cell>
          <cell r="AF20">
            <v>1.7271313919199999E-3</v>
          </cell>
        </row>
        <row r="21">
          <cell r="O21">
            <v>2.5326711528669299</v>
          </cell>
          <cell r="P21">
            <v>2.5433412404936799</v>
          </cell>
          <cell r="Q21">
            <v>2.54073965082029</v>
          </cell>
          <cell r="U21">
            <v>-2.4798288013113102E-3</v>
          </cell>
          <cell r="V21">
            <v>1.72067006810973E-3</v>
          </cell>
          <cell r="Y21">
            <v>2.5333350730781099</v>
          </cell>
          <cell r="Z21">
            <v>2.5433412404936799</v>
          </cell>
          <cell r="AA21">
            <v>2.54073965082029</v>
          </cell>
          <cell r="AE21">
            <v>-2.2177208664339899E-3</v>
          </cell>
          <cell r="AF21">
            <v>1.72067006810973E-3</v>
          </cell>
        </row>
        <row r="22">
          <cell r="O22">
            <v>2.5326711528669299</v>
          </cell>
          <cell r="P22">
            <v>2.5439129435191501</v>
          </cell>
          <cell r="Q22">
            <v>2.54106855893663</v>
          </cell>
          <cell r="U22">
            <v>-4.0454060370748602E-3</v>
          </cell>
          <cell r="V22">
            <v>1.58722131164464E-4</v>
          </cell>
          <cell r="W22">
            <v>-8.6470371751363995E-4</v>
          </cell>
          <cell r="Y22">
            <v>2.5333350730781099</v>
          </cell>
          <cell r="Z22">
            <v>2.5439129435191501</v>
          </cell>
          <cell r="AA22">
            <v>2.54106855893663</v>
          </cell>
          <cell r="AE22">
            <v>-3.7832981021975001E-3</v>
          </cell>
          <cell r="AF22">
            <v>1.58722131164464E-4</v>
          </cell>
          <cell r="AG22">
            <v>-8.6470371751363995E-4</v>
          </cell>
          <cell r="BY22">
            <v>0</v>
          </cell>
        </row>
        <row r="23">
          <cell r="O23">
            <v>2.5326711528669299</v>
          </cell>
          <cell r="P23">
            <v>2.5443515116771298</v>
          </cell>
          <cell r="Q23">
            <v>2.5411946077638299</v>
          </cell>
          <cell r="U23">
            <v>-3.4393352574029101E-3</v>
          </cell>
          <cell r="V23">
            <v>9.8955188972489399E-4</v>
          </cell>
          <cell r="W23">
            <v>-1.29187628918202E-4</v>
          </cell>
          <cell r="Y23">
            <v>2.5333350730781099</v>
          </cell>
          <cell r="Z23">
            <v>2.5443515116771298</v>
          </cell>
          <cell r="AA23">
            <v>2.5411946077638299</v>
          </cell>
          <cell r="AE23">
            <v>-3.1772273225255201E-3</v>
          </cell>
          <cell r="AF23">
            <v>9.8955188972489399E-4</v>
          </cell>
          <cell r="AG23">
            <v>-1.29187628918202E-4</v>
          </cell>
          <cell r="BY23">
            <v>0</v>
          </cell>
        </row>
        <row r="24">
          <cell r="O24">
            <v>2.5326711528669299</v>
          </cell>
          <cell r="P24">
            <v>2.5439275331946201</v>
          </cell>
          <cell r="Q24">
            <v>2.5413440049062999</v>
          </cell>
          <cell r="U24">
            <v>-2.8602989170698799E-3</v>
          </cell>
          <cell r="V24">
            <v>1.74097241445832E-3</v>
          </cell>
          <cell r="W24">
            <v>4.9945213535797998E-4</v>
          </cell>
          <cell r="Y24">
            <v>2.5333350730781099</v>
          </cell>
          <cell r="Z24">
            <v>2.5439275331946201</v>
          </cell>
          <cell r="AA24">
            <v>2.5413440049062999</v>
          </cell>
          <cell r="AE24">
            <v>-2.5981909821926E-3</v>
          </cell>
          <cell r="AF24">
            <v>1.74097241445832E-3</v>
          </cell>
          <cell r="AG24">
            <v>4.9945213535797998E-4</v>
          </cell>
          <cell r="BY24">
            <v>0</v>
          </cell>
        </row>
        <row r="25">
          <cell r="O25">
            <v>2.5326711528669299</v>
          </cell>
          <cell r="P25">
            <v>2.5433144902855802</v>
          </cell>
          <cell r="Q25">
            <v>2.54156124731555</v>
          </cell>
          <cell r="U25">
            <v>-4.1310766875076203E-3</v>
          </cell>
          <cell r="V25">
            <v>3.0354557475699098E-4</v>
          </cell>
          <cell r="W25">
            <v>-7.1253724057848905E-4</v>
          </cell>
          <cell r="Y25">
            <v>2.5333350730781099</v>
          </cell>
          <cell r="Z25">
            <v>2.5433144902855802</v>
          </cell>
          <cell r="AA25">
            <v>2.54156124731555</v>
          </cell>
          <cell r="AE25">
            <v>-3.8689687526301999E-3</v>
          </cell>
          <cell r="AF25">
            <v>3.0354557475699098E-4</v>
          </cell>
          <cell r="AG25">
            <v>-7.1253724057848905E-4</v>
          </cell>
          <cell r="BY25">
            <v>0</v>
          </cell>
        </row>
        <row r="26">
          <cell r="O26">
            <v>2.5326711528669299</v>
          </cell>
          <cell r="P26">
            <v>2.5426824712240799</v>
          </cell>
          <cell r="Q26">
            <v>2.5417059129455501</v>
          </cell>
          <cell r="U26">
            <v>-4.0785666083753697E-3</v>
          </cell>
          <cell r="V26">
            <v>1.1504376211163001E-4</v>
          </cell>
          <cell r="W26">
            <v>-5.7454753961585505E-4</v>
          </cell>
          <cell r="Y26">
            <v>2.5333350730781099</v>
          </cell>
          <cell r="Z26">
            <v>2.5426824712240799</v>
          </cell>
          <cell r="AA26">
            <v>2.5417059129455501</v>
          </cell>
          <cell r="AE26">
            <v>-3.8164586734978998E-3</v>
          </cell>
          <cell r="AF26">
            <v>1.1504376211163001E-4</v>
          </cell>
          <cell r="AG26">
            <v>-5.7454753961585505E-4</v>
          </cell>
          <cell r="BY26">
            <v>0</v>
          </cell>
        </row>
        <row r="27">
          <cell r="O27">
            <v>2.5326711528669299</v>
          </cell>
          <cell r="P27">
            <v>2.5424647444538002</v>
          </cell>
          <cell r="Q27">
            <v>2.5420116475992498</v>
          </cell>
          <cell r="U27">
            <v>-5.4288921859285497E-3</v>
          </cell>
          <cell r="V27">
            <v>-1.4838148246159499E-3</v>
          </cell>
          <cell r="W27">
            <v>-1.86795475129009E-3</v>
          </cell>
          <cell r="Y27">
            <v>2.5333350730781099</v>
          </cell>
          <cell r="Z27">
            <v>2.5424647444538002</v>
          </cell>
          <cell r="AA27">
            <v>2.5420116475992498</v>
          </cell>
          <cell r="AE27">
            <v>-5.16678425105119E-3</v>
          </cell>
          <cell r="AF27">
            <v>-1.4838148246159499E-3</v>
          </cell>
          <cell r="AG27">
            <v>-1.86795475129009E-3</v>
          </cell>
          <cell r="BY27">
            <v>0</v>
          </cell>
        </row>
        <row r="28">
          <cell r="O28">
            <v>2.5326711528669299</v>
          </cell>
          <cell r="P28">
            <v>2.5423309670015501</v>
          </cell>
          <cell r="Q28">
            <v>2.5422586673162</v>
          </cell>
          <cell r="U28">
            <v>-4.0646109455160003E-3</v>
          </cell>
          <cell r="V28">
            <v>-2.0516601968034601E-4</v>
          </cell>
          <cell r="W28">
            <v>-3.83393558096003E-4</v>
          </cell>
          <cell r="Y28">
            <v>2.5333350730781099</v>
          </cell>
          <cell r="Z28">
            <v>2.5423309670015501</v>
          </cell>
          <cell r="AA28">
            <v>2.5422586673162</v>
          </cell>
          <cell r="AE28">
            <v>-3.8025030106386701E-3</v>
          </cell>
          <cell r="AF28">
            <v>-2.0516601968034601E-4</v>
          </cell>
          <cell r="AG28">
            <v>-3.83393558096003E-4</v>
          </cell>
          <cell r="BY28">
            <v>1.3642812404123985E-3</v>
          </cell>
        </row>
        <row r="29">
          <cell r="O29">
            <v>2.5326711528669299</v>
          </cell>
          <cell r="P29">
            <v>2.5419772506246199</v>
          </cell>
          <cell r="Q29">
            <v>2.54251122641619</v>
          </cell>
          <cell r="U29">
            <v>-3.7844393126175101E-3</v>
          </cell>
          <cell r="V29">
            <v>2.23869988743985E-5</v>
          </cell>
          <cell r="W29">
            <v>-6.0517505846659997E-6</v>
          </cell>
          <cell r="Y29">
            <v>2.5333350730781099</v>
          </cell>
          <cell r="Z29">
            <v>2.5419772506246199</v>
          </cell>
          <cell r="AA29">
            <v>2.54251122641619</v>
          </cell>
          <cell r="AE29">
            <v>-3.5223313777399999E-3</v>
          </cell>
          <cell r="AF29">
            <v>2.23869988743985E-5</v>
          </cell>
          <cell r="AG29">
            <v>-6.0517505846659997E-6</v>
          </cell>
          <cell r="BY29">
            <v>1.6444528733110773E-3</v>
          </cell>
        </row>
        <row r="30">
          <cell r="O30">
            <v>2.5326711528669299</v>
          </cell>
          <cell r="P30">
            <v>2.5417469277651099</v>
          </cell>
          <cell r="Q30">
            <v>2.54253946886509</v>
          </cell>
          <cell r="U30">
            <v>-1.45291811621959E-3</v>
          </cell>
          <cell r="V30">
            <v>2.2147677803496298E-3</v>
          </cell>
          <cell r="W30">
            <v>2.42480888711416E-3</v>
          </cell>
          <cell r="Y30">
            <v>2.5333350730781099</v>
          </cell>
          <cell r="Z30">
            <v>2.5417469277651099</v>
          </cell>
          <cell r="AA30">
            <v>2.54253946886509</v>
          </cell>
          <cell r="AE30">
            <v>-1.1908101813421499E-3</v>
          </cell>
          <cell r="AF30">
            <v>2.2147677803496298E-3</v>
          </cell>
          <cell r="AG30">
            <v>2.42480888711416E-3</v>
          </cell>
          <cell r="BY30">
            <v>3.9759740697089783E-3</v>
          </cell>
        </row>
        <row r="31">
          <cell r="O31">
            <v>2.5326711528669299</v>
          </cell>
          <cell r="P31">
            <v>2.5411197912121799</v>
          </cell>
          <cell r="Q31">
            <v>2.5422305158529301</v>
          </cell>
          <cell r="U31">
            <v>-6.7198297242878E-6</v>
          </cell>
          <cell r="V31">
            <v>3.5703542037344499E-3</v>
          </cell>
          <cell r="W31">
            <v>3.8821152040305201E-3</v>
          </cell>
          <cell r="Y31">
            <v>2.5333350730781099</v>
          </cell>
          <cell r="Z31">
            <v>2.5411197912121799</v>
          </cell>
          <cell r="AA31">
            <v>2.5422305158529301</v>
          </cell>
          <cell r="AE31">
            <v>2.55388105153095E-4</v>
          </cell>
          <cell r="AF31">
            <v>3.5703542037344499E-3</v>
          </cell>
          <cell r="AG31">
            <v>3.8821152040305201E-3</v>
          </cell>
          <cell r="BY31">
            <v>2.5297757832136794E-3</v>
          </cell>
        </row>
        <row r="32">
          <cell r="O32">
            <v>2.5326711528669299</v>
          </cell>
          <cell r="P32">
            <v>2.5399739409947801</v>
          </cell>
          <cell r="Q32">
            <v>2.54194344225697</v>
          </cell>
          <cell r="U32">
            <v>4.7078661568747599E-4</v>
          </cell>
          <cell r="V32">
            <v>3.8010957462753601E-3</v>
          </cell>
          <cell r="W32">
            <v>4.2381007100616899E-3</v>
          </cell>
          <cell r="Y32">
            <v>2.5333350730781099</v>
          </cell>
          <cell r="Z32">
            <v>2.5399739409947801</v>
          </cell>
          <cell r="AA32">
            <v>2.54194344225697</v>
          </cell>
          <cell r="AE32">
            <v>7.3289455056481498E-4</v>
          </cell>
          <cell r="AF32">
            <v>3.8010957462753601E-3</v>
          </cell>
          <cell r="AG32">
            <v>4.2381007100616899E-3</v>
          </cell>
          <cell r="BY32">
            <v>2.0522693378020695E-3</v>
          </cell>
        </row>
        <row r="33">
          <cell r="O33">
            <v>2.5326711528669299</v>
          </cell>
          <cell r="P33">
            <v>2.5392216705589301</v>
          </cell>
          <cell r="Q33">
            <v>2.5417865911180302</v>
          </cell>
          <cell r="U33">
            <v>-4.74878833318637E-4</v>
          </cell>
          <cell r="V33">
            <v>2.4044052632052502E-3</v>
          </cell>
          <cell r="W33">
            <v>3.1795069471789602E-3</v>
          </cell>
          <cell r="Y33">
            <v>2.5333350730781099</v>
          </cell>
          <cell r="Z33">
            <v>2.5392216705589301</v>
          </cell>
          <cell r="AA33">
            <v>2.5417865911180302</v>
          </cell>
          <cell r="AE33">
            <v>-2.12770898441229E-4</v>
          </cell>
          <cell r="AF33">
            <v>2.4044052632052502E-3</v>
          </cell>
          <cell r="AG33">
            <v>3.1795069471789602E-3</v>
          </cell>
          <cell r="BY33">
            <v>2.9979347868081675E-3</v>
          </cell>
        </row>
        <row r="34">
          <cell r="O34">
            <v>2.5326711528669299</v>
          </cell>
          <cell r="P34">
            <v>2.5384279708617701</v>
          </cell>
          <cell r="Q34">
            <v>2.5411777520281902</v>
          </cell>
          <cell r="U34">
            <v>2.6948710002953002E-4</v>
          </cell>
          <cell r="V34">
            <v>2.8525548273162799E-3</v>
          </cell>
          <cell r="W34">
            <v>3.8621657725742701E-3</v>
          </cell>
          <cell r="Y34">
            <v>2.5333350730781099</v>
          </cell>
          <cell r="Z34">
            <v>2.5384279708617701</v>
          </cell>
          <cell r="AA34">
            <v>2.5411777520281902</v>
          </cell>
          <cell r="AE34">
            <v>5.3159503490700203E-4</v>
          </cell>
          <cell r="AF34">
            <v>2.8525548273162799E-3</v>
          </cell>
          <cell r="AG34">
            <v>3.8621657725742701E-3</v>
          </cell>
          <cell r="BY34">
            <v>2.2535688534597669E-3</v>
          </cell>
        </row>
        <row r="35">
          <cell r="O35">
            <v>2.5326711528669299</v>
          </cell>
          <cell r="P35">
            <v>2.5369507593112202</v>
          </cell>
          <cell r="Q35">
            <v>2.5401326247984</v>
          </cell>
          <cell r="U35">
            <v>1.69443619734289E-3</v>
          </cell>
          <cell r="V35">
            <v>3.9648790845252099E-3</v>
          </cell>
          <cell r="W35">
            <v>5.0475542309980697E-3</v>
          </cell>
          <cell r="Y35">
            <v>2.5333350730781099</v>
          </cell>
          <cell r="Z35">
            <v>2.5369507593112202</v>
          </cell>
          <cell r="AA35">
            <v>2.5401326247984</v>
          </cell>
          <cell r="AE35">
            <v>1.9565441322203499E-3</v>
          </cell>
          <cell r="AF35">
            <v>3.9648790845252099E-3</v>
          </cell>
          <cell r="AG35">
            <v>5.0475542309980697E-3</v>
          </cell>
          <cell r="BY35">
            <v>8.2861975614644716E-4</v>
          </cell>
        </row>
        <row r="36">
          <cell r="O36">
            <v>2.5326711528669299</v>
          </cell>
          <cell r="P36">
            <v>2.5351335721308899</v>
          </cell>
          <cell r="Q36">
            <v>2.5389080216774902</v>
          </cell>
          <cell r="U36">
            <v>3.0928654390102901E-3</v>
          </cell>
          <cell r="V36">
            <v>4.7811994153917799E-3</v>
          </cell>
          <cell r="W36">
            <v>6.0346221634655899E-3</v>
          </cell>
          <cell r="Y36">
            <v>2.5333350730781099</v>
          </cell>
          <cell r="Z36">
            <v>2.5351335721308899</v>
          </cell>
          <cell r="AA36">
            <v>2.5389080216774902</v>
          </cell>
          <cell r="AE36">
            <v>3.3549733738875002E-3</v>
          </cell>
          <cell r="AF36">
            <v>4.7811994153917799E-3</v>
          </cell>
          <cell r="AG36">
            <v>6.0346221634655899E-3</v>
          </cell>
          <cell r="BY36">
            <v>-5.6980948552075262E-4</v>
          </cell>
        </row>
        <row r="37">
          <cell r="O37">
            <v>2.5326711528669299</v>
          </cell>
          <cell r="P37">
            <v>2.5326699613532901</v>
          </cell>
          <cell r="Q37">
            <v>2.5375673529035399</v>
          </cell>
          <cell r="U37">
            <v>4.2928678421435499E-3</v>
          </cell>
          <cell r="V37">
            <v>5.2646572426325597E-3</v>
          </cell>
          <cell r="W37">
            <v>6.7524062777996503E-3</v>
          </cell>
          <cell r="Y37">
            <v>2.5333350730781099</v>
          </cell>
          <cell r="Z37">
            <v>2.5326699613532901</v>
          </cell>
          <cell r="AA37">
            <v>2.5375673529035399</v>
          </cell>
          <cell r="AE37">
            <v>4.5549757770209599E-3</v>
          </cell>
          <cell r="AF37">
            <v>5.2646572426325597E-3</v>
          </cell>
          <cell r="AG37">
            <v>6.7524062777996503E-3</v>
          </cell>
          <cell r="BY37">
            <v>-1.7698118886542327E-3</v>
          </cell>
        </row>
        <row r="38">
          <cell r="O38">
            <v>2.5326711528669299</v>
          </cell>
          <cell r="P38">
            <v>2.5305672647652999</v>
          </cell>
          <cell r="Q38">
            <v>2.5364491158834199</v>
          </cell>
          <cell r="U38">
            <v>4.2383747752374702E-3</v>
          </cell>
          <cell r="V38">
            <v>4.2379043178240403E-3</v>
          </cell>
          <cell r="W38">
            <v>6.1697243766382403E-3</v>
          </cell>
          <cell r="Y38">
            <v>2.5333350730781099</v>
          </cell>
          <cell r="Z38">
            <v>2.5305672647652999</v>
          </cell>
          <cell r="AA38">
            <v>2.5364491158834199</v>
          </cell>
          <cell r="AE38">
            <v>4.5004827101149097E-3</v>
          </cell>
          <cell r="AF38">
            <v>4.2379043178240403E-3</v>
          </cell>
          <cell r="AG38">
            <v>6.1697243766382403E-3</v>
          </cell>
          <cell r="BY38">
            <v>-1.7153188217482428E-3</v>
          </cell>
        </row>
        <row r="39">
          <cell r="O39">
            <v>2.5326711528669299</v>
          </cell>
          <cell r="P39">
            <v>2.52909526435004</v>
          </cell>
          <cell r="Q39">
            <v>2.5355362574873301</v>
          </cell>
          <cell r="U39">
            <v>2.0224816415005801E-3</v>
          </cell>
          <cell r="V39">
            <v>1.19143714026285E-3</v>
          </cell>
          <cell r="W39">
            <v>3.5130612749272802E-3</v>
          </cell>
          <cell r="Y39">
            <v>2.5333350730781099</v>
          </cell>
          <cell r="Z39">
            <v>2.52909526435004</v>
          </cell>
          <cell r="AA39">
            <v>2.5355362574873301</v>
          </cell>
          <cell r="AE39">
            <v>2.28458957637802E-3</v>
          </cell>
          <cell r="AF39">
            <v>1.19143714026285E-3</v>
          </cell>
          <cell r="AG39">
            <v>3.5130612749272802E-3</v>
          </cell>
          <cell r="BY39">
            <v>5.005743119887076E-4</v>
          </cell>
        </row>
        <row r="40">
          <cell r="O40">
            <v>2.5326711528669299</v>
          </cell>
          <cell r="P40">
            <v>2.5283406929985301</v>
          </cell>
          <cell r="Q40">
            <v>2.5350438103818198</v>
          </cell>
          <cell r="U40">
            <v>1.52654034474148E-3</v>
          </cell>
          <cell r="V40">
            <v>1.13638674842192E-4</v>
          </cell>
          <cell r="W40">
            <v>2.6571590008589701E-3</v>
          </cell>
          <cell r="Y40">
            <v>2.5333350730781099</v>
          </cell>
          <cell r="Z40">
            <v>2.5283406929985301</v>
          </cell>
          <cell r="AA40">
            <v>2.5350438103818198</v>
          </cell>
          <cell r="AE40">
            <v>1.7886482796189299E-3</v>
          </cell>
          <cell r="AF40">
            <v>1.13638674842192E-4</v>
          </cell>
          <cell r="AG40">
            <v>2.6571590008589701E-3</v>
          </cell>
          <cell r="BY40">
            <v>9.9651560874760604E-4</v>
          </cell>
        </row>
        <row r="41">
          <cell r="O41">
            <v>2.5326711528669299</v>
          </cell>
          <cell r="P41">
            <v>2.5283123233348599</v>
          </cell>
          <cell r="Q41">
            <v>2.5347160572735201</v>
          </cell>
          <cell r="U41">
            <v>1.05300485274341E-4</v>
          </cell>
          <cell r="V41">
            <v>-1.6060019408487599E-3</v>
          </cell>
          <cell r="W41">
            <v>1.04168215056573E-3</v>
          </cell>
          <cell r="Y41">
            <v>2.5333350730781099</v>
          </cell>
          <cell r="Z41">
            <v>2.5283123233348599</v>
          </cell>
          <cell r="AA41">
            <v>2.5347160572735201</v>
          </cell>
          <cell r="AE41">
            <v>3.6740842015161901E-4</v>
          </cell>
          <cell r="AF41">
            <v>-1.6060019408487599E-3</v>
          </cell>
          <cell r="AG41">
            <v>1.04168215056573E-3</v>
          </cell>
          <cell r="BY41">
            <v>2.4177554682148555E-3</v>
          </cell>
        </row>
        <row r="42">
          <cell r="O42">
            <v>2.5326711528669299</v>
          </cell>
          <cell r="P42">
            <v>2.5285104950595101</v>
          </cell>
          <cell r="Q42">
            <v>2.53424221802715</v>
          </cell>
          <cell r="U42">
            <v>-3.1173692497749901E-4</v>
          </cell>
          <cell r="V42">
            <v>-2.0342600789504898E-3</v>
          </cell>
          <cell r="W42">
            <v>4.9534744919714805E-4</v>
          </cell>
          <cell r="Y42">
            <v>2.5333350730781099</v>
          </cell>
          <cell r="Z42">
            <v>2.5285104950595101</v>
          </cell>
          <cell r="AA42">
            <v>2.53424221802715</v>
          </cell>
          <cell r="AE42">
            <v>-4.9628990100022998E-5</v>
          </cell>
          <cell r="AF42">
            <v>-2.0342600789504898E-3</v>
          </cell>
          <cell r="AG42">
            <v>4.9534744919714805E-4</v>
          </cell>
          <cell r="BY42">
            <v>2.8347928784665652E-3</v>
          </cell>
        </row>
        <row r="43">
          <cell r="O43">
            <v>2.5326711528669299</v>
          </cell>
          <cell r="P43">
            <v>2.52832807261467</v>
          </cell>
          <cell r="Q43">
            <v>2.5337748715867998</v>
          </cell>
          <cell r="U43">
            <v>2.4531535028808301E-4</v>
          </cell>
          <cell r="V43">
            <v>-1.39882984508864E-3</v>
          </cell>
          <cell r="W43">
            <v>8.6544247525110205E-4</v>
          </cell>
          <cell r="Y43">
            <v>2.5333350730781099</v>
          </cell>
          <cell r="Z43">
            <v>2.52832807261467</v>
          </cell>
          <cell r="AA43">
            <v>2.5337748715867998</v>
          </cell>
          <cell r="AE43">
            <v>5.0742328516560002E-4</v>
          </cell>
          <cell r="AF43">
            <v>-1.39882984508864E-3</v>
          </cell>
          <cell r="AG43">
            <v>8.6544247525110205E-4</v>
          </cell>
          <cell r="BY43">
            <v>2.277740603200885E-3</v>
          </cell>
        </row>
        <row r="44">
          <cell r="O44">
            <v>2.5326711528669299</v>
          </cell>
          <cell r="P44">
            <v>2.52860468009683</v>
          </cell>
          <cell r="Q44">
            <v>2.5335163254793001</v>
          </cell>
          <cell r="U44">
            <v>-8.2236808679307801E-4</v>
          </cell>
          <cell r="V44">
            <v>-2.5386620931206901E-3</v>
          </cell>
          <cell r="W44">
            <v>-3.86670664178491E-4</v>
          </cell>
          <cell r="Y44">
            <v>2.5333350730781099</v>
          </cell>
          <cell r="Z44">
            <v>2.52860468009683</v>
          </cell>
          <cell r="AA44">
            <v>2.5335163254793001</v>
          </cell>
          <cell r="AE44">
            <v>-5.6026015191580202E-4</v>
          </cell>
          <cell r="AF44">
            <v>-2.5386620931206901E-3</v>
          </cell>
          <cell r="AG44">
            <v>-3.86670664178491E-4</v>
          </cell>
          <cell r="BY44">
            <v>3.3454240402822143E-3</v>
          </cell>
        </row>
        <row r="45">
          <cell r="O45">
            <v>2.5326711528669299</v>
          </cell>
          <cell r="P45">
            <v>2.5291253536780398</v>
          </cell>
          <cell r="Q45">
            <v>2.5330380564946302</v>
          </cell>
          <cell r="U45">
            <v>-3.6276056249588001E-4</v>
          </cell>
          <cell r="V45">
            <v>-1.96965723413212E-3</v>
          </cell>
          <cell r="W45">
            <v>-2.91082356434071E-5</v>
          </cell>
          <cell r="Y45">
            <v>2.5333350730781099</v>
          </cell>
          <cell r="Z45">
            <v>2.5291253536780398</v>
          </cell>
          <cell r="AA45">
            <v>2.5330380564946302</v>
          </cell>
          <cell r="AE45">
            <v>-1.00652627618537E-4</v>
          </cell>
          <cell r="AF45">
            <v>-1.96965723413212E-3</v>
          </cell>
          <cell r="AG45">
            <v>-2.91082356434071E-5</v>
          </cell>
          <cell r="BY45">
            <v>3.3454240402822143E-3</v>
          </cell>
        </row>
        <row r="46">
          <cell r="O46">
            <v>2.5326711528669299</v>
          </cell>
          <cell r="P46">
            <v>2.5300234870669698</v>
          </cell>
          <cell r="Q46">
            <v>2.53257852959893</v>
          </cell>
          <cell r="U46">
            <v>-4.5799795058910897E-4</v>
          </cell>
          <cell r="V46">
            <v>-1.85900242174237E-3</v>
          </cell>
          <cell r="W46">
            <v>-3.13140196944128E-4</v>
          </cell>
          <cell r="Y46">
            <v>2.5333350730781099</v>
          </cell>
          <cell r="Z46">
            <v>2.5300234870669698</v>
          </cell>
          <cell r="AA46">
            <v>2.53257852959893</v>
          </cell>
          <cell r="AE46">
            <v>-1.9589001571168699E-4</v>
          </cell>
          <cell r="AF46">
            <v>-1.85900242174237E-3</v>
          </cell>
          <cell r="AG46">
            <v>-3.13140196944128E-4</v>
          </cell>
          <cell r="BY46">
            <v>3.3454240402822143E-3</v>
          </cell>
        </row>
        <row r="47">
          <cell r="O47">
            <v>2.5326711528669299</v>
          </cell>
          <cell r="P47">
            <v>2.5305689469073802</v>
          </cell>
          <cell r="Q47">
            <v>2.5316194541303401</v>
          </cell>
          <cell r="U47">
            <v>2.13224437776705E-3</v>
          </cell>
          <cell r="V47">
            <v>1.0862930693661399E-3</v>
          </cell>
          <cell r="W47">
            <v>2.0956723334209898E-3</v>
          </cell>
          <cell r="Y47">
            <v>2.5333350730781099</v>
          </cell>
          <cell r="Z47">
            <v>2.5305689469073802</v>
          </cell>
          <cell r="AA47">
            <v>2.5316194541303401</v>
          </cell>
          <cell r="AE47">
            <v>2.3943523126443498E-3</v>
          </cell>
          <cell r="AF47">
            <v>1.0862930693661399E-3</v>
          </cell>
          <cell r="AG47">
            <v>2.0956723334209898E-3</v>
          </cell>
          <cell r="BY47">
            <v>3.3454240402822143E-3</v>
          </cell>
        </row>
        <row r="48">
          <cell r="O48">
            <v>2.5326711528669299</v>
          </cell>
          <cell r="P48">
            <v>2.53145942071452</v>
          </cell>
          <cell r="Q48">
            <v>2.53101334273991</v>
          </cell>
          <cell r="U48">
            <v>7.1371296445280205E-4</v>
          </cell>
          <cell r="V48">
            <v>-1.1666680775384E-4</v>
          </cell>
          <cell r="W48">
            <v>2.9837394332408502E-4</v>
          </cell>
          <cell r="Y48">
            <v>2.5333350730781099</v>
          </cell>
          <cell r="Z48">
            <v>2.53145942071452</v>
          </cell>
          <cell r="AA48">
            <v>2.53101334273991</v>
          </cell>
          <cell r="AE48">
            <v>9.7582089933030995E-4</v>
          </cell>
          <cell r="AF48">
            <v>-1.1666680775384E-4</v>
          </cell>
          <cell r="AG48">
            <v>2.9837394332408502E-4</v>
          </cell>
          <cell r="BY48">
            <v>3.3454240402822143E-3</v>
          </cell>
        </row>
        <row r="49">
          <cell r="O49">
            <v>2.5326711528669299</v>
          </cell>
          <cell r="P49">
            <v>2.5318007900755202</v>
          </cell>
          <cell r="Q49">
            <v>2.5304480272127798</v>
          </cell>
          <cell r="U49">
            <v>6.7280113416203901E-4</v>
          </cell>
          <cell r="V49">
            <v>1.9424626361796E-4</v>
          </cell>
          <cell r="W49">
            <v>1.8016979388499999E-5</v>
          </cell>
          <cell r="Y49">
            <v>2.5333350730781099</v>
          </cell>
          <cell r="Z49">
            <v>2.5318007900755202</v>
          </cell>
          <cell r="AA49">
            <v>2.5304480272127798</v>
          </cell>
          <cell r="AE49">
            <v>9.34909069039203E-4</v>
          </cell>
          <cell r="AF49">
            <v>1.9424626361796E-4</v>
          </cell>
          <cell r="AG49">
            <v>1.8016979388499999E-5</v>
          </cell>
          <cell r="BY49">
            <v>3.3454240402822143E-3</v>
          </cell>
        </row>
        <row r="50">
          <cell r="O50">
            <v>2.5326711528669299</v>
          </cell>
          <cell r="P50">
            <v>2.5317309052070902</v>
          </cell>
          <cell r="Q50">
            <v>2.53003579910281</v>
          </cell>
          <cell r="U50">
            <v>1.80293353119283E-3</v>
          </cell>
          <cell r="V50">
            <v>1.4592203821080501E-3</v>
          </cell>
          <cell r="W50">
            <v>9.2476901720567101E-4</v>
          </cell>
          <cell r="Y50">
            <v>2.5333350730781099</v>
          </cell>
          <cell r="Z50">
            <v>2.5317309052070902</v>
          </cell>
          <cell r="AA50">
            <v>2.53003579910281</v>
          </cell>
          <cell r="AE50">
            <v>2.0650414660702502E-3</v>
          </cell>
          <cell r="AF50">
            <v>1.4592203821080501E-3</v>
          </cell>
          <cell r="AG50">
            <v>9.2476901720567101E-4</v>
          </cell>
          <cell r="BY50">
            <v>3.3454240402822143E-3</v>
          </cell>
        </row>
        <row r="51">
          <cell r="O51">
            <v>2.5326711528669299</v>
          </cell>
          <cell r="P51">
            <v>2.53088148602024</v>
          </cell>
          <cell r="Q51">
            <v>2.5295969046775499</v>
          </cell>
          <cell r="U51">
            <v>3.4651387327010201E-3</v>
          </cell>
          <cell r="V51">
            <v>3.0938223720090199E-3</v>
          </cell>
          <cell r="W51">
            <v>2.4240537846085398E-3</v>
          </cell>
          <cell r="Y51">
            <v>2.5333350730781099</v>
          </cell>
          <cell r="Z51">
            <v>2.53088148602024</v>
          </cell>
          <cell r="AA51">
            <v>2.5295969046775499</v>
          </cell>
          <cell r="AE51">
            <v>3.72724666757846E-3</v>
          </cell>
          <cell r="AF51">
            <v>3.0938223720090199E-3</v>
          </cell>
          <cell r="AG51">
            <v>2.4240537846085398E-3</v>
          </cell>
          <cell r="BY51">
            <v>3.3454240402822143E-3</v>
          </cell>
        </row>
        <row r="52">
          <cell r="O52">
            <v>2.5326711528669299</v>
          </cell>
          <cell r="P52">
            <v>2.5287342175114702</v>
          </cell>
          <cell r="Q52">
            <v>2.5286223562854899</v>
          </cell>
          <cell r="U52">
            <v>8.2000189425168197E-3</v>
          </cell>
          <cell r="V52">
            <v>7.4931370163901804E-3</v>
          </cell>
          <cell r="W52">
            <v>6.9854453433494104E-3</v>
          </cell>
          <cell r="Y52">
            <v>2.5333350730781099</v>
          </cell>
          <cell r="Z52">
            <v>2.5300531226674199</v>
          </cell>
          <cell r="AA52">
            <v>2.5292818088634599</v>
          </cell>
          <cell r="AE52">
            <v>3.2254189485813002E-3</v>
          </cell>
          <cell r="AF52">
            <v>2.2564290875769799E-3</v>
          </cell>
          <cell r="AG52">
            <v>1.74873741453631E-3</v>
          </cell>
          <cell r="BY52">
            <v>3.3454240402822143E-3</v>
          </cell>
        </row>
        <row r="53">
          <cell r="O53">
            <v>2.5326711528669299</v>
          </cell>
          <cell r="P53">
            <v>2.5270164921958602</v>
          </cell>
          <cell r="Q53">
            <v>2.5276722824052702</v>
          </cell>
          <cell r="U53">
            <v>7.0523622771351199E-3</v>
          </cell>
          <cell r="V53">
            <v>5.4966931056897499E-3</v>
          </cell>
          <cell r="W53">
            <v>5.4524560722249496E-3</v>
          </cell>
          <cell r="Y53">
            <v>2.5333350730781099</v>
          </cell>
          <cell r="Z53">
            <v>2.5296655920875302</v>
          </cell>
          <cell r="AA53">
            <v>2.5289968323510998</v>
          </cell>
          <cell r="AE53">
            <v>2.0390970364874898E-3</v>
          </cell>
          <cell r="AF53">
            <v>7.4275129192991898E-4</v>
          </cell>
          <cell r="AG53">
            <v>4.3784409745834701E-4</v>
          </cell>
          <cell r="BY53">
            <v>3.3454240402822143E-3</v>
          </cell>
        </row>
        <row r="54">
          <cell r="O54">
            <v>2.5326711528669299</v>
          </cell>
          <cell r="P54">
            <v>2.52510955564038</v>
          </cell>
          <cell r="Q54">
            <v>2.5268571178685999</v>
          </cell>
          <cell r="U54">
            <v>6.7292334808827497E-3</v>
          </cell>
          <cell r="V54">
            <v>4.4940508285200497E-3</v>
          </cell>
          <cell r="W54">
            <v>4.7535288072157204E-3</v>
          </cell>
          <cell r="Y54">
            <v>2.5333350730781099</v>
          </cell>
          <cell r="Z54">
            <v>2.52909428080063</v>
          </cell>
          <cell r="AA54">
            <v>2.5288494804487298</v>
          </cell>
          <cell r="AE54">
            <v>1.69619518285737E-3</v>
          </cell>
          <cell r="AF54">
            <v>2.4666678033161198E-4</v>
          </cell>
          <cell r="AG54">
            <v>-1.7735025605860601E-5</v>
          </cell>
          <cell r="BY54">
            <v>3.3454240402822143E-3</v>
          </cell>
        </row>
        <row r="55">
          <cell r="O55">
            <v>2.5326711528669299</v>
          </cell>
          <cell r="P55">
            <v>2.52386700973228</v>
          </cell>
          <cell r="Q55">
            <v>2.5264961817051601</v>
          </cell>
          <cell r="U55">
            <v>4.5535943862176501E-3</v>
          </cell>
          <cell r="V55">
            <v>1.5635071143000499E-3</v>
          </cell>
          <cell r="W55">
            <v>2.2553415664513998E-3</v>
          </cell>
          <cell r="Y55">
            <v>2.5333350730781099</v>
          </cell>
          <cell r="Z55">
            <v>2.5292438961467298</v>
          </cell>
          <cell r="AA55">
            <v>2.5291846249123799</v>
          </cell>
          <cell r="AE55">
            <v>-6.9100538095520896E-4</v>
          </cell>
          <cell r="AF55">
            <v>-2.36640387958342E-3</v>
          </cell>
          <cell r="AG55">
            <v>-2.46320224811026E-3</v>
          </cell>
          <cell r="BY55">
            <v>3.3454240402822143E-3</v>
          </cell>
        </row>
        <row r="56">
          <cell r="O56">
            <v>2.5326711528669299</v>
          </cell>
          <cell r="P56">
            <v>2.5237665875568398</v>
          </cell>
          <cell r="Q56">
            <v>2.5268950373119101</v>
          </cell>
          <cell r="U56">
            <v>-6.1593984850939304E-5</v>
          </cell>
          <cell r="V56">
            <v>-3.5438784048829699E-3</v>
          </cell>
          <cell r="W56">
            <v>-2.5026969647630598E-3</v>
          </cell>
          <cell r="Y56">
            <v>2.5333350730781099</v>
          </cell>
          <cell r="Z56">
            <v>2.5291434739712999</v>
          </cell>
          <cell r="AA56">
            <v>2.52958348051913</v>
          </cell>
          <cell r="AE56">
            <v>2.0051395002631701E-4</v>
          </cell>
          <cell r="AF56">
            <v>-1.4157286199522E-3</v>
          </cell>
          <cell r="AG56">
            <v>-1.43916326338029E-3</v>
          </cell>
          <cell r="BY56">
            <v>3.3454240402822143E-3</v>
          </cell>
        </row>
        <row r="57">
          <cell r="O57">
            <v>2.5326711528669299</v>
          </cell>
          <cell r="P57">
            <v>2.5241105588353601</v>
          </cell>
          <cell r="Q57">
            <v>2.5273397528713701</v>
          </cell>
          <cell r="U57">
            <v>7.7213441682692297E-4</v>
          </cell>
          <cell r="V57">
            <v>-2.7499398070858299E-3</v>
          </cell>
          <cell r="W57">
            <v>-1.51111195143924E-3</v>
          </cell>
          <cell r="Y57">
            <v>2.5333350730781099</v>
          </cell>
          <cell r="Z57">
            <v>2.5294874452498202</v>
          </cell>
          <cell r="AA57">
            <v>2.5300281960786002</v>
          </cell>
          <cell r="AE57">
            <v>1.0342423517041401E-3</v>
          </cell>
          <cell r="AF57">
            <v>-6.2170543185358302E-4</v>
          </cell>
          <cell r="AG57">
            <v>-4.4774603340949301E-4</v>
          </cell>
          <cell r="BY57">
            <v>4.1791524419599237E-3</v>
          </cell>
        </row>
        <row r="58">
          <cell r="O58">
            <v>2.5326711528669299</v>
          </cell>
          <cell r="P58">
            <v>2.5240407136679099</v>
          </cell>
          <cell r="Q58">
            <v>2.5277500671912199</v>
          </cell>
          <cell r="U58">
            <v>9.8972464063633498E-4</v>
          </cell>
          <cell r="V58">
            <v>-2.3960660450375098E-3</v>
          </cell>
          <cell r="W58">
            <v>-1.1175443229089199E-3</v>
          </cell>
          <cell r="Y58">
            <v>2.5333350730781099</v>
          </cell>
          <cell r="Z58">
            <v>2.5294176000823598</v>
          </cell>
          <cell r="AA58">
            <v>2.5304385103984401</v>
          </cell>
          <cell r="AE58">
            <v>1.2518325755137799E-3</v>
          </cell>
          <cell r="AF58">
            <v>-2.6812138499478103E-4</v>
          </cell>
          <cell r="AG58">
            <v>-5.4365417357877898E-5</v>
          </cell>
          <cell r="BY58">
            <v>4.3967426657695536E-3</v>
          </cell>
        </row>
        <row r="59">
          <cell r="O59">
            <v>2.5326711528669299</v>
          </cell>
          <cell r="P59">
            <v>2.5242199156490801</v>
          </cell>
          <cell r="Q59">
            <v>2.5280103528622999</v>
          </cell>
          <cell r="U59">
            <v>-3.4985722540590203E-5</v>
          </cell>
          <cell r="V59">
            <v>-3.4484479908138701E-3</v>
          </cell>
          <cell r="W59">
            <v>-1.9799175821565498E-3</v>
          </cell>
          <cell r="Y59">
            <v>2.5333350730781099</v>
          </cell>
          <cell r="Z59">
            <v>2.52959680206353</v>
          </cell>
          <cell r="AA59">
            <v>2.53069879606953</v>
          </cell>
          <cell r="AE59">
            <v>2.2712221233678001E-4</v>
          </cell>
          <cell r="AF59">
            <v>-1.32044450896884E-3</v>
          </cell>
          <cell r="AG59">
            <v>-9.1691116428777801E-4</v>
          </cell>
          <cell r="BY59">
            <v>3.3720323025927439E-3</v>
          </cell>
        </row>
        <row r="60">
          <cell r="O60">
            <v>2.5326711528669299</v>
          </cell>
          <cell r="P60">
            <v>2.5244030904016102</v>
          </cell>
          <cell r="Q60">
            <v>2.5280669978043502</v>
          </cell>
          <cell r="U60">
            <v>1.0786434685057099E-3</v>
          </cell>
          <cell r="V60">
            <v>-2.2638232651057502E-3</v>
          </cell>
          <cell r="W60">
            <v>-7.6332240788100001E-4</v>
          </cell>
          <cell r="Y60">
            <v>2.5333350730781099</v>
          </cell>
          <cell r="Z60">
            <v>2.52977997681606</v>
          </cell>
          <cell r="AA60">
            <v>2.53075544101157</v>
          </cell>
          <cell r="AE60">
            <v>1.3407514033830601E-3</v>
          </cell>
          <cell r="AF60">
            <v>-1.35970696025687E-4</v>
          </cell>
          <cell r="AG60">
            <v>2.9957462026690402E-4</v>
          </cell>
          <cell r="BY60">
            <v>4.4856614936390439E-3</v>
          </cell>
        </row>
        <row r="61">
          <cell r="O61">
            <v>2.5326711528669299</v>
          </cell>
          <cell r="P61">
            <v>2.5250826195391101</v>
          </cell>
          <cell r="Q61">
            <v>2.5279820527796701</v>
          </cell>
          <cell r="U61">
            <v>7.7639020695098105E-4</v>
          </cell>
          <cell r="V61">
            <v>-2.4935122839408199E-3</v>
          </cell>
          <cell r="W61">
            <v>-1.0431689940142901E-3</v>
          </cell>
          <cell r="Y61">
            <v>2.5333350730781099</v>
          </cell>
          <cell r="Z61">
            <v>2.53045950595356</v>
          </cell>
          <cell r="AA61">
            <v>2.5306704959869002</v>
          </cell>
          <cell r="AE61">
            <v>1.0384981418281999E-3</v>
          </cell>
          <cell r="AF61">
            <v>-3.6581395112662401E-4</v>
          </cell>
          <cell r="AG61">
            <v>1.9704231063864798E-5</v>
          </cell>
          <cell r="BY61">
            <v>4.4856614936390439E-3</v>
          </cell>
        </row>
        <row r="62">
          <cell r="O62">
            <v>2.5326711528669299</v>
          </cell>
          <cell r="P62">
            <v>2.5269018944710901</v>
          </cell>
          <cell r="Q62">
            <v>2.52781805599128</v>
          </cell>
          <cell r="U62">
            <v>9.8374819824962895E-4</v>
          </cell>
          <cell r="V62">
            <v>-2.0170064306070799E-3</v>
          </cell>
          <cell r="W62">
            <v>-8.6941234788929698E-4</v>
          </cell>
          <cell r="Y62">
            <v>2.5333350730781099</v>
          </cell>
          <cell r="Z62">
            <v>2.5309598757295899</v>
          </cell>
          <cell r="AA62">
            <v>2.5305064991984998</v>
          </cell>
          <cell r="AE62">
            <v>1.2458561331269099E-3</v>
          </cell>
          <cell r="AF62">
            <v>1.10119922361089E-4</v>
          </cell>
          <cell r="AG62">
            <v>1.9349657278497999E-4</v>
          </cell>
          <cell r="BY62">
            <v>4.4856614936390439E-3</v>
          </cell>
        </row>
        <row r="63">
          <cell r="O63">
            <v>2.5326711528669299</v>
          </cell>
          <cell r="P63">
            <v>2.5283098776789301</v>
          </cell>
          <cell r="Q63">
            <v>2.5276631849374001</v>
          </cell>
          <cell r="U63">
            <v>1.4693501167947799E-3</v>
          </cell>
          <cell r="V63">
            <v>-8.1118258518351604E-4</v>
          </cell>
          <cell r="W63">
            <v>-4.4868514152630298E-4</v>
          </cell>
          <cell r="Y63">
            <v>2.5333350730781099</v>
          </cell>
          <cell r="Z63">
            <v>2.5310376642017198</v>
          </cell>
          <cell r="AA63">
            <v>2.5303516281446199</v>
          </cell>
          <cell r="AE63">
            <v>1.73145805167241E-3</v>
          </cell>
          <cell r="AF63">
            <v>7.9344099433900205E-4</v>
          </cell>
          <cell r="AG63">
            <v>6.1429270065756604E-4</v>
          </cell>
          <cell r="BY63">
            <v>4.4856614936390439E-3</v>
          </cell>
        </row>
        <row r="64">
          <cell r="O64">
            <v>2.5326711528669299</v>
          </cell>
          <cell r="P64">
            <v>2.5302588139896298</v>
          </cell>
          <cell r="Q64">
            <v>2.527684184815</v>
          </cell>
          <cell r="U64">
            <v>-9.8804989576690397E-4</v>
          </cell>
          <cell r="V64">
            <v>-2.7115403578899301E-3</v>
          </cell>
          <cell r="W64">
            <v>-2.9673537243980301E-3</v>
          </cell>
          <cell r="Y64">
            <v>2.5333350730781099</v>
          </cell>
          <cell r="Z64">
            <v>2.5316509752438301</v>
          </cell>
          <cell r="AA64">
            <v>2.5303726280222301</v>
          </cell>
          <cell r="AE64">
            <v>-7.2594196088954601E-4</v>
          </cell>
          <cell r="AF64">
            <v>-1.6332247195512599E-3</v>
          </cell>
          <cell r="AG64">
            <v>-1.90431078769153E-3</v>
          </cell>
          <cell r="BY64">
            <v>4.4856614936390439E-3</v>
          </cell>
        </row>
        <row r="65">
          <cell r="O65">
            <v>2.5326711528669299</v>
          </cell>
          <cell r="P65">
            <v>2.5313803859784398</v>
          </cell>
          <cell r="Q65">
            <v>2.5276236978553599</v>
          </cell>
          <cell r="U65">
            <v>1.1483370627449201E-4</v>
          </cell>
          <cell r="V65">
            <v>-8.3810819718648996E-4</v>
          </cell>
          <cell r="W65">
            <v>-1.8561621363477299E-3</v>
          </cell>
          <cell r="Y65">
            <v>2.5333350730781099</v>
          </cell>
          <cell r="Z65">
            <v>2.5313803859784398</v>
          </cell>
          <cell r="AA65">
            <v>2.5303121410625899</v>
          </cell>
          <cell r="AE65">
            <v>3.7694164115195298E-4</v>
          </cell>
          <cell r="AF65">
            <v>-2.8805442409826198E-4</v>
          </cell>
          <cell r="AG65">
            <v>-7.9312802665805796E-4</v>
          </cell>
          <cell r="BY65">
            <v>5.5885450956806139E-3</v>
          </cell>
        </row>
        <row r="66">
          <cell r="O66">
            <v>2.5326711528669299</v>
          </cell>
          <cell r="P66">
            <v>2.5315448284661901</v>
          </cell>
          <cell r="Q66">
            <v>2.5276557080115101</v>
          </cell>
          <cell r="U66">
            <v>-7.1062812364255305E-4</v>
          </cell>
          <cell r="V66">
            <v>-1.2204044979707701E-3</v>
          </cell>
          <cell r="W66">
            <v>-2.70555404571897E-3</v>
          </cell>
          <cell r="Y66">
            <v>2.5333350730781099</v>
          </cell>
          <cell r="Z66">
            <v>2.5315448284661901</v>
          </cell>
          <cell r="AA66">
            <v>2.5303441512187401</v>
          </cell>
          <cell r="AE66">
            <v>-4.4852018876524301E-4</v>
          </cell>
          <cell r="AF66">
            <v>-1.2204044979707701E-3</v>
          </cell>
          <cell r="AG66">
            <v>-1.6424945107508099E-3</v>
          </cell>
          <cell r="BY66">
            <v>4.7630832657633241E-3</v>
          </cell>
        </row>
        <row r="67">
          <cell r="O67">
            <v>2.5326711528669299</v>
          </cell>
          <cell r="P67">
            <v>2.5312735359839298</v>
          </cell>
          <cell r="Q67">
            <v>2.52769204740965</v>
          </cell>
          <cell r="U67">
            <v>1.84470819377131E-3</v>
          </cell>
          <cell r="V67">
            <v>1.39989129675665E-3</v>
          </cell>
          <cell r="W67">
            <v>-1.37553678077464E-4</v>
          </cell>
          <cell r="Y67">
            <v>2.5333350730781099</v>
          </cell>
          <cell r="Z67">
            <v>2.5312735359839298</v>
          </cell>
          <cell r="AA67">
            <v>2.5303804906168699</v>
          </cell>
          <cell r="AE67">
            <v>2.10681612864879E-3</v>
          </cell>
          <cell r="AF67">
            <v>1.39989129675665E-3</v>
          </cell>
          <cell r="AG67">
            <v>9.2549240148967796E-4</v>
          </cell>
          <cell r="BY67">
            <v>7.3184195831771642E-3</v>
          </cell>
        </row>
        <row r="68">
          <cell r="O68">
            <v>2.5326711528669299</v>
          </cell>
          <cell r="P68">
            <v>2.5309186793198202</v>
          </cell>
          <cell r="Q68">
            <v>2.5274796964938702</v>
          </cell>
          <cell r="U68">
            <v>2.3932126986189201E-3</v>
          </cell>
          <cell r="V68">
            <v>1.8412252641745201E-3</v>
          </cell>
          <cell r="W68">
            <v>4.2532744333239199E-4</v>
          </cell>
          <cell r="Y68">
            <v>2.5333350730781099</v>
          </cell>
          <cell r="Z68">
            <v>2.5309186793198202</v>
          </cell>
          <cell r="AA68">
            <v>2.53016813970109</v>
          </cell>
          <cell r="AE68">
            <v>2.6553206334963301E-3</v>
          </cell>
          <cell r="AF68">
            <v>1.8412252641745201E-3</v>
          </cell>
          <cell r="AG68">
            <v>1.48835824812377E-3</v>
          </cell>
          <cell r="BY68">
            <v>7.3184195831771642E-3</v>
          </cell>
        </row>
        <row r="69">
          <cell r="O69">
            <v>2.5326711528669299</v>
          </cell>
          <cell r="P69">
            <v>2.5300703011008099</v>
          </cell>
          <cell r="Q69">
            <v>2.5271451083749499</v>
          </cell>
          <cell r="U69">
            <v>3.3202565905712002E-3</v>
          </cell>
          <cell r="V69">
            <v>2.6280703451783999E-3</v>
          </cell>
          <cell r="W69">
            <v>1.2683580013515001E-3</v>
          </cell>
          <cell r="Y69">
            <v>2.5333350730781099</v>
          </cell>
          <cell r="Z69">
            <v>2.5300703011008099</v>
          </cell>
          <cell r="AA69">
            <v>2.5298335515821702</v>
          </cell>
          <cell r="AE69">
            <v>3.58236452544851E-3</v>
          </cell>
          <cell r="AF69">
            <v>2.6280703451783999E-3</v>
          </cell>
          <cell r="AG69">
            <v>2.3314780711983299E-3</v>
          </cell>
          <cell r="BY69">
            <v>7.3184195831771642E-3</v>
          </cell>
        </row>
        <row r="70">
          <cell r="O70">
            <v>2.5326711528669299</v>
          </cell>
          <cell r="P70">
            <v>2.5298462169852902</v>
          </cell>
          <cell r="Q70">
            <v>2.5271246536934502</v>
          </cell>
          <cell r="U70">
            <v>1.9647646580054699E-3</v>
          </cell>
          <cell r="V70">
            <v>9.3731657733107097E-4</v>
          </cell>
          <cell r="W70">
            <v>-2.19522835366695E-4</v>
          </cell>
          <cell r="Y70">
            <v>2.5333350730781099</v>
          </cell>
          <cell r="Z70">
            <v>2.5298462169852902</v>
          </cell>
          <cell r="AA70">
            <v>2.5298130969006798</v>
          </cell>
          <cell r="AE70">
            <v>2.2268725928828201E-3</v>
          </cell>
          <cell r="AF70">
            <v>9.3731657733107097E-4</v>
          </cell>
          <cell r="AG70">
            <v>8.4373791429531904E-4</v>
          </cell>
          <cell r="BY70">
            <v>8.6739115157427639E-3</v>
          </cell>
        </row>
        <row r="71">
          <cell r="O71">
            <v>2.5326711528669299</v>
          </cell>
          <cell r="P71">
            <v>2.52943328807158</v>
          </cell>
          <cell r="Q71">
            <v>2.5272579538053499</v>
          </cell>
          <cell r="U71">
            <v>2.40939788518865E-3</v>
          </cell>
          <cell r="V71">
            <v>1.2933775465080999E-3</v>
          </cell>
          <cell r="W71">
            <v>2.1701637133121499E-4</v>
          </cell>
          <cell r="Y71">
            <v>2.5333350730781099</v>
          </cell>
          <cell r="Z71">
            <v>2.52943328807158</v>
          </cell>
          <cell r="AA71">
            <v>2.5299463970125702</v>
          </cell>
          <cell r="AE71">
            <v>2.67150582006605E-3</v>
          </cell>
          <cell r="AF71">
            <v>1.2933775465080999E-3</v>
          </cell>
          <cell r="AG71">
            <v>1.2802857225088101E-3</v>
          </cell>
          <cell r="BY71">
            <v>8.2292782885593843E-3</v>
          </cell>
        </row>
        <row r="72">
          <cell r="O72">
            <v>2.5326711528669299</v>
          </cell>
          <cell r="P72">
            <v>2.52915314136852</v>
          </cell>
          <cell r="Q72">
            <v>2.5280275179198002</v>
          </cell>
          <cell r="U72">
            <v>2.0915816866946E-3</v>
          </cell>
          <cell r="V72">
            <v>8.1232509501915197E-4</v>
          </cell>
          <cell r="W72">
            <v>-4.8053479180613499E-5</v>
          </cell>
          <cell r="Y72">
            <v>2.5333350730781099</v>
          </cell>
          <cell r="Z72">
            <v>2.52915314136852</v>
          </cell>
          <cell r="AA72">
            <v>2.5300565085490598</v>
          </cell>
          <cell r="AE72">
            <v>2.3536896215721002E-3</v>
          </cell>
          <cell r="AF72">
            <v>8.1232509501915197E-4</v>
          </cell>
          <cell r="AG72">
            <v>1.01515981970384E-3</v>
          </cell>
          <cell r="BY72">
            <v>8.547094487053394E-3</v>
          </cell>
        </row>
        <row r="73">
          <cell r="O73">
            <v>2.5326711528669299</v>
          </cell>
          <cell r="P73">
            <v>2.5286850753465799</v>
          </cell>
          <cell r="Q73">
            <v>2.5284974765127499</v>
          </cell>
          <cell r="U73">
            <v>3.3218946445302401E-3</v>
          </cell>
          <cell r="V73">
            <v>1.93187718823255E-3</v>
          </cell>
          <cell r="W73">
            <v>1.48671869256434E-3</v>
          </cell>
          <cell r="Y73">
            <v>2.5333350730781099</v>
          </cell>
          <cell r="Z73">
            <v>2.5286850753465799</v>
          </cell>
          <cell r="AA73">
            <v>2.5298613697741499</v>
          </cell>
          <cell r="AE73">
            <v>3.5840025794077099E-3</v>
          </cell>
          <cell r="AF73">
            <v>1.93187718823255E-3</v>
          </cell>
          <cell r="AG73">
            <v>2.2889950989909802E-3</v>
          </cell>
          <cell r="BY73">
            <v>7.3167815292177639E-3</v>
          </cell>
        </row>
        <row r="74">
          <cell r="O74">
            <v>2.5326711528669299</v>
          </cell>
          <cell r="P74">
            <v>2.5277022578922899</v>
          </cell>
          <cell r="Q74">
            <v>2.5289805359409598</v>
          </cell>
          <cell r="U74">
            <v>2.8962086985253599E-3</v>
          </cell>
          <cell r="V74">
            <v>1.3211058348957E-3</v>
          </cell>
          <cell r="W74">
            <v>1.2469147880087199E-3</v>
          </cell>
          <cell r="Y74">
            <v>2.5333350730781099</v>
          </cell>
          <cell r="Z74">
            <v>2.5277022578922899</v>
          </cell>
          <cell r="AA74">
            <v>2.52967661656806</v>
          </cell>
          <cell r="AE74">
            <v>3.1583166334026198E-3</v>
          </cell>
          <cell r="AF74">
            <v>1.3211058348957E-3</v>
          </cell>
          <cell r="AG74">
            <v>1.7861779505842601E-3</v>
          </cell>
          <cell r="BY74">
            <v>7.7424674752227642E-3</v>
          </cell>
        </row>
        <row r="75">
          <cell r="O75">
            <v>2.5326711528669299</v>
          </cell>
          <cell r="P75">
            <v>2.5271855360126998</v>
          </cell>
          <cell r="Q75">
            <v>2.52928296099557</v>
          </cell>
          <cell r="U75">
            <v>2.15737749762244E-3</v>
          </cell>
          <cell r="V75">
            <v>1.9353168298975499E-4</v>
          </cell>
          <cell r="W75">
            <v>6.99111379409867E-4</v>
          </cell>
          <cell r="Y75">
            <v>2.5333350730781099</v>
          </cell>
          <cell r="Z75">
            <v>2.5271855360126998</v>
          </cell>
          <cell r="AA75">
            <v>2.52928296099557</v>
          </cell>
          <cell r="AE75">
            <v>2.4194854324998401E-3</v>
          </cell>
          <cell r="AF75">
            <v>1.9353168298975499E-4</v>
          </cell>
          <cell r="AG75">
            <v>9.7431509870035899E-4</v>
          </cell>
          <cell r="BY75">
            <v>8.4812986761256849E-3</v>
          </cell>
        </row>
        <row r="76">
          <cell r="O76">
            <v>2.5326711528669299</v>
          </cell>
          <cell r="P76">
            <v>2.52639688748192</v>
          </cell>
          <cell r="Q76">
            <v>2.5289708579740502</v>
          </cell>
          <cell r="U76">
            <v>2.4059114444967399E-3</v>
          </cell>
          <cell r="V76">
            <v>2.37621178295376E-4</v>
          </cell>
          <cell r="W76">
            <v>1.0672219577337199E-3</v>
          </cell>
          <cell r="Y76">
            <v>2.5333350730781099</v>
          </cell>
          <cell r="Z76">
            <v>2.52639688748192</v>
          </cell>
          <cell r="AA76">
            <v>2.5289708579740502</v>
          </cell>
          <cell r="AE76">
            <v>2.6680193793740701E-3</v>
          </cell>
          <cell r="AF76">
            <v>2.37621178295376E-4</v>
          </cell>
          <cell r="AG76">
            <v>1.0672219577337199E-3</v>
          </cell>
          <cell r="BY76">
            <v>8.2327647292514856E-3</v>
          </cell>
        </row>
        <row r="77">
          <cell r="O77">
            <v>2.5326711528669299</v>
          </cell>
          <cell r="P77">
            <v>2.5266386671402801</v>
          </cell>
          <cell r="Q77">
            <v>2.5289561015621098</v>
          </cell>
          <cell r="U77">
            <v>8.8875967573389802E-4</v>
          </cell>
          <cell r="V77">
            <v>-1.5916452335458099E-3</v>
          </cell>
          <cell r="W77">
            <v>-5.7333327518318102E-4</v>
          </cell>
          <cell r="Y77">
            <v>2.5333350730781099</v>
          </cell>
          <cell r="Z77">
            <v>2.5266386671402801</v>
          </cell>
          <cell r="AA77">
            <v>2.5289561015621098</v>
          </cell>
          <cell r="AE77">
            <v>1.15086761061117E-3</v>
          </cell>
          <cell r="AF77">
            <v>-1.5916452335458099E-3</v>
          </cell>
          <cell r="AG77">
            <v>-5.7333327518318102E-4</v>
          </cell>
          <cell r="BY77">
            <v>9.7499164980142383E-3</v>
          </cell>
        </row>
        <row r="78">
          <cell r="O78">
            <v>2.5326711528669299</v>
          </cell>
          <cell r="P78">
            <v>2.5272206029397299</v>
          </cell>
          <cell r="Q78">
            <v>2.5290696411297802</v>
          </cell>
          <cell r="U78">
            <v>9.2639948308965905E-5</v>
          </cell>
          <cell r="V78">
            <v>-2.2920681640921699E-3</v>
          </cell>
          <cell r="W78">
            <v>-1.3752879670371301E-3</v>
          </cell>
          <cell r="Y78">
            <v>2.5333350730781099</v>
          </cell>
          <cell r="Z78">
            <v>2.5272206029397299</v>
          </cell>
          <cell r="AA78">
            <v>2.5290696411297802</v>
          </cell>
          <cell r="AE78">
            <v>3.54747883186381E-4</v>
          </cell>
          <cell r="AF78">
            <v>-2.2920681640921699E-3</v>
          </cell>
          <cell r="AG78">
            <v>-1.3752879670371301E-3</v>
          </cell>
          <cell r="BY78">
            <v>9.7499164980142383E-3</v>
          </cell>
        </row>
        <row r="79">
          <cell r="O79">
            <v>2.5326711528669299</v>
          </cell>
          <cell r="P79">
            <v>2.5278029660061101</v>
          </cell>
          <cell r="Q79">
            <v>2.5289366335534602</v>
          </cell>
          <cell r="U79">
            <v>1.01586383723112E-3</v>
          </cell>
          <cell r="V79">
            <v>-1.13855064373844E-3</v>
          </cell>
          <cell r="W79">
            <v>-4.0716926204696998E-4</v>
          </cell>
          <cell r="Y79">
            <v>2.5333350730781099</v>
          </cell>
          <cell r="Z79">
            <v>2.5278029660061101</v>
          </cell>
          <cell r="AA79">
            <v>2.5289366335534602</v>
          </cell>
          <cell r="AE79">
            <v>1.2779717721085101E-3</v>
          </cell>
          <cell r="AF79">
            <v>-1.13855064373844E-3</v>
          </cell>
          <cell r="AG79">
            <v>-4.0716926204696998E-4</v>
          </cell>
          <cell r="BY79">
            <v>1.0673140386936449E-2</v>
          </cell>
        </row>
        <row r="80">
          <cell r="O80">
            <v>2.5326711528669299</v>
          </cell>
          <cell r="P80">
            <v>2.52762011254663</v>
          </cell>
          <cell r="Q80">
            <v>2.5287331647659599</v>
          </cell>
          <cell r="U80">
            <v>2.6884250371706701E-3</v>
          </cell>
          <cell r="V80">
            <v>7.6442019169070501E-4</v>
          </cell>
          <cell r="W80">
            <v>1.21279905084421E-3</v>
          </cell>
          <cell r="Y80">
            <v>2.5333350730781099</v>
          </cell>
          <cell r="Z80">
            <v>2.52762011254663</v>
          </cell>
          <cell r="AA80">
            <v>2.5287331647659599</v>
          </cell>
          <cell r="AE80">
            <v>2.9505329720480398E-3</v>
          </cell>
          <cell r="AF80">
            <v>7.6442019169070501E-4</v>
          </cell>
          <cell r="AG80">
            <v>1.21279905084421E-3</v>
          </cell>
          <cell r="BY80">
            <v>1.234570158687558E-2</v>
          </cell>
        </row>
        <row r="81">
          <cell r="O81">
            <v>2.5326711528669299</v>
          </cell>
          <cell r="P81">
            <v>2.52765437586095</v>
          </cell>
          <cell r="Q81">
            <v>2.5285438319662599</v>
          </cell>
          <cell r="U81">
            <v>2.2737954437908399E-3</v>
          </cell>
          <cell r="V81">
            <v>2.7745107035506098E-4</v>
          </cell>
          <cell r="W81">
            <v>7.1770995903040703E-4</v>
          </cell>
          <cell r="Y81">
            <v>2.5333350730781099</v>
          </cell>
          <cell r="Z81">
            <v>2.52765437586095</v>
          </cell>
          <cell r="AA81">
            <v>2.5285438319662599</v>
          </cell>
          <cell r="AE81">
            <v>2.5359033786680899E-3</v>
          </cell>
          <cell r="AF81">
            <v>2.7745107035506098E-4</v>
          </cell>
          <cell r="AG81">
            <v>7.1770995903040703E-4</v>
          </cell>
          <cell r="BY81">
            <v>1.234570158687558E-2</v>
          </cell>
        </row>
        <row r="82">
          <cell r="O82">
            <v>2.5326711528669299</v>
          </cell>
          <cell r="P82">
            <v>2.5278279945038702</v>
          </cell>
          <cell r="Q82">
            <v>2.5284905679362</v>
          </cell>
          <cell r="U82">
            <v>1.4048662832498299E-3</v>
          </cell>
          <cell r="V82">
            <v>-5.77922618808698E-4</v>
          </cell>
          <cell r="W82">
            <v>-2.2609459390447701E-4</v>
          </cell>
          <cell r="Y82">
            <v>2.5333350730781099</v>
          </cell>
          <cell r="Z82">
            <v>2.5278279945038702</v>
          </cell>
          <cell r="AA82">
            <v>2.5284905679362</v>
          </cell>
          <cell r="AE82">
            <v>1.66697421812727E-3</v>
          </cell>
          <cell r="AF82">
            <v>-5.77922618808698E-4</v>
          </cell>
          <cell r="AG82">
            <v>-2.2609459390447701E-4</v>
          </cell>
          <cell r="BY82">
            <v>1.234570158687558E-2</v>
          </cell>
        </row>
        <row r="83">
          <cell r="O83">
            <v>2.5326711528669299</v>
          </cell>
          <cell r="P83">
            <v>2.5279088143067998</v>
          </cell>
          <cell r="Q83">
            <v>2.5282969448266899</v>
          </cell>
          <cell r="U83">
            <v>3.0017751305123101E-3</v>
          </cell>
          <cell r="V83">
            <v>1.08767152108268E-3</v>
          </cell>
          <cell r="W83">
            <v>1.3497489309353299E-3</v>
          </cell>
          <cell r="Y83">
            <v>2.5333350730781099</v>
          </cell>
          <cell r="Z83">
            <v>2.5279088143067998</v>
          </cell>
          <cell r="AA83">
            <v>2.5282969448266899</v>
          </cell>
          <cell r="AE83">
            <v>3.2638830653898801E-3</v>
          </cell>
          <cell r="AF83">
            <v>1.08767152108268E-3</v>
          </cell>
          <cell r="AG83">
            <v>1.3497489309353299E-3</v>
          </cell>
          <cell r="BY83">
            <v>1.234570158687558E-2</v>
          </cell>
        </row>
        <row r="84">
          <cell r="O84">
            <v>2.5326711528669299</v>
          </cell>
          <cell r="P84">
            <v>2.5275975679438001</v>
          </cell>
          <cell r="Q84">
            <v>2.5276499129180401</v>
          </cell>
          <cell r="U84">
            <v>4.1294585113777101E-3</v>
          </cell>
          <cell r="V84">
            <v>2.2473264249871202E-3</v>
          </cell>
          <cell r="W84">
            <v>2.4008528197355002E-3</v>
          </cell>
          <cell r="Y84">
            <v>2.5333350730781099</v>
          </cell>
          <cell r="Z84">
            <v>2.5275975679438001</v>
          </cell>
          <cell r="AA84">
            <v>2.5276499129180401</v>
          </cell>
          <cell r="AE84">
            <v>4.3915664462551296E-3</v>
          </cell>
          <cell r="AF84">
            <v>2.2473264249871202E-3</v>
          </cell>
          <cell r="AG84">
            <v>2.4008528197355002E-3</v>
          </cell>
          <cell r="BY84">
            <v>1.234570158687558E-2</v>
          </cell>
        </row>
        <row r="85">
          <cell r="O85">
            <v>2.5326711528669299</v>
          </cell>
          <cell r="P85">
            <v>2.52741022239463</v>
          </cell>
          <cell r="Q85">
            <v>2.5272978792036702</v>
          </cell>
          <cell r="U85">
            <v>2.8989652301198801E-3</v>
          </cell>
          <cell r="V85">
            <v>8.9370151660519504E-4</v>
          </cell>
          <cell r="W85">
            <v>9.1441068047636096E-4</v>
          </cell>
          <cell r="Y85">
            <v>2.5333350730781099</v>
          </cell>
          <cell r="Z85">
            <v>2.52741022239463</v>
          </cell>
          <cell r="AA85">
            <v>2.5272978792036702</v>
          </cell>
          <cell r="AE85">
            <v>3.16107316499732E-3</v>
          </cell>
          <cell r="AF85">
            <v>8.9370151660519504E-4</v>
          </cell>
          <cell r="AG85">
            <v>9.1441068047636096E-4</v>
          </cell>
          <cell r="BY85">
            <v>1.3576194868133419E-2</v>
          </cell>
        </row>
        <row r="86">
          <cell r="O86">
            <v>2.5326711528669299</v>
          </cell>
          <cell r="P86">
            <v>2.5269837595215301</v>
          </cell>
          <cell r="Q86">
            <v>2.52669032350172</v>
          </cell>
          <cell r="U86">
            <v>4.0952398323231996E-3</v>
          </cell>
          <cell r="V86">
            <v>2.01585336488997E-3</v>
          </cell>
          <cell r="W86">
            <v>1.9714024534915799E-3</v>
          </cell>
          <cell r="Y86">
            <v>2.5333350730781099</v>
          </cell>
          <cell r="Z86">
            <v>2.5269837595215301</v>
          </cell>
          <cell r="AA86">
            <v>2.52669032350172</v>
          </cell>
          <cell r="AE86">
            <v>4.3573477672005801E-3</v>
          </cell>
          <cell r="AF86">
            <v>2.01585336488997E-3</v>
          </cell>
          <cell r="AG86">
            <v>1.9714024534915799E-3</v>
          </cell>
          <cell r="BY86">
            <v>1.2379920265930169E-2</v>
          </cell>
        </row>
        <row r="87">
          <cell r="O87">
            <v>2.5326711528669299</v>
          </cell>
          <cell r="P87">
            <v>2.5261402814595</v>
          </cell>
          <cell r="Q87">
            <v>2.52638947429989</v>
          </cell>
          <cell r="U87">
            <v>4.22767808280865E-3</v>
          </cell>
          <cell r="V87">
            <v>1.9795422556511499E-3</v>
          </cell>
          <cell r="W87">
            <v>1.8634144582060201E-3</v>
          </cell>
          <cell r="Y87">
            <v>2.5333350730781099</v>
          </cell>
          <cell r="Z87">
            <v>2.5261402814595</v>
          </cell>
          <cell r="AA87">
            <v>2.52638947429989</v>
          </cell>
          <cell r="AE87">
            <v>4.4897860176859603E-3</v>
          </cell>
          <cell r="AF87">
            <v>1.9795422556511499E-3</v>
          </cell>
          <cell r="AG87">
            <v>1.8634144582060201E-3</v>
          </cell>
          <cell r="BY87">
            <v>1.2247482015444769E-2</v>
          </cell>
        </row>
        <row r="88">
          <cell r="O88">
            <v>2.5326711528669299</v>
          </cell>
          <cell r="P88">
            <v>2.5253788972420601</v>
          </cell>
          <cell r="Q88">
            <v>2.5262997500908999</v>
          </cell>
          <cell r="U88">
            <v>3.1036969565599098E-3</v>
          </cell>
          <cell r="V88">
            <v>5.2171693202275702E-4</v>
          </cell>
          <cell r="W88">
            <v>6.2035775261661203E-4</v>
          </cell>
          <cell r="Y88">
            <v>2.5333350730781099</v>
          </cell>
          <cell r="Z88">
            <v>2.5253788972420601</v>
          </cell>
          <cell r="AA88">
            <v>2.5262997500908999</v>
          </cell>
          <cell r="AE88">
            <v>3.3658048914373098E-3</v>
          </cell>
          <cell r="AF88">
            <v>5.2171693202275702E-4</v>
          </cell>
          <cell r="AG88">
            <v>6.2035775261661203E-4</v>
          </cell>
          <cell r="BY88">
            <v>1.337146314169347E-2</v>
          </cell>
        </row>
        <row r="89">
          <cell r="O89">
            <v>2.5326711528669299</v>
          </cell>
          <cell r="P89">
            <v>2.5246945176153299</v>
          </cell>
          <cell r="Q89">
            <v>2.5262487418107198</v>
          </cell>
          <cell r="U89">
            <v>3.7244801434702201E-3</v>
          </cell>
          <cell r="V89">
            <v>8.4105249643933204E-4</v>
          </cell>
          <cell r="W89">
            <v>1.20562551199307E-3</v>
          </cell>
          <cell r="Y89">
            <v>2.5333350730781099</v>
          </cell>
          <cell r="Z89">
            <v>2.5246945176153299</v>
          </cell>
          <cell r="AA89">
            <v>2.5262487418107198</v>
          </cell>
          <cell r="AE89">
            <v>3.9865880783476904E-3</v>
          </cell>
          <cell r="AF89">
            <v>8.4105249643933204E-4</v>
          </cell>
          <cell r="AG89">
            <v>1.20562551199307E-3</v>
          </cell>
          <cell r="BY89">
            <v>1.275067995478308E-2</v>
          </cell>
        </row>
        <row r="90">
          <cell r="O90">
            <v>2.5326711528669299</v>
          </cell>
          <cell r="P90">
            <v>2.5241454812191599</v>
          </cell>
          <cell r="Q90">
            <v>2.5258827968828999</v>
          </cell>
          <cell r="U90">
            <v>4.8644422681865997E-3</v>
          </cell>
          <cell r="V90">
            <v>1.7099771233978201E-3</v>
          </cell>
          <cell r="W90">
            <v>2.32539652710903E-3</v>
          </cell>
          <cell r="Y90">
            <v>2.5333350730781099</v>
          </cell>
          <cell r="Z90">
            <v>2.5241454812191599</v>
          </cell>
          <cell r="AA90">
            <v>2.5258827968828999</v>
          </cell>
          <cell r="AE90">
            <v>5.1265502030641103E-3</v>
          </cell>
          <cell r="AF90">
            <v>1.7099771233978201E-3</v>
          </cell>
          <cell r="AG90">
            <v>2.32539652710903E-3</v>
          </cell>
          <cell r="BY90">
            <v>1.161071783006672E-2</v>
          </cell>
        </row>
        <row r="91">
          <cell r="O91">
            <v>2.5326711528669299</v>
          </cell>
          <cell r="P91">
            <v>2.5239430781522301</v>
          </cell>
          <cell r="Q91">
            <v>2.52579872700659</v>
          </cell>
          <cell r="U91">
            <v>3.0751039855806601E-3</v>
          </cell>
          <cell r="V91">
            <v>-2.96851275136679E-4</v>
          </cell>
          <cell r="W91">
            <v>3.91190706649554E-4</v>
          </cell>
          <cell r="Y91">
            <v>2.5333350730781099</v>
          </cell>
          <cell r="Z91">
            <v>2.5239430781522301</v>
          </cell>
          <cell r="AA91">
            <v>2.52579872700659</v>
          </cell>
          <cell r="AE91">
            <v>3.3372119204580198E-3</v>
          </cell>
          <cell r="AF91">
            <v>-2.96851275136679E-4</v>
          </cell>
          <cell r="AG91">
            <v>3.91190706649554E-4</v>
          </cell>
          <cell r="BY91">
            <v>1.3400056112673061E-2</v>
          </cell>
        </row>
        <row r="92">
          <cell r="O92">
            <v>2.5326711528669299</v>
          </cell>
          <cell r="P92">
            <v>2.5234380563088399</v>
          </cell>
          <cell r="Q92">
            <v>2.5256330254063601</v>
          </cell>
          <cell r="U92">
            <v>3.4036944116619199E-3</v>
          </cell>
          <cell r="V92">
            <v>-4.8450831722585002E-5</v>
          </cell>
          <cell r="W92">
            <v>6.8649721492334095E-4</v>
          </cell>
          <cell r="Y92">
            <v>2.5333350730781099</v>
          </cell>
          <cell r="Z92">
            <v>2.5234380563088399</v>
          </cell>
          <cell r="AA92">
            <v>2.5256330254063601</v>
          </cell>
          <cell r="AE92">
            <v>3.6658023465392202E-3</v>
          </cell>
          <cell r="AF92">
            <v>-4.8450831722585002E-5</v>
          </cell>
          <cell r="AG92">
            <v>6.8649721492334095E-4</v>
          </cell>
          <cell r="BY92">
            <v>1.307146568659176E-2</v>
          </cell>
        </row>
        <row r="93">
          <cell r="O93">
            <v>2.5326711528669299</v>
          </cell>
          <cell r="P93">
            <v>2.5235358426857801</v>
          </cell>
          <cell r="Q93">
            <v>2.5257223284962902</v>
          </cell>
          <cell r="U93">
            <v>2.6145895927487798E-3</v>
          </cell>
          <cell r="V93">
            <v>-1.03766807790165E-3</v>
          </cell>
          <cell r="W93">
            <v>-1.68213399896224E-4</v>
          </cell>
          <cell r="Y93">
            <v>2.5333350730781099</v>
          </cell>
          <cell r="Z93">
            <v>2.5235358426857801</v>
          </cell>
          <cell r="AA93">
            <v>2.5257223284962902</v>
          </cell>
          <cell r="AE93">
            <v>2.8766975276260502E-3</v>
          </cell>
          <cell r="AF93">
            <v>-1.03766807790165E-3</v>
          </cell>
          <cell r="AG93">
            <v>-1.68213399896224E-4</v>
          </cell>
          <cell r="BY93">
            <v>1.3860570505504689E-2</v>
          </cell>
        </row>
        <row r="94">
          <cell r="O94">
            <v>2.5326711528669299</v>
          </cell>
          <cell r="P94">
            <v>2.5245150711796902</v>
          </cell>
          <cell r="Q94">
            <v>2.5260563195617398</v>
          </cell>
          <cell r="U94">
            <v>2.54590169946049E-4</v>
          </cell>
          <cell r="V94">
            <v>-3.35891700232445E-3</v>
          </cell>
          <cell r="W94">
            <v>-2.4928547519703801E-3</v>
          </cell>
          <cell r="Y94">
            <v>2.5333350730781099</v>
          </cell>
          <cell r="Z94">
            <v>2.5245150711796902</v>
          </cell>
          <cell r="AA94">
            <v>2.5260563195617398</v>
          </cell>
          <cell r="AE94">
            <v>5.1669810482331702E-4</v>
          </cell>
          <cell r="AF94">
            <v>-3.35891700232445E-3</v>
          </cell>
          <cell r="AG94">
            <v>-2.4928547519703801E-3</v>
          </cell>
          <cell r="BY94">
            <v>1.3860570505504689E-2</v>
          </cell>
        </row>
        <row r="95">
          <cell r="O95">
            <v>2.5326711528669299</v>
          </cell>
          <cell r="P95">
            <v>2.5253265763504</v>
          </cell>
          <cell r="Q95">
            <v>2.5263683993725099</v>
          </cell>
          <cell r="U95">
            <v>-3.0933227080365901E-4</v>
          </cell>
          <cell r="V95">
            <v>-3.5348764360034601E-3</v>
          </cell>
          <cell r="W95">
            <v>-2.9245500746250801E-3</v>
          </cell>
          <cell r="Y95">
            <v>2.5333350730781099</v>
          </cell>
          <cell r="Z95">
            <v>2.5253265763504</v>
          </cell>
          <cell r="AA95">
            <v>2.5263683993725099</v>
          </cell>
          <cell r="AE95">
            <v>-4.7224335926313798E-5</v>
          </cell>
          <cell r="AF95">
            <v>-3.5348764360034601E-3</v>
          </cell>
          <cell r="AG95">
            <v>-2.9245500746250801E-3</v>
          </cell>
          <cell r="BY95">
            <v>1.329664806475496E-2</v>
          </cell>
        </row>
        <row r="96">
          <cell r="O96">
            <v>2.5326711528669299</v>
          </cell>
          <cell r="P96">
            <v>2.52627450270495</v>
          </cell>
          <cell r="Q96">
            <v>2.5266291311132401</v>
          </cell>
          <cell r="U96">
            <v>3.4413210453445399E-4</v>
          </cell>
          <cell r="V96">
            <v>-2.56001379341972E-3</v>
          </cell>
          <cell r="W96">
            <v>-2.14754904964716E-3</v>
          </cell>
          <cell r="Y96">
            <v>2.5333350730781099</v>
          </cell>
          <cell r="Z96">
            <v>2.52627450270495</v>
          </cell>
          <cell r="AA96">
            <v>2.5266291311132401</v>
          </cell>
          <cell r="AE96">
            <v>6.0624003941169404E-4</v>
          </cell>
          <cell r="AF96">
            <v>-2.56001379341972E-3</v>
          </cell>
          <cell r="AG96">
            <v>-2.14754904964716E-3</v>
          </cell>
          <cell r="BY96">
            <v>1.3950112440093079E-2</v>
          </cell>
        </row>
        <row r="97">
          <cell r="O97">
            <v>2.5326711528669299</v>
          </cell>
          <cell r="P97">
            <v>2.5269403839079998</v>
          </cell>
          <cell r="Q97">
            <v>2.5265403326837501</v>
          </cell>
          <cell r="U97">
            <v>1.5908531054437799E-3</v>
          </cell>
          <cell r="V97">
            <v>-9.3799539635803304E-4</v>
          </cell>
          <cell r="W97">
            <v>-7.9762920908492603E-4</v>
          </cell>
          <cell r="Y97">
            <v>2.5333350730781099</v>
          </cell>
          <cell r="Z97">
            <v>2.5269403839079998</v>
          </cell>
          <cell r="AA97">
            <v>2.5265403326837501</v>
          </cell>
          <cell r="AE97">
            <v>1.85296104032135E-3</v>
          </cell>
          <cell r="AF97">
            <v>-9.3799539635803304E-4</v>
          </cell>
          <cell r="AG97">
            <v>-7.9762920908492603E-4</v>
          </cell>
          <cell r="BY97">
            <v>1.5196833441002549E-2</v>
          </cell>
        </row>
        <row r="98">
          <cell r="O98">
            <v>2.5326711528669299</v>
          </cell>
          <cell r="P98">
            <v>2.5268803366266699</v>
          </cell>
          <cell r="Q98">
            <v>2.5261296169343699</v>
          </cell>
          <cell r="U98">
            <v>3.34155295741172E-3</v>
          </cell>
          <cell r="V98">
            <v>1.0762520077475699E-3</v>
          </cell>
          <cell r="W98">
            <v>9.1792500601552195E-4</v>
          </cell>
          <cell r="Y98">
            <v>2.5333350730781099</v>
          </cell>
          <cell r="Z98">
            <v>2.5268803366266699</v>
          </cell>
          <cell r="AA98">
            <v>2.5261296169343699</v>
          </cell>
          <cell r="AE98">
            <v>3.6036608922890901E-3</v>
          </cell>
          <cell r="AF98">
            <v>1.0762520077475699E-3</v>
          </cell>
          <cell r="AG98">
            <v>9.1792500601552195E-4</v>
          </cell>
          <cell r="BY98">
            <v>1.6947533292970357E-2</v>
          </cell>
        </row>
        <row r="99">
          <cell r="O99">
            <v>2.5326711528669299</v>
          </cell>
          <cell r="P99">
            <v>2.5269913594209599</v>
          </cell>
          <cell r="Q99">
            <v>2.52584293851814</v>
          </cell>
          <cell r="U99">
            <v>3.2845787433722698E-3</v>
          </cell>
          <cell r="V99">
            <v>9.9551467085654791E-4</v>
          </cell>
          <cell r="W99">
            <v>6.9837704210563302E-4</v>
          </cell>
          <cell r="Y99">
            <v>2.5333350730781099</v>
          </cell>
          <cell r="Z99">
            <v>2.5269913594209599</v>
          </cell>
          <cell r="AA99">
            <v>2.52584293851814</v>
          </cell>
          <cell r="AE99">
            <v>3.5466866782496902E-3</v>
          </cell>
          <cell r="AF99">
            <v>9.9551467085654791E-4</v>
          </cell>
          <cell r="AG99">
            <v>6.9837704210563302E-4</v>
          </cell>
          <cell r="BY99">
            <v>1.6947533292970357E-2</v>
          </cell>
        </row>
        <row r="100">
          <cell r="O100">
            <v>2.5326711528669299</v>
          </cell>
          <cell r="P100">
            <v>2.5273468140933901</v>
          </cell>
          <cell r="Q100">
            <v>2.5257461476562799</v>
          </cell>
          <cell r="U100">
            <v>3.4551146703275001E-3</v>
          </cell>
          <cell r="V100">
            <v>1.20998633697659E-3</v>
          </cell>
          <cell r="W100">
            <v>7.5542129293344501E-4</v>
          </cell>
          <cell r="Y100">
            <v>2.5333350730781099</v>
          </cell>
          <cell r="Z100">
            <v>2.5273468140933901</v>
          </cell>
          <cell r="AA100">
            <v>2.5257461476562799</v>
          </cell>
          <cell r="AE100">
            <v>3.7172226052048698E-3</v>
          </cell>
          <cell r="AF100">
            <v>1.20998633697659E-3</v>
          </cell>
          <cell r="AG100">
            <v>7.5542129293344501E-4</v>
          </cell>
          <cell r="BY100">
            <v>1.6947533292970357E-2</v>
          </cell>
        </row>
        <row r="101">
          <cell r="O101">
            <v>2.5326711528669299</v>
          </cell>
          <cell r="P101">
            <v>2.5270726553526099</v>
          </cell>
          <cell r="Q101">
            <v>2.5255078667524198</v>
          </cell>
          <cell r="U101">
            <v>4.1615163100632499E-3</v>
          </cell>
          <cell r="V101">
            <v>2.0570412772292499E-3</v>
          </cell>
          <cell r="W101">
            <v>1.42350197654029E-3</v>
          </cell>
          <cell r="Y101">
            <v>2.5333350730781099</v>
          </cell>
          <cell r="Z101">
            <v>2.5270726553526099</v>
          </cell>
          <cell r="AA101">
            <v>2.5255078667524198</v>
          </cell>
          <cell r="AE101">
            <v>4.4236242449406903E-3</v>
          </cell>
          <cell r="AF101">
            <v>2.0570412772292499E-3</v>
          </cell>
          <cell r="AG101">
            <v>1.42350197654029E-3</v>
          </cell>
          <cell r="BY101">
            <v>1.6947533292970357E-2</v>
          </cell>
        </row>
        <row r="102">
          <cell r="O102">
            <v>2.5326711528669299</v>
          </cell>
          <cell r="P102">
            <v>2.5269851864185502</v>
          </cell>
          <cell r="Q102">
            <v>2.5252116213637001</v>
          </cell>
          <cell r="U102">
            <v>3.7502943626665599E-3</v>
          </cell>
          <cell r="V102">
            <v>1.53733654849427E-3</v>
          </cell>
          <cell r="W102">
            <v>9.1793478206157904E-4</v>
          </cell>
          <cell r="Y102">
            <v>2.5333350730781099</v>
          </cell>
          <cell r="Z102">
            <v>2.5269851864185502</v>
          </cell>
          <cell r="AA102">
            <v>2.5252116213637001</v>
          </cell>
          <cell r="AE102">
            <v>4.0124022975440198E-3</v>
          </cell>
          <cell r="AF102">
            <v>1.53733654849427E-3</v>
          </cell>
          <cell r="AG102">
            <v>9.1793478206157904E-4</v>
          </cell>
          <cell r="BY102">
            <v>1.6947533292970357E-2</v>
          </cell>
        </row>
        <row r="103">
          <cell r="O103">
            <v>2.5326711528669299</v>
          </cell>
          <cell r="P103">
            <v>2.5267657082445298</v>
          </cell>
          <cell r="Q103">
            <v>2.5251507754651601</v>
          </cell>
          <cell r="U103">
            <v>3.4838237312015199E-3</v>
          </cell>
          <cell r="V103">
            <v>1.23625256799183E-3</v>
          </cell>
          <cell r="W103">
            <v>5.3415595727416599E-4</v>
          </cell>
          <cell r="Y103">
            <v>2.5333350730781099</v>
          </cell>
          <cell r="Z103">
            <v>2.5267657082445298</v>
          </cell>
          <cell r="AA103">
            <v>2.5251507754651601</v>
          </cell>
          <cell r="AE103">
            <v>3.7459316660786901E-3</v>
          </cell>
          <cell r="AF103">
            <v>1.23625256799183E-3</v>
          </cell>
          <cell r="AG103">
            <v>5.3415595727416599E-4</v>
          </cell>
          <cell r="BY103">
            <v>1.6947533292970357E-2</v>
          </cell>
        </row>
        <row r="104">
          <cell r="O104">
            <v>2.5326711528669299</v>
          </cell>
          <cell r="P104">
            <v>2.5266489109363102</v>
          </cell>
          <cell r="Q104">
            <v>2.525581991058</v>
          </cell>
          <cell r="U104">
            <v>7.1597656273669698E-4</v>
          </cell>
          <cell r="V104">
            <v>-1.618452136087E-3</v>
          </cell>
          <cell r="W104">
            <v>-2.25778686760652E-3</v>
          </cell>
          <cell r="Y104">
            <v>2.5333350730781099</v>
          </cell>
          <cell r="Z104">
            <v>2.5266489109363102</v>
          </cell>
          <cell r="AA104">
            <v>2.525581991058</v>
          </cell>
          <cell r="AE104">
            <v>9.7808449761404301E-4</v>
          </cell>
          <cell r="AF104">
            <v>-1.618452136087E-3</v>
          </cell>
          <cell r="AG104">
            <v>-2.25778686760652E-3</v>
          </cell>
          <cell r="BY104">
            <v>1.6947533292970357E-2</v>
          </cell>
        </row>
        <row r="105">
          <cell r="O105">
            <v>2.5326711528669299</v>
          </cell>
          <cell r="P105">
            <v>2.5260369250329799</v>
          </cell>
          <cell r="Q105">
            <v>2.5256817506916902</v>
          </cell>
          <cell r="U105">
            <v>2.1092081329449701E-3</v>
          </cell>
          <cell r="V105">
            <v>-2.7144566991143003E-4</v>
          </cell>
          <cell r="W105">
            <v>-6.9380162112006095E-4</v>
          </cell>
          <cell r="Y105">
            <v>2.5333350730781099</v>
          </cell>
          <cell r="Z105">
            <v>2.5260369250329799</v>
          </cell>
          <cell r="AA105">
            <v>2.5256817506916902</v>
          </cell>
          <cell r="AE105">
            <v>2.37131606782226E-3</v>
          </cell>
          <cell r="AF105">
            <v>-2.7144566991143003E-4</v>
          </cell>
          <cell r="AG105">
            <v>-6.9380162112006095E-4</v>
          </cell>
          <cell r="BY105">
            <v>1.8340764863178559E-2</v>
          </cell>
        </row>
        <row r="106">
          <cell r="O106">
            <v>2.5326711528669299</v>
          </cell>
          <cell r="P106">
            <v>2.5259798072784601</v>
          </cell>
          <cell r="Q106">
            <v>2.5261271549917099</v>
          </cell>
          <cell r="U106">
            <v>5.6975894914276695E-4</v>
          </cell>
          <cell r="V106">
            <v>-2.0531366736836099E-3</v>
          </cell>
          <cell r="W106">
            <v>-2.1937519235330299E-3</v>
          </cell>
          <cell r="Y106">
            <v>2.5333350730781099</v>
          </cell>
          <cell r="Z106">
            <v>2.5259798072784601</v>
          </cell>
          <cell r="AA106">
            <v>2.5261271549917099</v>
          </cell>
          <cell r="AE106">
            <v>8.3186688401993896E-4</v>
          </cell>
          <cell r="AF106">
            <v>-2.0531366736836099E-3</v>
          </cell>
          <cell r="AG106">
            <v>-2.1937519235330299E-3</v>
          </cell>
          <cell r="BY106">
            <v>1.6801315679376289E-2</v>
          </cell>
        </row>
        <row r="107">
          <cell r="O107">
            <v>2.5326711528669299</v>
          </cell>
          <cell r="P107">
            <v>2.52641523693597</v>
          </cell>
          <cell r="Q107">
            <v>2.52667781042198</v>
          </cell>
          <cell r="U107">
            <v>-1.29653894612747E-4</v>
          </cell>
          <cell r="V107">
            <v>-2.7751613802055402E-3</v>
          </cell>
          <cell r="W107">
            <v>-2.7168301871452402E-3</v>
          </cell>
          <cell r="Y107">
            <v>2.5333350730781099</v>
          </cell>
          <cell r="Z107">
            <v>2.52641523693597</v>
          </cell>
          <cell r="AA107">
            <v>2.52667781042198</v>
          </cell>
          <cell r="AE107">
            <v>1.32454040264493E-4</v>
          </cell>
          <cell r="AF107">
            <v>-2.7751613802055402E-3</v>
          </cell>
          <cell r="AG107">
            <v>-2.7168301871452402E-3</v>
          </cell>
          <cell r="BY107">
            <v>1.6101902835620859E-2</v>
          </cell>
        </row>
        <row r="108">
          <cell r="O108">
            <v>2.5326711528669299</v>
          </cell>
          <cell r="P108">
            <v>2.5270482571038202</v>
          </cell>
          <cell r="Q108">
            <v>2.5269642968652501</v>
          </cell>
          <cell r="U108">
            <v>8.36909157846322E-4</v>
          </cell>
          <cell r="V108">
            <v>-1.63623268540362E-3</v>
          </cell>
          <cell r="W108">
            <v>-1.53230683888111E-3</v>
          </cell>
          <cell r="Y108">
            <v>2.5333350730781099</v>
          </cell>
          <cell r="Z108">
            <v>2.5270482571038202</v>
          </cell>
          <cell r="AA108">
            <v>2.5269642968652501</v>
          </cell>
          <cell r="AE108">
            <v>1.0990170927234701E-3</v>
          </cell>
          <cell r="AF108">
            <v>-1.63623268540362E-3</v>
          </cell>
          <cell r="AG108">
            <v>-1.53230683888111E-3</v>
          </cell>
          <cell r="BY108">
            <v>1.706846588807983E-2</v>
          </cell>
        </row>
        <row r="109">
          <cell r="O109">
            <v>2.5326711528669299</v>
          </cell>
          <cell r="P109">
            <v>2.5277366529141898</v>
          </cell>
          <cell r="Q109">
            <v>2.52736400616757</v>
          </cell>
          <cell r="U109">
            <v>5.6128555771000905E-4</v>
          </cell>
          <cell r="V109">
            <v>-1.66132705072316E-3</v>
          </cell>
          <cell r="W109">
            <v>-1.6945522307900099E-3</v>
          </cell>
          <cell r="Y109">
            <v>2.5333350730781099</v>
          </cell>
          <cell r="Z109">
            <v>2.5277366529141898</v>
          </cell>
          <cell r="AA109">
            <v>2.52736400616757</v>
          </cell>
          <cell r="AE109">
            <v>8.2339349258749798E-4</v>
          </cell>
          <cell r="AF109">
            <v>-1.66132705072316E-3</v>
          </cell>
          <cell r="AG109">
            <v>-1.6945522307900099E-3</v>
          </cell>
          <cell r="BY109">
            <v>1.6792842287943532E-2</v>
          </cell>
        </row>
        <row r="110">
          <cell r="O110">
            <v>2.5326711528669299</v>
          </cell>
          <cell r="P110">
            <v>2.52891289902088</v>
          </cell>
          <cell r="Q110">
            <v>2.52812985655713</v>
          </cell>
          <cell r="U110">
            <v>-1.1944244551764301E-3</v>
          </cell>
          <cell r="V110">
            <v>-3.1446631340068202E-3</v>
          </cell>
          <cell r="W110">
            <v>-3.29209709127878E-3</v>
          </cell>
          <cell r="Y110">
            <v>2.5333350730781099</v>
          </cell>
          <cell r="Z110">
            <v>2.52891289902088</v>
          </cell>
          <cell r="AA110">
            <v>2.52812985655713</v>
          </cell>
          <cell r="AE110">
            <v>-9.3231652029902498E-4</v>
          </cell>
          <cell r="AF110">
            <v>-3.1446631340068202E-3</v>
          </cell>
          <cell r="AG110">
            <v>-3.29209709127878E-3</v>
          </cell>
          <cell r="BY110">
            <v>1.5037132275056934E-2</v>
          </cell>
        </row>
        <row r="111">
          <cell r="O111">
            <v>2.5326711528669299</v>
          </cell>
          <cell r="P111">
            <v>2.53022029620942</v>
          </cell>
          <cell r="Q111">
            <v>2.5286464757810201</v>
          </cell>
          <cell r="U111">
            <v>-1.00874952985813E-3</v>
          </cell>
          <cell r="V111">
            <v>-2.49376074302101E-3</v>
          </cell>
          <cell r="W111">
            <v>-2.8034446859293502E-3</v>
          </cell>
          <cell r="Y111">
            <v>2.5333350730781099</v>
          </cell>
          <cell r="Z111">
            <v>2.53022029620942</v>
          </cell>
          <cell r="AA111">
            <v>2.5286464757810201</v>
          </cell>
          <cell r="AE111">
            <v>-7.4664159498074895E-4</v>
          </cell>
          <cell r="AF111">
            <v>-2.49376074302101E-3</v>
          </cell>
          <cell r="AG111">
            <v>-2.8034446859293502E-3</v>
          </cell>
          <cell r="BY111">
            <v>1.5222807200375315E-2</v>
          </cell>
        </row>
        <row r="112">
          <cell r="O112">
            <v>2.5326711528669299</v>
          </cell>
          <cell r="P112">
            <v>2.5307502635051602</v>
          </cell>
          <cell r="Q112">
            <v>2.5288677249618599</v>
          </cell>
          <cell r="U112">
            <v>1.6521116510880801E-3</v>
          </cell>
          <cell r="V112">
            <v>6.8394676997306702E-4</v>
          </cell>
          <cell r="W112">
            <v>6.1743992113024406E-5</v>
          </cell>
          <cell r="Y112">
            <v>2.5333350730781099</v>
          </cell>
          <cell r="Z112">
            <v>2.5307502635051602</v>
          </cell>
          <cell r="AA112">
            <v>2.5288677249618599</v>
          </cell>
          <cell r="AE112">
            <v>1.91421958596553E-3</v>
          </cell>
          <cell r="AF112">
            <v>6.8394676997306702E-4</v>
          </cell>
          <cell r="AG112">
            <v>6.1743992113024406E-5</v>
          </cell>
          <cell r="BY112">
            <v>1.7883668381321546E-2</v>
          </cell>
        </row>
        <row r="113">
          <cell r="O113">
            <v>2.5326711528669299</v>
          </cell>
          <cell r="P113">
            <v>2.5311822757582001</v>
          </cell>
          <cell r="Q113">
            <v>2.5289739920013701</v>
          </cell>
          <cell r="U113">
            <v>1.77357672815272E-3</v>
          </cell>
          <cell r="V113">
            <v>1.0148449158211301E-3</v>
          </cell>
          <cell r="W113">
            <v>2.7070232068315798E-4</v>
          </cell>
          <cell r="Y113">
            <v>2.5333350730781099</v>
          </cell>
          <cell r="Z113">
            <v>2.5311822757582001</v>
          </cell>
          <cell r="AA113">
            <v>2.5289739920013701</v>
          </cell>
          <cell r="AE113">
            <v>2.0356846630300201E-3</v>
          </cell>
          <cell r="AF113">
            <v>1.0148449158211301E-3</v>
          </cell>
          <cell r="AG113">
            <v>2.7070232068315798E-4</v>
          </cell>
          <cell r="BY113">
            <v>1.7883668381321546E-2</v>
          </cell>
        </row>
        <row r="114">
          <cell r="O114">
            <v>2.5326711528669299</v>
          </cell>
          <cell r="P114">
            <v>2.5293704566061401</v>
          </cell>
          <cell r="Q114">
            <v>2.5280096837712298</v>
          </cell>
          <cell r="U114">
            <v>7.9006359184769399E-3</v>
          </cell>
          <cell r="V114">
            <v>7.3125947468219302E-3</v>
          </cell>
          <cell r="W114">
            <v>6.4397822168636596E-3</v>
          </cell>
          <cell r="Y114">
            <v>2.5333350730781099</v>
          </cell>
          <cell r="Z114">
            <v>2.5307819452069502</v>
          </cell>
          <cell r="AA114">
            <v>2.5287154280716302</v>
          </cell>
          <cell r="AE114">
            <v>2.5611343260488399E-3</v>
          </cell>
          <cell r="AF114">
            <v>1.71098521951647E-3</v>
          </cell>
          <cell r="AG114">
            <v>8.3817268955812001E-4</v>
          </cell>
          <cell r="BY114">
            <v>1.7883668381321546E-2</v>
          </cell>
        </row>
        <row r="115">
          <cell r="O115">
            <v>2.5326711528669299</v>
          </cell>
          <cell r="P115">
            <v>2.5279019514391501</v>
          </cell>
          <cell r="Q115">
            <v>2.5269694382360699</v>
          </cell>
          <cell r="U115">
            <v>7.9366438260066903E-3</v>
          </cell>
          <cell r="V115">
            <v>6.6325467903798003E-3</v>
          </cell>
          <cell r="W115">
            <v>6.09441327856755E-3</v>
          </cell>
          <cell r="Y115">
            <v>2.5333350730781099</v>
          </cell>
          <cell r="Z115">
            <v>2.5307149047536699</v>
          </cell>
          <cell r="AA115">
            <v>2.52837591489333</v>
          </cell>
          <cell r="AE115">
            <v>2.6366127158755099E-3</v>
          </cell>
          <cell r="AF115">
            <v>1.62829158970248E-3</v>
          </cell>
          <cell r="AG115">
            <v>8.1140520839927002E-4</v>
          </cell>
          <cell r="BY115">
            <v>1.7883668381321546E-2</v>
          </cell>
        </row>
        <row r="116">
          <cell r="O116">
            <v>2.5326711528669299</v>
          </cell>
          <cell r="P116">
            <v>2.5262635766891202</v>
          </cell>
          <cell r="Q116">
            <v>2.5261216919837901</v>
          </cell>
          <cell r="U116">
            <v>7.0634438071959403E-3</v>
          </cell>
          <cell r="V116">
            <v>5.1785968772472303E-3</v>
          </cell>
          <cell r="W116">
            <v>4.8096406202911097E-3</v>
          </cell>
          <cell r="Y116">
            <v>2.5333350730781099</v>
          </cell>
          <cell r="Z116">
            <v>2.5304969078713899</v>
          </cell>
          <cell r="AA116">
            <v>2.5282383575749199</v>
          </cell>
          <cell r="AE116">
            <v>1.69346750376281E-3</v>
          </cell>
          <cell r="AF116">
            <v>6.5865601109672801E-4</v>
          </cell>
          <cell r="AG116">
            <v>-2.6601212014804298E-4</v>
          </cell>
          <cell r="BY116">
            <v>1.7883668381321546E-2</v>
          </cell>
        </row>
        <row r="117">
          <cell r="O117">
            <v>2.5326711528669299</v>
          </cell>
          <cell r="P117">
            <v>2.5242817634032302</v>
          </cell>
          <cell r="Q117">
            <v>2.5253485001696001</v>
          </cell>
          <cell r="U117">
            <v>7.7250920694122201E-3</v>
          </cell>
          <cell r="V117">
            <v>5.1919186063090397E-3</v>
          </cell>
          <cell r="W117">
            <v>5.1357531724308802E-3</v>
          </cell>
          <cell r="Y117">
            <v>2.5333350730781099</v>
          </cell>
          <cell r="Z117">
            <v>2.52992595249435</v>
          </cell>
          <cell r="AA117">
            <v>2.52817059471516</v>
          </cell>
          <cell r="AE117">
            <v>2.3890664940809099E-3</v>
          </cell>
          <cell r="AF117">
            <v>1.2681108563008801E-3</v>
          </cell>
          <cell r="AG117">
            <v>3.75179984050135E-4</v>
          </cell>
          <cell r="BY117">
            <v>1.7883668381321546E-2</v>
          </cell>
        </row>
        <row r="118">
          <cell r="O118">
            <v>2.5326711528669299</v>
          </cell>
          <cell r="P118">
            <v>2.5238428000829201</v>
          </cell>
          <cell r="Q118">
            <v>2.5254455285933699</v>
          </cell>
          <cell r="U118">
            <v>2.57306953842852E-3</v>
          </cell>
          <cell r="V118">
            <v>-7.4489576561609003E-4</v>
          </cell>
          <cell r="W118">
            <v>-3.2239481938641402E-4</v>
          </cell>
          <cell r="Y118">
            <v>2.5333350730781099</v>
          </cell>
          <cell r="Z118">
            <v>2.5294869891740301</v>
          </cell>
          <cell r="AA118">
            <v>2.5282676231389298</v>
          </cell>
          <cell r="AE118">
            <v>2.8351774733058502E-3</v>
          </cell>
          <cell r="AF118">
            <v>1.4885666303307099E-3</v>
          </cell>
          <cell r="AG118">
            <v>7.9448820249703302E-4</v>
          </cell>
          <cell r="BY118">
            <v>1.7883668381321546E-2</v>
          </cell>
        </row>
        <row r="119">
          <cell r="O119">
            <v>2.5326711528669299</v>
          </cell>
          <cell r="P119">
            <v>2.5235245451461599</v>
          </cell>
          <cell r="Q119">
            <v>2.52563059903017</v>
          </cell>
          <cell r="U119">
            <v>1.81938008072948E-3</v>
          </cell>
          <cell r="V119">
            <v>-1.67249666939646E-3</v>
          </cell>
          <cell r="W119">
            <v>-1.0376632196310799E-3</v>
          </cell>
          <cell r="Y119">
            <v>2.5333350730781099</v>
          </cell>
          <cell r="Z119">
            <v>2.52916873423727</v>
          </cell>
          <cell r="AA119">
            <v>2.5284526935757299</v>
          </cell>
          <cell r="AE119">
            <v>2.0814880156068902E-3</v>
          </cell>
          <cell r="AF119">
            <v>5.6135375144703004E-4</v>
          </cell>
          <cell r="AG119">
            <v>7.9176915203459406E-5</v>
          </cell>
          <cell r="BY119">
            <v>1.7883668381321546E-2</v>
          </cell>
        </row>
        <row r="120">
          <cell r="O120">
            <v>2.5326711528669299</v>
          </cell>
          <cell r="P120">
            <v>2.5230289611551102</v>
          </cell>
          <cell r="Q120">
            <v>2.5259709300879898</v>
          </cell>
          <cell r="U120">
            <v>7.6191618925778703E-4</v>
          </cell>
          <cell r="V120">
            <v>-2.8560678621280199E-3</v>
          </cell>
          <cell r="W120">
            <v>-2.0218475040622102E-3</v>
          </cell>
          <cell r="Y120">
            <v>2.5333350730781099</v>
          </cell>
          <cell r="Z120">
            <v>2.5286731502462199</v>
          </cell>
          <cell r="AA120">
            <v>2.5287930246335502</v>
          </cell>
          <cell r="AE120">
            <v>1.02402412413514E-3</v>
          </cell>
          <cell r="AF120">
            <v>-6.2193603314184801E-4</v>
          </cell>
          <cell r="AG120">
            <v>-9.0508916215530002E-4</v>
          </cell>
          <cell r="BY120">
            <v>1.7883668381321546E-2</v>
          </cell>
        </row>
        <row r="121">
          <cell r="O121">
            <v>2.5326711528669299</v>
          </cell>
          <cell r="P121">
            <v>2.5223742818649302</v>
          </cell>
          <cell r="Q121">
            <v>2.52629728903718</v>
          </cell>
          <cell r="U121">
            <v>1.5769202213093999E-3</v>
          </cell>
          <cell r="V121">
            <v>-2.2374687595082599E-3</v>
          </cell>
          <cell r="W121">
            <v>-1.0721016257362001E-3</v>
          </cell>
          <cell r="Y121">
            <v>2.5333350730781099</v>
          </cell>
          <cell r="Z121">
            <v>2.52801847095605</v>
          </cell>
          <cell r="AA121">
            <v>2.5291193835827399</v>
          </cell>
          <cell r="AE121">
            <v>1.83902815618669E-3</v>
          </cell>
          <cell r="AF121">
            <v>-2.8985828660875201E-6</v>
          </cell>
          <cell r="AG121">
            <v>4.4506336200082297E-5</v>
          </cell>
          <cell r="BY121">
            <v>1.7883668381321546E-2</v>
          </cell>
        </row>
        <row r="122">
          <cell r="O122">
            <v>2.5326711528669299</v>
          </cell>
          <cell r="P122">
            <v>2.5223823895347901</v>
          </cell>
          <cell r="Q122">
            <v>2.52656632651997</v>
          </cell>
          <cell r="U122">
            <v>1.6200469059522301E-3</v>
          </cell>
          <cell r="V122">
            <v>-2.4538572265059501E-3</v>
          </cell>
          <cell r="W122">
            <v>-8.9978189928153595E-4</v>
          </cell>
          <cell r="Y122">
            <v>2.5333350730781099</v>
          </cell>
          <cell r="Z122">
            <v>2.5280265786259002</v>
          </cell>
          <cell r="AA122">
            <v>2.52938842106553</v>
          </cell>
          <cell r="AE122">
            <v>1.88215484082967E-3</v>
          </cell>
          <cell r="AF122">
            <v>-2.18707717480438E-4</v>
          </cell>
          <cell r="AG122">
            <v>2.1668189448789601E-4</v>
          </cell>
          <cell r="BY122">
            <v>1.7883668381321546E-2</v>
          </cell>
        </row>
        <row r="123">
          <cell r="O123">
            <v>2.5326711528669299</v>
          </cell>
          <cell r="P123">
            <v>2.52217162673948</v>
          </cell>
          <cell r="Q123">
            <v>2.5266769512488398</v>
          </cell>
          <cell r="U123">
            <v>2.6075775701764202E-3</v>
          </cell>
          <cell r="V123">
            <v>-1.4631122665747E-3</v>
          </cell>
          <cell r="W123">
            <v>1.9423787825269799E-4</v>
          </cell>
          <cell r="Y123">
            <v>2.5333350730781099</v>
          </cell>
          <cell r="Z123">
            <v>2.5278158158305901</v>
          </cell>
          <cell r="AA123">
            <v>2.5294990457944002</v>
          </cell>
          <cell r="AE123">
            <v>2.8696855050538198E-3</v>
          </cell>
          <cell r="AF123">
            <v>7.72030066053861E-4</v>
          </cell>
          <cell r="AG123">
            <v>1.3105828534465799E-3</v>
          </cell>
          <cell r="BY123">
            <v>1.7883668381321546E-2</v>
          </cell>
        </row>
        <row r="124">
          <cell r="O124">
            <v>2.5326711528669299</v>
          </cell>
          <cell r="P124">
            <v>2.52367660211157</v>
          </cell>
          <cell r="Q124">
            <v>2.5265235293588599</v>
          </cell>
          <cell r="U124">
            <v>1.9291220011973999E-3</v>
          </cell>
          <cell r="V124">
            <v>-2.22512836231239E-3</v>
          </cell>
          <cell r="W124">
            <v>-4.4043403622759099E-4</v>
          </cell>
          <cell r="Y124">
            <v>2.5333350730781099</v>
          </cell>
          <cell r="Z124">
            <v>2.5279093026018802</v>
          </cell>
          <cell r="AA124">
            <v>2.5293456239044101</v>
          </cell>
          <cell r="AE124">
            <v>2.1912299360749101E-3</v>
          </cell>
          <cell r="AF124">
            <v>1.02005391913587E-5</v>
          </cell>
          <cell r="AG124">
            <v>6.7586208964386595E-4</v>
          </cell>
          <cell r="BY124">
            <v>1.7883668381321546E-2</v>
          </cell>
        </row>
        <row r="125">
          <cell r="O125">
            <v>2.5326711528669299</v>
          </cell>
          <cell r="P125">
            <v>2.5255052115421699</v>
          </cell>
          <cell r="Q125">
            <v>2.52670358149066</v>
          </cell>
          <cell r="U125">
            <v>6.8538429082121101E-4</v>
          </cell>
          <cell r="V125">
            <v>-2.8723457857277698E-3</v>
          </cell>
          <cell r="W125">
            <v>-1.74489440766574E-3</v>
          </cell>
          <cell r="Y125">
            <v>2.5333350730781099</v>
          </cell>
          <cell r="Z125">
            <v>2.5283364473187602</v>
          </cell>
          <cell r="AA125">
            <v>2.5295256760362199</v>
          </cell>
          <cell r="AE125">
            <v>9.4749222569860203E-4</v>
          </cell>
          <cell r="AF125">
            <v>-1.19655463392005E-3</v>
          </cell>
          <cell r="AG125">
            <v>-6.2853053308822599E-4</v>
          </cell>
          <cell r="BY125">
            <v>1.7883668381321546E-2</v>
          </cell>
        </row>
        <row r="126">
          <cell r="O126">
            <v>2.5326711528669299</v>
          </cell>
          <cell r="P126">
            <v>2.5269709059354901</v>
          </cell>
          <cell r="Q126">
            <v>2.52661724131231</v>
          </cell>
          <cell r="U126">
            <v>1.2521915356211799E-3</v>
          </cell>
          <cell r="V126">
            <v>-1.58121940248988E-3</v>
          </cell>
          <cell r="W126">
            <v>-1.10682492670329E-3</v>
          </cell>
          <cell r="Y126">
            <v>2.5333350730781099</v>
          </cell>
          <cell r="Z126">
            <v>2.5283817638443402</v>
          </cell>
          <cell r="AA126">
            <v>2.5294393358578602</v>
          </cell>
          <cell r="AE126">
            <v>1.5142994704984299E-3</v>
          </cell>
          <cell r="AF126">
            <v>-4.6079012753821999E-4</v>
          </cell>
          <cell r="AG126">
            <v>9.4594405075714992E-6</v>
          </cell>
          <cell r="BY126">
            <v>1.7883668381321546E-2</v>
          </cell>
        </row>
        <row r="127">
          <cell r="O127">
            <v>2.5326711528669299</v>
          </cell>
          <cell r="P127">
            <v>2.5289640230161399</v>
          </cell>
          <cell r="Q127">
            <v>2.5266228932096899</v>
          </cell>
          <cell r="U127">
            <v>-1.74279021243962E-4</v>
          </cell>
          <cell r="V127">
            <v>-2.4275013942390801E-3</v>
          </cell>
          <cell r="W127">
            <v>-2.5674671427166301E-3</v>
          </cell>
          <cell r="Y127">
            <v>2.5333350730781099</v>
          </cell>
          <cell r="Z127">
            <v>2.5289640230161399</v>
          </cell>
          <cell r="AA127">
            <v>2.5294449877552401</v>
          </cell>
          <cell r="AE127">
            <v>8.78289136332767E-5</v>
          </cell>
          <cell r="AF127">
            <v>-1.8693373896146799E-3</v>
          </cell>
          <cell r="AG127">
            <v>-1.4511446508487201E-3</v>
          </cell>
          <cell r="BY127">
            <v>1.7883668381321546E-2</v>
          </cell>
        </row>
        <row r="128">
          <cell r="O128">
            <v>2.5326711528669299</v>
          </cell>
          <cell r="P128">
            <v>2.53011142009517</v>
          </cell>
          <cell r="Q128">
            <v>2.5269771100890499</v>
          </cell>
          <cell r="U128">
            <v>-1.9587016380304802E-3</v>
          </cell>
          <cell r="V128">
            <v>-3.4234972563690698E-3</v>
          </cell>
          <cell r="W128">
            <v>-4.3496528195480699E-3</v>
          </cell>
          <cell r="Y128">
            <v>2.5333350730781099</v>
          </cell>
          <cell r="Z128">
            <v>2.53011142009517</v>
          </cell>
          <cell r="AA128">
            <v>2.5297992046346001</v>
          </cell>
          <cell r="AE128">
            <v>-1.69659370315325E-3</v>
          </cell>
          <cell r="AF128">
            <v>-3.4234972563690698E-3</v>
          </cell>
          <cell r="AG128">
            <v>-3.2333328234306E-3</v>
          </cell>
          <cell r="BY128">
            <v>1.6099245764535065E-2</v>
          </cell>
        </row>
        <row r="129">
          <cell r="O129">
            <v>2.5326711528669299</v>
          </cell>
          <cell r="P129">
            <v>2.5310083787356401</v>
          </cell>
          <cell r="Q129">
            <v>2.5272664619409002</v>
          </cell>
          <cell r="U129">
            <v>-1.7223418334282299E-3</v>
          </cell>
          <cell r="V129">
            <v>-2.7335379308248901E-3</v>
          </cell>
          <cell r="W129">
            <v>-3.9731090353240404E-3</v>
          </cell>
          <cell r="Y129">
            <v>2.5333350730781099</v>
          </cell>
          <cell r="Z129">
            <v>2.5310083787356401</v>
          </cell>
          <cell r="AA129">
            <v>2.5300885564864499</v>
          </cell>
          <cell r="AE129">
            <v>-1.4602338985509201E-3</v>
          </cell>
          <cell r="AF129">
            <v>-2.73353793082478E-3</v>
          </cell>
          <cell r="AG129">
            <v>-2.8569454311224902E-3</v>
          </cell>
          <cell r="BY129">
            <v>1.6335605569137254E-2</v>
          </cell>
        </row>
        <row r="130">
          <cell r="O130">
            <v>2.5326711528669299</v>
          </cell>
          <cell r="P130">
            <v>2.5317121330097501</v>
          </cell>
          <cell r="Q130">
            <v>2.5273705470824299</v>
          </cell>
          <cell r="U130">
            <v>-2.01504614029277E-3</v>
          </cell>
          <cell r="V130">
            <v>-2.6717915684652499E-3</v>
          </cell>
          <cell r="W130">
            <v>-4.1513147636994896E-3</v>
          </cell>
          <cell r="Y130">
            <v>2.5333350730781099</v>
          </cell>
          <cell r="Z130">
            <v>2.5317121330097501</v>
          </cell>
          <cell r="AA130">
            <v>2.5301926416279898</v>
          </cell>
          <cell r="AE130">
            <v>-1.75293820541534E-3</v>
          </cell>
          <cell r="AF130">
            <v>-2.6717915684652499E-3</v>
          </cell>
          <cell r="AG130">
            <v>-3.03527888004389E-3</v>
          </cell>
          <cell r="BY130">
            <v>1.6042901262272855E-2</v>
          </cell>
        </row>
        <row r="131">
          <cell r="O131">
            <v>2.5326711528669299</v>
          </cell>
          <cell r="P131">
            <v>2.5325106782886002</v>
          </cell>
          <cell r="Q131">
            <v>2.5274424800767701</v>
          </cell>
          <cell r="U131">
            <v>-1.57605639813308E-3</v>
          </cell>
          <cell r="V131">
            <v>-1.9547875543279498E-3</v>
          </cell>
          <cell r="W131">
            <v>-3.6711409992792399E-3</v>
          </cell>
          <cell r="Y131">
            <v>2.5333350730781099</v>
          </cell>
          <cell r="Z131">
            <v>2.5325106782886002</v>
          </cell>
          <cell r="AA131">
            <v>2.5302645746223198</v>
          </cell>
          <cell r="AE131">
            <v>-1.3139484632557501E-3</v>
          </cell>
          <cell r="AF131">
            <v>-1.9547875543279498E-3</v>
          </cell>
          <cell r="AG131">
            <v>-2.5551510518867599E-3</v>
          </cell>
          <cell r="BY131">
            <v>1.6481891004432633E-2</v>
          </cell>
        </row>
        <row r="132">
          <cell r="O132">
            <v>2.5326711528669299</v>
          </cell>
          <cell r="P132">
            <v>2.53348118197564</v>
          </cell>
          <cell r="Q132">
            <v>2.5279317857552099</v>
          </cell>
          <cell r="U132">
            <v>-2.2107563634138501E-3</v>
          </cell>
          <cell r="V132">
            <v>-2.2741201610948299E-3</v>
          </cell>
          <cell r="W132">
            <v>-4.2773797756088996E-3</v>
          </cell>
          <cell r="Y132">
            <v>2.5333350730781099</v>
          </cell>
          <cell r="Z132">
            <v>2.53348118197564</v>
          </cell>
          <cell r="AA132">
            <v>2.5307538803007699</v>
          </cell>
          <cell r="AE132">
            <v>-1.9486484285366099E-3</v>
          </cell>
          <cell r="AF132">
            <v>-2.2741201610947202E-3</v>
          </cell>
          <cell r="AG132">
            <v>-3.1614215724494301E-3</v>
          </cell>
          <cell r="BY132">
            <v>1.5847191039151762E-2</v>
          </cell>
        </row>
        <row r="133">
          <cell r="O133">
            <v>2.5326711528669299</v>
          </cell>
          <cell r="P133">
            <v>2.53462717662297</v>
          </cell>
          <cell r="Q133">
            <v>2.5283994016812299</v>
          </cell>
          <cell r="U133">
            <v>-1.9188229059845E-3</v>
          </cell>
          <cell r="V133">
            <v>-1.59904210901103E-3</v>
          </cell>
          <cell r="W133">
            <v>-3.7918678987603101E-3</v>
          </cell>
          <cell r="Y133">
            <v>2.5333350730781099</v>
          </cell>
          <cell r="Z133">
            <v>2.53462717662297</v>
          </cell>
          <cell r="AA133">
            <v>2.5312214962267801</v>
          </cell>
          <cell r="AE133">
            <v>-1.6567149711070701E-3</v>
          </cell>
          <cell r="AF133">
            <v>-1.59904210901103E-3</v>
          </cell>
          <cell r="AG133">
            <v>-2.6761255796605501E-3</v>
          </cell>
          <cell r="BY133">
            <v>1.6139124496581159E-2</v>
          </cell>
        </row>
        <row r="134">
          <cell r="O134">
            <v>2.5326711528669299</v>
          </cell>
          <cell r="P134">
            <v>2.53587294133705</v>
          </cell>
          <cell r="Q134">
            <v>2.52977477172431</v>
          </cell>
          <cell r="U134">
            <v>-2.9870498770669801E-3</v>
          </cell>
          <cell r="V134">
            <v>-2.2150314459382699E-3</v>
          </cell>
          <cell r="W134">
            <v>-4.6751323307953297E-3</v>
          </cell>
          <cell r="Y134">
            <v>2.5333350730781099</v>
          </cell>
          <cell r="Z134">
            <v>2.53587294133705</v>
          </cell>
          <cell r="AA134">
            <v>2.53189112196947</v>
          </cell>
          <cell r="AE134">
            <v>-2.7249419421895701E-3</v>
          </cell>
          <cell r="AF134">
            <v>-2.2150314459382699E-3</v>
          </cell>
          <cell r="AG134">
            <v>-3.5595962480902401E-3</v>
          </cell>
          <cell r="BY134">
            <v>1.5070897525498769E-2</v>
          </cell>
        </row>
        <row r="135">
          <cell r="O135">
            <v>2.5326711528669299</v>
          </cell>
          <cell r="P135">
            <v>2.5371668601270199</v>
          </cell>
          <cell r="Q135">
            <v>2.53133603583459</v>
          </cell>
          <cell r="U135">
            <v>-4.4140040399688399E-3</v>
          </cell>
          <cell r="V135">
            <v>-3.1506081469878898E-3</v>
          </cell>
          <cell r="W135">
            <v>-5.5582657276150296E-3</v>
          </cell>
          <cell r="Y135">
            <v>2.5333350730781099</v>
          </cell>
          <cell r="Z135">
            <v>2.5371668601270199</v>
          </cell>
          <cell r="AA135">
            <v>2.5327516537228898</v>
          </cell>
          <cell r="AE135">
            <v>-4.15189610509139E-3</v>
          </cell>
          <cell r="AF135">
            <v>-3.1506081469878898E-3</v>
          </cell>
          <cell r="AG135">
            <v>-4.7220389149693299E-3</v>
          </cell>
          <cell r="BY135">
            <v>1.364394336259683E-2</v>
          </cell>
        </row>
        <row r="136">
          <cell r="O136">
            <v>2.5326711528669299</v>
          </cell>
          <cell r="P136">
            <v>2.5384562248192202</v>
          </cell>
          <cell r="Q136">
            <v>2.5327135653773598</v>
          </cell>
          <cell r="U136">
            <v>-3.8321681559281202E-3</v>
          </cell>
          <cell r="V136">
            <v>-2.05865648673939E-3</v>
          </cell>
          <cell r="W136">
            <v>-4.3594648257468203E-3</v>
          </cell>
          <cell r="Y136">
            <v>2.5333350730781099</v>
          </cell>
          <cell r="Z136">
            <v>2.5384562248192202</v>
          </cell>
          <cell r="AA136">
            <v>2.5334189943317802</v>
          </cell>
          <cell r="AE136">
            <v>-3.57006022105079E-3</v>
          </cell>
          <cell r="AF136">
            <v>-2.05865648673939E-3</v>
          </cell>
          <cell r="AG136">
            <v>-3.8003836992136198E-3</v>
          </cell>
          <cell r="BY136">
            <v>1.422577924663747E-2</v>
          </cell>
        </row>
        <row r="137">
          <cell r="O137">
            <v>2.5326711528669299</v>
          </cell>
          <cell r="P137">
            <v>2.53935057401771</v>
          </cell>
          <cell r="Q137">
            <v>2.5341572985169298</v>
          </cell>
          <cell r="U137">
            <v>-3.6986944036689999E-3</v>
          </cell>
          <cell r="V137">
            <v>-1.4171210843694801E-3</v>
          </cell>
          <cell r="W137">
            <v>-3.6819483862231299E-3</v>
          </cell>
          <cell r="Y137">
            <v>2.5333350730781099</v>
          </cell>
          <cell r="Z137">
            <v>2.53935057401771</v>
          </cell>
          <cell r="AA137">
            <v>2.5341572985169298</v>
          </cell>
          <cell r="AE137">
            <v>-3.4365864687915799E-3</v>
          </cell>
          <cell r="AF137">
            <v>-1.4171210843694801E-3</v>
          </cell>
          <cell r="AG137">
            <v>-3.4034602295595598E-3</v>
          </cell>
          <cell r="BY137">
            <v>1.435925299889669E-2</v>
          </cell>
        </row>
        <row r="138">
          <cell r="O138">
            <v>2.5326711528669299</v>
          </cell>
          <cell r="P138">
            <v>2.5393936654557399</v>
          </cell>
          <cell r="Q138">
            <v>2.53475254277545</v>
          </cell>
          <cell r="U138">
            <v>-2.12849654496376E-3</v>
          </cell>
          <cell r="V138">
            <v>5.0533484289477695E-4</v>
          </cell>
          <cell r="W138">
            <v>-1.54187881875662E-3</v>
          </cell>
          <cell r="Y138">
            <v>2.5333350730781099</v>
          </cell>
          <cell r="Z138">
            <v>2.5393936654557399</v>
          </cell>
          <cell r="AA138">
            <v>2.53475254277545</v>
          </cell>
          <cell r="AE138">
            <v>-1.8663886100863301E-3</v>
          </cell>
          <cell r="AF138">
            <v>5.0533484289477695E-4</v>
          </cell>
          <cell r="AG138">
            <v>-1.54187881875662E-3</v>
          </cell>
          <cell r="BY138">
            <v>1.5929450857601873E-2</v>
          </cell>
        </row>
        <row r="139">
          <cell r="O139">
            <v>2.5326711528669299</v>
          </cell>
          <cell r="P139">
            <v>2.5392061820873302</v>
          </cell>
          <cell r="Q139">
            <v>2.5351072804114798</v>
          </cell>
          <cell r="U139">
            <v>-9.83083109298119E-4</v>
          </cell>
          <cell r="V139">
            <v>1.6677176064076901E-3</v>
          </cell>
          <cell r="W139">
            <v>-1.61604523497616E-4</v>
          </cell>
          <cell r="Y139">
            <v>2.5333350730781099</v>
          </cell>
          <cell r="Z139">
            <v>2.5392061820873302</v>
          </cell>
          <cell r="AA139">
            <v>2.5351072804114798</v>
          </cell>
          <cell r="AE139">
            <v>-7.2097517442086404E-4</v>
          </cell>
          <cell r="AF139">
            <v>1.6677176064076901E-3</v>
          </cell>
          <cell r="AG139">
            <v>-1.6160452349794899E-4</v>
          </cell>
          <cell r="BY139">
            <v>1.7074864293267475E-2</v>
          </cell>
        </row>
        <row r="140">
          <cell r="O140">
            <v>2.5326711528669299</v>
          </cell>
          <cell r="P140">
            <v>2.5387947368995398</v>
          </cell>
          <cell r="Q140">
            <v>2.5352534349546501</v>
          </cell>
          <cell r="U140">
            <v>-3.9245031373861199E-4</v>
          </cell>
          <cell r="V140">
            <v>2.1845177023553201E-3</v>
          </cell>
          <cell r="W140">
            <v>5.6896809248271202E-4</v>
          </cell>
          <cell r="Y140">
            <v>2.5333350730781099</v>
          </cell>
          <cell r="Z140">
            <v>2.5387947368995398</v>
          </cell>
          <cell r="AA140">
            <v>2.5352534349546501</v>
          </cell>
          <cell r="AE140">
            <v>-1.3034237886124501E-4</v>
          </cell>
          <cell r="AF140">
            <v>2.1845177023553201E-3</v>
          </cell>
          <cell r="AG140">
            <v>5.6896809248248997E-4</v>
          </cell>
          <cell r="BY140">
            <v>1.7665497088827104E-2</v>
          </cell>
        </row>
        <row r="141">
          <cell r="O141">
            <v>2.5326711528669299</v>
          </cell>
          <cell r="P141">
            <v>2.5382281652410801</v>
          </cell>
          <cell r="Q141">
            <v>2.5353694217648401</v>
          </cell>
          <cell r="U141">
            <v>6.5997051406869805E-4</v>
          </cell>
          <cell r="V141">
            <v>3.0748884654799801E-3</v>
          </cell>
          <cell r="W141">
            <v>1.67903947077651E-3</v>
          </cell>
          <cell r="Y141">
            <v>2.5333350730781099</v>
          </cell>
          <cell r="Z141">
            <v>2.5382281652410801</v>
          </cell>
          <cell r="AA141">
            <v>2.5353694217648401</v>
          </cell>
          <cell r="AE141">
            <v>9.2207844894590097E-4</v>
          </cell>
          <cell r="AF141">
            <v>3.0748884654799801E-3</v>
          </cell>
          <cell r="AG141">
            <v>1.67903947077651E-3</v>
          </cell>
          <cell r="BY141">
            <v>1.7665497088827104E-2</v>
          </cell>
        </row>
        <row r="142">
          <cell r="O142">
            <v>2.5326711528669299</v>
          </cell>
          <cell r="P142">
            <v>2.5376623400629201</v>
          </cell>
          <cell r="Q142">
            <v>2.5355717610192801</v>
          </cell>
          <cell r="U142">
            <v>2.0902737379379E-5</v>
          </cell>
          <cell r="V142">
            <v>2.2126301806008001E-3</v>
          </cell>
          <cell r="W142">
            <v>1.0857202395779899E-3</v>
          </cell>
          <cell r="Y142">
            <v>2.5333350730781099</v>
          </cell>
          <cell r="Z142">
            <v>2.5376623400629201</v>
          </cell>
          <cell r="AA142">
            <v>2.5355717610192801</v>
          </cell>
          <cell r="AE142">
            <v>2.83010672256857E-4</v>
          </cell>
          <cell r="AF142">
            <v>2.2126301806008001E-3</v>
          </cell>
          <cell r="AG142">
            <v>1.0857202395779899E-3</v>
          </cell>
          <cell r="BY142">
            <v>1.7665497088827104E-2</v>
          </cell>
        </row>
        <row r="143">
          <cell r="O143">
            <v>2.5326711528669299</v>
          </cell>
          <cell r="P143">
            <v>2.5373578168779098</v>
          </cell>
          <cell r="Q143">
            <v>2.5359924967504401</v>
          </cell>
          <cell r="U143">
            <v>-7.18027690700636E-4</v>
          </cell>
          <cell r="V143">
            <v>1.2507535798602599E-3</v>
          </cell>
          <cell r="W143">
            <v>4.2659324334834301E-4</v>
          </cell>
          <cell r="Y143">
            <v>2.5333350730781099</v>
          </cell>
          <cell r="Z143">
            <v>2.5373578168779098</v>
          </cell>
          <cell r="AA143">
            <v>2.5359924967504401</v>
          </cell>
          <cell r="AE143">
            <v>-4.5591975582325701E-4</v>
          </cell>
          <cell r="AF143">
            <v>1.2507535798602599E-3</v>
          </cell>
          <cell r="AG143">
            <v>4.2659324334834301E-4</v>
          </cell>
          <cell r="BY143">
            <v>1.7665497088827104E-2</v>
          </cell>
        </row>
        <row r="144">
          <cell r="O144">
            <v>2.5326711528669299</v>
          </cell>
          <cell r="P144">
            <v>2.5370627306614399</v>
          </cell>
          <cell r="Q144">
            <v>2.5364678359992499</v>
          </cell>
          <cell r="U144">
            <v>-1.8247311616244901E-3</v>
          </cell>
          <cell r="V144">
            <v>2.4041448491771799E-5</v>
          </cell>
          <cell r="W144">
            <v>-5.1419071606388601E-4</v>
          </cell>
          <cell r="Y144">
            <v>2.5333350730781099</v>
          </cell>
          <cell r="Z144">
            <v>2.5370627306614399</v>
          </cell>
          <cell r="AA144">
            <v>2.5364678359992499</v>
          </cell>
          <cell r="AE144">
            <v>-1.5626232267472E-3</v>
          </cell>
          <cell r="AF144">
            <v>2.40414484919938E-5</v>
          </cell>
          <cell r="AG144">
            <v>-5.1419071606388601E-4</v>
          </cell>
          <cell r="BY144">
            <v>1.7665497088827104E-2</v>
          </cell>
        </row>
        <row r="145">
          <cell r="O145">
            <v>2.5326711528669299</v>
          </cell>
          <cell r="P145">
            <v>2.5359219756610001</v>
          </cell>
          <cell r="Q145">
            <v>2.5365444178940102</v>
          </cell>
          <cell r="U145">
            <v>8.04007203591443E-5</v>
          </cell>
          <cell r="V145">
            <v>1.8128699165063399E-3</v>
          </cell>
          <cell r="W145">
            <v>1.5783607686435199E-3</v>
          </cell>
          <cell r="Y145">
            <v>2.5333350730781099</v>
          </cell>
          <cell r="Z145">
            <v>2.5359219756610001</v>
          </cell>
          <cell r="AA145">
            <v>2.5365444178940102</v>
          </cell>
          <cell r="AE145">
            <v>3.4250865523652101E-4</v>
          </cell>
          <cell r="AF145">
            <v>1.8128699165063399E-3</v>
          </cell>
          <cell r="AG145">
            <v>1.5783607686435199E-3</v>
          </cell>
          <cell r="BY145">
            <v>1.7665497088827104E-2</v>
          </cell>
        </row>
        <row r="146">
          <cell r="O146">
            <v>2.5326711528669299</v>
          </cell>
          <cell r="P146">
            <v>2.5350984451627898</v>
          </cell>
          <cell r="Q146">
            <v>2.5367773349910099</v>
          </cell>
          <cell r="U146">
            <v>-5.8771934416501496E-4</v>
          </cell>
          <cell r="V146">
            <v>6.9501263189987201E-4</v>
          </cell>
          <cell r="W146">
            <v>9.40432586550122E-4</v>
          </cell>
          <cell r="Y146">
            <v>2.5333350730781099</v>
          </cell>
          <cell r="Z146">
            <v>2.5350984451627898</v>
          </cell>
          <cell r="AA146">
            <v>2.5367773349910099</v>
          </cell>
          <cell r="AE146">
            <v>-3.2561140928770102E-4</v>
          </cell>
          <cell r="AF146">
            <v>6.9501263189987201E-4</v>
          </cell>
          <cell r="AG146">
            <v>9.40432586550122E-4</v>
          </cell>
          <cell r="BY146">
            <v>1.7665497088827104E-2</v>
          </cell>
        </row>
        <row r="147">
          <cell r="O147">
            <v>2.5326711528669299</v>
          </cell>
          <cell r="P147">
            <v>2.5345447763696498</v>
          </cell>
          <cell r="Q147">
            <v>2.5369476751936801</v>
          </cell>
          <cell r="U147">
            <v>-1.5182837090675901E-3</v>
          </cell>
          <cell r="V147">
            <v>-5.6035046663450397E-4</v>
          </cell>
          <cell r="W147">
            <v>1.01688574664222E-4</v>
          </cell>
          <cell r="Y147">
            <v>2.5333350730781099</v>
          </cell>
          <cell r="Z147">
            <v>2.5345447763696498</v>
          </cell>
          <cell r="AA147">
            <v>2.5369476751936801</v>
          </cell>
          <cell r="AE147">
            <v>-1.25617577419021E-3</v>
          </cell>
          <cell r="AF147">
            <v>-5.6035046663450397E-4</v>
          </cell>
          <cell r="AG147">
            <v>1.01688574664222E-4</v>
          </cell>
          <cell r="BY147">
            <v>1.7665497088827104E-2</v>
          </cell>
        </row>
        <row r="148">
          <cell r="O148">
            <v>2.5326711528669299</v>
          </cell>
          <cell r="P148">
            <v>2.5343539688825798</v>
          </cell>
          <cell r="Q148">
            <v>2.5368738171691598</v>
          </cell>
          <cell r="U148">
            <v>-1.3764313115686899E-3</v>
          </cell>
          <cell r="V148">
            <v>-6.3692322102275496E-4</v>
          </cell>
          <cell r="W148">
            <v>3.1068698516110402E-4</v>
          </cell>
          <cell r="Y148">
            <v>2.5333350730781099</v>
          </cell>
          <cell r="Z148">
            <v>2.5343539688825798</v>
          </cell>
          <cell r="AA148">
            <v>2.5368738171691598</v>
          </cell>
          <cell r="AE148">
            <v>-1.11432337669124E-3</v>
          </cell>
          <cell r="AF148">
            <v>-6.3692322102275496E-4</v>
          </cell>
          <cell r="AG148">
            <v>3.1068698516110402E-4</v>
          </cell>
          <cell r="BY148">
            <v>1.7665497088827104E-2</v>
          </cell>
        </row>
        <row r="149">
          <cell r="O149">
            <v>2.5326711528669299</v>
          </cell>
          <cell r="P149">
            <v>2.5344795259178801</v>
          </cell>
          <cell r="Q149">
            <v>2.5368428540025998</v>
          </cell>
          <cell r="U149">
            <v>-1.4782228426010399E-3</v>
          </cell>
          <cell r="V149">
            <v>-8.1400033054069296E-4</v>
          </cell>
          <cell r="W149">
            <v>1.7978208282074499E-4</v>
          </cell>
          <cell r="Y149">
            <v>2.5333350730781099</v>
          </cell>
          <cell r="Z149">
            <v>2.5344795259178801</v>
          </cell>
          <cell r="AA149">
            <v>2.5368428540025998</v>
          </cell>
          <cell r="AE149">
            <v>-1.2161149077237201E-3</v>
          </cell>
          <cell r="AF149">
            <v>-8.1400033054069296E-4</v>
          </cell>
          <cell r="AG149">
            <v>1.7978208282074499E-4</v>
          </cell>
          <cell r="BY149">
            <v>1.7665497088827104E-2</v>
          </cell>
        </row>
        <row r="150">
          <cell r="O150">
            <v>2.5326711528669299</v>
          </cell>
          <cell r="P150">
            <v>2.5353545823503501</v>
          </cell>
          <cell r="Q150">
            <v>2.5370746596249401</v>
          </cell>
          <cell r="U150">
            <v>-3.8402174889049698E-3</v>
          </cell>
          <cell r="V150">
            <v>-3.1264541760065699E-3</v>
          </cell>
          <cell r="W150">
            <v>-2.19441788300073E-3</v>
          </cell>
          <cell r="Y150">
            <v>2.5333350730781099</v>
          </cell>
          <cell r="Z150">
            <v>2.5353545823503501</v>
          </cell>
          <cell r="AA150">
            <v>2.5370746596249401</v>
          </cell>
          <cell r="AE150">
            <v>-3.57810955402768E-3</v>
          </cell>
          <cell r="AF150">
            <v>-3.1264541760065699E-3</v>
          </cell>
          <cell r="AG150">
            <v>-2.19441788300073E-3</v>
          </cell>
          <cell r="BY150">
            <v>1.7665497088827104E-2</v>
          </cell>
        </row>
        <row r="151">
          <cell r="O151">
            <v>2.5326711528669299</v>
          </cell>
          <cell r="P151">
            <v>2.5366686859480501</v>
          </cell>
          <cell r="Q151">
            <v>2.5374484255945702</v>
          </cell>
          <cell r="U151">
            <v>-4.5186300935056998E-3</v>
          </cell>
          <cell r="V151">
            <v>-3.4596655679142202E-3</v>
          </cell>
          <cell r="W151">
            <v>-2.7814590288101301E-3</v>
          </cell>
          <cell r="Y151">
            <v>2.5333350730781099</v>
          </cell>
          <cell r="Z151">
            <v>2.5366686859480501</v>
          </cell>
          <cell r="AA151">
            <v>2.5374484255945702</v>
          </cell>
          <cell r="AE151">
            <v>-4.25652215862836E-3</v>
          </cell>
          <cell r="AF151">
            <v>-3.4596655679142202E-3</v>
          </cell>
          <cell r="AG151">
            <v>-2.78145902881035E-3</v>
          </cell>
          <cell r="BY151">
            <v>1.6987084484226575E-2</v>
          </cell>
        </row>
        <row r="152">
          <cell r="O152">
            <v>2.5326711528669299</v>
          </cell>
          <cell r="P152">
            <v>2.53798604380763</v>
          </cell>
          <cell r="Q152">
            <v>2.53782419193527</v>
          </cell>
          <cell r="U152">
            <v>-5.1671809852562303E-3</v>
          </cell>
          <cell r="V152">
            <v>-3.5900391731679099E-3</v>
          </cell>
          <cell r="W152">
            <v>-3.2826991431648199E-3</v>
          </cell>
          <cell r="Y152">
            <v>2.5333350730781099</v>
          </cell>
          <cell r="Z152">
            <v>2.53798604380763</v>
          </cell>
          <cell r="AA152">
            <v>2.53782419193527</v>
          </cell>
          <cell r="AE152">
            <v>-4.9050730503788298E-3</v>
          </cell>
          <cell r="AF152">
            <v>-3.5900391731679099E-3</v>
          </cell>
          <cell r="AG152">
            <v>-3.2826991431648199E-3</v>
          </cell>
          <cell r="BY152">
            <v>1.6338533592476074E-2</v>
          </cell>
        </row>
        <row r="153">
          <cell r="O153">
            <v>2.5326711528669299</v>
          </cell>
          <cell r="P153">
            <v>2.5389032721622198</v>
          </cell>
          <cell r="Q153">
            <v>2.5381305445200599</v>
          </cell>
          <cell r="U153">
            <v>-4.3304803318147903E-3</v>
          </cell>
          <cell r="V153">
            <v>-2.2341473789222201E-3</v>
          </cell>
          <cell r="W153">
            <v>-2.2979211864090098E-3</v>
          </cell>
          <cell r="Y153">
            <v>2.5333350730781099</v>
          </cell>
          <cell r="Z153">
            <v>2.5389032721622198</v>
          </cell>
          <cell r="AA153">
            <v>2.5381305445200599</v>
          </cell>
          <cell r="AE153">
            <v>-4.0683723969372598E-3</v>
          </cell>
          <cell r="AF153">
            <v>-2.2341473789219998E-3</v>
          </cell>
          <cell r="AG153">
            <v>-2.2979211864092301E-3</v>
          </cell>
          <cell r="BY153">
            <v>1.7175234245917475E-2</v>
          </cell>
        </row>
        <row r="154">
          <cell r="O154">
            <v>2.5326711528669299</v>
          </cell>
          <cell r="P154">
            <v>2.5394847219636798</v>
          </cell>
          <cell r="Q154">
            <v>2.5382737263125601</v>
          </cell>
          <cell r="U154">
            <v>-4.1137207092975898E-3</v>
          </cell>
          <cell r="V154">
            <v>-1.6560529675282299E-3</v>
          </cell>
          <cell r="W154">
            <v>-1.9604541891953399E-3</v>
          </cell>
          <cell r="Y154">
            <v>2.5333350730781099</v>
          </cell>
          <cell r="Z154">
            <v>2.5394847219636798</v>
          </cell>
          <cell r="AA154">
            <v>2.5382737263125601</v>
          </cell>
          <cell r="AE154">
            <v>-3.8516127744202301E-3</v>
          </cell>
          <cell r="AF154">
            <v>-1.6560529675283401E-3</v>
          </cell>
          <cell r="AG154">
            <v>-1.96045418919511E-3</v>
          </cell>
          <cell r="BY154">
            <v>1.7391993868434544E-2</v>
          </cell>
        </row>
        <row r="155">
          <cell r="O155">
            <v>2.5326711528669299</v>
          </cell>
          <cell r="P155">
            <v>2.5402343356560801</v>
          </cell>
          <cell r="Q155">
            <v>2.5380781556585399</v>
          </cell>
          <cell r="U155">
            <v>-2.8752401085404798E-3</v>
          </cell>
          <cell r="V155">
            <v>-1.8858245710621799E-4</v>
          </cell>
          <cell r="W155">
            <v>-6.6556287530304995E-4</v>
          </cell>
          <cell r="Y155">
            <v>2.5333350730781099</v>
          </cell>
          <cell r="Z155">
            <v>2.5402343356560801</v>
          </cell>
          <cell r="AA155">
            <v>2.5380781556585399</v>
          </cell>
          <cell r="AE155">
            <v>-2.61313217366316E-3</v>
          </cell>
          <cell r="AF155">
            <v>-1.88582457106107E-4</v>
          </cell>
          <cell r="AG155">
            <v>-6.6556287530304995E-4</v>
          </cell>
          <cell r="BY155">
            <v>1.8630474469191815E-2</v>
          </cell>
        </row>
        <row r="156">
          <cell r="O156">
            <v>2.5326711528669299</v>
          </cell>
          <cell r="P156">
            <v>2.5407790578488298</v>
          </cell>
          <cell r="Q156">
            <v>2.5379387515058101</v>
          </cell>
          <cell r="U156">
            <v>-2.7349301200852798E-3</v>
          </cell>
          <cell r="V156">
            <v>2.4686735673374401E-4</v>
          </cell>
          <cell r="W156">
            <v>-6.0230454073985395E-4</v>
          </cell>
          <cell r="Y156">
            <v>2.5333350730781099</v>
          </cell>
          <cell r="Z156">
            <v>2.5407790578488298</v>
          </cell>
          <cell r="AA156">
            <v>2.5379387515058101</v>
          </cell>
          <cell r="AE156">
            <v>-2.4728221852079002E-3</v>
          </cell>
          <cell r="AF156">
            <v>2.4686735673374401E-4</v>
          </cell>
          <cell r="AG156">
            <v>-6.0230454073985395E-4</v>
          </cell>
          <cell r="BY156">
            <v>1.8770784457646964E-2</v>
          </cell>
        </row>
        <row r="157">
          <cell r="O157">
            <v>2.5326711528669299</v>
          </cell>
          <cell r="P157">
            <v>2.5409976488167501</v>
          </cell>
          <cell r="Q157">
            <v>2.5377712125932002</v>
          </cell>
          <cell r="U157">
            <v>-2.3796878638866099E-3</v>
          </cell>
          <cell r="V157">
            <v>8.1652439701193104E-4</v>
          </cell>
          <cell r="W157">
            <v>-3.0198887573099097E-4</v>
          </cell>
          <cell r="Y157">
            <v>2.5333350730781099</v>
          </cell>
          <cell r="Z157">
            <v>2.5409976488167501</v>
          </cell>
          <cell r="AA157">
            <v>2.5377712125932002</v>
          </cell>
          <cell r="AE157">
            <v>-2.1175799290092199E-3</v>
          </cell>
          <cell r="AF157">
            <v>8.1652439701193104E-4</v>
          </cell>
          <cell r="AG157">
            <v>-3.0198887573076801E-4</v>
          </cell>
          <cell r="BY157">
            <v>1.9126026713845605E-2</v>
          </cell>
        </row>
        <row r="158">
          <cell r="O158">
            <v>2.5326711528669299</v>
          </cell>
          <cell r="P158">
            <v>2.5410391171586202</v>
          </cell>
          <cell r="Q158">
            <v>2.5376965430206</v>
          </cell>
          <cell r="U158">
            <v>-1.5399263534764901E-3</v>
          </cell>
          <cell r="V158">
            <v>1.7423152552976801E-3</v>
          </cell>
          <cell r="W158">
            <v>4.7175668268405597E-4</v>
          </cell>
          <cell r="Y158">
            <v>2.5333350730781099</v>
          </cell>
          <cell r="Z158">
            <v>2.5410391171586202</v>
          </cell>
          <cell r="AA158">
            <v>2.5376965430206</v>
          </cell>
          <cell r="AE158">
            <v>-1.2778184185991001E-3</v>
          </cell>
          <cell r="AF158">
            <v>1.7423152552976801E-3</v>
          </cell>
          <cell r="AG158">
            <v>4.7175668268405597E-4</v>
          </cell>
          <cell r="BY158">
            <v>1.9965788224255755E-2</v>
          </cell>
        </row>
        <row r="159">
          <cell r="O159">
            <v>2.5326711528669299</v>
          </cell>
          <cell r="P159">
            <v>2.5415091071664899</v>
          </cell>
          <cell r="Q159">
            <v>2.5379943165421901</v>
          </cell>
          <cell r="U159">
            <v>-3.3294758647040598E-3</v>
          </cell>
          <cell r="V159">
            <v>-3.0914680225137301E-5</v>
          </cell>
          <cell r="W159">
            <v>-1.3472165491552699E-3</v>
          </cell>
          <cell r="Y159">
            <v>2.5333350730781099</v>
          </cell>
          <cell r="Z159">
            <v>2.5415091071664899</v>
          </cell>
          <cell r="AA159">
            <v>2.5379943165421901</v>
          </cell>
          <cell r="AE159">
            <v>-3.0673679298267001E-3</v>
          </cell>
          <cell r="AF159">
            <v>-3.0914680225137301E-5</v>
          </cell>
          <cell r="AG159">
            <v>-1.34721654915505E-3</v>
          </cell>
          <cell r="BY159">
            <v>1.9965788224255755E-2</v>
          </cell>
        </row>
        <row r="160">
          <cell r="O160">
            <v>2.5326711528669299</v>
          </cell>
          <cell r="P160">
            <v>2.5413685035902098</v>
          </cell>
          <cell r="Q160">
            <v>2.5383615429702799</v>
          </cell>
          <cell r="U160">
            <v>-3.2870331261916201E-3</v>
          </cell>
          <cell r="V160">
            <v>1.9647072423717299E-4</v>
          </cell>
          <cell r="W160">
            <v>-1.1874406120039301E-3</v>
          </cell>
          <cell r="Y160">
            <v>2.5333350730781099</v>
          </cell>
          <cell r="Z160">
            <v>2.5413685035902098</v>
          </cell>
          <cell r="AA160">
            <v>2.5383615429702799</v>
          </cell>
          <cell r="AE160">
            <v>-3.0249251913143098E-3</v>
          </cell>
          <cell r="AF160">
            <v>1.9647072423717299E-4</v>
          </cell>
          <cell r="AG160">
            <v>-1.1874406120039301E-3</v>
          </cell>
          <cell r="BY160">
            <v>2.0008230962768103E-2</v>
          </cell>
        </row>
        <row r="161">
          <cell r="O161">
            <v>2.5326711528669299</v>
          </cell>
          <cell r="P161">
            <v>2.5417357672135101</v>
          </cell>
          <cell r="Q161">
            <v>2.5392022265807799</v>
          </cell>
          <cell r="U161">
            <v>-5.9611553195551802E-3</v>
          </cell>
          <cell r="V161">
            <v>-2.5329758688407301E-3</v>
          </cell>
          <cell r="W161">
            <v>-3.7168816841461698E-3</v>
          </cell>
          <cell r="Y161">
            <v>2.5333350730781099</v>
          </cell>
          <cell r="Z161">
            <v>2.5417357672135101</v>
          </cell>
          <cell r="AA161">
            <v>2.5392022265807799</v>
          </cell>
          <cell r="AE161">
            <v>-5.6990473846778101E-3</v>
          </cell>
          <cell r="AF161">
            <v>-2.5329758688408398E-3</v>
          </cell>
          <cell r="AG161">
            <v>-3.7168816841461698E-3</v>
          </cell>
          <cell r="BY161">
            <v>1.7334108769404503E-2</v>
          </cell>
        </row>
        <row r="162">
          <cell r="O162">
            <v>2.5326711528669299</v>
          </cell>
          <cell r="P162">
            <v>2.5417378003895799</v>
          </cell>
          <cell r="Q162">
            <v>2.5398619220985998</v>
          </cell>
          <cell r="U162">
            <v>-5.1751673726592199E-3</v>
          </cell>
          <cell r="V162">
            <v>-1.60248424687826E-3</v>
          </cell>
          <cell r="W162">
            <v>-2.5997571306653399E-3</v>
          </cell>
          <cell r="Y162">
            <v>2.5333350730781099</v>
          </cell>
          <cell r="Z162">
            <v>2.5417378003895799</v>
          </cell>
          <cell r="AA162">
            <v>2.5398619220985998</v>
          </cell>
          <cell r="AE162">
            <v>-4.9130594377818403E-3</v>
          </cell>
          <cell r="AF162">
            <v>-1.60248424687814E-3</v>
          </cell>
          <cell r="AG162">
            <v>-2.5997571306653399E-3</v>
          </cell>
          <cell r="BY162">
            <v>1.8120096716300424E-2</v>
          </cell>
        </row>
        <row r="163">
          <cell r="O163">
            <v>2.5326711528669299</v>
          </cell>
          <cell r="P163">
            <v>2.5414698992988098</v>
          </cell>
          <cell r="Q163">
            <v>2.5401865857305101</v>
          </cell>
          <cell r="U163">
            <v>-3.2767153155130201E-3</v>
          </cell>
          <cell r="V163">
            <v>2.9676772632618699E-4</v>
          </cell>
          <cell r="W163">
            <v>-4.41534571623822E-4</v>
          </cell>
          <cell r="Y163">
            <v>2.5333350730781099</v>
          </cell>
          <cell r="Z163">
            <v>2.5414698992988098</v>
          </cell>
          <cell r="AA163">
            <v>2.5401865857305101</v>
          </cell>
          <cell r="AE163">
            <v>-3.0146073806356401E-3</v>
          </cell>
          <cell r="AF163">
            <v>2.96767726325965E-4</v>
          </cell>
          <cell r="AG163">
            <v>-4.41534571623822E-4</v>
          </cell>
          <cell r="BY163">
            <v>2.0018548773446609E-2</v>
          </cell>
        </row>
        <row r="164">
          <cell r="O164">
            <v>2.5326711528669299</v>
          </cell>
          <cell r="P164">
            <v>2.5411003905274399</v>
          </cell>
          <cell r="Q164">
            <v>2.5402925562455598</v>
          </cell>
          <cell r="U164">
            <v>-2.6596849620726202E-3</v>
          </cell>
          <cell r="V164">
            <v>8.08391766728559E-4</v>
          </cell>
          <cell r="W164">
            <v>3.0331488899726198E-4</v>
          </cell>
          <cell r="Y164">
            <v>2.5333350730781099</v>
          </cell>
          <cell r="Z164">
            <v>2.5411003905274399</v>
          </cell>
          <cell r="AA164">
            <v>2.5402925562455598</v>
          </cell>
          <cell r="AE164">
            <v>-2.3975770271953099E-3</v>
          </cell>
          <cell r="AF164">
            <v>8.08391766728559E-4</v>
          </cell>
          <cell r="AG164">
            <v>3.0331488899726198E-4</v>
          </cell>
          <cell r="BY164">
            <v>2.0635579126887009E-2</v>
          </cell>
        </row>
        <row r="165">
          <cell r="O165">
            <v>2.5326711528669299</v>
          </cell>
          <cell r="P165">
            <v>2.5410178725924699</v>
          </cell>
          <cell r="Q165">
            <v>2.5406261041242701</v>
          </cell>
          <cell r="U165">
            <v>-2.5503089175015199E-3</v>
          </cell>
          <cell r="V165">
            <v>7.7236548493685197E-4</v>
          </cell>
          <cell r="W165">
            <v>4.5440767409752703E-4</v>
          </cell>
          <cell r="Y165">
            <v>2.5333350730781099</v>
          </cell>
          <cell r="Z165">
            <v>2.5410178725924699</v>
          </cell>
          <cell r="AA165">
            <v>2.5406261041242701</v>
          </cell>
          <cell r="AE165">
            <v>-2.2882009826241702E-3</v>
          </cell>
          <cell r="AF165">
            <v>7.7236548493663003E-4</v>
          </cell>
          <cell r="AG165">
            <v>4.5440767409752703E-4</v>
          </cell>
          <cell r="BY165">
            <v>2.0635579126887009E-2</v>
          </cell>
        </row>
        <row r="166">
          <cell r="O166">
            <v>2.5326711528669299</v>
          </cell>
          <cell r="P166">
            <v>2.5413749508820702</v>
          </cell>
          <cell r="Q166">
            <v>2.5410770043654498</v>
          </cell>
          <cell r="U166">
            <v>-4.13997998840448E-3</v>
          </cell>
          <cell r="V166">
            <v>-8.4977942097445999E-4</v>
          </cell>
          <cell r="W166">
            <v>-1.0039690772219599E-3</v>
          </cell>
          <cell r="Y166">
            <v>2.5333350730781099</v>
          </cell>
          <cell r="Z166">
            <v>2.5413749508820702</v>
          </cell>
          <cell r="AA166">
            <v>2.5410770043654498</v>
          </cell>
          <cell r="AE166">
            <v>-3.8778720535271398E-3</v>
          </cell>
          <cell r="AF166">
            <v>-8.4977942097457101E-4</v>
          </cell>
          <cell r="AG166">
            <v>-1.0039690772219599E-3</v>
          </cell>
          <cell r="BY166">
            <v>2.0635579126887009E-2</v>
          </cell>
        </row>
        <row r="167">
          <cell r="O167">
            <v>2.5326711528669299</v>
          </cell>
          <cell r="P167">
            <v>2.5422759106931099</v>
          </cell>
          <cell r="Q167">
            <v>2.54163677975493</v>
          </cell>
          <cell r="U167">
            <v>-5.9223002295434998E-3</v>
          </cell>
          <cell r="V167">
            <v>-2.4915838450192298E-3</v>
          </cell>
          <cell r="W167">
            <v>-2.6088290328090602E-3</v>
          </cell>
          <cell r="Y167">
            <v>2.5333350730781099</v>
          </cell>
          <cell r="Z167">
            <v>2.5422759106931099</v>
          </cell>
          <cell r="AA167">
            <v>2.54163677975493</v>
          </cell>
          <cell r="AE167">
            <v>-5.66019229466616E-3</v>
          </cell>
          <cell r="AF167">
            <v>-2.4915838450192298E-3</v>
          </cell>
          <cell r="AG167">
            <v>-2.60882903280895E-3</v>
          </cell>
          <cell r="BY167">
            <v>2.0635579126887009E-2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1D55F-0E82-407E-903B-F1AACF3DDF08}">
  <dimension ref="A1:BY167"/>
  <sheetViews>
    <sheetView tabSelected="1" topLeftCell="AG1" workbookViewId="0">
      <selection activeCell="AG14" sqref="AG14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BG1" s="6"/>
      <c r="BH1" s="6"/>
      <c r="BI1" s="6"/>
      <c r="BJ1" s="7">
        <f>BJ167</f>
        <v>1.5131190396739123E-2</v>
      </c>
      <c r="BS1" s="6"/>
      <c r="BT1" s="6"/>
      <c r="BU1" s="6"/>
      <c r="BV1" s="7">
        <f>BV167</f>
        <v>3.315815804039419E-3</v>
      </c>
      <c r="BY1" s="7">
        <f>BY167</f>
        <v>1.8447006200778542E-2</v>
      </c>
    </row>
    <row r="2" spans="1:77" x14ac:dyDescent="0.3">
      <c r="A2" s="1">
        <v>46024</v>
      </c>
      <c r="B2" s="8">
        <v>43.18</v>
      </c>
      <c r="C2" s="8">
        <v>109.52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43.18</v>
      </c>
      <c r="M2" s="8">
        <v>109.52</v>
      </c>
      <c r="N2" s="10">
        <v>2.5363594256600202</v>
      </c>
      <c r="O2" s="10">
        <v>2.5326711528669299</v>
      </c>
      <c r="X2" s="10">
        <v>2.5363594256600202</v>
      </c>
      <c r="Y2" s="10">
        <v>2.53031067016226</v>
      </c>
    </row>
    <row r="3" spans="1:77" x14ac:dyDescent="0.3">
      <c r="A3" s="1">
        <v>46027</v>
      </c>
      <c r="B3" s="8">
        <v>42.7</v>
      </c>
      <c r="C3" s="8">
        <v>108.41</v>
      </c>
      <c r="D3" s="9">
        <v>-1.1178504852082299E-2</v>
      </c>
      <c r="E3" s="9">
        <v>-1.0186845306993E-2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42.7</v>
      </c>
      <c r="M3" s="8">
        <v>108.41</v>
      </c>
      <c r="N3" s="10">
        <v>2.5388758782201402</v>
      </c>
      <c r="O3" s="10">
        <v>2.5326711528669299</v>
      </c>
      <c r="R3" s="8">
        <v>108.14505822741801</v>
      </c>
      <c r="U3" s="9">
        <v>-2.4468780081992199E-3</v>
      </c>
      <c r="X3" s="10">
        <v>2.5388758782201402</v>
      </c>
      <c r="Y3" s="10">
        <v>2.53031067016226</v>
      </c>
      <c r="AB3" s="8">
        <v>108.044265615928</v>
      </c>
      <c r="AE3" s="9">
        <v>-3.3793257072862399E-3</v>
      </c>
    </row>
    <row r="4" spans="1:77" x14ac:dyDescent="0.3">
      <c r="A4" s="1">
        <v>46028</v>
      </c>
      <c r="B4" s="8">
        <v>42.91</v>
      </c>
      <c r="C4" s="8">
        <v>108.86</v>
      </c>
      <c r="D4" s="9">
        <v>4.9059787688544004E-3</v>
      </c>
      <c r="E4" s="9">
        <v>4.1423173328536001E-3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42.91</v>
      </c>
      <c r="M4" s="8">
        <v>108.86</v>
      </c>
      <c r="N4" s="10">
        <v>2.5369377767420098</v>
      </c>
      <c r="O4" s="10">
        <v>2.5326711528669299</v>
      </c>
      <c r="R4" s="8">
        <v>108.67691916952</v>
      </c>
      <c r="U4" s="9">
        <v>-1.6832165721984301E-3</v>
      </c>
      <c r="X4" s="10">
        <v>2.5369377767420098</v>
      </c>
      <c r="Y4" s="10">
        <v>2.53031067016226</v>
      </c>
      <c r="AB4" s="8">
        <v>108.575630856662</v>
      </c>
      <c r="AE4" s="9">
        <v>-2.6156642712854999E-3</v>
      </c>
    </row>
    <row r="5" spans="1:77" x14ac:dyDescent="0.3">
      <c r="A5" s="1">
        <v>46029</v>
      </c>
      <c r="B5" s="8">
        <v>41.87</v>
      </c>
      <c r="C5" s="8">
        <v>106.3</v>
      </c>
      <c r="D5" s="9">
        <v>-2.4535318972381301E-2</v>
      </c>
      <c r="E5" s="9">
        <v>-2.37973676581517E-2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41.87</v>
      </c>
      <c r="M5" s="8">
        <v>106.3</v>
      </c>
      <c r="N5" s="10">
        <v>2.5388106042512502</v>
      </c>
      <c r="O5" s="10">
        <v>2.5326711528669299</v>
      </c>
      <c r="R5" s="8">
        <v>106.042941170538</v>
      </c>
      <c r="U5" s="9">
        <v>-2.42116788642804E-3</v>
      </c>
      <c r="X5" s="10">
        <v>2.5388106042512502</v>
      </c>
      <c r="Y5" s="10">
        <v>2.53031067016226</v>
      </c>
      <c r="AB5" s="8">
        <v>105.944107759693</v>
      </c>
      <c r="AE5" s="9">
        <v>-3.3536155855151402E-3</v>
      </c>
    </row>
    <row r="6" spans="1:77" x14ac:dyDescent="0.3">
      <c r="A6" s="1">
        <v>46030</v>
      </c>
      <c r="B6" s="8">
        <v>41.99</v>
      </c>
      <c r="C6" s="8">
        <v>106.66</v>
      </c>
      <c r="D6" s="9">
        <v>2.8619146650500299E-3</v>
      </c>
      <c r="E6" s="9">
        <v>3.3809198245538402E-3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41.99</v>
      </c>
      <c r="M6" s="8">
        <v>106.66</v>
      </c>
      <c r="N6" s="10">
        <v>2.5401286020481</v>
      </c>
      <c r="O6" s="10">
        <v>2.5326711528669299</v>
      </c>
      <c r="R6" s="8">
        <v>106.346861708882</v>
      </c>
      <c r="U6" s="9">
        <v>-2.9401730459319001E-3</v>
      </c>
      <c r="X6" s="10">
        <v>2.5401286020481</v>
      </c>
      <c r="Y6" s="10">
        <v>2.53031067016226</v>
      </c>
      <c r="AB6" s="8">
        <v>106.247745040113</v>
      </c>
      <c r="AE6" s="9">
        <v>-3.8726207450190098E-3</v>
      </c>
    </row>
    <row r="7" spans="1:77" x14ac:dyDescent="0.3">
      <c r="A7" s="1">
        <v>46031</v>
      </c>
      <c r="B7" s="8">
        <v>42.51</v>
      </c>
      <c r="C7" s="8">
        <v>107.99</v>
      </c>
      <c r="D7" s="9">
        <v>1.23078476745967E-2</v>
      </c>
      <c r="E7" s="9">
        <v>1.23924250722122E-2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42.51</v>
      </c>
      <c r="M7" s="8">
        <v>107.99</v>
      </c>
      <c r="N7" s="10">
        <v>2.54034344860032</v>
      </c>
      <c r="O7" s="10">
        <v>2.5326711528669299</v>
      </c>
      <c r="R7" s="8">
        <v>107.663850708373</v>
      </c>
      <c r="U7" s="9">
        <v>-3.0247504435474098E-3</v>
      </c>
      <c r="X7" s="10">
        <v>2.54034344860032</v>
      </c>
      <c r="Y7" s="10">
        <v>2.53031067016226</v>
      </c>
      <c r="AB7" s="8">
        <v>107.56350658859699</v>
      </c>
      <c r="AE7" s="9">
        <v>-3.9571981426344298E-3</v>
      </c>
    </row>
    <row r="8" spans="1:77" x14ac:dyDescent="0.3">
      <c r="A8" s="1">
        <v>46034</v>
      </c>
      <c r="B8" s="8">
        <v>42.58</v>
      </c>
      <c r="C8" s="8">
        <v>108.07</v>
      </c>
      <c r="D8" s="9">
        <v>1.64531709463467E-3</v>
      </c>
      <c r="E8" s="9">
        <v>7.4053507040589797E-4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42.58</v>
      </c>
      <c r="M8" s="8">
        <v>108.07</v>
      </c>
      <c r="N8" s="10">
        <v>2.53804603100046</v>
      </c>
      <c r="O8" s="10">
        <v>2.5326711528669299</v>
      </c>
      <c r="R8" s="8">
        <v>107.841137689074</v>
      </c>
      <c r="U8" s="9">
        <v>-2.11996841931863E-3</v>
      </c>
      <c r="X8" s="10">
        <v>2.53804603100046</v>
      </c>
      <c r="Y8" s="10">
        <v>2.53031067016226</v>
      </c>
      <c r="AB8" s="8">
        <v>107.740628335509</v>
      </c>
      <c r="AE8" s="9">
        <v>-3.0524161184055602E-3</v>
      </c>
    </row>
    <row r="9" spans="1:77" x14ac:dyDescent="0.3">
      <c r="A9" s="1">
        <v>46035</v>
      </c>
      <c r="B9" s="8">
        <v>42.85</v>
      </c>
      <c r="C9" s="8">
        <v>108.72</v>
      </c>
      <c r="D9" s="9">
        <v>6.3209855784553898E-3</v>
      </c>
      <c r="E9" s="9">
        <v>5.9966045278140798E-3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42.85</v>
      </c>
      <c r="M9" s="8">
        <v>108.72</v>
      </c>
      <c r="N9" s="10">
        <v>2.5372228704784101</v>
      </c>
      <c r="O9" s="10">
        <v>2.5326711528669299</v>
      </c>
      <c r="R9" s="8">
        <v>108.524958900348</v>
      </c>
      <c r="U9" s="9">
        <v>-1.7955873686771901E-3</v>
      </c>
      <c r="X9" s="10">
        <v>2.5372228704784101</v>
      </c>
      <c r="Y9" s="10">
        <v>2.53031067016226</v>
      </c>
      <c r="AB9" s="8">
        <v>108.42381221645201</v>
      </c>
      <c r="AE9" s="9">
        <v>-2.7280350677643E-3</v>
      </c>
      <c r="BJ9" s="12">
        <f>AVERAGE(BI22:BI200)</f>
        <v>1.0363829038862413E-4</v>
      </c>
      <c r="BV9" s="12">
        <f>AVERAGE(BU22:BU200)</f>
        <v>2.2711067150954925E-5</v>
      </c>
      <c r="BY9" s="12">
        <f>AVERAGE(BX22:BX200)</f>
        <v>1.2634935753957904E-4</v>
      </c>
    </row>
    <row r="10" spans="1:77" x14ac:dyDescent="0.3">
      <c r="A10" s="1">
        <v>46036</v>
      </c>
      <c r="B10" s="8">
        <v>43.17</v>
      </c>
      <c r="C10" s="8">
        <v>109.47</v>
      </c>
      <c r="D10" s="9">
        <v>7.4401645235974197E-3</v>
      </c>
      <c r="E10" s="9">
        <v>6.8747692735776399E-3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43.17</v>
      </c>
      <c r="M10" s="8">
        <v>109.47</v>
      </c>
      <c r="N10" s="10">
        <v>2.5357887421820702</v>
      </c>
      <c r="O10" s="10">
        <v>2.5326711528669299</v>
      </c>
      <c r="R10" s="8">
        <v>109.33541366926499</v>
      </c>
      <c r="U10" s="9">
        <v>-1.23019211865749E-3</v>
      </c>
      <c r="X10" s="10">
        <v>2.5357887421820702</v>
      </c>
      <c r="Y10" s="10">
        <v>2.53031067016226</v>
      </c>
      <c r="AB10" s="8">
        <v>109.233511630904</v>
      </c>
      <c r="AE10" s="9">
        <v>-2.1626398177445401E-3</v>
      </c>
      <c r="AZ10" s="13"/>
      <c r="BJ10" s="12">
        <f>STDEV(BI22:BI200)</f>
        <v>6.1632805779200271E-4</v>
      </c>
      <c r="BL10" s="13"/>
      <c r="BV10" s="12">
        <f>STDEV(BU22:BU200)</f>
        <v>4.8782081012343522E-4</v>
      </c>
      <c r="BY10" s="12">
        <f>STDEV(BX22:BX200)</f>
        <v>7.8300030647489424E-4</v>
      </c>
    </row>
    <row r="11" spans="1:77" x14ac:dyDescent="0.3">
      <c r="A11" s="1">
        <v>46037</v>
      </c>
      <c r="B11" s="8">
        <v>43.61</v>
      </c>
      <c r="C11" s="8">
        <v>110.72</v>
      </c>
      <c r="D11" s="9">
        <v>1.01406722872888E-2</v>
      </c>
      <c r="E11" s="9">
        <v>1.13539527528935E-2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43.61</v>
      </c>
      <c r="M11" s="8">
        <v>110.72</v>
      </c>
      <c r="N11" s="10">
        <v>2.5388672322861701</v>
      </c>
      <c r="O11" s="10">
        <v>2.5326711528669299</v>
      </c>
      <c r="P11" s="10">
        <v>2.5381380611469</v>
      </c>
      <c r="R11" s="8">
        <v>110.44978897652599</v>
      </c>
      <c r="U11" s="9">
        <v>-2.4434725842621499E-3</v>
      </c>
      <c r="X11" s="10">
        <v>2.5388672322861701</v>
      </c>
      <c r="Y11" s="10">
        <v>2.53031067016226</v>
      </c>
      <c r="Z11" s="10">
        <v>2.5381380611469</v>
      </c>
      <c r="AB11" s="8">
        <v>110.34684832577599</v>
      </c>
      <c r="AE11" s="9">
        <v>-3.37592028334925E-3</v>
      </c>
      <c r="BJ11">
        <f>SQRT(252)*BJ9/BJ10</f>
        <v>2.6693687480773294</v>
      </c>
      <c r="BV11">
        <f>SQRT(252)*BV9/BV10</f>
        <v>0.73905624085750699</v>
      </c>
      <c r="BY11">
        <f>SQRT(252)*BY9/BY10</f>
        <v>2.5616003641237031</v>
      </c>
    </row>
    <row r="12" spans="1:77" x14ac:dyDescent="0.3">
      <c r="A12" s="1">
        <v>46038</v>
      </c>
      <c r="B12" s="8">
        <v>43.39</v>
      </c>
      <c r="C12" s="8">
        <v>110.09</v>
      </c>
      <c r="D12" s="9">
        <v>-5.0574820444156702E-3</v>
      </c>
      <c r="E12" s="9">
        <v>-5.7062787870476297E-3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43.39</v>
      </c>
      <c r="M12" s="8">
        <v>110.09</v>
      </c>
      <c r="N12" s="10">
        <v>2.5372205577321898</v>
      </c>
      <c r="O12" s="10">
        <v>2.5326711528669299</v>
      </c>
      <c r="P12" s="10">
        <v>2.5382241743541099</v>
      </c>
      <c r="R12" s="8">
        <v>109.892601322896</v>
      </c>
      <c r="S12" s="8">
        <v>110.129810473163</v>
      </c>
      <c r="U12" s="9">
        <v>-1.7946758416301899E-3</v>
      </c>
      <c r="V12" s="9">
        <v>3.6155215565868701E-4</v>
      </c>
      <c r="X12" s="10">
        <v>2.5372205577321898</v>
      </c>
      <c r="Y12" s="10">
        <v>2.53031067016226</v>
      </c>
      <c r="Z12" s="10">
        <v>2.5382241743541099</v>
      </c>
      <c r="AB12" s="8">
        <v>109.79017997834001</v>
      </c>
      <c r="AC12" s="8">
        <v>110.129810473163</v>
      </c>
      <c r="AE12" s="9">
        <v>-2.7271235407172602E-3</v>
      </c>
      <c r="AF12" s="9">
        <v>3.6155215565868701E-4</v>
      </c>
    </row>
    <row r="13" spans="1:77" x14ac:dyDescent="0.3">
      <c r="A13" s="1">
        <v>46042</v>
      </c>
      <c r="B13" s="8">
        <v>42.96</v>
      </c>
      <c r="C13" s="8">
        <v>108.99</v>
      </c>
      <c r="D13" s="9">
        <v>-9.9595496096500993E-3</v>
      </c>
      <c r="E13" s="9">
        <v>-1.0042078181091501E-2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42.96</v>
      </c>
      <c r="M13" s="8">
        <v>108.99</v>
      </c>
      <c r="N13" s="10">
        <v>2.5370111731843501</v>
      </c>
      <c r="O13" s="10">
        <v>2.5326711528669299</v>
      </c>
      <c r="P13" s="10">
        <v>2.53803770385053</v>
      </c>
      <c r="R13" s="8">
        <v>108.80355272716299</v>
      </c>
      <c r="S13" s="8">
        <v>109.042110530252</v>
      </c>
      <c r="U13" s="9">
        <v>-1.7121472701886499E-3</v>
      </c>
      <c r="V13" s="9">
        <v>4.78007859653287E-4</v>
      </c>
      <c r="X13" s="10">
        <v>2.5370111731843501</v>
      </c>
      <c r="Y13" s="10">
        <v>2.53031067016226</v>
      </c>
      <c r="Z13" s="10">
        <v>2.53803770385053</v>
      </c>
      <c r="AB13" s="8">
        <v>108.70214639017</v>
      </c>
      <c r="AC13" s="8">
        <v>109.042110530252</v>
      </c>
      <c r="AE13" s="9">
        <v>-2.6445949692757102E-3</v>
      </c>
      <c r="AF13" s="9">
        <v>4.78007859653287E-4</v>
      </c>
    </row>
    <row r="14" spans="1:77" x14ac:dyDescent="0.3">
      <c r="A14" s="1">
        <v>46043</v>
      </c>
      <c r="B14" s="8">
        <v>43.02</v>
      </c>
      <c r="C14" s="8">
        <v>109.45</v>
      </c>
      <c r="D14" s="9">
        <v>1.3956736389747499E-3</v>
      </c>
      <c r="E14" s="9">
        <v>4.2116890676518201E-3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43.02</v>
      </c>
      <c r="M14" s="8">
        <v>109.45</v>
      </c>
      <c r="N14" s="10">
        <v>2.5441655044165499</v>
      </c>
      <c r="O14" s="10">
        <v>2.5326711528669299</v>
      </c>
      <c r="P14" s="10">
        <v>2.5387604766179899</v>
      </c>
      <c r="R14" s="8">
        <v>108.955512996335</v>
      </c>
      <c r="S14" s="8">
        <v>109.18638201965</v>
      </c>
      <c r="U14" s="9">
        <v>-4.5281626988655996E-3</v>
      </c>
      <c r="V14" s="9">
        <v>-2.4114752143645402E-3</v>
      </c>
      <c r="X14" s="10">
        <v>2.5441655044165499</v>
      </c>
      <c r="Y14" s="10">
        <v>2.53031067016226</v>
      </c>
      <c r="Z14" s="10">
        <v>2.5387604766179899</v>
      </c>
      <c r="AB14" s="8">
        <v>108.85396503038</v>
      </c>
      <c r="AC14" s="8">
        <v>109.18638201965</v>
      </c>
      <c r="AE14" s="9">
        <v>-5.4606103979527396E-3</v>
      </c>
      <c r="AF14" s="9">
        <v>-2.4114752143645402E-3</v>
      </c>
    </row>
    <row r="15" spans="1:77" x14ac:dyDescent="0.3">
      <c r="A15" s="1">
        <v>46044</v>
      </c>
      <c r="B15" s="8">
        <v>42.71</v>
      </c>
      <c r="C15" s="8">
        <v>108.88</v>
      </c>
      <c r="D15" s="9">
        <v>-7.2320389862089397E-3</v>
      </c>
      <c r="E15" s="9">
        <v>-5.2214656256613897E-3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42.71</v>
      </c>
      <c r="M15" s="8">
        <v>108.88</v>
      </c>
      <c r="N15" s="10">
        <v>2.5492858815265702</v>
      </c>
      <c r="O15" s="10">
        <v>2.5326711528669299</v>
      </c>
      <c r="P15" s="10">
        <v>2.5398080043455198</v>
      </c>
      <c r="R15" s="8">
        <v>108.170384938946</v>
      </c>
      <c r="S15" s="8">
        <v>108.430459956354</v>
      </c>
      <c r="U15" s="9">
        <v>-6.5387360594132797E-3</v>
      </c>
      <c r="V15" s="9">
        <v>-4.1373129022918096E-3</v>
      </c>
      <c r="X15" s="10">
        <v>2.5492858815265702</v>
      </c>
      <c r="Y15" s="10">
        <v>2.53031067016226</v>
      </c>
      <c r="Z15" s="10">
        <v>2.5398080043455198</v>
      </c>
      <c r="AB15" s="8">
        <v>108.06956872263</v>
      </c>
      <c r="AC15" s="8">
        <v>108.430459956354</v>
      </c>
      <c r="AE15" s="9">
        <v>-7.4711837585002498E-3</v>
      </c>
      <c r="AF15" s="9">
        <v>-4.1373129022918096E-3</v>
      </c>
    </row>
    <row r="16" spans="1:77" x14ac:dyDescent="0.3">
      <c r="A16" s="1">
        <v>46045</v>
      </c>
      <c r="B16" s="8">
        <v>42.56</v>
      </c>
      <c r="C16" s="8">
        <v>108.5</v>
      </c>
      <c r="D16" s="9">
        <v>-3.5182398199861001E-3</v>
      </c>
      <c r="E16" s="9">
        <v>-3.4961853626962998E-3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42.56</v>
      </c>
      <c r="M16" s="8">
        <v>108.5</v>
      </c>
      <c r="N16" s="10">
        <v>2.54934210526315</v>
      </c>
      <c r="O16" s="10">
        <v>2.5326711528669299</v>
      </c>
      <c r="P16" s="10">
        <v>2.54072935466702</v>
      </c>
      <c r="R16" s="8">
        <v>107.79048426601599</v>
      </c>
      <c r="S16" s="8">
        <v>108.09422866494501</v>
      </c>
      <c r="U16" s="9">
        <v>-6.5607905167030002E-3</v>
      </c>
      <c r="V16" s="9">
        <v>-3.7468386140053502E-3</v>
      </c>
      <c r="X16" s="10">
        <v>2.54934210526315</v>
      </c>
      <c r="Y16" s="10">
        <v>2.53031067016226</v>
      </c>
      <c r="Z16" s="10">
        <v>2.54072935466702</v>
      </c>
      <c r="AB16" s="8">
        <v>107.69002212210501</v>
      </c>
      <c r="AC16" s="8">
        <v>108.09422866494501</v>
      </c>
      <c r="AE16" s="9">
        <v>-7.4932382157901099E-3</v>
      </c>
      <c r="AF16" s="9">
        <v>-3.7468386140053502E-3</v>
      </c>
    </row>
    <row r="17" spans="1:77" x14ac:dyDescent="0.3">
      <c r="A17" s="1">
        <v>46048</v>
      </c>
      <c r="B17" s="8">
        <v>42.87</v>
      </c>
      <c r="C17" s="8">
        <v>109.26</v>
      </c>
      <c r="D17" s="9">
        <v>7.2574355764966998E-3</v>
      </c>
      <c r="E17" s="9">
        <v>6.9801899870573503E-3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42.87</v>
      </c>
      <c r="M17" s="8">
        <v>109.26</v>
      </c>
      <c r="N17" s="10">
        <v>2.5486354093771801</v>
      </c>
      <c r="O17" s="10">
        <v>2.5326711528669299</v>
      </c>
      <c r="P17" s="10">
        <v>2.54155855074471</v>
      </c>
      <c r="R17" s="8">
        <v>108.575612323405</v>
      </c>
      <c r="S17" s="8">
        <v>108.92106743457499</v>
      </c>
      <c r="U17" s="9">
        <v>-6.2835449272637903E-3</v>
      </c>
      <c r="V17" s="9">
        <v>-3.1068950394914099E-3</v>
      </c>
      <c r="X17" s="10">
        <v>2.5486354093771801</v>
      </c>
      <c r="Y17" s="10">
        <v>2.53031067016226</v>
      </c>
      <c r="Z17" s="10">
        <v>2.54155855074471</v>
      </c>
      <c r="AB17" s="8">
        <v>108.474418429856</v>
      </c>
      <c r="AC17" s="8">
        <v>108.92106743457499</v>
      </c>
      <c r="AE17" s="9">
        <v>-7.2159926263509E-3</v>
      </c>
      <c r="AF17" s="9">
        <v>-3.1068950394914099E-3</v>
      </c>
    </row>
    <row r="18" spans="1:77" x14ac:dyDescent="0.3">
      <c r="A18" s="1">
        <v>46049</v>
      </c>
      <c r="B18" s="8">
        <v>43.43</v>
      </c>
      <c r="C18" s="8">
        <v>110.5</v>
      </c>
      <c r="D18" s="9">
        <v>1.2978165936844701E-2</v>
      </c>
      <c r="E18" s="9">
        <v>1.12851579902358E-2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43.43</v>
      </c>
      <c r="M18" s="8">
        <v>110.5</v>
      </c>
      <c r="N18" s="10">
        <v>2.54432419986184</v>
      </c>
      <c r="O18" s="10">
        <v>2.5326711528669299</v>
      </c>
      <c r="P18" s="10">
        <v>2.5421863676308498</v>
      </c>
      <c r="R18" s="8">
        <v>109.99390816901</v>
      </c>
      <c r="S18" s="8">
        <v>110.379887858842</v>
      </c>
      <c r="U18" s="9">
        <v>-4.59053698065483E-3</v>
      </c>
      <c r="V18" s="9">
        <v>-1.08757890236821E-3</v>
      </c>
      <c r="X18" s="10">
        <v>2.54432419986184</v>
      </c>
      <c r="Y18" s="10">
        <v>2.53031067016226</v>
      </c>
      <c r="Z18" s="10">
        <v>2.5421863676308498</v>
      </c>
      <c r="AB18" s="8">
        <v>109.89139240514599</v>
      </c>
      <c r="AC18" s="8">
        <v>110.379887858842</v>
      </c>
      <c r="AE18" s="9">
        <v>-5.5229846797419302E-3</v>
      </c>
      <c r="AF18" s="9">
        <v>-1.08757890236821E-3</v>
      </c>
    </row>
    <row r="19" spans="1:77" x14ac:dyDescent="0.3">
      <c r="A19" s="1">
        <v>46050</v>
      </c>
      <c r="B19" s="8">
        <v>43.33</v>
      </c>
      <c r="C19" s="8">
        <v>110.31</v>
      </c>
      <c r="D19" s="9">
        <v>-2.3052107949124399E-3</v>
      </c>
      <c r="E19" s="9">
        <v>-1.72093697651719E-3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43.33</v>
      </c>
      <c r="M19" s="8">
        <v>110.31</v>
      </c>
      <c r="N19" s="10">
        <v>2.5458112162474</v>
      </c>
      <c r="O19" s="10">
        <v>2.5326711528669299</v>
      </c>
      <c r="P19" s="10">
        <v>2.5430452022077499</v>
      </c>
      <c r="R19" s="8">
        <v>109.740641053724</v>
      </c>
      <c r="S19" s="8">
        <v>110.152935309444</v>
      </c>
      <c r="U19" s="9">
        <v>-5.1748107990500797E-3</v>
      </c>
      <c r="V19" s="9">
        <v>-1.42486279526209E-3</v>
      </c>
      <c r="X19" s="10">
        <v>2.5458112162474</v>
      </c>
      <c r="Y19" s="10">
        <v>2.53031067016226</v>
      </c>
      <c r="Z19" s="10">
        <v>2.5430452022077499</v>
      </c>
      <c r="AB19" s="8">
        <v>109.63836133813</v>
      </c>
      <c r="AC19" s="8">
        <v>110.152935309444</v>
      </c>
      <c r="AE19" s="9">
        <v>-6.1072584981371704E-3</v>
      </c>
      <c r="AF19" s="9">
        <v>-1.42486279526209E-3</v>
      </c>
      <c r="BX19" s="6" t="s">
        <v>33</v>
      </c>
      <c r="BY19" s="6" t="s">
        <v>33</v>
      </c>
    </row>
    <row r="20" spans="1:77" x14ac:dyDescent="0.3">
      <c r="A20" s="1">
        <v>46051</v>
      </c>
      <c r="B20" s="8">
        <v>43.33</v>
      </c>
      <c r="C20" s="8">
        <v>110</v>
      </c>
      <c r="D20" s="9">
        <v>0</v>
      </c>
      <c r="E20" s="9">
        <v>-2.8142181888741401E-3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43.33</v>
      </c>
      <c r="M20" s="8">
        <v>110</v>
      </c>
      <c r="N20" s="10">
        <v>2.5386568197553601</v>
      </c>
      <c r="O20" s="10">
        <v>2.5326711528669299</v>
      </c>
      <c r="P20" s="10">
        <v>2.5433320099650798</v>
      </c>
      <c r="R20" s="8">
        <v>109.740641053724</v>
      </c>
      <c r="S20" s="8">
        <v>110.190148611661</v>
      </c>
      <c r="U20" s="9">
        <v>-2.3605926101759899E-3</v>
      </c>
      <c r="V20" s="9">
        <v>1.7271313919199999E-3</v>
      </c>
      <c r="X20" s="10">
        <v>2.5386568197553601</v>
      </c>
      <c r="Y20" s="10">
        <v>2.53031067016226</v>
      </c>
      <c r="Z20" s="10">
        <v>2.5433320099650798</v>
      </c>
      <c r="AB20" s="8">
        <v>109.63836133813</v>
      </c>
      <c r="AC20" s="8">
        <v>110.190148611661</v>
      </c>
      <c r="AE20" s="9">
        <v>-3.2930403092631001E-3</v>
      </c>
      <c r="AF20" s="9">
        <v>1.7271313919199999E-3</v>
      </c>
      <c r="AZ20" s="14" t="s">
        <v>34</v>
      </c>
      <c r="BA20" s="15">
        <v>-1.1209599027042093E-3</v>
      </c>
      <c r="BB20" s="6" t="s">
        <v>35</v>
      </c>
      <c r="BC20" s="6" t="s">
        <v>36</v>
      </c>
      <c r="BD20" s="6" t="s">
        <v>37</v>
      </c>
      <c r="BE20" s="6" t="s">
        <v>38</v>
      </c>
      <c r="BF20" s="6" t="s">
        <v>39</v>
      </c>
      <c r="BG20" s="6" t="str">
        <f>D1</f>
        <v>XLU log rtn</v>
      </c>
      <c r="BH20" s="6" t="str">
        <f>E1</f>
        <v>IDU log rtn</v>
      </c>
      <c r="BI20" s="6" t="s">
        <v>40</v>
      </c>
      <c r="BJ20" s="6" t="s">
        <v>41</v>
      </c>
      <c r="BL20" s="14" t="s">
        <v>34</v>
      </c>
      <c r="BM20" s="15">
        <v>2.2260370323622628E-3</v>
      </c>
      <c r="BN20" s="6" t="s">
        <v>36</v>
      </c>
      <c r="BO20" s="6" t="s">
        <v>35</v>
      </c>
      <c r="BP20" s="6" t="s">
        <v>37</v>
      </c>
      <c r="BQ20" s="6" t="s">
        <v>38</v>
      </c>
      <c r="BR20" s="6" t="s">
        <v>39</v>
      </c>
      <c r="BS20" s="7" t="str">
        <f>D1</f>
        <v>XLU log rtn</v>
      </c>
      <c r="BT20" s="7" t="str">
        <f>E1</f>
        <v>IDU log rtn</v>
      </c>
      <c r="BU20" s="6" t="s">
        <v>40</v>
      </c>
      <c r="BV20" s="6" t="s">
        <v>41</v>
      </c>
      <c r="BX20" s="6" t="s">
        <v>40</v>
      </c>
      <c r="BY20" s="6" t="s">
        <v>41</v>
      </c>
    </row>
    <row r="21" spans="1:77" x14ac:dyDescent="0.3">
      <c r="A21" s="1">
        <v>46052</v>
      </c>
      <c r="B21" s="8">
        <v>43.25</v>
      </c>
      <c r="C21" s="8">
        <v>109.81</v>
      </c>
      <c r="D21" s="9">
        <v>-1.8480023739296499E-3</v>
      </c>
      <c r="E21" s="9">
        <v>-1.7287661827942999E-3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43.25</v>
      </c>
      <c r="M21" s="8">
        <v>109.81</v>
      </c>
      <c r="N21" s="10">
        <v>2.53895953757225</v>
      </c>
      <c r="O21" s="10">
        <v>2.5326711528669299</v>
      </c>
      <c r="P21" s="10">
        <v>2.5433412404936799</v>
      </c>
      <c r="Q21" s="10">
        <v>2.54073965082029</v>
      </c>
      <c r="R21" s="8">
        <v>109.538027361494</v>
      </c>
      <c r="S21" s="8">
        <v>109.99910943098899</v>
      </c>
      <c r="U21" s="9">
        <v>-2.4798288013113102E-3</v>
      </c>
      <c r="V21" s="9">
        <v>1.72067006810973E-3</v>
      </c>
      <c r="X21" s="10">
        <v>2.53895953757225</v>
      </c>
      <c r="Y21" s="10">
        <v>2.53031067016226</v>
      </c>
      <c r="Z21" s="10">
        <v>2.5433412404936799</v>
      </c>
      <c r="AA21" s="10">
        <v>2.54073965082029</v>
      </c>
      <c r="AB21" s="8">
        <v>109.435936484517</v>
      </c>
      <c r="AC21" s="8">
        <v>109.99910943098899</v>
      </c>
      <c r="AE21" s="9">
        <v>-3.4122765003984602E-3</v>
      </c>
      <c r="AF21" s="9">
        <v>1.72067006810973E-3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42.62</v>
      </c>
      <c r="C22" s="8">
        <v>108.38</v>
      </c>
      <c r="D22" s="9">
        <v>-1.46736067074172E-2</v>
      </c>
      <c r="E22" s="9">
        <v>-1.31080294716538E-2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42.62</v>
      </c>
      <c r="M22" s="8">
        <v>108.38</v>
      </c>
      <c r="N22" s="10">
        <v>2.5429375879868599</v>
      </c>
      <c r="O22" s="10">
        <v>2.5326711528669299</v>
      </c>
      <c r="P22" s="10">
        <v>2.5439129435191501</v>
      </c>
      <c r="Q22" s="10">
        <v>2.54106855893663</v>
      </c>
      <c r="R22" s="8">
        <v>107.942444535188</v>
      </c>
      <c r="S22" s="8">
        <v>108.39720366984101</v>
      </c>
      <c r="T22" s="8">
        <v>108.28632391796</v>
      </c>
      <c r="U22" s="9">
        <v>-4.0454060370748602E-3</v>
      </c>
      <c r="V22" s="9">
        <v>1.58722131164464E-4</v>
      </c>
      <c r="W22" s="9">
        <v>-8.6470371751363995E-4</v>
      </c>
      <c r="X22" s="10">
        <v>2.5429375879868599</v>
      </c>
      <c r="Y22" s="10">
        <v>2.53031067016226</v>
      </c>
      <c r="Z22" s="10">
        <v>2.5439129435191501</v>
      </c>
      <c r="AA22" s="10">
        <v>2.54106855893663</v>
      </c>
      <c r="AB22" s="8">
        <v>107.841840762315</v>
      </c>
      <c r="AC22" s="8">
        <v>108.39720366984101</v>
      </c>
      <c r="AD22" s="8">
        <v>108.28632391796</v>
      </c>
      <c r="AE22" s="9">
        <v>-4.9778537361618797E-3</v>
      </c>
      <c r="AF22" s="9">
        <v>1.58722131164464E-4</v>
      </c>
      <c r="AG22" s="9">
        <v>-8.6470371751363995E-4</v>
      </c>
      <c r="AZ22" s="9"/>
      <c r="BB22">
        <f>IF($AG22&lt;BA$20,1,0)</f>
        <v>0</v>
      </c>
      <c r="BC22">
        <f>IF($AG22&gt;BA$21,1,0)</f>
        <v>0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43.24</v>
      </c>
      <c r="C23" s="8">
        <v>109.89</v>
      </c>
      <c r="D23" s="9">
        <v>1.4442366100536499E-2</v>
      </c>
      <c r="E23" s="9">
        <v>1.3836295320864399E-2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43.24</v>
      </c>
      <c r="M23" s="8">
        <v>109.89</v>
      </c>
      <c r="N23" s="10">
        <v>2.5413968547641002</v>
      </c>
      <c r="O23" s="10">
        <v>2.5326711528669299</v>
      </c>
      <c r="P23" s="10">
        <v>2.5443515116771298</v>
      </c>
      <c r="Q23" s="10">
        <v>2.5411946077638299</v>
      </c>
      <c r="R23" s="8">
        <v>109.51270064996601</v>
      </c>
      <c r="S23" s="8">
        <v>109.998795677768</v>
      </c>
      <c r="T23" s="8">
        <v>109.87580448842</v>
      </c>
      <c r="U23" s="9">
        <v>-3.4393352574029101E-3</v>
      </c>
      <c r="V23" s="9">
        <v>9.8955188972489399E-4</v>
      </c>
      <c r="W23" s="9">
        <v>-1.29187628918202E-4</v>
      </c>
      <c r="X23" s="10">
        <v>2.5413968547641002</v>
      </c>
      <c r="Y23" s="10">
        <v>2.53031067016226</v>
      </c>
      <c r="Z23" s="10">
        <v>2.5443515116771298</v>
      </c>
      <c r="AA23" s="10">
        <v>2.5411946077638299</v>
      </c>
      <c r="AB23" s="8">
        <v>109.410633377816</v>
      </c>
      <c r="AC23" s="8">
        <v>109.998795677768</v>
      </c>
      <c r="AD23" s="8">
        <v>109.87580448842</v>
      </c>
      <c r="AE23" s="9">
        <v>-4.3717829564898997E-3</v>
      </c>
      <c r="AF23" s="9">
        <v>9.8955188972489399E-4</v>
      </c>
      <c r="AG23" s="9">
        <v>-1.29187628918202E-4</v>
      </c>
      <c r="AZ23" s="9"/>
      <c r="BB23">
        <f t="shared" ref="BB23:BB86" si="2">IF($AG23&lt;BA$20,1,0)</f>
        <v>0</v>
      </c>
      <c r="BC23">
        <f t="shared" ref="BC23:BC86" si="3">IF($AG23&gt;BA$21,1,0)</f>
        <v>0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0</v>
      </c>
      <c r="BO23">
        <f t="shared" ref="BO23:BO86" si="11">IF($AG23&lt;BM$21,1,0)</f>
        <v>1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0</v>
      </c>
      <c r="BY23" s="12">
        <f t="shared" ref="BY23:BY86" si="19">BY22+BX23</f>
        <v>0</v>
      </c>
    </row>
    <row r="24" spans="1:77" x14ac:dyDescent="0.3">
      <c r="A24" s="1">
        <v>46057</v>
      </c>
      <c r="B24" s="8">
        <v>43.08</v>
      </c>
      <c r="C24" s="8">
        <v>109.42</v>
      </c>
      <c r="D24" s="9">
        <v>-3.7071404828197901E-3</v>
      </c>
      <c r="E24" s="9">
        <v>-4.2861768231528298E-3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43.08</v>
      </c>
      <c r="M24" s="8">
        <v>109.42</v>
      </c>
      <c r="N24" s="10">
        <v>2.5399257195914502</v>
      </c>
      <c r="O24" s="10">
        <v>2.5326711528669299</v>
      </c>
      <c r="P24" s="10">
        <v>2.5439275331946201</v>
      </c>
      <c r="Q24" s="10">
        <v>2.5413440049062999</v>
      </c>
      <c r="R24" s="8">
        <v>109.107473265507</v>
      </c>
      <c r="S24" s="8">
        <v>109.61066312305</v>
      </c>
      <c r="T24" s="8">
        <v>109.474663702466</v>
      </c>
      <c r="U24" s="9">
        <v>-2.8602989170698799E-3</v>
      </c>
      <c r="V24" s="9">
        <v>1.74097241445832E-3</v>
      </c>
      <c r="W24" s="9">
        <v>4.9945213535797998E-4</v>
      </c>
      <c r="X24" s="10">
        <v>2.5399257195914502</v>
      </c>
      <c r="Y24" s="10">
        <v>2.53031067016226</v>
      </c>
      <c r="Z24" s="10">
        <v>2.5439275331946201</v>
      </c>
      <c r="AA24" s="10">
        <v>2.5413440049062999</v>
      </c>
      <c r="AB24" s="8">
        <v>109.00578367059001</v>
      </c>
      <c r="AC24" s="8">
        <v>109.61066312305</v>
      </c>
      <c r="AD24" s="8">
        <v>109.474663702466</v>
      </c>
      <c r="AE24" s="9">
        <v>-3.79274661615683E-3</v>
      </c>
      <c r="AF24" s="9">
        <v>1.74097241445832E-3</v>
      </c>
      <c r="AG24" s="9">
        <v>4.9945213535797998E-4</v>
      </c>
      <c r="AZ24" s="9"/>
      <c r="BB24">
        <f t="shared" si="2"/>
        <v>0</v>
      </c>
      <c r="BC24">
        <f t="shared" si="3"/>
        <v>1</v>
      </c>
      <c r="BD24">
        <f t="shared" si="4"/>
        <v>0</v>
      </c>
      <c r="BE24">
        <f t="shared" si="0"/>
        <v>1</v>
      </c>
      <c r="BF24">
        <f t="shared" si="5"/>
        <v>0</v>
      </c>
      <c r="BG24" s="9">
        <f t="shared" si="6"/>
        <v>0</v>
      </c>
      <c r="BH24" s="9">
        <f t="shared" si="7"/>
        <v>0</v>
      </c>
      <c r="BI24" s="9">
        <f t="shared" si="8"/>
        <v>0</v>
      </c>
      <c r="BJ24" s="12">
        <f t="shared" si="9"/>
        <v>0</v>
      </c>
      <c r="BL24" s="9"/>
      <c r="BN24">
        <f t="shared" si="10"/>
        <v>0</v>
      </c>
      <c r="BO24">
        <f t="shared" si="11"/>
        <v>0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0</v>
      </c>
      <c r="BY24" s="12">
        <f t="shared" si="19"/>
        <v>0</v>
      </c>
    </row>
    <row r="25" spans="1:77" x14ac:dyDescent="0.3">
      <c r="A25" s="1">
        <v>46058</v>
      </c>
      <c r="B25" s="8">
        <v>43.1</v>
      </c>
      <c r="C25" s="8">
        <v>109.61</v>
      </c>
      <c r="D25" s="9">
        <v>4.6414482151435502E-4</v>
      </c>
      <c r="E25" s="9">
        <v>1.73492259195219E-3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43.1</v>
      </c>
      <c r="M25" s="8">
        <v>109.61</v>
      </c>
      <c r="N25" s="10">
        <v>2.5431554524361899</v>
      </c>
      <c r="O25" s="10">
        <v>2.5326711528669299</v>
      </c>
      <c r="P25" s="10">
        <v>2.5433144902855802</v>
      </c>
      <c r="Q25" s="10">
        <v>2.54156124731555</v>
      </c>
      <c r="R25" s="8">
        <v>109.158126688564</v>
      </c>
      <c r="S25" s="8">
        <v>109.643276680688</v>
      </c>
      <c r="T25" s="8">
        <v>109.531926611461</v>
      </c>
      <c r="U25" s="9">
        <v>-4.1310766875076203E-3</v>
      </c>
      <c r="V25" s="9">
        <v>3.0354557475699098E-4</v>
      </c>
      <c r="W25" s="9">
        <v>-7.1253724057848905E-4</v>
      </c>
      <c r="X25" s="10">
        <v>2.5431554524361899</v>
      </c>
      <c r="Y25" s="10">
        <v>2.53031067016226</v>
      </c>
      <c r="Z25" s="10">
        <v>2.5433144902855802</v>
      </c>
      <c r="AA25" s="10">
        <v>2.54156124731555</v>
      </c>
      <c r="AB25" s="8">
        <v>109.05638988399301</v>
      </c>
      <c r="AC25" s="8">
        <v>109.643276680688</v>
      </c>
      <c r="AD25" s="8">
        <v>109.531926611461</v>
      </c>
      <c r="AE25" s="9">
        <v>-5.0635243865948002E-3</v>
      </c>
      <c r="AF25" s="9">
        <v>3.0354557475699098E-4</v>
      </c>
      <c r="AG25" s="9">
        <v>-7.1253724057848905E-4</v>
      </c>
      <c r="AZ25" s="9"/>
      <c r="BB25">
        <f t="shared" si="2"/>
        <v>0</v>
      </c>
      <c r="BC25">
        <f t="shared" si="3"/>
        <v>0</v>
      </c>
      <c r="BD25">
        <f t="shared" si="4"/>
        <v>0</v>
      </c>
      <c r="BE25">
        <f t="shared" si="0"/>
        <v>1</v>
      </c>
      <c r="BF25">
        <f t="shared" si="5"/>
        <v>0</v>
      </c>
      <c r="BG25" s="9">
        <f t="shared" si="6"/>
        <v>0</v>
      </c>
      <c r="BH25" s="9">
        <f t="shared" si="7"/>
        <v>0</v>
      </c>
      <c r="BI25" s="9">
        <f t="shared" si="8"/>
        <v>0</v>
      </c>
      <c r="BJ25" s="12">
        <f t="shared" si="9"/>
        <v>0</v>
      </c>
      <c r="BL25" s="9"/>
      <c r="BN25">
        <f t="shared" si="10"/>
        <v>0</v>
      </c>
      <c r="BO25">
        <f t="shared" si="11"/>
        <v>1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0</v>
      </c>
      <c r="BY25" s="12">
        <f t="shared" si="19"/>
        <v>0</v>
      </c>
    </row>
    <row r="26" spans="1:77" x14ac:dyDescent="0.3">
      <c r="A26" s="1">
        <v>46059</v>
      </c>
      <c r="B26" s="8">
        <v>43.35</v>
      </c>
      <c r="C26" s="8">
        <v>110.24</v>
      </c>
      <c r="D26" s="9">
        <v>5.7837061168487603E-3</v>
      </c>
      <c r="E26" s="9">
        <v>5.7311960377163396E-3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43.35</v>
      </c>
      <c r="M26" s="8">
        <v>110.24</v>
      </c>
      <c r="N26" s="10">
        <v>2.54302191464821</v>
      </c>
      <c r="O26" s="10">
        <v>2.5326711528669299</v>
      </c>
      <c r="P26" s="10">
        <v>2.5426824712240799</v>
      </c>
      <c r="Q26" s="10">
        <v>2.5417059129455501</v>
      </c>
      <c r="R26" s="8">
        <v>109.791294476781</v>
      </c>
      <c r="S26" s="8">
        <v>110.25268315388</v>
      </c>
      <c r="T26" s="8">
        <v>110.176680071129</v>
      </c>
      <c r="U26" s="9">
        <v>-4.0785666083753697E-3</v>
      </c>
      <c r="V26" s="9">
        <v>1.1504376211163001E-4</v>
      </c>
      <c r="W26" s="9">
        <v>-5.7454753961585505E-4</v>
      </c>
      <c r="X26" s="10">
        <v>2.54302191464821</v>
      </c>
      <c r="Y26" s="10">
        <v>2.53031067016226</v>
      </c>
      <c r="Z26" s="10">
        <v>2.5426824712240799</v>
      </c>
      <c r="AA26" s="10">
        <v>2.5417059129455501</v>
      </c>
      <c r="AB26" s="8">
        <v>109.688967551533</v>
      </c>
      <c r="AC26" s="8">
        <v>110.25268315388</v>
      </c>
      <c r="AD26" s="8">
        <v>110.176680071129</v>
      </c>
      <c r="AE26" s="9">
        <v>-5.0110143074623397E-3</v>
      </c>
      <c r="AF26" s="9">
        <v>1.1504376211163001E-4</v>
      </c>
      <c r="AG26" s="9">
        <v>-5.7454753961585505E-4</v>
      </c>
      <c r="AZ26" s="9"/>
      <c r="BB26">
        <f t="shared" si="2"/>
        <v>0</v>
      </c>
      <c r="BC26">
        <f t="shared" si="3"/>
        <v>0</v>
      </c>
      <c r="BD26">
        <f t="shared" si="4"/>
        <v>0</v>
      </c>
      <c r="BE26">
        <f t="shared" si="0"/>
        <v>1</v>
      </c>
      <c r="BF26">
        <f t="shared" si="5"/>
        <v>0</v>
      </c>
      <c r="BG26" s="9">
        <f t="shared" si="6"/>
        <v>0</v>
      </c>
      <c r="BH26" s="9">
        <f t="shared" si="7"/>
        <v>0</v>
      </c>
      <c r="BI26" s="9">
        <f t="shared" si="8"/>
        <v>0</v>
      </c>
      <c r="BJ26" s="12">
        <f t="shared" si="9"/>
        <v>0</v>
      </c>
      <c r="BL26" s="9"/>
      <c r="BN26">
        <f t="shared" si="10"/>
        <v>0</v>
      </c>
      <c r="BO26">
        <f t="shared" si="11"/>
        <v>1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0</v>
      </c>
      <c r="BX26" s="12">
        <f t="shared" si="18"/>
        <v>0</v>
      </c>
      <c r="BY26" s="12">
        <f t="shared" si="19"/>
        <v>0</v>
      </c>
    </row>
    <row r="27" spans="1:77" x14ac:dyDescent="0.3">
      <c r="A27" s="1">
        <v>46062</v>
      </c>
      <c r="B27" s="8">
        <v>43.48</v>
      </c>
      <c r="C27" s="8">
        <v>110.72</v>
      </c>
      <c r="D27" s="9">
        <v>2.9943590264577299E-3</v>
      </c>
      <c r="E27" s="9">
        <v>4.3446846040111099E-3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43.48</v>
      </c>
      <c r="M27" s="8">
        <v>110.72</v>
      </c>
      <c r="N27" s="10">
        <v>2.5464581416743299</v>
      </c>
      <c r="O27" s="10">
        <v>2.5326711528669299</v>
      </c>
      <c r="P27" s="10">
        <v>2.5424647444538002</v>
      </c>
      <c r="Q27" s="10">
        <v>2.5420116475992498</v>
      </c>
      <c r="R27" s="8">
        <v>110.120541726654</v>
      </c>
      <c r="S27" s="8">
        <v>110.555833848823</v>
      </c>
      <c r="T27" s="8">
        <v>110.51337309487199</v>
      </c>
      <c r="U27" s="9">
        <v>-5.4288921859285497E-3</v>
      </c>
      <c r="V27" s="9">
        <v>-1.4838148246159499E-3</v>
      </c>
      <c r="W27" s="9">
        <v>-1.86795475129009E-3</v>
      </c>
      <c r="X27" s="10">
        <v>2.5464581416743299</v>
      </c>
      <c r="Y27" s="10">
        <v>2.53031067016226</v>
      </c>
      <c r="Z27" s="10">
        <v>2.5424647444538002</v>
      </c>
      <c r="AA27" s="10">
        <v>2.5420116475992498</v>
      </c>
      <c r="AB27" s="8">
        <v>110.017907938655</v>
      </c>
      <c r="AC27" s="8">
        <v>110.555833848823</v>
      </c>
      <c r="AD27" s="8">
        <v>110.51337309487199</v>
      </c>
      <c r="AE27" s="9">
        <v>-6.36133988501559E-3</v>
      </c>
      <c r="AF27" s="9">
        <v>-1.4838148246159499E-3</v>
      </c>
      <c r="AG27" s="9">
        <v>-1.86795475129009E-3</v>
      </c>
      <c r="AZ27" s="9"/>
      <c r="BB27">
        <f t="shared" si="2"/>
        <v>1</v>
      </c>
      <c r="BC27">
        <f t="shared" si="3"/>
        <v>0</v>
      </c>
      <c r="BD27">
        <f t="shared" si="4"/>
        <v>0</v>
      </c>
      <c r="BE27">
        <f t="shared" si="0"/>
        <v>1</v>
      </c>
      <c r="BF27">
        <f t="shared" si="5"/>
        <v>0</v>
      </c>
      <c r="BG27" s="9">
        <f t="shared" si="6"/>
        <v>0</v>
      </c>
      <c r="BH27" s="9">
        <f t="shared" si="7"/>
        <v>0</v>
      </c>
      <c r="BI27" s="9">
        <f t="shared" si="8"/>
        <v>0</v>
      </c>
      <c r="BJ27" s="12">
        <f t="shared" si="9"/>
        <v>0</v>
      </c>
      <c r="BL27" s="9"/>
      <c r="BN27">
        <f t="shared" si="10"/>
        <v>0</v>
      </c>
      <c r="BO27">
        <f t="shared" si="11"/>
        <v>1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0</v>
      </c>
      <c r="BX27" s="12">
        <f t="shared" si="18"/>
        <v>0</v>
      </c>
      <c r="BY27" s="12">
        <f t="shared" si="19"/>
        <v>0</v>
      </c>
    </row>
    <row r="28" spans="1:77" x14ac:dyDescent="0.3">
      <c r="A28" s="1">
        <v>46063</v>
      </c>
      <c r="B28" s="8">
        <v>44.2</v>
      </c>
      <c r="C28" s="8">
        <v>112.4</v>
      </c>
      <c r="D28" s="9">
        <v>1.6423726830643699E-2</v>
      </c>
      <c r="E28" s="9">
        <v>1.5059445590231301E-2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44.2</v>
      </c>
      <c r="M28" s="8">
        <v>112.4</v>
      </c>
      <c r="N28" s="10">
        <v>2.5429864253393601</v>
      </c>
      <c r="O28" s="10">
        <v>2.5326711528669299</v>
      </c>
      <c r="P28" s="10">
        <v>2.5423309670015501</v>
      </c>
      <c r="Q28" s="10">
        <v>2.5422586673162</v>
      </c>
      <c r="R28" s="8">
        <v>111.94406495671799</v>
      </c>
      <c r="S28" s="8">
        <v>112.376941704858</v>
      </c>
      <c r="T28" s="8">
        <v>112.356914823887</v>
      </c>
      <c r="U28" s="9">
        <v>-4.0646109455160003E-3</v>
      </c>
      <c r="V28" s="9">
        <v>-2.0516601968034601E-4</v>
      </c>
      <c r="W28" s="9">
        <v>-3.83393558096003E-4</v>
      </c>
      <c r="X28" s="10">
        <v>2.5429864253393601</v>
      </c>
      <c r="Y28" s="10">
        <v>2.53031067016226</v>
      </c>
      <c r="Z28" s="10">
        <v>2.5423309670015501</v>
      </c>
      <c r="AA28" s="10">
        <v>2.5422586673162</v>
      </c>
      <c r="AB28" s="8">
        <v>111.839731621171</v>
      </c>
      <c r="AC28" s="8">
        <v>112.376941704858</v>
      </c>
      <c r="AD28" s="8">
        <v>112.356914823887</v>
      </c>
      <c r="AE28" s="9">
        <v>-4.9970586446030901E-3</v>
      </c>
      <c r="AF28" s="9">
        <v>-2.0516601968034601E-4</v>
      </c>
      <c r="AG28" s="9">
        <v>-3.83393558096003E-4</v>
      </c>
      <c r="AZ28" s="9"/>
      <c r="BB28">
        <f t="shared" si="2"/>
        <v>0</v>
      </c>
      <c r="BC28">
        <f t="shared" si="3"/>
        <v>0</v>
      </c>
      <c r="BD28">
        <f t="shared" si="4"/>
        <v>1</v>
      </c>
      <c r="BE28">
        <f t="shared" si="0"/>
        <v>1</v>
      </c>
      <c r="BF28">
        <f t="shared" si="5"/>
        <v>1</v>
      </c>
      <c r="BG28" s="9">
        <f t="shared" si="6"/>
        <v>1.6423726830643699E-2</v>
      </c>
      <c r="BH28" s="9">
        <f t="shared" si="7"/>
        <v>-1.5059445590231301E-2</v>
      </c>
      <c r="BI28" s="9">
        <f t="shared" si="8"/>
        <v>1.3642812404123985E-3</v>
      </c>
      <c r="BJ28" s="12">
        <f t="shared" si="9"/>
        <v>1.3642812404123985E-3</v>
      </c>
      <c r="BL28" s="9"/>
      <c r="BN28">
        <f t="shared" si="10"/>
        <v>0</v>
      </c>
      <c r="BO28">
        <f t="shared" si="11"/>
        <v>1</v>
      </c>
      <c r="BP28">
        <f t="shared" si="12"/>
        <v>0</v>
      </c>
      <c r="BQ28">
        <f t="shared" si="1"/>
        <v>1</v>
      </c>
      <c r="BR28">
        <f t="shared" si="13"/>
        <v>0</v>
      </c>
      <c r="BS28" s="9">
        <f t="shared" si="14"/>
        <v>0</v>
      </c>
      <c r="BT28" s="9">
        <f t="shared" si="15"/>
        <v>0</v>
      </c>
      <c r="BU28" s="9">
        <f t="shared" si="16"/>
        <v>0</v>
      </c>
      <c r="BV28" s="12">
        <f t="shared" si="17"/>
        <v>0</v>
      </c>
      <c r="BX28" s="12">
        <f t="shared" si="18"/>
        <v>1.3642812404123985E-3</v>
      </c>
      <c r="BY28" s="12">
        <f t="shared" si="19"/>
        <v>1.3642812404123985E-3</v>
      </c>
    </row>
    <row r="29" spans="1:77" x14ac:dyDescent="0.3">
      <c r="A29" s="1">
        <v>46064</v>
      </c>
      <c r="B29" s="8">
        <v>44.59</v>
      </c>
      <c r="C29" s="8">
        <v>113.36</v>
      </c>
      <c r="D29" s="9">
        <v>8.7848295557328097E-3</v>
      </c>
      <c r="E29" s="9">
        <v>8.5046579228341308E-3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44.59</v>
      </c>
      <c r="M29" s="8">
        <v>113.36</v>
      </c>
      <c r="N29" s="10">
        <v>2.5422740524781302</v>
      </c>
      <c r="O29" s="10">
        <v>2.5326711528669299</v>
      </c>
      <c r="P29" s="10">
        <v>2.5419772506246199</v>
      </c>
      <c r="Q29" s="10">
        <v>2.54251122641619</v>
      </c>
      <c r="R29" s="8">
        <v>112.931806706336</v>
      </c>
      <c r="S29" s="8">
        <v>113.36253781859899</v>
      </c>
      <c r="T29" s="8">
        <v>113.35931397562899</v>
      </c>
      <c r="U29" s="9">
        <v>-3.7844393126175101E-3</v>
      </c>
      <c r="V29" s="9">
        <v>2.23869988743985E-5</v>
      </c>
      <c r="W29" s="9">
        <v>-6.0517505846659997E-6</v>
      </c>
      <c r="X29" s="10">
        <v>2.5422740524781302</v>
      </c>
      <c r="Y29" s="10">
        <v>2.53031067016226</v>
      </c>
      <c r="Z29" s="10">
        <v>2.5419772506246199</v>
      </c>
      <c r="AA29" s="10">
        <v>2.54251122641619</v>
      </c>
      <c r="AB29" s="8">
        <v>112.826552782535</v>
      </c>
      <c r="AC29" s="8">
        <v>113.36253781859899</v>
      </c>
      <c r="AD29" s="8">
        <v>113.35931397562899</v>
      </c>
      <c r="AE29" s="9">
        <v>-4.7168870117044702E-3</v>
      </c>
      <c r="AF29" s="9">
        <v>2.23869988743985E-5</v>
      </c>
      <c r="AG29" s="9">
        <v>-6.0517505846659997E-6</v>
      </c>
      <c r="AZ29" s="9"/>
      <c r="BB29">
        <f t="shared" si="2"/>
        <v>0</v>
      </c>
      <c r="BC29">
        <f t="shared" si="3"/>
        <v>0</v>
      </c>
      <c r="BD29">
        <f t="shared" si="4"/>
        <v>1</v>
      </c>
      <c r="BE29">
        <f t="shared" si="0"/>
        <v>1</v>
      </c>
      <c r="BF29">
        <f t="shared" si="5"/>
        <v>1</v>
      </c>
      <c r="BG29" s="9">
        <f t="shared" si="6"/>
        <v>8.7848295557328097E-3</v>
      </c>
      <c r="BH29" s="9">
        <f t="shared" si="7"/>
        <v>-8.5046579228341308E-3</v>
      </c>
      <c r="BI29" s="9">
        <f t="shared" si="8"/>
        <v>2.8017163289867884E-4</v>
      </c>
      <c r="BJ29" s="12">
        <f t="shared" si="9"/>
        <v>1.6444528733110773E-3</v>
      </c>
      <c r="BL29" s="9"/>
      <c r="BN29">
        <f t="shared" si="10"/>
        <v>0</v>
      </c>
      <c r="BO29">
        <f t="shared" si="11"/>
        <v>1</v>
      </c>
      <c r="BP29">
        <f t="shared" si="12"/>
        <v>0</v>
      </c>
      <c r="BQ29">
        <f t="shared" si="1"/>
        <v>1</v>
      </c>
      <c r="BR29">
        <f t="shared" si="13"/>
        <v>0</v>
      </c>
      <c r="BS29" s="9">
        <f t="shared" si="14"/>
        <v>0</v>
      </c>
      <c r="BT29" s="9">
        <f t="shared" si="15"/>
        <v>0</v>
      </c>
      <c r="BU29" s="9">
        <f t="shared" si="16"/>
        <v>0</v>
      </c>
      <c r="BV29" s="12">
        <f t="shared" si="17"/>
        <v>0</v>
      </c>
      <c r="BX29" s="12">
        <f t="shared" si="18"/>
        <v>2.8017163289867884E-4</v>
      </c>
      <c r="BY29" s="12">
        <f t="shared" si="19"/>
        <v>1.6444528733110773E-3</v>
      </c>
    </row>
    <row r="30" spans="1:77" x14ac:dyDescent="0.3">
      <c r="A30" s="1">
        <v>46065</v>
      </c>
      <c r="B30" s="8">
        <v>45.25</v>
      </c>
      <c r="C30" s="8">
        <v>114.77</v>
      </c>
      <c r="D30" s="9">
        <v>1.4693051506549801E-2</v>
      </c>
      <c r="E30" s="9">
        <v>1.23615303101519E-2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45.25</v>
      </c>
      <c r="M30" s="8">
        <v>114.77</v>
      </c>
      <c r="N30" s="10">
        <v>2.53635359116022</v>
      </c>
      <c r="O30" s="10">
        <v>2.5326711528669299</v>
      </c>
      <c r="P30" s="10">
        <v>2.5417469277651099</v>
      </c>
      <c r="Q30" s="10">
        <v>2.54253946886509</v>
      </c>
      <c r="R30" s="8">
        <v>114.60336966722799</v>
      </c>
      <c r="S30" s="8">
        <v>115.024470590764</v>
      </c>
      <c r="T30" s="8">
        <v>115.048632995332</v>
      </c>
      <c r="U30" s="9">
        <v>-1.45291811621959E-3</v>
      </c>
      <c r="V30" s="9">
        <v>2.2147677803496298E-3</v>
      </c>
      <c r="W30" s="9">
        <v>2.42480888711416E-3</v>
      </c>
      <c r="X30" s="10">
        <v>2.53635359116022</v>
      </c>
      <c r="Y30" s="10">
        <v>2.53031067016226</v>
      </c>
      <c r="Z30" s="10">
        <v>2.5417469277651099</v>
      </c>
      <c r="AA30" s="10">
        <v>2.54253946886509</v>
      </c>
      <c r="AB30" s="8">
        <v>114.496557824842</v>
      </c>
      <c r="AC30" s="8">
        <v>115.024470590764</v>
      </c>
      <c r="AD30" s="8">
        <v>115.048632995332</v>
      </c>
      <c r="AE30" s="9">
        <v>-2.3853658153065601E-3</v>
      </c>
      <c r="AF30" s="9">
        <v>2.2147677803496298E-3</v>
      </c>
      <c r="AG30" s="9">
        <v>2.42480888711416E-3</v>
      </c>
      <c r="AZ30" s="9"/>
      <c r="BB30">
        <f t="shared" si="2"/>
        <v>0</v>
      </c>
      <c r="BC30">
        <f t="shared" si="3"/>
        <v>1</v>
      </c>
      <c r="BD30">
        <f t="shared" si="4"/>
        <v>1</v>
      </c>
      <c r="BE30">
        <f t="shared" si="0"/>
        <v>1</v>
      </c>
      <c r="BF30">
        <f t="shared" si="5"/>
        <v>1</v>
      </c>
      <c r="BG30" s="9">
        <f t="shared" si="6"/>
        <v>1.4693051506549801E-2</v>
      </c>
      <c r="BH30" s="9">
        <f t="shared" si="7"/>
        <v>-1.23615303101519E-2</v>
      </c>
      <c r="BI30" s="9">
        <f t="shared" si="8"/>
        <v>2.331521196397901E-3</v>
      </c>
      <c r="BJ30" s="12">
        <f t="shared" si="9"/>
        <v>3.9759740697089783E-3</v>
      </c>
      <c r="BL30" s="9"/>
      <c r="BN30">
        <f t="shared" si="10"/>
        <v>1</v>
      </c>
      <c r="BO30">
        <f t="shared" si="11"/>
        <v>0</v>
      </c>
      <c r="BP30">
        <f t="shared" si="12"/>
        <v>0</v>
      </c>
      <c r="BQ30">
        <f t="shared" si="1"/>
        <v>1</v>
      </c>
      <c r="BR30">
        <f t="shared" si="13"/>
        <v>0</v>
      </c>
      <c r="BS30" s="9">
        <f t="shared" si="14"/>
        <v>0</v>
      </c>
      <c r="BT30" s="9">
        <f t="shared" si="15"/>
        <v>0</v>
      </c>
      <c r="BU30" s="9">
        <f t="shared" si="16"/>
        <v>0</v>
      </c>
      <c r="BV30" s="12">
        <f t="shared" si="17"/>
        <v>0</v>
      </c>
      <c r="BX30" s="12">
        <f t="shared" si="18"/>
        <v>2.331521196397901E-3</v>
      </c>
      <c r="BY30" s="12">
        <f t="shared" si="19"/>
        <v>3.9759740697089783E-3</v>
      </c>
    </row>
    <row r="31" spans="1:77" x14ac:dyDescent="0.3">
      <c r="A31" s="1">
        <v>46066</v>
      </c>
      <c r="B31" s="8">
        <v>46.5</v>
      </c>
      <c r="C31" s="8">
        <v>117.77</v>
      </c>
      <c r="D31" s="9">
        <v>2.7249642447375499E-2</v>
      </c>
      <c r="E31" s="9">
        <v>2.58034441608802E-2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46.5</v>
      </c>
      <c r="M31" s="8">
        <v>117.77</v>
      </c>
      <c r="N31" s="10">
        <v>2.5326881720430099</v>
      </c>
      <c r="O31" s="10">
        <v>2.5326711528669299</v>
      </c>
      <c r="P31" s="10">
        <v>2.5411197912121799</v>
      </c>
      <c r="Q31" s="10">
        <v>2.5422305158529301</v>
      </c>
      <c r="R31" s="8">
        <v>117.769208608312</v>
      </c>
      <c r="S31" s="8">
        <v>118.19123214107699</v>
      </c>
      <c r="T31" s="8">
        <v>118.228085302227</v>
      </c>
      <c r="U31" s="9">
        <v>-6.7198297242878E-6</v>
      </c>
      <c r="V31" s="9">
        <v>3.5703542037344499E-3</v>
      </c>
      <c r="W31" s="9">
        <v>3.8821152040305201E-3</v>
      </c>
      <c r="X31" s="10">
        <v>2.5326881720430099</v>
      </c>
      <c r="Y31" s="10">
        <v>2.53031067016226</v>
      </c>
      <c r="Z31" s="10">
        <v>2.5411197912121799</v>
      </c>
      <c r="AA31" s="10">
        <v>2.5422305158529301</v>
      </c>
      <c r="AB31" s="8">
        <v>117.659446162545</v>
      </c>
      <c r="AC31" s="8">
        <v>118.19123214107699</v>
      </c>
      <c r="AD31" s="8">
        <v>118.228085302227</v>
      </c>
      <c r="AE31" s="9">
        <v>-9.3916752881118503E-4</v>
      </c>
      <c r="AF31" s="9">
        <v>3.5703542037344499E-3</v>
      </c>
      <c r="AG31" s="9">
        <v>3.8821152040305201E-3</v>
      </c>
      <c r="AZ31" s="9"/>
      <c r="BB31">
        <f t="shared" si="2"/>
        <v>0</v>
      </c>
      <c r="BC31">
        <f t="shared" si="3"/>
        <v>1</v>
      </c>
      <c r="BD31">
        <f t="shared" si="4"/>
        <v>0</v>
      </c>
      <c r="BE31">
        <f t="shared" si="0"/>
        <v>1</v>
      </c>
      <c r="BF31">
        <f t="shared" si="5"/>
        <v>0</v>
      </c>
      <c r="BG31" s="9">
        <f t="shared" si="6"/>
        <v>0</v>
      </c>
      <c r="BH31" s="9">
        <f t="shared" si="7"/>
        <v>0</v>
      </c>
      <c r="BI31" s="9">
        <f t="shared" si="8"/>
        <v>0</v>
      </c>
      <c r="BJ31" s="12">
        <f t="shared" si="9"/>
        <v>3.9759740697089783E-3</v>
      </c>
      <c r="BL31" s="9"/>
      <c r="BN31">
        <f t="shared" si="10"/>
        <v>1</v>
      </c>
      <c r="BO31">
        <f t="shared" si="11"/>
        <v>0</v>
      </c>
      <c r="BP31">
        <f t="shared" si="12"/>
        <v>1</v>
      </c>
      <c r="BQ31">
        <f t="shared" si="1"/>
        <v>1</v>
      </c>
      <c r="BR31">
        <f t="shared" si="13"/>
        <v>1</v>
      </c>
      <c r="BS31" s="9">
        <f t="shared" si="14"/>
        <v>-2.7249642447375499E-2</v>
      </c>
      <c r="BT31" s="9">
        <f t="shared" si="15"/>
        <v>2.58034441608802E-2</v>
      </c>
      <c r="BU31" s="9">
        <f t="shared" si="16"/>
        <v>-1.4461982864952989E-3</v>
      </c>
      <c r="BV31" s="12">
        <f t="shared" si="17"/>
        <v>-1.4461982864952989E-3</v>
      </c>
      <c r="BX31" s="12">
        <f t="shared" si="18"/>
        <v>-1.4461982864952989E-3</v>
      </c>
      <c r="BY31" s="12">
        <f t="shared" si="19"/>
        <v>2.5297757832136794E-3</v>
      </c>
    </row>
    <row r="32" spans="1:77" x14ac:dyDescent="0.3">
      <c r="A32" s="1">
        <v>46070</v>
      </c>
      <c r="B32" s="8">
        <v>46.38</v>
      </c>
      <c r="C32" s="8">
        <v>117.41</v>
      </c>
      <c r="D32" s="9">
        <v>-2.5839807659250101E-3</v>
      </c>
      <c r="E32" s="9">
        <v>-3.06148721133662E-3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46.38</v>
      </c>
      <c r="M32" s="8">
        <v>117.41</v>
      </c>
      <c r="N32" s="10">
        <v>2.5314790858128502</v>
      </c>
      <c r="O32" s="10">
        <v>2.5326711528669299</v>
      </c>
      <c r="P32" s="10">
        <v>2.5399739409947801</v>
      </c>
      <c r="Q32" s="10">
        <v>2.54194344225697</v>
      </c>
      <c r="R32" s="8">
        <v>117.465288069968</v>
      </c>
      <c r="S32" s="8">
        <v>117.857135916421</v>
      </c>
      <c r="T32" s="8">
        <v>117.908651325259</v>
      </c>
      <c r="U32" s="9">
        <v>4.7078661568747599E-4</v>
      </c>
      <c r="V32" s="9">
        <v>3.8010957462753601E-3</v>
      </c>
      <c r="W32" s="9">
        <v>4.2381007100616899E-3</v>
      </c>
      <c r="X32" s="10">
        <v>2.5314790858128502</v>
      </c>
      <c r="Y32" s="10">
        <v>2.53031067016226</v>
      </c>
      <c r="Z32" s="10">
        <v>2.5399739409947801</v>
      </c>
      <c r="AA32" s="10">
        <v>2.54194344225697</v>
      </c>
      <c r="AB32" s="8">
        <v>117.355808882125</v>
      </c>
      <c r="AC32" s="8">
        <v>117.857135916421</v>
      </c>
      <c r="AD32" s="8">
        <v>117.908651325259</v>
      </c>
      <c r="AE32" s="9">
        <v>-4.61661083399541E-4</v>
      </c>
      <c r="AF32" s="9">
        <v>3.8010957462753601E-3</v>
      </c>
      <c r="AG32" s="9">
        <v>4.2381007100616899E-3</v>
      </c>
      <c r="AZ32" s="9"/>
      <c r="BB32">
        <f t="shared" si="2"/>
        <v>0</v>
      </c>
      <c r="BC32">
        <f t="shared" si="3"/>
        <v>1</v>
      </c>
      <c r="BD32">
        <f t="shared" si="4"/>
        <v>0</v>
      </c>
      <c r="BE32">
        <f t="shared" si="0"/>
        <v>1</v>
      </c>
      <c r="BF32">
        <f t="shared" si="5"/>
        <v>0</v>
      </c>
      <c r="BG32" s="9">
        <f t="shared" si="6"/>
        <v>0</v>
      </c>
      <c r="BH32" s="9">
        <f t="shared" si="7"/>
        <v>0</v>
      </c>
      <c r="BI32" s="9">
        <f t="shared" si="8"/>
        <v>0</v>
      </c>
      <c r="BJ32" s="12">
        <f t="shared" si="9"/>
        <v>3.9759740697089783E-3</v>
      </c>
      <c r="BL32" s="9"/>
      <c r="BN32">
        <f t="shared" si="10"/>
        <v>1</v>
      </c>
      <c r="BO32">
        <f t="shared" si="11"/>
        <v>0</v>
      </c>
      <c r="BP32">
        <f t="shared" si="12"/>
        <v>1</v>
      </c>
      <c r="BQ32">
        <f t="shared" si="1"/>
        <v>1</v>
      </c>
      <c r="BR32">
        <f t="shared" si="13"/>
        <v>1</v>
      </c>
      <c r="BS32" s="9">
        <f t="shared" si="14"/>
        <v>2.5839807659250101E-3</v>
      </c>
      <c r="BT32" s="9">
        <f t="shared" si="15"/>
        <v>-3.06148721133662E-3</v>
      </c>
      <c r="BU32" s="9">
        <f t="shared" si="16"/>
        <v>-4.7750644541160988E-4</v>
      </c>
      <c r="BV32" s="12">
        <f t="shared" si="17"/>
        <v>-1.9237047319069088E-3</v>
      </c>
      <c r="BX32" s="12">
        <f t="shared" si="18"/>
        <v>-4.7750644541160988E-4</v>
      </c>
      <c r="BY32" s="12">
        <f t="shared" si="19"/>
        <v>2.0522693378020695E-3</v>
      </c>
    </row>
    <row r="33" spans="1:77" x14ac:dyDescent="0.3">
      <c r="A33" s="1">
        <v>46071</v>
      </c>
      <c r="B33" s="8">
        <v>45.61</v>
      </c>
      <c r="C33" s="8">
        <v>115.57</v>
      </c>
      <c r="D33" s="9">
        <v>-1.6741341103776598E-2</v>
      </c>
      <c r="E33" s="9">
        <v>-1.57956756547705E-2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45.61</v>
      </c>
      <c r="M33" s="8">
        <v>115.57</v>
      </c>
      <c r="N33" s="10">
        <v>2.5338741504056101</v>
      </c>
      <c r="O33" s="10">
        <v>2.5326711528669299</v>
      </c>
      <c r="P33" s="10">
        <v>2.5392216705589301</v>
      </c>
      <c r="Q33" s="10">
        <v>2.5417865911180302</v>
      </c>
      <c r="R33" s="8">
        <v>115.51513128226</v>
      </c>
      <c r="S33" s="8">
        <v>115.84821144877201</v>
      </c>
      <c r="T33" s="8">
        <v>115.93804040134</v>
      </c>
      <c r="U33" s="9">
        <v>-4.74878833318637E-4</v>
      </c>
      <c r="V33" s="9">
        <v>2.4044052632052502E-3</v>
      </c>
      <c r="W33" s="9">
        <v>3.1795069471789602E-3</v>
      </c>
      <c r="X33" s="10">
        <v>2.5338741504056101</v>
      </c>
      <c r="Y33" s="10">
        <v>2.53031067016226</v>
      </c>
      <c r="Z33" s="10">
        <v>2.5392216705589301</v>
      </c>
      <c r="AA33" s="10">
        <v>2.5417865911180302</v>
      </c>
      <c r="AB33" s="8">
        <v>115.4074696661</v>
      </c>
      <c r="AC33" s="8">
        <v>115.84821144877201</v>
      </c>
      <c r="AD33" s="8">
        <v>115.93804040134</v>
      </c>
      <c r="AE33" s="9">
        <v>-1.4073265324055901E-3</v>
      </c>
      <c r="AF33" s="9">
        <v>2.4044052632052502E-3</v>
      </c>
      <c r="AG33" s="9">
        <v>3.1795069471789602E-3</v>
      </c>
      <c r="AZ33" s="9"/>
      <c r="BB33">
        <f t="shared" si="2"/>
        <v>0</v>
      </c>
      <c r="BC33">
        <f t="shared" si="3"/>
        <v>1</v>
      </c>
      <c r="BD33">
        <f t="shared" si="4"/>
        <v>0</v>
      </c>
      <c r="BE33">
        <f t="shared" si="0"/>
        <v>1</v>
      </c>
      <c r="BF33">
        <f t="shared" si="5"/>
        <v>0</v>
      </c>
      <c r="BG33" s="9">
        <f t="shared" si="6"/>
        <v>0</v>
      </c>
      <c r="BH33" s="9">
        <f t="shared" si="7"/>
        <v>0</v>
      </c>
      <c r="BI33" s="9">
        <f t="shared" si="8"/>
        <v>0</v>
      </c>
      <c r="BJ33" s="12">
        <f t="shared" si="9"/>
        <v>3.9759740697089783E-3</v>
      </c>
      <c r="BL33" s="9"/>
      <c r="BN33">
        <f t="shared" si="10"/>
        <v>1</v>
      </c>
      <c r="BO33">
        <f t="shared" si="11"/>
        <v>0</v>
      </c>
      <c r="BP33">
        <f t="shared" si="12"/>
        <v>1</v>
      </c>
      <c r="BQ33">
        <f t="shared" si="1"/>
        <v>1</v>
      </c>
      <c r="BR33">
        <f t="shared" si="13"/>
        <v>1</v>
      </c>
      <c r="BS33" s="9">
        <f t="shared" si="14"/>
        <v>1.6741341103776598E-2</v>
      </c>
      <c r="BT33" s="9">
        <f t="shared" si="15"/>
        <v>-1.57956756547705E-2</v>
      </c>
      <c r="BU33" s="9">
        <f t="shared" si="16"/>
        <v>9.4566544900609797E-4</v>
      </c>
      <c r="BV33" s="12">
        <f t="shared" si="17"/>
        <v>-9.7803928290081084E-4</v>
      </c>
      <c r="BX33" s="12">
        <f t="shared" si="18"/>
        <v>9.4566544900609797E-4</v>
      </c>
      <c r="BY33" s="12">
        <f t="shared" si="19"/>
        <v>2.9979347868081675E-3</v>
      </c>
    </row>
    <row r="34" spans="1:77" x14ac:dyDescent="0.3">
      <c r="A34" s="1">
        <v>46072</v>
      </c>
      <c r="B34" s="8">
        <v>46.11</v>
      </c>
      <c r="C34" s="8">
        <v>116.75</v>
      </c>
      <c r="D34" s="9">
        <v>1.0902855495005101E-2</v>
      </c>
      <c r="E34" s="9">
        <v>1.01584895616567E-2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46.11</v>
      </c>
      <c r="M34" s="8">
        <v>116.75</v>
      </c>
      <c r="N34" s="10">
        <v>2.5319887226198201</v>
      </c>
      <c r="O34" s="10">
        <v>2.5326711528669299</v>
      </c>
      <c r="P34" s="10">
        <v>2.5384279708617701</v>
      </c>
      <c r="Q34" s="10">
        <v>2.5411777520281902</v>
      </c>
      <c r="R34" s="8">
        <v>116.781466858694</v>
      </c>
      <c r="S34" s="8">
        <v>117.08351122947199</v>
      </c>
      <c r="T34" s="8">
        <v>117.20177971645199</v>
      </c>
      <c r="U34" s="9">
        <v>2.6948710002953002E-4</v>
      </c>
      <c r="V34" s="9">
        <v>2.8525548273162799E-3</v>
      </c>
      <c r="W34" s="9">
        <v>3.8621657725742701E-3</v>
      </c>
      <c r="X34" s="10">
        <v>2.5319887226198201</v>
      </c>
      <c r="Y34" s="10">
        <v>2.53031067016226</v>
      </c>
      <c r="Z34" s="10">
        <v>2.5384279708617701</v>
      </c>
      <c r="AA34" s="10">
        <v>2.5411777520281902</v>
      </c>
      <c r="AB34" s="8">
        <v>116.672625001181</v>
      </c>
      <c r="AC34" s="8">
        <v>117.08351122947199</v>
      </c>
      <c r="AD34" s="8">
        <v>117.20177971645199</v>
      </c>
      <c r="AE34" s="9">
        <v>-6.6296059905740804E-4</v>
      </c>
      <c r="AF34" s="9">
        <v>2.8525548273162799E-3</v>
      </c>
      <c r="AG34" s="9">
        <v>3.8621657725742701E-3</v>
      </c>
      <c r="AZ34" s="9"/>
      <c r="BB34">
        <f t="shared" si="2"/>
        <v>0</v>
      </c>
      <c r="BC34">
        <f t="shared" si="3"/>
        <v>1</v>
      </c>
      <c r="BD34">
        <f t="shared" si="4"/>
        <v>0</v>
      </c>
      <c r="BE34">
        <f t="shared" si="0"/>
        <v>1</v>
      </c>
      <c r="BF34">
        <f t="shared" si="5"/>
        <v>0</v>
      </c>
      <c r="BG34" s="9">
        <f t="shared" si="6"/>
        <v>0</v>
      </c>
      <c r="BH34" s="9">
        <f t="shared" si="7"/>
        <v>0</v>
      </c>
      <c r="BI34" s="9">
        <f t="shared" si="8"/>
        <v>0</v>
      </c>
      <c r="BJ34" s="12">
        <f t="shared" si="9"/>
        <v>3.9759740697089783E-3</v>
      </c>
      <c r="BL34" s="9"/>
      <c r="BN34">
        <f t="shared" si="10"/>
        <v>1</v>
      </c>
      <c r="BO34">
        <f t="shared" si="11"/>
        <v>0</v>
      </c>
      <c r="BP34">
        <f t="shared" si="12"/>
        <v>1</v>
      </c>
      <c r="BQ34">
        <f t="shared" si="1"/>
        <v>1</v>
      </c>
      <c r="BR34">
        <f t="shared" si="13"/>
        <v>1</v>
      </c>
      <c r="BS34" s="9">
        <f t="shared" si="14"/>
        <v>-1.0902855495005101E-2</v>
      </c>
      <c r="BT34" s="9">
        <f t="shared" si="15"/>
        <v>1.01584895616567E-2</v>
      </c>
      <c r="BU34" s="9">
        <f t="shared" si="16"/>
        <v>-7.4436593334840061E-4</v>
      </c>
      <c r="BV34" s="12">
        <f t="shared" si="17"/>
        <v>-1.7224052162492114E-3</v>
      </c>
      <c r="BX34" s="12">
        <f t="shared" si="18"/>
        <v>-7.4436593334840061E-4</v>
      </c>
      <c r="BY34" s="12">
        <f t="shared" si="19"/>
        <v>2.2535688534597669E-3</v>
      </c>
    </row>
    <row r="35" spans="1:77" x14ac:dyDescent="0.3">
      <c r="A35" s="1">
        <v>46073</v>
      </c>
      <c r="B35" s="8">
        <v>46.33</v>
      </c>
      <c r="C35" s="8">
        <v>117.14</v>
      </c>
      <c r="D35" s="9">
        <v>4.7598532099427798E-3</v>
      </c>
      <c r="E35" s="9">
        <v>3.3349041126294601E-3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46.33</v>
      </c>
      <c r="M35" s="8">
        <v>117.14</v>
      </c>
      <c r="N35" s="10">
        <v>2.5283833369307098</v>
      </c>
      <c r="O35" s="10">
        <v>2.5326711528669299</v>
      </c>
      <c r="P35" s="10">
        <v>2.5369507593112202</v>
      </c>
      <c r="Q35" s="10">
        <v>2.5401326247984</v>
      </c>
      <c r="R35" s="8">
        <v>117.33865451232499</v>
      </c>
      <c r="S35" s="8">
        <v>117.605367890026</v>
      </c>
      <c r="T35" s="8">
        <v>117.73276525146601</v>
      </c>
      <c r="U35" s="9">
        <v>1.69443619734289E-3</v>
      </c>
      <c r="V35" s="9">
        <v>3.9648790845252099E-3</v>
      </c>
      <c r="W35" s="9">
        <v>5.0475542309980697E-3</v>
      </c>
      <c r="X35" s="10">
        <v>2.5283833369307098</v>
      </c>
      <c r="Y35" s="10">
        <v>2.53031067016226</v>
      </c>
      <c r="Z35" s="10">
        <v>2.5369507593112202</v>
      </c>
      <c r="AA35" s="10">
        <v>2.5401326247984</v>
      </c>
      <c r="AB35" s="8">
        <v>117.22929334861701</v>
      </c>
      <c r="AC35" s="8">
        <v>117.605367890026</v>
      </c>
      <c r="AD35" s="8">
        <v>117.73276525146601</v>
      </c>
      <c r="AE35" s="9">
        <v>7.6198849825592503E-4</v>
      </c>
      <c r="AF35" s="9">
        <v>3.9648790845252099E-3</v>
      </c>
      <c r="AG35" s="9">
        <v>5.0475542309980697E-3</v>
      </c>
      <c r="AZ35" s="9"/>
      <c r="BB35">
        <f t="shared" si="2"/>
        <v>0</v>
      </c>
      <c r="BC35">
        <f t="shared" si="3"/>
        <v>1</v>
      </c>
      <c r="BD35">
        <f t="shared" si="4"/>
        <v>0</v>
      </c>
      <c r="BE35">
        <f t="shared" si="0"/>
        <v>1</v>
      </c>
      <c r="BF35">
        <f t="shared" si="5"/>
        <v>0</v>
      </c>
      <c r="BG35" s="9">
        <f t="shared" si="6"/>
        <v>0</v>
      </c>
      <c r="BH35" s="9">
        <f t="shared" si="7"/>
        <v>0</v>
      </c>
      <c r="BI35" s="9">
        <f t="shared" si="8"/>
        <v>0</v>
      </c>
      <c r="BJ35" s="12">
        <f t="shared" si="9"/>
        <v>3.9759740697089783E-3</v>
      </c>
      <c r="BL35" s="9"/>
      <c r="BN35">
        <f t="shared" si="10"/>
        <v>1</v>
      </c>
      <c r="BO35">
        <f t="shared" si="11"/>
        <v>0</v>
      </c>
      <c r="BP35">
        <f t="shared" si="12"/>
        <v>1</v>
      </c>
      <c r="BQ35">
        <f t="shared" si="1"/>
        <v>1</v>
      </c>
      <c r="BR35">
        <f t="shared" si="13"/>
        <v>1</v>
      </c>
      <c r="BS35" s="9">
        <f t="shared" si="14"/>
        <v>-4.7598532099427798E-3</v>
      </c>
      <c r="BT35" s="9">
        <f t="shared" si="15"/>
        <v>3.3349041126294601E-3</v>
      </c>
      <c r="BU35" s="9">
        <f t="shared" si="16"/>
        <v>-1.4249490973133197E-3</v>
      </c>
      <c r="BV35" s="12">
        <f t="shared" si="17"/>
        <v>-3.1473543135625312E-3</v>
      </c>
      <c r="BX35" s="12">
        <f t="shared" si="18"/>
        <v>-1.4249490973133197E-3</v>
      </c>
      <c r="BY35" s="12">
        <f t="shared" si="19"/>
        <v>8.2861975614644716E-4</v>
      </c>
    </row>
    <row r="36" spans="1:77" x14ac:dyDescent="0.3">
      <c r="A36" s="1">
        <v>46076</v>
      </c>
      <c r="B36" s="8">
        <v>46.68</v>
      </c>
      <c r="C36" s="8">
        <v>117.86</v>
      </c>
      <c r="D36" s="9">
        <v>7.5261079897981798E-3</v>
      </c>
      <c r="E36" s="9">
        <v>6.12767874813098E-3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46.68</v>
      </c>
      <c r="M36" s="8">
        <v>117.86</v>
      </c>
      <c r="N36" s="10">
        <v>2.5248500428448999</v>
      </c>
      <c r="O36" s="10">
        <v>2.5326711528669299</v>
      </c>
      <c r="P36" s="10">
        <v>2.5351335721308899</v>
      </c>
      <c r="Q36" s="10">
        <v>2.5389080216774902</v>
      </c>
      <c r="R36" s="8">
        <v>118.22508941582799</v>
      </c>
      <c r="S36" s="8">
        <v>118.424861444648</v>
      </c>
      <c r="T36" s="8">
        <v>118.573390925589</v>
      </c>
      <c r="U36" s="9">
        <v>3.0928654390102901E-3</v>
      </c>
      <c r="V36" s="9">
        <v>4.7811994153917799E-3</v>
      </c>
      <c r="W36" s="9">
        <v>6.0346221634655899E-3</v>
      </c>
      <c r="X36" s="10">
        <v>2.5248500428448999</v>
      </c>
      <c r="Y36" s="10">
        <v>2.53031067016226</v>
      </c>
      <c r="Z36" s="10">
        <v>2.5351335721308899</v>
      </c>
      <c r="AA36" s="10">
        <v>2.5389080216774902</v>
      </c>
      <c r="AB36" s="8">
        <v>118.114902083174</v>
      </c>
      <c r="AC36" s="8">
        <v>118.424861444648</v>
      </c>
      <c r="AD36" s="8">
        <v>118.573390925589</v>
      </c>
      <c r="AE36" s="9">
        <v>2.1604177399232498E-3</v>
      </c>
      <c r="AF36" s="9">
        <v>4.7811994153917799E-3</v>
      </c>
      <c r="AG36" s="9">
        <v>6.0346221634655899E-3</v>
      </c>
      <c r="AZ36" s="9"/>
      <c r="BB36">
        <f t="shared" si="2"/>
        <v>0</v>
      </c>
      <c r="BC36">
        <f t="shared" si="3"/>
        <v>1</v>
      </c>
      <c r="BD36">
        <f t="shared" si="4"/>
        <v>0</v>
      </c>
      <c r="BE36">
        <f t="shared" si="0"/>
        <v>1</v>
      </c>
      <c r="BF36">
        <f t="shared" si="5"/>
        <v>0</v>
      </c>
      <c r="BG36" s="9">
        <f t="shared" si="6"/>
        <v>0</v>
      </c>
      <c r="BH36" s="9">
        <f t="shared" si="7"/>
        <v>0</v>
      </c>
      <c r="BI36" s="9">
        <f t="shared" si="8"/>
        <v>0</v>
      </c>
      <c r="BJ36" s="12">
        <f t="shared" si="9"/>
        <v>3.9759740697089783E-3</v>
      </c>
      <c r="BL36" s="9"/>
      <c r="BN36">
        <f t="shared" si="10"/>
        <v>1</v>
      </c>
      <c r="BO36">
        <f t="shared" si="11"/>
        <v>0</v>
      </c>
      <c r="BP36">
        <f t="shared" si="12"/>
        <v>1</v>
      </c>
      <c r="BQ36">
        <f t="shared" si="1"/>
        <v>1</v>
      </c>
      <c r="BR36">
        <f t="shared" si="13"/>
        <v>1</v>
      </c>
      <c r="BS36" s="9">
        <f t="shared" si="14"/>
        <v>-7.5261079897981798E-3</v>
      </c>
      <c r="BT36" s="9">
        <f t="shared" si="15"/>
        <v>6.12767874813098E-3</v>
      </c>
      <c r="BU36" s="9">
        <f t="shared" si="16"/>
        <v>-1.3984292416671998E-3</v>
      </c>
      <c r="BV36" s="12">
        <f t="shared" si="17"/>
        <v>-4.5457835552297314E-3</v>
      </c>
      <c r="BX36" s="12">
        <f t="shared" si="18"/>
        <v>-1.3984292416671998E-3</v>
      </c>
      <c r="BY36" s="12">
        <f t="shared" si="19"/>
        <v>-5.6980948552075262E-4</v>
      </c>
    </row>
    <row r="37" spans="1:77" x14ac:dyDescent="0.3">
      <c r="A37" s="1">
        <v>46077</v>
      </c>
      <c r="B37" s="8">
        <v>47.2</v>
      </c>
      <c r="C37" s="8">
        <v>119.03</v>
      </c>
      <c r="D37" s="9">
        <v>1.10780851731546E-2</v>
      </c>
      <c r="E37" s="9">
        <v>9.8780827700211196E-3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47.2</v>
      </c>
      <c r="M37" s="8">
        <v>119.03</v>
      </c>
      <c r="N37" s="10">
        <v>2.5218220338983</v>
      </c>
      <c r="O37" s="10">
        <v>2.5326711528669299</v>
      </c>
      <c r="P37" s="10">
        <v>2.5326699613532901</v>
      </c>
      <c r="Q37" s="10">
        <v>2.5375673529035399</v>
      </c>
      <c r="R37" s="8">
        <v>119.542078415319</v>
      </c>
      <c r="S37" s="8">
        <v>119.65830460457801</v>
      </c>
      <c r="T37" s="8">
        <v>119.83645862317699</v>
      </c>
      <c r="U37" s="9">
        <v>4.2928678421435499E-3</v>
      </c>
      <c r="V37" s="9">
        <v>5.2646572426325597E-3</v>
      </c>
      <c r="W37" s="9">
        <v>6.7524062777996503E-3</v>
      </c>
      <c r="X37" s="10">
        <v>2.5218220338983</v>
      </c>
      <c r="Y37" s="10">
        <v>2.53031067016226</v>
      </c>
      <c r="Z37" s="10">
        <v>2.5326699613532901</v>
      </c>
      <c r="AA37" s="10">
        <v>2.5375673529035399</v>
      </c>
      <c r="AB37" s="8">
        <v>119.43066363165801</v>
      </c>
      <c r="AC37" s="8">
        <v>119.65830460457801</v>
      </c>
      <c r="AD37" s="8">
        <v>119.83645862317699</v>
      </c>
      <c r="AE37" s="9">
        <v>3.36042014305653E-3</v>
      </c>
      <c r="AF37" s="9">
        <v>5.2646572426325597E-3</v>
      </c>
      <c r="AG37" s="9">
        <v>6.7524062777996503E-3</v>
      </c>
      <c r="AZ37" s="9"/>
      <c r="BB37">
        <f t="shared" si="2"/>
        <v>0</v>
      </c>
      <c r="BC37">
        <f t="shared" si="3"/>
        <v>1</v>
      </c>
      <c r="BD37">
        <f t="shared" si="4"/>
        <v>0</v>
      </c>
      <c r="BE37">
        <f t="shared" si="0"/>
        <v>1</v>
      </c>
      <c r="BF37">
        <f t="shared" si="5"/>
        <v>0</v>
      </c>
      <c r="BG37" s="9">
        <f t="shared" si="6"/>
        <v>0</v>
      </c>
      <c r="BH37" s="9">
        <f t="shared" si="7"/>
        <v>0</v>
      </c>
      <c r="BI37" s="9">
        <f t="shared" si="8"/>
        <v>0</v>
      </c>
      <c r="BJ37" s="12">
        <f t="shared" si="9"/>
        <v>3.9759740697089783E-3</v>
      </c>
      <c r="BL37" s="9"/>
      <c r="BN37">
        <f t="shared" si="10"/>
        <v>1</v>
      </c>
      <c r="BO37">
        <f t="shared" si="11"/>
        <v>0</v>
      </c>
      <c r="BP37">
        <f t="shared" si="12"/>
        <v>1</v>
      </c>
      <c r="BQ37">
        <f t="shared" si="1"/>
        <v>1</v>
      </c>
      <c r="BR37">
        <f t="shared" si="13"/>
        <v>1</v>
      </c>
      <c r="BS37" s="9">
        <f t="shared" si="14"/>
        <v>-1.10780851731546E-2</v>
      </c>
      <c r="BT37" s="9">
        <f t="shared" si="15"/>
        <v>9.8780827700211196E-3</v>
      </c>
      <c r="BU37" s="9">
        <f t="shared" si="16"/>
        <v>-1.2000024031334801E-3</v>
      </c>
      <c r="BV37" s="12">
        <f t="shared" si="17"/>
        <v>-5.7457859583632115E-3</v>
      </c>
      <c r="BX37" s="12">
        <f t="shared" si="18"/>
        <v>-1.2000024031334801E-3</v>
      </c>
      <c r="BY37" s="12">
        <f t="shared" si="19"/>
        <v>-1.7698118886542327E-3</v>
      </c>
    </row>
    <row r="38" spans="1:77" x14ac:dyDescent="0.3">
      <c r="A38" s="1">
        <v>46078</v>
      </c>
      <c r="B38" s="8">
        <v>47.36</v>
      </c>
      <c r="C38" s="8">
        <v>119.44</v>
      </c>
      <c r="D38" s="9">
        <v>3.3840979842404899E-3</v>
      </c>
      <c r="E38" s="9">
        <v>3.4385910511464798E-3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47.36</v>
      </c>
      <c r="M38" s="8">
        <v>119.44</v>
      </c>
      <c r="N38" s="10">
        <v>2.5219594594594499</v>
      </c>
      <c r="O38" s="10">
        <v>2.5326711528669299</v>
      </c>
      <c r="P38" s="10">
        <v>2.5305672647652999</v>
      </c>
      <c r="Q38" s="10">
        <v>2.5364491158834199</v>
      </c>
      <c r="R38" s="8">
        <v>119.947305799777</v>
      </c>
      <c r="S38" s="8">
        <v>119.94724936969099</v>
      </c>
      <c r="T38" s="8">
        <v>120.179189833512</v>
      </c>
      <c r="U38" s="9">
        <v>4.2383747752374702E-3</v>
      </c>
      <c r="V38" s="9">
        <v>4.2379043178240403E-3</v>
      </c>
      <c r="W38" s="9">
        <v>6.1697243766382403E-3</v>
      </c>
      <c r="X38" s="10">
        <v>2.5219594594594499</v>
      </c>
      <c r="Y38" s="10">
        <v>2.53031067016226</v>
      </c>
      <c r="Z38" s="10">
        <v>2.5305672647652999</v>
      </c>
      <c r="AA38" s="10">
        <v>2.5364491158834199</v>
      </c>
      <c r="AB38" s="8">
        <v>119.835513338884</v>
      </c>
      <c r="AC38" s="8">
        <v>119.94724936969099</v>
      </c>
      <c r="AD38" s="8">
        <v>120.179189833512</v>
      </c>
      <c r="AE38" s="9">
        <v>3.3059270761504099E-3</v>
      </c>
      <c r="AF38" s="9">
        <v>4.2379043178240403E-3</v>
      </c>
      <c r="AG38" s="9">
        <v>6.1697243766382403E-3</v>
      </c>
      <c r="AZ38" s="9"/>
      <c r="BB38">
        <f t="shared" si="2"/>
        <v>0</v>
      </c>
      <c r="BC38">
        <f t="shared" si="3"/>
        <v>1</v>
      </c>
      <c r="BD38">
        <f t="shared" si="4"/>
        <v>0</v>
      </c>
      <c r="BE38">
        <f t="shared" si="0"/>
        <v>1</v>
      </c>
      <c r="BF38">
        <f t="shared" si="5"/>
        <v>0</v>
      </c>
      <c r="BG38" s="9">
        <f t="shared" si="6"/>
        <v>0</v>
      </c>
      <c r="BH38" s="9">
        <f t="shared" si="7"/>
        <v>0</v>
      </c>
      <c r="BI38" s="9">
        <f t="shared" si="8"/>
        <v>0</v>
      </c>
      <c r="BJ38" s="12">
        <f t="shared" si="9"/>
        <v>3.9759740697089783E-3</v>
      </c>
      <c r="BL38" s="9"/>
      <c r="BN38">
        <f t="shared" si="10"/>
        <v>1</v>
      </c>
      <c r="BO38">
        <f t="shared" si="11"/>
        <v>0</v>
      </c>
      <c r="BP38">
        <f t="shared" si="12"/>
        <v>1</v>
      </c>
      <c r="BQ38">
        <f t="shared" si="1"/>
        <v>1</v>
      </c>
      <c r="BR38">
        <f t="shared" si="13"/>
        <v>1</v>
      </c>
      <c r="BS38" s="9">
        <f t="shared" si="14"/>
        <v>-3.3840979842404899E-3</v>
      </c>
      <c r="BT38" s="9">
        <f t="shared" si="15"/>
        <v>3.4385910511464798E-3</v>
      </c>
      <c r="BU38" s="9">
        <f t="shared" si="16"/>
        <v>5.4493066905989939E-5</v>
      </c>
      <c r="BV38" s="12">
        <f t="shared" si="17"/>
        <v>-5.6912928914572211E-3</v>
      </c>
      <c r="BX38" s="12">
        <f t="shared" si="18"/>
        <v>5.4493066905989939E-5</v>
      </c>
      <c r="BY38" s="12">
        <f t="shared" si="19"/>
        <v>-1.7153188217482428E-3</v>
      </c>
    </row>
    <row r="39" spans="1:77" x14ac:dyDescent="0.3">
      <c r="A39" s="1">
        <v>46079</v>
      </c>
      <c r="B39" s="8">
        <v>47.18</v>
      </c>
      <c r="C39" s="8">
        <v>119.25</v>
      </c>
      <c r="D39" s="9">
        <v>-3.8079165962212501E-3</v>
      </c>
      <c r="E39" s="9">
        <v>-1.5920234624842999E-3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47.18</v>
      </c>
      <c r="M39" s="8">
        <v>119.25</v>
      </c>
      <c r="N39" s="10">
        <v>2.5275540483255599</v>
      </c>
      <c r="O39" s="10">
        <v>2.5326711528669299</v>
      </c>
      <c r="P39" s="10">
        <v>2.52909526435004</v>
      </c>
      <c r="Q39" s="10">
        <v>2.5355362574873301</v>
      </c>
      <c r="R39" s="8">
        <v>119.491424992261</v>
      </c>
      <c r="S39" s="8">
        <v>119.39216355162699</v>
      </c>
      <c r="T39" s="8">
        <v>119.66966928738</v>
      </c>
      <c r="U39" s="9">
        <v>2.0224816415005801E-3</v>
      </c>
      <c r="V39" s="9">
        <v>1.19143714026285E-3</v>
      </c>
      <c r="W39" s="9">
        <v>3.5130612749272802E-3</v>
      </c>
      <c r="X39" s="10">
        <v>2.5275540483255599</v>
      </c>
      <c r="Y39" s="10">
        <v>2.53031067016226</v>
      </c>
      <c r="Z39" s="10">
        <v>2.52909526435004</v>
      </c>
      <c r="AA39" s="10">
        <v>2.5355362574873301</v>
      </c>
      <c r="AB39" s="8">
        <v>119.38005741825501</v>
      </c>
      <c r="AC39" s="8">
        <v>119.39216355162699</v>
      </c>
      <c r="AD39" s="8">
        <v>119.66966928738</v>
      </c>
      <c r="AE39" s="9">
        <v>1.09003394241348E-3</v>
      </c>
      <c r="AF39" s="9">
        <v>1.19143714026285E-3</v>
      </c>
      <c r="AG39" s="9">
        <v>3.5130612749272802E-3</v>
      </c>
      <c r="AZ39" s="9"/>
      <c r="BB39">
        <f t="shared" si="2"/>
        <v>0</v>
      </c>
      <c r="BC39">
        <f t="shared" si="3"/>
        <v>1</v>
      </c>
      <c r="BD39">
        <f t="shared" si="4"/>
        <v>0</v>
      </c>
      <c r="BE39">
        <f t="shared" si="0"/>
        <v>1</v>
      </c>
      <c r="BF39">
        <f t="shared" si="5"/>
        <v>0</v>
      </c>
      <c r="BG39" s="9">
        <f t="shared" si="6"/>
        <v>0</v>
      </c>
      <c r="BH39" s="9">
        <f t="shared" si="7"/>
        <v>0</v>
      </c>
      <c r="BI39" s="9">
        <f t="shared" si="8"/>
        <v>0</v>
      </c>
      <c r="BJ39" s="12">
        <f t="shared" si="9"/>
        <v>3.9759740697089783E-3</v>
      </c>
      <c r="BL39" s="9"/>
      <c r="BN39">
        <f t="shared" si="10"/>
        <v>1</v>
      </c>
      <c r="BO39">
        <f t="shared" si="11"/>
        <v>0</v>
      </c>
      <c r="BP39">
        <f t="shared" si="12"/>
        <v>1</v>
      </c>
      <c r="BQ39">
        <f t="shared" si="1"/>
        <v>1</v>
      </c>
      <c r="BR39">
        <f t="shared" si="13"/>
        <v>1</v>
      </c>
      <c r="BS39" s="9">
        <f t="shared" si="14"/>
        <v>3.8079165962212501E-3</v>
      </c>
      <c r="BT39" s="9">
        <f t="shared" si="15"/>
        <v>-1.5920234624842999E-3</v>
      </c>
      <c r="BU39" s="9">
        <f t="shared" si="16"/>
        <v>2.2158931337369504E-3</v>
      </c>
      <c r="BV39" s="12">
        <f t="shared" si="17"/>
        <v>-3.4753997577202708E-3</v>
      </c>
      <c r="BX39" s="12">
        <f t="shared" si="18"/>
        <v>2.2158931337369504E-3</v>
      </c>
      <c r="BY39" s="12">
        <f t="shared" si="19"/>
        <v>5.005743119887076E-4</v>
      </c>
    </row>
    <row r="40" spans="1:77" x14ac:dyDescent="0.3">
      <c r="A40" s="1">
        <v>46080</v>
      </c>
      <c r="B40" s="8">
        <v>47.73</v>
      </c>
      <c r="C40" s="8">
        <v>120.7</v>
      </c>
      <c r="D40" s="9">
        <v>1.1590057038276201E-2</v>
      </c>
      <c r="E40" s="9">
        <v>1.2085998335035099E-2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47.73</v>
      </c>
      <c r="M40" s="8">
        <v>120.7</v>
      </c>
      <c r="N40" s="10">
        <v>2.5288078776450802</v>
      </c>
      <c r="O40" s="10">
        <v>2.5326711528669299</v>
      </c>
      <c r="P40" s="10">
        <v>2.5283406929985301</v>
      </c>
      <c r="Q40" s="10">
        <v>2.5350438103818198</v>
      </c>
      <c r="R40" s="8">
        <v>120.88439412633799</v>
      </c>
      <c r="S40" s="8">
        <v>120.713716967427</v>
      </c>
      <c r="T40" s="8">
        <v>121.02114556987</v>
      </c>
      <c r="U40" s="9">
        <v>1.52654034474148E-3</v>
      </c>
      <c r="V40" s="9">
        <v>1.13638674842192E-4</v>
      </c>
      <c r="W40" s="9">
        <v>2.6571590008589701E-3</v>
      </c>
      <c r="X40" s="10">
        <v>2.5288078776450802</v>
      </c>
      <c r="Y40" s="10">
        <v>2.53031067016226</v>
      </c>
      <c r="Z40" s="10">
        <v>2.5283406929985301</v>
      </c>
      <c r="AA40" s="10">
        <v>2.5350438103818198</v>
      </c>
      <c r="AB40" s="8">
        <v>120.771728286844</v>
      </c>
      <c r="AC40" s="8">
        <v>120.713716967427</v>
      </c>
      <c r="AD40" s="8">
        <v>121.02114556987</v>
      </c>
      <c r="AE40" s="9">
        <v>5.9409264565457695E-4</v>
      </c>
      <c r="AF40" s="9">
        <v>1.13638674842192E-4</v>
      </c>
      <c r="AG40" s="9">
        <v>2.6571590008589701E-3</v>
      </c>
      <c r="AZ40" s="9"/>
      <c r="BB40">
        <f t="shared" si="2"/>
        <v>0</v>
      </c>
      <c r="BC40">
        <f t="shared" si="3"/>
        <v>1</v>
      </c>
      <c r="BD40">
        <f t="shared" si="4"/>
        <v>0</v>
      </c>
      <c r="BE40">
        <f t="shared" si="0"/>
        <v>1</v>
      </c>
      <c r="BF40">
        <f t="shared" si="5"/>
        <v>0</v>
      </c>
      <c r="BG40" s="9">
        <f t="shared" si="6"/>
        <v>0</v>
      </c>
      <c r="BH40" s="9">
        <f t="shared" si="7"/>
        <v>0</v>
      </c>
      <c r="BI40" s="9">
        <f t="shared" si="8"/>
        <v>0</v>
      </c>
      <c r="BJ40" s="12">
        <f t="shared" si="9"/>
        <v>3.9759740697089783E-3</v>
      </c>
      <c r="BL40" s="9"/>
      <c r="BN40">
        <f t="shared" si="10"/>
        <v>1</v>
      </c>
      <c r="BO40">
        <f t="shared" si="11"/>
        <v>0</v>
      </c>
      <c r="BP40">
        <f t="shared" si="12"/>
        <v>1</v>
      </c>
      <c r="BQ40">
        <f t="shared" si="1"/>
        <v>1</v>
      </c>
      <c r="BR40">
        <f t="shared" si="13"/>
        <v>1</v>
      </c>
      <c r="BS40" s="9">
        <f t="shared" si="14"/>
        <v>-1.1590057038276201E-2</v>
      </c>
      <c r="BT40" s="9">
        <f t="shared" si="15"/>
        <v>1.2085998335035099E-2</v>
      </c>
      <c r="BU40" s="9">
        <f t="shared" si="16"/>
        <v>4.9594129675889845E-4</v>
      </c>
      <c r="BV40" s="12">
        <f t="shared" si="17"/>
        <v>-2.9794584609613723E-3</v>
      </c>
      <c r="BX40" s="12">
        <f t="shared" si="18"/>
        <v>4.9594129675889845E-4</v>
      </c>
      <c r="BY40" s="12">
        <f t="shared" si="19"/>
        <v>9.9651560874760604E-4</v>
      </c>
    </row>
    <row r="41" spans="1:77" x14ac:dyDescent="0.3">
      <c r="A41" s="1">
        <v>46083</v>
      </c>
      <c r="B41" s="8">
        <v>47.37</v>
      </c>
      <c r="C41" s="8">
        <v>119.96</v>
      </c>
      <c r="D41" s="9">
        <v>-7.5710140821447997E-3</v>
      </c>
      <c r="E41" s="9">
        <v>-6.1497742226775502E-3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47.37</v>
      </c>
      <c r="M41" s="8">
        <v>119.96</v>
      </c>
      <c r="N41" s="10">
        <v>2.5324044754063699</v>
      </c>
      <c r="O41" s="10">
        <v>2.5326711528669299</v>
      </c>
      <c r="P41" s="10">
        <v>2.5283123233348599</v>
      </c>
      <c r="Q41" s="10">
        <v>2.5347160572735201</v>
      </c>
      <c r="R41" s="8">
        <v>119.972632511306</v>
      </c>
      <c r="S41" s="8">
        <v>119.76749862734</v>
      </c>
      <c r="T41" s="8">
        <v>120.085025297786</v>
      </c>
      <c r="U41" s="9">
        <v>1.05300485274341E-4</v>
      </c>
      <c r="V41" s="9">
        <v>-1.6060019408487599E-3</v>
      </c>
      <c r="W41" s="9">
        <v>1.04168215056573E-3</v>
      </c>
      <c r="X41" s="10">
        <v>2.5324044754063699</v>
      </c>
      <c r="Y41" s="10">
        <v>2.53031067016226</v>
      </c>
      <c r="Z41" s="10">
        <v>2.5283123233348599</v>
      </c>
      <c r="AA41" s="10">
        <v>2.5347160572735201</v>
      </c>
      <c r="AB41" s="8">
        <v>119.860816445586</v>
      </c>
      <c r="AC41" s="8">
        <v>119.76749862734</v>
      </c>
      <c r="AD41" s="8">
        <v>120.085025297786</v>
      </c>
      <c r="AE41" s="9">
        <v>-8.2714721381278104E-4</v>
      </c>
      <c r="AF41" s="9">
        <v>-1.6060019408487599E-3</v>
      </c>
      <c r="AG41" s="9">
        <v>1.04168215056573E-3</v>
      </c>
      <c r="AZ41" s="9"/>
      <c r="BB41">
        <f t="shared" si="2"/>
        <v>0</v>
      </c>
      <c r="BC41">
        <f t="shared" si="3"/>
        <v>1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3.9759740697089783E-3</v>
      </c>
      <c r="BL41" s="9"/>
      <c r="BN41">
        <f t="shared" si="10"/>
        <v>0</v>
      </c>
      <c r="BO41">
        <f t="shared" si="11"/>
        <v>0</v>
      </c>
      <c r="BP41">
        <f t="shared" si="12"/>
        <v>1</v>
      </c>
      <c r="BQ41">
        <f t="shared" si="1"/>
        <v>1</v>
      </c>
      <c r="BR41">
        <f t="shared" si="13"/>
        <v>1</v>
      </c>
      <c r="BS41" s="9">
        <f t="shared" si="14"/>
        <v>7.5710140821447997E-3</v>
      </c>
      <c r="BT41" s="9">
        <f t="shared" si="15"/>
        <v>-6.1497742226775502E-3</v>
      </c>
      <c r="BU41" s="9">
        <f t="shared" si="16"/>
        <v>1.4212398594672495E-3</v>
      </c>
      <c r="BV41" s="12">
        <f t="shared" si="17"/>
        <v>-1.5582186014941228E-3</v>
      </c>
      <c r="BX41" s="12">
        <f t="shared" si="18"/>
        <v>1.4212398594672495E-3</v>
      </c>
      <c r="BY41" s="12">
        <f t="shared" si="19"/>
        <v>2.4177554682148555E-3</v>
      </c>
    </row>
    <row r="42" spans="1:77" x14ac:dyDescent="0.3">
      <c r="A42" s="1">
        <v>46084</v>
      </c>
      <c r="B42" s="8">
        <v>47.07</v>
      </c>
      <c r="C42" s="8">
        <v>119.25</v>
      </c>
      <c r="D42" s="9">
        <v>-6.3532615226094399E-3</v>
      </c>
      <c r="E42" s="9">
        <v>-5.9362241123577303E-3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47.07</v>
      </c>
      <c r="M42" s="8">
        <v>119.25</v>
      </c>
      <c r="N42" s="10">
        <v>2.53346080305927</v>
      </c>
      <c r="O42" s="10">
        <v>2.5326711528669299</v>
      </c>
      <c r="P42" s="10">
        <v>2.5285104950595101</v>
      </c>
      <c r="Q42" s="10">
        <v>2.53424221802715</v>
      </c>
      <c r="R42" s="8">
        <v>119.212831165446</v>
      </c>
      <c r="S42" s="8">
        <v>119.007661059372</v>
      </c>
      <c r="T42" s="8">
        <v>119.30908481586501</v>
      </c>
      <c r="U42" s="9">
        <v>-3.1173692497749901E-4</v>
      </c>
      <c r="V42" s="9">
        <v>-2.0342600789504898E-3</v>
      </c>
      <c r="W42" s="9">
        <v>4.9534744919714805E-4</v>
      </c>
      <c r="X42" s="10">
        <v>2.53346080305927</v>
      </c>
      <c r="Y42" s="10">
        <v>2.53031067016226</v>
      </c>
      <c r="Z42" s="10">
        <v>2.5285104950595101</v>
      </c>
      <c r="AA42" s="10">
        <v>2.53424221802715</v>
      </c>
      <c r="AB42" s="8">
        <v>119.101723244537</v>
      </c>
      <c r="AC42" s="8">
        <v>119.007661059372</v>
      </c>
      <c r="AD42" s="8">
        <v>119.30908481586501</v>
      </c>
      <c r="AE42" s="9">
        <v>-1.2441846240644999E-3</v>
      </c>
      <c r="AF42" s="9">
        <v>-2.0342600789504898E-3</v>
      </c>
      <c r="AG42" s="9">
        <v>4.9534744919714805E-4</v>
      </c>
      <c r="AZ42" s="9"/>
      <c r="BB42">
        <f t="shared" si="2"/>
        <v>0</v>
      </c>
      <c r="BC42">
        <f t="shared" si="3"/>
        <v>1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3.9759740697089783E-3</v>
      </c>
      <c r="BL42" s="9"/>
      <c r="BN42">
        <f t="shared" si="10"/>
        <v>0</v>
      </c>
      <c r="BO42">
        <f t="shared" si="11"/>
        <v>0</v>
      </c>
      <c r="BP42">
        <f t="shared" si="12"/>
        <v>1</v>
      </c>
      <c r="BQ42">
        <f t="shared" si="1"/>
        <v>1</v>
      </c>
      <c r="BR42">
        <f t="shared" si="13"/>
        <v>1</v>
      </c>
      <c r="BS42" s="9">
        <f t="shared" si="14"/>
        <v>6.3532615226094399E-3</v>
      </c>
      <c r="BT42" s="9">
        <f t="shared" si="15"/>
        <v>-5.9362241123577303E-3</v>
      </c>
      <c r="BU42" s="9">
        <f t="shared" si="16"/>
        <v>4.1703741025170965E-4</v>
      </c>
      <c r="BV42" s="12">
        <f t="shared" si="17"/>
        <v>-1.1411811912424132E-3</v>
      </c>
      <c r="BX42" s="12">
        <f t="shared" si="18"/>
        <v>4.1703741025170965E-4</v>
      </c>
      <c r="BY42" s="12">
        <f t="shared" si="19"/>
        <v>2.8347928784665652E-3</v>
      </c>
    </row>
    <row r="43" spans="1:77" x14ac:dyDescent="0.3">
      <c r="A43" s="1">
        <v>46085</v>
      </c>
      <c r="B43" s="8">
        <v>47.27</v>
      </c>
      <c r="C43" s="8">
        <v>119.69</v>
      </c>
      <c r="D43" s="9">
        <v>4.2399893920941102E-3</v>
      </c>
      <c r="E43" s="9">
        <v>3.68293711682843E-3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47.27</v>
      </c>
      <c r="M43" s="8">
        <v>119.69</v>
      </c>
      <c r="N43" s="10">
        <v>2.53204992595726</v>
      </c>
      <c r="O43" s="10">
        <v>2.5326711528669299</v>
      </c>
      <c r="P43" s="10">
        <v>2.52832807261467</v>
      </c>
      <c r="Q43" s="10">
        <v>2.5337748715867998</v>
      </c>
      <c r="R43" s="8">
        <v>119.719365396019</v>
      </c>
      <c r="S43" s="8">
        <v>119.522691101463</v>
      </c>
      <c r="T43" s="8">
        <v>119.793629646143</v>
      </c>
      <c r="U43" s="9">
        <v>2.4531535028808301E-4</v>
      </c>
      <c r="V43" s="9">
        <v>-1.39882984508864E-3</v>
      </c>
      <c r="W43" s="9">
        <v>8.6544247525110205E-4</v>
      </c>
      <c r="X43" s="10">
        <v>2.53204992595726</v>
      </c>
      <c r="Y43" s="10">
        <v>2.53031067016226</v>
      </c>
      <c r="Z43" s="10">
        <v>2.52832807261467</v>
      </c>
      <c r="AA43" s="10">
        <v>2.5337748715867998</v>
      </c>
      <c r="AB43" s="8">
        <v>119.60778537857</v>
      </c>
      <c r="AC43" s="8">
        <v>119.522691101463</v>
      </c>
      <c r="AD43" s="8">
        <v>119.793629646143</v>
      </c>
      <c r="AE43" s="9">
        <v>-6.8713234879878003E-4</v>
      </c>
      <c r="AF43" s="9">
        <v>-1.39882984508864E-3</v>
      </c>
      <c r="AG43" s="9">
        <v>8.6544247525110205E-4</v>
      </c>
      <c r="AZ43" s="9"/>
      <c r="BB43">
        <f t="shared" si="2"/>
        <v>0</v>
      </c>
      <c r="BC43">
        <f t="shared" si="3"/>
        <v>1</v>
      </c>
      <c r="BD43">
        <f t="shared" si="4"/>
        <v>0</v>
      </c>
      <c r="BE43">
        <f t="shared" si="0"/>
        <v>1</v>
      </c>
      <c r="BF43">
        <f t="shared" si="5"/>
        <v>0</v>
      </c>
      <c r="BG43" s="9">
        <f t="shared" si="6"/>
        <v>0</v>
      </c>
      <c r="BH43" s="9">
        <f t="shared" si="7"/>
        <v>0</v>
      </c>
      <c r="BI43" s="9">
        <f t="shared" si="8"/>
        <v>0</v>
      </c>
      <c r="BJ43" s="12">
        <f t="shared" si="9"/>
        <v>3.9759740697089783E-3</v>
      </c>
      <c r="BL43" s="9"/>
      <c r="BN43">
        <f t="shared" si="10"/>
        <v>0</v>
      </c>
      <c r="BO43">
        <f t="shared" si="11"/>
        <v>0</v>
      </c>
      <c r="BP43">
        <f t="shared" si="12"/>
        <v>1</v>
      </c>
      <c r="BQ43">
        <f t="shared" si="1"/>
        <v>1</v>
      </c>
      <c r="BR43">
        <f t="shared" si="13"/>
        <v>1</v>
      </c>
      <c r="BS43" s="9">
        <f t="shared" si="14"/>
        <v>-4.2399893920941102E-3</v>
      </c>
      <c r="BT43" s="9">
        <f t="shared" si="15"/>
        <v>3.68293711682843E-3</v>
      </c>
      <c r="BU43" s="9">
        <f t="shared" si="16"/>
        <v>-5.570522752656802E-4</v>
      </c>
      <c r="BV43" s="12">
        <f t="shared" si="17"/>
        <v>-1.6982334665080934E-3</v>
      </c>
      <c r="BX43" s="12">
        <f t="shared" si="18"/>
        <v>-5.570522752656802E-4</v>
      </c>
      <c r="BY43" s="12">
        <f t="shared" si="19"/>
        <v>2.277740603200885E-3</v>
      </c>
    </row>
    <row r="44" spans="1:77" x14ac:dyDescent="0.3">
      <c r="A44" s="1">
        <v>46086</v>
      </c>
      <c r="B44" s="8">
        <v>46.9</v>
      </c>
      <c r="C44" s="8">
        <v>118.88</v>
      </c>
      <c r="D44" s="9">
        <v>-7.8581693529114292E-3</v>
      </c>
      <c r="E44" s="9">
        <v>-6.7904859158300999E-3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46.9</v>
      </c>
      <c r="M44" s="8">
        <v>118.88</v>
      </c>
      <c r="N44" s="10">
        <v>2.53475479744136</v>
      </c>
      <c r="O44" s="10">
        <v>2.5326711528669299</v>
      </c>
      <c r="P44" s="10">
        <v>2.52860468009683</v>
      </c>
      <c r="Q44" s="10">
        <v>2.5335163254793001</v>
      </c>
      <c r="R44" s="8">
        <v>118.782277069459</v>
      </c>
      <c r="S44" s="8">
        <v>118.578586605628</v>
      </c>
      <c r="T44" s="8">
        <v>118.834041477421</v>
      </c>
      <c r="U44" s="9">
        <v>-8.2236808679307801E-4</v>
      </c>
      <c r="V44" s="9">
        <v>-2.5386620931206901E-3</v>
      </c>
      <c r="W44" s="9">
        <v>-3.86670664178491E-4</v>
      </c>
      <c r="X44" s="10">
        <v>2.53475479744136</v>
      </c>
      <c r="Y44" s="10">
        <v>2.53031067016226</v>
      </c>
      <c r="Z44" s="10">
        <v>2.52860468009683</v>
      </c>
      <c r="AA44" s="10">
        <v>2.5335163254793001</v>
      </c>
      <c r="AB44" s="8">
        <v>118.67157043060899</v>
      </c>
      <c r="AC44" s="8">
        <v>118.578586605628</v>
      </c>
      <c r="AD44" s="8">
        <v>118.834041477421</v>
      </c>
      <c r="AE44" s="9">
        <v>-1.7548157858801501E-3</v>
      </c>
      <c r="AF44" s="9">
        <v>-2.5386620931206901E-3</v>
      </c>
      <c r="AG44" s="9">
        <v>-3.86670664178491E-4</v>
      </c>
      <c r="AZ44" s="9"/>
      <c r="BB44">
        <f t="shared" si="2"/>
        <v>0</v>
      </c>
      <c r="BC44">
        <f t="shared" si="3"/>
        <v>0</v>
      </c>
      <c r="BD44">
        <f t="shared" si="4"/>
        <v>0</v>
      </c>
      <c r="BE44">
        <f t="shared" si="0"/>
        <v>1</v>
      </c>
      <c r="BF44">
        <f t="shared" si="5"/>
        <v>0</v>
      </c>
      <c r="BG44" s="9">
        <f t="shared" si="6"/>
        <v>0</v>
      </c>
      <c r="BH44" s="9">
        <f t="shared" si="7"/>
        <v>0</v>
      </c>
      <c r="BI44" s="9">
        <f t="shared" si="8"/>
        <v>0</v>
      </c>
      <c r="BJ44" s="12">
        <f t="shared" si="9"/>
        <v>3.9759740697089783E-3</v>
      </c>
      <c r="BL44" s="9"/>
      <c r="BN44">
        <f t="shared" si="10"/>
        <v>0</v>
      </c>
      <c r="BO44">
        <f t="shared" si="11"/>
        <v>1</v>
      </c>
      <c r="BP44">
        <f t="shared" si="12"/>
        <v>1</v>
      </c>
      <c r="BQ44">
        <f t="shared" si="1"/>
        <v>1</v>
      </c>
      <c r="BR44">
        <f t="shared" si="13"/>
        <v>1</v>
      </c>
      <c r="BS44" s="9">
        <f t="shared" si="14"/>
        <v>7.8581693529114292E-3</v>
      </c>
      <c r="BT44" s="9">
        <f t="shared" si="15"/>
        <v>-6.7904859158300999E-3</v>
      </c>
      <c r="BU44" s="9">
        <f t="shared" si="16"/>
        <v>1.0676834370813293E-3</v>
      </c>
      <c r="BV44" s="12">
        <f t="shared" si="17"/>
        <v>-6.305500294267641E-4</v>
      </c>
      <c r="BX44" s="12">
        <f t="shared" si="18"/>
        <v>1.0676834370813293E-3</v>
      </c>
      <c r="BY44" s="12">
        <f t="shared" si="19"/>
        <v>3.3454240402822143E-3</v>
      </c>
    </row>
    <row r="45" spans="1:77" x14ac:dyDescent="0.3">
      <c r="A45" s="1">
        <v>46087</v>
      </c>
      <c r="B45" s="8">
        <v>46.74</v>
      </c>
      <c r="C45" s="8">
        <v>118.42</v>
      </c>
      <c r="D45" s="9">
        <v>-3.4173463415216902E-3</v>
      </c>
      <c r="E45" s="9">
        <v>-3.8769538658189398E-3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46.74</v>
      </c>
      <c r="M45" s="8">
        <v>118.42</v>
      </c>
      <c r="N45" s="10">
        <v>2.5335900727428302</v>
      </c>
      <c r="O45" s="10">
        <v>2.5326711528669299</v>
      </c>
      <c r="P45" s="10">
        <v>2.5291253536780398</v>
      </c>
      <c r="Q45" s="10">
        <v>2.5330380564946302</v>
      </c>
      <c r="R45" s="8">
        <v>118.377049685</v>
      </c>
      <c r="S45" s="8">
        <v>118.186982747725</v>
      </c>
      <c r="T45" s="8">
        <v>118.416553052902</v>
      </c>
      <c r="U45" s="9">
        <v>-3.6276056249588001E-4</v>
      </c>
      <c r="V45" s="9">
        <v>-1.96965723413212E-3</v>
      </c>
      <c r="W45" s="9">
        <v>-2.91082356434071E-5</v>
      </c>
      <c r="X45" s="10">
        <v>2.5335900727428302</v>
      </c>
      <c r="Y45" s="10">
        <v>2.53031067016226</v>
      </c>
      <c r="Z45" s="10">
        <v>2.5291253536780398</v>
      </c>
      <c r="AA45" s="10">
        <v>2.5330380564946302</v>
      </c>
      <c r="AB45" s="8">
        <v>118.266720723384</v>
      </c>
      <c r="AC45" s="8">
        <v>118.186982747725</v>
      </c>
      <c r="AD45" s="8">
        <v>118.416553052902</v>
      </c>
      <c r="AE45" s="9">
        <v>-1.2952082615829801E-3</v>
      </c>
      <c r="AF45" s="9">
        <v>-1.96965723413212E-3</v>
      </c>
      <c r="AG45" s="9">
        <v>-2.91082356434071E-5</v>
      </c>
      <c r="AZ45" s="9"/>
      <c r="BB45">
        <f t="shared" si="2"/>
        <v>0</v>
      </c>
      <c r="BC45">
        <f t="shared" si="3"/>
        <v>0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3.9759740697089783E-3</v>
      </c>
      <c r="BL45" s="9"/>
      <c r="BN45">
        <f t="shared" si="10"/>
        <v>0</v>
      </c>
      <c r="BO45">
        <f t="shared" si="11"/>
        <v>1</v>
      </c>
      <c r="BP45">
        <f t="shared" si="12"/>
        <v>0</v>
      </c>
      <c r="BQ45">
        <f t="shared" si="1"/>
        <v>1</v>
      </c>
      <c r="BR45">
        <f t="shared" si="13"/>
        <v>0</v>
      </c>
      <c r="BS45" s="9">
        <f t="shared" si="14"/>
        <v>0</v>
      </c>
      <c r="BT45" s="9">
        <f t="shared" si="15"/>
        <v>0</v>
      </c>
      <c r="BU45" s="9">
        <f t="shared" si="16"/>
        <v>0</v>
      </c>
      <c r="BV45" s="12">
        <f t="shared" si="17"/>
        <v>-6.305500294267641E-4</v>
      </c>
      <c r="BX45" s="12">
        <f t="shared" si="18"/>
        <v>0</v>
      </c>
      <c r="BY45" s="12">
        <f t="shared" si="19"/>
        <v>3.3454240402822143E-3</v>
      </c>
    </row>
    <row r="46" spans="1:77" x14ac:dyDescent="0.3">
      <c r="A46" s="1">
        <v>46090</v>
      </c>
      <c r="B46" s="8">
        <v>46.85</v>
      </c>
      <c r="C46" s="8">
        <v>118.71</v>
      </c>
      <c r="D46" s="9">
        <v>2.3506795737192701E-3</v>
      </c>
      <c r="E46" s="9">
        <v>2.44591696181254E-3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46.85</v>
      </c>
      <c r="M46" s="8">
        <v>118.71</v>
      </c>
      <c r="N46" s="10">
        <v>2.5338313767342502</v>
      </c>
      <c r="O46" s="10">
        <v>2.5326711528669299</v>
      </c>
      <c r="P46" s="10">
        <v>2.5300234870669698</v>
      </c>
      <c r="Q46" s="10">
        <v>2.53257852959893</v>
      </c>
      <c r="R46" s="8">
        <v>118.655643511815</v>
      </c>
      <c r="S46" s="8">
        <v>118.489522819816</v>
      </c>
      <c r="T46" s="8">
        <v>118.672832946773</v>
      </c>
      <c r="U46" s="9">
        <v>-4.5799795058910897E-4</v>
      </c>
      <c r="V46" s="9">
        <v>-1.85900242174237E-3</v>
      </c>
      <c r="W46" s="9">
        <v>-3.13140196944128E-4</v>
      </c>
      <c r="X46" s="10">
        <v>2.5338313767342502</v>
      </c>
      <c r="Y46" s="10">
        <v>2.53031067016226</v>
      </c>
      <c r="Z46" s="10">
        <v>2.5300234870669698</v>
      </c>
      <c r="AA46" s="10">
        <v>2.53257852959893</v>
      </c>
      <c r="AB46" s="8">
        <v>118.545054897101</v>
      </c>
      <c r="AC46" s="8">
        <v>118.489522819816</v>
      </c>
      <c r="AD46" s="8">
        <v>118.672832946773</v>
      </c>
      <c r="AE46" s="9">
        <v>-1.39044564967616E-3</v>
      </c>
      <c r="AF46" s="9">
        <v>-1.85900242174237E-3</v>
      </c>
      <c r="AG46" s="9">
        <v>-3.13140196944128E-4</v>
      </c>
      <c r="AZ46" s="9"/>
      <c r="BB46">
        <f t="shared" si="2"/>
        <v>0</v>
      </c>
      <c r="BC46">
        <f t="shared" si="3"/>
        <v>0</v>
      </c>
      <c r="BD46">
        <f t="shared" si="4"/>
        <v>0</v>
      </c>
      <c r="BE46">
        <f t="shared" si="0"/>
        <v>1</v>
      </c>
      <c r="BF46">
        <f t="shared" si="5"/>
        <v>0</v>
      </c>
      <c r="BG46" s="9">
        <f t="shared" si="6"/>
        <v>0</v>
      </c>
      <c r="BH46" s="9">
        <f t="shared" si="7"/>
        <v>0</v>
      </c>
      <c r="BI46" s="9">
        <f t="shared" si="8"/>
        <v>0</v>
      </c>
      <c r="BJ46" s="12">
        <f t="shared" si="9"/>
        <v>3.9759740697089783E-3</v>
      </c>
      <c r="BL46" s="9"/>
      <c r="BN46">
        <f t="shared" si="10"/>
        <v>0</v>
      </c>
      <c r="BO46">
        <f t="shared" si="11"/>
        <v>1</v>
      </c>
      <c r="BP46">
        <f t="shared" si="12"/>
        <v>0</v>
      </c>
      <c r="BQ46">
        <f t="shared" si="1"/>
        <v>1</v>
      </c>
      <c r="BR46">
        <f t="shared" si="13"/>
        <v>0</v>
      </c>
      <c r="BS46" s="9">
        <f t="shared" si="14"/>
        <v>0</v>
      </c>
      <c r="BT46" s="9">
        <f t="shared" si="15"/>
        <v>0</v>
      </c>
      <c r="BU46" s="9">
        <f t="shared" si="16"/>
        <v>0</v>
      </c>
      <c r="BV46" s="12">
        <f t="shared" si="17"/>
        <v>-6.305500294267641E-4</v>
      </c>
      <c r="BX46" s="12">
        <f t="shared" si="18"/>
        <v>0</v>
      </c>
      <c r="BY46" s="12">
        <f t="shared" si="19"/>
        <v>3.3454240402822143E-3</v>
      </c>
    </row>
    <row r="47" spans="1:77" x14ac:dyDescent="0.3">
      <c r="A47" s="1">
        <v>46091</v>
      </c>
      <c r="B47" s="8">
        <v>46.56</v>
      </c>
      <c r="C47" s="8">
        <v>117.67</v>
      </c>
      <c r="D47" s="9">
        <v>-6.20920526124884E-3</v>
      </c>
      <c r="E47" s="9">
        <v>-8.7994475896050299E-3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46.56</v>
      </c>
      <c r="M47" s="8">
        <v>117.67</v>
      </c>
      <c r="N47" s="10">
        <v>2.5272766323023999</v>
      </c>
      <c r="O47" s="10">
        <v>2.5326711528669299</v>
      </c>
      <c r="P47" s="10">
        <v>2.5305689469073802</v>
      </c>
      <c r="Q47" s="10">
        <v>2.5316194541303401</v>
      </c>
      <c r="R47" s="8">
        <v>117.92116887748401</v>
      </c>
      <c r="S47" s="8">
        <v>117.79789355783799</v>
      </c>
      <c r="T47" s="8">
        <v>117.916856338126</v>
      </c>
      <c r="U47" s="9">
        <v>2.13224437776705E-3</v>
      </c>
      <c r="V47" s="9">
        <v>1.0862930693661399E-3</v>
      </c>
      <c r="W47" s="9">
        <v>2.0956723334209898E-3</v>
      </c>
      <c r="X47" s="10">
        <v>2.5272766323023999</v>
      </c>
      <c r="Y47" s="10">
        <v>2.53031067016226</v>
      </c>
      <c r="Z47" s="10">
        <v>2.5305689469073802</v>
      </c>
      <c r="AA47" s="10">
        <v>2.5316194541303401</v>
      </c>
      <c r="AB47" s="8">
        <v>117.811264802754</v>
      </c>
      <c r="AC47" s="8">
        <v>117.79789355783799</v>
      </c>
      <c r="AD47" s="8">
        <v>117.916856338126</v>
      </c>
      <c r="AE47" s="9">
        <v>1.1997966786801101E-3</v>
      </c>
      <c r="AF47" s="9">
        <v>1.0862930693661399E-3</v>
      </c>
      <c r="AG47" s="9">
        <v>2.0956723334209898E-3</v>
      </c>
      <c r="AZ47" s="9"/>
      <c r="BB47">
        <f t="shared" si="2"/>
        <v>0</v>
      </c>
      <c r="BC47">
        <f t="shared" si="3"/>
        <v>1</v>
      </c>
      <c r="BD47">
        <f t="shared" si="4"/>
        <v>0</v>
      </c>
      <c r="BE47">
        <f t="shared" si="0"/>
        <v>1</v>
      </c>
      <c r="BF47">
        <f t="shared" si="5"/>
        <v>0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3.9759740697089783E-3</v>
      </c>
      <c r="BL47" s="9"/>
      <c r="BN47">
        <f t="shared" si="10"/>
        <v>0</v>
      </c>
      <c r="BO47">
        <f t="shared" si="11"/>
        <v>0</v>
      </c>
      <c r="BP47">
        <f t="shared" si="12"/>
        <v>0</v>
      </c>
      <c r="BQ47">
        <f t="shared" si="1"/>
        <v>1</v>
      </c>
      <c r="BR47">
        <f t="shared" si="13"/>
        <v>0</v>
      </c>
      <c r="BS47" s="9">
        <f t="shared" si="14"/>
        <v>0</v>
      </c>
      <c r="BT47" s="9">
        <f t="shared" si="15"/>
        <v>0</v>
      </c>
      <c r="BU47" s="9">
        <f t="shared" si="16"/>
        <v>0</v>
      </c>
      <c r="BV47" s="12">
        <f t="shared" si="17"/>
        <v>-6.305500294267641E-4</v>
      </c>
      <c r="BX47" s="12">
        <f t="shared" si="18"/>
        <v>0</v>
      </c>
      <c r="BY47" s="12">
        <f t="shared" si="19"/>
        <v>3.3454240402822143E-3</v>
      </c>
    </row>
    <row r="48" spans="1:77" x14ac:dyDescent="0.3">
      <c r="A48" s="1">
        <v>46092</v>
      </c>
      <c r="B48" s="8">
        <v>46.17</v>
      </c>
      <c r="C48" s="8">
        <v>116.85</v>
      </c>
      <c r="D48" s="9">
        <v>-8.4115669042848003E-3</v>
      </c>
      <c r="E48" s="9">
        <v>-6.9930354909706303E-3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46.17</v>
      </c>
      <c r="M48" s="8">
        <v>116.85</v>
      </c>
      <c r="N48" s="10">
        <v>2.5308641975308599</v>
      </c>
      <c r="O48" s="10">
        <v>2.5326711528669299</v>
      </c>
      <c r="P48" s="10">
        <v>2.53145942071452</v>
      </c>
      <c r="Q48" s="10">
        <v>2.53101334273991</v>
      </c>
      <c r="R48" s="8">
        <v>116.933427127866</v>
      </c>
      <c r="S48" s="8">
        <v>116.836368278714</v>
      </c>
      <c r="T48" s="8">
        <v>116.884870197197</v>
      </c>
      <c r="U48" s="9">
        <v>7.1371296445280205E-4</v>
      </c>
      <c r="V48" s="9">
        <v>-1.1666680775384E-4</v>
      </c>
      <c r="W48" s="9">
        <v>2.9837394332408502E-4</v>
      </c>
      <c r="X48" s="10">
        <v>2.5308641975308599</v>
      </c>
      <c r="Y48" s="10">
        <v>2.53031067016226</v>
      </c>
      <c r="Z48" s="10">
        <v>2.53145942071452</v>
      </c>
      <c r="AA48" s="10">
        <v>2.53101334273991</v>
      </c>
      <c r="AB48" s="8">
        <v>116.824443641391</v>
      </c>
      <c r="AC48" s="8">
        <v>116.836368278714</v>
      </c>
      <c r="AD48" s="8">
        <v>116.884870197197</v>
      </c>
      <c r="AE48" s="9">
        <v>-2.18734734634147E-4</v>
      </c>
      <c r="AF48" s="9">
        <v>-1.1666680775384E-4</v>
      </c>
      <c r="AG48" s="9">
        <v>2.9837394332408502E-4</v>
      </c>
      <c r="AZ48" s="9"/>
      <c r="BB48">
        <f t="shared" si="2"/>
        <v>0</v>
      </c>
      <c r="BC48">
        <f t="shared" si="3"/>
        <v>1</v>
      </c>
      <c r="BD48">
        <f t="shared" si="4"/>
        <v>0</v>
      </c>
      <c r="BE48">
        <f t="shared" si="0"/>
        <v>1</v>
      </c>
      <c r="BF48">
        <f t="shared" si="5"/>
        <v>0</v>
      </c>
      <c r="BG48" s="9">
        <f t="shared" si="6"/>
        <v>0</v>
      </c>
      <c r="BH48" s="9">
        <f t="shared" si="7"/>
        <v>0</v>
      </c>
      <c r="BI48" s="9">
        <f t="shared" si="8"/>
        <v>0</v>
      </c>
      <c r="BJ48" s="12">
        <f t="shared" si="9"/>
        <v>3.9759740697089783E-3</v>
      </c>
      <c r="BL48" s="9"/>
      <c r="BN48">
        <f t="shared" si="10"/>
        <v>0</v>
      </c>
      <c r="BO48">
        <f t="shared" si="11"/>
        <v>0</v>
      </c>
      <c r="BP48">
        <f t="shared" si="12"/>
        <v>0</v>
      </c>
      <c r="BQ48">
        <f t="shared" si="1"/>
        <v>1</v>
      </c>
      <c r="BR48">
        <f t="shared" si="13"/>
        <v>0</v>
      </c>
      <c r="BS48" s="9">
        <f t="shared" si="14"/>
        <v>0</v>
      </c>
      <c r="BT48" s="9">
        <f t="shared" si="15"/>
        <v>0</v>
      </c>
      <c r="BU48" s="9">
        <f t="shared" si="16"/>
        <v>0</v>
      </c>
      <c r="BV48" s="12">
        <f t="shared" si="17"/>
        <v>-6.305500294267641E-4</v>
      </c>
      <c r="BX48" s="12">
        <f t="shared" si="18"/>
        <v>0</v>
      </c>
      <c r="BY48" s="12">
        <f t="shared" si="19"/>
        <v>3.3454240402822143E-3</v>
      </c>
    </row>
    <row r="49" spans="1:77" x14ac:dyDescent="0.3">
      <c r="A49" s="1">
        <v>46093</v>
      </c>
      <c r="B49" s="8">
        <v>46.5</v>
      </c>
      <c r="C49" s="8">
        <v>117.69</v>
      </c>
      <c r="D49" s="9">
        <v>7.1220760744131299E-3</v>
      </c>
      <c r="E49" s="9">
        <v>7.1629879047040001E-3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46.5</v>
      </c>
      <c r="M49" s="8">
        <v>117.69</v>
      </c>
      <c r="N49" s="10">
        <v>2.5309677419354801</v>
      </c>
      <c r="O49" s="10">
        <v>2.5326711528669299</v>
      </c>
      <c r="P49" s="10">
        <v>2.5318007900755202</v>
      </c>
      <c r="Q49" s="10">
        <v>2.5304480272127798</v>
      </c>
      <c r="R49" s="8">
        <v>117.769208608312</v>
      </c>
      <c r="S49" s="8">
        <v>117.712863063225</v>
      </c>
      <c r="T49" s="8">
        <v>117.692120437406</v>
      </c>
      <c r="U49" s="9">
        <v>6.7280113416203901E-4</v>
      </c>
      <c r="V49" s="9">
        <v>1.9424626361796E-4</v>
      </c>
      <c r="W49" s="9">
        <v>1.8016979388499999E-5</v>
      </c>
      <c r="X49" s="10">
        <v>2.5309677419354801</v>
      </c>
      <c r="Y49" s="10">
        <v>2.53031067016226</v>
      </c>
      <c r="Z49" s="10">
        <v>2.5318007900755202</v>
      </c>
      <c r="AA49" s="10">
        <v>2.5304480272127798</v>
      </c>
      <c r="AB49" s="8">
        <v>117.659446162545</v>
      </c>
      <c r="AC49" s="8">
        <v>117.712863063225</v>
      </c>
      <c r="AD49" s="8">
        <v>117.692120437406</v>
      </c>
      <c r="AE49" s="9">
        <v>-2.5964656492503301E-4</v>
      </c>
      <c r="AF49" s="9">
        <v>1.9424626361796E-4</v>
      </c>
      <c r="AG49" s="9">
        <v>1.8016979388499999E-5</v>
      </c>
      <c r="AZ49" s="9"/>
      <c r="BB49">
        <f t="shared" si="2"/>
        <v>0</v>
      </c>
      <c r="BC49">
        <f t="shared" si="3"/>
        <v>1</v>
      </c>
      <c r="BD49">
        <f t="shared" si="4"/>
        <v>0</v>
      </c>
      <c r="BE49">
        <f t="shared" si="0"/>
        <v>1</v>
      </c>
      <c r="BF49">
        <f t="shared" si="5"/>
        <v>0</v>
      </c>
      <c r="BG49" s="9">
        <f t="shared" si="6"/>
        <v>0</v>
      </c>
      <c r="BH49" s="9">
        <f t="shared" si="7"/>
        <v>0</v>
      </c>
      <c r="BI49" s="9">
        <f t="shared" si="8"/>
        <v>0</v>
      </c>
      <c r="BJ49" s="12">
        <f t="shared" si="9"/>
        <v>3.9759740697089783E-3</v>
      </c>
      <c r="BL49" s="9"/>
      <c r="BN49">
        <f t="shared" si="10"/>
        <v>0</v>
      </c>
      <c r="BO49">
        <f t="shared" si="11"/>
        <v>0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-6.305500294267641E-4</v>
      </c>
      <c r="BX49" s="12">
        <f t="shared" si="18"/>
        <v>0</v>
      </c>
      <c r="BY49" s="12">
        <f t="shared" si="19"/>
        <v>3.3454240402822143E-3</v>
      </c>
    </row>
    <row r="50" spans="1:77" x14ac:dyDescent="0.3">
      <c r="A50" s="1">
        <v>46094</v>
      </c>
      <c r="B50" s="8">
        <v>46.96</v>
      </c>
      <c r="C50" s="8">
        <v>118.72</v>
      </c>
      <c r="D50" s="9">
        <v>9.8438629265304792E-3</v>
      </c>
      <c r="E50" s="9">
        <v>8.71373052949935E-3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46.96</v>
      </c>
      <c r="M50" s="8">
        <v>118.72</v>
      </c>
      <c r="N50" s="10">
        <v>2.5281090289608099</v>
      </c>
      <c r="O50" s="10">
        <v>2.5326711528669299</v>
      </c>
      <c r="P50" s="10">
        <v>2.5317309052070902</v>
      </c>
      <c r="Q50" s="10">
        <v>2.53003579910281</v>
      </c>
      <c r="R50" s="8">
        <v>118.93423733863099</v>
      </c>
      <c r="S50" s="8">
        <v>118.893365101946</v>
      </c>
      <c r="T50" s="8">
        <v>118.82983935791199</v>
      </c>
      <c r="U50" s="9">
        <v>1.80293353119283E-3</v>
      </c>
      <c r="V50" s="9">
        <v>1.4592203821080501E-3</v>
      </c>
      <c r="W50" s="9">
        <v>9.2476901720567101E-4</v>
      </c>
      <c r="X50" s="10">
        <v>2.5281090289608099</v>
      </c>
      <c r="Y50" s="10">
        <v>2.53031067016226</v>
      </c>
      <c r="Z50" s="10">
        <v>2.5317309052070902</v>
      </c>
      <c r="AA50" s="10">
        <v>2.53003579910281</v>
      </c>
      <c r="AB50" s="8">
        <v>118.823389070819</v>
      </c>
      <c r="AC50" s="8">
        <v>118.893365101946</v>
      </c>
      <c r="AD50" s="8">
        <v>118.82983935791199</v>
      </c>
      <c r="AE50" s="9">
        <v>8.7048583210597695E-4</v>
      </c>
      <c r="AF50" s="9">
        <v>1.4592203821080501E-3</v>
      </c>
      <c r="AG50" s="9">
        <v>9.2476901720567101E-4</v>
      </c>
      <c r="AZ50" s="9"/>
      <c r="BB50">
        <f t="shared" si="2"/>
        <v>0</v>
      </c>
      <c r="BC50">
        <f t="shared" si="3"/>
        <v>1</v>
      </c>
      <c r="BD50">
        <f t="shared" si="4"/>
        <v>0</v>
      </c>
      <c r="BE50">
        <f t="shared" si="0"/>
        <v>1</v>
      </c>
      <c r="BF50">
        <f t="shared" si="5"/>
        <v>0</v>
      </c>
      <c r="BG50" s="9">
        <f t="shared" si="6"/>
        <v>0</v>
      </c>
      <c r="BH50" s="9">
        <f t="shared" si="7"/>
        <v>0</v>
      </c>
      <c r="BI50" s="9">
        <f t="shared" si="8"/>
        <v>0</v>
      </c>
      <c r="BJ50" s="12">
        <f t="shared" si="9"/>
        <v>3.9759740697089783E-3</v>
      </c>
      <c r="BL50" s="9"/>
      <c r="BN50">
        <f t="shared" si="10"/>
        <v>0</v>
      </c>
      <c r="BO50">
        <f t="shared" si="11"/>
        <v>0</v>
      </c>
      <c r="BP50">
        <f t="shared" si="12"/>
        <v>0</v>
      </c>
      <c r="BQ50">
        <f t="shared" si="1"/>
        <v>1</v>
      </c>
      <c r="BR50">
        <f t="shared" si="13"/>
        <v>0</v>
      </c>
      <c r="BS50" s="9">
        <f t="shared" si="14"/>
        <v>0</v>
      </c>
      <c r="BT50" s="9">
        <f t="shared" si="15"/>
        <v>0</v>
      </c>
      <c r="BU50" s="9">
        <f t="shared" si="16"/>
        <v>0</v>
      </c>
      <c r="BV50" s="12">
        <f t="shared" si="17"/>
        <v>-6.305500294267641E-4</v>
      </c>
      <c r="BX50" s="12">
        <f t="shared" si="18"/>
        <v>0</v>
      </c>
      <c r="BY50" s="12">
        <f t="shared" si="19"/>
        <v>3.3454240402822143E-3</v>
      </c>
    </row>
    <row r="51" spans="1:77" x14ac:dyDescent="0.3">
      <c r="A51" s="1">
        <v>46097</v>
      </c>
      <c r="B51" s="8">
        <v>47.26</v>
      </c>
      <c r="C51" s="8">
        <v>119.28</v>
      </c>
      <c r="D51" s="9">
        <v>6.3680962389206898E-3</v>
      </c>
      <c r="E51" s="9">
        <v>4.7058910374127103E-3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47.26</v>
      </c>
      <c r="M51" s="8">
        <v>119.28</v>
      </c>
      <c r="N51" s="10">
        <v>2.5239102835378699</v>
      </c>
      <c r="O51" s="10">
        <v>2.5326711528669299</v>
      </c>
      <c r="P51" s="10">
        <v>2.53088148602024</v>
      </c>
      <c r="Q51" s="10">
        <v>2.5295969046775499</v>
      </c>
      <c r="R51" s="8">
        <v>119.69403868449101</v>
      </c>
      <c r="S51" s="8">
        <v>119.64960258008701</v>
      </c>
      <c r="T51" s="8">
        <v>119.569491865598</v>
      </c>
      <c r="U51" s="9">
        <v>3.4651387327010201E-3</v>
      </c>
      <c r="V51" s="9">
        <v>3.0938223720090199E-3</v>
      </c>
      <c r="W51" s="9">
        <v>2.4240537846085398E-3</v>
      </c>
      <c r="X51" s="10">
        <v>2.5239102835378699</v>
      </c>
      <c r="Y51" s="10">
        <v>2.53031067016226</v>
      </c>
      <c r="Z51" s="10">
        <v>2.53088148602024</v>
      </c>
      <c r="AA51" s="10">
        <v>2.5295969046775499</v>
      </c>
      <c r="AB51" s="8">
        <v>119.582482271868</v>
      </c>
      <c r="AC51" s="8">
        <v>119.64960258008701</v>
      </c>
      <c r="AD51" s="8">
        <v>119.569491865598</v>
      </c>
      <c r="AE51" s="9">
        <v>2.5326910336138202E-3</v>
      </c>
      <c r="AF51" s="9">
        <v>3.0938223720090199E-3</v>
      </c>
      <c r="AG51" s="9">
        <v>2.4240537846085398E-3</v>
      </c>
      <c r="AZ51" s="9"/>
      <c r="BB51">
        <f t="shared" si="2"/>
        <v>0</v>
      </c>
      <c r="BC51">
        <f t="shared" si="3"/>
        <v>1</v>
      </c>
      <c r="BD51">
        <f t="shared" si="4"/>
        <v>0</v>
      </c>
      <c r="BE51">
        <f t="shared" si="0"/>
        <v>0</v>
      </c>
      <c r="BF51">
        <f t="shared" si="5"/>
        <v>0</v>
      </c>
      <c r="BG51" s="9">
        <f t="shared" si="6"/>
        <v>0</v>
      </c>
      <c r="BH51" s="9">
        <f t="shared" si="7"/>
        <v>0</v>
      </c>
      <c r="BI51" s="9">
        <f t="shared" si="8"/>
        <v>0</v>
      </c>
      <c r="BJ51" s="12">
        <f t="shared" si="9"/>
        <v>3.9759740697089783E-3</v>
      </c>
      <c r="BL51" s="9"/>
      <c r="BN51">
        <f t="shared" si="10"/>
        <v>1</v>
      </c>
      <c r="BO51">
        <f t="shared" si="11"/>
        <v>0</v>
      </c>
      <c r="BP51">
        <f t="shared" si="12"/>
        <v>0</v>
      </c>
      <c r="BQ51">
        <f t="shared" si="1"/>
        <v>0</v>
      </c>
      <c r="BR51">
        <f t="shared" si="13"/>
        <v>0</v>
      </c>
      <c r="BS51" s="9">
        <f t="shared" si="14"/>
        <v>0</v>
      </c>
      <c r="BT51" s="9">
        <f t="shared" si="15"/>
        <v>0</v>
      </c>
      <c r="BU51" s="9">
        <f t="shared" si="16"/>
        <v>0</v>
      </c>
      <c r="BV51" s="12">
        <f t="shared" si="17"/>
        <v>-6.305500294267641E-4</v>
      </c>
      <c r="BX51" s="12">
        <f t="shared" si="18"/>
        <v>0</v>
      </c>
      <c r="BY51" s="12">
        <f t="shared" si="19"/>
        <v>3.3454240402822143E-3</v>
      </c>
    </row>
    <row r="52" spans="1:77" x14ac:dyDescent="0.3">
      <c r="A52" s="1">
        <v>46098</v>
      </c>
      <c r="B52" s="8">
        <v>47.13</v>
      </c>
      <c r="C52" s="8">
        <v>118.39</v>
      </c>
      <c r="D52" s="9">
        <v>-2.7545308231221701E-3</v>
      </c>
      <c r="E52" s="9">
        <v>-7.4894110329380703E-3</v>
      </c>
      <c r="F52" s="8">
        <v>0</v>
      </c>
      <c r="G52" s="8">
        <v>0</v>
      </c>
      <c r="H52" s="8">
        <v>0.62160000000000004</v>
      </c>
      <c r="I52" s="8">
        <v>0.62160000000000004</v>
      </c>
      <c r="J52" s="8">
        <v>0</v>
      </c>
      <c r="K52" s="8">
        <v>0.62160000000000004</v>
      </c>
      <c r="L52" s="8">
        <v>47.13</v>
      </c>
      <c r="M52" s="8">
        <v>119.0116</v>
      </c>
      <c r="N52" s="10">
        <v>2.5119881179715602</v>
      </c>
      <c r="O52" s="10">
        <v>2.5326711528669299</v>
      </c>
      <c r="P52" s="10">
        <v>2.5287342175114702</v>
      </c>
      <c r="Q52" s="10">
        <v>2.5286223562854899</v>
      </c>
      <c r="R52" s="8">
        <v>119.364791434618</v>
      </c>
      <c r="S52" s="8">
        <v>119.280444436134</v>
      </c>
      <c r="T52" s="8">
        <v>119.219902117453</v>
      </c>
      <c r="U52" s="9">
        <v>8.2000189425168197E-3</v>
      </c>
      <c r="V52" s="9">
        <v>7.4931370163901804E-3</v>
      </c>
      <c r="W52" s="9">
        <v>6.9854453433494104E-3</v>
      </c>
      <c r="X52" s="10">
        <v>2.5251771695310801</v>
      </c>
      <c r="Y52" s="10">
        <v>2.53031067016226</v>
      </c>
      <c r="Z52" s="10">
        <v>2.5300531226674199</v>
      </c>
      <c r="AA52" s="10">
        <v>2.5292818088634599</v>
      </c>
      <c r="AB52" s="8">
        <v>119.25354188474699</v>
      </c>
      <c r="AC52" s="8">
        <v>119.280444436134</v>
      </c>
      <c r="AD52" s="8">
        <v>119.219902117453</v>
      </c>
      <c r="AE52" s="9">
        <v>2.0308633146169201E-3</v>
      </c>
      <c r="AF52" s="9">
        <v>2.2564290875769799E-3</v>
      </c>
      <c r="AG52" s="9">
        <v>1.74873741453631E-3</v>
      </c>
      <c r="AZ52" s="9"/>
      <c r="BB52">
        <f t="shared" si="2"/>
        <v>0</v>
      </c>
      <c r="BC52">
        <f t="shared" si="3"/>
        <v>1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3.9759740697089783E-3</v>
      </c>
      <c r="BL52" s="9"/>
      <c r="BN52">
        <f t="shared" si="10"/>
        <v>0</v>
      </c>
      <c r="BO52">
        <f t="shared" si="11"/>
        <v>0</v>
      </c>
      <c r="BP52">
        <f t="shared" si="12"/>
        <v>0</v>
      </c>
      <c r="BQ52">
        <f t="shared" si="1"/>
        <v>1</v>
      </c>
      <c r="BR52">
        <f t="shared" si="13"/>
        <v>0</v>
      </c>
      <c r="BS52" s="9">
        <f t="shared" si="14"/>
        <v>0</v>
      </c>
      <c r="BT52" s="9">
        <f t="shared" si="15"/>
        <v>0</v>
      </c>
      <c r="BU52" s="9">
        <f t="shared" si="16"/>
        <v>0</v>
      </c>
      <c r="BV52" s="12">
        <f t="shared" si="17"/>
        <v>-6.305500294267641E-4</v>
      </c>
      <c r="BX52" s="12">
        <f t="shared" si="18"/>
        <v>0</v>
      </c>
      <c r="BY52" s="12">
        <f t="shared" si="19"/>
        <v>3.3454240402822143E-3</v>
      </c>
    </row>
    <row r="53" spans="1:77" x14ac:dyDescent="0.3">
      <c r="A53" s="1">
        <v>46099</v>
      </c>
      <c r="B53" s="8">
        <v>46.73</v>
      </c>
      <c r="C53" s="8">
        <v>117.52</v>
      </c>
      <c r="D53" s="9">
        <v>-8.5233842233047794E-3</v>
      </c>
      <c r="E53" s="9">
        <v>-7.3757275579230102E-3</v>
      </c>
      <c r="F53" s="8">
        <v>0</v>
      </c>
      <c r="G53" s="8">
        <v>0</v>
      </c>
      <c r="H53" s="8">
        <v>0</v>
      </c>
      <c r="I53" s="8">
        <v>0.62160000000000004</v>
      </c>
      <c r="J53" s="8">
        <v>0</v>
      </c>
      <c r="K53" s="8">
        <v>0.62160000000000004</v>
      </c>
      <c r="L53" s="8">
        <v>46.73</v>
      </c>
      <c r="M53" s="8">
        <v>118.1416</v>
      </c>
      <c r="N53" s="10">
        <v>2.5148726728011899</v>
      </c>
      <c r="O53" s="10">
        <v>2.5326711528669299</v>
      </c>
      <c r="P53" s="10">
        <v>2.5270164921958602</v>
      </c>
      <c r="Q53" s="10">
        <v>2.5276722824052702</v>
      </c>
      <c r="R53" s="8">
        <v>118.351722973471</v>
      </c>
      <c r="S53" s="8">
        <v>118.167749984311</v>
      </c>
      <c r="T53" s="8">
        <v>118.16252270922099</v>
      </c>
      <c r="U53" s="9">
        <v>7.0523622771351199E-3</v>
      </c>
      <c r="V53" s="9">
        <v>5.4966931056897499E-3</v>
      </c>
      <c r="W53" s="9">
        <v>5.4524560722249496E-3</v>
      </c>
      <c r="X53" s="10">
        <v>2.5281746201583499</v>
      </c>
      <c r="Y53" s="10">
        <v>2.53031067016226</v>
      </c>
      <c r="Z53" s="10">
        <v>2.5296655920875302</v>
      </c>
      <c r="AA53" s="10">
        <v>2.5289968323510998</v>
      </c>
      <c r="AB53" s="8">
        <v>118.241417616682</v>
      </c>
      <c r="AC53" s="8">
        <v>118.22938242224799</v>
      </c>
      <c r="AD53" s="8">
        <v>118.19333892818899</v>
      </c>
      <c r="AE53" s="9">
        <v>8.4454140252297402E-4</v>
      </c>
      <c r="AF53" s="9">
        <v>7.4275129192991898E-4</v>
      </c>
      <c r="AG53" s="9">
        <v>4.3784409745834701E-4</v>
      </c>
      <c r="AZ53" s="9"/>
      <c r="BB53">
        <f t="shared" si="2"/>
        <v>0</v>
      </c>
      <c r="BC53">
        <f t="shared" si="3"/>
        <v>1</v>
      </c>
      <c r="BD53">
        <f t="shared" si="4"/>
        <v>0</v>
      </c>
      <c r="BE53">
        <f t="shared" si="0"/>
        <v>1</v>
      </c>
      <c r="BF53">
        <f t="shared" si="5"/>
        <v>0</v>
      </c>
      <c r="BG53" s="9">
        <f t="shared" si="6"/>
        <v>0</v>
      </c>
      <c r="BH53" s="9">
        <f t="shared" si="7"/>
        <v>0</v>
      </c>
      <c r="BI53" s="9">
        <f t="shared" si="8"/>
        <v>0</v>
      </c>
      <c r="BJ53" s="12">
        <f t="shared" si="9"/>
        <v>3.9759740697089783E-3</v>
      </c>
      <c r="BL53" s="9"/>
      <c r="BN53">
        <f t="shared" si="10"/>
        <v>0</v>
      </c>
      <c r="BO53">
        <f t="shared" si="11"/>
        <v>0</v>
      </c>
      <c r="BP53">
        <f t="shared" si="12"/>
        <v>0</v>
      </c>
      <c r="BQ53">
        <f t="shared" si="1"/>
        <v>1</v>
      </c>
      <c r="BR53">
        <f t="shared" si="13"/>
        <v>0</v>
      </c>
      <c r="BS53" s="9">
        <f t="shared" si="14"/>
        <v>0</v>
      </c>
      <c r="BT53" s="9">
        <f t="shared" si="15"/>
        <v>0</v>
      </c>
      <c r="BU53" s="9">
        <f t="shared" si="16"/>
        <v>0</v>
      </c>
      <c r="BV53" s="12">
        <f t="shared" si="17"/>
        <v>-6.305500294267641E-4</v>
      </c>
      <c r="BX53" s="12">
        <f t="shared" si="18"/>
        <v>0</v>
      </c>
      <c r="BY53" s="12">
        <f t="shared" si="19"/>
        <v>3.3454240402822143E-3</v>
      </c>
    </row>
    <row r="54" spans="1:77" x14ac:dyDescent="0.3">
      <c r="A54" s="1">
        <v>46100</v>
      </c>
      <c r="B54" s="8">
        <v>46.54</v>
      </c>
      <c r="C54" s="8">
        <v>117.08</v>
      </c>
      <c r="D54" s="9">
        <v>-4.07419883818908E-3</v>
      </c>
      <c r="E54" s="9">
        <v>-3.7510700419367202E-3</v>
      </c>
      <c r="F54" s="8">
        <v>0</v>
      </c>
      <c r="G54" s="8">
        <v>0</v>
      </c>
      <c r="H54" s="8">
        <v>0</v>
      </c>
      <c r="I54" s="8">
        <v>0.62160000000000004</v>
      </c>
      <c r="J54" s="8">
        <v>0</v>
      </c>
      <c r="K54" s="8">
        <v>0.62160000000000004</v>
      </c>
      <c r="L54" s="8">
        <v>46.54</v>
      </c>
      <c r="M54" s="8">
        <v>117.7016</v>
      </c>
      <c r="N54" s="10">
        <v>2.5156854318865398</v>
      </c>
      <c r="O54" s="10">
        <v>2.5326711528669299</v>
      </c>
      <c r="P54" s="10">
        <v>2.52510955564038</v>
      </c>
      <c r="Q54" s="10">
        <v>2.5268571178685999</v>
      </c>
      <c r="R54" s="8">
        <v>117.87051545442699</v>
      </c>
      <c r="S54" s="8">
        <v>117.607347546795</v>
      </c>
      <c r="T54" s="8">
        <v>117.637868023141</v>
      </c>
      <c r="U54" s="9">
        <v>6.7292334808827497E-3</v>
      </c>
      <c r="V54" s="9">
        <v>4.4940508285200497E-3</v>
      </c>
      <c r="W54" s="9">
        <v>4.7535288072157204E-3</v>
      </c>
      <c r="X54" s="10">
        <v>2.5290416845724102</v>
      </c>
      <c r="Y54" s="10">
        <v>2.53031067016226</v>
      </c>
      <c r="Z54" s="10">
        <v>2.52909428080063</v>
      </c>
      <c r="AA54" s="10">
        <v>2.5288494804487298</v>
      </c>
      <c r="AB54" s="8">
        <v>117.760658589351</v>
      </c>
      <c r="AC54" s="8">
        <v>117.730636655753</v>
      </c>
      <c r="AD54" s="8">
        <v>117.69951257762</v>
      </c>
      <c r="AE54" s="9">
        <v>5.0163954889297004E-4</v>
      </c>
      <c r="AF54" s="9">
        <v>2.4666678033161198E-4</v>
      </c>
      <c r="AG54" s="9">
        <v>-1.7735025605860601E-5</v>
      </c>
      <c r="AZ54" s="9"/>
      <c r="BB54">
        <f t="shared" si="2"/>
        <v>0</v>
      </c>
      <c r="BC54">
        <f t="shared" si="3"/>
        <v>0</v>
      </c>
      <c r="BD54">
        <f t="shared" si="4"/>
        <v>0</v>
      </c>
      <c r="BE54">
        <f t="shared" si="0"/>
        <v>1</v>
      </c>
      <c r="BF54">
        <f t="shared" si="5"/>
        <v>0</v>
      </c>
      <c r="BG54" s="9">
        <f t="shared" si="6"/>
        <v>0</v>
      </c>
      <c r="BH54" s="9">
        <f t="shared" si="7"/>
        <v>0</v>
      </c>
      <c r="BI54" s="9">
        <f t="shared" si="8"/>
        <v>0</v>
      </c>
      <c r="BJ54" s="12">
        <f t="shared" si="9"/>
        <v>3.9759740697089783E-3</v>
      </c>
      <c r="BL54" s="9"/>
      <c r="BN54">
        <f t="shared" si="10"/>
        <v>0</v>
      </c>
      <c r="BO54">
        <f t="shared" si="11"/>
        <v>1</v>
      </c>
      <c r="BP54">
        <f t="shared" si="12"/>
        <v>0</v>
      </c>
      <c r="BQ54">
        <f t="shared" si="1"/>
        <v>1</v>
      </c>
      <c r="BR54">
        <f t="shared" si="13"/>
        <v>0</v>
      </c>
      <c r="BS54" s="9">
        <f t="shared" si="14"/>
        <v>0</v>
      </c>
      <c r="BT54" s="9">
        <f t="shared" si="15"/>
        <v>0</v>
      </c>
      <c r="BU54" s="9">
        <f t="shared" si="16"/>
        <v>0</v>
      </c>
      <c r="BV54" s="12">
        <f t="shared" si="17"/>
        <v>-6.305500294267641E-4</v>
      </c>
      <c r="BX54" s="12">
        <f t="shared" si="18"/>
        <v>0</v>
      </c>
      <c r="BY54" s="12">
        <f t="shared" si="19"/>
        <v>3.3454240402822143E-3</v>
      </c>
    </row>
    <row r="55" spans="1:77" x14ac:dyDescent="0.3">
      <c r="A55" s="1">
        <v>46101</v>
      </c>
      <c r="B55" s="8">
        <v>44.65</v>
      </c>
      <c r="C55" s="8">
        <v>112.57</v>
      </c>
      <c r="D55" s="9">
        <v>-4.1457850551637497E-2</v>
      </c>
      <c r="E55" s="9">
        <v>-3.9282211456972499E-2</v>
      </c>
      <c r="F55" s="8">
        <v>0</v>
      </c>
      <c r="G55" s="8">
        <v>0</v>
      </c>
      <c r="H55" s="8">
        <v>0</v>
      </c>
      <c r="I55" s="8">
        <v>0.62160000000000004</v>
      </c>
      <c r="J55" s="8">
        <v>0</v>
      </c>
      <c r="K55" s="8">
        <v>0.62160000000000004</v>
      </c>
      <c r="L55" s="8">
        <v>44.65</v>
      </c>
      <c r="M55" s="8">
        <v>113.19159999999999</v>
      </c>
      <c r="N55" s="10">
        <v>2.52116461366181</v>
      </c>
      <c r="O55" s="10">
        <v>2.5326711528669299</v>
      </c>
      <c r="P55" s="10">
        <v>2.52386700973228</v>
      </c>
      <c r="Q55" s="10">
        <v>2.5264961817051601</v>
      </c>
      <c r="R55" s="8">
        <v>113.083766975508</v>
      </c>
      <c r="S55" s="8">
        <v>112.746141659343</v>
      </c>
      <c r="T55" s="8">
        <v>112.824170312833</v>
      </c>
      <c r="U55" s="9">
        <v>4.5535943862176501E-3</v>
      </c>
      <c r="V55" s="9">
        <v>1.5635071143000499E-3</v>
      </c>
      <c r="W55" s="9">
        <v>2.2553415664513998E-3</v>
      </c>
      <c r="X55" s="10">
        <v>2.5350862262037999</v>
      </c>
      <c r="Y55" s="10">
        <v>2.53031067016226</v>
      </c>
      <c r="Z55" s="10">
        <v>2.5292438961467298</v>
      </c>
      <c r="AA55" s="10">
        <v>2.5291846249123799</v>
      </c>
      <c r="AB55" s="8">
        <v>112.978371422744</v>
      </c>
      <c r="AC55" s="8">
        <v>112.924059637748</v>
      </c>
      <c r="AD55" s="8">
        <v>112.913129302036</v>
      </c>
      <c r="AE55" s="9">
        <v>-1.8855610149196001E-3</v>
      </c>
      <c r="AF55" s="9">
        <v>-2.36640387958342E-3</v>
      </c>
      <c r="AG55" s="9">
        <v>-2.46320224811026E-3</v>
      </c>
      <c r="AZ55" s="9"/>
      <c r="BB55">
        <f t="shared" si="2"/>
        <v>1</v>
      </c>
      <c r="BC55">
        <f t="shared" si="3"/>
        <v>0</v>
      </c>
      <c r="BD55">
        <f t="shared" si="4"/>
        <v>0</v>
      </c>
      <c r="BE55">
        <f t="shared" si="0"/>
        <v>0</v>
      </c>
      <c r="BF55">
        <f t="shared" si="5"/>
        <v>0</v>
      </c>
      <c r="BG55" s="9">
        <f t="shared" si="6"/>
        <v>0</v>
      </c>
      <c r="BH55" s="9">
        <f t="shared" si="7"/>
        <v>0</v>
      </c>
      <c r="BI55" s="9">
        <f t="shared" si="8"/>
        <v>0</v>
      </c>
      <c r="BJ55" s="12">
        <f t="shared" si="9"/>
        <v>3.9759740697089783E-3</v>
      </c>
      <c r="BL55" s="9"/>
      <c r="BN55">
        <f t="shared" si="10"/>
        <v>0</v>
      </c>
      <c r="BO55">
        <f t="shared" si="11"/>
        <v>1</v>
      </c>
      <c r="BP55">
        <f t="shared" si="12"/>
        <v>0</v>
      </c>
      <c r="BQ55">
        <f t="shared" si="1"/>
        <v>0</v>
      </c>
      <c r="BR55">
        <f t="shared" si="13"/>
        <v>0</v>
      </c>
      <c r="BS55" s="9">
        <f t="shared" si="14"/>
        <v>0</v>
      </c>
      <c r="BT55" s="9">
        <f t="shared" si="15"/>
        <v>0</v>
      </c>
      <c r="BU55" s="9">
        <f t="shared" si="16"/>
        <v>0</v>
      </c>
      <c r="BV55" s="12">
        <f t="shared" si="17"/>
        <v>-6.305500294267641E-4</v>
      </c>
      <c r="BX55" s="12">
        <f t="shared" si="18"/>
        <v>0</v>
      </c>
      <c r="BY55" s="12">
        <f t="shared" si="19"/>
        <v>3.3454240402822143E-3</v>
      </c>
    </row>
    <row r="56" spans="1:77" x14ac:dyDescent="0.3">
      <c r="A56" s="1">
        <v>46104</v>
      </c>
      <c r="B56" s="8">
        <v>44.78</v>
      </c>
      <c r="C56" s="8">
        <v>113.42</v>
      </c>
      <c r="D56" s="9">
        <v>2.90730384810081E-3</v>
      </c>
      <c r="E56" s="9">
        <v>7.5224922191694599E-3</v>
      </c>
      <c r="F56" s="8">
        <v>0.30990000000000001</v>
      </c>
      <c r="G56" s="8">
        <v>0.30990000000000001</v>
      </c>
      <c r="H56" s="8">
        <v>0</v>
      </c>
      <c r="I56" s="8">
        <v>0.62160000000000004</v>
      </c>
      <c r="J56" s="8">
        <v>0.30990000000000001</v>
      </c>
      <c r="K56" s="8">
        <v>0.62160000000000004</v>
      </c>
      <c r="L56" s="8">
        <v>45.0899</v>
      </c>
      <c r="M56" s="8">
        <v>114.0416</v>
      </c>
      <c r="N56" s="10">
        <v>2.5328271549799002</v>
      </c>
      <c r="O56" s="10">
        <v>2.5326711528669299</v>
      </c>
      <c r="P56" s="10">
        <v>2.5237665875568398</v>
      </c>
      <c r="Q56" s="10">
        <v>2.5268950373119101</v>
      </c>
      <c r="R56" s="8">
        <v>113.413014225381</v>
      </c>
      <c r="S56" s="8">
        <v>113.018764695811</v>
      </c>
      <c r="T56" s="8">
        <v>113.136499016757</v>
      </c>
      <c r="U56" s="9">
        <v>-6.1593984850939304E-5</v>
      </c>
      <c r="V56" s="9">
        <v>-3.5438784048829699E-3</v>
      </c>
      <c r="W56" s="9">
        <v>-2.5026969647630598E-3</v>
      </c>
      <c r="X56" s="10">
        <v>2.5292049882567902</v>
      </c>
      <c r="Y56" s="10">
        <v>2.53031067016226</v>
      </c>
      <c r="Z56" s="10">
        <v>2.5287812572989901</v>
      </c>
      <c r="AA56" s="10">
        <v>2.5294023721829801</v>
      </c>
      <c r="AB56" s="8">
        <v>114.091455086549</v>
      </c>
      <c r="AC56" s="8">
        <v>114.043354352866</v>
      </c>
      <c r="AD56" s="8">
        <v>114.040681818837</v>
      </c>
      <c r="AE56" s="9">
        <v>4.3707026431588202E-4</v>
      </c>
      <c r="AF56" s="9">
        <v>1.5383328301659199E-5</v>
      </c>
      <c r="AG56" s="9">
        <v>-8.0513151265000606E-6</v>
      </c>
      <c r="AZ56" s="9"/>
      <c r="BB56">
        <f t="shared" si="2"/>
        <v>0</v>
      </c>
      <c r="BC56">
        <f t="shared" si="3"/>
        <v>0</v>
      </c>
      <c r="BD56">
        <f t="shared" si="4"/>
        <v>0</v>
      </c>
      <c r="BE56">
        <f t="shared" si="0"/>
        <v>1</v>
      </c>
      <c r="BF56">
        <f t="shared" si="5"/>
        <v>0</v>
      </c>
      <c r="BG56" s="9">
        <f t="shared" si="6"/>
        <v>0</v>
      </c>
      <c r="BH56" s="9">
        <f t="shared" si="7"/>
        <v>0</v>
      </c>
      <c r="BI56" s="9">
        <f t="shared" si="8"/>
        <v>0</v>
      </c>
      <c r="BJ56" s="12">
        <f t="shared" si="9"/>
        <v>3.9759740697089783E-3</v>
      </c>
      <c r="BL56" s="9"/>
      <c r="BN56">
        <f t="shared" si="10"/>
        <v>0</v>
      </c>
      <c r="BO56">
        <f t="shared" si="11"/>
        <v>1</v>
      </c>
      <c r="BP56">
        <f t="shared" si="12"/>
        <v>0</v>
      </c>
      <c r="BQ56">
        <f t="shared" si="1"/>
        <v>1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-6.305500294267641E-4</v>
      </c>
      <c r="BX56" s="12">
        <f t="shared" si="18"/>
        <v>0</v>
      </c>
      <c r="BY56" s="12">
        <f t="shared" si="19"/>
        <v>3.3454240402822143E-3</v>
      </c>
    </row>
    <row r="57" spans="1:77" x14ac:dyDescent="0.3">
      <c r="A57" s="1">
        <v>46105</v>
      </c>
      <c r="B57" s="8">
        <v>45.09</v>
      </c>
      <c r="C57" s="8">
        <v>114.11</v>
      </c>
      <c r="D57" s="9">
        <v>6.8988812623840701E-3</v>
      </c>
      <c r="E57" s="9">
        <v>6.0651528607063602E-3</v>
      </c>
      <c r="F57" s="8">
        <v>0</v>
      </c>
      <c r="G57" s="8">
        <v>0.30990000000000001</v>
      </c>
      <c r="H57" s="8">
        <v>0</v>
      </c>
      <c r="I57" s="8">
        <v>0.62160000000000004</v>
      </c>
      <c r="J57" s="8">
        <v>0.30990000000000001</v>
      </c>
      <c r="K57" s="8">
        <v>0.62160000000000004</v>
      </c>
      <c r="L57" s="8">
        <v>45.399900000000002</v>
      </c>
      <c r="M57" s="8">
        <v>114.7316</v>
      </c>
      <c r="N57" s="10">
        <v>2.5307163450875998</v>
      </c>
      <c r="O57" s="10">
        <v>2.5326711528669299</v>
      </c>
      <c r="P57" s="10">
        <v>2.5241105588353601</v>
      </c>
      <c r="Q57" s="10">
        <v>2.5273397528713701</v>
      </c>
      <c r="R57" s="8">
        <v>114.19814228276999</v>
      </c>
      <c r="S57" s="8">
        <v>113.796635432938</v>
      </c>
      <c r="T57" s="8">
        <v>113.937697232394</v>
      </c>
      <c r="U57" s="9">
        <v>7.7213441682692297E-4</v>
      </c>
      <c r="V57" s="9">
        <v>-2.7499398070858299E-3</v>
      </c>
      <c r="W57" s="9">
        <v>-1.51111195143924E-3</v>
      </c>
      <c r="X57" s="10">
        <v>2.5271333196769099</v>
      </c>
      <c r="Y57" s="10">
        <v>2.53031067016226</v>
      </c>
      <c r="Z57" s="10">
        <v>2.52876692603644</v>
      </c>
      <c r="AA57" s="10">
        <v>2.5296679364719101</v>
      </c>
      <c r="AB57" s="8">
        <v>114.875851394299</v>
      </c>
      <c r="AC57" s="8">
        <v>114.80641620324801</v>
      </c>
      <c r="AD57" s="8">
        <v>114.83461475687</v>
      </c>
      <c r="AE57" s="9">
        <v>1.25650463347181E-3</v>
      </c>
      <c r="AF57" s="9">
        <v>6.5188509629384903E-4</v>
      </c>
      <c r="AG57" s="9">
        <v>8.9747320958250497E-4</v>
      </c>
      <c r="AZ57" s="9"/>
      <c r="BB57">
        <f t="shared" si="2"/>
        <v>0</v>
      </c>
      <c r="BC57">
        <f t="shared" si="3"/>
        <v>1</v>
      </c>
      <c r="BD57">
        <f t="shared" si="4"/>
        <v>0</v>
      </c>
      <c r="BE57">
        <f t="shared" si="0"/>
        <v>1</v>
      </c>
      <c r="BF57">
        <f t="shared" si="5"/>
        <v>0</v>
      </c>
      <c r="BG57" s="9">
        <f t="shared" si="6"/>
        <v>0</v>
      </c>
      <c r="BH57" s="9">
        <f t="shared" si="7"/>
        <v>0</v>
      </c>
      <c r="BI57" s="9">
        <f t="shared" si="8"/>
        <v>0</v>
      </c>
      <c r="BJ57" s="12">
        <f t="shared" si="9"/>
        <v>3.9759740697089783E-3</v>
      </c>
      <c r="BL57" s="9"/>
      <c r="BN57">
        <f t="shared" si="10"/>
        <v>0</v>
      </c>
      <c r="BO57">
        <f t="shared" si="11"/>
        <v>0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-6.305500294267641E-4</v>
      </c>
      <c r="BX57" s="12">
        <f t="shared" si="18"/>
        <v>0</v>
      </c>
      <c r="BY57" s="12">
        <f t="shared" si="19"/>
        <v>3.3454240402822143E-3</v>
      </c>
    </row>
    <row r="58" spans="1:77" x14ac:dyDescent="0.3">
      <c r="A58" s="1">
        <v>46106</v>
      </c>
      <c r="B58" s="8">
        <v>45.25</v>
      </c>
      <c r="C58" s="8">
        <v>114.49</v>
      </c>
      <c r="D58" s="9">
        <v>3.5421777129423298E-3</v>
      </c>
      <c r="E58" s="9">
        <v>3.3245874891327E-3</v>
      </c>
      <c r="F58" s="8">
        <v>0</v>
      </c>
      <c r="G58" s="8">
        <v>0.30990000000000001</v>
      </c>
      <c r="H58" s="8">
        <v>0</v>
      </c>
      <c r="I58" s="8">
        <v>0.62160000000000004</v>
      </c>
      <c r="J58" s="8">
        <v>0.30990000000000001</v>
      </c>
      <c r="K58" s="8">
        <v>0.62160000000000004</v>
      </c>
      <c r="L58" s="8">
        <v>45.559899999999999</v>
      </c>
      <c r="M58" s="8">
        <v>115.1116</v>
      </c>
      <c r="N58" s="10">
        <v>2.5301657458563498</v>
      </c>
      <c r="O58" s="10">
        <v>2.5326711528669299</v>
      </c>
      <c r="P58" s="10">
        <v>2.5240407136679099</v>
      </c>
      <c r="Q58" s="10">
        <v>2.5277500671912199</v>
      </c>
      <c r="R58" s="8">
        <v>114.60336966722799</v>
      </c>
      <c r="S58" s="8">
        <v>114.2160027873</v>
      </c>
      <c r="T58" s="8">
        <v>114.36212381742899</v>
      </c>
      <c r="U58" s="9">
        <v>9.8972464063633498E-4</v>
      </c>
      <c r="V58" s="9">
        <v>-2.3960660450375098E-3</v>
      </c>
      <c r="W58" s="9">
        <v>-1.1175443229089199E-3</v>
      </c>
      <c r="X58" s="10">
        <v>2.5265990487248602</v>
      </c>
      <c r="Y58" s="10">
        <v>2.53031067016226</v>
      </c>
      <c r="Z58" s="10">
        <v>2.5283404111558401</v>
      </c>
      <c r="AA58" s="10">
        <v>2.52989991593518</v>
      </c>
      <c r="AB58" s="8">
        <v>115.280701101525</v>
      </c>
      <c r="AC58" s="8">
        <v>115.210368273527</v>
      </c>
      <c r="AD58" s="8">
        <v>115.25141821886599</v>
      </c>
      <c r="AE58" s="9">
        <v>1.46794082165679E-3</v>
      </c>
      <c r="AF58" s="9">
        <v>8.5765400775502396E-4</v>
      </c>
      <c r="AG58" s="9">
        <v>1.21389480930415E-3</v>
      </c>
      <c r="AZ58" s="9"/>
      <c r="BB58">
        <f t="shared" si="2"/>
        <v>0</v>
      </c>
      <c r="BC58">
        <f t="shared" si="3"/>
        <v>1</v>
      </c>
      <c r="BD58">
        <f t="shared" si="4"/>
        <v>0</v>
      </c>
      <c r="BE58">
        <f t="shared" si="0"/>
        <v>1</v>
      </c>
      <c r="BF58">
        <f t="shared" si="5"/>
        <v>0</v>
      </c>
      <c r="BG58" s="9">
        <f t="shared" si="6"/>
        <v>0</v>
      </c>
      <c r="BH58" s="9">
        <f t="shared" si="7"/>
        <v>0</v>
      </c>
      <c r="BI58" s="9">
        <f t="shared" si="8"/>
        <v>0</v>
      </c>
      <c r="BJ58" s="12">
        <f t="shared" si="9"/>
        <v>3.9759740697089783E-3</v>
      </c>
      <c r="BL58" s="9"/>
      <c r="BN58">
        <f t="shared" si="10"/>
        <v>0</v>
      </c>
      <c r="BO58">
        <f t="shared" si="11"/>
        <v>0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-6.305500294267641E-4</v>
      </c>
      <c r="BX58" s="12">
        <f t="shared" si="18"/>
        <v>0</v>
      </c>
      <c r="BY58" s="12">
        <f t="shared" si="19"/>
        <v>3.3454240402822143E-3</v>
      </c>
    </row>
    <row r="59" spans="1:77" x14ac:dyDescent="0.3">
      <c r="A59" s="1">
        <v>46107</v>
      </c>
      <c r="B59" s="8">
        <v>45.33</v>
      </c>
      <c r="C59" s="8">
        <v>114.81</v>
      </c>
      <c r="D59" s="9">
        <v>1.7663948068227899E-3</v>
      </c>
      <c r="E59" s="9">
        <v>2.7911051699995998E-3</v>
      </c>
      <c r="F59" s="8">
        <v>0</v>
      </c>
      <c r="G59" s="8">
        <v>0.30990000000000001</v>
      </c>
      <c r="H59" s="8">
        <v>0</v>
      </c>
      <c r="I59" s="8">
        <v>0.62160000000000004</v>
      </c>
      <c r="J59" s="8">
        <v>0.30990000000000001</v>
      </c>
      <c r="K59" s="8">
        <v>0.62160000000000004</v>
      </c>
      <c r="L59" s="8">
        <v>45.639899999999997</v>
      </c>
      <c r="M59" s="8">
        <v>115.4316</v>
      </c>
      <c r="N59" s="10">
        <v>2.53275976174718</v>
      </c>
      <c r="O59" s="10">
        <v>2.5326711528669299</v>
      </c>
      <c r="P59" s="10">
        <v>2.5242199156490801</v>
      </c>
      <c r="Q59" s="10">
        <v>2.5280103528622999</v>
      </c>
      <c r="R59" s="8">
        <v>114.805983359458</v>
      </c>
      <c r="S59" s="8">
        <v>114.414765550566</v>
      </c>
      <c r="T59" s="8">
        <v>114.58291054577801</v>
      </c>
      <c r="U59" s="9">
        <v>-3.4985722540590203E-5</v>
      </c>
      <c r="V59" s="9">
        <v>-3.4484479908138701E-3</v>
      </c>
      <c r="W59" s="9">
        <v>-1.9799175821565498E-3</v>
      </c>
      <c r="X59" s="10">
        <v>2.5291817028521</v>
      </c>
      <c r="Y59" s="10">
        <v>2.53031067016226</v>
      </c>
      <c r="Z59" s="10">
        <v>2.5281618072474998</v>
      </c>
      <c r="AA59" s="10">
        <v>2.52998129866151</v>
      </c>
      <c r="AB59" s="8">
        <v>115.48312595513799</v>
      </c>
      <c r="AC59" s="8">
        <v>115.393203531111</v>
      </c>
      <c r="AD59" s="8">
        <v>115.46437917329</v>
      </c>
      <c r="AE59" s="9">
        <v>4.4627691699226598E-4</v>
      </c>
      <c r="AF59" s="9">
        <v>-3.3268928343329501E-4</v>
      </c>
      <c r="AG59" s="9">
        <v>2.8393022371201902E-4</v>
      </c>
      <c r="AZ59" s="9"/>
      <c r="BB59">
        <f t="shared" si="2"/>
        <v>0</v>
      </c>
      <c r="BC59">
        <f t="shared" si="3"/>
        <v>1</v>
      </c>
      <c r="BD59">
        <f t="shared" si="4"/>
        <v>0</v>
      </c>
      <c r="BE59">
        <f t="shared" si="0"/>
        <v>1</v>
      </c>
      <c r="BF59">
        <f t="shared" si="5"/>
        <v>0</v>
      </c>
      <c r="BG59" s="9">
        <f t="shared" si="6"/>
        <v>0</v>
      </c>
      <c r="BH59" s="9">
        <f t="shared" si="7"/>
        <v>0</v>
      </c>
      <c r="BI59" s="9">
        <f t="shared" si="8"/>
        <v>0</v>
      </c>
      <c r="BJ59" s="12">
        <f t="shared" si="9"/>
        <v>3.9759740697089783E-3</v>
      </c>
      <c r="BL59" s="9"/>
      <c r="BN59">
        <f t="shared" si="10"/>
        <v>0</v>
      </c>
      <c r="BO59">
        <f t="shared" si="11"/>
        <v>0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-6.305500294267641E-4</v>
      </c>
      <c r="BX59" s="12">
        <f t="shared" si="18"/>
        <v>0</v>
      </c>
      <c r="BY59" s="12">
        <f t="shared" si="19"/>
        <v>3.3454240402822143E-3</v>
      </c>
    </row>
    <row r="60" spans="1:77" x14ac:dyDescent="0.3">
      <c r="A60" s="1">
        <v>46108</v>
      </c>
      <c r="B60" s="8">
        <v>45.59</v>
      </c>
      <c r="C60" s="8">
        <v>115.34</v>
      </c>
      <c r="D60" s="9">
        <v>5.7193292725923398E-3</v>
      </c>
      <c r="E60" s="9">
        <v>4.6057000815460398E-3</v>
      </c>
      <c r="F60" s="8">
        <v>0</v>
      </c>
      <c r="G60" s="8">
        <v>0.30990000000000001</v>
      </c>
      <c r="H60" s="8">
        <v>0</v>
      </c>
      <c r="I60" s="8">
        <v>0.62160000000000004</v>
      </c>
      <c r="J60" s="8">
        <v>0.30990000000000001</v>
      </c>
      <c r="K60" s="8">
        <v>0.62160000000000004</v>
      </c>
      <c r="L60" s="8">
        <v>45.899900000000002</v>
      </c>
      <c r="M60" s="8">
        <v>115.9616</v>
      </c>
      <c r="N60" s="10">
        <v>2.52994077648607</v>
      </c>
      <c r="O60" s="10">
        <v>2.5326711528669299</v>
      </c>
      <c r="P60" s="10">
        <v>2.5244030904016102</v>
      </c>
      <c r="Q60" s="10">
        <v>2.5280669978043502</v>
      </c>
      <c r="R60" s="8">
        <v>115.464477859203</v>
      </c>
      <c r="S60" s="8">
        <v>115.079185954441</v>
      </c>
      <c r="T60" s="8">
        <v>115.251991986992</v>
      </c>
      <c r="U60" s="9">
        <v>1.0786434685057099E-3</v>
      </c>
      <c r="V60" s="9">
        <v>-2.2638232651057502E-3</v>
      </c>
      <c r="W60" s="9">
        <v>-7.6332240788100001E-4</v>
      </c>
      <c r="X60" s="10">
        <v>2.52640201830505</v>
      </c>
      <c r="Y60" s="10">
        <v>2.53031067016226</v>
      </c>
      <c r="Z60" s="10">
        <v>2.5279911061819198</v>
      </c>
      <c r="AA60" s="10">
        <v>2.5298610056945101</v>
      </c>
      <c r="AB60" s="8">
        <v>116.14100672938</v>
      </c>
      <c r="AC60" s="8">
        <v>116.042374136479</v>
      </c>
      <c r="AD60" s="8">
        <v>116.12588861043299</v>
      </c>
      <c r="AE60" s="9">
        <v>1.5459263266273001E-3</v>
      </c>
      <c r="AF60" s="9">
        <v>6.9631686305384605E-4</v>
      </c>
      <c r="AG60" s="9">
        <v>1.41574747400686E-3</v>
      </c>
      <c r="AZ60" s="9"/>
      <c r="BB60">
        <f t="shared" si="2"/>
        <v>0</v>
      </c>
      <c r="BC60">
        <f t="shared" si="3"/>
        <v>1</v>
      </c>
      <c r="BD60">
        <f t="shared" si="4"/>
        <v>0</v>
      </c>
      <c r="BE60">
        <f t="shared" si="0"/>
        <v>1</v>
      </c>
      <c r="BF60">
        <f t="shared" si="5"/>
        <v>0</v>
      </c>
      <c r="BG60" s="9">
        <f t="shared" si="6"/>
        <v>0</v>
      </c>
      <c r="BH60" s="9">
        <f t="shared" si="7"/>
        <v>0</v>
      </c>
      <c r="BI60" s="9">
        <f t="shared" si="8"/>
        <v>0</v>
      </c>
      <c r="BJ60" s="12">
        <f t="shared" si="9"/>
        <v>3.9759740697089783E-3</v>
      </c>
      <c r="BL60" s="9"/>
      <c r="BN60">
        <f t="shared" si="10"/>
        <v>0</v>
      </c>
      <c r="BO60">
        <f t="shared" si="11"/>
        <v>0</v>
      </c>
      <c r="BP60">
        <f t="shared" si="12"/>
        <v>0</v>
      </c>
      <c r="BQ60">
        <f t="shared" si="1"/>
        <v>1</v>
      </c>
      <c r="BR60">
        <f t="shared" si="13"/>
        <v>0</v>
      </c>
      <c r="BS60" s="9">
        <f t="shared" si="14"/>
        <v>0</v>
      </c>
      <c r="BT60" s="9">
        <f t="shared" si="15"/>
        <v>0</v>
      </c>
      <c r="BU60" s="9">
        <f t="shared" si="16"/>
        <v>0</v>
      </c>
      <c r="BV60" s="12">
        <f t="shared" si="17"/>
        <v>-6.305500294267641E-4</v>
      </c>
      <c r="BX60" s="12">
        <f t="shared" si="18"/>
        <v>0</v>
      </c>
      <c r="BY60" s="12">
        <f t="shared" si="19"/>
        <v>3.3454240402822143E-3</v>
      </c>
    </row>
    <row r="61" spans="1:77" x14ac:dyDescent="0.3">
      <c r="A61" s="1">
        <v>46111</v>
      </c>
      <c r="B61" s="8">
        <v>45.92</v>
      </c>
      <c r="C61" s="8">
        <v>116.21</v>
      </c>
      <c r="D61" s="9">
        <v>7.2123577859608597E-3</v>
      </c>
      <c r="E61" s="9">
        <v>7.5146110475157899E-3</v>
      </c>
      <c r="F61" s="8">
        <v>0</v>
      </c>
      <c r="G61" s="8">
        <v>0.30990000000000001</v>
      </c>
      <c r="H61" s="8">
        <v>0</v>
      </c>
      <c r="I61" s="8">
        <v>0.62160000000000004</v>
      </c>
      <c r="J61" s="8">
        <v>0.30990000000000001</v>
      </c>
      <c r="K61" s="8">
        <v>0.62160000000000004</v>
      </c>
      <c r="L61" s="8">
        <v>46.229900000000001</v>
      </c>
      <c r="M61" s="8">
        <v>116.83159999999999</v>
      </c>
      <c r="N61" s="10">
        <v>2.5307055749128899</v>
      </c>
      <c r="O61" s="10">
        <v>2.5326711528669299</v>
      </c>
      <c r="P61" s="10">
        <v>2.5250826195391101</v>
      </c>
      <c r="Q61" s="10">
        <v>2.5279820527796701</v>
      </c>
      <c r="R61" s="8">
        <v>116.300259339649</v>
      </c>
      <c r="S61" s="8">
        <v>115.920589911242</v>
      </c>
      <c r="T61" s="8">
        <v>116.08883653917501</v>
      </c>
      <c r="U61" s="9">
        <v>7.7639020695098105E-4</v>
      </c>
      <c r="V61" s="9">
        <v>-2.4935122839408199E-3</v>
      </c>
      <c r="W61" s="9">
        <v>-1.0431689940142901E-3</v>
      </c>
      <c r="X61" s="10">
        <v>2.5271869504368301</v>
      </c>
      <c r="Y61" s="10">
        <v>2.53031067016226</v>
      </c>
      <c r="Z61" s="10">
        <v>2.5283187728718199</v>
      </c>
      <c r="AA61" s="10">
        <v>2.5296001294460302</v>
      </c>
      <c r="AB61" s="8">
        <v>116.97600925053401</v>
      </c>
      <c r="AC61" s="8">
        <v>116.86877603967901</v>
      </c>
      <c r="AD61" s="8">
        <v>116.95522130715599</v>
      </c>
      <c r="AE61" s="9">
        <v>1.2352828837375201E-3</v>
      </c>
      <c r="AF61" s="9">
        <v>3.1815130658694498E-4</v>
      </c>
      <c r="AG61" s="9">
        <v>1.05755592199101E-3</v>
      </c>
      <c r="AZ61" s="9"/>
      <c r="BB61">
        <f t="shared" si="2"/>
        <v>0</v>
      </c>
      <c r="BC61">
        <f t="shared" si="3"/>
        <v>1</v>
      </c>
      <c r="BD61">
        <f t="shared" si="4"/>
        <v>0</v>
      </c>
      <c r="BE61">
        <f t="shared" si="0"/>
        <v>1</v>
      </c>
      <c r="BF61">
        <f t="shared" si="5"/>
        <v>0</v>
      </c>
      <c r="BG61" s="9">
        <f t="shared" si="6"/>
        <v>0</v>
      </c>
      <c r="BH61" s="9">
        <f t="shared" si="7"/>
        <v>0</v>
      </c>
      <c r="BI61" s="9">
        <f t="shared" si="8"/>
        <v>0</v>
      </c>
      <c r="BJ61" s="12">
        <f t="shared" si="9"/>
        <v>3.9759740697089783E-3</v>
      </c>
      <c r="BL61" s="9"/>
      <c r="BN61">
        <f t="shared" si="10"/>
        <v>0</v>
      </c>
      <c r="BO61">
        <f t="shared" si="11"/>
        <v>0</v>
      </c>
      <c r="BP61">
        <f t="shared" si="12"/>
        <v>0</v>
      </c>
      <c r="BQ61">
        <f t="shared" si="1"/>
        <v>1</v>
      </c>
      <c r="BR61">
        <f t="shared" si="13"/>
        <v>0</v>
      </c>
      <c r="BS61" s="9">
        <f t="shared" si="14"/>
        <v>0</v>
      </c>
      <c r="BT61" s="9">
        <f t="shared" si="15"/>
        <v>0</v>
      </c>
      <c r="BU61" s="9">
        <f t="shared" si="16"/>
        <v>0</v>
      </c>
      <c r="BV61" s="12">
        <f t="shared" si="17"/>
        <v>-6.305500294267641E-4</v>
      </c>
      <c r="BX61" s="12">
        <f t="shared" si="18"/>
        <v>0</v>
      </c>
      <c r="BY61" s="12">
        <f t="shared" si="19"/>
        <v>3.3454240402822143E-3</v>
      </c>
    </row>
    <row r="62" spans="1:77" x14ac:dyDescent="0.3">
      <c r="A62" s="1">
        <v>46112</v>
      </c>
      <c r="B62" s="8">
        <v>45.89</v>
      </c>
      <c r="C62" s="8">
        <v>116.11</v>
      </c>
      <c r="D62" s="9">
        <v>-6.5352360456885097E-4</v>
      </c>
      <c r="E62" s="9">
        <v>-8.60881595867543E-4</v>
      </c>
      <c r="F62" s="8">
        <v>0</v>
      </c>
      <c r="G62" s="8">
        <v>0.30990000000000001</v>
      </c>
      <c r="H62" s="8">
        <v>0</v>
      </c>
      <c r="I62" s="8">
        <v>0.62160000000000004</v>
      </c>
      <c r="J62" s="8">
        <v>0.30990000000000001</v>
      </c>
      <c r="K62" s="8">
        <v>0.62160000000000004</v>
      </c>
      <c r="L62" s="8">
        <v>46.1999</v>
      </c>
      <c r="M62" s="8">
        <v>116.7316</v>
      </c>
      <c r="N62" s="10">
        <v>2.5301808672913402</v>
      </c>
      <c r="O62" s="10">
        <v>2.5326711528669299</v>
      </c>
      <c r="P62" s="10">
        <v>2.5269018944710901</v>
      </c>
      <c r="Q62" s="10">
        <v>2.52781805599128</v>
      </c>
      <c r="R62" s="8">
        <v>116.224279205063</v>
      </c>
      <c r="S62" s="8">
        <v>115.87604141064899</v>
      </c>
      <c r="T62" s="8">
        <v>116.009096402059</v>
      </c>
      <c r="U62" s="9">
        <v>9.8374819824962895E-4</v>
      </c>
      <c r="V62" s="9">
        <v>-2.0170064306070799E-3</v>
      </c>
      <c r="W62" s="9">
        <v>-8.6941234788929698E-4</v>
      </c>
      <c r="X62" s="10">
        <v>2.52666347762657</v>
      </c>
      <c r="Y62" s="10">
        <v>2.53031067016226</v>
      </c>
      <c r="Z62" s="10">
        <v>2.5284674036813701</v>
      </c>
      <c r="AA62" s="10">
        <v>2.5292602631743901</v>
      </c>
      <c r="AB62" s="8">
        <v>116.90009993042899</v>
      </c>
      <c r="AC62" s="8">
        <v>116.80807447479999</v>
      </c>
      <c r="AD62" s="8">
        <v>116.867273020393</v>
      </c>
      <c r="AE62" s="9">
        <v>1.44244089903176E-3</v>
      </c>
      <c r="AF62" s="9">
        <v>6.5491636662027197E-4</v>
      </c>
      <c r="AG62" s="9">
        <v>1.16158981329651E-3</v>
      </c>
      <c r="AZ62" s="9"/>
      <c r="BB62">
        <f t="shared" si="2"/>
        <v>0</v>
      </c>
      <c r="BC62">
        <f t="shared" si="3"/>
        <v>1</v>
      </c>
      <c r="BD62">
        <f t="shared" si="4"/>
        <v>0</v>
      </c>
      <c r="BE62">
        <f t="shared" si="0"/>
        <v>1</v>
      </c>
      <c r="BF62">
        <f t="shared" si="5"/>
        <v>0</v>
      </c>
      <c r="BG62" s="9">
        <f t="shared" si="6"/>
        <v>0</v>
      </c>
      <c r="BH62" s="9">
        <f t="shared" si="7"/>
        <v>0</v>
      </c>
      <c r="BI62" s="9">
        <f t="shared" si="8"/>
        <v>0</v>
      </c>
      <c r="BJ62" s="12">
        <f t="shared" si="9"/>
        <v>3.9759740697089783E-3</v>
      </c>
      <c r="BL62" s="9"/>
      <c r="BN62">
        <f t="shared" si="10"/>
        <v>0</v>
      </c>
      <c r="BO62">
        <f t="shared" si="11"/>
        <v>0</v>
      </c>
      <c r="BP62">
        <f t="shared" si="12"/>
        <v>0</v>
      </c>
      <c r="BQ62">
        <f t="shared" si="1"/>
        <v>1</v>
      </c>
      <c r="BR62">
        <f t="shared" si="13"/>
        <v>0</v>
      </c>
      <c r="BS62" s="9">
        <f t="shared" si="14"/>
        <v>0</v>
      </c>
      <c r="BT62" s="9">
        <f t="shared" si="15"/>
        <v>0</v>
      </c>
      <c r="BU62" s="9">
        <f t="shared" si="16"/>
        <v>0</v>
      </c>
      <c r="BV62" s="12">
        <f t="shared" si="17"/>
        <v>-6.305500294267641E-4</v>
      </c>
      <c r="BX62" s="12">
        <f t="shared" si="18"/>
        <v>0</v>
      </c>
      <c r="BY62" s="12">
        <f t="shared" si="19"/>
        <v>3.3454240402822143E-3</v>
      </c>
    </row>
    <row r="63" spans="1:77" x14ac:dyDescent="0.3">
      <c r="A63" s="1">
        <v>46113</v>
      </c>
      <c r="B63" s="8">
        <v>46.11</v>
      </c>
      <c r="C63" s="8">
        <v>116.61</v>
      </c>
      <c r="D63" s="9">
        <v>4.7826178118720603E-3</v>
      </c>
      <c r="E63" s="9">
        <v>4.2970158933267498E-3</v>
      </c>
      <c r="F63" s="8">
        <v>0</v>
      </c>
      <c r="G63" s="8">
        <v>0.30990000000000001</v>
      </c>
      <c r="H63" s="8">
        <v>0</v>
      </c>
      <c r="I63" s="8">
        <v>0.62160000000000004</v>
      </c>
      <c r="J63" s="8">
        <v>0.30990000000000001</v>
      </c>
      <c r="K63" s="8">
        <v>0.62160000000000004</v>
      </c>
      <c r="L63" s="8">
        <v>46.419899999999998</v>
      </c>
      <c r="M63" s="8">
        <v>117.2316</v>
      </c>
      <c r="N63" s="10">
        <v>2.52895250487963</v>
      </c>
      <c r="O63" s="10">
        <v>2.5326711528669299</v>
      </c>
      <c r="P63" s="10">
        <v>2.5283098776789301</v>
      </c>
      <c r="Q63" s="10">
        <v>2.5276631849374001</v>
      </c>
      <c r="R63" s="8">
        <v>116.781466858694</v>
      </c>
      <c r="S63" s="8">
        <v>116.51544635406199</v>
      </c>
      <c r="T63" s="8">
        <v>116.55769056175799</v>
      </c>
      <c r="U63" s="9">
        <v>1.4693501167947799E-3</v>
      </c>
      <c r="V63" s="9">
        <v>-8.1118258518351604E-4</v>
      </c>
      <c r="W63" s="9">
        <v>-4.4868514152630298E-4</v>
      </c>
      <c r="X63" s="10">
        <v>2.5254599859112101</v>
      </c>
      <c r="Y63" s="10">
        <v>2.53031067016226</v>
      </c>
      <c r="Z63" s="10">
        <v>2.5281959402566501</v>
      </c>
      <c r="AA63" s="10">
        <v>2.5289307661720901</v>
      </c>
      <c r="AB63" s="8">
        <v>117.456768277865</v>
      </c>
      <c r="AC63" s="8">
        <v>117.371204032148</v>
      </c>
      <c r="AD63" s="8">
        <v>117.408008490529</v>
      </c>
      <c r="AE63" s="9">
        <v>1.9188709573271299E-3</v>
      </c>
      <c r="AF63" s="9">
        <v>1.1901311171702701E-3</v>
      </c>
      <c r="AG63" s="9">
        <v>1.50365511519656E-3</v>
      </c>
      <c r="AZ63" s="9"/>
      <c r="BB63">
        <f t="shared" si="2"/>
        <v>0</v>
      </c>
      <c r="BC63">
        <f t="shared" si="3"/>
        <v>1</v>
      </c>
      <c r="BD63">
        <f t="shared" si="4"/>
        <v>0</v>
      </c>
      <c r="BE63">
        <f t="shared" si="0"/>
        <v>1</v>
      </c>
      <c r="BF63">
        <f t="shared" si="5"/>
        <v>0</v>
      </c>
      <c r="BG63" s="9">
        <f t="shared" si="6"/>
        <v>0</v>
      </c>
      <c r="BH63" s="9">
        <f t="shared" si="7"/>
        <v>0</v>
      </c>
      <c r="BI63" s="9">
        <f t="shared" si="8"/>
        <v>0</v>
      </c>
      <c r="BJ63" s="12">
        <f t="shared" si="9"/>
        <v>3.9759740697089783E-3</v>
      </c>
      <c r="BL63" s="9"/>
      <c r="BN63">
        <f t="shared" si="10"/>
        <v>0</v>
      </c>
      <c r="BO63">
        <f t="shared" si="11"/>
        <v>0</v>
      </c>
      <c r="BP63">
        <f t="shared" si="12"/>
        <v>0</v>
      </c>
      <c r="BQ63">
        <f t="shared" si="1"/>
        <v>1</v>
      </c>
      <c r="BR63">
        <f t="shared" si="13"/>
        <v>0</v>
      </c>
      <c r="BS63" s="9">
        <f t="shared" si="14"/>
        <v>0</v>
      </c>
      <c r="BT63" s="9">
        <f t="shared" si="15"/>
        <v>0</v>
      </c>
      <c r="BU63" s="9">
        <f t="shared" si="16"/>
        <v>0</v>
      </c>
      <c r="BV63" s="12">
        <f t="shared" si="17"/>
        <v>-6.305500294267641E-4</v>
      </c>
      <c r="BX63" s="12">
        <f t="shared" si="18"/>
        <v>0</v>
      </c>
      <c r="BY63" s="12">
        <f t="shared" si="19"/>
        <v>3.3454240402822143E-3</v>
      </c>
    </row>
    <row r="64" spans="1:77" x14ac:dyDescent="0.3">
      <c r="A64" s="1">
        <v>46114</v>
      </c>
      <c r="B64" s="8">
        <v>46.34</v>
      </c>
      <c r="C64" s="8">
        <v>117.48</v>
      </c>
      <c r="D64" s="9">
        <v>4.9756727856159902E-3</v>
      </c>
      <c r="E64" s="9">
        <v>7.4330727981777997E-3</v>
      </c>
      <c r="F64" s="8">
        <v>0</v>
      </c>
      <c r="G64" s="8">
        <v>0.30990000000000001</v>
      </c>
      <c r="H64" s="8">
        <v>0</v>
      </c>
      <c r="I64" s="8">
        <v>0.62160000000000004</v>
      </c>
      <c r="J64" s="8">
        <v>0.30990000000000001</v>
      </c>
      <c r="K64" s="8">
        <v>0.62160000000000004</v>
      </c>
      <c r="L64" s="8">
        <v>46.649900000000002</v>
      </c>
      <c r="M64" s="8">
        <v>118.1016</v>
      </c>
      <c r="N64" s="10">
        <v>2.5351747949935199</v>
      </c>
      <c r="O64" s="10">
        <v>2.5326711528669299</v>
      </c>
      <c r="P64" s="10">
        <v>2.5302588139896298</v>
      </c>
      <c r="Q64" s="10">
        <v>2.527684184815</v>
      </c>
      <c r="R64" s="8">
        <v>117.363981223853</v>
      </c>
      <c r="S64" s="8">
        <v>117.16187973164099</v>
      </c>
      <c r="T64" s="8">
        <v>117.131911989999</v>
      </c>
      <c r="U64" s="9">
        <v>-9.8804989576690397E-4</v>
      </c>
      <c r="V64" s="9">
        <v>-2.7115403578899301E-3</v>
      </c>
      <c r="W64" s="9">
        <v>-2.9673537243980301E-3</v>
      </c>
      <c r="X64" s="10">
        <v>2.5316581600389201</v>
      </c>
      <c r="Y64" s="10">
        <v>2.53031067016226</v>
      </c>
      <c r="Z64" s="10">
        <v>2.52845758780331</v>
      </c>
      <c r="AA64" s="10">
        <v>2.52877593430197</v>
      </c>
      <c r="AB64" s="8">
        <v>118.038739732002</v>
      </c>
      <c r="AC64" s="8">
        <v>117.94008779337901</v>
      </c>
      <c r="AD64" s="8">
        <v>117.974367348851</v>
      </c>
      <c r="AE64" s="9">
        <v>-5.3239755269028405E-4</v>
      </c>
      <c r="AF64" s="9">
        <v>-1.3685059900865599E-3</v>
      </c>
      <c r="AG64" s="9">
        <v>-1.0778959408364701E-3</v>
      </c>
      <c r="AZ64" s="9"/>
      <c r="BB64">
        <f t="shared" si="2"/>
        <v>0</v>
      </c>
      <c r="BC64">
        <f t="shared" si="3"/>
        <v>0</v>
      </c>
      <c r="BD64">
        <f t="shared" si="4"/>
        <v>0</v>
      </c>
      <c r="BE64">
        <f t="shared" si="0"/>
        <v>1</v>
      </c>
      <c r="BF64">
        <f t="shared" si="5"/>
        <v>0</v>
      </c>
      <c r="BG64" s="9">
        <f t="shared" si="6"/>
        <v>0</v>
      </c>
      <c r="BH64" s="9">
        <f t="shared" si="7"/>
        <v>0</v>
      </c>
      <c r="BI64" s="9">
        <f t="shared" si="8"/>
        <v>0</v>
      </c>
      <c r="BJ64" s="12">
        <f t="shared" si="9"/>
        <v>3.9759740697089783E-3</v>
      </c>
      <c r="BL64" s="9"/>
      <c r="BN64">
        <f t="shared" si="10"/>
        <v>0</v>
      </c>
      <c r="BO64">
        <f t="shared" si="11"/>
        <v>1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-6.305500294267641E-4</v>
      </c>
      <c r="BX64" s="12">
        <f t="shared" si="18"/>
        <v>0</v>
      </c>
      <c r="BY64" s="12">
        <f t="shared" si="19"/>
        <v>3.3454240402822143E-3</v>
      </c>
    </row>
    <row r="65" spans="1:77" x14ac:dyDescent="0.3">
      <c r="A65" s="1">
        <v>46118</v>
      </c>
      <c r="B65" s="8">
        <v>46.17</v>
      </c>
      <c r="C65" s="8">
        <v>116.92</v>
      </c>
      <c r="D65" s="9">
        <v>-3.6752824853325998E-3</v>
      </c>
      <c r="E65" s="9">
        <v>-4.7781660873741699E-3</v>
      </c>
      <c r="F65" s="8">
        <v>0</v>
      </c>
      <c r="G65" s="8">
        <v>0.30990000000000001</v>
      </c>
      <c r="H65" s="8">
        <v>0</v>
      </c>
      <c r="I65" s="8">
        <v>0.62160000000000004</v>
      </c>
      <c r="J65" s="8">
        <v>0.30990000000000001</v>
      </c>
      <c r="K65" s="8">
        <v>0.62160000000000004</v>
      </c>
      <c r="L65" s="8">
        <v>46.479900000000001</v>
      </c>
      <c r="M65" s="8">
        <v>117.5416</v>
      </c>
      <c r="N65" s="10">
        <v>2.53238033354992</v>
      </c>
      <c r="O65" s="10">
        <v>2.5326711528669299</v>
      </c>
      <c r="P65" s="10">
        <v>2.5313803859784398</v>
      </c>
      <c r="Q65" s="10">
        <v>2.5276236978553599</v>
      </c>
      <c r="R65" s="8">
        <v>116.933427127866</v>
      </c>
      <c r="S65" s="8">
        <v>116.822049441901</v>
      </c>
      <c r="T65" s="8">
        <v>116.70317881290801</v>
      </c>
      <c r="U65" s="9">
        <v>1.1483370627449201E-4</v>
      </c>
      <c r="V65" s="9">
        <v>-8.3810819718648996E-4</v>
      </c>
      <c r="W65" s="9">
        <v>-1.8561621363477299E-3</v>
      </c>
      <c r="X65" s="10">
        <v>2.5288694683077999</v>
      </c>
      <c r="Y65" s="10">
        <v>2.53031067016226</v>
      </c>
      <c r="Z65" s="10">
        <v>2.5278359120137099</v>
      </c>
      <c r="AA65" s="10">
        <v>2.5285399040802199</v>
      </c>
      <c r="AB65" s="8">
        <v>117.608586918074</v>
      </c>
      <c r="AC65" s="8">
        <v>117.522455835339</v>
      </c>
      <c r="AD65" s="8">
        <v>117.537252548762</v>
      </c>
      <c r="AE65" s="9">
        <v>5.6973733055258797E-4</v>
      </c>
      <c r="AF65" s="9">
        <v>-1.6288466252508901E-4</v>
      </c>
      <c r="AG65" s="9">
        <v>-3.6987174227095597E-5</v>
      </c>
      <c r="AZ65" s="9"/>
      <c r="BB65">
        <f t="shared" si="2"/>
        <v>0</v>
      </c>
      <c r="BC65">
        <f t="shared" si="3"/>
        <v>0</v>
      </c>
      <c r="BD65">
        <f t="shared" si="4"/>
        <v>0</v>
      </c>
      <c r="BE65">
        <f t="shared" si="0"/>
        <v>1</v>
      </c>
      <c r="BF65">
        <f t="shared" si="5"/>
        <v>0</v>
      </c>
      <c r="BG65" s="9">
        <f t="shared" si="6"/>
        <v>0</v>
      </c>
      <c r="BH65" s="9">
        <f t="shared" si="7"/>
        <v>0</v>
      </c>
      <c r="BI65" s="9">
        <f t="shared" si="8"/>
        <v>0</v>
      </c>
      <c r="BJ65" s="12">
        <f t="shared" si="9"/>
        <v>3.9759740697089783E-3</v>
      </c>
      <c r="BL65" s="9"/>
      <c r="BN65">
        <f t="shared" si="10"/>
        <v>0</v>
      </c>
      <c r="BO65">
        <f t="shared" si="11"/>
        <v>1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-6.305500294267641E-4</v>
      </c>
      <c r="BX65" s="12">
        <f t="shared" si="18"/>
        <v>0</v>
      </c>
      <c r="BY65" s="12">
        <f t="shared" si="19"/>
        <v>3.3454240402822143E-3</v>
      </c>
    </row>
    <row r="66" spans="1:77" x14ac:dyDescent="0.3">
      <c r="A66" s="1">
        <v>46119</v>
      </c>
      <c r="B66" s="8">
        <v>46.27</v>
      </c>
      <c r="C66" s="8">
        <v>117.27</v>
      </c>
      <c r="D66" s="9">
        <v>2.1635664000107099E-3</v>
      </c>
      <c r="E66" s="9">
        <v>2.9890282299280002E-3</v>
      </c>
      <c r="F66" s="8">
        <v>0</v>
      </c>
      <c r="G66" s="8">
        <v>0.30990000000000001</v>
      </c>
      <c r="H66" s="8">
        <v>0</v>
      </c>
      <c r="I66" s="8">
        <v>0.62160000000000004</v>
      </c>
      <c r="J66" s="8">
        <v>0.30990000000000001</v>
      </c>
      <c r="K66" s="8">
        <v>0.62160000000000004</v>
      </c>
      <c r="L66" s="8">
        <v>46.579900000000002</v>
      </c>
      <c r="M66" s="8">
        <v>117.8916</v>
      </c>
      <c r="N66" s="10">
        <v>2.5344715798573501</v>
      </c>
      <c r="O66" s="10">
        <v>2.5326711528669299</v>
      </c>
      <c r="P66" s="10">
        <v>2.5315448284661901</v>
      </c>
      <c r="Q66" s="10">
        <v>2.5276557080115101</v>
      </c>
      <c r="R66" s="8">
        <v>117.186694243153</v>
      </c>
      <c r="S66" s="8">
        <v>117.12697045922199</v>
      </c>
      <c r="T66" s="8">
        <v>116.953148499767</v>
      </c>
      <c r="U66" s="9">
        <v>-7.1062812364255305E-4</v>
      </c>
      <c r="V66" s="9">
        <v>-1.2204044979707701E-3</v>
      </c>
      <c r="W66" s="9">
        <v>-2.70555404571897E-3</v>
      </c>
      <c r="X66" s="10">
        <v>2.5309543386739701</v>
      </c>
      <c r="Y66" s="10">
        <v>2.53031067016226</v>
      </c>
      <c r="Z66" s="10">
        <v>2.5280108470554201</v>
      </c>
      <c r="AA66" s="10">
        <v>2.5283960521772002</v>
      </c>
      <c r="AB66" s="8">
        <v>117.861617985091</v>
      </c>
      <c r="AC66" s="8">
        <v>117.74634399800701</v>
      </c>
      <c r="AD66" s="8">
        <v>117.779135878066</v>
      </c>
      <c r="AE66" s="9">
        <v>-2.5435084472499799E-4</v>
      </c>
      <c r="AF66" s="9">
        <v>-1.2328746205039201E-3</v>
      </c>
      <c r="AG66" s="9">
        <v>-9.5441744221368705E-4</v>
      </c>
      <c r="AZ66" s="9"/>
      <c r="BB66">
        <f t="shared" si="2"/>
        <v>0</v>
      </c>
      <c r="BC66">
        <f t="shared" si="3"/>
        <v>0</v>
      </c>
      <c r="BD66">
        <f t="shared" si="4"/>
        <v>0</v>
      </c>
      <c r="BE66">
        <f t="shared" si="0"/>
        <v>1</v>
      </c>
      <c r="BF66">
        <f t="shared" si="5"/>
        <v>0</v>
      </c>
      <c r="BG66" s="9">
        <f t="shared" si="6"/>
        <v>0</v>
      </c>
      <c r="BH66" s="9">
        <f t="shared" si="7"/>
        <v>0</v>
      </c>
      <c r="BI66" s="9">
        <f t="shared" si="8"/>
        <v>0</v>
      </c>
      <c r="BJ66" s="12">
        <f t="shared" si="9"/>
        <v>3.9759740697089783E-3</v>
      </c>
      <c r="BL66" s="9"/>
      <c r="BN66">
        <f t="shared" si="10"/>
        <v>0</v>
      </c>
      <c r="BO66">
        <f t="shared" si="11"/>
        <v>1</v>
      </c>
      <c r="BP66">
        <f t="shared" si="12"/>
        <v>0</v>
      </c>
      <c r="BQ66">
        <f t="shared" si="1"/>
        <v>1</v>
      </c>
      <c r="BR66">
        <f t="shared" si="13"/>
        <v>0</v>
      </c>
      <c r="BS66" s="9">
        <f t="shared" si="14"/>
        <v>0</v>
      </c>
      <c r="BT66" s="9">
        <f t="shared" si="15"/>
        <v>0</v>
      </c>
      <c r="BU66" s="9">
        <f t="shared" si="16"/>
        <v>0</v>
      </c>
      <c r="BV66" s="12">
        <f t="shared" si="17"/>
        <v>-6.305500294267641E-4</v>
      </c>
      <c r="BX66" s="12">
        <f t="shared" si="18"/>
        <v>0</v>
      </c>
      <c r="BY66" s="12">
        <f t="shared" si="19"/>
        <v>3.3454240402822143E-3</v>
      </c>
    </row>
    <row r="67" spans="1:77" x14ac:dyDescent="0.3">
      <c r="A67" s="1">
        <v>46120</v>
      </c>
      <c r="B67" s="8">
        <v>46.78</v>
      </c>
      <c r="C67" s="8">
        <v>118.26</v>
      </c>
      <c r="D67" s="9">
        <v>1.09619582371246E-2</v>
      </c>
      <c r="E67" s="9">
        <v>8.4066219197107602E-3</v>
      </c>
      <c r="F67" s="8">
        <v>0</v>
      </c>
      <c r="G67" s="8">
        <v>0.30990000000000001</v>
      </c>
      <c r="H67" s="8">
        <v>0</v>
      </c>
      <c r="I67" s="8">
        <v>0.62160000000000004</v>
      </c>
      <c r="J67" s="8">
        <v>0.30990000000000001</v>
      </c>
      <c r="K67" s="8">
        <v>0.62160000000000004</v>
      </c>
      <c r="L67" s="8">
        <v>47.0899</v>
      </c>
      <c r="M67" s="8">
        <v>118.88160000000001</v>
      </c>
      <c r="N67" s="10">
        <v>2.5280034202650699</v>
      </c>
      <c r="O67" s="10">
        <v>2.5326711528669299</v>
      </c>
      <c r="P67" s="10">
        <v>2.5312735359839298</v>
      </c>
      <c r="Q67" s="10">
        <v>2.52769204740965</v>
      </c>
      <c r="R67" s="8">
        <v>118.478356531115</v>
      </c>
      <c r="S67" s="8">
        <v>118.42566707564799</v>
      </c>
      <c r="T67" s="8">
        <v>118.24373402077801</v>
      </c>
      <c r="U67" s="9">
        <v>1.84470819377131E-3</v>
      </c>
      <c r="V67" s="9">
        <v>1.39989129675665E-3</v>
      </c>
      <c r="W67" s="9">
        <v>-1.37553678077464E-4</v>
      </c>
      <c r="X67" s="10">
        <v>2.52456683917358</v>
      </c>
      <c r="Y67" s="10">
        <v>2.53031067016226</v>
      </c>
      <c r="Z67" s="10">
        <v>2.52775419900509</v>
      </c>
      <c r="AA67" s="10">
        <v>2.5282605625207601</v>
      </c>
      <c r="AB67" s="8">
        <v>119.15207642687299</v>
      </c>
      <c r="AC67" s="8">
        <v>119.043777986755</v>
      </c>
      <c r="AD67" s="8">
        <v>119.061917257419</v>
      </c>
      <c r="AE67" s="9">
        <v>2.2725905623437901E-3</v>
      </c>
      <c r="AF67" s="9">
        <v>1.3632678720108999E-3</v>
      </c>
      <c r="AG67" s="9">
        <v>1.51563105408964E-3</v>
      </c>
      <c r="AZ67" s="9"/>
      <c r="BB67">
        <f t="shared" si="2"/>
        <v>0</v>
      </c>
      <c r="BC67">
        <f t="shared" si="3"/>
        <v>1</v>
      </c>
      <c r="BD67">
        <f t="shared" si="4"/>
        <v>0</v>
      </c>
      <c r="BE67">
        <f t="shared" si="0"/>
        <v>1</v>
      </c>
      <c r="BF67">
        <f t="shared" si="5"/>
        <v>0</v>
      </c>
      <c r="BG67" s="9">
        <f t="shared" si="6"/>
        <v>0</v>
      </c>
      <c r="BH67" s="9">
        <f t="shared" si="7"/>
        <v>0</v>
      </c>
      <c r="BI67" s="9">
        <f t="shared" si="8"/>
        <v>0</v>
      </c>
      <c r="BJ67" s="12">
        <f t="shared" si="9"/>
        <v>3.9759740697089783E-3</v>
      </c>
      <c r="BL67" s="9"/>
      <c r="BN67">
        <f t="shared" si="10"/>
        <v>0</v>
      </c>
      <c r="BO67">
        <f t="shared" si="11"/>
        <v>0</v>
      </c>
      <c r="BP67">
        <f t="shared" si="12"/>
        <v>0</v>
      </c>
      <c r="BQ67">
        <f t="shared" si="1"/>
        <v>1</v>
      </c>
      <c r="BR67">
        <f t="shared" si="13"/>
        <v>0</v>
      </c>
      <c r="BS67" s="9">
        <f t="shared" si="14"/>
        <v>0</v>
      </c>
      <c r="BT67" s="9">
        <f t="shared" si="15"/>
        <v>0</v>
      </c>
      <c r="BU67" s="9">
        <f t="shared" si="16"/>
        <v>0</v>
      </c>
      <c r="BV67" s="12">
        <f t="shared" si="17"/>
        <v>-6.305500294267641E-4</v>
      </c>
      <c r="BX67" s="12">
        <f t="shared" si="18"/>
        <v>0</v>
      </c>
      <c r="BY67" s="12">
        <f t="shared" si="19"/>
        <v>3.3454240402822143E-3</v>
      </c>
    </row>
    <row r="68" spans="1:77" x14ac:dyDescent="0.3">
      <c r="A68" s="1">
        <v>46121</v>
      </c>
      <c r="B68" s="8">
        <v>47.15</v>
      </c>
      <c r="C68" s="8">
        <v>119.13</v>
      </c>
      <c r="D68" s="9">
        <v>7.8782479234335307E-3</v>
      </c>
      <c r="E68" s="9">
        <v>7.3297434185859199E-3</v>
      </c>
      <c r="F68" s="8">
        <v>0</v>
      </c>
      <c r="G68" s="8">
        <v>0.30990000000000001</v>
      </c>
      <c r="H68" s="8">
        <v>0</v>
      </c>
      <c r="I68" s="8">
        <v>0.62160000000000004</v>
      </c>
      <c r="J68" s="8">
        <v>0.30990000000000001</v>
      </c>
      <c r="K68" s="8">
        <v>0.62160000000000004</v>
      </c>
      <c r="L68" s="8">
        <v>47.459899999999998</v>
      </c>
      <c r="M68" s="8">
        <v>119.7516</v>
      </c>
      <c r="N68" s="10">
        <v>2.5266171792152701</v>
      </c>
      <c r="O68" s="10">
        <v>2.5326711528669299</v>
      </c>
      <c r="P68" s="10">
        <v>2.5309186793198202</v>
      </c>
      <c r="Q68" s="10">
        <v>2.5274796964938702</v>
      </c>
      <c r="R68" s="8">
        <v>119.415444857675</v>
      </c>
      <c r="S68" s="8">
        <v>119.349547221642</v>
      </c>
      <c r="T68" s="8">
        <v>119.180680035365</v>
      </c>
      <c r="U68" s="9">
        <v>2.3932126986189201E-3</v>
      </c>
      <c r="V68" s="9">
        <v>1.8412252641745201E-3</v>
      </c>
      <c r="W68" s="9">
        <v>4.2532744333239199E-4</v>
      </c>
      <c r="X68" s="10">
        <v>2.5232164416697</v>
      </c>
      <c r="Y68" s="10">
        <v>2.53031067016226</v>
      </c>
      <c r="Z68" s="10">
        <v>2.52741593829957</v>
      </c>
      <c r="AA68" s="10">
        <v>2.5278781747277099</v>
      </c>
      <c r="AB68" s="8">
        <v>120.08829137483301</v>
      </c>
      <c r="AC68" s="8">
        <v>119.966961509361</v>
      </c>
      <c r="AD68" s="8">
        <v>119.990993471179</v>
      </c>
      <c r="AE68" s="9">
        <v>2.8076363283603299E-3</v>
      </c>
      <c r="AF68" s="9">
        <v>1.79678674814381E-3</v>
      </c>
      <c r="AG68" s="9">
        <v>1.9970881876174101E-3</v>
      </c>
      <c r="AZ68" s="9"/>
      <c r="BB68">
        <f t="shared" si="2"/>
        <v>0</v>
      </c>
      <c r="BC68">
        <f t="shared" si="3"/>
        <v>1</v>
      </c>
      <c r="BD68">
        <f t="shared" si="4"/>
        <v>0</v>
      </c>
      <c r="BE68">
        <f t="shared" si="0"/>
        <v>1</v>
      </c>
      <c r="BF68">
        <f t="shared" si="5"/>
        <v>0</v>
      </c>
      <c r="BG68" s="9">
        <f t="shared" si="6"/>
        <v>0</v>
      </c>
      <c r="BH68" s="9">
        <f t="shared" si="7"/>
        <v>0</v>
      </c>
      <c r="BI68" s="9">
        <f t="shared" si="8"/>
        <v>0</v>
      </c>
      <c r="BJ68" s="12">
        <f t="shared" si="9"/>
        <v>3.9759740697089783E-3</v>
      </c>
      <c r="BL68" s="9"/>
      <c r="BN68">
        <f t="shared" si="10"/>
        <v>0</v>
      </c>
      <c r="BO68">
        <f t="shared" si="11"/>
        <v>0</v>
      </c>
      <c r="BP68">
        <f t="shared" si="12"/>
        <v>0</v>
      </c>
      <c r="BQ68">
        <f t="shared" si="1"/>
        <v>1</v>
      </c>
      <c r="BR68">
        <f t="shared" si="13"/>
        <v>0</v>
      </c>
      <c r="BS68" s="9">
        <f t="shared" si="14"/>
        <v>0</v>
      </c>
      <c r="BT68" s="9">
        <f t="shared" si="15"/>
        <v>0</v>
      </c>
      <c r="BU68" s="9">
        <f t="shared" si="16"/>
        <v>0</v>
      </c>
      <c r="BV68" s="12">
        <f t="shared" si="17"/>
        <v>-6.305500294267641E-4</v>
      </c>
      <c r="BX68" s="12">
        <f t="shared" si="18"/>
        <v>0</v>
      </c>
      <c r="BY68" s="12">
        <f t="shared" si="19"/>
        <v>3.3454240402822143E-3</v>
      </c>
    </row>
    <row r="69" spans="1:77" x14ac:dyDescent="0.3">
      <c r="A69" s="1">
        <v>46122</v>
      </c>
      <c r="B69" s="8">
        <v>46.96</v>
      </c>
      <c r="C69" s="8">
        <v>118.54</v>
      </c>
      <c r="D69" s="9">
        <v>-4.0378335596254703E-3</v>
      </c>
      <c r="E69" s="9">
        <v>-4.96487745157755E-3</v>
      </c>
      <c r="F69" s="8">
        <v>0</v>
      </c>
      <c r="G69" s="8">
        <v>0.30990000000000001</v>
      </c>
      <c r="H69" s="8">
        <v>0</v>
      </c>
      <c r="I69" s="8">
        <v>0.62160000000000004</v>
      </c>
      <c r="J69" s="8">
        <v>0.30990000000000001</v>
      </c>
      <c r="K69" s="8">
        <v>0.62160000000000004</v>
      </c>
      <c r="L69" s="8">
        <v>47.2699</v>
      </c>
      <c r="M69" s="8">
        <v>119.16160000000001</v>
      </c>
      <c r="N69" s="10">
        <v>2.5242759795570699</v>
      </c>
      <c r="O69" s="10">
        <v>2.5326711528669299</v>
      </c>
      <c r="P69" s="10">
        <v>2.5300703011008099</v>
      </c>
      <c r="Q69" s="10">
        <v>2.5271451083749499</v>
      </c>
      <c r="R69" s="8">
        <v>118.93423733863099</v>
      </c>
      <c r="S69" s="8">
        <v>118.851941180859</v>
      </c>
      <c r="T69" s="8">
        <v>118.690446547352</v>
      </c>
      <c r="U69" s="9">
        <v>3.3202565905712002E-3</v>
      </c>
      <c r="V69" s="9">
        <v>2.6280703451783999E-3</v>
      </c>
      <c r="W69" s="9">
        <v>1.2683580013515001E-3</v>
      </c>
      <c r="X69" s="10">
        <v>2.5208769216774298</v>
      </c>
      <c r="Y69" s="10">
        <v>2.53031067016226</v>
      </c>
      <c r="Z69" s="10">
        <v>2.5265854601821101</v>
      </c>
      <c r="AA69" s="10">
        <v>2.5273736337148001</v>
      </c>
      <c r="AB69" s="8">
        <v>119.607532347503</v>
      </c>
      <c r="AC69" s="8">
        <v>119.470698661827</v>
      </c>
      <c r="AD69" s="8">
        <v>119.492548531561</v>
      </c>
      <c r="AE69" s="9">
        <v>3.7352639480372398E-3</v>
      </c>
      <c r="AF69" s="9">
        <v>2.5905867430986501E-3</v>
      </c>
      <c r="AG69" s="9">
        <v>2.7734589634224901E-3</v>
      </c>
      <c r="AZ69" s="9"/>
      <c r="BB69">
        <f t="shared" si="2"/>
        <v>0</v>
      </c>
      <c r="BC69">
        <f t="shared" si="3"/>
        <v>1</v>
      </c>
      <c r="BD69">
        <f t="shared" si="4"/>
        <v>0</v>
      </c>
      <c r="BE69">
        <f t="shared" si="0"/>
        <v>1</v>
      </c>
      <c r="BF69">
        <f t="shared" si="5"/>
        <v>0</v>
      </c>
      <c r="BG69" s="9">
        <f t="shared" si="6"/>
        <v>0</v>
      </c>
      <c r="BH69" s="9">
        <f t="shared" si="7"/>
        <v>0</v>
      </c>
      <c r="BI69" s="9">
        <f t="shared" si="8"/>
        <v>0</v>
      </c>
      <c r="BJ69" s="12">
        <f t="shared" si="9"/>
        <v>3.9759740697089783E-3</v>
      </c>
      <c r="BL69" s="9"/>
      <c r="BN69">
        <f t="shared" si="10"/>
        <v>1</v>
      </c>
      <c r="BO69">
        <f t="shared" si="11"/>
        <v>0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-6.305500294267641E-4</v>
      </c>
      <c r="BX69" s="12">
        <f t="shared" si="18"/>
        <v>0</v>
      </c>
      <c r="BY69" s="12">
        <f t="shared" si="19"/>
        <v>3.3454240402822143E-3</v>
      </c>
    </row>
    <row r="70" spans="1:77" x14ac:dyDescent="0.3">
      <c r="A70" s="1">
        <v>46125</v>
      </c>
      <c r="B70" s="8">
        <v>46.39</v>
      </c>
      <c r="C70" s="8">
        <v>117.26</v>
      </c>
      <c r="D70" s="9">
        <v>-1.22122567561887E-2</v>
      </c>
      <c r="E70" s="9">
        <v>-1.08567648236231E-2</v>
      </c>
      <c r="F70" s="8">
        <v>0</v>
      </c>
      <c r="G70" s="8">
        <v>0.30990000000000001</v>
      </c>
      <c r="H70" s="8">
        <v>0</v>
      </c>
      <c r="I70" s="8">
        <v>0.62160000000000004</v>
      </c>
      <c r="J70" s="8">
        <v>0.30990000000000001</v>
      </c>
      <c r="K70" s="8">
        <v>0.62160000000000004</v>
      </c>
      <c r="L70" s="8">
        <v>46.6999</v>
      </c>
      <c r="M70" s="8">
        <v>117.88160000000001</v>
      </c>
      <c r="N70" s="10">
        <v>2.5276999353308902</v>
      </c>
      <c r="O70" s="10">
        <v>2.5326711528669299</v>
      </c>
      <c r="P70" s="10">
        <v>2.5298462169852902</v>
      </c>
      <c r="Q70" s="10">
        <v>2.5271246536934502</v>
      </c>
      <c r="R70" s="8">
        <v>117.490614781497</v>
      </c>
      <c r="S70" s="8">
        <v>117.36996126806601</v>
      </c>
      <c r="T70" s="8">
        <v>117.234261577514</v>
      </c>
      <c r="U70" s="9">
        <v>1.9647646580054699E-3</v>
      </c>
      <c r="V70" s="9">
        <v>9.3731657733107097E-4</v>
      </c>
      <c r="W70" s="9">
        <v>-2.19522835366695E-4</v>
      </c>
      <c r="X70" s="10">
        <v>2.524236668601</v>
      </c>
      <c r="Y70" s="10">
        <v>2.53031067016226</v>
      </c>
      <c r="Z70" s="10">
        <v>2.5263689252116999</v>
      </c>
      <c r="AA70" s="10">
        <v>2.5271800156968101</v>
      </c>
      <c r="AB70" s="8">
        <v>118.16525526551</v>
      </c>
      <c r="AC70" s="8">
        <v>117.991288331958</v>
      </c>
      <c r="AD70" s="8">
        <v>118.028095957118</v>
      </c>
      <c r="AE70" s="9">
        <v>2.40338217367897E-3</v>
      </c>
      <c r="AF70" s="9">
        <v>9.3006314240786096E-4</v>
      </c>
      <c r="AG70" s="9">
        <v>1.24196655295873E-3</v>
      </c>
      <c r="AZ70" s="9"/>
      <c r="BB70">
        <f t="shared" si="2"/>
        <v>0</v>
      </c>
      <c r="BC70">
        <f t="shared" si="3"/>
        <v>1</v>
      </c>
      <c r="BD70">
        <f t="shared" si="4"/>
        <v>0</v>
      </c>
      <c r="BE70">
        <f t="shared" si="0"/>
        <v>1</v>
      </c>
      <c r="BF70">
        <f t="shared" si="5"/>
        <v>0</v>
      </c>
      <c r="BG70" s="9">
        <f t="shared" si="6"/>
        <v>0</v>
      </c>
      <c r="BH70" s="9">
        <f t="shared" si="7"/>
        <v>0</v>
      </c>
      <c r="BI70" s="9">
        <f t="shared" si="8"/>
        <v>0</v>
      </c>
      <c r="BJ70" s="12">
        <f t="shared" si="9"/>
        <v>3.9759740697089783E-3</v>
      </c>
      <c r="BL70" s="9"/>
      <c r="BN70">
        <f t="shared" si="10"/>
        <v>0</v>
      </c>
      <c r="BO70">
        <f t="shared" si="11"/>
        <v>0</v>
      </c>
      <c r="BP70">
        <f t="shared" si="12"/>
        <v>1</v>
      </c>
      <c r="BQ70">
        <f t="shared" si="1"/>
        <v>1</v>
      </c>
      <c r="BR70">
        <f t="shared" si="13"/>
        <v>1</v>
      </c>
      <c r="BS70" s="9">
        <f t="shared" si="14"/>
        <v>1.22122567561887E-2</v>
      </c>
      <c r="BT70" s="9">
        <f t="shared" si="15"/>
        <v>-1.08567648236231E-2</v>
      </c>
      <c r="BU70" s="9">
        <f t="shared" si="16"/>
        <v>1.3554919325655997E-3</v>
      </c>
      <c r="BV70" s="12">
        <f t="shared" si="17"/>
        <v>7.2494190313883563E-4</v>
      </c>
      <c r="BX70" s="12">
        <f t="shared" si="18"/>
        <v>1.3554919325655997E-3</v>
      </c>
      <c r="BY70" s="12">
        <f t="shared" si="19"/>
        <v>4.7009159728478144E-3</v>
      </c>
    </row>
    <row r="71" spans="1:77" x14ac:dyDescent="0.3">
      <c r="A71" s="1">
        <v>46126</v>
      </c>
      <c r="B71" s="8">
        <v>46.47</v>
      </c>
      <c r="C71" s="8">
        <v>117.41</v>
      </c>
      <c r="D71" s="9">
        <v>1.72302433323467E-3</v>
      </c>
      <c r="E71" s="9">
        <v>1.27839110605129E-3</v>
      </c>
      <c r="F71" s="8">
        <v>0</v>
      </c>
      <c r="G71" s="8">
        <v>0.30990000000000001</v>
      </c>
      <c r="H71" s="8">
        <v>0</v>
      </c>
      <c r="I71" s="8">
        <v>0.62160000000000004</v>
      </c>
      <c r="J71" s="8">
        <v>0.30990000000000001</v>
      </c>
      <c r="K71" s="8">
        <v>0.62160000000000004</v>
      </c>
      <c r="L71" s="8">
        <v>46.779899999999998</v>
      </c>
      <c r="M71" s="8">
        <v>118.0316</v>
      </c>
      <c r="N71" s="10">
        <v>2.5265762857757599</v>
      </c>
      <c r="O71" s="10">
        <v>2.5326711528669299</v>
      </c>
      <c r="P71" s="10">
        <v>2.52943328807158</v>
      </c>
      <c r="Q71" s="10">
        <v>2.5272579538053499</v>
      </c>
      <c r="R71" s="8">
        <v>117.69322847372599</v>
      </c>
      <c r="S71" s="8">
        <v>117.561953703306</v>
      </c>
      <c r="T71" s="8">
        <v>117.435482657134</v>
      </c>
      <c r="U71" s="9">
        <v>2.40939788518865E-3</v>
      </c>
      <c r="V71" s="9">
        <v>1.2933775465080999E-3</v>
      </c>
      <c r="W71" s="9">
        <v>2.1701637133121499E-4</v>
      </c>
      <c r="X71" s="10">
        <v>2.5231263854775201</v>
      </c>
      <c r="Y71" s="10">
        <v>2.53031067016226</v>
      </c>
      <c r="Z71" s="10">
        <v>2.5259628687157698</v>
      </c>
      <c r="AA71" s="10">
        <v>2.52714082079379</v>
      </c>
      <c r="AB71" s="8">
        <v>118.36768011912299</v>
      </c>
      <c r="AC71" s="8">
        <v>118.18328568451101</v>
      </c>
      <c r="AD71" s="8">
        <v>118.22122841629501</v>
      </c>
      <c r="AE71" s="9">
        <v>2.8433279946918802E-3</v>
      </c>
      <c r="AF71" s="9">
        <v>1.28430267991901E-3</v>
      </c>
      <c r="AG71" s="9">
        <v>1.6053010521758101E-3</v>
      </c>
      <c r="AZ71" s="9"/>
      <c r="BB71">
        <f t="shared" si="2"/>
        <v>0</v>
      </c>
      <c r="BC71">
        <f t="shared" si="3"/>
        <v>1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3.9759740697089783E-3</v>
      </c>
      <c r="BL71" s="9"/>
      <c r="BN71">
        <f t="shared" si="10"/>
        <v>0</v>
      </c>
      <c r="BO71">
        <f t="shared" si="11"/>
        <v>0</v>
      </c>
      <c r="BP71">
        <f t="shared" si="12"/>
        <v>1</v>
      </c>
      <c r="BQ71">
        <f t="shared" si="1"/>
        <v>1</v>
      </c>
      <c r="BR71">
        <f t="shared" si="13"/>
        <v>1</v>
      </c>
      <c r="BS71" s="9">
        <f t="shared" si="14"/>
        <v>-1.72302433323467E-3</v>
      </c>
      <c r="BT71" s="9">
        <f t="shared" si="15"/>
        <v>1.27839110605129E-3</v>
      </c>
      <c r="BU71" s="9">
        <f t="shared" si="16"/>
        <v>-4.4463322718338001E-4</v>
      </c>
      <c r="BV71" s="12">
        <f t="shared" si="17"/>
        <v>2.8030867595545562E-4</v>
      </c>
      <c r="BX71" s="12">
        <f t="shared" si="18"/>
        <v>-4.4463322718338001E-4</v>
      </c>
      <c r="BY71" s="12">
        <f t="shared" si="19"/>
        <v>4.2562827456644348E-3</v>
      </c>
    </row>
    <row r="72" spans="1:77" x14ac:dyDescent="0.3">
      <c r="A72" s="1">
        <v>46127</v>
      </c>
      <c r="B72" s="8">
        <v>46.02</v>
      </c>
      <c r="C72" s="8">
        <v>116.31</v>
      </c>
      <c r="D72" s="9">
        <v>-9.7308584896670398E-3</v>
      </c>
      <c r="E72" s="9">
        <v>-9.4130422911730301E-3</v>
      </c>
      <c r="F72" s="8">
        <v>0</v>
      </c>
      <c r="G72" s="8">
        <v>0.30990000000000001</v>
      </c>
      <c r="H72" s="8">
        <v>0</v>
      </c>
      <c r="I72" s="8">
        <v>0.62160000000000004</v>
      </c>
      <c r="J72" s="8">
        <v>0.30990000000000001</v>
      </c>
      <c r="K72" s="8">
        <v>0.62160000000000004</v>
      </c>
      <c r="L72" s="8">
        <v>46.329900000000002</v>
      </c>
      <c r="M72" s="8">
        <v>116.9316</v>
      </c>
      <c r="N72" s="10">
        <v>2.5273794002607501</v>
      </c>
      <c r="O72" s="10">
        <v>2.5326711528669299</v>
      </c>
      <c r="P72" s="10">
        <v>2.52915314136852</v>
      </c>
      <c r="Q72" s="10">
        <v>2.5280275179198002</v>
      </c>
      <c r="R72" s="8">
        <v>116.55352645493601</v>
      </c>
      <c r="S72" s="8">
        <v>116.404519917054</v>
      </c>
      <c r="T72" s="8">
        <v>116.304411034122</v>
      </c>
      <c r="U72" s="9">
        <v>2.0915816866946E-3</v>
      </c>
      <c r="V72" s="9">
        <v>8.1232509501915197E-4</v>
      </c>
      <c r="W72" s="9">
        <v>-4.8053479180613499E-5</v>
      </c>
      <c r="X72" s="10">
        <v>2.52389061923293</v>
      </c>
      <c r="Y72" s="10">
        <v>2.53031067016226</v>
      </c>
      <c r="Z72" s="10">
        <v>2.52568558287641</v>
      </c>
      <c r="AA72" s="10">
        <v>2.5270764932788898</v>
      </c>
      <c r="AB72" s="8">
        <v>117.22904031755</v>
      </c>
      <c r="AC72" s="8">
        <v>117.027607111314</v>
      </c>
      <c r="AD72" s="8">
        <v>117.082181513294</v>
      </c>
      <c r="AE72" s="9">
        <v>2.5404822699637E-3</v>
      </c>
      <c r="AF72" s="9">
        <v>8.2071672142666405E-4</v>
      </c>
      <c r="AG72" s="9">
        <v>1.2869458636495701E-3</v>
      </c>
      <c r="AZ72" s="9"/>
      <c r="BB72">
        <f t="shared" si="2"/>
        <v>0</v>
      </c>
      <c r="BC72">
        <f t="shared" si="3"/>
        <v>1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3.9759740697089783E-3</v>
      </c>
      <c r="BL72" s="9"/>
      <c r="BN72">
        <f t="shared" si="10"/>
        <v>0</v>
      </c>
      <c r="BO72">
        <f t="shared" si="11"/>
        <v>0</v>
      </c>
      <c r="BP72">
        <f t="shared" si="12"/>
        <v>1</v>
      </c>
      <c r="BQ72">
        <f t="shared" si="1"/>
        <v>1</v>
      </c>
      <c r="BR72">
        <f t="shared" si="13"/>
        <v>1</v>
      </c>
      <c r="BS72" s="9">
        <f t="shared" si="14"/>
        <v>9.7308584896670398E-3</v>
      </c>
      <c r="BT72" s="9">
        <f t="shared" si="15"/>
        <v>-9.4130422911730301E-3</v>
      </c>
      <c r="BU72" s="9">
        <f t="shared" si="16"/>
        <v>3.178161984940097E-4</v>
      </c>
      <c r="BV72" s="12">
        <f t="shared" si="17"/>
        <v>5.9812487444946532E-4</v>
      </c>
      <c r="BX72" s="12">
        <f t="shared" si="18"/>
        <v>3.178161984940097E-4</v>
      </c>
      <c r="BY72" s="12">
        <f t="shared" si="19"/>
        <v>4.5740989441584445E-3</v>
      </c>
    </row>
    <row r="73" spans="1:77" x14ac:dyDescent="0.3">
      <c r="A73" s="1">
        <v>46128</v>
      </c>
      <c r="B73" s="8">
        <v>46.35</v>
      </c>
      <c r="C73" s="8">
        <v>117</v>
      </c>
      <c r="D73" s="9">
        <v>7.1452074046442302E-3</v>
      </c>
      <c r="E73" s="9">
        <v>5.9148944468086001E-3</v>
      </c>
      <c r="F73" s="8">
        <v>0</v>
      </c>
      <c r="G73" s="8">
        <v>0.30990000000000001</v>
      </c>
      <c r="H73" s="8">
        <v>0</v>
      </c>
      <c r="I73" s="8">
        <v>0.62160000000000004</v>
      </c>
      <c r="J73" s="8">
        <v>0.30990000000000001</v>
      </c>
      <c r="K73" s="8">
        <v>0.62160000000000004</v>
      </c>
      <c r="L73" s="8">
        <v>46.6599</v>
      </c>
      <c r="M73" s="8">
        <v>117.6216</v>
      </c>
      <c r="N73" s="10">
        <v>2.5242718446601899</v>
      </c>
      <c r="O73" s="10">
        <v>2.5326711528669299</v>
      </c>
      <c r="P73" s="10">
        <v>2.5286850753465799</v>
      </c>
      <c r="Q73" s="10">
        <v>2.5284974765127499</v>
      </c>
      <c r="R73" s="8">
        <v>117.38930793538201</v>
      </c>
      <c r="S73" s="8">
        <v>117.226248102431</v>
      </c>
      <c r="T73" s="8">
        <v>117.17407545558299</v>
      </c>
      <c r="U73" s="9">
        <v>3.3218946445302401E-3</v>
      </c>
      <c r="V73" s="9">
        <v>1.93187718823255E-3</v>
      </c>
      <c r="W73" s="9">
        <v>1.48671869256434E-3</v>
      </c>
      <c r="X73" s="10">
        <v>2.5208283772575499</v>
      </c>
      <c r="Y73" s="10">
        <v>2.53031067016226</v>
      </c>
      <c r="Z73" s="10">
        <v>2.5252224220110402</v>
      </c>
      <c r="AA73" s="10">
        <v>2.52670918113385</v>
      </c>
      <c r="AB73" s="8">
        <v>118.064042838704</v>
      </c>
      <c r="AC73" s="8">
        <v>117.84823672845501</v>
      </c>
      <c r="AD73" s="8">
        <v>117.91313646874301</v>
      </c>
      <c r="AE73" s="9">
        <v>3.7545210910056798E-3</v>
      </c>
      <c r="AF73" s="9">
        <v>1.9249752035159801E-3</v>
      </c>
      <c r="AG73" s="9">
        <v>2.4755296989189099E-3</v>
      </c>
      <c r="AZ73" s="9"/>
      <c r="BB73">
        <f t="shared" si="2"/>
        <v>0</v>
      </c>
      <c r="BC73">
        <f t="shared" si="3"/>
        <v>1</v>
      </c>
      <c r="BD73">
        <f t="shared" si="4"/>
        <v>0</v>
      </c>
      <c r="BE73">
        <f t="shared" si="0"/>
        <v>1</v>
      </c>
      <c r="BF73">
        <f t="shared" si="5"/>
        <v>0</v>
      </c>
      <c r="BG73" s="9">
        <f t="shared" si="6"/>
        <v>0</v>
      </c>
      <c r="BH73" s="9">
        <f t="shared" si="7"/>
        <v>0</v>
      </c>
      <c r="BI73" s="9">
        <f t="shared" si="8"/>
        <v>0</v>
      </c>
      <c r="BJ73" s="12">
        <f t="shared" si="9"/>
        <v>3.9759740697089783E-3</v>
      </c>
      <c r="BL73" s="9"/>
      <c r="BN73">
        <f t="shared" si="10"/>
        <v>1</v>
      </c>
      <c r="BO73">
        <f t="shared" si="11"/>
        <v>0</v>
      </c>
      <c r="BP73">
        <f t="shared" si="12"/>
        <v>1</v>
      </c>
      <c r="BQ73">
        <f t="shared" si="1"/>
        <v>1</v>
      </c>
      <c r="BR73">
        <f t="shared" si="13"/>
        <v>1</v>
      </c>
      <c r="BS73" s="9">
        <f t="shared" si="14"/>
        <v>-7.1452074046442302E-3</v>
      </c>
      <c r="BT73" s="9">
        <f t="shared" si="15"/>
        <v>5.9148944468086001E-3</v>
      </c>
      <c r="BU73" s="9">
        <f t="shared" si="16"/>
        <v>-1.2303129578356302E-3</v>
      </c>
      <c r="BV73" s="12">
        <f t="shared" si="17"/>
        <v>-6.3218808338616483E-4</v>
      </c>
      <c r="BX73" s="12">
        <f t="shared" si="18"/>
        <v>-1.2303129578356302E-3</v>
      </c>
      <c r="BY73" s="12">
        <f t="shared" si="19"/>
        <v>3.3437859863228144E-3</v>
      </c>
    </row>
    <row r="74" spans="1:77" x14ac:dyDescent="0.3">
      <c r="A74" s="1">
        <v>46129</v>
      </c>
      <c r="B74" s="8">
        <v>46.16</v>
      </c>
      <c r="C74" s="8">
        <v>116.57</v>
      </c>
      <c r="D74" s="9">
        <v>-4.1076698120201703E-3</v>
      </c>
      <c r="E74" s="9">
        <v>-3.6819838660151699E-3</v>
      </c>
      <c r="F74" s="8">
        <v>0</v>
      </c>
      <c r="G74" s="8">
        <v>0.30990000000000001</v>
      </c>
      <c r="H74" s="8">
        <v>0</v>
      </c>
      <c r="I74" s="8">
        <v>0.62160000000000004</v>
      </c>
      <c r="J74" s="8">
        <v>0.30990000000000001</v>
      </c>
      <c r="K74" s="8">
        <v>0.62160000000000004</v>
      </c>
      <c r="L74" s="8">
        <v>46.469899999999903</v>
      </c>
      <c r="M74" s="8">
        <v>117.19159999999999</v>
      </c>
      <c r="N74" s="10">
        <v>2.5253466204506001</v>
      </c>
      <c r="O74" s="10">
        <v>2.5326711528669299</v>
      </c>
      <c r="P74" s="10">
        <v>2.5277022578922899</v>
      </c>
      <c r="Q74" s="10">
        <v>2.5289805359409598</v>
      </c>
      <c r="R74" s="8">
        <v>116.90810041633701</v>
      </c>
      <c r="S74" s="8">
        <v>116.724103077998</v>
      </c>
      <c r="T74" s="8">
        <v>116.715443515828</v>
      </c>
      <c r="U74" s="9">
        <v>2.8962086985253599E-3</v>
      </c>
      <c r="V74" s="9">
        <v>1.3211058348957E-3</v>
      </c>
      <c r="W74" s="9">
        <v>1.2469147880087199E-3</v>
      </c>
      <c r="X74" s="10">
        <v>2.5218819063522799</v>
      </c>
      <c r="Y74" s="10">
        <v>2.53031067016226</v>
      </c>
      <c r="Z74" s="10">
        <v>2.52424479664238</v>
      </c>
      <c r="AA74" s="10">
        <v>2.5263511922228399</v>
      </c>
      <c r="AB74" s="8">
        <v>117.58328381137299</v>
      </c>
      <c r="AC74" s="8">
        <v>117.34683342861101</v>
      </c>
      <c r="AD74" s="8">
        <v>117.41592297637099</v>
      </c>
      <c r="AE74" s="9">
        <v>3.3366786805554198E-3</v>
      </c>
      <c r="AF74" s="9">
        <v>1.3237357221963001E-3</v>
      </c>
      <c r="AG74" s="9">
        <v>1.9123261001039501E-3</v>
      </c>
      <c r="AZ74" s="9"/>
      <c r="BB74">
        <f t="shared" si="2"/>
        <v>0</v>
      </c>
      <c r="BC74">
        <f t="shared" si="3"/>
        <v>1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3.9759740697089783E-3</v>
      </c>
      <c r="BL74" s="9"/>
      <c r="BN74">
        <f t="shared" si="10"/>
        <v>0</v>
      </c>
      <c r="BO74">
        <f t="shared" si="11"/>
        <v>0</v>
      </c>
      <c r="BP74">
        <f t="shared" si="12"/>
        <v>1</v>
      </c>
      <c r="BQ74">
        <f t="shared" si="1"/>
        <v>1</v>
      </c>
      <c r="BR74">
        <f t="shared" si="13"/>
        <v>1</v>
      </c>
      <c r="BS74" s="9">
        <f t="shared" si="14"/>
        <v>4.1076698120201703E-3</v>
      </c>
      <c r="BT74" s="9">
        <f t="shared" si="15"/>
        <v>-3.6819838660151699E-3</v>
      </c>
      <c r="BU74" s="9">
        <f t="shared" si="16"/>
        <v>4.2568594600500033E-4</v>
      </c>
      <c r="BV74" s="12">
        <f t="shared" si="17"/>
        <v>-2.0650213738116451E-4</v>
      </c>
      <c r="BX74" s="12">
        <f t="shared" si="18"/>
        <v>4.2568594600500033E-4</v>
      </c>
      <c r="BY74" s="12">
        <f t="shared" si="19"/>
        <v>3.7694719323278147E-3</v>
      </c>
    </row>
    <row r="75" spans="1:77" x14ac:dyDescent="0.3">
      <c r="A75" s="1">
        <v>46132</v>
      </c>
      <c r="B75" s="8">
        <v>45.75</v>
      </c>
      <c r="C75" s="8">
        <v>115.62</v>
      </c>
      <c r="D75" s="9">
        <v>-8.9218304783137796E-3</v>
      </c>
      <c r="E75" s="9">
        <v>-8.1829992774108597E-3</v>
      </c>
      <c r="F75" s="8">
        <v>0</v>
      </c>
      <c r="G75" s="8">
        <v>0.30990000000000001</v>
      </c>
      <c r="H75" s="8">
        <v>0</v>
      </c>
      <c r="I75" s="8">
        <v>0.62160000000000004</v>
      </c>
      <c r="J75" s="8">
        <v>0.30990000000000001</v>
      </c>
      <c r="K75" s="8">
        <v>0.62160000000000004</v>
      </c>
      <c r="L75" s="8">
        <v>46.059899999999999</v>
      </c>
      <c r="M75" s="8">
        <v>116.24160000000001</v>
      </c>
      <c r="N75" s="10">
        <v>2.5272131147540899</v>
      </c>
      <c r="O75" s="10">
        <v>2.5326711528669299</v>
      </c>
      <c r="P75" s="10">
        <v>2.5271855360126998</v>
      </c>
      <c r="Q75" s="10">
        <v>2.52928296099557</v>
      </c>
      <c r="R75" s="8">
        <v>115.869705243662</v>
      </c>
      <c r="S75" s="8">
        <v>115.642378298572</v>
      </c>
      <c r="T75" s="8">
        <v>115.700859519299</v>
      </c>
      <c r="U75" s="9">
        <v>2.15737749762244E-3</v>
      </c>
      <c r="V75" s="9">
        <v>1.9353168298975499E-4</v>
      </c>
      <c r="W75" s="9">
        <v>6.99111379409867E-4</v>
      </c>
      <c r="X75" s="10">
        <v>2.5237050015306099</v>
      </c>
      <c r="Y75" s="10">
        <v>2.53031067016226</v>
      </c>
      <c r="Z75" s="10">
        <v>2.5237283499646601</v>
      </c>
      <c r="AA75" s="10">
        <v>2.5257821309891799</v>
      </c>
      <c r="AB75" s="8">
        <v>116.545856436606</v>
      </c>
      <c r="AC75" s="8">
        <v>116.26646290886799</v>
      </c>
      <c r="AD75" s="8">
        <v>116.363483278665</v>
      </c>
      <c r="AE75" s="9">
        <v>2.6140292481091299E-3</v>
      </c>
      <c r="AF75" s="9">
        <v>2.13867068970439E-4</v>
      </c>
      <c r="AG75" s="9">
        <v>1.0479847482446399E-3</v>
      </c>
      <c r="AZ75" s="9"/>
      <c r="BB75">
        <f t="shared" si="2"/>
        <v>0</v>
      </c>
      <c r="BC75">
        <f t="shared" si="3"/>
        <v>1</v>
      </c>
      <c r="BD75">
        <f t="shared" si="4"/>
        <v>0</v>
      </c>
      <c r="BE75">
        <f t="shared" si="0"/>
        <v>1</v>
      </c>
      <c r="BF75">
        <f t="shared" si="5"/>
        <v>0</v>
      </c>
      <c r="BG75" s="9">
        <f t="shared" si="6"/>
        <v>0</v>
      </c>
      <c r="BH75" s="9">
        <f t="shared" si="7"/>
        <v>0</v>
      </c>
      <c r="BI75" s="9">
        <f t="shared" si="8"/>
        <v>0</v>
      </c>
      <c r="BJ75" s="12">
        <f t="shared" si="9"/>
        <v>3.9759740697089783E-3</v>
      </c>
      <c r="BL75" s="9"/>
      <c r="BN75">
        <f t="shared" si="10"/>
        <v>0</v>
      </c>
      <c r="BO75">
        <f t="shared" si="11"/>
        <v>0</v>
      </c>
      <c r="BP75">
        <f t="shared" si="12"/>
        <v>1</v>
      </c>
      <c r="BQ75">
        <f t="shared" si="1"/>
        <v>1</v>
      </c>
      <c r="BR75">
        <f t="shared" si="13"/>
        <v>1</v>
      </c>
      <c r="BS75" s="9">
        <f t="shared" si="14"/>
        <v>8.9218304783137796E-3</v>
      </c>
      <c r="BT75" s="9">
        <f t="shared" si="15"/>
        <v>-8.1829992774108597E-3</v>
      </c>
      <c r="BU75" s="9">
        <f t="shared" si="16"/>
        <v>7.3883120090291986E-4</v>
      </c>
      <c r="BV75" s="12">
        <f t="shared" si="17"/>
        <v>5.3232906352175535E-4</v>
      </c>
      <c r="BX75" s="12">
        <f t="shared" si="18"/>
        <v>7.3883120090291986E-4</v>
      </c>
      <c r="BY75" s="12">
        <f t="shared" si="19"/>
        <v>4.5083031332307346E-3</v>
      </c>
    </row>
    <row r="76" spans="1:77" x14ac:dyDescent="0.3">
      <c r="A76" s="1">
        <v>46133</v>
      </c>
      <c r="B76" s="8">
        <v>44.95</v>
      </c>
      <c r="C76" s="8">
        <v>113.57</v>
      </c>
      <c r="D76" s="9">
        <v>-1.7641030803900899E-2</v>
      </c>
      <c r="E76" s="9">
        <v>-1.7889564750775099E-2</v>
      </c>
      <c r="F76" s="8">
        <v>0</v>
      </c>
      <c r="G76" s="8">
        <v>0.30990000000000001</v>
      </c>
      <c r="H76" s="8">
        <v>0</v>
      </c>
      <c r="I76" s="8">
        <v>0.62160000000000004</v>
      </c>
      <c r="J76" s="8">
        <v>0.30990000000000001</v>
      </c>
      <c r="K76" s="8">
        <v>0.62160000000000004</v>
      </c>
      <c r="L76" s="8">
        <v>45.259900000000002</v>
      </c>
      <c r="M76" s="8">
        <v>114.19159999999999</v>
      </c>
      <c r="N76" s="10">
        <v>2.5265850945494899</v>
      </c>
      <c r="O76" s="10">
        <v>2.5326711528669299</v>
      </c>
      <c r="P76" s="10">
        <v>2.52639688748192</v>
      </c>
      <c r="Q76" s="10">
        <v>2.5289708579740502</v>
      </c>
      <c r="R76" s="8">
        <v>113.843568321368</v>
      </c>
      <c r="S76" s="8">
        <v>113.596989843771</v>
      </c>
      <c r="T76" s="8">
        <v>113.691269096751</v>
      </c>
      <c r="U76" s="9">
        <v>2.4059114444967399E-3</v>
      </c>
      <c r="V76" s="9">
        <v>2.37621178295376E-4</v>
      </c>
      <c r="W76" s="9">
        <v>1.0672219577337199E-3</v>
      </c>
      <c r="X76" s="10">
        <v>2.5230192731313998</v>
      </c>
      <c r="Y76" s="10">
        <v>2.53031067016226</v>
      </c>
      <c r="Z76" s="10">
        <v>2.5229348434104</v>
      </c>
      <c r="AA76" s="10">
        <v>2.52547284523291</v>
      </c>
      <c r="AB76" s="8">
        <v>114.521607900476</v>
      </c>
      <c r="AC76" s="8">
        <v>114.22369274656501</v>
      </c>
      <c r="AD76" s="8">
        <v>114.316646670357</v>
      </c>
      <c r="AE76" s="9">
        <v>2.88578112759096E-3</v>
      </c>
      <c r="AF76" s="9">
        <v>2.8100348615777798E-4</v>
      </c>
      <c r="AG76" s="9">
        <v>1.0944610066529301E-3</v>
      </c>
      <c r="AZ76" s="9"/>
      <c r="BB76">
        <f t="shared" si="2"/>
        <v>0</v>
      </c>
      <c r="BC76">
        <f t="shared" si="3"/>
        <v>1</v>
      </c>
      <c r="BD76">
        <f t="shared" si="4"/>
        <v>0</v>
      </c>
      <c r="BE76">
        <f t="shared" si="0"/>
        <v>1</v>
      </c>
      <c r="BF76">
        <f t="shared" si="5"/>
        <v>0</v>
      </c>
      <c r="BG76" s="9">
        <f t="shared" si="6"/>
        <v>0</v>
      </c>
      <c r="BH76" s="9">
        <f t="shared" si="7"/>
        <v>0</v>
      </c>
      <c r="BI76" s="9">
        <f t="shared" si="8"/>
        <v>0</v>
      </c>
      <c r="BJ76" s="12">
        <f t="shared" si="9"/>
        <v>3.9759740697089783E-3</v>
      </c>
      <c r="BL76" s="9"/>
      <c r="BN76">
        <f t="shared" si="10"/>
        <v>0</v>
      </c>
      <c r="BO76">
        <f t="shared" si="11"/>
        <v>0</v>
      </c>
      <c r="BP76">
        <f t="shared" si="12"/>
        <v>1</v>
      </c>
      <c r="BQ76">
        <f t="shared" si="1"/>
        <v>1</v>
      </c>
      <c r="BR76">
        <f t="shared" si="13"/>
        <v>1</v>
      </c>
      <c r="BS76" s="9">
        <f t="shared" si="14"/>
        <v>1.7641030803900899E-2</v>
      </c>
      <c r="BT76" s="9">
        <f t="shared" si="15"/>
        <v>-1.7889564750775099E-2</v>
      </c>
      <c r="BU76" s="9">
        <f t="shared" si="16"/>
        <v>-2.4853394687419927E-4</v>
      </c>
      <c r="BV76" s="12">
        <f t="shared" si="17"/>
        <v>2.8379511664755608E-4</v>
      </c>
      <c r="BX76" s="12">
        <f t="shared" si="18"/>
        <v>-2.4853394687419927E-4</v>
      </c>
      <c r="BY76" s="12">
        <f t="shared" si="19"/>
        <v>4.2597691863565353E-3</v>
      </c>
    </row>
    <row r="77" spans="1:77" x14ac:dyDescent="0.3">
      <c r="A77" s="1">
        <v>46134</v>
      </c>
      <c r="B77" s="8">
        <v>44.87</v>
      </c>
      <c r="C77" s="8">
        <v>113.54</v>
      </c>
      <c r="D77" s="9">
        <v>-1.7813409297374001E-3</v>
      </c>
      <c r="E77" s="9">
        <v>-2.6418916097464698E-4</v>
      </c>
      <c r="F77" s="8">
        <v>0</v>
      </c>
      <c r="G77" s="8">
        <v>0.30990000000000001</v>
      </c>
      <c r="H77" s="8">
        <v>0</v>
      </c>
      <c r="I77" s="8">
        <v>0.62160000000000004</v>
      </c>
      <c r="J77" s="8">
        <v>0.30990000000000001</v>
      </c>
      <c r="K77" s="8">
        <v>0.62160000000000004</v>
      </c>
      <c r="L77" s="8">
        <v>45.179899999999897</v>
      </c>
      <c r="M77" s="8">
        <v>114.16160000000001</v>
      </c>
      <c r="N77" s="10">
        <v>2.5304212168486702</v>
      </c>
      <c r="O77" s="10">
        <v>2.5326711528669299</v>
      </c>
      <c r="P77" s="10">
        <v>2.5266386671402801</v>
      </c>
      <c r="Q77" s="10">
        <v>2.5289561015621098</v>
      </c>
      <c r="R77" s="8">
        <v>113.640954629139</v>
      </c>
      <c r="S77" s="8">
        <v>113.35942834131301</v>
      </c>
      <c r="T77" s="8">
        <v>113.474922397295</v>
      </c>
      <c r="U77" s="9">
        <v>8.8875967573389802E-4</v>
      </c>
      <c r="V77" s="9">
        <v>-1.5916452335458099E-3</v>
      </c>
      <c r="W77" s="9">
        <v>-5.7333327518318102E-4</v>
      </c>
      <c r="X77" s="10">
        <v>2.5268227685320199</v>
      </c>
      <c r="Y77" s="10">
        <v>2.53031067016226</v>
      </c>
      <c r="Z77" s="10">
        <v>2.5231604363462399</v>
      </c>
      <c r="AA77" s="10">
        <v>2.5254573176756701</v>
      </c>
      <c r="AB77" s="8">
        <v>114.319183046863</v>
      </c>
      <c r="AC77" s="8">
        <v>113.985943931797</v>
      </c>
      <c r="AD77" s="8">
        <v>114.100610600338</v>
      </c>
      <c r="AE77" s="9">
        <v>1.3793989126708499E-3</v>
      </c>
      <c r="AF77" s="9">
        <v>-1.53984653863619E-3</v>
      </c>
      <c r="AG77" s="9">
        <v>-5.3438018454589602E-4</v>
      </c>
      <c r="AZ77" s="9"/>
      <c r="BB77">
        <f t="shared" si="2"/>
        <v>0</v>
      </c>
      <c r="BC77">
        <f t="shared" si="3"/>
        <v>0</v>
      </c>
      <c r="BD77">
        <f t="shared" si="4"/>
        <v>0</v>
      </c>
      <c r="BE77">
        <f t="shared" si="0"/>
        <v>1</v>
      </c>
      <c r="BF77">
        <f t="shared" si="5"/>
        <v>0</v>
      </c>
      <c r="BG77" s="9">
        <f t="shared" si="6"/>
        <v>0</v>
      </c>
      <c r="BH77" s="9">
        <f t="shared" si="7"/>
        <v>0</v>
      </c>
      <c r="BI77" s="9">
        <f t="shared" si="8"/>
        <v>0</v>
      </c>
      <c r="BJ77" s="12">
        <f t="shared" si="9"/>
        <v>3.9759740697089783E-3</v>
      </c>
      <c r="BL77" s="9"/>
      <c r="BN77">
        <f t="shared" si="10"/>
        <v>0</v>
      </c>
      <c r="BO77">
        <f t="shared" si="11"/>
        <v>1</v>
      </c>
      <c r="BP77">
        <f t="shared" si="12"/>
        <v>1</v>
      </c>
      <c r="BQ77">
        <f t="shared" si="1"/>
        <v>1</v>
      </c>
      <c r="BR77">
        <f t="shared" si="13"/>
        <v>1</v>
      </c>
      <c r="BS77" s="9">
        <f t="shared" si="14"/>
        <v>1.7813409297374001E-3</v>
      </c>
      <c r="BT77" s="9">
        <f t="shared" si="15"/>
        <v>-2.6418916097464698E-4</v>
      </c>
      <c r="BU77" s="9">
        <f t="shared" si="16"/>
        <v>1.5171517687627531E-3</v>
      </c>
      <c r="BV77" s="12">
        <f t="shared" si="17"/>
        <v>1.8009468854103092E-3</v>
      </c>
      <c r="BX77" s="12">
        <f t="shared" si="18"/>
        <v>1.5171517687627531E-3</v>
      </c>
      <c r="BY77" s="12">
        <f t="shared" si="19"/>
        <v>5.7769209551192888E-3</v>
      </c>
    </row>
    <row r="78" spans="1:77" x14ac:dyDescent="0.3">
      <c r="A78" s="1">
        <v>46135</v>
      </c>
      <c r="B78" s="8">
        <v>46.09</v>
      </c>
      <c r="C78" s="8">
        <v>116.72</v>
      </c>
      <c r="D78" s="9">
        <v>2.68265867445249E-2</v>
      </c>
      <c r="E78" s="9">
        <v>2.76227064719499E-2</v>
      </c>
      <c r="F78" s="8">
        <v>0</v>
      </c>
      <c r="G78" s="8">
        <v>0.30990000000000001</v>
      </c>
      <c r="H78" s="8">
        <v>0</v>
      </c>
      <c r="I78" s="8">
        <v>0.62160000000000004</v>
      </c>
      <c r="J78" s="8">
        <v>0.30990000000000001</v>
      </c>
      <c r="K78" s="8">
        <v>0.62160000000000004</v>
      </c>
      <c r="L78" s="8">
        <v>46.399900000000002</v>
      </c>
      <c r="M78" s="8">
        <v>117.3416</v>
      </c>
      <c r="N78" s="10">
        <v>2.5324365372097999</v>
      </c>
      <c r="O78" s="10">
        <v>2.5326711528669299</v>
      </c>
      <c r="P78" s="10">
        <v>2.5272206029397299</v>
      </c>
      <c r="Q78" s="10">
        <v>2.5290696411297802</v>
      </c>
      <c r="R78" s="8">
        <v>116.73081343563599</v>
      </c>
      <c r="S78" s="8">
        <v>116.45277616849501</v>
      </c>
      <c r="T78" s="8">
        <v>116.559586720997</v>
      </c>
      <c r="U78" s="9">
        <v>9.2639948308965905E-5</v>
      </c>
      <c r="V78" s="9">
        <v>-2.2920681640921699E-3</v>
      </c>
      <c r="W78" s="9">
        <v>-1.3752879670371301E-3</v>
      </c>
      <c r="X78" s="10">
        <v>2.5289192433604302</v>
      </c>
      <c r="Y78" s="10">
        <v>2.53031067016226</v>
      </c>
      <c r="Z78" s="10">
        <v>2.52373071651532</v>
      </c>
      <c r="AA78" s="10">
        <v>2.5255733274074501</v>
      </c>
      <c r="AB78" s="8">
        <v>117.406162064461</v>
      </c>
      <c r="AC78" s="8">
        <v>117.074391930422</v>
      </c>
      <c r="AD78" s="8">
        <v>117.18096699441899</v>
      </c>
      <c r="AE78" s="9">
        <v>5.5005479517167104E-4</v>
      </c>
      <c r="AF78" s="9">
        <v>-2.27977778400861E-3</v>
      </c>
      <c r="AG78" s="9">
        <v>-1.36987269718999E-3</v>
      </c>
      <c r="AZ78" s="9"/>
      <c r="BB78">
        <f t="shared" si="2"/>
        <v>1</v>
      </c>
      <c r="BC78">
        <f t="shared" si="3"/>
        <v>0</v>
      </c>
      <c r="BD78">
        <f t="shared" si="4"/>
        <v>0</v>
      </c>
      <c r="BE78">
        <f t="shared" si="0"/>
        <v>1</v>
      </c>
      <c r="BF78">
        <f t="shared" si="5"/>
        <v>0</v>
      </c>
      <c r="BG78" s="9">
        <f t="shared" si="6"/>
        <v>0</v>
      </c>
      <c r="BH78" s="9">
        <f t="shared" si="7"/>
        <v>0</v>
      </c>
      <c r="BI78" s="9">
        <f t="shared" si="8"/>
        <v>0</v>
      </c>
      <c r="BJ78" s="12">
        <f t="shared" si="9"/>
        <v>3.9759740697089783E-3</v>
      </c>
      <c r="BL78" s="9"/>
      <c r="BN78">
        <f t="shared" si="10"/>
        <v>0</v>
      </c>
      <c r="BO78">
        <f t="shared" si="11"/>
        <v>1</v>
      </c>
      <c r="BP78">
        <f t="shared" si="12"/>
        <v>0</v>
      </c>
      <c r="BQ78">
        <f t="shared" si="1"/>
        <v>1</v>
      </c>
      <c r="BR78">
        <f t="shared" si="13"/>
        <v>0</v>
      </c>
      <c r="BS78" s="9">
        <f t="shared" si="14"/>
        <v>0</v>
      </c>
      <c r="BT78" s="9">
        <f t="shared" si="15"/>
        <v>0</v>
      </c>
      <c r="BU78" s="9">
        <f t="shared" si="16"/>
        <v>0</v>
      </c>
      <c r="BV78" s="12">
        <f t="shared" si="17"/>
        <v>1.8009468854103092E-3</v>
      </c>
      <c r="BX78" s="12">
        <f t="shared" si="18"/>
        <v>0</v>
      </c>
      <c r="BY78" s="12">
        <f t="shared" si="19"/>
        <v>5.7769209551192888E-3</v>
      </c>
    </row>
    <row r="79" spans="1:77" x14ac:dyDescent="0.3">
      <c r="A79" s="1">
        <v>46136</v>
      </c>
      <c r="B79" s="8">
        <v>46.18</v>
      </c>
      <c r="C79" s="8">
        <v>116.84</v>
      </c>
      <c r="D79" s="9">
        <v>1.95079719393226E-3</v>
      </c>
      <c r="E79" s="9">
        <v>1.0275733050100499E-3</v>
      </c>
      <c r="F79" s="8">
        <v>0</v>
      </c>
      <c r="G79" s="8">
        <v>0.30990000000000001</v>
      </c>
      <c r="H79" s="8">
        <v>0</v>
      </c>
      <c r="I79" s="8">
        <v>0.62160000000000004</v>
      </c>
      <c r="J79" s="8">
        <v>0.30990000000000001</v>
      </c>
      <c r="K79" s="8">
        <v>0.62160000000000004</v>
      </c>
      <c r="L79" s="8">
        <v>46.489899999999999</v>
      </c>
      <c r="M79" s="8">
        <v>117.4616</v>
      </c>
      <c r="N79" s="10">
        <v>2.5300996102208702</v>
      </c>
      <c r="O79" s="10">
        <v>2.5326711528669299</v>
      </c>
      <c r="P79" s="10">
        <v>2.5278029660061101</v>
      </c>
      <c r="Q79" s="10">
        <v>2.5289366335534602</v>
      </c>
      <c r="R79" s="8">
        <v>116.95875383939401</v>
      </c>
      <c r="S79" s="8">
        <v>116.70704744375701</v>
      </c>
      <c r="T79" s="8">
        <v>116.792436027373</v>
      </c>
      <c r="U79" s="9">
        <v>1.01586383723112E-3</v>
      </c>
      <c r="V79" s="9">
        <v>-1.13855064373844E-3</v>
      </c>
      <c r="W79" s="9">
        <v>-4.0716926204696998E-4</v>
      </c>
      <c r="X79" s="10">
        <v>2.5266047033871799</v>
      </c>
      <c r="Y79" s="10">
        <v>2.53031067016226</v>
      </c>
      <c r="Z79" s="10">
        <v>2.5243034946862899</v>
      </c>
      <c r="AA79" s="10">
        <v>2.5254444774342</v>
      </c>
      <c r="AB79" s="8">
        <v>117.63389002477599</v>
      </c>
      <c r="AC79" s="8">
        <v>117.327988637725</v>
      </c>
      <c r="AD79" s="8">
        <v>117.41365143383899</v>
      </c>
      <c r="AE79" s="9">
        <v>1.46570277126362E-3</v>
      </c>
      <c r="AF79" s="9">
        <v>-1.13813715056481E-3</v>
      </c>
      <c r="AG79" s="9">
        <v>-4.0828964766413602E-4</v>
      </c>
      <c r="AZ79" s="9"/>
      <c r="BB79">
        <f t="shared" si="2"/>
        <v>0</v>
      </c>
      <c r="BC79">
        <f t="shared" si="3"/>
        <v>0</v>
      </c>
      <c r="BD79">
        <f t="shared" si="4"/>
        <v>1</v>
      </c>
      <c r="BE79">
        <f t="shared" si="0"/>
        <v>1</v>
      </c>
      <c r="BF79">
        <f t="shared" si="5"/>
        <v>1</v>
      </c>
      <c r="BG79" s="9">
        <f t="shared" si="6"/>
        <v>1.95079719393226E-3</v>
      </c>
      <c r="BH79" s="9">
        <f t="shared" si="7"/>
        <v>-1.0275733050100499E-3</v>
      </c>
      <c r="BI79" s="9">
        <f t="shared" si="8"/>
        <v>9.2322388892221007E-4</v>
      </c>
      <c r="BJ79" s="12">
        <f t="shared" si="9"/>
        <v>4.8991979586311884E-3</v>
      </c>
      <c r="BL79" s="9"/>
      <c r="BN79">
        <f t="shared" si="10"/>
        <v>0</v>
      </c>
      <c r="BO79">
        <f t="shared" si="11"/>
        <v>1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1.8009468854103092E-3</v>
      </c>
      <c r="BX79" s="12">
        <f t="shared" si="18"/>
        <v>9.2322388892221007E-4</v>
      </c>
      <c r="BY79" s="12">
        <f t="shared" si="19"/>
        <v>6.7001448440414989E-3</v>
      </c>
    </row>
    <row r="80" spans="1:77" x14ac:dyDescent="0.3">
      <c r="A80" s="1">
        <v>46139</v>
      </c>
      <c r="B80" s="8">
        <v>46.19</v>
      </c>
      <c r="C80" s="8">
        <v>116.67</v>
      </c>
      <c r="D80" s="9">
        <v>2.1652051616457001E-4</v>
      </c>
      <c r="E80" s="9">
        <v>-1.45604068377456E-3</v>
      </c>
      <c r="F80" s="8">
        <v>0</v>
      </c>
      <c r="G80" s="8">
        <v>0.30990000000000001</v>
      </c>
      <c r="H80" s="8">
        <v>0</v>
      </c>
      <c r="I80" s="8">
        <v>0.62160000000000004</v>
      </c>
      <c r="J80" s="8">
        <v>0.30990000000000001</v>
      </c>
      <c r="K80" s="8">
        <v>0.62160000000000004</v>
      </c>
      <c r="L80" s="8">
        <v>46.499899999999997</v>
      </c>
      <c r="M80" s="8">
        <v>117.2916</v>
      </c>
      <c r="N80" s="10">
        <v>2.5258714007360901</v>
      </c>
      <c r="O80" s="10">
        <v>2.5326711528669299</v>
      </c>
      <c r="P80" s="10">
        <v>2.52762011254663</v>
      </c>
      <c r="Q80" s="10">
        <v>2.5287331647659599</v>
      </c>
      <c r="R80" s="8">
        <v>116.984080550923</v>
      </c>
      <c r="S80" s="8">
        <v>116.759218999822</v>
      </c>
      <c r="T80" s="8">
        <v>116.811583103834</v>
      </c>
      <c r="U80" s="9">
        <v>2.6884250371706701E-3</v>
      </c>
      <c r="V80" s="9">
        <v>7.6442019169070501E-4</v>
      </c>
      <c r="W80" s="9">
        <v>1.21279905084421E-3</v>
      </c>
      <c r="X80" s="10">
        <v>2.5224054245277898</v>
      </c>
      <c r="Y80" s="10">
        <v>2.53031067016226</v>
      </c>
      <c r="Z80" s="10">
        <v>2.5241203702789701</v>
      </c>
      <c r="AA80" s="10">
        <v>2.5252446477453399</v>
      </c>
      <c r="AB80" s="8">
        <v>117.65919313147801</v>
      </c>
      <c r="AC80" s="8">
        <v>117.37986007256301</v>
      </c>
      <c r="AD80" s="8">
        <v>117.432915656242</v>
      </c>
      <c r="AE80" s="9">
        <v>3.1291099426742201E-3</v>
      </c>
      <c r="AF80" s="9">
        <v>7.5220119819928205E-4</v>
      </c>
      <c r="AG80" s="9">
        <v>1.2040981140937299E-3</v>
      </c>
      <c r="AZ80" s="9"/>
      <c r="BB80">
        <f t="shared" si="2"/>
        <v>0</v>
      </c>
      <c r="BC80">
        <f t="shared" si="3"/>
        <v>1</v>
      </c>
      <c r="BD80">
        <f t="shared" si="4"/>
        <v>1</v>
      </c>
      <c r="BE80">
        <f t="shared" si="0"/>
        <v>1</v>
      </c>
      <c r="BF80">
        <f t="shared" si="5"/>
        <v>1</v>
      </c>
      <c r="BG80" s="9">
        <f t="shared" si="6"/>
        <v>2.1652051616457001E-4</v>
      </c>
      <c r="BH80" s="9">
        <f t="shared" si="7"/>
        <v>1.45604068377456E-3</v>
      </c>
      <c r="BI80" s="9">
        <f t="shared" si="8"/>
        <v>1.6725611999391301E-3</v>
      </c>
      <c r="BJ80" s="12">
        <f t="shared" si="9"/>
        <v>6.5717591585703183E-3</v>
      </c>
      <c r="BL80" s="9"/>
      <c r="BN80">
        <f t="shared" si="10"/>
        <v>0</v>
      </c>
      <c r="BO80">
        <f t="shared" si="11"/>
        <v>0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1.8009468854103092E-3</v>
      </c>
      <c r="BX80" s="12">
        <f t="shared" si="18"/>
        <v>1.6725611999391301E-3</v>
      </c>
      <c r="BY80" s="12">
        <f t="shared" si="19"/>
        <v>8.3727060439806288E-3</v>
      </c>
    </row>
    <row r="81" spans="1:77" x14ac:dyDescent="0.3">
      <c r="A81" s="1">
        <v>46140</v>
      </c>
      <c r="B81" s="8">
        <v>46.25</v>
      </c>
      <c r="C81" s="8">
        <v>116.87</v>
      </c>
      <c r="D81" s="9">
        <v>1.2981395159202701E-3</v>
      </c>
      <c r="E81" s="9">
        <v>1.7127691093001599E-3</v>
      </c>
      <c r="F81" s="8">
        <v>0</v>
      </c>
      <c r="G81" s="8">
        <v>0.30990000000000001</v>
      </c>
      <c r="H81" s="8">
        <v>0</v>
      </c>
      <c r="I81" s="8">
        <v>0.62160000000000004</v>
      </c>
      <c r="J81" s="8">
        <v>0.30990000000000001</v>
      </c>
      <c r="K81" s="8">
        <v>0.62160000000000004</v>
      </c>
      <c r="L81" s="8">
        <v>46.559899999999999</v>
      </c>
      <c r="M81" s="8">
        <v>117.49160000000001</v>
      </c>
      <c r="N81" s="10">
        <v>2.5269189189189101</v>
      </c>
      <c r="O81" s="10">
        <v>2.5326711528669299</v>
      </c>
      <c r="P81" s="10">
        <v>2.52765437586095</v>
      </c>
      <c r="Q81" s="10">
        <v>2.5285438319662599</v>
      </c>
      <c r="R81" s="8">
        <v>117.136040820095</v>
      </c>
      <c r="S81" s="8">
        <v>116.90243020528099</v>
      </c>
      <c r="T81" s="8">
        <v>116.95390887042601</v>
      </c>
      <c r="U81" s="9">
        <v>2.2737954437908399E-3</v>
      </c>
      <c r="V81" s="9">
        <v>2.7745107035506098E-4</v>
      </c>
      <c r="W81" s="9">
        <v>7.1770995903040703E-4</v>
      </c>
      <c r="X81" s="10">
        <v>2.5234504369639899</v>
      </c>
      <c r="Y81" s="10">
        <v>2.53031067016226</v>
      </c>
      <c r="Z81" s="10">
        <v>2.5241527754276198</v>
      </c>
      <c r="AA81" s="10">
        <v>2.5250578220716902</v>
      </c>
      <c r="AB81" s="8">
        <v>117.81101177168701</v>
      </c>
      <c r="AC81" s="8">
        <v>117.522792028152</v>
      </c>
      <c r="AD81" s="8">
        <v>117.575138274558</v>
      </c>
      <c r="AE81" s="9">
        <v>2.7149037188627101E-3</v>
      </c>
      <c r="AF81" s="9">
        <v>2.6544781420493398E-4</v>
      </c>
      <c r="AG81" s="9">
        <v>7.1076221747374895E-4</v>
      </c>
      <c r="AZ81" s="9"/>
      <c r="BB81">
        <f t="shared" si="2"/>
        <v>0</v>
      </c>
      <c r="BC81">
        <f t="shared" si="3"/>
        <v>1</v>
      </c>
      <c r="BD81">
        <f t="shared" si="4"/>
        <v>0</v>
      </c>
      <c r="BE81">
        <f t="shared" si="0"/>
        <v>1</v>
      </c>
      <c r="BF81">
        <f t="shared" si="5"/>
        <v>0</v>
      </c>
      <c r="BG81" s="9">
        <f t="shared" si="6"/>
        <v>0</v>
      </c>
      <c r="BH81" s="9">
        <f t="shared" si="7"/>
        <v>0</v>
      </c>
      <c r="BI81" s="9">
        <f t="shared" si="8"/>
        <v>0</v>
      </c>
      <c r="BJ81" s="12">
        <f t="shared" si="9"/>
        <v>6.5717591585703183E-3</v>
      </c>
      <c r="BL81" s="9"/>
      <c r="BN81">
        <f t="shared" si="10"/>
        <v>0</v>
      </c>
      <c r="BO81">
        <f t="shared" si="11"/>
        <v>0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1.8009468854103092E-3</v>
      </c>
      <c r="BX81" s="12">
        <f t="shared" si="18"/>
        <v>0</v>
      </c>
      <c r="BY81" s="12">
        <f t="shared" si="19"/>
        <v>8.3727060439806288E-3</v>
      </c>
    </row>
    <row r="82" spans="1:77" x14ac:dyDescent="0.3">
      <c r="A82" s="1">
        <v>46141</v>
      </c>
      <c r="B82" s="8">
        <v>45.68</v>
      </c>
      <c r="C82" s="8">
        <v>115.53</v>
      </c>
      <c r="D82" s="9">
        <v>-1.2400898610679299E-2</v>
      </c>
      <c r="E82" s="9">
        <v>-1.15319694501384E-2</v>
      </c>
      <c r="F82" s="8">
        <v>0</v>
      </c>
      <c r="G82" s="8">
        <v>0.30990000000000001</v>
      </c>
      <c r="H82" s="8">
        <v>0</v>
      </c>
      <c r="I82" s="8">
        <v>0.62160000000000004</v>
      </c>
      <c r="J82" s="8">
        <v>0.30990000000000001</v>
      </c>
      <c r="K82" s="8">
        <v>0.62160000000000004</v>
      </c>
      <c r="L82" s="8">
        <v>45.989899999999999</v>
      </c>
      <c r="M82" s="8">
        <v>116.1516</v>
      </c>
      <c r="N82" s="10">
        <v>2.5291155866900099</v>
      </c>
      <c r="O82" s="10">
        <v>2.5326711528669299</v>
      </c>
      <c r="P82" s="10">
        <v>2.5278279945038702</v>
      </c>
      <c r="Q82" s="10">
        <v>2.5284905679362</v>
      </c>
      <c r="R82" s="8">
        <v>115.692418262961</v>
      </c>
      <c r="S82" s="8">
        <v>115.46325188932801</v>
      </c>
      <c r="T82" s="8">
        <v>115.503882244219</v>
      </c>
      <c r="U82" s="9">
        <v>1.4048662832498299E-3</v>
      </c>
      <c r="V82" s="9">
        <v>-5.77922618808698E-4</v>
      </c>
      <c r="W82" s="9">
        <v>-2.2609459390447701E-4</v>
      </c>
      <c r="X82" s="10">
        <v>2.5255893141754999</v>
      </c>
      <c r="Y82" s="10">
        <v>2.53031067016226</v>
      </c>
      <c r="Z82" s="10">
        <v>2.5243226449218801</v>
      </c>
      <c r="AA82" s="10">
        <v>2.5250041138991399</v>
      </c>
      <c r="AB82" s="8">
        <v>116.368734689695</v>
      </c>
      <c r="AC82" s="8">
        <v>116.085533726638</v>
      </c>
      <c r="AD82" s="8">
        <v>116.127156731295</v>
      </c>
      <c r="AE82" s="9">
        <v>1.86766248295525E-3</v>
      </c>
      <c r="AF82" s="9">
        <v>-5.6895530945589104E-4</v>
      </c>
      <c r="AG82" s="9">
        <v>-2.1046495287797601E-4</v>
      </c>
      <c r="AZ82" s="9"/>
      <c r="BB82">
        <f t="shared" si="2"/>
        <v>0</v>
      </c>
      <c r="BC82">
        <f t="shared" si="3"/>
        <v>0</v>
      </c>
      <c r="BD82">
        <f t="shared" si="4"/>
        <v>0</v>
      </c>
      <c r="BE82">
        <f t="shared" si="0"/>
        <v>1</v>
      </c>
      <c r="BF82">
        <f t="shared" si="5"/>
        <v>0</v>
      </c>
      <c r="BG82" s="9">
        <f t="shared" si="6"/>
        <v>0</v>
      </c>
      <c r="BH82" s="9">
        <f t="shared" si="7"/>
        <v>0</v>
      </c>
      <c r="BI82" s="9">
        <f t="shared" si="8"/>
        <v>0</v>
      </c>
      <c r="BJ82" s="12">
        <f t="shared" si="9"/>
        <v>6.5717591585703183E-3</v>
      </c>
      <c r="BL82" s="9"/>
      <c r="BN82">
        <f t="shared" si="10"/>
        <v>0</v>
      </c>
      <c r="BO82">
        <f t="shared" si="11"/>
        <v>1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1.8009468854103092E-3</v>
      </c>
      <c r="BX82" s="12">
        <f t="shared" si="18"/>
        <v>0</v>
      </c>
      <c r="BY82" s="12">
        <f t="shared" si="19"/>
        <v>8.3727060439806288E-3</v>
      </c>
    </row>
    <row r="83" spans="1:77" x14ac:dyDescent="0.3">
      <c r="A83" s="1">
        <v>46142</v>
      </c>
      <c r="B83" s="8">
        <v>46.85</v>
      </c>
      <c r="C83" s="8">
        <v>118.3</v>
      </c>
      <c r="D83" s="9">
        <v>2.5290443336676401E-2</v>
      </c>
      <c r="E83" s="9">
        <v>2.3693534489413699E-2</v>
      </c>
      <c r="F83" s="8">
        <v>0</v>
      </c>
      <c r="G83" s="8">
        <v>0.30990000000000001</v>
      </c>
      <c r="H83" s="8">
        <v>0</v>
      </c>
      <c r="I83" s="8">
        <v>0.62160000000000004</v>
      </c>
      <c r="J83" s="8">
        <v>0.30990000000000001</v>
      </c>
      <c r="K83" s="8">
        <v>0.62160000000000004</v>
      </c>
      <c r="L83" s="8">
        <v>47.1599</v>
      </c>
      <c r="M83" s="8">
        <v>118.9216</v>
      </c>
      <c r="N83" s="10">
        <v>2.5250800426894302</v>
      </c>
      <c r="O83" s="10">
        <v>2.5326711528669299</v>
      </c>
      <c r="P83" s="10">
        <v>2.5279088143067998</v>
      </c>
      <c r="Q83" s="10">
        <v>2.5282969448266899</v>
      </c>
      <c r="R83" s="8">
        <v>118.655643511815</v>
      </c>
      <c r="S83" s="8">
        <v>118.428741542506</v>
      </c>
      <c r="T83" s="8">
        <v>118.45978310781101</v>
      </c>
      <c r="U83" s="9">
        <v>3.0017751305123101E-3</v>
      </c>
      <c r="V83" s="9">
        <v>1.08767152108268E-3</v>
      </c>
      <c r="W83" s="9">
        <v>1.3497489309353299E-3</v>
      </c>
      <c r="X83" s="10">
        <v>2.5216677728324202</v>
      </c>
      <c r="Y83" s="10">
        <v>2.53031067016226</v>
      </c>
      <c r="Z83" s="10">
        <v>2.5244065844793599</v>
      </c>
      <c r="AA83" s="10">
        <v>2.5248145032451998</v>
      </c>
      <c r="AB83" s="8">
        <v>119.329198173785</v>
      </c>
      <c r="AC83" s="8">
        <v>119.046803502251</v>
      </c>
      <c r="AD83" s="8">
        <v>119.078941511072</v>
      </c>
      <c r="AE83" s="9">
        <v>3.4215924946768899E-3</v>
      </c>
      <c r="AF83" s="9">
        <v>1.0522700657869799E-3</v>
      </c>
      <c r="AG83" s="9">
        <v>1.3221947563261799E-3</v>
      </c>
      <c r="AZ83" s="9"/>
      <c r="BB83">
        <f t="shared" si="2"/>
        <v>0</v>
      </c>
      <c r="BC83">
        <f t="shared" si="3"/>
        <v>1</v>
      </c>
      <c r="BD83">
        <f t="shared" si="4"/>
        <v>0</v>
      </c>
      <c r="BE83">
        <f t="shared" si="0"/>
        <v>1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6.5717591585703183E-3</v>
      </c>
      <c r="BL83" s="9"/>
      <c r="BN83">
        <f t="shared" si="10"/>
        <v>0</v>
      </c>
      <c r="BO83">
        <f t="shared" si="11"/>
        <v>0</v>
      </c>
      <c r="BP83">
        <f t="shared" si="12"/>
        <v>0</v>
      </c>
      <c r="BQ83">
        <f t="shared" si="1"/>
        <v>1</v>
      </c>
      <c r="BR83">
        <f t="shared" si="13"/>
        <v>0</v>
      </c>
      <c r="BS83" s="9">
        <f t="shared" si="14"/>
        <v>0</v>
      </c>
      <c r="BT83" s="9">
        <f t="shared" si="15"/>
        <v>0</v>
      </c>
      <c r="BU83" s="9">
        <f t="shared" si="16"/>
        <v>0</v>
      </c>
      <c r="BV83" s="12">
        <f t="shared" si="17"/>
        <v>1.8009468854103092E-3</v>
      </c>
      <c r="BX83" s="12">
        <f t="shared" si="18"/>
        <v>0</v>
      </c>
      <c r="BY83" s="12">
        <f t="shared" si="19"/>
        <v>8.3727060439806288E-3</v>
      </c>
    </row>
    <row r="84" spans="1:77" x14ac:dyDescent="0.3">
      <c r="A84" s="1">
        <v>46143</v>
      </c>
      <c r="B84" s="8">
        <v>46.55</v>
      </c>
      <c r="C84" s="8">
        <v>117.41</v>
      </c>
      <c r="D84" s="9">
        <v>-6.4240049613552104E-3</v>
      </c>
      <c r="E84" s="9">
        <v>-7.5516883422206502E-3</v>
      </c>
      <c r="F84" s="8">
        <v>0</v>
      </c>
      <c r="G84" s="8">
        <v>0.30990000000000001</v>
      </c>
      <c r="H84" s="8">
        <v>0</v>
      </c>
      <c r="I84" s="8">
        <v>0.62160000000000004</v>
      </c>
      <c r="J84" s="8">
        <v>0.30990000000000001</v>
      </c>
      <c r="K84" s="8">
        <v>0.62160000000000004</v>
      </c>
      <c r="L84" s="8">
        <v>46.859899999999897</v>
      </c>
      <c r="M84" s="8">
        <v>118.0316</v>
      </c>
      <c r="N84" s="10">
        <v>2.5222341568206201</v>
      </c>
      <c r="O84" s="10">
        <v>2.5326711528669299</v>
      </c>
      <c r="P84" s="10">
        <v>2.5275975679438001</v>
      </c>
      <c r="Q84" s="10">
        <v>2.5276499129180401</v>
      </c>
      <c r="R84" s="8">
        <v>117.895842165955</v>
      </c>
      <c r="S84" s="8">
        <v>117.674155305981</v>
      </c>
      <c r="T84" s="8">
        <v>117.69222278168201</v>
      </c>
      <c r="U84" s="9">
        <v>4.1294585113777101E-3</v>
      </c>
      <c r="V84" s="9">
        <v>2.2473264249871202E-3</v>
      </c>
      <c r="W84" s="9">
        <v>2.4008528197355002E-3</v>
      </c>
      <c r="X84" s="10">
        <v>2.5188188621827998</v>
      </c>
      <c r="Y84" s="10">
        <v>2.53031067016226</v>
      </c>
      <c r="Z84" s="10">
        <v>2.5241002800624099</v>
      </c>
      <c r="AA84" s="10">
        <v>2.5241725383524001</v>
      </c>
      <c r="AB84" s="8">
        <v>118.570104972736</v>
      </c>
      <c r="AC84" s="8">
        <v>118.293440108044</v>
      </c>
      <c r="AD84" s="8">
        <v>118.31255514062001</v>
      </c>
      <c r="AE84" s="9">
        <v>4.5520035677667596E-3</v>
      </c>
      <c r="AF84" s="9">
        <v>2.2159328953806198E-3</v>
      </c>
      <c r="AG84" s="9">
        <v>2.3775098038337798E-3</v>
      </c>
      <c r="AZ84" s="9"/>
      <c r="BB84">
        <f t="shared" si="2"/>
        <v>0</v>
      </c>
      <c r="BC84">
        <f t="shared" si="3"/>
        <v>1</v>
      </c>
      <c r="BD84">
        <f t="shared" si="4"/>
        <v>0</v>
      </c>
      <c r="BE84">
        <f t="shared" si="0"/>
        <v>1</v>
      </c>
      <c r="BF84">
        <f t="shared" si="5"/>
        <v>0</v>
      </c>
      <c r="BG84" s="9">
        <f t="shared" si="6"/>
        <v>0</v>
      </c>
      <c r="BH84" s="9">
        <f t="shared" si="7"/>
        <v>0</v>
      </c>
      <c r="BI84" s="9">
        <f t="shared" si="8"/>
        <v>0</v>
      </c>
      <c r="BJ84" s="12">
        <f t="shared" si="9"/>
        <v>6.5717591585703183E-3</v>
      </c>
      <c r="BL84" s="9"/>
      <c r="BN84">
        <f t="shared" si="10"/>
        <v>1</v>
      </c>
      <c r="BO84">
        <f t="shared" si="11"/>
        <v>0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1.8009468854103092E-3</v>
      </c>
      <c r="BX84" s="12">
        <f t="shared" si="18"/>
        <v>0</v>
      </c>
      <c r="BY84" s="12">
        <f t="shared" si="19"/>
        <v>8.3727060439806288E-3</v>
      </c>
    </row>
    <row r="85" spans="1:77" x14ac:dyDescent="0.3">
      <c r="A85" s="1">
        <v>46146</v>
      </c>
      <c r="B85" s="8">
        <v>46.37</v>
      </c>
      <c r="C85" s="8">
        <v>117.1</v>
      </c>
      <c r="D85" s="9">
        <v>-3.8743053197066498E-3</v>
      </c>
      <c r="E85" s="9">
        <v>-2.6438120384488098E-3</v>
      </c>
      <c r="F85" s="8">
        <v>0</v>
      </c>
      <c r="G85" s="8">
        <v>0.30990000000000001</v>
      </c>
      <c r="H85" s="8">
        <v>0</v>
      </c>
      <c r="I85" s="8">
        <v>0.62160000000000004</v>
      </c>
      <c r="J85" s="8">
        <v>0.30990000000000001</v>
      </c>
      <c r="K85" s="8">
        <v>0.62160000000000004</v>
      </c>
      <c r="L85" s="8">
        <v>46.679899999999897</v>
      </c>
      <c r="M85" s="8">
        <v>117.7216</v>
      </c>
      <c r="N85" s="10">
        <v>2.5253396592624502</v>
      </c>
      <c r="O85" s="10">
        <v>2.5326711528669299</v>
      </c>
      <c r="P85" s="10">
        <v>2.52741022239463</v>
      </c>
      <c r="Q85" s="10">
        <v>2.5272978792036702</v>
      </c>
      <c r="R85" s="8">
        <v>117.43996135843901</v>
      </c>
      <c r="S85" s="8">
        <v>117.20469922555399</v>
      </c>
      <c r="T85" s="8">
        <v>117.207126462009</v>
      </c>
      <c r="U85" s="9">
        <v>2.8989652301198801E-3</v>
      </c>
      <c r="V85" s="9">
        <v>8.9370151660519504E-4</v>
      </c>
      <c r="W85" s="9">
        <v>9.1441068047636096E-4</v>
      </c>
      <c r="X85" s="10">
        <v>2.5218905781717602</v>
      </c>
      <c r="Y85" s="10">
        <v>2.53031067016226</v>
      </c>
      <c r="Z85" s="10">
        <v>2.52391883772653</v>
      </c>
      <c r="AA85" s="10">
        <v>2.5238235938455902</v>
      </c>
      <c r="AB85" s="8">
        <v>118.114649052107</v>
      </c>
      <c r="AC85" s="8">
        <v>117.82474866328501</v>
      </c>
      <c r="AD85" s="8">
        <v>117.82812167303599</v>
      </c>
      <c r="AE85" s="9">
        <v>3.3332400561908201E-3</v>
      </c>
      <c r="AF85" s="9">
        <v>8.7582482568382002E-4</v>
      </c>
      <c r="AG85" s="9">
        <v>9.0445176110690495E-4</v>
      </c>
      <c r="AZ85" s="9"/>
      <c r="BB85">
        <f t="shared" si="2"/>
        <v>0</v>
      </c>
      <c r="BC85">
        <f t="shared" si="3"/>
        <v>1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6.5717591585703183E-3</v>
      </c>
      <c r="BL85" s="9"/>
      <c r="BN85">
        <f t="shared" si="10"/>
        <v>0</v>
      </c>
      <c r="BO85">
        <f t="shared" si="11"/>
        <v>0</v>
      </c>
      <c r="BP85">
        <f t="shared" si="12"/>
        <v>1</v>
      </c>
      <c r="BQ85">
        <f t="shared" si="1"/>
        <v>1</v>
      </c>
      <c r="BR85">
        <f t="shared" si="13"/>
        <v>1</v>
      </c>
      <c r="BS85" s="9">
        <f t="shared" si="14"/>
        <v>3.8743053197066498E-3</v>
      </c>
      <c r="BT85" s="9">
        <f t="shared" si="15"/>
        <v>-2.6438120384488098E-3</v>
      </c>
      <c r="BU85" s="9">
        <f t="shared" si="16"/>
        <v>1.23049328125784E-3</v>
      </c>
      <c r="BV85" s="12">
        <f t="shared" si="17"/>
        <v>3.0314401666681492E-3</v>
      </c>
      <c r="BX85" s="12">
        <f t="shared" si="18"/>
        <v>1.23049328125784E-3</v>
      </c>
      <c r="BY85" s="12">
        <f t="shared" si="19"/>
        <v>9.6031993252384679E-3</v>
      </c>
    </row>
    <row r="86" spans="1:77" x14ac:dyDescent="0.3">
      <c r="A86" s="1">
        <v>46147</v>
      </c>
      <c r="B86" s="8">
        <v>46.37</v>
      </c>
      <c r="C86" s="8">
        <v>116.96</v>
      </c>
      <c r="D86" s="9">
        <v>0</v>
      </c>
      <c r="E86" s="9">
        <v>-1.1962746022032499E-3</v>
      </c>
      <c r="F86" s="8">
        <v>0</v>
      </c>
      <c r="G86" s="8">
        <v>0.30990000000000001</v>
      </c>
      <c r="H86" s="8">
        <v>0</v>
      </c>
      <c r="I86" s="8">
        <v>0.62160000000000004</v>
      </c>
      <c r="J86" s="8">
        <v>0.30990000000000001</v>
      </c>
      <c r="K86" s="8">
        <v>0.62160000000000004</v>
      </c>
      <c r="L86" s="8">
        <v>46.679899999999897</v>
      </c>
      <c r="M86" s="8">
        <v>117.58159999999999</v>
      </c>
      <c r="N86" s="10">
        <v>2.5223204658184102</v>
      </c>
      <c r="O86" s="10">
        <v>2.5326711528669299</v>
      </c>
      <c r="P86" s="10">
        <v>2.5269837595215301</v>
      </c>
      <c r="Q86" s="10">
        <v>2.52669032350172</v>
      </c>
      <c r="R86" s="8">
        <v>117.43996135843901</v>
      </c>
      <c r="S86" s="8">
        <v>117.196012012439</v>
      </c>
      <c r="T86" s="8">
        <v>117.190802658674</v>
      </c>
      <c r="U86" s="9">
        <v>4.0952398323231996E-3</v>
      </c>
      <c r="V86" s="9">
        <v>2.01585336488997E-3</v>
      </c>
      <c r="W86" s="9">
        <v>1.9714024534915799E-3</v>
      </c>
      <c r="X86" s="10">
        <v>2.5188914286448698</v>
      </c>
      <c r="Y86" s="10">
        <v>2.53031067016226</v>
      </c>
      <c r="Z86" s="10">
        <v>2.5235060532778801</v>
      </c>
      <c r="AA86" s="10">
        <v>2.5232204483441398</v>
      </c>
      <c r="AB86" s="8">
        <v>118.114649052107</v>
      </c>
      <c r="AC86" s="8">
        <v>117.81627895318999</v>
      </c>
      <c r="AD86" s="8">
        <v>117.811832978353</v>
      </c>
      <c r="AE86" s="9">
        <v>4.5231942643776E-3</v>
      </c>
      <c r="AF86" s="9">
        <v>1.99389248521476E-3</v>
      </c>
      <c r="AG86" s="9">
        <v>1.95615526615524E-3</v>
      </c>
      <c r="AZ86" s="9"/>
      <c r="BB86">
        <f t="shared" si="2"/>
        <v>0</v>
      </c>
      <c r="BC86">
        <f t="shared" si="3"/>
        <v>1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6.5717591585703183E-3</v>
      </c>
      <c r="BL86" s="9"/>
      <c r="BN86">
        <f t="shared" si="10"/>
        <v>0</v>
      </c>
      <c r="BO86">
        <f t="shared" si="11"/>
        <v>0</v>
      </c>
      <c r="BP86">
        <f t="shared" si="12"/>
        <v>1</v>
      </c>
      <c r="BQ86">
        <f t="shared" ref="BQ86:BQ149" si="21">IF(F87+H87&gt;0,0,1)</f>
        <v>1</v>
      </c>
      <c r="BR86">
        <f t="shared" si="13"/>
        <v>1</v>
      </c>
      <c r="BS86" s="9">
        <f t="shared" si="14"/>
        <v>0</v>
      </c>
      <c r="BT86" s="9">
        <f t="shared" si="15"/>
        <v>-1.1962746022032499E-3</v>
      </c>
      <c r="BU86" s="9">
        <f t="shared" si="16"/>
        <v>-1.1962746022032499E-3</v>
      </c>
      <c r="BV86" s="12">
        <f t="shared" si="17"/>
        <v>1.8351655644648992E-3</v>
      </c>
      <c r="BX86" s="12">
        <f t="shared" si="18"/>
        <v>-1.1962746022032499E-3</v>
      </c>
      <c r="BY86" s="12">
        <f t="shared" si="19"/>
        <v>8.4069247230352181E-3</v>
      </c>
    </row>
    <row r="87" spans="1:77" x14ac:dyDescent="0.3">
      <c r="A87" s="1">
        <v>46148</v>
      </c>
      <c r="B87" s="8">
        <v>45.71</v>
      </c>
      <c r="C87" s="8">
        <v>115.28</v>
      </c>
      <c r="D87" s="9">
        <v>-1.43356060597163E-2</v>
      </c>
      <c r="E87" s="9">
        <v>-1.44680443102017E-2</v>
      </c>
      <c r="F87" s="8">
        <v>0</v>
      </c>
      <c r="G87" s="8">
        <v>0.30990000000000001</v>
      </c>
      <c r="H87" s="8">
        <v>0</v>
      </c>
      <c r="I87" s="8">
        <v>0.62160000000000004</v>
      </c>
      <c r="J87" s="8">
        <v>0.30990000000000001</v>
      </c>
      <c r="K87" s="8">
        <v>0.62160000000000004</v>
      </c>
      <c r="L87" s="8">
        <v>46.0199</v>
      </c>
      <c r="M87" s="8">
        <v>115.9016</v>
      </c>
      <c r="N87" s="10">
        <v>2.5219864362283899</v>
      </c>
      <c r="O87" s="10">
        <v>2.5326711528669299</v>
      </c>
      <c r="P87" s="10">
        <v>2.5261402814595</v>
      </c>
      <c r="Q87" s="10">
        <v>2.52638947429989</v>
      </c>
      <c r="R87" s="8">
        <v>115.768398397547</v>
      </c>
      <c r="S87" s="8">
        <v>115.50842764772899</v>
      </c>
      <c r="T87" s="8">
        <v>115.49501468726299</v>
      </c>
      <c r="U87" s="9">
        <v>4.22767808280865E-3</v>
      </c>
      <c r="V87" s="9">
        <v>1.9795422556511499E-3</v>
      </c>
      <c r="W87" s="9">
        <v>1.8634144582060201E-3</v>
      </c>
      <c r="X87" s="10">
        <v>2.51851047047038</v>
      </c>
      <c r="Y87" s="10">
        <v>2.53031067016226</v>
      </c>
      <c r="Z87" s="10">
        <v>2.5226748234717098</v>
      </c>
      <c r="AA87" s="10">
        <v>2.5229176299089802</v>
      </c>
      <c r="AB87" s="8">
        <v>116.4446440098</v>
      </c>
      <c r="AC87" s="8">
        <v>116.131496221242</v>
      </c>
      <c r="AD87" s="8">
        <v>116.11835271075201</v>
      </c>
      <c r="AE87" s="9">
        <v>4.67444611318742E-3</v>
      </c>
      <c r="AF87" s="9">
        <v>1.9815819399379301E-3</v>
      </c>
      <c r="AG87" s="9">
        <v>1.8683977069693101E-3</v>
      </c>
      <c r="AZ87" s="9"/>
      <c r="BB87">
        <f t="shared" ref="BB87:BB150" si="22">IF($AG87&lt;BA$20,1,0)</f>
        <v>0</v>
      </c>
      <c r="BC87">
        <f t="shared" ref="BC87:BC150" si="23">IF($AG87&gt;BA$21,1,0)</f>
        <v>1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6.5717591585703183E-3</v>
      </c>
      <c r="BL87" s="9"/>
      <c r="BN87">
        <f t="shared" ref="BN87:BN150" si="30">IF($AG87&gt;BM$20,1,0)</f>
        <v>0</v>
      </c>
      <c r="BO87">
        <f t="shared" ref="BO87:BO150" si="31">IF($AG87&lt;BM$21,1,0)</f>
        <v>0</v>
      </c>
      <c r="BP87">
        <f t="shared" ref="BP87:BP150" si="32">BR87</f>
        <v>1</v>
      </c>
      <c r="BQ87">
        <f t="shared" si="21"/>
        <v>1</v>
      </c>
      <c r="BR87">
        <f t="shared" ref="BR87:BR150" si="33">IF(BN86,1,IF(BO86,0,BP86))*BQ86</f>
        <v>1</v>
      </c>
      <c r="BS87" s="9">
        <f t="shared" ref="BS87:BS150" si="34">-BR87*D87</f>
        <v>1.43356060597163E-2</v>
      </c>
      <c r="BT87" s="9">
        <f t="shared" ref="BT87:BT150" si="35">BR87*$E87</f>
        <v>-1.44680443102017E-2</v>
      </c>
      <c r="BU87" s="9">
        <f t="shared" ref="BU87:BU150" si="36">BS87+BT87</f>
        <v>-1.3243825048540013E-4</v>
      </c>
      <c r="BV87" s="12">
        <f t="shared" ref="BV87:BV150" si="37">BV86+BU87</f>
        <v>1.7027273139794991E-3</v>
      </c>
      <c r="BX87" s="12">
        <f t="shared" ref="BX87:BX150" si="38">BI87+BU87</f>
        <v>-1.3243825048540013E-4</v>
      </c>
      <c r="BY87" s="12">
        <f t="shared" ref="BY87:BY150" si="39">BY86+BX87</f>
        <v>8.274486472549818E-3</v>
      </c>
    </row>
    <row r="88" spans="1:77" x14ac:dyDescent="0.3">
      <c r="A88" s="1">
        <v>46149</v>
      </c>
      <c r="B88" s="8">
        <v>45.12</v>
      </c>
      <c r="C88" s="8">
        <v>113.92</v>
      </c>
      <c r="D88" s="9">
        <v>-1.29914851538496E-2</v>
      </c>
      <c r="E88" s="9">
        <v>-1.18675040276009E-2</v>
      </c>
      <c r="F88" s="8">
        <v>0</v>
      </c>
      <c r="G88" s="8">
        <v>0.30990000000000001</v>
      </c>
      <c r="H88" s="8">
        <v>0</v>
      </c>
      <c r="I88" s="8">
        <v>0.62160000000000004</v>
      </c>
      <c r="J88" s="8">
        <v>0.30990000000000001</v>
      </c>
      <c r="K88" s="8">
        <v>0.62160000000000004</v>
      </c>
      <c r="L88" s="8">
        <v>45.429899999999897</v>
      </c>
      <c r="M88" s="8">
        <v>114.5416</v>
      </c>
      <c r="N88" s="10">
        <v>2.5248226950354602</v>
      </c>
      <c r="O88" s="10">
        <v>2.5326711528669299</v>
      </c>
      <c r="P88" s="10">
        <v>2.5253788972420601</v>
      </c>
      <c r="Q88" s="10">
        <v>2.5262997500908999</v>
      </c>
      <c r="R88" s="8">
        <v>114.274122417356</v>
      </c>
      <c r="S88" s="8">
        <v>113.979449499452</v>
      </c>
      <c r="T88" s="8">
        <v>113.99069308041101</v>
      </c>
      <c r="U88" s="9">
        <v>3.1036969565599098E-3</v>
      </c>
      <c r="V88" s="9">
        <v>5.2171693202275702E-4</v>
      </c>
      <c r="W88" s="9">
        <v>6.2035775261661203E-4</v>
      </c>
      <c r="X88" s="10">
        <v>2.5212822392301102</v>
      </c>
      <c r="Y88" s="10">
        <v>2.53031067016226</v>
      </c>
      <c r="Z88" s="10">
        <v>2.5219111230586799</v>
      </c>
      <c r="AA88" s="10">
        <v>2.5228209197870002</v>
      </c>
      <c r="AB88" s="8">
        <v>114.951760714404</v>
      </c>
      <c r="AC88" s="8">
        <v>114.604864962837</v>
      </c>
      <c r="AD88" s="8">
        <v>114.615895635002</v>
      </c>
      <c r="AE88" s="9">
        <v>3.57449252428083E-3</v>
      </c>
      <c r="AF88" s="9">
        <v>5.5217927499341104E-4</v>
      </c>
      <c r="AG88" s="9">
        <v>6.4842424114793505E-4</v>
      </c>
      <c r="AZ88" s="9"/>
      <c r="BB88">
        <f t="shared" si="22"/>
        <v>0</v>
      </c>
      <c r="BC88">
        <f t="shared" si="23"/>
        <v>1</v>
      </c>
      <c r="BD88">
        <f t="shared" si="24"/>
        <v>0</v>
      </c>
      <c r="BE88">
        <f t="shared" si="20"/>
        <v>1</v>
      </c>
      <c r="BF88">
        <f t="shared" si="25"/>
        <v>0</v>
      </c>
      <c r="BG88" s="9">
        <f t="shared" si="26"/>
        <v>0</v>
      </c>
      <c r="BH88" s="9">
        <f t="shared" si="27"/>
        <v>0</v>
      </c>
      <c r="BI88" s="9">
        <f t="shared" si="28"/>
        <v>0</v>
      </c>
      <c r="BJ88" s="12">
        <f t="shared" si="29"/>
        <v>6.5717591585703183E-3</v>
      </c>
      <c r="BL88" s="9"/>
      <c r="BN88">
        <f t="shared" si="30"/>
        <v>0</v>
      </c>
      <c r="BO88">
        <f t="shared" si="31"/>
        <v>0</v>
      </c>
      <c r="BP88">
        <f t="shared" si="32"/>
        <v>1</v>
      </c>
      <c r="BQ88">
        <f t="shared" si="21"/>
        <v>1</v>
      </c>
      <c r="BR88">
        <f t="shared" si="33"/>
        <v>1</v>
      </c>
      <c r="BS88" s="9">
        <f t="shared" si="34"/>
        <v>1.29914851538496E-2</v>
      </c>
      <c r="BT88" s="9">
        <f t="shared" si="35"/>
        <v>-1.18675040276009E-2</v>
      </c>
      <c r="BU88" s="9">
        <f t="shared" si="36"/>
        <v>1.1239811262487003E-3</v>
      </c>
      <c r="BV88" s="12">
        <f t="shared" si="37"/>
        <v>2.8267084402281992E-3</v>
      </c>
      <c r="BX88" s="12">
        <f t="shared" si="38"/>
        <v>1.1239811262487003E-3</v>
      </c>
      <c r="BY88" s="12">
        <f t="shared" si="39"/>
        <v>9.3984675987985183E-3</v>
      </c>
    </row>
    <row r="89" spans="1:77" x14ac:dyDescent="0.3">
      <c r="A89" s="1">
        <v>46150</v>
      </c>
      <c r="B89" s="8">
        <v>44.72</v>
      </c>
      <c r="C89" s="8">
        <v>112.84</v>
      </c>
      <c r="D89" s="9">
        <v>-8.90477834295972E-3</v>
      </c>
      <c r="E89" s="9">
        <v>-9.5255615298701097E-3</v>
      </c>
      <c r="F89" s="8">
        <v>0</v>
      </c>
      <c r="G89" s="8">
        <v>0.30990000000000001</v>
      </c>
      <c r="H89" s="8">
        <v>0</v>
      </c>
      <c r="I89" s="8">
        <v>0.62160000000000004</v>
      </c>
      <c r="J89" s="8">
        <v>0.30990000000000001</v>
      </c>
      <c r="K89" s="8">
        <v>0.62160000000000004</v>
      </c>
      <c r="L89" s="8">
        <v>45.029899999999998</v>
      </c>
      <c r="M89" s="8">
        <v>113.4616</v>
      </c>
      <c r="N89" s="10">
        <v>2.52325581395348</v>
      </c>
      <c r="O89" s="10">
        <v>2.5326711528669299</v>
      </c>
      <c r="P89" s="10">
        <v>2.5246945176153299</v>
      </c>
      <c r="Q89" s="10">
        <v>2.5262487418107198</v>
      </c>
      <c r="R89" s="8">
        <v>113.261053956209</v>
      </c>
      <c r="S89" s="8">
        <v>112.93494428466499</v>
      </c>
      <c r="T89" s="8">
        <v>112.976124824065</v>
      </c>
      <c r="U89" s="9">
        <v>3.7244801434702201E-3</v>
      </c>
      <c r="V89" s="9">
        <v>8.4105249643933204E-4</v>
      </c>
      <c r="W89" s="9">
        <v>1.20562551199307E-3</v>
      </c>
      <c r="X89" s="10">
        <v>2.51969469174926</v>
      </c>
      <c r="Y89" s="10">
        <v>2.53031067016226</v>
      </c>
      <c r="Z89" s="10">
        <v>2.5212201218948902</v>
      </c>
      <c r="AA89" s="10">
        <v>2.52276180829059</v>
      </c>
      <c r="AB89" s="8">
        <v>113.93963644633899</v>
      </c>
      <c r="AC89" s="8">
        <v>113.56140568022001</v>
      </c>
      <c r="AD89" s="8">
        <v>113.602373735916</v>
      </c>
      <c r="AE89" s="9">
        <v>4.2043496155039599E-3</v>
      </c>
      <c r="AF89" s="9">
        <v>8.7925614720079195E-4</v>
      </c>
      <c r="AG89" s="9">
        <v>1.2399479462715101E-3</v>
      </c>
      <c r="AZ89" s="9"/>
      <c r="BB89">
        <f t="shared" si="22"/>
        <v>0</v>
      </c>
      <c r="BC89">
        <f t="shared" si="23"/>
        <v>1</v>
      </c>
      <c r="BD89">
        <f t="shared" si="24"/>
        <v>0</v>
      </c>
      <c r="BE89">
        <f t="shared" si="20"/>
        <v>1</v>
      </c>
      <c r="BF89">
        <f t="shared" si="25"/>
        <v>0</v>
      </c>
      <c r="BG89" s="9">
        <f t="shared" si="26"/>
        <v>0</v>
      </c>
      <c r="BH89" s="9">
        <f t="shared" si="27"/>
        <v>0</v>
      </c>
      <c r="BI89" s="9">
        <f t="shared" si="28"/>
        <v>0</v>
      </c>
      <c r="BJ89" s="12">
        <f t="shared" si="29"/>
        <v>6.5717591585703183E-3</v>
      </c>
      <c r="BL89" s="9"/>
      <c r="BN89">
        <f t="shared" si="30"/>
        <v>0</v>
      </c>
      <c r="BO89">
        <f t="shared" si="31"/>
        <v>0</v>
      </c>
      <c r="BP89">
        <f t="shared" si="32"/>
        <v>1</v>
      </c>
      <c r="BQ89">
        <f t="shared" si="21"/>
        <v>1</v>
      </c>
      <c r="BR89">
        <f t="shared" si="33"/>
        <v>1</v>
      </c>
      <c r="BS89" s="9">
        <f t="shared" si="34"/>
        <v>8.90477834295972E-3</v>
      </c>
      <c r="BT89" s="9">
        <f t="shared" si="35"/>
        <v>-9.5255615298701097E-3</v>
      </c>
      <c r="BU89" s="9">
        <f t="shared" si="36"/>
        <v>-6.2078318691038969E-4</v>
      </c>
      <c r="BV89" s="12">
        <f t="shared" si="37"/>
        <v>2.2059252533178095E-3</v>
      </c>
      <c r="BX89" s="12">
        <f t="shared" si="38"/>
        <v>-6.2078318691038969E-4</v>
      </c>
      <c r="BY89" s="12">
        <f t="shared" si="39"/>
        <v>8.7776844118881286E-3</v>
      </c>
    </row>
    <row r="90" spans="1:77" x14ac:dyDescent="0.3">
      <c r="A90" s="1">
        <v>46153</v>
      </c>
      <c r="B90" s="8">
        <v>45.14</v>
      </c>
      <c r="C90" s="8">
        <v>113.77</v>
      </c>
      <c r="D90" s="9">
        <v>9.3479425425459402E-3</v>
      </c>
      <c r="E90" s="9">
        <v>8.2079804178295801E-3</v>
      </c>
      <c r="F90" s="8">
        <v>0</v>
      </c>
      <c r="G90" s="8">
        <v>0.30990000000000001</v>
      </c>
      <c r="H90" s="8">
        <v>0</v>
      </c>
      <c r="I90" s="8">
        <v>0.62160000000000004</v>
      </c>
      <c r="J90" s="8">
        <v>0.30990000000000001</v>
      </c>
      <c r="K90" s="8">
        <v>0.62160000000000004</v>
      </c>
      <c r="L90" s="8">
        <v>45.4499</v>
      </c>
      <c r="M90" s="8">
        <v>114.3916</v>
      </c>
      <c r="N90" s="10">
        <v>2.5203810367744701</v>
      </c>
      <c r="O90" s="10">
        <v>2.5326711528669299</v>
      </c>
      <c r="P90" s="10">
        <v>2.5241454812191599</v>
      </c>
      <c r="Q90" s="10">
        <v>2.5258827968828999</v>
      </c>
      <c r="R90" s="8">
        <v>114.324775840413</v>
      </c>
      <c r="S90" s="8">
        <v>113.96471052515599</v>
      </c>
      <c r="T90" s="8">
        <v>114.034868205336</v>
      </c>
      <c r="U90" s="9">
        <v>4.8644422681865997E-3</v>
      </c>
      <c r="V90" s="9">
        <v>1.7099771233978201E-3</v>
      </c>
      <c r="W90" s="9">
        <v>2.32539652710903E-3</v>
      </c>
      <c r="X90" s="10">
        <v>2.5168724243617699</v>
      </c>
      <c r="Y90" s="10">
        <v>2.53031067016226</v>
      </c>
      <c r="Z90" s="10">
        <v>2.52066682187828</v>
      </c>
      <c r="AA90" s="10">
        <v>2.5223935960786301</v>
      </c>
      <c r="AB90" s="8">
        <v>115.002366927807</v>
      </c>
      <c r="AC90" s="8">
        <v>114.58920241811001</v>
      </c>
      <c r="AD90" s="8">
        <v>114.659271910626</v>
      </c>
      <c r="AE90" s="9">
        <v>5.3250604559723202E-3</v>
      </c>
      <c r="AF90" s="9">
        <v>1.72593042801871E-3</v>
      </c>
      <c r="AG90" s="9">
        <v>2.3372277978545202E-3</v>
      </c>
      <c r="AZ90" s="9"/>
      <c r="BB90">
        <f t="shared" si="22"/>
        <v>0</v>
      </c>
      <c r="BC90">
        <f t="shared" si="23"/>
        <v>1</v>
      </c>
      <c r="BD90">
        <f t="shared" si="24"/>
        <v>0</v>
      </c>
      <c r="BE90">
        <f t="shared" si="20"/>
        <v>1</v>
      </c>
      <c r="BF90">
        <f t="shared" si="25"/>
        <v>0</v>
      </c>
      <c r="BG90" s="9">
        <f t="shared" si="26"/>
        <v>0</v>
      </c>
      <c r="BH90" s="9">
        <f t="shared" si="27"/>
        <v>0</v>
      </c>
      <c r="BI90" s="9">
        <f t="shared" si="28"/>
        <v>0</v>
      </c>
      <c r="BJ90" s="12">
        <f t="shared" si="29"/>
        <v>6.5717591585703183E-3</v>
      </c>
      <c r="BL90" s="9"/>
      <c r="BN90">
        <f t="shared" si="30"/>
        <v>1</v>
      </c>
      <c r="BO90">
        <f t="shared" si="31"/>
        <v>0</v>
      </c>
      <c r="BP90">
        <f t="shared" si="32"/>
        <v>1</v>
      </c>
      <c r="BQ90">
        <f t="shared" si="21"/>
        <v>1</v>
      </c>
      <c r="BR90">
        <f t="shared" si="33"/>
        <v>1</v>
      </c>
      <c r="BS90" s="9">
        <f t="shared" si="34"/>
        <v>-9.3479425425459402E-3</v>
      </c>
      <c r="BT90" s="9">
        <f t="shared" si="35"/>
        <v>8.2079804178295801E-3</v>
      </c>
      <c r="BU90" s="9">
        <f t="shared" si="36"/>
        <v>-1.1399621247163601E-3</v>
      </c>
      <c r="BV90" s="12">
        <f t="shared" si="37"/>
        <v>1.0659631286014494E-3</v>
      </c>
      <c r="BX90" s="12">
        <f t="shared" si="38"/>
        <v>-1.1399621247163601E-3</v>
      </c>
      <c r="BY90" s="12">
        <f t="shared" si="39"/>
        <v>7.6377222871717686E-3</v>
      </c>
    </row>
    <row r="91" spans="1:77" x14ac:dyDescent="0.3">
      <c r="A91" s="1">
        <v>46154</v>
      </c>
      <c r="B91" s="8">
        <v>45.19</v>
      </c>
      <c r="C91" s="8">
        <v>114.1</v>
      </c>
      <c r="D91" s="9">
        <v>1.10705203379855E-3</v>
      </c>
      <c r="E91" s="9">
        <v>2.8963903164048901E-3</v>
      </c>
      <c r="F91" s="8">
        <v>0</v>
      </c>
      <c r="G91" s="8">
        <v>0.30990000000000001</v>
      </c>
      <c r="H91" s="8">
        <v>0</v>
      </c>
      <c r="I91" s="8">
        <v>0.62160000000000004</v>
      </c>
      <c r="J91" s="8">
        <v>0.30990000000000001</v>
      </c>
      <c r="K91" s="8">
        <v>0.62160000000000004</v>
      </c>
      <c r="L91" s="8">
        <v>45.499899999999997</v>
      </c>
      <c r="M91" s="8">
        <v>114.7216</v>
      </c>
      <c r="N91" s="10">
        <v>2.5248948882496101</v>
      </c>
      <c r="O91" s="10">
        <v>2.5326711528669299</v>
      </c>
      <c r="P91" s="10">
        <v>2.5239430781522301</v>
      </c>
      <c r="Q91" s="10">
        <v>2.52579872700659</v>
      </c>
      <c r="R91" s="8">
        <v>114.451409398056</v>
      </c>
      <c r="S91" s="8">
        <v>114.066134296294</v>
      </c>
      <c r="T91" s="8">
        <v>114.14464359113801</v>
      </c>
      <c r="U91" s="9">
        <v>3.0751039855806601E-3</v>
      </c>
      <c r="V91" s="9">
        <v>-2.96851275136679E-4</v>
      </c>
      <c r="W91" s="9">
        <v>3.91190706649554E-4</v>
      </c>
      <c r="X91" s="10">
        <v>2.5213593876030398</v>
      </c>
      <c r="Y91" s="10">
        <v>2.53031067016226</v>
      </c>
      <c r="Z91" s="10">
        <v>2.52045771694219</v>
      </c>
      <c r="AA91" s="10">
        <v>2.5223052461848998</v>
      </c>
      <c r="AB91" s="8">
        <v>115.128882461315</v>
      </c>
      <c r="AC91" s="8">
        <v>114.690088328779</v>
      </c>
      <c r="AD91" s="8">
        <v>114.768656382218</v>
      </c>
      <c r="AE91" s="9">
        <v>3.5438941281803402E-3</v>
      </c>
      <c r="AF91" s="9">
        <v>-2.7471722690128401E-4</v>
      </c>
      <c r="AG91" s="9">
        <v>4.1009482162344702E-4</v>
      </c>
      <c r="AZ91" s="9"/>
      <c r="BB91">
        <f t="shared" si="22"/>
        <v>0</v>
      </c>
      <c r="BC91">
        <f t="shared" si="23"/>
        <v>1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6.5717591585703183E-3</v>
      </c>
      <c r="BL91" s="9"/>
      <c r="BN91">
        <f t="shared" si="30"/>
        <v>0</v>
      </c>
      <c r="BO91">
        <f t="shared" si="31"/>
        <v>0</v>
      </c>
      <c r="BP91">
        <f t="shared" si="32"/>
        <v>1</v>
      </c>
      <c r="BQ91">
        <f t="shared" si="21"/>
        <v>1</v>
      </c>
      <c r="BR91">
        <f t="shared" si="33"/>
        <v>1</v>
      </c>
      <c r="BS91" s="9">
        <f t="shared" si="34"/>
        <v>-1.10705203379855E-3</v>
      </c>
      <c r="BT91" s="9">
        <f t="shared" si="35"/>
        <v>2.8963903164048901E-3</v>
      </c>
      <c r="BU91" s="9">
        <f t="shared" si="36"/>
        <v>1.7893382826063401E-3</v>
      </c>
      <c r="BV91" s="12">
        <f t="shared" si="37"/>
        <v>2.8553014112077894E-3</v>
      </c>
      <c r="BX91" s="12">
        <f t="shared" si="38"/>
        <v>1.7893382826063401E-3</v>
      </c>
      <c r="BY91" s="12">
        <f t="shared" si="39"/>
        <v>9.4270605697781094E-3</v>
      </c>
    </row>
    <row r="92" spans="1:77" x14ac:dyDescent="0.3">
      <c r="A92" s="1">
        <v>46155</v>
      </c>
      <c r="B92" s="8">
        <v>44.67</v>
      </c>
      <c r="C92" s="8">
        <v>112.75</v>
      </c>
      <c r="D92" s="9">
        <v>-1.15736880591608E-2</v>
      </c>
      <c r="E92" s="9">
        <v>-1.19022784852421E-2</v>
      </c>
      <c r="F92" s="8">
        <v>0</v>
      </c>
      <c r="G92" s="8">
        <v>0.30990000000000001</v>
      </c>
      <c r="H92" s="8">
        <v>0</v>
      </c>
      <c r="I92" s="8">
        <v>0.62160000000000004</v>
      </c>
      <c r="J92" s="8">
        <v>0.30990000000000001</v>
      </c>
      <c r="K92" s="8">
        <v>0.62160000000000004</v>
      </c>
      <c r="L92" s="8">
        <v>44.979900000000001</v>
      </c>
      <c r="M92" s="8">
        <v>113.3716</v>
      </c>
      <c r="N92" s="10">
        <v>2.5240653682561001</v>
      </c>
      <c r="O92" s="10">
        <v>2.5326711528669299</v>
      </c>
      <c r="P92" s="10">
        <v>2.5234380563088399</v>
      </c>
      <c r="Q92" s="10">
        <v>2.5256330254063601</v>
      </c>
      <c r="R92" s="8">
        <v>113.134420398565</v>
      </c>
      <c r="S92" s="8">
        <v>112.74453730106001</v>
      </c>
      <c r="T92" s="8">
        <v>112.82742913538399</v>
      </c>
      <c r="U92" s="9">
        <v>3.4036944116619199E-3</v>
      </c>
      <c r="V92" s="9">
        <v>-4.8450831722585002E-5</v>
      </c>
      <c r="W92" s="9">
        <v>6.8649721492334095E-4</v>
      </c>
      <c r="X92" s="10">
        <v>2.5204947098592898</v>
      </c>
      <c r="Y92" s="10">
        <v>2.53031067016226</v>
      </c>
      <c r="Z92" s="10">
        <v>2.51994825651057</v>
      </c>
      <c r="AA92" s="10">
        <v>2.5221354507162199</v>
      </c>
      <c r="AB92" s="8">
        <v>113.813120912831</v>
      </c>
      <c r="AC92" s="8">
        <v>113.36993606228801</v>
      </c>
      <c r="AD92" s="8">
        <v>113.453037742872</v>
      </c>
      <c r="AE92" s="9">
        <v>3.8868940387371299E-3</v>
      </c>
      <c r="AF92" s="9">
        <v>-1.46769554507937E-5</v>
      </c>
      <c r="AG92" s="9">
        <v>7.1806790639892496E-4</v>
      </c>
      <c r="AZ92" s="9"/>
      <c r="BB92">
        <f t="shared" si="22"/>
        <v>0</v>
      </c>
      <c r="BC92">
        <f t="shared" si="23"/>
        <v>1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6.5717591585703183E-3</v>
      </c>
      <c r="BL92" s="9"/>
      <c r="BN92">
        <f t="shared" si="30"/>
        <v>0</v>
      </c>
      <c r="BO92">
        <f t="shared" si="31"/>
        <v>0</v>
      </c>
      <c r="BP92">
        <f t="shared" si="32"/>
        <v>1</v>
      </c>
      <c r="BQ92">
        <f t="shared" si="21"/>
        <v>1</v>
      </c>
      <c r="BR92">
        <f t="shared" si="33"/>
        <v>1</v>
      </c>
      <c r="BS92" s="9">
        <f t="shared" si="34"/>
        <v>1.15736880591608E-2</v>
      </c>
      <c r="BT92" s="9">
        <f t="shared" si="35"/>
        <v>-1.19022784852421E-2</v>
      </c>
      <c r="BU92" s="9">
        <f t="shared" si="36"/>
        <v>-3.2859042608130058E-4</v>
      </c>
      <c r="BV92" s="12">
        <f t="shared" si="37"/>
        <v>2.5267109851264888E-3</v>
      </c>
      <c r="BX92" s="12">
        <f t="shared" si="38"/>
        <v>-3.2859042608130058E-4</v>
      </c>
      <c r="BY92" s="12">
        <f t="shared" si="39"/>
        <v>9.0984701436968088E-3</v>
      </c>
    </row>
    <row r="93" spans="1:77" x14ac:dyDescent="0.3">
      <c r="A93" s="1">
        <v>46156</v>
      </c>
      <c r="B93" s="8">
        <v>44.9</v>
      </c>
      <c r="C93" s="8">
        <v>113.42</v>
      </c>
      <c r="D93" s="9">
        <v>5.1356593841812102E-3</v>
      </c>
      <c r="E93" s="9">
        <v>5.9247642030941404E-3</v>
      </c>
      <c r="F93" s="8">
        <v>0</v>
      </c>
      <c r="G93" s="8">
        <v>0.30990000000000001</v>
      </c>
      <c r="H93" s="8">
        <v>0</v>
      </c>
      <c r="I93" s="8">
        <v>0.62160000000000004</v>
      </c>
      <c r="J93" s="8">
        <v>0.30990000000000001</v>
      </c>
      <c r="K93" s="8">
        <v>0.62160000000000004</v>
      </c>
      <c r="L93" s="8">
        <v>45.209899999999998</v>
      </c>
      <c r="M93" s="8">
        <v>114.0416</v>
      </c>
      <c r="N93" s="10">
        <v>2.52605790645879</v>
      </c>
      <c r="O93" s="10">
        <v>2.5326711528669299</v>
      </c>
      <c r="P93" s="10">
        <v>2.5235358426857801</v>
      </c>
      <c r="Q93" s="10">
        <v>2.5257223284962902</v>
      </c>
      <c r="R93" s="8">
        <v>113.71693476372501</v>
      </c>
      <c r="S93" s="8">
        <v>113.302368728267</v>
      </c>
      <c r="T93" s="8">
        <v>113.400922840745</v>
      </c>
      <c r="U93" s="9">
        <v>2.6145895927487798E-3</v>
      </c>
      <c r="V93" s="9">
        <v>-1.03766807790165E-3</v>
      </c>
      <c r="W93" s="9">
        <v>-1.68213399896224E-4</v>
      </c>
      <c r="X93" s="10">
        <v>2.5224917551244301</v>
      </c>
      <c r="Y93" s="10">
        <v>2.53031067016226</v>
      </c>
      <c r="Z93" s="10">
        <v>2.5200306547397702</v>
      </c>
      <c r="AA93" s="10">
        <v>2.5222186196095699</v>
      </c>
      <c r="AB93" s="8">
        <v>114.395092366968</v>
      </c>
      <c r="AC93" s="8">
        <v>113.926608682017</v>
      </c>
      <c r="AD93" s="8">
        <v>114.025491513335</v>
      </c>
      <c r="AE93" s="9">
        <v>3.0948850244766901E-3</v>
      </c>
      <c r="AF93" s="9">
        <v>-1.0088365250588999E-3</v>
      </c>
      <c r="AG93" s="9">
        <v>-1.4126094724446401E-4</v>
      </c>
      <c r="AZ93" s="9"/>
      <c r="BB93">
        <f t="shared" si="22"/>
        <v>0</v>
      </c>
      <c r="BC93">
        <f t="shared" si="23"/>
        <v>0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6.5717591585703183E-3</v>
      </c>
      <c r="BL93" s="9"/>
      <c r="BN93">
        <f t="shared" si="30"/>
        <v>0</v>
      </c>
      <c r="BO93">
        <f t="shared" si="31"/>
        <v>1</v>
      </c>
      <c r="BP93">
        <f t="shared" si="32"/>
        <v>1</v>
      </c>
      <c r="BQ93">
        <f t="shared" si="21"/>
        <v>1</v>
      </c>
      <c r="BR93">
        <f t="shared" si="33"/>
        <v>1</v>
      </c>
      <c r="BS93" s="9">
        <f t="shared" si="34"/>
        <v>-5.1356593841812102E-3</v>
      </c>
      <c r="BT93" s="9">
        <f t="shared" si="35"/>
        <v>5.9247642030941404E-3</v>
      </c>
      <c r="BU93" s="9">
        <f t="shared" si="36"/>
        <v>7.891048189129302E-4</v>
      </c>
      <c r="BV93" s="12">
        <f t="shared" si="37"/>
        <v>3.315815804039419E-3</v>
      </c>
      <c r="BX93" s="12">
        <f t="shared" si="38"/>
        <v>7.891048189129302E-4</v>
      </c>
      <c r="BY93" s="12">
        <f t="shared" si="39"/>
        <v>9.8875749626097381E-3</v>
      </c>
    </row>
    <row r="94" spans="1:77" x14ac:dyDescent="0.3">
      <c r="A94" s="1">
        <v>46157</v>
      </c>
      <c r="B94" s="8">
        <v>43.87</v>
      </c>
      <c r="C94" s="8">
        <v>111.08</v>
      </c>
      <c r="D94" s="9">
        <v>-2.3207079570085901E-2</v>
      </c>
      <c r="E94" s="9">
        <v>-2.0847080147283099E-2</v>
      </c>
      <c r="F94" s="8">
        <v>0</v>
      </c>
      <c r="G94" s="8">
        <v>0.30990000000000001</v>
      </c>
      <c r="H94" s="8">
        <v>0</v>
      </c>
      <c r="I94" s="8">
        <v>0.62160000000000004</v>
      </c>
      <c r="J94" s="8">
        <v>0.30990000000000001</v>
      </c>
      <c r="K94" s="8">
        <v>0.62160000000000004</v>
      </c>
      <c r="L94" s="8">
        <v>44.179899999999897</v>
      </c>
      <c r="M94" s="8">
        <v>111.7016</v>
      </c>
      <c r="N94" s="10">
        <v>2.53202644175974</v>
      </c>
      <c r="O94" s="10">
        <v>2.5326711528669299</v>
      </c>
      <c r="P94" s="10">
        <v>2.5245150711796902</v>
      </c>
      <c r="Q94" s="10">
        <v>2.5260563195617398</v>
      </c>
      <c r="R94" s="8">
        <v>111.10828347627201</v>
      </c>
      <c r="S94" s="8">
        <v>110.707517418625</v>
      </c>
      <c r="T94" s="8">
        <v>110.803438551132</v>
      </c>
      <c r="U94" s="9">
        <v>2.54590169946049E-4</v>
      </c>
      <c r="V94" s="9">
        <v>-3.35891700232445E-3</v>
      </c>
      <c r="W94" s="9">
        <v>-2.4928547519703801E-3</v>
      </c>
      <c r="X94" s="10">
        <v>2.5283352836923498</v>
      </c>
      <c r="Y94" s="10">
        <v>2.53031067016226</v>
      </c>
      <c r="Z94" s="10">
        <v>2.5209822968907298</v>
      </c>
      <c r="AA94" s="10">
        <v>2.5225412884765701</v>
      </c>
      <c r="AB94" s="8">
        <v>111.78887237670099</v>
      </c>
      <c r="AC94" s="8">
        <v>111.334702323337</v>
      </c>
      <c r="AD94" s="8">
        <v>111.431366392488</v>
      </c>
      <c r="AE94" s="9">
        <v>7.8099419818228495E-4</v>
      </c>
      <c r="AF94" s="9">
        <v>-3.2900295045333698E-3</v>
      </c>
      <c r="AG94" s="9">
        <v>-2.4221767316636202E-3</v>
      </c>
      <c r="AZ94" s="9"/>
      <c r="BB94">
        <f t="shared" si="22"/>
        <v>1</v>
      </c>
      <c r="BC94">
        <f t="shared" si="23"/>
        <v>0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6.5717591585703183E-3</v>
      </c>
      <c r="BL94" s="9"/>
      <c r="BN94">
        <f t="shared" si="30"/>
        <v>0</v>
      </c>
      <c r="BO94">
        <f t="shared" si="31"/>
        <v>1</v>
      </c>
      <c r="BP94">
        <f t="shared" si="32"/>
        <v>0</v>
      </c>
      <c r="BQ94">
        <f t="shared" si="21"/>
        <v>1</v>
      </c>
      <c r="BR94">
        <f t="shared" si="33"/>
        <v>0</v>
      </c>
      <c r="BS94" s="9">
        <f t="shared" si="34"/>
        <v>0</v>
      </c>
      <c r="BT94" s="9">
        <f t="shared" si="35"/>
        <v>0</v>
      </c>
      <c r="BU94" s="9">
        <f t="shared" si="36"/>
        <v>0</v>
      </c>
      <c r="BV94" s="12">
        <f t="shared" si="37"/>
        <v>3.315815804039419E-3</v>
      </c>
      <c r="BX94" s="12">
        <f t="shared" si="38"/>
        <v>0</v>
      </c>
      <c r="BY94" s="12">
        <f t="shared" si="39"/>
        <v>9.8875749626097381E-3</v>
      </c>
    </row>
    <row r="95" spans="1:77" x14ac:dyDescent="0.3">
      <c r="A95" s="1">
        <v>46160</v>
      </c>
      <c r="B95" s="8">
        <v>43.94</v>
      </c>
      <c r="C95" s="8">
        <v>111.32</v>
      </c>
      <c r="D95" s="9">
        <v>1.59435177834148E-3</v>
      </c>
      <c r="E95" s="9">
        <v>2.15827421909121E-3</v>
      </c>
      <c r="F95" s="8">
        <v>0</v>
      </c>
      <c r="G95" s="8">
        <v>0.30990000000000001</v>
      </c>
      <c r="H95" s="8">
        <v>0</v>
      </c>
      <c r="I95" s="8">
        <v>0.62160000000000004</v>
      </c>
      <c r="J95" s="8">
        <v>0.30990000000000001</v>
      </c>
      <c r="K95" s="8">
        <v>0.62160000000000004</v>
      </c>
      <c r="L95" s="8">
        <v>44.249899999999997</v>
      </c>
      <c r="M95" s="8">
        <v>111.94159999999999</v>
      </c>
      <c r="N95" s="10">
        <v>2.5334547109695</v>
      </c>
      <c r="O95" s="10">
        <v>2.5326711528669299</v>
      </c>
      <c r="P95" s="10">
        <v>2.5253265763504</v>
      </c>
      <c r="Q95" s="10">
        <v>2.5263683993725099</v>
      </c>
      <c r="R95" s="8">
        <v>111.28557045697301</v>
      </c>
      <c r="S95" s="8">
        <v>110.927192227635</v>
      </c>
      <c r="T95" s="8">
        <v>110.99491468154299</v>
      </c>
      <c r="U95" s="9">
        <v>-3.0933227080365901E-4</v>
      </c>
      <c r="V95" s="9">
        <v>-3.5348764360034601E-3</v>
      </c>
      <c r="W95" s="9">
        <v>-2.9245500746250801E-3</v>
      </c>
      <c r="X95" s="10">
        <v>2.5297593892867498</v>
      </c>
      <c r="Y95" s="10">
        <v>2.53031067016226</v>
      </c>
      <c r="Z95" s="10">
        <v>2.52176917800222</v>
      </c>
      <c r="AA95" s="10">
        <v>2.5228440078643799</v>
      </c>
      <c r="AB95" s="8">
        <v>111.96599412361201</v>
      </c>
      <c r="AC95" s="8">
        <v>111.55321453918501</v>
      </c>
      <c r="AD95" s="8">
        <v>111.62219976095901</v>
      </c>
      <c r="AE95" s="9">
        <v>2.1789456320105399E-4</v>
      </c>
      <c r="AF95" s="9">
        <v>-3.4755692437587202E-3</v>
      </c>
      <c r="AG95" s="9">
        <v>-2.8573539785339401E-3</v>
      </c>
      <c r="AZ95" s="9"/>
      <c r="BB95">
        <f t="shared" si="22"/>
        <v>1</v>
      </c>
      <c r="BC95">
        <f t="shared" si="23"/>
        <v>0</v>
      </c>
      <c r="BD95">
        <f t="shared" si="24"/>
        <v>1</v>
      </c>
      <c r="BE95">
        <f t="shared" si="20"/>
        <v>1</v>
      </c>
      <c r="BF95">
        <f t="shared" si="25"/>
        <v>1</v>
      </c>
      <c r="BG95" s="9">
        <f t="shared" si="26"/>
        <v>1.59435177834148E-3</v>
      </c>
      <c r="BH95" s="9">
        <f t="shared" si="27"/>
        <v>-2.15827421909121E-3</v>
      </c>
      <c r="BI95" s="9">
        <f t="shared" si="28"/>
        <v>-5.6392244074973002E-4</v>
      </c>
      <c r="BJ95" s="12">
        <f t="shared" si="29"/>
        <v>6.0078367178205885E-3</v>
      </c>
      <c r="BL95" s="9"/>
      <c r="BN95">
        <f t="shared" si="30"/>
        <v>0</v>
      </c>
      <c r="BO95">
        <f t="shared" si="31"/>
        <v>1</v>
      </c>
      <c r="BP95">
        <f t="shared" si="32"/>
        <v>0</v>
      </c>
      <c r="BQ95">
        <f t="shared" si="21"/>
        <v>1</v>
      </c>
      <c r="BR95">
        <f t="shared" si="33"/>
        <v>0</v>
      </c>
      <c r="BS95" s="9">
        <f t="shared" si="34"/>
        <v>0</v>
      </c>
      <c r="BT95" s="9">
        <f t="shared" si="35"/>
        <v>0</v>
      </c>
      <c r="BU95" s="9">
        <f t="shared" si="36"/>
        <v>0</v>
      </c>
      <c r="BV95" s="12">
        <f t="shared" si="37"/>
        <v>3.315815804039419E-3</v>
      </c>
      <c r="BX95" s="12">
        <f t="shared" si="38"/>
        <v>-5.6392244074973002E-4</v>
      </c>
      <c r="BY95" s="12">
        <f t="shared" si="39"/>
        <v>9.3236525218600083E-3</v>
      </c>
    </row>
    <row r="96" spans="1:77" x14ac:dyDescent="0.3">
      <c r="A96" s="1">
        <v>46161</v>
      </c>
      <c r="B96" s="8">
        <v>44.34</v>
      </c>
      <c r="C96" s="8">
        <v>112.26</v>
      </c>
      <c r="D96" s="9">
        <v>9.0621372317014302E-3</v>
      </c>
      <c r="E96" s="9">
        <v>8.4086728563633108E-3</v>
      </c>
      <c r="F96" s="8">
        <v>0</v>
      </c>
      <c r="G96" s="8">
        <v>0.30990000000000001</v>
      </c>
      <c r="H96" s="8">
        <v>0</v>
      </c>
      <c r="I96" s="8">
        <v>0.62160000000000004</v>
      </c>
      <c r="J96" s="8">
        <v>0.30990000000000001</v>
      </c>
      <c r="K96" s="8">
        <v>0.62160000000000004</v>
      </c>
      <c r="L96" s="8">
        <v>44.649900000000002</v>
      </c>
      <c r="M96" s="8">
        <v>112.88160000000001</v>
      </c>
      <c r="N96" s="10">
        <v>2.5317997293640002</v>
      </c>
      <c r="O96" s="10">
        <v>2.5326711528669299</v>
      </c>
      <c r="P96" s="10">
        <v>2.52627450270495</v>
      </c>
      <c r="Q96" s="10">
        <v>2.5266291311132401</v>
      </c>
      <c r="R96" s="8">
        <v>112.298638918119</v>
      </c>
      <c r="S96" s="8">
        <v>111.972980395376</v>
      </c>
      <c r="T96" s="8">
        <v>112.019174828177</v>
      </c>
      <c r="U96" s="9">
        <v>3.4413210453445399E-4</v>
      </c>
      <c r="V96" s="9">
        <v>-2.56001379341972E-3</v>
      </c>
      <c r="W96" s="9">
        <v>-2.14754904964716E-3</v>
      </c>
      <c r="X96" s="10">
        <v>2.5281489992138799</v>
      </c>
      <c r="Y96" s="10">
        <v>2.53031067016226</v>
      </c>
      <c r="Z96" s="10">
        <v>2.5226949350591199</v>
      </c>
      <c r="AA96" s="10">
        <v>2.5231004941684998</v>
      </c>
      <c r="AB96" s="8">
        <v>112.978118391677</v>
      </c>
      <c r="AC96" s="8">
        <v>112.59674162088101</v>
      </c>
      <c r="AD96" s="8">
        <v>112.644732666743</v>
      </c>
      <c r="AE96" s="9">
        <v>8.5467562113786396E-4</v>
      </c>
      <c r="AF96" s="9">
        <v>-2.52670414923898E-3</v>
      </c>
      <c r="AG96" s="9">
        <v>-2.10057439902196E-3</v>
      </c>
      <c r="AZ96" s="9"/>
      <c r="BB96">
        <f t="shared" si="22"/>
        <v>1</v>
      </c>
      <c r="BC96">
        <f t="shared" si="23"/>
        <v>0</v>
      </c>
      <c r="BD96">
        <f t="shared" si="24"/>
        <v>1</v>
      </c>
      <c r="BE96">
        <f t="shared" si="20"/>
        <v>1</v>
      </c>
      <c r="BF96">
        <f t="shared" si="25"/>
        <v>1</v>
      </c>
      <c r="BG96" s="9">
        <f t="shared" si="26"/>
        <v>9.0621372317014302E-3</v>
      </c>
      <c r="BH96" s="9">
        <f t="shared" si="27"/>
        <v>-8.4086728563633108E-3</v>
      </c>
      <c r="BI96" s="9">
        <f t="shared" si="28"/>
        <v>6.5346437533811939E-4</v>
      </c>
      <c r="BJ96" s="12">
        <f t="shared" si="29"/>
        <v>6.6613010931587079E-3</v>
      </c>
      <c r="BL96" s="9"/>
      <c r="BN96">
        <f t="shared" si="30"/>
        <v>0</v>
      </c>
      <c r="BO96">
        <f t="shared" si="31"/>
        <v>1</v>
      </c>
      <c r="BP96">
        <f t="shared" si="32"/>
        <v>0</v>
      </c>
      <c r="BQ96">
        <f t="shared" si="21"/>
        <v>1</v>
      </c>
      <c r="BR96">
        <f t="shared" si="33"/>
        <v>0</v>
      </c>
      <c r="BS96" s="9">
        <f t="shared" si="34"/>
        <v>0</v>
      </c>
      <c r="BT96" s="9">
        <f t="shared" si="35"/>
        <v>0</v>
      </c>
      <c r="BU96" s="9">
        <f t="shared" si="36"/>
        <v>0</v>
      </c>
      <c r="BV96" s="12">
        <f t="shared" si="37"/>
        <v>3.315815804039419E-3</v>
      </c>
      <c r="BX96" s="12">
        <f t="shared" si="38"/>
        <v>6.5346437533811939E-4</v>
      </c>
      <c r="BY96" s="12">
        <f t="shared" si="39"/>
        <v>9.9771168971981277E-3</v>
      </c>
    </row>
    <row r="97" spans="1:77" x14ac:dyDescent="0.3">
      <c r="A97" s="1">
        <v>46162</v>
      </c>
      <c r="B97" s="8">
        <v>44.51</v>
      </c>
      <c r="C97" s="8">
        <v>112.55</v>
      </c>
      <c r="D97" s="9">
        <v>3.82667883959736E-3</v>
      </c>
      <c r="E97" s="9">
        <v>2.5799578386878899E-3</v>
      </c>
      <c r="F97" s="8">
        <v>0</v>
      </c>
      <c r="G97" s="8">
        <v>0.30990000000000001</v>
      </c>
      <c r="H97" s="8">
        <v>0</v>
      </c>
      <c r="I97" s="8">
        <v>0.62160000000000004</v>
      </c>
      <c r="J97" s="8">
        <v>0.30990000000000001</v>
      </c>
      <c r="K97" s="8">
        <v>0.62160000000000004</v>
      </c>
      <c r="L97" s="8">
        <v>44.819899999999997</v>
      </c>
      <c r="M97" s="8">
        <v>113.1716</v>
      </c>
      <c r="N97" s="10">
        <v>2.52864524825881</v>
      </c>
      <c r="O97" s="10">
        <v>2.5326711528669299</v>
      </c>
      <c r="P97" s="10">
        <v>2.5269403839079998</v>
      </c>
      <c r="Q97" s="10">
        <v>2.5265403326837501</v>
      </c>
      <c r="R97" s="8">
        <v>112.729193014107</v>
      </c>
      <c r="S97" s="8">
        <v>112.444478115397</v>
      </c>
      <c r="T97" s="8">
        <v>112.46026262585001</v>
      </c>
      <c r="U97" s="9">
        <v>1.5908531054437799E-3</v>
      </c>
      <c r="V97" s="9">
        <v>-9.3799539635803304E-4</v>
      </c>
      <c r="W97" s="9">
        <v>-7.9762920908492603E-4</v>
      </c>
      <c r="X97" s="10">
        <v>2.5250301763279199</v>
      </c>
      <c r="Y97" s="10">
        <v>2.53031067016226</v>
      </c>
      <c r="Z97" s="10">
        <v>2.5233469056448801</v>
      </c>
      <c r="AA97" s="10">
        <v>2.5230108645582998</v>
      </c>
      <c r="AB97" s="8">
        <v>113.408271205605</v>
      </c>
      <c r="AC97" s="8">
        <v>113.06693471985599</v>
      </c>
      <c r="AD97" s="8">
        <v>113.08511183858199</v>
      </c>
      <c r="AE97" s="9">
        <v>2.0890760544642799E-3</v>
      </c>
      <c r="AF97" s="9">
        <v>-9.2526490007605099E-4</v>
      </c>
      <c r="AG97" s="9">
        <v>-7.6451359101572798E-4</v>
      </c>
      <c r="AZ97" s="9"/>
      <c r="BB97">
        <f t="shared" si="22"/>
        <v>0</v>
      </c>
      <c r="BC97">
        <f t="shared" si="23"/>
        <v>0</v>
      </c>
      <c r="BD97">
        <f t="shared" si="24"/>
        <v>1</v>
      </c>
      <c r="BE97">
        <f t="shared" si="20"/>
        <v>1</v>
      </c>
      <c r="BF97">
        <f t="shared" si="25"/>
        <v>1</v>
      </c>
      <c r="BG97" s="9">
        <f t="shared" si="26"/>
        <v>3.82667883959736E-3</v>
      </c>
      <c r="BH97" s="9">
        <f t="shared" si="27"/>
        <v>-2.5799578386878899E-3</v>
      </c>
      <c r="BI97" s="9">
        <f t="shared" si="28"/>
        <v>1.2467210009094701E-3</v>
      </c>
      <c r="BJ97" s="12">
        <f t="shared" si="29"/>
        <v>7.9080220940681775E-3</v>
      </c>
      <c r="BL97" s="9"/>
      <c r="BN97">
        <f t="shared" si="30"/>
        <v>0</v>
      </c>
      <c r="BO97">
        <f t="shared" si="31"/>
        <v>1</v>
      </c>
      <c r="BP97">
        <f t="shared" si="32"/>
        <v>0</v>
      </c>
      <c r="BQ97">
        <f t="shared" si="21"/>
        <v>1</v>
      </c>
      <c r="BR97">
        <f t="shared" si="33"/>
        <v>0</v>
      </c>
      <c r="BS97" s="9">
        <f t="shared" si="34"/>
        <v>0</v>
      </c>
      <c r="BT97" s="9">
        <f t="shared" si="35"/>
        <v>0</v>
      </c>
      <c r="BU97" s="9">
        <f t="shared" si="36"/>
        <v>0</v>
      </c>
      <c r="BV97" s="12">
        <f t="shared" si="37"/>
        <v>3.315815804039419E-3</v>
      </c>
      <c r="BX97" s="12">
        <f t="shared" si="38"/>
        <v>1.2467210009094701E-3</v>
      </c>
      <c r="BY97" s="12">
        <f t="shared" si="39"/>
        <v>1.1223837898107597E-2</v>
      </c>
    </row>
    <row r="98" spans="1:77" x14ac:dyDescent="0.3">
      <c r="A98" s="1">
        <v>46163</v>
      </c>
      <c r="B98" s="8">
        <v>45</v>
      </c>
      <c r="C98" s="8">
        <v>113.59</v>
      </c>
      <c r="D98" s="9">
        <v>1.09486067425568E-2</v>
      </c>
      <c r="E98" s="9">
        <v>9.1979068905889902E-3</v>
      </c>
      <c r="F98" s="8">
        <v>0</v>
      </c>
      <c r="G98" s="8">
        <v>0.30990000000000001</v>
      </c>
      <c r="H98" s="8">
        <v>0</v>
      </c>
      <c r="I98" s="8">
        <v>0.62160000000000004</v>
      </c>
      <c r="J98" s="8">
        <v>0.30990000000000001</v>
      </c>
      <c r="K98" s="8">
        <v>0.62160000000000004</v>
      </c>
      <c r="L98" s="8">
        <v>45.309899999999999</v>
      </c>
      <c r="M98" s="8">
        <v>114.2116</v>
      </c>
      <c r="N98" s="10">
        <v>2.5242222222222201</v>
      </c>
      <c r="O98" s="10">
        <v>2.5326711528669299</v>
      </c>
      <c r="P98" s="10">
        <v>2.5268803366266699</v>
      </c>
      <c r="Q98" s="10">
        <v>2.5261296169343699</v>
      </c>
      <c r="R98" s="8">
        <v>113.970201879011</v>
      </c>
      <c r="S98" s="8">
        <v>113.71231727586</v>
      </c>
      <c r="T98" s="8">
        <v>113.694314970768</v>
      </c>
      <c r="U98" s="9">
        <v>3.34155295741172E-3</v>
      </c>
      <c r="V98" s="9">
        <v>1.0762520077475699E-3</v>
      </c>
      <c r="W98" s="9">
        <v>9.1792500601552195E-4</v>
      </c>
      <c r="X98" s="10">
        <v>2.5206764967479498</v>
      </c>
      <c r="Y98" s="10">
        <v>2.53031067016226</v>
      </c>
      <c r="Z98" s="10">
        <v>2.52328633139666</v>
      </c>
      <c r="AA98" s="10">
        <v>2.52259872722767</v>
      </c>
      <c r="AB98" s="8">
        <v>114.648123433984</v>
      </c>
      <c r="AC98" s="8">
        <v>114.332595960079</v>
      </c>
      <c r="AD98" s="8">
        <v>114.31736997205</v>
      </c>
      <c r="AE98" s="9">
        <v>3.8147731440929199E-3</v>
      </c>
      <c r="AF98" s="9">
        <v>1.0588409027435699E-3</v>
      </c>
      <c r="AG98" s="9">
        <v>9.2565926862960099E-4</v>
      </c>
      <c r="AZ98" s="9"/>
      <c r="BB98">
        <f t="shared" si="22"/>
        <v>0</v>
      </c>
      <c r="BC98">
        <f t="shared" si="23"/>
        <v>1</v>
      </c>
      <c r="BD98">
        <f t="shared" si="24"/>
        <v>1</v>
      </c>
      <c r="BE98">
        <f t="shared" si="20"/>
        <v>1</v>
      </c>
      <c r="BF98">
        <f t="shared" si="25"/>
        <v>1</v>
      </c>
      <c r="BG98" s="9">
        <f t="shared" si="26"/>
        <v>1.09486067425568E-2</v>
      </c>
      <c r="BH98" s="9">
        <f t="shared" si="27"/>
        <v>-9.1979068905889902E-3</v>
      </c>
      <c r="BI98" s="9">
        <f t="shared" si="28"/>
        <v>1.7506998519678102E-3</v>
      </c>
      <c r="BJ98" s="12">
        <f t="shared" si="29"/>
        <v>9.6587219460359877E-3</v>
      </c>
      <c r="BL98" s="9"/>
      <c r="BN98">
        <f t="shared" si="30"/>
        <v>0</v>
      </c>
      <c r="BO98">
        <f t="shared" si="31"/>
        <v>0</v>
      </c>
      <c r="BP98">
        <f t="shared" si="32"/>
        <v>0</v>
      </c>
      <c r="BQ98">
        <f t="shared" si="21"/>
        <v>1</v>
      </c>
      <c r="BR98">
        <f t="shared" si="33"/>
        <v>0</v>
      </c>
      <c r="BS98" s="9">
        <f t="shared" si="34"/>
        <v>0</v>
      </c>
      <c r="BT98" s="9">
        <f t="shared" si="35"/>
        <v>0</v>
      </c>
      <c r="BU98" s="9">
        <f t="shared" si="36"/>
        <v>0</v>
      </c>
      <c r="BV98" s="12">
        <f t="shared" si="37"/>
        <v>3.315815804039419E-3</v>
      </c>
      <c r="BX98" s="12">
        <f t="shared" si="38"/>
        <v>1.7506998519678102E-3</v>
      </c>
      <c r="BY98" s="12">
        <f t="shared" si="39"/>
        <v>1.2974537750075408E-2</v>
      </c>
    </row>
    <row r="99" spans="1:77" x14ac:dyDescent="0.3">
      <c r="A99" s="1">
        <v>46164</v>
      </c>
      <c r="B99" s="8">
        <v>45.35</v>
      </c>
      <c r="C99" s="8">
        <v>114.48</v>
      </c>
      <c r="D99" s="9">
        <v>7.74768679082595E-3</v>
      </c>
      <c r="E99" s="9">
        <v>7.80466100486515E-3</v>
      </c>
      <c r="F99" s="8">
        <v>0</v>
      </c>
      <c r="G99" s="8">
        <v>0.30990000000000001</v>
      </c>
      <c r="H99" s="8">
        <v>0</v>
      </c>
      <c r="I99" s="8">
        <v>0.62160000000000004</v>
      </c>
      <c r="J99" s="8">
        <v>0.30990000000000001</v>
      </c>
      <c r="K99" s="8">
        <v>0.62160000000000004</v>
      </c>
      <c r="L99" s="8">
        <v>45.6599</v>
      </c>
      <c r="M99" s="8">
        <v>115.1016</v>
      </c>
      <c r="N99" s="10">
        <v>2.5243660418963598</v>
      </c>
      <c r="O99" s="10">
        <v>2.5326711528669299</v>
      </c>
      <c r="P99" s="10">
        <v>2.5269913594209599</v>
      </c>
      <c r="Q99" s="10">
        <v>2.52584293851814</v>
      </c>
      <c r="R99" s="8">
        <v>114.856636782515</v>
      </c>
      <c r="S99" s="8">
        <v>114.59402326601899</v>
      </c>
      <c r="T99" s="8">
        <v>114.559978127973</v>
      </c>
      <c r="U99" s="9">
        <v>3.2845787433722698E-3</v>
      </c>
      <c r="V99" s="9">
        <v>9.9551467085654791E-4</v>
      </c>
      <c r="W99" s="9">
        <v>6.9837704210563302E-4</v>
      </c>
      <c r="X99" s="10">
        <v>2.5208465195937699</v>
      </c>
      <c r="Y99" s="10">
        <v>2.53031067016226</v>
      </c>
      <c r="Z99" s="10">
        <v>2.5234015141811099</v>
      </c>
      <c r="AA99" s="10">
        <v>2.5223108180380001</v>
      </c>
      <c r="AB99" s="8">
        <v>115.53373216854099</v>
      </c>
      <c r="AC99" s="8">
        <v>115.213001562938</v>
      </c>
      <c r="AD99" s="8">
        <v>115.181605625342</v>
      </c>
      <c r="AE99" s="9">
        <v>3.7473241429313402E-3</v>
      </c>
      <c r="AF99" s="9">
        <v>9.6738609597941602E-4</v>
      </c>
      <c r="AG99" s="9">
        <v>6.9484553460746998E-4</v>
      </c>
      <c r="AZ99" s="9"/>
      <c r="BB99">
        <f t="shared" si="22"/>
        <v>0</v>
      </c>
      <c r="BC99">
        <f t="shared" si="23"/>
        <v>1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9.6587219460359877E-3</v>
      </c>
      <c r="BL99" s="9"/>
      <c r="BN99">
        <f t="shared" si="30"/>
        <v>0</v>
      </c>
      <c r="BO99">
        <f t="shared" si="31"/>
        <v>0</v>
      </c>
      <c r="BP99">
        <f t="shared" si="32"/>
        <v>0</v>
      </c>
      <c r="BQ99">
        <f t="shared" si="21"/>
        <v>1</v>
      </c>
      <c r="BR99">
        <f t="shared" si="33"/>
        <v>0</v>
      </c>
      <c r="BS99" s="9">
        <f t="shared" si="34"/>
        <v>0</v>
      </c>
      <c r="BT99" s="9">
        <f t="shared" si="35"/>
        <v>0</v>
      </c>
      <c r="BU99" s="9">
        <f t="shared" si="36"/>
        <v>0</v>
      </c>
      <c r="BV99" s="12">
        <f t="shared" si="37"/>
        <v>3.315815804039419E-3</v>
      </c>
      <c r="BX99" s="12">
        <f t="shared" si="38"/>
        <v>0</v>
      </c>
      <c r="BY99" s="12">
        <f t="shared" si="39"/>
        <v>1.2974537750075408E-2</v>
      </c>
    </row>
    <row r="100" spans="1:77" x14ac:dyDescent="0.3">
      <c r="A100" s="1">
        <v>46168</v>
      </c>
      <c r="B100" s="8">
        <v>45.33</v>
      </c>
      <c r="C100" s="8">
        <v>114.41</v>
      </c>
      <c r="D100" s="9">
        <v>-4.4111160838773402E-4</v>
      </c>
      <c r="E100" s="9">
        <v>-6.11647535342967E-4</v>
      </c>
      <c r="F100" s="8">
        <v>0</v>
      </c>
      <c r="G100" s="8">
        <v>0.30990000000000001</v>
      </c>
      <c r="H100" s="8">
        <v>0</v>
      </c>
      <c r="I100" s="8">
        <v>0.62160000000000004</v>
      </c>
      <c r="J100" s="8">
        <v>0.30990000000000001</v>
      </c>
      <c r="K100" s="8">
        <v>0.62160000000000004</v>
      </c>
      <c r="L100" s="8">
        <v>45.639899999999997</v>
      </c>
      <c r="M100" s="8">
        <v>115.0316</v>
      </c>
      <c r="N100" s="10">
        <v>2.5239355834987802</v>
      </c>
      <c r="O100" s="10">
        <v>2.5326711528669299</v>
      </c>
      <c r="P100" s="10">
        <v>2.5273468140933901</v>
      </c>
      <c r="Q100" s="10">
        <v>2.5257461476562799</v>
      </c>
      <c r="R100" s="8">
        <v>114.805983359458</v>
      </c>
      <c r="S100" s="8">
        <v>114.548518322552</v>
      </c>
      <c r="T100" s="8">
        <v>114.496460403027</v>
      </c>
      <c r="U100" s="9">
        <v>3.4551146703275001E-3</v>
      </c>
      <c r="V100" s="9">
        <v>1.20998633697659E-3</v>
      </c>
      <c r="W100" s="9">
        <v>7.5542129293344501E-4</v>
      </c>
      <c r="X100" s="10">
        <v>2.5204174417559999</v>
      </c>
      <c r="Y100" s="10">
        <v>2.53031067016226</v>
      </c>
      <c r="Z100" s="10">
        <v>2.5237560159205401</v>
      </c>
      <c r="AA100" s="10">
        <v>2.5222114188994098</v>
      </c>
      <c r="AB100" s="8">
        <v>115.48312595513799</v>
      </c>
      <c r="AC100" s="8">
        <v>115.167792767074</v>
      </c>
      <c r="AD100" s="8">
        <v>115.118013504172</v>
      </c>
      <c r="AE100" s="9">
        <v>3.91755043621722E-3</v>
      </c>
      <c r="AF100" s="9">
        <v>1.18325927213011E-3</v>
      </c>
      <c r="AG100" s="9">
        <v>7.5093333347638102E-4</v>
      </c>
      <c r="AZ100" s="9"/>
      <c r="BB100">
        <f t="shared" si="22"/>
        <v>0</v>
      </c>
      <c r="BC100">
        <f t="shared" si="23"/>
        <v>1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9.6587219460359877E-3</v>
      </c>
      <c r="BL100" s="9"/>
      <c r="BN100">
        <f t="shared" si="30"/>
        <v>0</v>
      </c>
      <c r="BO100">
        <f t="shared" si="31"/>
        <v>0</v>
      </c>
      <c r="BP100">
        <f t="shared" si="32"/>
        <v>0</v>
      </c>
      <c r="BQ100">
        <f t="shared" si="21"/>
        <v>1</v>
      </c>
      <c r="BR100">
        <f t="shared" si="33"/>
        <v>0</v>
      </c>
      <c r="BS100" s="9">
        <f t="shared" si="34"/>
        <v>0</v>
      </c>
      <c r="BT100" s="9">
        <f t="shared" si="35"/>
        <v>0</v>
      </c>
      <c r="BU100" s="9">
        <f t="shared" si="36"/>
        <v>0</v>
      </c>
      <c r="BV100" s="12">
        <f t="shared" si="37"/>
        <v>3.315815804039419E-3</v>
      </c>
      <c r="BX100" s="12">
        <f t="shared" si="38"/>
        <v>0</v>
      </c>
      <c r="BY100" s="12">
        <f t="shared" si="39"/>
        <v>1.2974537750075408E-2</v>
      </c>
    </row>
    <row r="101" spans="1:77" x14ac:dyDescent="0.3">
      <c r="A101" s="1">
        <v>46169</v>
      </c>
      <c r="B101" s="8">
        <v>45.14</v>
      </c>
      <c r="C101" s="8">
        <v>113.85</v>
      </c>
      <c r="D101" s="9">
        <v>-4.2002935633682001E-3</v>
      </c>
      <c r="E101" s="9">
        <v>-4.9066952031038696E-3</v>
      </c>
      <c r="F101" s="8">
        <v>0</v>
      </c>
      <c r="G101" s="8">
        <v>0.30990000000000001</v>
      </c>
      <c r="H101" s="8">
        <v>0</v>
      </c>
      <c r="I101" s="8">
        <v>0.62160000000000004</v>
      </c>
      <c r="J101" s="8">
        <v>0.30990000000000001</v>
      </c>
      <c r="K101" s="8">
        <v>0.62160000000000004</v>
      </c>
      <c r="L101" s="8">
        <v>45.4499</v>
      </c>
      <c r="M101" s="8">
        <v>114.4716</v>
      </c>
      <c r="N101" s="10">
        <v>2.5221533008418202</v>
      </c>
      <c r="O101" s="10">
        <v>2.5326711528669299</v>
      </c>
      <c r="P101" s="10">
        <v>2.5270726553526099</v>
      </c>
      <c r="Q101" s="10">
        <v>2.5255078667524198</v>
      </c>
      <c r="R101" s="8">
        <v>114.324775840413</v>
      </c>
      <c r="S101" s="8">
        <v>114.08443518817499</v>
      </c>
      <c r="T101" s="8">
        <v>114.01218110520399</v>
      </c>
      <c r="U101" s="9">
        <v>4.1615163100632499E-3</v>
      </c>
      <c r="V101" s="9">
        <v>2.0570412772292499E-3</v>
      </c>
      <c r="W101" s="9">
        <v>1.42350197654029E-3</v>
      </c>
      <c r="X101" s="10">
        <v>2.5186326042521499</v>
      </c>
      <c r="Y101" s="10">
        <v>2.53031067016226</v>
      </c>
      <c r="Z101" s="10">
        <v>2.52348333758545</v>
      </c>
      <c r="AA101" s="10">
        <v>2.5219705272638202</v>
      </c>
      <c r="AB101" s="8">
        <v>115.002366927807</v>
      </c>
      <c r="AC101" s="8">
        <v>114.704458547987</v>
      </c>
      <c r="AD101" s="8">
        <v>114.63425676783601</v>
      </c>
      <c r="AE101" s="9">
        <v>4.6259528383359397E-3</v>
      </c>
      <c r="AF101" s="9">
        <v>2.0321374719200901E-3</v>
      </c>
      <c r="AG101" s="9">
        <v>1.41992699322708E-3</v>
      </c>
      <c r="AZ101" s="9"/>
      <c r="BB101">
        <f t="shared" si="22"/>
        <v>0</v>
      </c>
      <c r="BC101">
        <f t="shared" si="23"/>
        <v>1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9.6587219460359877E-3</v>
      </c>
      <c r="BL101" s="9"/>
      <c r="BN101">
        <f t="shared" si="30"/>
        <v>0</v>
      </c>
      <c r="BO101">
        <f t="shared" si="31"/>
        <v>0</v>
      </c>
      <c r="BP101">
        <f t="shared" si="32"/>
        <v>0</v>
      </c>
      <c r="BQ101">
        <f t="shared" si="21"/>
        <v>1</v>
      </c>
      <c r="BR101">
        <f t="shared" si="33"/>
        <v>0</v>
      </c>
      <c r="BS101" s="9">
        <f t="shared" si="34"/>
        <v>0</v>
      </c>
      <c r="BT101" s="9">
        <f t="shared" si="35"/>
        <v>0</v>
      </c>
      <c r="BU101" s="9">
        <f t="shared" si="36"/>
        <v>0</v>
      </c>
      <c r="BV101" s="12">
        <f t="shared" si="37"/>
        <v>3.315815804039419E-3</v>
      </c>
      <c r="BX101" s="12">
        <f t="shared" si="38"/>
        <v>0</v>
      </c>
      <c r="BY101" s="12">
        <f t="shared" si="39"/>
        <v>1.2974537750075408E-2</v>
      </c>
    </row>
    <row r="102" spans="1:77" x14ac:dyDescent="0.3">
      <c r="A102" s="1">
        <v>46170</v>
      </c>
      <c r="B102" s="8">
        <v>44.63</v>
      </c>
      <c r="C102" s="8">
        <v>112.61</v>
      </c>
      <c r="D102" s="9">
        <v>-1.1362492748211101E-2</v>
      </c>
      <c r="E102" s="9">
        <v>-1.0951270800814299E-2</v>
      </c>
      <c r="F102" s="8">
        <v>0</v>
      </c>
      <c r="G102" s="8">
        <v>0.30990000000000001</v>
      </c>
      <c r="H102" s="8">
        <v>0</v>
      </c>
      <c r="I102" s="8">
        <v>0.62160000000000004</v>
      </c>
      <c r="J102" s="8">
        <v>0.30990000000000001</v>
      </c>
      <c r="K102" s="8">
        <v>0.62160000000000004</v>
      </c>
      <c r="L102" s="8">
        <v>44.939900000000002</v>
      </c>
      <c r="M102" s="8">
        <v>113.2316</v>
      </c>
      <c r="N102" s="10">
        <v>2.5231906789155198</v>
      </c>
      <c r="O102" s="10">
        <v>2.5326711528669299</v>
      </c>
      <c r="P102" s="10">
        <v>2.5269851864185502</v>
      </c>
      <c r="Q102" s="10">
        <v>2.5252116213637001</v>
      </c>
      <c r="R102" s="8">
        <v>113.033113552451</v>
      </c>
      <c r="S102" s="8">
        <v>112.783252608387</v>
      </c>
      <c r="T102" s="8">
        <v>112.71341609316001</v>
      </c>
      <c r="U102" s="9">
        <v>3.7502943626665599E-3</v>
      </c>
      <c r="V102" s="9">
        <v>1.53733654849427E-3</v>
      </c>
      <c r="W102" s="9">
        <v>9.1793478206157904E-4</v>
      </c>
      <c r="X102" s="10">
        <v>2.51962287410519</v>
      </c>
      <c r="Y102" s="10">
        <v>2.53031067016226</v>
      </c>
      <c r="Z102" s="10">
        <v>2.5233961540100398</v>
      </c>
      <c r="AA102" s="10">
        <v>2.5216722052603</v>
      </c>
      <c r="AB102" s="8">
        <v>113.711908486024</v>
      </c>
      <c r="AC102" s="8">
        <v>113.405088842756</v>
      </c>
      <c r="AD102" s="8">
        <v>113.337103298183</v>
      </c>
      <c r="AE102" s="9">
        <v>4.2328525400103E-3</v>
      </c>
      <c r="AF102" s="9">
        <v>1.53098668648437E-3</v>
      </c>
      <c r="AG102" s="9">
        <v>9.3131402769539896E-4</v>
      </c>
      <c r="AZ102" s="9"/>
      <c r="BB102">
        <f t="shared" si="22"/>
        <v>0</v>
      </c>
      <c r="BC102">
        <f t="shared" si="23"/>
        <v>1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9.6587219460359877E-3</v>
      </c>
      <c r="BL102" s="9"/>
      <c r="BN102">
        <f t="shared" si="30"/>
        <v>0</v>
      </c>
      <c r="BO102">
        <f t="shared" si="31"/>
        <v>0</v>
      </c>
      <c r="BP102">
        <f t="shared" si="32"/>
        <v>0</v>
      </c>
      <c r="BQ102">
        <f t="shared" si="21"/>
        <v>1</v>
      </c>
      <c r="BR102">
        <f t="shared" si="33"/>
        <v>0</v>
      </c>
      <c r="BS102" s="9">
        <f t="shared" si="34"/>
        <v>0</v>
      </c>
      <c r="BT102" s="9">
        <f t="shared" si="35"/>
        <v>0</v>
      </c>
      <c r="BU102" s="9">
        <f t="shared" si="36"/>
        <v>0</v>
      </c>
      <c r="BV102" s="12">
        <f t="shared" si="37"/>
        <v>3.315815804039419E-3</v>
      </c>
      <c r="BX102" s="12">
        <f t="shared" si="38"/>
        <v>0</v>
      </c>
      <c r="BY102" s="12">
        <f t="shared" si="39"/>
        <v>1.2974537750075408E-2</v>
      </c>
    </row>
    <row r="103" spans="1:77" x14ac:dyDescent="0.3">
      <c r="A103" s="1">
        <v>46171</v>
      </c>
      <c r="B103" s="8">
        <v>44.42</v>
      </c>
      <c r="C103" s="8">
        <v>112.11</v>
      </c>
      <c r="D103" s="9">
        <v>-4.7164601748971597E-3</v>
      </c>
      <c r="E103" s="9">
        <v>-4.44998954343201E-3</v>
      </c>
      <c r="F103" s="8">
        <v>0</v>
      </c>
      <c r="G103" s="8">
        <v>0.30990000000000001</v>
      </c>
      <c r="H103" s="8">
        <v>0</v>
      </c>
      <c r="I103" s="8">
        <v>0.62160000000000004</v>
      </c>
      <c r="J103" s="8">
        <v>0.30990000000000001</v>
      </c>
      <c r="K103" s="8">
        <v>0.62160000000000004</v>
      </c>
      <c r="L103" s="8">
        <v>44.729900000000001</v>
      </c>
      <c r="M103" s="8">
        <v>112.7316</v>
      </c>
      <c r="N103" s="10">
        <v>2.5238631247185901</v>
      </c>
      <c r="O103" s="10">
        <v>2.5326711528669299</v>
      </c>
      <c r="P103" s="10">
        <v>2.5267657082445298</v>
      </c>
      <c r="Q103" s="10">
        <v>2.5251507754651601</v>
      </c>
      <c r="R103" s="8">
        <v>112.501252610349</v>
      </c>
      <c r="S103" s="8">
        <v>112.24868198071201</v>
      </c>
      <c r="T103" s="8">
        <v>112.16990022097499</v>
      </c>
      <c r="U103" s="9">
        <v>3.4838237312015199E-3</v>
      </c>
      <c r="V103" s="9">
        <v>1.23625256799183E-3</v>
      </c>
      <c r="W103" s="9">
        <v>5.3415595727416599E-4</v>
      </c>
      <c r="X103" s="10">
        <v>2.5202739107397898</v>
      </c>
      <c r="Y103" s="10">
        <v>2.53031067016226</v>
      </c>
      <c r="Z103" s="10">
        <v>2.52317436957158</v>
      </c>
      <c r="AA103" s="10">
        <v>2.52160251215567</v>
      </c>
      <c r="AB103" s="8">
        <v>113.18054324529</v>
      </c>
      <c r="AC103" s="8">
        <v>112.87125762925299</v>
      </c>
      <c r="AD103" s="8">
        <v>112.794145574073</v>
      </c>
      <c r="AE103" s="9">
        <v>3.9744993768340798E-3</v>
      </c>
      <c r="AF103" s="9">
        <v>1.23808402571677E-3</v>
      </c>
      <c r="AG103" s="9">
        <v>5.5466461726943995E-4</v>
      </c>
      <c r="AZ103" s="9"/>
      <c r="BB103">
        <f t="shared" si="22"/>
        <v>0</v>
      </c>
      <c r="BC103">
        <f t="shared" si="23"/>
        <v>1</v>
      </c>
      <c r="BD103">
        <f t="shared" si="24"/>
        <v>0</v>
      </c>
      <c r="BE103">
        <f t="shared" si="20"/>
        <v>1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9.6587219460359877E-3</v>
      </c>
      <c r="BL103" s="9"/>
      <c r="BN103">
        <f t="shared" si="30"/>
        <v>0</v>
      </c>
      <c r="BO103">
        <f t="shared" si="31"/>
        <v>0</v>
      </c>
      <c r="BP103">
        <f t="shared" si="32"/>
        <v>0</v>
      </c>
      <c r="BQ103">
        <f t="shared" si="21"/>
        <v>1</v>
      </c>
      <c r="BR103">
        <f t="shared" si="33"/>
        <v>0</v>
      </c>
      <c r="BS103" s="9">
        <f t="shared" si="34"/>
        <v>0</v>
      </c>
      <c r="BT103" s="9">
        <f t="shared" si="35"/>
        <v>0</v>
      </c>
      <c r="BU103" s="9">
        <f t="shared" si="36"/>
        <v>0</v>
      </c>
      <c r="BV103" s="12">
        <f t="shared" si="37"/>
        <v>3.315815804039419E-3</v>
      </c>
      <c r="BX103" s="12">
        <f t="shared" si="38"/>
        <v>0</v>
      </c>
      <c r="BY103" s="12">
        <f t="shared" si="39"/>
        <v>1.2974537750075408E-2</v>
      </c>
    </row>
    <row r="104" spans="1:77" x14ac:dyDescent="0.3">
      <c r="A104" s="1">
        <v>46174</v>
      </c>
      <c r="B104" s="8">
        <v>43.1</v>
      </c>
      <c r="C104" s="8">
        <v>109.08</v>
      </c>
      <c r="D104" s="9">
        <v>-3.0166821356579301E-2</v>
      </c>
      <c r="E104" s="9">
        <v>-2.7398974188114499E-2</v>
      </c>
      <c r="F104" s="8">
        <v>0</v>
      </c>
      <c r="G104" s="8">
        <v>0.30990000000000001</v>
      </c>
      <c r="H104" s="8">
        <v>0</v>
      </c>
      <c r="I104" s="8">
        <v>0.62160000000000004</v>
      </c>
      <c r="J104" s="8">
        <v>0.30990000000000001</v>
      </c>
      <c r="K104" s="8">
        <v>0.62160000000000004</v>
      </c>
      <c r="L104" s="8">
        <v>43.4099</v>
      </c>
      <c r="M104" s="8">
        <v>109.7016</v>
      </c>
      <c r="N104" s="10">
        <v>2.53085846867749</v>
      </c>
      <c r="O104" s="10">
        <v>2.5326711528669299</v>
      </c>
      <c r="P104" s="10">
        <v>2.5266489109363102</v>
      </c>
      <c r="Q104" s="10">
        <v>2.525581991058</v>
      </c>
      <c r="R104" s="8">
        <v>109.158126688564</v>
      </c>
      <c r="S104" s="8">
        <v>108.903602025339</v>
      </c>
      <c r="T104" s="8">
        <v>108.83399842254801</v>
      </c>
      <c r="U104" s="9">
        <v>7.1597656273669698E-4</v>
      </c>
      <c r="V104" s="9">
        <v>-1.618452136087E-3</v>
      </c>
      <c r="W104" s="9">
        <v>-2.25778686760652E-3</v>
      </c>
      <c r="X104" s="10">
        <v>2.52711017532866</v>
      </c>
      <c r="Y104" s="10">
        <v>2.53031067016226</v>
      </c>
      <c r="Z104" s="10">
        <v>2.5230518587352102</v>
      </c>
      <c r="AA104" s="10">
        <v>2.5220170778129698</v>
      </c>
      <c r="AB104" s="8">
        <v>109.840533160676</v>
      </c>
      <c r="AC104" s="8">
        <v>109.530747065665</v>
      </c>
      <c r="AD104" s="8">
        <v>109.46251289242601</v>
      </c>
      <c r="AE104" s="9">
        <v>1.2656630162325099E-3</v>
      </c>
      <c r="AF104" s="9">
        <v>-1.55864744605766E-3</v>
      </c>
      <c r="AG104" s="9">
        <v>-2.1818097795449401E-3</v>
      </c>
      <c r="AZ104" s="9"/>
      <c r="BB104">
        <f t="shared" si="22"/>
        <v>1</v>
      </c>
      <c r="BC104">
        <f t="shared" si="23"/>
        <v>0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9.6587219460359877E-3</v>
      </c>
      <c r="BL104" s="9"/>
      <c r="BN104">
        <f t="shared" si="30"/>
        <v>0</v>
      </c>
      <c r="BO104">
        <f t="shared" si="31"/>
        <v>1</v>
      </c>
      <c r="BP104">
        <f t="shared" si="32"/>
        <v>0</v>
      </c>
      <c r="BQ104">
        <f t="shared" si="21"/>
        <v>1</v>
      </c>
      <c r="BR104">
        <f t="shared" si="33"/>
        <v>0</v>
      </c>
      <c r="BS104" s="9">
        <f t="shared" si="34"/>
        <v>0</v>
      </c>
      <c r="BT104" s="9">
        <f t="shared" si="35"/>
        <v>0</v>
      </c>
      <c r="BU104" s="9">
        <f t="shared" si="36"/>
        <v>0</v>
      </c>
      <c r="BV104" s="12">
        <f t="shared" si="37"/>
        <v>3.315815804039419E-3</v>
      </c>
      <c r="BX104" s="12">
        <f t="shared" si="38"/>
        <v>0</v>
      </c>
      <c r="BY104" s="12">
        <f t="shared" si="39"/>
        <v>1.2974537750075408E-2</v>
      </c>
    </row>
    <row r="105" spans="1:77" x14ac:dyDescent="0.3">
      <c r="A105" s="1">
        <v>46175</v>
      </c>
      <c r="B105" s="8">
        <v>43.9</v>
      </c>
      <c r="C105" s="8">
        <v>110.95</v>
      </c>
      <c r="D105" s="9">
        <v>1.8391322971423402E-2</v>
      </c>
      <c r="E105" s="9">
        <v>1.69980914012152E-2</v>
      </c>
      <c r="F105" s="8">
        <v>0</v>
      </c>
      <c r="G105" s="8">
        <v>0.30990000000000001</v>
      </c>
      <c r="H105" s="8">
        <v>0</v>
      </c>
      <c r="I105" s="8">
        <v>0.62160000000000004</v>
      </c>
      <c r="J105" s="8">
        <v>0.30990000000000001</v>
      </c>
      <c r="K105" s="8">
        <v>0.62160000000000004</v>
      </c>
      <c r="L105" s="8">
        <v>44.209899999999998</v>
      </c>
      <c r="M105" s="8">
        <v>111.5716</v>
      </c>
      <c r="N105" s="10">
        <v>2.5273348519362102</v>
      </c>
      <c r="O105" s="10">
        <v>2.5326711528669299</v>
      </c>
      <c r="P105" s="10">
        <v>2.5260369250329799</v>
      </c>
      <c r="Q105" s="10">
        <v>2.5256817506916902</v>
      </c>
      <c r="R105" s="8">
        <v>111.184263610858</v>
      </c>
      <c r="S105" s="8">
        <v>110.91988719010401</v>
      </c>
      <c r="T105" s="8">
        <v>110.873049407446</v>
      </c>
      <c r="U105" s="9">
        <v>2.1092081329449701E-3</v>
      </c>
      <c r="V105" s="9">
        <v>-2.7144566991143003E-4</v>
      </c>
      <c r="W105" s="9">
        <v>-6.9380162112006095E-4</v>
      </c>
      <c r="X105" s="10">
        <v>2.5236790854537099</v>
      </c>
      <c r="Y105" s="10">
        <v>2.53031067016226</v>
      </c>
      <c r="Z105" s="10">
        <v>2.5224438283519</v>
      </c>
      <c r="AA105" s="10">
        <v>2.52210650317706</v>
      </c>
      <c r="AB105" s="8">
        <v>111.86478169680601</v>
      </c>
      <c r="AC105" s="8">
        <v>111.543870369497</v>
      </c>
      <c r="AD105" s="8">
        <v>111.498122808403</v>
      </c>
      <c r="AE105" s="9">
        <v>2.6242983603693999E-3</v>
      </c>
      <c r="AF105" s="9">
        <v>-2.4856752962071501E-4</v>
      </c>
      <c r="AG105" s="9">
        <v>-6.5878231549018303E-4</v>
      </c>
      <c r="AZ105" s="9"/>
      <c r="BB105">
        <f t="shared" si="22"/>
        <v>0</v>
      </c>
      <c r="BC105">
        <f t="shared" si="23"/>
        <v>0</v>
      </c>
      <c r="BD105">
        <f t="shared" si="24"/>
        <v>1</v>
      </c>
      <c r="BE105">
        <f t="shared" si="20"/>
        <v>1</v>
      </c>
      <c r="BF105">
        <f t="shared" si="25"/>
        <v>1</v>
      </c>
      <c r="BG105" s="9">
        <f t="shared" si="26"/>
        <v>1.8391322971423402E-2</v>
      </c>
      <c r="BH105" s="9">
        <f t="shared" si="27"/>
        <v>-1.69980914012152E-2</v>
      </c>
      <c r="BI105" s="9">
        <f t="shared" si="28"/>
        <v>1.3932315702082018E-3</v>
      </c>
      <c r="BJ105" s="12">
        <f t="shared" si="29"/>
        <v>1.105195351624419E-2</v>
      </c>
      <c r="BL105" s="9"/>
      <c r="BN105">
        <f t="shared" si="30"/>
        <v>0</v>
      </c>
      <c r="BO105">
        <f t="shared" si="31"/>
        <v>1</v>
      </c>
      <c r="BP105">
        <f t="shared" si="32"/>
        <v>0</v>
      </c>
      <c r="BQ105">
        <f t="shared" si="21"/>
        <v>1</v>
      </c>
      <c r="BR105">
        <f t="shared" si="33"/>
        <v>0</v>
      </c>
      <c r="BS105" s="9">
        <f t="shared" si="34"/>
        <v>0</v>
      </c>
      <c r="BT105" s="9">
        <f t="shared" si="35"/>
        <v>0</v>
      </c>
      <c r="BU105" s="9">
        <f t="shared" si="36"/>
        <v>0</v>
      </c>
      <c r="BV105" s="12">
        <f t="shared" si="37"/>
        <v>3.315815804039419E-3</v>
      </c>
      <c r="BX105" s="12">
        <f t="shared" si="38"/>
        <v>1.3932315702082018E-3</v>
      </c>
      <c r="BY105" s="12">
        <f t="shared" si="39"/>
        <v>1.4367769320283609E-2</v>
      </c>
    </row>
    <row r="106" spans="1:77" x14ac:dyDescent="0.3">
      <c r="A106" s="1">
        <v>46176</v>
      </c>
      <c r="B106" s="8">
        <v>43.71</v>
      </c>
      <c r="C106" s="8">
        <v>110.64</v>
      </c>
      <c r="D106" s="9">
        <v>-4.3374112059024698E-3</v>
      </c>
      <c r="E106" s="9">
        <v>-2.7979620221001999E-3</v>
      </c>
      <c r="F106" s="8">
        <v>0</v>
      </c>
      <c r="G106" s="8">
        <v>0.30990000000000001</v>
      </c>
      <c r="H106" s="8">
        <v>0</v>
      </c>
      <c r="I106" s="8">
        <v>0.62160000000000004</v>
      </c>
      <c r="J106" s="8">
        <v>0.30990000000000001</v>
      </c>
      <c r="K106" s="8">
        <v>0.62160000000000004</v>
      </c>
      <c r="L106" s="8">
        <v>44.0199</v>
      </c>
      <c r="M106" s="8">
        <v>111.2616</v>
      </c>
      <c r="N106" s="10">
        <v>2.5312285518188</v>
      </c>
      <c r="O106" s="10">
        <v>2.5326711528669299</v>
      </c>
      <c r="P106" s="10">
        <v>2.5259798072784601</v>
      </c>
      <c r="Q106" s="10">
        <v>2.5261271549917099</v>
      </c>
      <c r="R106" s="8">
        <v>110.703056091813</v>
      </c>
      <c r="S106" s="8">
        <v>110.41307399319101</v>
      </c>
      <c r="T106" s="8">
        <v>110.397549322733</v>
      </c>
      <c r="U106" s="9">
        <v>5.6975894914276695E-4</v>
      </c>
      <c r="V106" s="9">
        <v>-2.0531366736836099E-3</v>
      </c>
      <c r="W106" s="9">
        <v>-2.1937519235330299E-3</v>
      </c>
      <c r="X106" s="10">
        <v>2.52752959456972</v>
      </c>
      <c r="Y106" s="10">
        <v>2.53031067016226</v>
      </c>
      <c r="Z106" s="10">
        <v>2.52238188788749</v>
      </c>
      <c r="AA106" s="10">
        <v>2.52253841147331</v>
      </c>
      <c r="AB106" s="8">
        <v>111.384022669475</v>
      </c>
      <c r="AC106" s="8">
        <v>111.03772507966799</v>
      </c>
      <c r="AD106" s="8">
        <v>111.02287605920399</v>
      </c>
      <c r="AE106" s="9">
        <v>1.09970885881877E-3</v>
      </c>
      <c r="AF106" s="9">
        <v>-2.01417611986218E-3</v>
      </c>
      <c r="AG106" s="9">
        <v>-2.14791457152721E-3</v>
      </c>
      <c r="AZ106" s="9"/>
      <c r="BB106">
        <f t="shared" si="22"/>
        <v>1</v>
      </c>
      <c r="BC106">
        <f t="shared" si="23"/>
        <v>0</v>
      </c>
      <c r="BD106">
        <f t="shared" si="24"/>
        <v>1</v>
      </c>
      <c r="BE106">
        <f t="shared" si="20"/>
        <v>1</v>
      </c>
      <c r="BF106">
        <f t="shared" si="25"/>
        <v>1</v>
      </c>
      <c r="BG106" s="9">
        <f t="shared" si="26"/>
        <v>-4.3374112059024698E-3</v>
      </c>
      <c r="BH106" s="9">
        <f t="shared" si="27"/>
        <v>2.7979620221001999E-3</v>
      </c>
      <c r="BI106" s="9">
        <f t="shared" si="28"/>
        <v>-1.5394491838022699E-3</v>
      </c>
      <c r="BJ106" s="12">
        <f t="shared" si="29"/>
        <v>9.5125043324419192E-3</v>
      </c>
      <c r="BL106" s="9"/>
      <c r="BN106">
        <f t="shared" si="30"/>
        <v>0</v>
      </c>
      <c r="BO106">
        <f t="shared" si="31"/>
        <v>1</v>
      </c>
      <c r="BP106">
        <f t="shared" si="32"/>
        <v>0</v>
      </c>
      <c r="BQ106">
        <f t="shared" si="21"/>
        <v>1</v>
      </c>
      <c r="BR106">
        <f t="shared" si="33"/>
        <v>0</v>
      </c>
      <c r="BS106" s="9">
        <f t="shared" si="34"/>
        <v>0</v>
      </c>
      <c r="BT106" s="9">
        <f t="shared" si="35"/>
        <v>0</v>
      </c>
      <c r="BU106" s="9">
        <f t="shared" si="36"/>
        <v>0</v>
      </c>
      <c r="BV106" s="12">
        <f t="shared" si="37"/>
        <v>3.315815804039419E-3</v>
      </c>
      <c r="BX106" s="12">
        <f t="shared" si="38"/>
        <v>-1.5394491838022699E-3</v>
      </c>
      <c r="BY106" s="12">
        <f t="shared" si="39"/>
        <v>1.2828320136481339E-2</v>
      </c>
    </row>
    <row r="107" spans="1:77" x14ac:dyDescent="0.3">
      <c r="A107" s="1">
        <v>46177</v>
      </c>
      <c r="B107" s="8">
        <v>43.94</v>
      </c>
      <c r="C107" s="8">
        <v>111.3</v>
      </c>
      <c r="D107" s="9">
        <v>5.2481580812408397E-3</v>
      </c>
      <c r="E107" s="9">
        <v>5.9475709249962698E-3</v>
      </c>
      <c r="F107" s="8">
        <v>0</v>
      </c>
      <c r="G107" s="8">
        <v>0.30990000000000001</v>
      </c>
      <c r="H107" s="8">
        <v>0</v>
      </c>
      <c r="I107" s="8">
        <v>0.62160000000000004</v>
      </c>
      <c r="J107" s="8">
        <v>0.30990000000000001</v>
      </c>
      <c r="K107" s="8">
        <v>0.62160000000000004</v>
      </c>
      <c r="L107" s="8">
        <v>44.249899999999997</v>
      </c>
      <c r="M107" s="8">
        <v>111.9216</v>
      </c>
      <c r="N107" s="10">
        <v>2.53299954483386</v>
      </c>
      <c r="O107" s="10">
        <v>2.5326711528669299</v>
      </c>
      <c r="P107" s="10">
        <v>2.52641523693597</v>
      </c>
      <c r="Q107" s="10">
        <v>2.52667781042198</v>
      </c>
      <c r="R107" s="8">
        <v>111.28557045697301</v>
      </c>
      <c r="S107" s="8">
        <v>110.99155273181501</v>
      </c>
      <c r="T107" s="8">
        <v>110.99802719033499</v>
      </c>
      <c r="U107" s="9">
        <v>-1.29653894612747E-4</v>
      </c>
      <c r="V107" s="9">
        <v>-2.7751613802055402E-3</v>
      </c>
      <c r="W107" s="9">
        <v>-2.7168301871452402E-3</v>
      </c>
      <c r="X107" s="10">
        <v>2.5293074108642002</v>
      </c>
      <c r="Y107" s="10">
        <v>2.53031067016226</v>
      </c>
      <c r="Z107" s="10">
        <v>2.5228096113411098</v>
      </c>
      <c r="AA107" s="10">
        <v>2.5230782584929998</v>
      </c>
      <c r="AB107" s="8">
        <v>111.96599412361201</v>
      </c>
      <c r="AC107" s="8">
        <v>111.615146300832</v>
      </c>
      <c r="AD107" s="8">
        <v>111.622072453852</v>
      </c>
      <c r="AE107" s="9">
        <v>3.96575115013283E-4</v>
      </c>
      <c r="AF107" s="9">
        <v>-2.7418659010426602E-3</v>
      </c>
      <c r="AG107" s="9">
        <v>-2.6798139451815698E-3</v>
      </c>
      <c r="AZ107" s="9"/>
      <c r="BB107">
        <f t="shared" si="22"/>
        <v>1</v>
      </c>
      <c r="BC107">
        <f t="shared" si="23"/>
        <v>0</v>
      </c>
      <c r="BD107">
        <f t="shared" si="24"/>
        <v>1</v>
      </c>
      <c r="BE107">
        <f t="shared" si="20"/>
        <v>1</v>
      </c>
      <c r="BF107">
        <f t="shared" si="25"/>
        <v>1</v>
      </c>
      <c r="BG107" s="9">
        <f t="shared" si="26"/>
        <v>5.2481580812408397E-3</v>
      </c>
      <c r="BH107" s="9">
        <f t="shared" si="27"/>
        <v>-5.9475709249962698E-3</v>
      </c>
      <c r="BI107" s="9">
        <f t="shared" si="28"/>
        <v>-6.9941284375543006E-4</v>
      </c>
      <c r="BJ107" s="12">
        <f t="shared" si="29"/>
        <v>8.8130914886864892E-3</v>
      </c>
      <c r="BL107" s="9"/>
      <c r="BN107">
        <f t="shared" si="30"/>
        <v>0</v>
      </c>
      <c r="BO107">
        <f t="shared" si="31"/>
        <v>1</v>
      </c>
      <c r="BP107">
        <f t="shared" si="32"/>
        <v>0</v>
      </c>
      <c r="BQ107">
        <f t="shared" si="21"/>
        <v>1</v>
      </c>
      <c r="BR107">
        <f t="shared" si="33"/>
        <v>0</v>
      </c>
      <c r="BS107" s="9">
        <f t="shared" si="34"/>
        <v>0</v>
      </c>
      <c r="BT107" s="9">
        <f t="shared" si="35"/>
        <v>0</v>
      </c>
      <c r="BU107" s="9">
        <f t="shared" si="36"/>
        <v>0</v>
      </c>
      <c r="BV107" s="12">
        <f t="shared" si="37"/>
        <v>3.315815804039419E-3</v>
      </c>
      <c r="BX107" s="12">
        <f t="shared" si="38"/>
        <v>-6.9941284375543006E-4</v>
      </c>
      <c r="BY107" s="12">
        <f t="shared" si="39"/>
        <v>1.2128907292725909E-2</v>
      </c>
    </row>
    <row r="108" spans="1:77" x14ac:dyDescent="0.3">
      <c r="A108" s="1">
        <v>46178</v>
      </c>
      <c r="B108" s="8">
        <v>44.35</v>
      </c>
      <c r="C108" s="8">
        <v>112.23</v>
      </c>
      <c r="D108" s="9">
        <v>9.2876417991243302E-3</v>
      </c>
      <c r="E108" s="9">
        <v>8.3210787466653606E-3</v>
      </c>
      <c r="F108" s="8">
        <v>0</v>
      </c>
      <c r="G108" s="8">
        <v>0.30990000000000001</v>
      </c>
      <c r="H108" s="8">
        <v>0</v>
      </c>
      <c r="I108" s="8">
        <v>0.62160000000000004</v>
      </c>
      <c r="J108" s="8">
        <v>0.30990000000000001</v>
      </c>
      <c r="K108" s="8">
        <v>0.62160000000000004</v>
      </c>
      <c r="L108" s="8">
        <v>44.6599</v>
      </c>
      <c r="M108" s="8">
        <v>112.8516</v>
      </c>
      <c r="N108" s="10">
        <v>2.5305524239007799</v>
      </c>
      <c r="O108" s="10">
        <v>2.5326711528669299</v>
      </c>
      <c r="P108" s="10">
        <v>2.5270482571038202</v>
      </c>
      <c r="Q108" s="10">
        <v>2.5269642968652501</v>
      </c>
      <c r="R108" s="8">
        <v>112.323965629648</v>
      </c>
      <c r="S108" s="8">
        <v>112.04651575811</v>
      </c>
      <c r="T108" s="8">
        <v>112.058160892215</v>
      </c>
      <c r="U108" s="9">
        <v>8.36909157846322E-4</v>
      </c>
      <c r="V108" s="9">
        <v>-1.63623268540362E-3</v>
      </c>
      <c r="W108" s="9">
        <v>-1.53230683888111E-3</v>
      </c>
      <c r="X108" s="10">
        <v>2.5269111663931101</v>
      </c>
      <c r="Y108" s="10">
        <v>2.53031067016226</v>
      </c>
      <c r="Z108" s="10">
        <v>2.5234330783056298</v>
      </c>
      <c r="AA108" s="10">
        <v>2.52335970485115</v>
      </c>
      <c r="AB108" s="8">
        <v>113.003421498379</v>
      </c>
      <c r="AC108" s="8">
        <v>112.66842496153301</v>
      </c>
      <c r="AD108" s="8">
        <v>112.680422716471</v>
      </c>
      <c r="AE108" s="9">
        <v>1.3444157250948299E-3</v>
      </c>
      <c r="AF108" s="9">
        <v>-1.6244684149858801E-3</v>
      </c>
      <c r="AG108" s="9">
        <v>-1.51798679705593E-3</v>
      </c>
      <c r="AZ108" s="9"/>
      <c r="BB108">
        <f t="shared" si="22"/>
        <v>1</v>
      </c>
      <c r="BC108">
        <f t="shared" si="23"/>
        <v>0</v>
      </c>
      <c r="BD108">
        <f t="shared" si="24"/>
        <v>1</v>
      </c>
      <c r="BE108">
        <f t="shared" si="20"/>
        <v>1</v>
      </c>
      <c r="BF108">
        <f t="shared" si="25"/>
        <v>1</v>
      </c>
      <c r="BG108" s="9">
        <f t="shared" si="26"/>
        <v>9.2876417991243302E-3</v>
      </c>
      <c r="BH108" s="9">
        <f t="shared" si="27"/>
        <v>-8.3210787466653606E-3</v>
      </c>
      <c r="BI108" s="9">
        <f t="shared" si="28"/>
        <v>9.665630524589696E-4</v>
      </c>
      <c r="BJ108" s="12">
        <f t="shared" si="29"/>
        <v>9.7796545411454588E-3</v>
      </c>
      <c r="BL108" s="9"/>
      <c r="BN108">
        <f t="shared" si="30"/>
        <v>0</v>
      </c>
      <c r="BO108">
        <f t="shared" si="31"/>
        <v>1</v>
      </c>
      <c r="BP108">
        <f t="shared" si="32"/>
        <v>0</v>
      </c>
      <c r="BQ108">
        <f t="shared" si="21"/>
        <v>1</v>
      </c>
      <c r="BR108">
        <f t="shared" si="33"/>
        <v>0</v>
      </c>
      <c r="BS108" s="9">
        <f t="shared" si="34"/>
        <v>0</v>
      </c>
      <c r="BT108" s="9">
        <f t="shared" si="35"/>
        <v>0</v>
      </c>
      <c r="BU108" s="9">
        <f t="shared" si="36"/>
        <v>0</v>
      </c>
      <c r="BV108" s="12">
        <f t="shared" si="37"/>
        <v>3.315815804039419E-3</v>
      </c>
      <c r="BX108" s="12">
        <f t="shared" si="38"/>
        <v>9.665630524589696E-4</v>
      </c>
      <c r="BY108" s="12">
        <f t="shared" si="39"/>
        <v>1.3095470345184879E-2</v>
      </c>
    </row>
    <row r="109" spans="1:77" x14ac:dyDescent="0.3">
      <c r="A109" s="1">
        <v>46181</v>
      </c>
      <c r="B109" s="8">
        <v>43.52</v>
      </c>
      <c r="C109" s="8">
        <v>110.16</v>
      </c>
      <c r="D109" s="9">
        <v>-1.8892106207901299E-2</v>
      </c>
      <c r="E109" s="9">
        <v>-1.8616482607765002E-2</v>
      </c>
      <c r="F109" s="8">
        <v>0</v>
      </c>
      <c r="G109" s="8">
        <v>0.30990000000000001</v>
      </c>
      <c r="H109" s="8">
        <v>0</v>
      </c>
      <c r="I109" s="8">
        <v>0.62160000000000004</v>
      </c>
      <c r="J109" s="8">
        <v>0.30990000000000001</v>
      </c>
      <c r="K109" s="8">
        <v>0.62160000000000004</v>
      </c>
      <c r="L109" s="8">
        <v>43.829900000000002</v>
      </c>
      <c r="M109" s="8">
        <v>110.7816</v>
      </c>
      <c r="N109" s="10">
        <v>2.5312499999999898</v>
      </c>
      <c r="O109" s="10">
        <v>2.5326711528669299</v>
      </c>
      <c r="P109" s="10">
        <v>2.5277366529141898</v>
      </c>
      <c r="Q109" s="10">
        <v>2.52736400616757</v>
      </c>
      <c r="R109" s="8">
        <v>110.221848572768</v>
      </c>
      <c r="S109" s="8">
        <v>109.977140149158</v>
      </c>
      <c r="T109" s="8">
        <v>109.97348619957501</v>
      </c>
      <c r="U109" s="9">
        <v>5.6128555771000905E-4</v>
      </c>
      <c r="V109" s="9">
        <v>-1.66132705072316E-3</v>
      </c>
      <c r="W109" s="9">
        <v>-1.6945522307900099E-3</v>
      </c>
      <c r="X109" s="10">
        <v>2.5275348563423599</v>
      </c>
      <c r="Y109" s="10">
        <v>2.53031067016226</v>
      </c>
      <c r="Z109" s="10">
        <v>2.5241019119804902</v>
      </c>
      <c r="AA109" s="10">
        <v>2.5237517130808</v>
      </c>
      <c r="AB109" s="8">
        <v>110.903263642144</v>
      </c>
      <c r="AC109" s="8">
        <v>110.60181947882801</v>
      </c>
      <c r="AD109" s="8">
        <v>110.598603527655</v>
      </c>
      <c r="AE109" s="9">
        <v>1.09762707620957E-3</v>
      </c>
      <c r="AF109" s="9">
        <v>-1.62415560401947E-3</v>
      </c>
      <c r="AG109" s="9">
        <v>-1.65323286462524E-3</v>
      </c>
      <c r="AZ109" s="9"/>
      <c r="BB109">
        <f t="shared" si="22"/>
        <v>1</v>
      </c>
      <c r="BC109">
        <f t="shared" si="23"/>
        <v>0</v>
      </c>
      <c r="BD109">
        <f t="shared" si="24"/>
        <v>1</v>
      </c>
      <c r="BE109">
        <f t="shared" si="20"/>
        <v>1</v>
      </c>
      <c r="BF109">
        <f t="shared" si="25"/>
        <v>1</v>
      </c>
      <c r="BG109" s="9">
        <f t="shared" si="26"/>
        <v>-1.8892106207901299E-2</v>
      </c>
      <c r="BH109" s="9">
        <f t="shared" si="27"/>
        <v>1.8616482607765002E-2</v>
      </c>
      <c r="BI109" s="9">
        <f t="shared" si="28"/>
        <v>-2.7562360013629744E-4</v>
      </c>
      <c r="BJ109" s="12">
        <f t="shared" si="29"/>
        <v>9.5040309410091613E-3</v>
      </c>
      <c r="BL109" s="9"/>
      <c r="BN109">
        <f t="shared" si="30"/>
        <v>0</v>
      </c>
      <c r="BO109">
        <f t="shared" si="31"/>
        <v>1</v>
      </c>
      <c r="BP109">
        <f t="shared" si="32"/>
        <v>0</v>
      </c>
      <c r="BQ109">
        <f t="shared" si="21"/>
        <v>1</v>
      </c>
      <c r="BR109">
        <f t="shared" si="33"/>
        <v>0</v>
      </c>
      <c r="BS109" s="9">
        <f t="shared" si="34"/>
        <v>0</v>
      </c>
      <c r="BT109" s="9">
        <f t="shared" si="35"/>
        <v>0</v>
      </c>
      <c r="BU109" s="9">
        <f t="shared" si="36"/>
        <v>0</v>
      </c>
      <c r="BV109" s="12">
        <f t="shared" si="37"/>
        <v>3.315815804039419E-3</v>
      </c>
      <c r="BX109" s="12">
        <f t="shared" si="38"/>
        <v>-2.7562360013629744E-4</v>
      </c>
      <c r="BY109" s="12">
        <f t="shared" si="39"/>
        <v>1.2819846745048581E-2</v>
      </c>
    </row>
    <row r="110" spans="1:77" x14ac:dyDescent="0.3">
      <c r="A110" s="1">
        <v>46182</v>
      </c>
      <c r="B110" s="8">
        <v>43.98</v>
      </c>
      <c r="C110" s="8">
        <v>111.52</v>
      </c>
      <c r="D110" s="9">
        <v>1.0514382578927801E-2</v>
      </c>
      <c r="E110" s="9">
        <v>1.2270092591814399E-2</v>
      </c>
      <c r="F110" s="8">
        <v>0</v>
      </c>
      <c r="G110" s="8">
        <v>0.30990000000000001</v>
      </c>
      <c r="H110" s="8">
        <v>0</v>
      </c>
      <c r="I110" s="8">
        <v>0.62160000000000004</v>
      </c>
      <c r="J110" s="8">
        <v>0.30990000000000001</v>
      </c>
      <c r="K110" s="8">
        <v>0.62160000000000004</v>
      </c>
      <c r="L110" s="8">
        <v>44.289899999999903</v>
      </c>
      <c r="M110" s="8">
        <v>112.1416</v>
      </c>
      <c r="N110" s="10">
        <v>2.5356980445657098</v>
      </c>
      <c r="O110" s="10">
        <v>2.5326711528669299</v>
      </c>
      <c r="P110" s="10">
        <v>2.52891289902088</v>
      </c>
      <c r="Q110" s="10">
        <v>2.52812985655713</v>
      </c>
      <c r="R110" s="8">
        <v>111.386877303087</v>
      </c>
      <c r="S110" s="8">
        <v>111.169857995166</v>
      </c>
      <c r="T110" s="8">
        <v>111.15346899124999</v>
      </c>
      <c r="U110" s="9">
        <v>-1.1944244551764301E-3</v>
      </c>
      <c r="V110" s="9">
        <v>-3.1446631340068202E-3</v>
      </c>
      <c r="W110" s="9">
        <v>-3.29209709127878E-3</v>
      </c>
      <c r="X110" s="10">
        <v>2.5319903634914498</v>
      </c>
      <c r="Y110" s="10">
        <v>2.53031067016226</v>
      </c>
      <c r="Z110" s="10">
        <v>2.5252592041540298</v>
      </c>
      <c r="AA110" s="10">
        <v>2.5245076100372899</v>
      </c>
      <c r="AB110" s="8">
        <v>112.067206550419</v>
      </c>
      <c r="AC110" s="8">
        <v>111.792221271424</v>
      </c>
      <c r="AD110" s="8">
        <v>111.77671099717701</v>
      </c>
      <c r="AE110" s="9">
        <v>-6.6360865529958E-4</v>
      </c>
      <c r="AF110" s="9">
        <v>-3.1203773514513898E-3</v>
      </c>
      <c r="AG110" s="9">
        <v>-3.2591289580788602E-3</v>
      </c>
      <c r="AZ110" s="9"/>
      <c r="BB110">
        <f t="shared" si="22"/>
        <v>1</v>
      </c>
      <c r="BC110">
        <f t="shared" si="23"/>
        <v>0</v>
      </c>
      <c r="BD110">
        <f t="shared" si="24"/>
        <v>1</v>
      </c>
      <c r="BE110">
        <f t="shared" si="20"/>
        <v>1</v>
      </c>
      <c r="BF110">
        <f t="shared" si="25"/>
        <v>1</v>
      </c>
      <c r="BG110" s="9">
        <f t="shared" si="26"/>
        <v>1.0514382578927801E-2</v>
      </c>
      <c r="BH110" s="9">
        <f t="shared" si="27"/>
        <v>-1.2270092591814399E-2</v>
      </c>
      <c r="BI110" s="9">
        <f t="shared" si="28"/>
        <v>-1.7557100128865986E-3</v>
      </c>
      <c r="BJ110" s="12">
        <f t="shared" si="29"/>
        <v>7.7483209281225627E-3</v>
      </c>
      <c r="BL110" s="9"/>
      <c r="BN110">
        <f t="shared" si="30"/>
        <v>0</v>
      </c>
      <c r="BO110">
        <f t="shared" si="31"/>
        <v>1</v>
      </c>
      <c r="BP110">
        <f t="shared" si="32"/>
        <v>0</v>
      </c>
      <c r="BQ110">
        <f t="shared" si="21"/>
        <v>1</v>
      </c>
      <c r="BR110">
        <f t="shared" si="33"/>
        <v>0</v>
      </c>
      <c r="BS110" s="9">
        <f t="shared" si="34"/>
        <v>0</v>
      </c>
      <c r="BT110" s="9">
        <f t="shared" si="35"/>
        <v>0</v>
      </c>
      <c r="BU110" s="9">
        <f t="shared" si="36"/>
        <v>0</v>
      </c>
      <c r="BV110" s="12">
        <f t="shared" si="37"/>
        <v>3.315815804039419E-3</v>
      </c>
      <c r="BX110" s="12">
        <f t="shared" si="38"/>
        <v>-1.7557100128865986E-3</v>
      </c>
      <c r="BY110" s="12">
        <f t="shared" si="39"/>
        <v>1.1064136732161983E-2</v>
      </c>
    </row>
    <row r="111" spans="1:77" x14ac:dyDescent="0.3">
      <c r="A111" s="1">
        <v>46183</v>
      </c>
      <c r="B111" s="8">
        <v>44</v>
      </c>
      <c r="C111" s="8">
        <v>111.55</v>
      </c>
      <c r="D111" s="9">
        <v>4.5464879164612402E-4</v>
      </c>
      <c r="E111" s="9">
        <v>2.6897386632774298E-4</v>
      </c>
      <c r="F111" s="8">
        <v>0</v>
      </c>
      <c r="G111" s="8">
        <v>0.30990000000000001</v>
      </c>
      <c r="H111" s="8">
        <v>0</v>
      </c>
      <c r="I111" s="8">
        <v>0.62160000000000004</v>
      </c>
      <c r="J111" s="8">
        <v>0.30990000000000001</v>
      </c>
      <c r="K111" s="8">
        <v>0.62160000000000004</v>
      </c>
      <c r="L111" s="8">
        <v>44.309899999999999</v>
      </c>
      <c r="M111" s="8">
        <v>112.1716</v>
      </c>
      <c r="N111" s="10">
        <v>2.53522727272727</v>
      </c>
      <c r="O111" s="10">
        <v>2.5326711528669299</v>
      </c>
      <c r="P111" s="10">
        <v>2.53022029620942</v>
      </c>
      <c r="Q111" s="10">
        <v>2.5286464757810201</v>
      </c>
      <c r="R111" s="8">
        <v>111.437530726145</v>
      </c>
      <c r="S111" s="8">
        <v>111.27216755691801</v>
      </c>
      <c r="T111" s="8">
        <v>111.23771368851401</v>
      </c>
      <c r="U111" s="9">
        <v>-1.00874952985813E-3</v>
      </c>
      <c r="V111" s="9">
        <v>-2.49376074302101E-3</v>
      </c>
      <c r="W111" s="9">
        <v>-2.8034446859293502E-3</v>
      </c>
      <c r="X111" s="10">
        <v>2.53152455771734</v>
      </c>
      <c r="Y111" s="10">
        <v>2.53031067016226</v>
      </c>
      <c r="Z111" s="10">
        <v>2.52654839950055</v>
      </c>
      <c r="AA111" s="10">
        <v>2.525015868543</v>
      </c>
      <c r="AB111" s="8">
        <v>112.117812763822</v>
      </c>
      <c r="AC111" s="8">
        <v>111.893982810145</v>
      </c>
      <c r="AD111" s="8">
        <v>111.86067974999099</v>
      </c>
      <c r="AE111" s="9">
        <v>-4.7962350559095998E-4</v>
      </c>
      <c r="AF111" s="9">
        <v>-2.4780006677680099E-3</v>
      </c>
      <c r="AG111" s="9">
        <v>-2.7756754515562902E-3</v>
      </c>
      <c r="AZ111" s="9"/>
      <c r="BB111">
        <f t="shared" si="22"/>
        <v>1</v>
      </c>
      <c r="BC111">
        <f t="shared" si="23"/>
        <v>0</v>
      </c>
      <c r="BD111">
        <f t="shared" si="24"/>
        <v>1</v>
      </c>
      <c r="BE111">
        <f t="shared" si="20"/>
        <v>1</v>
      </c>
      <c r="BF111">
        <f t="shared" si="25"/>
        <v>1</v>
      </c>
      <c r="BG111" s="9">
        <f t="shared" si="26"/>
        <v>4.5464879164612402E-4</v>
      </c>
      <c r="BH111" s="9">
        <f t="shared" si="27"/>
        <v>-2.6897386632774298E-4</v>
      </c>
      <c r="BI111" s="9">
        <f t="shared" si="28"/>
        <v>1.8567492531838104E-4</v>
      </c>
      <c r="BJ111" s="12">
        <f t="shared" si="29"/>
        <v>7.9339958534409439E-3</v>
      </c>
      <c r="BL111" s="9"/>
      <c r="BN111">
        <f t="shared" si="30"/>
        <v>0</v>
      </c>
      <c r="BO111">
        <f t="shared" si="31"/>
        <v>1</v>
      </c>
      <c r="BP111">
        <f t="shared" si="32"/>
        <v>0</v>
      </c>
      <c r="BQ111">
        <f t="shared" si="21"/>
        <v>1</v>
      </c>
      <c r="BR111">
        <f t="shared" si="33"/>
        <v>0</v>
      </c>
      <c r="BS111" s="9">
        <f t="shared" si="34"/>
        <v>0</v>
      </c>
      <c r="BT111" s="9">
        <f t="shared" si="35"/>
        <v>0</v>
      </c>
      <c r="BU111" s="9">
        <f t="shared" si="36"/>
        <v>0</v>
      </c>
      <c r="BV111" s="12">
        <f t="shared" si="37"/>
        <v>3.315815804039419E-3</v>
      </c>
      <c r="BX111" s="12">
        <f t="shared" si="38"/>
        <v>1.8567492531838104E-4</v>
      </c>
      <c r="BY111" s="12">
        <f t="shared" si="39"/>
        <v>1.1249811657480364E-2</v>
      </c>
    </row>
    <row r="112" spans="1:77" x14ac:dyDescent="0.3">
      <c r="A112" s="1">
        <v>46184</v>
      </c>
      <c r="B112" s="8">
        <v>44.05</v>
      </c>
      <c r="C112" s="8">
        <v>111.38</v>
      </c>
      <c r="D112" s="9">
        <v>1.1357184639272E-3</v>
      </c>
      <c r="E112" s="9">
        <v>-1.52514271701903E-3</v>
      </c>
      <c r="F112" s="8">
        <v>0</v>
      </c>
      <c r="G112" s="8">
        <v>0.30990000000000001</v>
      </c>
      <c r="H112" s="8">
        <v>0</v>
      </c>
      <c r="I112" s="8">
        <v>0.62160000000000004</v>
      </c>
      <c r="J112" s="8">
        <v>0.30990000000000001</v>
      </c>
      <c r="K112" s="8">
        <v>0.62160000000000004</v>
      </c>
      <c r="L112" s="8">
        <v>44.359899999999897</v>
      </c>
      <c r="M112" s="8">
        <v>112.0016</v>
      </c>
      <c r="N112" s="10">
        <v>2.5284903518728701</v>
      </c>
      <c r="O112" s="10">
        <v>2.5326711528669299</v>
      </c>
      <c r="P112" s="10">
        <v>2.5307502635051602</v>
      </c>
      <c r="Q112" s="10">
        <v>2.5288677249618599</v>
      </c>
      <c r="R112" s="8">
        <v>111.564164283788</v>
      </c>
      <c r="S112" s="8">
        <v>111.456204048025</v>
      </c>
      <c r="T112" s="8">
        <v>111.386877258154</v>
      </c>
      <c r="U112" s="9">
        <v>1.6521116510880801E-3</v>
      </c>
      <c r="V112" s="9">
        <v>6.8394676997306702E-4</v>
      </c>
      <c r="W112" s="9">
        <v>6.1743992113024406E-5</v>
      </c>
      <c r="X112" s="10">
        <v>2.5248388747494901</v>
      </c>
      <c r="Y112" s="10">
        <v>2.53031067016226</v>
      </c>
      <c r="Z112" s="10">
        <v>2.5270699995649801</v>
      </c>
      <c r="AA112" s="10">
        <v>2.5252330767875102</v>
      </c>
      <c r="AB112" s="8">
        <v>112.24432829733</v>
      </c>
      <c r="AC112" s="8">
        <v>112.077434347004</v>
      </c>
      <c r="AD112" s="8">
        <v>112.00945142697999</v>
      </c>
      <c r="AE112" s="9">
        <v>2.16484102048202E-3</v>
      </c>
      <c r="AF112" s="9">
        <v>6.7685359427731902E-4</v>
      </c>
      <c r="AG112" s="9">
        <v>7.0098568209756094E-5</v>
      </c>
      <c r="AZ112" s="9"/>
      <c r="BB112">
        <f t="shared" si="22"/>
        <v>0</v>
      </c>
      <c r="BC112">
        <f t="shared" si="23"/>
        <v>1</v>
      </c>
      <c r="BD112">
        <f t="shared" si="24"/>
        <v>1</v>
      </c>
      <c r="BE112">
        <f t="shared" si="20"/>
        <v>1</v>
      </c>
      <c r="BF112">
        <f t="shared" si="25"/>
        <v>1</v>
      </c>
      <c r="BG112" s="9">
        <f t="shared" si="26"/>
        <v>1.1357184639272E-3</v>
      </c>
      <c r="BH112" s="9">
        <f t="shared" si="27"/>
        <v>1.52514271701903E-3</v>
      </c>
      <c r="BI112" s="9">
        <f t="shared" si="28"/>
        <v>2.6608611809462298E-3</v>
      </c>
      <c r="BJ112" s="12">
        <f t="shared" si="29"/>
        <v>1.0594857034387173E-2</v>
      </c>
      <c r="BL112" s="9"/>
      <c r="BN112">
        <f t="shared" si="30"/>
        <v>0</v>
      </c>
      <c r="BO112">
        <f t="shared" si="31"/>
        <v>0</v>
      </c>
      <c r="BP112">
        <f t="shared" si="32"/>
        <v>0</v>
      </c>
      <c r="BQ112">
        <f t="shared" si="21"/>
        <v>1</v>
      </c>
      <c r="BR112">
        <f t="shared" si="33"/>
        <v>0</v>
      </c>
      <c r="BS112" s="9">
        <f t="shared" si="34"/>
        <v>0</v>
      </c>
      <c r="BT112" s="9">
        <f t="shared" si="35"/>
        <v>0</v>
      </c>
      <c r="BU112" s="9">
        <f t="shared" si="36"/>
        <v>0</v>
      </c>
      <c r="BV112" s="12">
        <f t="shared" si="37"/>
        <v>3.315815804039419E-3</v>
      </c>
      <c r="BX112" s="12">
        <f t="shared" si="38"/>
        <v>2.6608611809462298E-3</v>
      </c>
      <c r="BY112" s="12">
        <f t="shared" si="39"/>
        <v>1.3910672838426594E-2</v>
      </c>
    </row>
    <row r="113" spans="1:77" x14ac:dyDescent="0.3">
      <c r="A113" s="1">
        <v>46185</v>
      </c>
      <c r="B113" s="8">
        <v>44.53</v>
      </c>
      <c r="C113" s="8">
        <v>112.58</v>
      </c>
      <c r="D113" s="9">
        <v>1.0837766951422601E-2</v>
      </c>
      <c r="E113" s="9">
        <v>1.07163018743579E-2</v>
      </c>
      <c r="F113" s="8">
        <v>0</v>
      </c>
      <c r="G113" s="8">
        <v>0.30990000000000001</v>
      </c>
      <c r="H113" s="8">
        <v>0</v>
      </c>
      <c r="I113" s="8">
        <v>0.62160000000000004</v>
      </c>
      <c r="J113" s="8">
        <v>0.30990000000000001</v>
      </c>
      <c r="K113" s="8">
        <v>0.62160000000000004</v>
      </c>
      <c r="L113" s="8">
        <v>44.8399</v>
      </c>
      <c r="M113" s="8">
        <v>113.2016</v>
      </c>
      <c r="N113" s="10">
        <v>2.5281832472490402</v>
      </c>
      <c r="O113" s="10">
        <v>2.5326711528669299</v>
      </c>
      <c r="P113" s="10">
        <v>2.5311822757582001</v>
      </c>
      <c r="Q113" s="10">
        <v>2.5289739920013701</v>
      </c>
      <c r="R113" s="8">
        <v>112.779846437164</v>
      </c>
      <c r="S113" s="8">
        <v>112.694309233884</v>
      </c>
      <c r="T113" s="8">
        <v>112.610479792551</v>
      </c>
      <c r="U113" s="9">
        <v>1.77357672815272E-3</v>
      </c>
      <c r="V113" s="9">
        <v>1.0148449158211301E-3</v>
      </c>
      <c r="W113" s="9">
        <v>2.7070232068315798E-4</v>
      </c>
      <c r="X113" s="10">
        <v>2.5245729807604298</v>
      </c>
      <c r="Y113" s="10">
        <v>2.53031067016226</v>
      </c>
      <c r="Z113" s="10">
        <v>2.52749990656705</v>
      </c>
      <c r="AA113" s="10">
        <v>2.5253371380693102</v>
      </c>
      <c r="AB113" s="8">
        <v>113.458877419008</v>
      </c>
      <c r="AC113" s="8">
        <v>113.313566073494</v>
      </c>
      <c r="AD113" s="8">
        <v>113.231198639844</v>
      </c>
      <c r="AE113" s="9">
        <v>2.27015783634409E-3</v>
      </c>
      <c r="AF113" s="9">
        <v>9.8859678628954303E-4</v>
      </c>
      <c r="AG113" s="9">
        <v>2.6143421086439501E-4</v>
      </c>
      <c r="AZ113" s="9"/>
      <c r="BB113">
        <f t="shared" si="22"/>
        <v>0</v>
      </c>
      <c r="BC113">
        <f t="shared" si="23"/>
        <v>1</v>
      </c>
      <c r="BD113">
        <f t="shared" si="24"/>
        <v>0</v>
      </c>
      <c r="BE113">
        <f t="shared" si="20"/>
        <v>0</v>
      </c>
      <c r="BF113">
        <f t="shared" si="25"/>
        <v>0</v>
      </c>
      <c r="BG113" s="9">
        <f t="shared" si="26"/>
        <v>0</v>
      </c>
      <c r="BH113" s="9">
        <f t="shared" si="27"/>
        <v>0</v>
      </c>
      <c r="BI113" s="9">
        <f t="shared" si="28"/>
        <v>0</v>
      </c>
      <c r="BJ113" s="12">
        <f t="shared" si="29"/>
        <v>1.0594857034387173E-2</v>
      </c>
      <c r="BL113" s="9"/>
      <c r="BN113">
        <f t="shared" si="30"/>
        <v>0</v>
      </c>
      <c r="BO113">
        <f t="shared" si="31"/>
        <v>0</v>
      </c>
      <c r="BP113">
        <f t="shared" si="32"/>
        <v>0</v>
      </c>
      <c r="BQ113">
        <f t="shared" si="21"/>
        <v>0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3.315815804039419E-3</v>
      </c>
      <c r="BX113" s="12">
        <f t="shared" si="38"/>
        <v>0</v>
      </c>
      <c r="BY113" s="12">
        <f t="shared" si="39"/>
        <v>1.3910672838426594E-2</v>
      </c>
    </row>
    <row r="114" spans="1:77" x14ac:dyDescent="0.3">
      <c r="A114" s="1">
        <v>46188</v>
      </c>
      <c r="B114" s="8">
        <v>44.74</v>
      </c>
      <c r="C114" s="8">
        <v>112.42</v>
      </c>
      <c r="D114" s="9">
        <v>4.7048367283726404E-3</v>
      </c>
      <c r="E114" s="9">
        <v>-1.4222224619515401E-3</v>
      </c>
      <c r="F114" s="8">
        <v>0</v>
      </c>
      <c r="G114" s="8">
        <v>0.30990000000000001</v>
      </c>
      <c r="H114" s="8">
        <v>0.63149999999999995</v>
      </c>
      <c r="I114" s="8">
        <v>1.2530999999999901</v>
      </c>
      <c r="J114" s="8">
        <v>0.30990000000000001</v>
      </c>
      <c r="K114" s="8">
        <v>1.2530999999999901</v>
      </c>
      <c r="L114" s="8">
        <v>45.049900000000001</v>
      </c>
      <c r="M114" s="8">
        <v>113.67310000000001</v>
      </c>
      <c r="N114" s="10">
        <v>2.5127402771569001</v>
      </c>
      <c r="O114" s="10">
        <v>2.5326711528669299</v>
      </c>
      <c r="P114" s="10">
        <v>2.5293704566061401</v>
      </c>
      <c r="Q114" s="10">
        <v>2.5280096837712298</v>
      </c>
      <c r="R114" s="8">
        <v>113.311707379266</v>
      </c>
      <c r="S114" s="8">
        <v>113.245095017422</v>
      </c>
      <c r="T114" s="8">
        <v>113.146296402141</v>
      </c>
      <c r="U114" s="9">
        <v>7.9006359184769399E-3</v>
      </c>
      <c r="V114" s="9">
        <v>7.3125947468219302E-3</v>
      </c>
      <c r="W114" s="9">
        <v>6.4397822168636596E-3</v>
      </c>
      <c r="X114" s="10">
        <v>2.5232708618665001</v>
      </c>
      <c r="Y114" s="10">
        <v>2.53031067016226</v>
      </c>
      <c r="Z114" s="10">
        <v>2.5271159752208301</v>
      </c>
      <c r="AA114" s="10">
        <v>2.5250839169780201</v>
      </c>
      <c r="AB114" s="8">
        <v>113.99024265974199</v>
      </c>
      <c r="AC114" s="8">
        <v>113.863618040855</v>
      </c>
      <c r="AD114" s="8">
        <v>113.766185536308</v>
      </c>
      <c r="AE114" s="9">
        <v>2.7860687731352798E-3</v>
      </c>
      <c r="AF114" s="9">
        <v>1.6746139877417401E-3</v>
      </c>
      <c r="AG114" s="9">
        <v>8.1855288356978695E-4</v>
      </c>
      <c r="AZ114" s="9"/>
      <c r="BB114">
        <f t="shared" si="22"/>
        <v>0</v>
      </c>
      <c r="BC114">
        <f t="shared" si="23"/>
        <v>1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1.0594857034387173E-2</v>
      </c>
      <c r="BL114" s="9"/>
      <c r="BN114">
        <f t="shared" si="30"/>
        <v>0</v>
      </c>
      <c r="BO114">
        <f t="shared" si="31"/>
        <v>0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3.315815804039419E-3</v>
      </c>
      <c r="BX114" s="12">
        <f t="shared" si="38"/>
        <v>0</v>
      </c>
      <c r="BY114" s="12">
        <f t="shared" si="39"/>
        <v>1.3910672838426594E-2</v>
      </c>
    </row>
    <row r="115" spans="1:77" x14ac:dyDescent="0.3">
      <c r="A115" s="1">
        <v>46189</v>
      </c>
      <c r="B115" s="8">
        <v>45.06</v>
      </c>
      <c r="C115" s="8">
        <v>113.22</v>
      </c>
      <c r="D115" s="9">
        <v>7.1269789421147802E-3</v>
      </c>
      <c r="E115" s="9">
        <v>7.0909710345849796E-3</v>
      </c>
      <c r="F115" s="8">
        <v>0</v>
      </c>
      <c r="G115" s="8">
        <v>0.30990000000000001</v>
      </c>
      <c r="H115" s="8">
        <v>0</v>
      </c>
      <c r="I115" s="8">
        <v>1.2530999999999901</v>
      </c>
      <c r="J115" s="8">
        <v>0.30990000000000001</v>
      </c>
      <c r="K115" s="8">
        <v>1.2530999999999901</v>
      </c>
      <c r="L115" s="8">
        <v>45.369900000000001</v>
      </c>
      <c r="M115" s="8">
        <v>114.4731</v>
      </c>
      <c r="N115" s="10">
        <v>2.5126498002663098</v>
      </c>
      <c r="O115" s="10">
        <v>2.5326711528669299</v>
      </c>
      <c r="P115" s="10">
        <v>2.5279019514391501</v>
      </c>
      <c r="Q115" s="10">
        <v>2.5269694382360699</v>
      </c>
      <c r="R115" s="8">
        <v>114.122162148184</v>
      </c>
      <c r="S115" s="8">
        <v>113.973432774673</v>
      </c>
      <c r="T115" s="8">
        <v>113.912116350731</v>
      </c>
      <c r="U115" s="9">
        <v>7.9366438260066903E-3</v>
      </c>
      <c r="V115" s="9">
        <v>6.6325467903798003E-3</v>
      </c>
      <c r="W115" s="9">
        <v>6.09441327856755E-3</v>
      </c>
      <c r="X115" s="10">
        <v>2.5231067293513898</v>
      </c>
      <c r="Y115" s="10">
        <v>2.53031067016226</v>
      </c>
      <c r="Z115" s="10">
        <v>2.5270587396106001</v>
      </c>
      <c r="AA115" s="10">
        <v>2.5247512839812498</v>
      </c>
      <c r="AB115" s="8">
        <v>114.79994207419401</v>
      </c>
      <c r="AC115" s="8">
        <v>114.654999084171</v>
      </c>
      <c r="AD115" s="8">
        <v>114.56280480490101</v>
      </c>
      <c r="AE115" s="9">
        <v>2.8511184101078302E-3</v>
      </c>
      <c r="AF115" s="9">
        <v>1.5877504602193899E-3</v>
      </c>
      <c r="AG115" s="9">
        <v>7.8332530058595801E-4</v>
      </c>
      <c r="AZ115" s="9"/>
      <c r="BB115">
        <f t="shared" si="22"/>
        <v>0</v>
      </c>
      <c r="BC115">
        <f t="shared" si="23"/>
        <v>1</v>
      </c>
      <c r="BD115">
        <f t="shared" si="24"/>
        <v>0</v>
      </c>
      <c r="BE115">
        <f t="shared" si="20"/>
        <v>1</v>
      </c>
      <c r="BF115">
        <f t="shared" si="25"/>
        <v>0</v>
      </c>
      <c r="BG115" s="9">
        <f t="shared" si="26"/>
        <v>0</v>
      </c>
      <c r="BH115" s="9">
        <f t="shared" si="27"/>
        <v>0</v>
      </c>
      <c r="BI115" s="9">
        <f t="shared" si="28"/>
        <v>0</v>
      </c>
      <c r="BJ115" s="12">
        <f t="shared" si="29"/>
        <v>1.0594857034387173E-2</v>
      </c>
      <c r="BL115" s="9"/>
      <c r="BN115">
        <f t="shared" si="30"/>
        <v>0</v>
      </c>
      <c r="BO115">
        <f t="shared" si="31"/>
        <v>0</v>
      </c>
      <c r="BP115">
        <f t="shared" si="32"/>
        <v>0</v>
      </c>
      <c r="BQ115">
        <f t="shared" si="21"/>
        <v>1</v>
      </c>
      <c r="BR115">
        <f t="shared" si="33"/>
        <v>0</v>
      </c>
      <c r="BS115" s="9">
        <f t="shared" si="34"/>
        <v>0</v>
      </c>
      <c r="BT115" s="9">
        <f t="shared" si="35"/>
        <v>0</v>
      </c>
      <c r="BU115" s="9">
        <f t="shared" si="36"/>
        <v>0</v>
      </c>
      <c r="BV115" s="12">
        <f t="shared" si="37"/>
        <v>3.315815804039419E-3</v>
      </c>
      <c r="BX115" s="12">
        <f t="shared" si="38"/>
        <v>0</v>
      </c>
      <c r="BY115" s="12">
        <f t="shared" si="39"/>
        <v>1.3910672838426594E-2</v>
      </c>
    </row>
    <row r="116" spans="1:77" x14ac:dyDescent="0.3">
      <c r="A116" s="1">
        <v>46190</v>
      </c>
      <c r="B116" s="8">
        <v>44.46</v>
      </c>
      <c r="C116" s="8">
        <v>111.81</v>
      </c>
      <c r="D116" s="9">
        <v>-1.3405026468047801E-2</v>
      </c>
      <c r="E116" s="9">
        <v>-1.2531826449236999E-2</v>
      </c>
      <c r="F116" s="8">
        <v>0</v>
      </c>
      <c r="G116" s="8">
        <v>0.30990000000000001</v>
      </c>
      <c r="H116" s="8">
        <v>0</v>
      </c>
      <c r="I116" s="8">
        <v>1.2530999999999901</v>
      </c>
      <c r="J116" s="8">
        <v>0.30990000000000001</v>
      </c>
      <c r="K116" s="8">
        <v>1.2530999999999901</v>
      </c>
      <c r="L116" s="8">
        <v>44.7699</v>
      </c>
      <c r="M116" s="8">
        <v>113.06310000000001</v>
      </c>
      <c r="N116" s="10">
        <v>2.5148448043184799</v>
      </c>
      <c r="O116" s="10">
        <v>2.5326711528669299</v>
      </c>
      <c r="P116" s="10">
        <v>2.5262635766891202</v>
      </c>
      <c r="Q116" s="10">
        <v>2.5261216919837901</v>
      </c>
      <c r="R116" s="8">
        <v>112.602559456463</v>
      </c>
      <c r="S116" s="8">
        <v>112.390520760984</v>
      </c>
      <c r="T116" s="8">
        <v>112.349061223975</v>
      </c>
      <c r="U116" s="9">
        <v>7.0634438071959403E-3</v>
      </c>
      <c r="V116" s="9">
        <v>5.1785968772472303E-3</v>
      </c>
      <c r="W116" s="9">
        <v>4.8096406202911097E-3</v>
      </c>
      <c r="X116" s="10">
        <v>2.5254266817660902</v>
      </c>
      <c r="Y116" s="10">
        <v>2.53031067016226</v>
      </c>
      <c r="Z116" s="10">
        <v>2.5268484483302398</v>
      </c>
      <c r="AA116" s="10">
        <v>2.52461516810886</v>
      </c>
      <c r="AB116" s="8">
        <v>113.28175567209701</v>
      </c>
      <c r="AC116" s="8">
        <v>113.13616706649201</v>
      </c>
      <c r="AD116" s="8">
        <v>113.032862508712</v>
      </c>
      <c r="AE116" s="9">
        <v>1.9320584023479199E-3</v>
      </c>
      <c r="AF116" s="9">
        <v>6.4604160731145696E-4</v>
      </c>
      <c r="AG116" s="9">
        <v>-2.6747484680689698E-4</v>
      </c>
      <c r="AZ116" s="9"/>
      <c r="BB116">
        <f t="shared" si="22"/>
        <v>0</v>
      </c>
      <c r="BC116">
        <f t="shared" si="23"/>
        <v>0</v>
      </c>
      <c r="BD116">
        <f t="shared" si="24"/>
        <v>0</v>
      </c>
      <c r="BE116">
        <f t="shared" si="20"/>
        <v>1</v>
      </c>
      <c r="BF116">
        <f t="shared" si="25"/>
        <v>0</v>
      </c>
      <c r="BG116" s="9">
        <f t="shared" si="26"/>
        <v>0</v>
      </c>
      <c r="BH116" s="9">
        <f t="shared" si="27"/>
        <v>0</v>
      </c>
      <c r="BI116" s="9">
        <f t="shared" si="28"/>
        <v>0</v>
      </c>
      <c r="BJ116" s="12">
        <f t="shared" si="29"/>
        <v>1.0594857034387173E-2</v>
      </c>
      <c r="BL116" s="9"/>
      <c r="BN116">
        <f t="shared" si="30"/>
        <v>0</v>
      </c>
      <c r="BO116">
        <f t="shared" si="31"/>
        <v>1</v>
      </c>
      <c r="BP116">
        <f t="shared" si="32"/>
        <v>0</v>
      </c>
      <c r="BQ116">
        <f t="shared" si="21"/>
        <v>1</v>
      </c>
      <c r="BR116">
        <f t="shared" si="33"/>
        <v>0</v>
      </c>
      <c r="BS116" s="9">
        <f t="shared" si="34"/>
        <v>0</v>
      </c>
      <c r="BT116" s="9">
        <f t="shared" si="35"/>
        <v>0</v>
      </c>
      <c r="BU116" s="9">
        <f t="shared" si="36"/>
        <v>0</v>
      </c>
      <c r="BV116" s="12">
        <f t="shared" si="37"/>
        <v>3.315815804039419E-3</v>
      </c>
      <c r="BX116" s="12">
        <f t="shared" si="38"/>
        <v>0</v>
      </c>
      <c r="BY116" s="12">
        <f t="shared" si="39"/>
        <v>1.3910672838426594E-2</v>
      </c>
    </row>
    <row r="117" spans="1:77" x14ac:dyDescent="0.3">
      <c r="A117" s="1">
        <v>46191</v>
      </c>
      <c r="B117" s="8">
        <v>44.76</v>
      </c>
      <c r="C117" s="8">
        <v>112.49</v>
      </c>
      <c r="D117" s="9">
        <v>6.7249749076739099E-3</v>
      </c>
      <c r="E117" s="9">
        <v>6.0633266454576404E-3</v>
      </c>
      <c r="F117" s="8">
        <v>0</v>
      </c>
      <c r="G117" s="8">
        <v>0.30990000000000001</v>
      </c>
      <c r="H117" s="8">
        <v>0</v>
      </c>
      <c r="I117" s="8">
        <v>1.2530999999999901</v>
      </c>
      <c r="J117" s="8">
        <v>0.30990000000000001</v>
      </c>
      <c r="K117" s="8">
        <v>1.2530999999999901</v>
      </c>
      <c r="L117" s="8">
        <v>45.069899999999997</v>
      </c>
      <c r="M117" s="8">
        <v>113.7431</v>
      </c>
      <c r="N117" s="10">
        <v>2.51318141197497</v>
      </c>
      <c r="O117" s="10">
        <v>2.5326711528669299</v>
      </c>
      <c r="P117" s="10">
        <v>2.5242817634032302</v>
      </c>
      <c r="Q117" s="10">
        <v>2.5253485001696001</v>
      </c>
      <c r="R117" s="8">
        <v>113.362360802323</v>
      </c>
      <c r="S117" s="8">
        <v>113.075557692605</v>
      </c>
      <c r="T117" s="8">
        <v>113.069206933194</v>
      </c>
      <c r="U117" s="9">
        <v>7.7250920694122201E-3</v>
      </c>
      <c r="V117" s="9">
        <v>5.1919186063090397E-3</v>
      </c>
      <c r="W117" s="9">
        <v>5.1357531724308802E-3</v>
      </c>
      <c r="X117" s="10">
        <v>2.5237042904466098</v>
      </c>
      <c r="Y117" s="10">
        <v>2.53031067016226</v>
      </c>
      <c r="Z117" s="10">
        <v>2.5262881362884801</v>
      </c>
      <c r="AA117" s="10">
        <v>2.5245488738147999</v>
      </c>
      <c r="AB117" s="8">
        <v>114.040848873146</v>
      </c>
      <c r="AC117" s="8">
        <v>113.884806881399</v>
      </c>
      <c r="AD117" s="8">
        <v>113.78415316514899</v>
      </c>
      <c r="AE117" s="9">
        <v>2.61431101008136E-3</v>
      </c>
      <c r="AF117" s="9">
        <v>1.2450749264176499E-3</v>
      </c>
      <c r="AG117" s="9">
        <v>3.6086372093208199E-4</v>
      </c>
      <c r="AZ117" s="9"/>
      <c r="BB117">
        <f t="shared" si="22"/>
        <v>0</v>
      </c>
      <c r="BC117">
        <f t="shared" si="23"/>
        <v>1</v>
      </c>
      <c r="BD117">
        <f t="shared" si="24"/>
        <v>0</v>
      </c>
      <c r="BE117">
        <f t="shared" si="20"/>
        <v>0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1.0594857034387173E-2</v>
      </c>
      <c r="BL117" s="9"/>
      <c r="BN117">
        <f t="shared" si="30"/>
        <v>0</v>
      </c>
      <c r="BO117">
        <f t="shared" si="31"/>
        <v>0</v>
      </c>
      <c r="BP117">
        <f t="shared" si="32"/>
        <v>0</v>
      </c>
      <c r="BQ117">
        <f t="shared" si="21"/>
        <v>0</v>
      </c>
      <c r="BR117">
        <f t="shared" si="33"/>
        <v>0</v>
      </c>
      <c r="BS117" s="9">
        <f t="shared" si="34"/>
        <v>0</v>
      </c>
      <c r="BT117" s="9">
        <f t="shared" si="35"/>
        <v>0</v>
      </c>
      <c r="BU117" s="9">
        <f t="shared" si="36"/>
        <v>0</v>
      </c>
      <c r="BV117" s="12">
        <f t="shared" si="37"/>
        <v>3.315815804039419E-3</v>
      </c>
      <c r="BX117" s="12">
        <f t="shared" si="38"/>
        <v>0</v>
      </c>
      <c r="BY117" s="12">
        <f t="shared" si="39"/>
        <v>1.3910672838426594E-2</v>
      </c>
    </row>
    <row r="118" spans="1:77" x14ac:dyDescent="0.3">
      <c r="A118" s="1">
        <v>46195</v>
      </c>
      <c r="B118" s="8">
        <v>44.72</v>
      </c>
      <c r="C118" s="8">
        <v>112.97</v>
      </c>
      <c r="D118" s="9">
        <v>-8.9405459688068998E-4</v>
      </c>
      <c r="E118" s="9">
        <v>4.2579679341030203E-3</v>
      </c>
      <c r="F118" s="8">
        <v>0.28439999999999999</v>
      </c>
      <c r="G118" s="8">
        <v>0.59430000000000005</v>
      </c>
      <c r="H118" s="8">
        <v>0</v>
      </c>
      <c r="I118" s="8">
        <v>1.2530999999999901</v>
      </c>
      <c r="J118" s="8">
        <v>0.59430000000000005</v>
      </c>
      <c r="K118" s="8">
        <v>1.2530999999999901</v>
      </c>
      <c r="L118" s="8">
        <v>45.314299999999903</v>
      </c>
      <c r="M118" s="8">
        <v>114.2231</v>
      </c>
      <c r="N118" s="10">
        <v>2.5261627906976698</v>
      </c>
      <c r="O118" s="10">
        <v>2.5326711528669299</v>
      </c>
      <c r="P118" s="10">
        <v>2.5238428000829201</v>
      </c>
      <c r="Q118" s="10">
        <v>2.5254455285933699</v>
      </c>
      <c r="R118" s="8">
        <v>113.261053956209</v>
      </c>
      <c r="S118" s="8">
        <v>112.885880459392</v>
      </c>
      <c r="T118" s="8">
        <v>112.93358492758399</v>
      </c>
      <c r="U118" s="9">
        <v>2.57306953842852E-3</v>
      </c>
      <c r="V118" s="9">
        <v>-7.4489576561609003E-4</v>
      </c>
      <c r="W118" s="9">
        <v>-3.2239481938641402E-4</v>
      </c>
      <c r="X118" s="10">
        <v>2.5206855231130101</v>
      </c>
      <c r="Y118" s="10">
        <v>2.53031067016226</v>
      </c>
      <c r="Z118" s="10">
        <v>2.5256655719604701</v>
      </c>
      <c r="AA118" s="10">
        <v>2.5245493251330502</v>
      </c>
      <c r="AB118" s="8">
        <v>114.65925680093299</v>
      </c>
      <c r="AC118" s="8">
        <v>114.47697849421699</v>
      </c>
      <c r="AD118" s="8">
        <v>114.398165032706</v>
      </c>
      <c r="AE118" s="9">
        <v>3.81119222091139E-3</v>
      </c>
      <c r="AF118" s="9">
        <v>2.2201881186427199E-3</v>
      </c>
      <c r="AG118" s="9">
        <v>1.5314854188925901E-3</v>
      </c>
      <c r="AZ118" s="9"/>
      <c r="BB118">
        <f t="shared" si="22"/>
        <v>0</v>
      </c>
      <c r="BC118">
        <f t="shared" si="23"/>
        <v>1</v>
      </c>
      <c r="BD118">
        <f t="shared" si="24"/>
        <v>0</v>
      </c>
      <c r="BE118">
        <f t="shared" si="20"/>
        <v>1</v>
      </c>
      <c r="BF118">
        <f t="shared" si="25"/>
        <v>0</v>
      </c>
      <c r="BG118" s="9">
        <f t="shared" si="26"/>
        <v>0</v>
      </c>
      <c r="BH118" s="9">
        <f t="shared" si="27"/>
        <v>0</v>
      </c>
      <c r="BI118" s="9">
        <f t="shared" si="28"/>
        <v>0</v>
      </c>
      <c r="BJ118" s="12">
        <f t="shared" si="29"/>
        <v>1.0594857034387173E-2</v>
      </c>
      <c r="BL118" s="9"/>
      <c r="BN118">
        <f t="shared" si="30"/>
        <v>0</v>
      </c>
      <c r="BO118">
        <f t="shared" si="31"/>
        <v>0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3.315815804039419E-3</v>
      </c>
      <c r="BX118" s="12">
        <f t="shared" si="38"/>
        <v>0</v>
      </c>
      <c r="BY118" s="12">
        <f t="shared" si="39"/>
        <v>1.3910672838426594E-2</v>
      </c>
    </row>
    <row r="119" spans="1:77" x14ac:dyDescent="0.3">
      <c r="A119" s="1">
        <v>46196</v>
      </c>
      <c r="B119" s="8">
        <v>45.07</v>
      </c>
      <c r="C119" s="8">
        <v>113.94</v>
      </c>
      <c r="D119" s="9">
        <v>7.79600785571325E-3</v>
      </c>
      <c r="E119" s="9">
        <v>8.5496973134120396E-3</v>
      </c>
      <c r="F119" s="8">
        <v>0</v>
      </c>
      <c r="G119" s="8">
        <v>0.59430000000000005</v>
      </c>
      <c r="H119" s="8">
        <v>0</v>
      </c>
      <c r="I119" s="8">
        <v>1.2530999999999901</v>
      </c>
      <c r="J119" s="8">
        <v>0.59430000000000005</v>
      </c>
      <c r="K119" s="8">
        <v>1.2530999999999901</v>
      </c>
      <c r="L119" s="8">
        <v>45.664299999999997</v>
      </c>
      <c r="M119" s="8">
        <v>115.1931</v>
      </c>
      <c r="N119" s="10">
        <v>2.52806745063234</v>
      </c>
      <c r="O119" s="10">
        <v>2.5326711528669299</v>
      </c>
      <c r="P119" s="10">
        <v>2.5235245451461599</v>
      </c>
      <c r="Q119" s="10">
        <v>2.52563059903017</v>
      </c>
      <c r="R119" s="8">
        <v>114.147488859712</v>
      </c>
      <c r="S119" s="8">
        <v>113.749594999737</v>
      </c>
      <c r="T119" s="8">
        <v>113.821829973703</v>
      </c>
      <c r="U119" s="9">
        <v>1.81938008072948E-3</v>
      </c>
      <c r="V119" s="9">
        <v>-1.67249666939646E-3</v>
      </c>
      <c r="W119" s="9">
        <v>-1.0376632196310799E-3</v>
      </c>
      <c r="X119" s="10">
        <v>2.5226073760026901</v>
      </c>
      <c r="Y119" s="10">
        <v>2.53031067016226</v>
      </c>
      <c r="Z119" s="10">
        <v>2.5251728239264999</v>
      </c>
      <c r="AA119" s="10">
        <v>2.5246373679534999</v>
      </c>
      <c r="AB119" s="8">
        <v>115.54486553549</v>
      </c>
      <c r="AC119" s="8">
        <v>115.332750377674</v>
      </c>
      <c r="AD119" s="8">
        <v>115.281777747673</v>
      </c>
      <c r="AE119" s="9">
        <v>3.0490500962494799E-3</v>
      </c>
      <c r="AF119" s="9">
        <v>1.21158121337705E-3</v>
      </c>
      <c r="AG119" s="9">
        <v>7.6952206605710501E-4</v>
      </c>
      <c r="AZ119" s="9"/>
      <c r="BB119">
        <f t="shared" si="22"/>
        <v>0</v>
      </c>
      <c r="BC119">
        <f t="shared" si="23"/>
        <v>1</v>
      </c>
      <c r="BD119">
        <f t="shared" si="24"/>
        <v>0</v>
      </c>
      <c r="BE119">
        <f t="shared" si="20"/>
        <v>1</v>
      </c>
      <c r="BF119">
        <f t="shared" si="25"/>
        <v>0</v>
      </c>
      <c r="BG119" s="9">
        <f t="shared" si="26"/>
        <v>0</v>
      </c>
      <c r="BH119" s="9">
        <f t="shared" si="27"/>
        <v>0</v>
      </c>
      <c r="BI119" s="9">
        <f t="shared" si="28"/>
        <v>0</v>
      </c>
      <c r="BJ119" s="12">
        <f t="shared" si="29"/>
        <v>1.0594857034387173E-2</v>
      </c>
      <c r="BL119" s="9"/>
      <c r="BN119">
        <f t="shared" si="30"/>
        <v>0</v>
      </c>
      <c r="BO119">
        <f t="shared" si="31"/>
        <v>0</v>
      </c>
      <c r="BP119">
        <f t="shared" si="32"/>
        <v>0</v>
      </c>
      <c r="BQ119">
        <f t="shared" si="21"/>
        <v>1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3.315815804039419E-3</v>
      </c>
      <c r="BX119" s="12">
        <f t="shared" si="38"/>
        <v>0</v>
      </c>
      <c r="BY119" s="12">
        <f t="shared" si="39"/>
        <v>1.3910672838426594E-2</v>
      </c>
    </row>
    <row r="120" spans="1:77" x14ac:dyDescent="0.3">
      <c r="A120" s="1">
        <v>46197</v>
      </c>
      <c r="B120" s="8">
        <v>45.54</v>
      </c>
      <c r="C120" s="8">
        <v>115.25</v>
      </c>
      <c r="D120" s="9">
        <v>1.0374223933036599E-2</v>
      </c>
      <c r="E120" s="9">
        <v>1.14316878245084E-2</v>
      </c>
      <c r="F120" s="8">
        <v>0</v>
      </c>
      <c r="G120" s="8">
        <v>0.59430000000000005</v>
      </c>
      <c r="H120" s="8">
        <v>0</v>
      </c>
      <c r="I120" s="8">
        <v>1.2530999999999901</v>
      </c>
      <c r="J120" s="8">
        <v>0.59430000000000005</v>
      </c>
      <c r="K120" s="8">
        <v>1.2530999999999901</v>
      </c>
      <c r="L120" s="8">
        <v>46.134299999999897</v>
      </c>
      <c r="M120" s="8">
        <v>116.5031</v>
      </c>
      <c r="N120" s="10">
        <v>2.5307422046552399</v>
      </c>
      <c r="O120" s="10">
        <v>2.5326711528669299</v>
      </c>
      <c r="P120" s="10">
        <v>2.5230289611551102</v>
      </c>
      <c r="Q120" s="10">
        <v>2.5259709300879898</v>
      </c>
      <c r="R120" s="8">
        <v>115.33784430156</v>
      </c>
      <c r="S120" s="8">
        <v>114.921307785956</v>
      </c>
      <c r="T120" s="8">
        <v>115.017217479834</v>
      </c>
      <c r="U120" s="9">
        <v>7.6191618925778703E-4</v>
      </c>
      <c r="V120" s="9">
        <v>-2.8560678621280199E-3</v>
      </c>
      <c r="W120" s="9">
        <v>-2.0218475040622102E-3</v>
      </c>
      <c r="X120" s="10">
        <v>2.5253032992805702</v>
      </c>
      <c r="Y120" s="10">
        <v>2.53031067016226</v>
      </c>
      <c r="Z120" s="10">
        <v>2.5245041175054102</v>
      </c>
      <c r="AA120" s="10">
        <v>2.52488166082972</v>
      </c>
      <c r="AB120" s="8">
        <v>116.734111550466</v>
      </c>
      <c r="AC120" s="8">
        <v>116.497080610872</v>
      </c>
      <c r="AD120" s="8">
        <v>116.472377724377</v>
      </c>
      <c r="AE120" s="9">
        <v>1.9809156907026502E-3</v>
      </c>
      <c r="AF120" s="9">
        <v>-5.1668536161227199E-5</v>
      </c>
      <c r="AG120" s="9">
        <v>-2.63738279247235E-4</v>
      </c>
      <c r="AZ120" s="9"/>
      <c r="BB120">
        <f t="shared" si="22"/>
        <v>0</v>
      </c>
      <c r="BC120">
        <f t="shared" si="23"/>
        <v>0</v>
      </c>
      <c r="BD120">
        <f t="shared" si="24"/>
        <v>0</v>
      </c>
      <c r="BE120">
        <f t="shared" si="20"/>
        <v>1</v>
      </c>
      <c r="BF120">
        <f t="shared" si="25"/>
        <v>0</v>
      </c>
      <c r="BG120" s="9">
        <f t="shared" si="26"/>
        <v>0</v>
      </c>
      <c r="BH120" s="9">
        <f t="shared" si="27"/>
        <v>0</v>
      </c>
      <c r="BI120" s="9">
        <f t="shared" si="28"/>
        <v>0</v>
      </c>
      <c r="BJ120" s="12">
        <f t="shared" si="29"/>
        <v>1.0594857034387173E-2</v>
      </c>
      <c r="BL120" s="9"/>
      <c r="BN120">
        <f t="shared" si="30"/>
        <v>0</v>
      </c>
      <c r="BO120">
        <f t="shared" si="31"/>
        <v>1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3.315815804039419E-3</v>
      </c>
      <c r="BX120" s="12">
        <f t="shared" si="38"/>
        <v>0</v>
      </c>
      <c r="BY120" s="12">
        <f t="shared" si="39"/>
        <v>1.3910672838426594E-2</v>
      </c>
    </row>
    <row r="121" spans="1:77" x14ac:dyDescent="0.3">
      <c r="A121" s="1">
        <v>46198</v>
      </c>
      <c r="B121" s="8">
        <v>45.85</v>
      </c>
      <c r="C121" s="8">
        <v>115.94</v>
      </c>
      <c r="D121" s="9">
        <v>6.7841380668803002E-3</v>
      </c>
      <c r="E121" s="9">
        <v>5.9691340348289003E-3</v>
      </c>
      <c r="F121" s="8">
        <v>0</v>
      </c>
      <c r="G121" s="8">
        <v>0.59430000000000005</v>
      </c>
      <c r="H121" s="8">
        <v>0</v>
      </c>
      <c r="I121" s="8">
        <v>1.2530999999999901</v>
      </c>
      <c r="J121" s="8">
        <v>0.59430000000000005</v>
      </c>
      <c r="K121" s="8">
        <v>1.2530999999999901</v>
      </c>
      <c r="L121" s="8">
        <v>46.444299999999998</v>
      </c>
      <c r="M121" s="8">
        <v>117.1931</v>
      </c>
      <c r="N121" s="10">
        <v>2.52868047982551</v>
      </c>
      <c r="O121" s="10">
        <v>2.5326711528669299</v>
      </c>
      <c r="P121" s="10">
        <v>2.5223742818649302</v>
      </c>
      <c r="Q121" s="10">
        <v>2.52629728903718</v>
      </c>
      <c r="R121" s="8">
        <v>116.122972358948</v>
      </c>
      <c r="S121" s="8">
        <v>115.680877868962</v>
      </c>
      <c r="T121" s="8">
        <v>115.81576714453399</v>
      </c>
      <c r="U121" s="9">
        <v>1.5769202213093999E-3</v>
      </c>
      <c r="V121" s="9">
        <v>-2.2374687595082599E-3</v>
      </c>
      <c r="W121" s="9">
        <v>-1.0721016257362001E-3</v>
      </c>
      <c r="X121" s="10">
        <v>2.5233042590802301</v>
      </c>
      <c r="Y121" s="10">
        <v>2.53031067016226</v>
      </c>
      <c r="Z121" s="10">
        <v>2.5236820876417001</v>
      </c>
      <c r="AA121" s="10">
        <v>2.5251152435711299</v>
      </c>
      <c r="AB121" s="8">
        <v>117.51850785821701</v>
      </c>
      <c r="AC121" s="8">
        <v>117.248826584656</v>
      </c>
      <c r="AD121" s="8">
        <v>117.266361320074</v>
      </c>
      <c r="AE121" s="9">
        <v>2.77283317753873E-3</v>
      </c>
      <c r="AF121" s="9">
        <v>4.7539777989614101E-4</v>
      </c>
      <c r="AG121" s="9">
        <v>6.2493807710739297E-4</v>
      </c>
      <c r="AZ121" s="9"/>
      <c r="BB121">
        <f t="shared" si="22"/>
        <v>0</v>
      </c>
      <c r="BC121">
        <f t="shared" si="23"/>
        <v>1</v>
      </c>
      <c r="BD121">
        <f t="shared" si="24"/>
        <v>0</v>
      </c>
      <c r="BE121">
        <f t="shared" si="20"/>
        <v>1</v>
      </c>
      <c r="BF121">
        <f t="shared" si="25"/>
        <v>0</v>
      </c>
      <c r="BG121" s="9">
        <f t="shared" si="26"/>
        <v>0</v>
      </c>
      <c r="BH121" s="9">
        <f t="shared" si="27"/>
        <v>0</v>
      </c>
      <c r="BI121" s="9">
        <f t="shared" si="28"/>
        <v>0</v>
      </c>
      <c r="BJ121" s="12">
        <f t="shared" si="29"/>
        <v>1.0594857034387173E-2</v>
      </c>
      <c r="BL121" s="9"/>
      <c r="BN121">
        <f t="shared" si="30"/>
        <v>0</v>
      </c>
      <c r="BO121">
        <f t="shared" si="31"/>
        <v>0</v>
      </c>
      <c r="BP121">
        <f t="shared" si="32"/>
        <v>0</v>
      </c>
      <c r="BQ121">
        <f t="shared" si="21"/>
        <v>1</v>
      </c>
      <c r="BR121">
        <f t="shared" si="33"/>
        <v>0</v>
      </c>
      <c r="BS121" s="9">
        <f t="shared" si="34"/>
        <v>0</v>
      </c>
      <c r="BT121" s="9">
        <f t="shared" si="35"/>
        <v>0</v>
      </c>
      <c r="BU121" s="9">
        <f t="shared" si="36"/>
        <v>0</v>
      </c>
      <c r="BV121" s="12">
        <f t="shared" si="37"/>
        <v>3.315815804039419E-3</v>
      </c>
      <c r="BX121" s="12">
        <f t="shared" si="38"/>
        <v>0</v>
      </c>
      <c r="BY121" s="12">
        <f t="shared" si="39"/>
        <v>1.3910672838426594E-2</v>
      </c>
    </row>
    <row r="122" spans="1:77" x14ac:dyDescent="0.3">
      <c r="A122" s="1">
        <v>46199</v>
      </c>
      <c r="B122" s="8">
        <v>46.2</v>
      </c>
      <c r="C122" s="8">
        <v>116.82</v>
      </c>
      <c r="D122" s="9">
        <v>7.6045993852194302E-3</v>
      </c>
      <c r="E122" s="9">
        <v>7.5614727005764801E-3</v>
      </c>
      <c r="F122" s="8">
        <v>0</v>
      </c>
      <c r="G122" s="8">
        <v>0.59430000000000005</v>
      </c>
      <c r="H122" s="8">
        <v>0</v>
      </c>
      <c r="I122" s="8">
        <v>1.2530999999999901</v>
      </c>
      <c r="J122" s="8">
        <v>0.59430000000000005</v>
      </c>
      <c r="K122" s="8">
        <v>1.2530999999999901</v>
      </c>
      <c r="L122" s="8">
        <v>46.7943</v>
      </c>
      <c r="M122" s="8">
        <v>118.0731</v>
      </c>
      <c r="N122" s="10">
        <v>2.52857142857142</v>
      </c>
      <c r="O122" s="10">
        <v>2.5326711528669299</v>
      </c>
      <c r="P122" s="10">
        <v>2.5223823895347901</v>
      </c>
      <c r="Q122" s="10">
        <v>2.52656632651997</v>
      </c>
      <c r="R122" s="8">
        <v>117.009407262452</v>
      </c>
      <c r="S122" s="8">
        <v>116.53369182215999</v>
      </c>
      <c r="T122" s="8">
        <v>116.714934753517</v>
      </c>
      <c r="U122" s="9">
        <v>1.6200469059522301E-3</v>
      </c>
      <c r="V122" s="9">
        <v>-2.4538572265059501E-3</v>
      </c>
      <c r="W122" s="9">
        <v>-8.9978189928153595E-4</v>
      </c>
      <c r="X122" s="10">
        <v>2.5232368044825901</v>
      </c>
      <c r="Y122" s="10">
        <v>2.53031067016226</v>
      </c>
      <c r="Z122" s="10">
        <v>2.5235218806150099</v>
      </c>
      <c r="AA122" s="10">
        <v>2.5252959400899999</v>
      </c>
      <c r="AB122" s="8">
        <v>118.40411659277299</v>
      </c>
      <c r="AC122" s="8">
        <v>118.09393671373201</v>
      </c>
      <c r="AD122" s="8">
        <v>118.16100024223999</v>
      </c>
      <c r="AE122" s="9">
        <v>2.7995661801197202E-3</v>
      </c>
      <c r="AF122" s="9">
        <v>1.76457426712413E-4</v>
      </c>
      <c r="AG122" s="9">
        <v>7.4417915285827398E-4</v>
      </c>
      <c r="AZ122" s="9"/>
      <c r="BB122">
        <f t="shared" si="22"/>
        <v>0</v>
      </c>
      <c r="BC122">
        <f t="shared" si="23"/>
        <v>1</v>
      </c>
      <c r="BD122">
        <f t="shared" si="24"/>
        <v>0</v>
      </c>
      <c r="BE122">
        <f t="shared" si="20"/>
        <v>1</v>
      </c>
      <c r="BF122">
        <f t="shared" si="25"/>
        <v>0</v>
      </c>
      <c r="BG122" s="9">
        <f t="shared" si="26"/>
        <v>0</v>
      </c>
      <c r="BH122" s="9">
        <f t="shared" si="27"/>
        <v>0</v>
      </c>
      <c r="BI122" s="9">
        <f t="shared" si="28"/>
        <v>0</v>
      </c>
      <c r="BJ122" s="12">
        <f t="shared" si="29"/>
        <v>1.0594857034387173E-2</v>
      </c>
      <c r="BL122" s="9"/>
      <c r="BN122">
        <f t="shared" si="30"/>
        <v>0</v>
      </c>
      <c r="BO122">
        <f t="shared" si="31"/>
        <v>0</v>
      </c>
      <c r="BP122">
        <f t="shared" si="32"/>
        <v>0</v>
      </c>
      <c r="BQ122">
        <f t="shared" si="21"/>
        <v>1</v>
      </c>
      <c r="BR122">
        <f t="shared" si="33"/>
        <v>0</v>
      </c>
      <c r="BS122" s="9">
        <f t="shared" si="34"/>
        <v>0</v>
      </c>
      <c r="BT122" s="9">
        <f t="shared" si="35"/>
        <v>0</v>
      </c>
      <c r="BU122" s="9">
        <f t="shared" si="36"/>
        <v>0</v>
      </c>
      <c r="BV122" s="12">
        <f t="shared" si="37"/>
        <v>3.315815804039419E-3</v>
      </c>
      <c r="BX122" s="12">
        <f t="shared" si="38"/>
        <v>0</v>
      </c>
      <c r="BY122" s="12">
        <f t="shared" si="39"/>
        <v>1.3910672838426594E-2</v>
      </c>
    </row>
    <row r="123" spans="1:77" x14ac:dyDescent="0.3">
      <c r="A123" s="1">
        <v>46202</v>
      </c>
      <c r="B123" s="8">
        <v>46.02</v>
      </c>
      <c r="C123" s="8">
        <v>116.25</v>
      </c>
      <c r="D123" s="9">
        <v>-3.9037134804732901E-3</v>
      </c>
      <c r="E123" s="9">
        <v>-4.8912441446975503E-3</v>
      </c>
      <c r="F123" s="8">
        <v>0</v>
      </c>
      <c r="G123" s="8">
        <v>0.59430000000000005</v>
      </c>
      <c r="H123" s="8">
        <v>0</v>
      </c>
      <c r="I123" s="8">
        <v>1.2530999999999901</v>
      </c>
      <c r="J123" s="8">
        <v>0.59430000000000005</v>
      </c>
      <c r="K123" s="8">
        <v>1.2530999999999901</v>
      </c>
      <c r="L123" s="8">
        <v>46.6143</v>
      </c>
      <c r="M123" s="8">
        <v>117.5031</v>
      </c>
      <c r="N123" s="10">
        <v>2.5260756192959501</v>
      </c>
      <c r="O123" s="10">
        <v>2.5326711528669299</v>
      </c>
      <c r="P123" s="10">
        <v>2.52217162673948</v>
      </c>
      <c r="Q123" s="10">
        <v>2.5266769512488398</v>
      </c>
      <c r="R123" s="8">
        <v>116.55352645493601</v>
      </c>
      <c r="S123" s="8">
        <v>116.080037566391</v>
      </c>
      <c r="T123" s="8">
        <v>116.272582346449</v>
      </c>
      <c r="U123" s="9">
        <v>2.6075775701764202E-3</v>
      </c>
      <c r="V123" s="9">
        <v>-1.4631122665747E-3</v>
      </c>
      <c r="W123" s="9">
        <v>1.9423787825269799E-4</v>
      </c>
      <c r="X123" s="10">
        <v>2.5207522155218398</v>
      </c>
      <c r="Y123" s="10">
        <v>2.53031067016226</v>
      </c>
      <c r="Z123" s="10">
        <v>2.5231398040911501</v>
      </c>
      <c r="AA123" s="10">
        <v>2.5253198553291001</v>
      </c>
      <c r="AB123" s="8">
        <v>117.948660672144</v>
      </c>
      <c r="AC123" s="8">
        <v>117.632205999552</v>
      </c>
      <c r="AD123" s="8">
        <v>117.714902540137</v>
      </c>
      <c r="AE123" s="9">
        <v>3.7847345267794301E-3</v>
      </c>
      <c r="AF123" s="9">
        <v>1.09814229707487E-3</v>
      </c>
      <c r="AG123" s="9">
        <v>1.80090465095631E-3</v>
      </c>
      <c r="AZ123" s="9"/>
      <c r="BB123">
        <f t="shared" si="22"/>
        <v>0</v>
      </c>
      <c r="BC123">
        <f t="shared" si="23"/>
        <v>1</v>
      </c>
      <c r="BD123">
        <f t="shared" si="24"/>
        <v>0</v>
      </c>
      <c r="BE123">
        <f t="shared" si="20"/>
        <v>1</v>
      </c>
      <c r="BF123">
        <f t="shared" si="25"/>
        <v>0</v>
      </c>
      <c r="BG123" s="9">
        <f t="shared" si="26"/>
        <v>0</v>
      </c>
      <c r="BH123" s="9">
        <f t="shared" si="27"/>
        <v>0</v>
      </c>
      <c r="BI123" s="9">
        <f t="shared" si="28"/>
        <v>0</v>
      </c>
      <c r="BJ123" s="12">
        <f t="shared" si="29"/>
        <v>1.0594857034387173E-2</v>
      </c>
      <c r="BL123" s="9"/>
      <c r="BN123">
        <f t="shared" si="30"/>
        <v>0</v>
      </c>
      <c r="BO123">
        <f t="shared" si="31"/>
        <v>0</v>
      </c>
      <c r="BP123">
        <f t="shared" si="32"/>
        <v>0</v>
      </c>
      <c r="BQ123">
        <f t="shared" si="21"/>
        <v>1</v>
      </c>
      <c r="BR123">
        <f t="shared" si="33"/>
        <v>0</v>
      </c>
      <c r="BS123" s="9">
        <f t="shared" si="34"/>
        <v>0</v>
      </c>
      <c r="BT123" s="9">
        <f t="shared" si="35"/>
        <v>0</v>
      </c>
      <c r="BU123" s="9">
        <f t="shared" si="36"/>
        <v>0</v>
      </c>
      <c r="BV123" s="12">
        <f t="shared" si="37"/>
        <v>3.315815804039419E-3</v>
      </c>
      <c r="BX123" s="12">
        <f t="shared" si="38"/>
        <v>0</v>
      </c>
      <c r="BY123" s="12">
        <f t="shared" si="39"/>
        <v>1.3910672838426594E-2</v>
      </c>
    </row>
    <row r="124" spans="1:77" x14ac:dyDescent="0.3">
      <c r="A124" s="1">
        <v>46203</v>
      </c>
      <c r="B124" s="8">
        <v>45.34</v>
      </c>
      <c r="C124" s="8">
        <v>114.61</v>
      </c>
      <c r="D124" s="9">
        <v>-1.48864395278368E-2</v>
      </c>
      <c r="E124" s="9">
        <v>-1.42079839588579E-2</v>
      </c>
      <c r="F124" s="8">
        <v>0</v>
      </c>
      <c r="G124" s="8">
        <v>0.59430000000000005</v>
      </c>
      <c r="H124" s="8">
        <v>0</v>
      </c>
      <c r="I124" s="8">
        <v>1.2530999999999901</v>
      </c>
      <c r="J124" s="8">
        <v>0.59430000000000005</v>
      </c>
      <c r="K124" s="8">
        <v>1.2530999999999901</v>
      </c>
      <c r="L124" s="8">
        <v>45.9343</v>
      </c>
      <c r="M124" s="8">
        <v>115.8631</v>
      </c>
      <c r="N124" s="10">
        <v>2.5277900308778101</v>
      </c>
      <c r="O124" s="10">
        <v>2.5326711528669299</v>
      </c>
      <c r="P124" s="10">
        <v>2.52367660211157</v>
      </c>
      <c r="Q124" s="10">
        <v>2.5265235293588599</v>
      </c>
      <c r="R124" s="8">
        <v>114.83131007098601</v>
      </c>
      <c r="S124" s="8">
        <v>114.35526155636801</v>
      </c>
      <c r="T124" s="8">
        <v>114.559532969622</v>
      </c>
      <c r="U124" s="9">
        <v>1.9291220011973999E-3</v>
      </c>
      <c r="V124" s="9">
        <v>-2.22512836231239E-3</v>
      </c>
      <c r="W124" s="9">
        <v>-4.4043403622759099E-4</v>
      </c>
      <c r="X124" s="10">
        <v>2.5223656396200602</v>
      </c>
      <c r="Y124" s="10">
        <v>2.53031067016226</v>
      </c>
      <c r="Z124" s="10">
        <v>2.52304928186651</v>
      </c>
      <c r="AA124" s="10">
        <v>2.5250826285436698</v>
      </c>
      <c r="AB124" s="8">
        <v>116.228049416434</v>
      </c>
      <c r="AC124" s="8">
        <v>115.898660703064</v>
      </c>
      <c r="AD124" s="8">
        <v>115.99879983064299</v>
      </c>
      <c r="AE124" s="9">
        <v>3.1448826733785199E-3</v>
      </c>
      <c r="AF124" s="9">
        <v>3.0687291325112801E-4</v>
      </c>
      <c r="AG124" s="9">
        <v>1.1705230245819701E-3</v>
      </c>
      <c r="AZ124" s="9"/>
      <c r="BB124">
        <f t="shared" si="22"/>
        <v>0</v>
      </c>
      <c r="BC124">
        <f t="shared" si="23"/>
        <v>1</v>
      </c>
      <c r="BD124">
        <f t="shared" si="24"/>
        <v>0</v>
      </c>
      <c r="BE124">
        <f t="shared" si="20"/>
        <v>1</v>
      </c>
      <c r="BF124">
        <f t="shared" si="25"/>
        <v>0</v>
      </c>
      <c r="BG124" s="9">
        <f t="shared" si="26"/>
        <v>0</v>
      </c>
      <c r="BH124" s="9">
        <f t="shared" si="27"/>
        <v>0</v>
      </c>
      <c r="BI124" s="9">
        <f t="shared" si="28"/>
        <v>0</v>
      </c>
      <c r="BJ124" s="12">
        <f t="shared" si="29"/>
        <v>1.0594857034387173E-2</v>
      </c>
      <c r="BL124" s="9"/>
      <c r="BN124">
        <f t="shared" si="30"/>
        <v>0</v>
      </c>
      <c r="BO124">
        <f t="shared" si="31"/>
        <v>0</v>
      </c>
      <c r="BP124">
        <f t="shared" si="32"/>
        <v>0</v>
      </c>
      <c r="BQ124">
        <f t="shared" si="21"/>
        <v>1</v>
      </c>
      <c r="BR124">
        <f t="shared" si="33"/>
        <v>0</v>
      </c>
      <c r="BS124" s="9">
        <f t="shared" si="34"/>
        <v>0</v>
      </c>
      <c r="BT124" s="9">
        <f t="shared" si="35"/>
        <v>0</v>
      </c>
      <c r="BU124" s="9">
        <f t="shared" si="36"/>
        <v>0</v>
      </c>
      <c r="BV124" s="12">
        <f t="shared" si="37"/>
        <v>3.315815804039419E-3</v>
      </c>
      <c r="BX124" s="12">
        <f t="shared" si="38"/>
        <v>0</v>
      </c>
      <c r="BY124" s="12">
        <f t="shared" si="39"/>
        <v>1.3910672838426594E-2</v>
      </c>
    </row>
    <row r="125" spans="1:77" x14ac:dyDescent="0.3">
      <c r="A125" s="1">
        <v>46204</v>
      </c>
      <c r="B125" s="8">
        <v>44.77</v>
      </c>
      <c r="C125" s="8">
        <v>113.31</v>
      </c>
      <c r="D125" s="9">
        <v>-1.26513728265088E-2</v>
      </c>
      <c r="E125" s="9">
        <v>-1.14076351161325E-2</v>
      </c>
      <c r="F125" s="8">
        <v>0</v>
      </c>
      <c r="G125" s="8">
        <v>0.59430000000000005</v>
      </c>
      <c r="H125" s="8">
        <v>0</v>
      </c>
      <c r="I125" s="8">
        <v>1.2530999999999901</v>
      </c>
      <c r="J125" s="8">
        <v>0.59430000000000005</v>
      </c>
      <c r="K125" s="8">
        <v>1.2530999999999901</v>
      </c>
      <c r="L125" s="8">
        <v>45.3643</v>
      </c>
      <c r="M125" s="8">
        <v>114.56310000000001</v>
      </c>
      <c r="N125" s="10">
        <v>2.53093589457225</v>
      </c>
      <c r="O125" s="10">
        <v>2.5326711528669299</v>
      </c>
      <c r="P125" s="10">
        <v>2.5255052115421699</v>
      </c>
      <c r="Q125" s="10">
        <v>2.52670358149066</v>
      </c>
      <c r="R125" s="8">
        <v>113.387687513852</v>
      </c>
      <c r="S125" s="8">
        <v>112.985001476535</v>
      </c>
      <c r="T125" s="8">
        <v>113.112458409396</v>
      </c>
      <c r="U125" s="9">
        <v>6.8538429082121101E-4</v>
      </c>
      <c r="V125" s="9">
        <v>-2.8723457857277698E-3</v>
      </c>
      <c r="W125" s="9">
        <v>-1.74489440766574E-3</v>
      </c>
      <c r="X125" s="10">
        <v>2.52540213339564</v>
      </c>
      <c r="Y125" s="10">
        <v>2.53031067016226</v>
      </c>
      <c r="Z125" s="10">
        <v>2.5232788222709299</v>
      </c>
      <c r="AA125" s="10">
        <v>2.5251687809407701</v>
      </c>
      <c r="AB125" s="8">
        <v>114.78577233444101</v>
      </c>
      <c r="AC125" s="8">
        <v>114.456364537377</v>
      </c>
      <c r="AD125" s="8">
        <v>114.54860588604301</v>
      </c>
      <c r="AE125" s="9">
        <v>1.94177893390914E-3</v>
      </c>
      <c r="AF125" s="9">
        <v>-9.3210828665906797E-4</v>
      </c>
      <c r="AG125" s="9">
        <v>-1.26524429814189E-4</v>
      </c>
      <c r="AZ125" s="9"/>
      <c r="BB125">
        <f t="shared" si="22"/>
        <v>0</v>
      </c>
      <c r="BC125">
        <f t="shared" si="23"/>
        <v>0</v>
      </c>
      <c r="BD125">
        <f t="shared" si="24"/>
        <v>0</v>
      </c>
      <c r="BE125">
        <f t="shared" si="20"/>
        <v>1</v>
      </c>
      <c r="BF125">
        <f t="shared" si="25"/>
        <v>0</v>
      </c>
      <c r="BG125" s="9">
        <f t="shared" si="26"/>
        <v>0</v>
      </c>
      <c r="BH125" s="9">
        <f t="shared" si="27"/>
        <v>0</v>
      </c>
      <c r="BI125" s="9">
        <f t="shared" si="28"/>
        <v>0</v>
      </c>
      <c r="BJ125" s="12">
        <f t="shared" si="29"/>
        <v>1.0594857034387173E-2</v>
      </c>
      <c r="BL125" s="9"/>
      <c r="BN125">
        <f t="shared" si="30"/>
        <v>0</v>
      </c>
      <c r="BO125">
        <f t="shared" si="31"/>
        <v>1</v>
      </c>
      <c r="BP125">
        <f t="shared" si="32"/>
        <v>0</v>
      </c>
      <c r="BQ125">
        <f t="shared" si="21"/>
        <v>1</v>
      </c>
      <c r="BR125">
        <f t="shared" si="33"/>
        <v>0</v>
      </c>
      <c r="BS125" s="9">
        <f t="shared" si="34"/>
        <v>0</v>
      </c>
      <c r="BT125" s="9">
        <f t="shared" si="35"/>
        <v>0</v>
      </c>
      <c r="BU125" s="9">
        <f t="shared" si="36"/>
        <v>0</v>
      </c>
      <c r="BV125" s="12">
        <f t="shared" si="37"/>
        <v>3.315815804039419E-3</v>
      </c>
      <c r="BX125" s="12">
        <f t="shared" si="38"/>
        <v>0</v>
      </c>
      <c r="BY125" s="12">
        <f t="shared" si="39"/>
        <v>1.3910672838426594E-2</v>
      </c>
    </row>
    <row r="126" spans="1:77" x14ac:dyDescent="0.3">
      <c r="A126" s="1">
        <v>46205</v>
      </c>
      <c r="B126" s="8">
        <v>45.76</v>
      </c>
      <c r="C126" s="8">
        <v>115.75</v>
      </c>
      <c r="D126" s="9">
        <v>2.1872074818668E-2</v>
      </c>
      <c r="E126" s="9">
        <v>2.1305267573868199E-2</v>
      </c>
      <c r="F126" s="8">
        <v>0</v>
      </c>
      <c r="G126" s="8">
        <v>0.59430000000000005</v>
      </c>
      <c r="H126" s="8">
        <v>0</v>
      </c>
      <c r="I126" s="8">
        <v>1.2530999999999901</v>
      </c>
      <c r="J126" s="8">
        <v>0.59430000000000005</v>
      </c>
      <c r="K126" s="8">
        <v>1.2530999999999901</v>
      </c>
      <c r="L126" s="8">
        <v>46.354299999999903</v>
      </c>
      <c r="M126" s="8">
        <v>117.0031</v>
      </c>
      <c r="N126" s="10">
        <v>2.5295017482517399</v>
      </c>
      <c r="O126" s="10">
        <v>2.5326711528669299</v>
      </c>
      <c r="P126" s="10">
        <v>2.5269709059354901</v>
      </c>
      <c r="Q126" s="10">
        <v>2.52661724131231</v>
      </c>
      <c r="R126" s="8">
        <v>115.89503195519001</v>
      </c>
      <c r="S126" s="8">
        <v>115.567118480169</v>
      </c>
      <c r="T126" s="8">
        <v>115.621955889012</v>
      </c>
      <c r="U126" s="9">
        <v>1.2521915356211799E-3</v>
      </c>
      <c r="V126" s="9">
        <v>-1.58121940248988E-3</v>
      </c>
      <c r="W126" s="9">
        <v>-1.10682492670329E-3</v>
      </c>
      <c r="X126" s="10">
        <v>2.5241045598790102</v>
      </c>
      <c r="Y126" s="10">
        <v>2.53031067016226</v>
      </c>
      <c r="Z126" s="10">
        <v>2.5231466100822302</v>
      </c>
      <c r="AA126" s="10">
        <v>2.5249975292062299</v>
      </c>
      <c r="AB126" s="8">
        <v>117.290779897902</v>
      </c>
      <c r="AC126" s="8">
        <v>116.964823511193</v>
      </c>
      <c r="AD126" s="8">
        <v>117.052431222362</v>
      </c>
      <c r="AE126" s="9">
        <v>2.4557196508960101E-3</v>
      </c>
      <c r="AF126" s="9">
        <v>-3.27194331370558E-4</v>
      </c>
      <c r="AG126" s="9">
        <v>4.21534349866935E-4</v>
      </c>
      <c r="AZ126" s="9"/>
      <c r="BB126">
        <f t="shared" si="22"/>
        <v>0</v>
      </c>
      <c r="BC126">
        <f t="shared" si="23"/>
        <v>1</v>
      </c>
      <c r="BD126">
        <f t="shared" si="24"/>
        <v>0</v>
      </c>
      <c r="BE126">
        <f t="shared" si="20"/>
        <v>1</v>
      </c>
      <c r="BF126">
        <f t="shared" si="25"/>
        <v>0</v>
      </c>
      <c r="BG126" s="9">
        <f t="shared" si="26"/>
        <v>0</v>
      </c>
      <c r="BH126" s="9">
        <f t="shared" si="27"/>
        <v>0</v>
      </c>
      <c r="BI126" s="9">
        <f t="shared" si="28"/>
        <v>0</v>
      </c>
      <c r="BJ126" s="12">
        <f t="shared" si="29"/>
        <v>1.0594857034387173E-2</v>
      </c>
      <c r="BL126" s="9"/>
      <c r="BN126">
        <f t="shared" si="30"/>
        <v>0</v>
      </c>
      <c r="BO126">
        <f t="shared" si="31"/>
        <v>0</v>
      </c>
      <c r="BP126">
        <f t="shared" si="32"/>
        <v>0</v>
      </c>
      <c r="BQ126">
        <f t="shared" si="21"/>
        <v>1</v>
      </c>
      <c r="BR126">
        <f t="shared" si="33"/>
        <v>0</v>
      </c>
      <c r="BS126" s="9">
        <f t="shared" si="34"/>
        <v>0</v>
      </c>
      <c r="BT126" s="9">
        <f t="shared" si="35"/>
        <v>0</v>
      </c>
      <c r="BU126" s="9">
        <f t="shared" si="36"/>
        <v>0</v>
      </c>
      <c r="BV126" s="12">
        <f t="shared" si="37"/>
        <v>3.315815804039419E-3</v>
      </c>
      <c r="BX126" s="12">
        <f t="shared" si="38"/>
        <v>0</v>
      </c>
      <c r="BY126" s="12">
        <f t="shared" si="39"/>
        <v>1.3910672838426594E-2</v>
      </c>
    </row>
    <row r="127" spans="1:77" x14ac:dyDescent="0.3">
      <c r="A127" s="1">
        <v>46209</v>
      </c>
      <c r="B127" s="8">
        <v>45.3</v>
      </c>
      <c r="C127" s="8">
        <v>114.75</v>
      </c>
      <c r="D127" s="9">
        <v>-1.0103314582554101E-2</v>
      </c>
      <c r="E127" s="9">
        <v>-8.6768440256889696E-3</v>
      </c>
      <c r="F127" s="8">
        <v>0</v>
      </c>
      <c r="G127" s="8">
        <v>0.59430000000000005</v>
      </c>
      <c r="H127" s="8">
        <v>0</v>
      </c>
      <c r="I127" s="8">
        <v>1.2530999999999901</v>
      </c>
      <c r="J127" s="8">
        <v>0.59430000000000005</v>
      </c>
      <c r="K127" s="8">
        <v>1.2530999999999901</v>
      </c>
      <c r="L127" s="8">
        <v>45.894299999999902</v>
      </c>
      <c r="M127" s="8">
        <v>116.0031</v>
      </c>
      <c r="N127" s="10">
        <v>2.5331125827814498</v>
      </c>
      <c r="O127" s="10">
        <v>2.5326711528669299</v>
      </c>
      <c r="P127" s="10">
        <v>2.5289640230161399</v>
      </c>
      <c r="Q127" s="10">
        <v>2.5266228932096899</v>
      </c>
      <c r="R127" s="8">
        <v>114.73000322487199</v>
      </c>
      <c r="S127" s="8">
        <v>114.471782038878</v>
      </c>
      <c r="T127" s="8">
        <v>114.455761031447</v>
      </c>
      <c r="U127" s="9">
        <v>-1.74279021243962E-4</v>
      </c>
      <c r="V127" s="9">
        <v>-2.4275013942390801E-3</v>
      </c>
      <c r="W127" s="9">
        <v>-2.5674671427166301E-3</v>
      </c>
      <c r="X127" s="10">
        <v>2.5276145403677499</v>
      </c>
      <c r="Y127" s="10">
        <v>2.53031067016226</v>
      </c>
      <c r="Z127" s="10">
        <v>2.5235376350743399</v>
      </c>
      <c r="AA127" s="10">
        <v>2.52491288568141</v>
      </c>
      <c r="AB127" s="8">
        <v>116.12683698962699</v>
      </c>
      <c r="AC127" s="8">
        <v>115.798047467096</v>
      </c>
      <c r="AD127" s="8">
        <v>115.882994104649</v>
      </c>
      <c r="AE127" s="9">
        <v>1.0661011927382399E-3</v>
      </c>
      <c r="AF127" s="9">
        <v>-1.76921114179181E-3</v>
      </c>
      <c r="AG127" s="9">
        <v>-1.03590434393624E-3</v>
      </c>
      <c r="AZ127" s="9"/>
      <c r="BB127">
        <f t="shared" si="22"/>
        <v>0</v>
      </c>
      <c r="BC127">
        <f t="shared" si="23"/>
        <v>0</v>
      </c>
      <c r="BD127">
        <f t="shared" si="24"/>
        <v>0</v>
      </c>
      <c r="BE127">
        <f t="shared" si="20"/>
        <v>1</v>
      </c>
      <c r="BF127">
        <f t="shared" si="25"/>
        <v>0</v>
      </c>
      <c r="BG127" s="9">
        <f t="shared" si="26"/>
        <v>0</v>
      </c>
      <c r="BH127" s="9">
        <f t="shared" si="27"/>
        <v>0</v>
      </c>
      <c r="BI127" s="9">
        <f t="shared" si="28"/>
        <v>0</v>
      </c>
      <c r="BJ127" s="12">
        <f t="shared" si="29"/>
        <v>1.0594857034387173E-2</v>
      </c>
      <c r="BL127" s="9"/>
      <c r="BN127">
        <f t="shared" si="30"/>
        <v>0</v>
      </c>
      <c r="BO127">
        <f t="shared" si="31"/>
        <v>1</v>
      </c>
      <c r="BP127">
        <f t="shared" si="32"/>
        <v>0</v>
      </c>
      <c r="BQ127">
        <f t="shared" si="21"/>
        <v>1</v>
      </c>
      <c r="BR127">
        <f t="shared" si="33"/>
        <v>0</v>
      </c>
      <c r="BS127" s="9">
        <f t="shared" si="34"/>
        <v>0</v>
      </c>
      <c r="BT127" s="9">
        <f t="shared" si="35"/>
        <v>0</v>
      </c>
      <c r="BU127" s="9">
        <f t="shared" si="36"/>
        <v>0</v>
      </c>
      <c r="BV127" s="12">
        <f t="shared" si="37"/>
        <v>3.315815804039419E-3</v>
      </c>
      <c r="BX127" s="12">
        <f t="shared" si="38"/>
        <v>0</v>
      </c>
      <c r="BY127" s="12">
        <f t="shared" si="39"/>
        <v>1.3910672838426594E-2</v>
      </c>
    </row>
    <row r="128" spans="1:77" x14ac:dyDescent="0.3">
      <c r="A128" s="1">
        <v>46210</v>
      </c>
      <c r="B128" s="8">
        <v>45.7</v>
      </c>
      <c r="C128" s="8">
        <v>115.97</v>
      </c>
      <c r="D128" s="9">
        <v>8.7912654111707202E-3</v>
      </c>
      <c r="E128" s="9">
        <v>1.0575688027957201E-2</v>
      </c>
      <c r="F128" s="8">
        <v>0</v>
      </c>
      <c r="G128" s="8">
        <v>0.59430000000000005</v>
      </c>
      <c r="H128" s="8">
        <v>0</v>
      </c>
      <c r="I128" s="8">
        <v>1.2530999999999901</v>
      </c>
      <c r="J128" s="8">
        <v>0.59430000000000005</v>
      </c>
      <c r="K128" s="8">
        <v>1.2530999999999901</v>
      </c>
      <c r="L128" s="8">
        <v>46.2943</v>
      </c>
      <c r="M128" s="8">
        <v>117.2231</v>
      </c>
      <c r="N128" s="10">
        <v>2.5376367614879598</v>
      </c>
      <c r="O128" s="10">
        <v>2.5326711528669299</v>
      </c>
      <c r="P128" s="10">
        <v>2.53011142009517</v>
      </c>
      <c r="Q128" s="10">
        <v>2.5269771100890499</v>
      </c>
      <c r="R128" s="8">
        <v>115.743071686018</v>
      </c>
      <c r="S128" s="8">
        <v>115.573655851837</v>
      </c>
      <c r="T128" s="8">
        <v>115.466666219682</v>
      </c>
      <c r="U128" s="9">
        <v>-1.9587016380304802E-3</v>
      </c>
      <c r="V128" s="9">
        <v>-3.4234972563690698E-3</v>
      </c>
      <c r="W128" s="9">
        <v>-4.3496528195480699E-3</v>
      </c>
      <c r="X128" s="10">
        <v>2.5321281453656201</v>
      </c>
      <c r="Y128" s="10">
        <v>2.53031067016226</v>
      </c>
      <c r="Z128" s="10">
        <v>2.5246818972996001</v>
      </c>
      <c r="AA128" s="10">
        <v>2.52517373463004</v>
      </c>
      <c r="AB128" s="8">
        <v>117.138961257692</v>
      </c>
      <c r="AC128" s="8">
        <v>116.825408339422</v>
      </c>
      <c r="AD128" s="8">
        <v>116.889074603601</v>
      </c>
      <c r="AE128" s="9">
        <v>-7.1802360391123898E-4</v>
      </c>
      <c r="AF128" s="9">
        <v>-3.3983728086310699E-3</v>
      </c>
      <c r="AG128" s="9">
        <v>-2.8535519233187801E-3</v>
      </c>
      <c r="AZ128" s="9"/>
      <c r="BB128">
        <f t="shared" si="22"/>
        <v>1</v>
      </c>
      <c r="BC128">
        <f t="shared" si="23"/>
        <v>0</v>
      </c>
      <c r="BD128">
        <f t="shared" si="24"/>
        <v>0</v>
      </c>
      <c r="BE128">
        <f t="shared" si="20"/>
        <v>1</v>
      </c>
      <c r="BF128">
        <f t="shared" si="25"/>
        <v>0</v>
      </c>
      <c r="BG128" s="9">
        <f t="shared" si="26"/>
        <v>0</v>
      </c>
      <c r="BH128" s="9">
        <f t="shared" si="27"/>
        <v>0</v>
      </c>
      <c r="BI128" s="9">
        <f t="shared" si="28"/>
        <v>0</v>
      </c>
      <c r="BJ128" s="12">
        <f t="shared" si="29"/>
        <v>1.0594857034387173E-2</v>
      </c>
      <c r="BL128" s="9"/>
      <c r="BN128">
        <f t="shared" si="30"/>
        <v>0</v>
      </c>
      <c r="BO128">
        <f t="shared" si="31"/>
        <v>1</v>
      </c>
      <c r="BP128">
        <f t="shared" si="32"/>
        <v>0</v>
      </c>
      <c r="BQ128">
        <f t="shared" si="21"/>
        <v>1</v>
      </c>
      <c r="BR128">
        <f t="shared" si="33"/>
        <v>0</v>
      </c>
      <c r="BS128" s="9">
        <f t="shared" si="34"/>
        <v>0</v>
      </c>
      <c r="BT128" s="9">
        <f t="shared" si="35"/>
        <v>0</v>
      </c>
      <c r="BU128" s="9">
        <f t="shared" si="36"/>
        <v>0</v>
      </c>
      <c r="BV128" s="12">
        <f t="shared" si="37"/>
        <v>3.315815804039419E-3</v>
      </c>
      <c r="BX128" s="12">
        <f t="shared" si="38"/>
        <v>0</v>
      </c>
      <c r="BY128" s="12">
        <f t="shared" si="39"/>
        <v>1.3910672838426594E-2</v>
      </c>
    </row>
    <row r="129" spans="1:77" x14ac:dyDescent="0.3">
      <c r="A129" s="1">
        <v>46211</v>
      </c>
      <c r="B129" s="8">
        <v>45.36</v>
      </c>
      <c r="C129" s="8">
        <v>115.08</v>
      </c>
      <c r="D129" s="9">
        <v>-7.4676384806624703E-3</v>
      </c>
      <c r="E129" s="9">
        <v>-7.7039982852646601E-3</v>
      </c>
      <c r="F129" s="8">
        <v>0</v>
      </c>
      <c r="G129" s="8">
        <v>0.59430000000000005</v>
      </c>
      <c r="H129" s="8">
        <v>0</v>
      </c>
      <c r="I129" s="8">
        <v>1.2530999999999901</v>
      </c>
      <c r="J129" s="8">
        <v>0.59430000000000005</v>
      </c>
      <c r="K129" s="8">
        <v>1.2530999999999901</v>
      </c>
      <c r="L129" s="8">
        <v>45.954299999999897</v>
      </c>
      <c r="M129" s="8">
        <v>116.3331</v>
      </c>
      <c r="N129" s="10">
        <v>2.5370370370370301</v>
      </c>
      <c r="O129" s="10">
        <v>2.5326711528669299</v>
      </c>
      <c r="P129" s="10">
        <v>2.5310083787356401</v>
      </c>
      <c r="Q129" s="10">
        <v>2.5272664619409002</v>
      </c>
      <c r="R129" s="8">
        <v>114.881963494044</v>
      </c>
      <c r="S129" s="8">
        <v>114.76585401551699</v>
      </c>
      <c r="T129" s="8">
        <v>114.623681713639</v>
      </c>
      <c r="U129" s="9">
        <v>-1.7223418334282299E-3</v>
      </c>
      <c r="V129" s="9">
        <v>-2.7335379308248901E-3</v>
      </c>
      <c r="W129" s="9">
        <v>-3.9731090353240404E-3</v>
      </c>
      <c r="X129" s="10">
        <v>2.5314954204503102</v>
      </c>
      <c r="Y129" s="10">
        <v>2.53031067016226</v>
      </c>
      <c r="Z129" s="10">
        <v>2.52557070174436</v>
      </c>
      <c r="AA129" s="10">
        <v>2.5253717628354302</v>
      </c>
      <c r="AB129" s="8">
        <v>116.278655629837</v>
      </c>
      <c r="AC129" s="8">
        <v>116.019989313075</v>
      </c>
      <c r="AD129" s="8">
        <v>116.04259135330901</v>
      </c>
      <c r="AE129" s="9">
        <v>-4.6811366871164398E-4</v>
      </c>
      <c r="AF129" s="9">
        <v>-2.6951298765125198E-3</v>
      </c>
      <c r="AG129" s="9">
        <v>-2.5003372456584702E-3</v>
      </c>
      <c r="AZ129" s="9"/>
      <c r="BB129">
        <f t="shared" si="22"/>
        <v>1</v>
      </c>
      <c r="BC129">
        <f t="shared" si="23"/>
        <v>0</v>
      </c>
      <c r="BD129">
        <f t="shared" si="24"/>
        <v>1</v>
      </c>
      <c r="BE129">
        <f t="shared" si="20"/>
        <v>1</v>
      </c>
      <c r="BF129">
        <f t="shared" si="25"/>
        <v>1</v>
      </c>
      <c r="BG129" s="9">
        <f t="shared" si="26"/>
        <v>-7.4676384806624703E-3</v>
      </c>
      <c r="BH129" s="9">
        <f t="shared" si="27"/>
        <v>7.7039982852646601E-3</v>
      </c>
      <c r="BI129" s="9">
        <f t="shared" si="28"/>
        <v>2.3635980460218978E-4</v>
      </c>
      <c r="BJ129" s="12">
        <f t="shared" si="29"/>
        <v>1.0831216838989362E-2</v>
      </c>
      <c r="BL129" s="9"/>
      <c r="BN129">
        <f t="shared" si="30"/>
        <v>0</v>
      </c>
      <c r="BO129">
        <f t="shared" si="31"/>
        <v>1</v>
      </c>
      <c r="BP129">
        <f t="shared" si="32"/>
        <v>0</v>
      </c>
      <c r="BQ129">
        <f t="shared" si="21"/>
        <v>1</v>
      </c>
      <c r="BR129">
        <f t="shared" si="33"/>
        <v>0</v>
      </c>
      <c r="BS129" s="9">
        <f t="shared" si="34"/>
        <v>0</v>
      </c>
      <c r="BT129" s="9">
        <f t="shared" si="35"/>
        <v>0</v>
      </c>
      <c r="BU129" s="9">
        <f t="shared" si="36"/>
        <v>0</v>
      </c>
      <c r="BV129" s="12">
        <f t="shared" si="37"/>
        <v>3.315815804039419E-3</v>
      </c>
      <c r="BX129" s="12">
        <f t="shared" si="38"/>
        <v>2.3635980460218978E-4</v>
      </c>
      <c r="BY129" s="12">
        <f t="shared" si="39"/>
        <v>1.4147032643028783E-2</v>
      </c>
    </row>
    <row r="130" spans="1:77" x14ac:dyDescent="0.3">
      <c r="A130" s="1">
        <v>46212</v>
      </c>
      <c r="B130" s="8">
        <v>45.13</v>
      </c>
      <c r="C130" s="8">
        <v>114.53</v>
      </c>
      <c r="D130" s="9">
        <v>-5.0834455805867E-3</v>
      </c>
      <c r="E130" s="9">
        <v>-4.7907412737223003E-3</v>
      </c>
      <c r="F130" s="8">
        <v>0</v>
      </c>
      <c r="G130" s="8">
        <v>0.59430000000000005</v>
      </c>
      <c r="H130" s="8">
        <v>0</v>
      </c>
      <c r="I130" s="8">
        <v>1.2530999999999901</v>
      </c>
      <c r="J130" s="8">
        <v>0.59430000000000005</v>
      </c>
      <c r="K130" s="8">
        <v>1.2530999999999901</v>
      </c>
      <c r="L130" s="8">
        <v>45.724299999999999</v>
      </c>
      <c r="M130" s="8">
        <v>115.7831</v>
      </c>
      <c r="N130" s="10">
        <v>2.5377797473964101</v>
      </c>
      <c r="O130" s="10">
        <v>2.5326711528669299</v>
      </c>
      <c r="P130" s="10">
        <v>2.5317121330097501</v>
      </c>
      <c r="Q130" s="10">
        <v>2.5273705470824299</v>
      </c>
      <c r="R130" s="8">
        <v>114.29944912888401</v>
      </c>
      <c r="S130" s="8">
        <v>114.22440813233899</v>
      </c>
      <c r="T130" s="8">
        <v>114.055535427392</v>
      </c>
      <c r="U130" s="9">
        <v>-2.01504614029277E-3</v>
      </c>
      <c r="V130" s="9">
        <v>-2.6717915684652499E-3</v>
      </c>
      <c r="W130" s="9">
        <v>-4.1513147636994896E-3</v>
      </c>
      <c r="X130" s="10">
        <v>2.5322006023055499</v>
      </c>
      <c r="Y130" s="10">
        <v>2.53031067016226</v>
      </c>
      <c r="Z130" s="10">
        <v>2.5262604320468598</v>
      </c>
      <c r="AA130" s="10">
        <v>2.5253822747761401</v>
      </c>
      <c r="AB130" s="8">
        <v>115.6966841757</v>
      </c>
      <c r="AC130" s="8">
        <v>115.47995243777</v>
      </c>
      <c r="AD130" s="8">
        <v>115.470856095416</v>
      </c>
      <c r="AE130" s="9">
        <v>-7.4663823125644302E-4</v>
      </c>
      <c r="AF130" s="9">
        <v>-2.6216702812327801E-3</v>
      </c>
      <c r="AG130" s="9">
        <v>-2.7004432668406701E-3</v>
      </c>
      <c r="AZ130" s="9"/>
      <c r="BB130">
        <f t="shared" si="22"/>
        <v>1</v>
      </c>
      <c r="BC130">
        <f t="shared" si="23"/>
        <v>0</v>
      </c>
      <c r="BD130">
        <f t="shared" si="24"/>
        <v>1</v>
      </c>
      <c r="BE130">
        <f t="shared" si="20"/>
        <v>1</v>
      </c>
      <c r="BF130">
        <f t="shared" si="25"/>
        <v>1</v>
      </c>
      <c r="BG130" s="9">
        <f t="shared" si="26"/>
        <v>-5.0834455805867E-3</v>
      </c>
      <c r="BH130" s="9">
        <f t="shared" si="27"/>
        <v>4.7907412737223003E-3</v>
      </c>
      <c r="BI130" s="9">
        <f t="shared" si="28"/>
        <v>-2.9270430686439974E-4</v>
      </c>
      <c r="BJ130" s="12">
        <f t="shared" si="29"/>
        <v>1.0538512532124962E-2</v>
      </c>
      <c r="BL130" s="9"/>
      <c r="BN130">
        <f t="shared" si="30"/>
        <v>0</v>
      </c>
      <c r="BO130">
        <f t="shared" si="31"/>
        <v>1</v>
      </c>
      <c r="BP130">
        <f t="shared" si="32"/>
        <v>0</v>
      </c>
      <c r="BQ130">
        <f t="shared" si="21"/>
        <v>1</v>
      </c>
      <c r="BR130">
        <f t="shared" si="33"/>
        <v>0</v>
      </c>
      <c r="BS130" s="9">
        <f t="shared" si="34"/>
        <v>0</v>
      </c>
      <c r="BT130" s="9">
        <f t="shared" si="35"/>
        <v>0</v>
      </c>
      <c r="BU130" s="9">
        <f t="shared" si="36"/>
        <v>0</v>
      </c>
      <c r="BV130" s="12">
        <f t="shared" si="37"/>
        <v>3.315815804039419E-3</v>
      </c>
      <c r="BX130" s="12">
        <f t="shared" si="38"/>
        <v>-2.9270430686439974E-4</v>
      </c>
      <c r="BY130" s="12">
        <f t="shared" si="39"/>
        <v>1.3854328336164384E-2</v>
      </c>
    </row>
    <row r="131" spans="1:77" x14ac:dyDescent="0.3">
      <c r="A131" s="1">
        <v>46213</v>
      </c>
      <c r="B131" s="8">
        <v>45.41</v>
      </c>
      <c r="C131" s="8">
        <v>115.19</v>
      </c>
      <c r="D131" s="9">
        <v>6.1851312709498901E-3</v>
      </c>
      <c r="E131" s="9">
        <v>5.7461415287901104E-3</v>
      </c>
      <c r="F131" s="8">
        <v>0</v>
      </c>
      <c r="G131" s="8">
        <v>0.59430000000000005</v>
      </c>
      <c r="H131" s="8">
        <v>0</v>
      </c>
      <c r="I131" s="8">
        <v>1.2530999999999901</v>
      </c>
      <c r="J131" s="8">
        <v>0.59430000000000005</v>
      </c>
      <c r="K131" s="8">
        <v>1.2530999999999901</v>
      </c>
      <c r="L131" s="8">
        <v>46.004299999999901</v>
      </c>
      <c r="M131" s="8">
        <v>116.4431</v>
      </c>
      <c r="N131" s="10">
        <v>2.53666593261396</v>
      </c>
      <c r="O131" s="10">
        <v>2.5326711528669299</v>
      </c>
      <c r="P131" s="10">
        <v>2.5325106782886002</v>
      </c>
      <c r="Q131" s="10">
        <v>2.5274424800767701</v>
      </c>
      <c r="R131" s="8">
        <v>115.008597051687</v>
      </c>
      <c r="S131" s="8">
        <v>114.96504795997301</v>
      </c>
      <c r="T131" s="8">
        <v>114.76789654301299</v>
      </c>
      <c r="U131" s="9">
        <v>-1.57605639813308E-3</v>
      </c>
      <c r="V131" s="9">
        <v>-1.9547875543279498E-3</v>
      </c>
      <c r="W131" s="9">
        <v>-3.6711409992792399E-3</v>
      </c>
      <c r="X131" s="10">
        <v>2.5311351330201699</v>
      </c>
      <c r="Y131" s="10">
        <v>2.53031067016226</v>
      </c>
      <c r="Z131" s="10">
        <v>2.52704351944086</v>
      </c>
      <c r="AA131" s="10">
        <v>2.5253628035412801</v>
      </c>
      <c r="AB131" s="8">
        <v>116.405171163345</v>
      </c>
      <c r="AC131" s="8">
        <v>116.218842794013</v>
      </c>
      <c r="AD131" s="8">
        <v>116.178443783484</v>
      </c>
      <c r="AE131" s="9">
        <v>-3.2578156410883899E-4</v>
      </c>
      <c r="AF131" s="9">
        <v>-1.9277521088536601E-3</v>
      </c>
      <c r="AG131" s="9">
        <v>-2.27542407638371E-3</v>
      </c>
      <c r="AZ131" s="9"/>
      <c r="BB131">
        <f t="shared" si="22"/>
        <v>1</v>
      </c>
      <c r="BC131">
        <f t="shared" si="23"/>
        <v>0</v>
      </c>
      <c r="BD131">
        <f t="shared" si="24"/>
        <v>1</v>
      </c>
      <c r="BE131">
        <f t="shared" si="20"/>
        <v>1</v>
      </c>
      <c r="BF131">
        <f t="shared" si="25"/>
        <v>1</v>
      </c>
      <c r="BG131" s="9">
        <f t="shared" si="26"/>
        <v>6.1851312709498901E-3</v>
      </c>
      <c r="BH131" s="9">
        <f t="shared" si="27"/>
        <v>-5.7461415287901104E-3</v>
      </c>
      <c r="BI131" s="9">
        <f t="shared" si="28"/>
        <v>4.3898974215977968E-4</v>
      </c>
      <c r="BJ131" s="12">
        <f t="shared" si="29"/>
        <v>1.0977502274284741E-2</v>
      </c>
      <c r="BL131" s="9"/>
      <c r="BN131">
        <f t="shared" si="30"/>
        <v>0</v>
      </c>
      <c r="BO131">
        <f t="shared" si="31"/>
        <v>1</v>
      </c>
      <c r="BP131">
        <f t="shared" si="32"/>
        <v>0</v>
      </c>
      <c r="BQ131">
        <f t="shared" si="21"/>
        <v>1</v>
      </c>
      <c r="BR131">
        <f t="shared" si="33"/>
        <v>0</v>
      </c>
      <c r="BS131" s="9">
        <f t="shared" si="34"/>
        <v>0</v>
      </c>
      <c r="BT131" s="9">
        <f t="shared" si="35"/>
        <v>0</v>
      </c>
      <c r="BU131" s="9">
        <f t="shared" si="36"/>
        <v>0</v>
      </c>
      <c r="BV131" s="12">
        <f t="shared" si="37"/>
        <v>3.315815804039419E-3</v>
      </c>
      <c r="BX131" s="12">
        <f t="shared" si="38"/>
        <v>4.3898974215977968E-4</v>
      </c>
      <c r="BY131" s="12">
        <f t="shared" si="39"/>
        <v>1.4293318078324162E-2</v>
      </c>
    </row>
    <row r="132" spans="1:77" x14ac:dyDescent="0.3">
      <c r="A132" s="1">
        <v>46216</v>
      </c>
      <c r="B132" s="8">
        <v>45.72</v>
      </c>
      <c r="C132" s="8">
        <v>116.05</v>
      </c>
      <c r="D132" s="9">
        <v>6.8034938167500902E-3</v>
      </c>
      <c r="E132" s="9">
        <v>7.43819378203096E-3</v>
      </c>
      <c r="F132" s="8">
        <v>0</v>
      </c>
      <c r="G132" s="8">
        <v>0.59430000000000005</v>
      </c>
      <c r="H132" s="8">
        <v>0</v>
      </c>
      <c r="I132" s="8">
        <v>1.2530999999999901</v>
      </c>
      <c r="J132" s="8">
        <v>0.59430000000000005</v>
      </c>
      <c r="K132" s="8">
        <v>1.2530999999999901</v>
      </c>
      <c r="L132" s="8">
        <v>46.314299999999903</v>
      </c>
      <c r="M132" s="8">
        <v>117.3031</v>
      </c>
      <c r="N132" s="10">
        <v>2.53827646544182</v>
      </c>
      <c r="O132" s="10">
        <v>2.5326711528669299</v>
      </c>
      <c r="P132" s="10">
        <v>2.53348118197564</v>
      </c>
      <c r="Q132" s="10">
        <v>2.5279317857552099</v>
      </c>
      <c r="R132" s="8">
        <v>115.79372510907599</v>
      </c>
      <c r="S132" s="8">
        <v>115.78638821135399</v>
      </c>
      <c r="T132" s="8">
        <v>115.554670189109</v>
      </c>
      <c r="U132" s="9">
        <v>-2.2107563634138501E-3</v>
      </c>
      <c r="V132" s="9">
        <v>-2.2741201610948299E-3</v>
      </c>
      <c r="W132" s="9">
        <v>-4.2773797756088996E-3</v>
      </c>
      <c r="X132" s="10">
        <v>2.5327620195058498</v>
      </c>
      <c r="Y132" s="10">
        <v>2.53031067016226</v>
      </c>
      <c r="Z132" s="10">
        <v>2.5279960409431799</v>
      </c>
      <c r="AA132" s="10">
        <v>2.5257589607791</v>
      </c>
      <c r="AB132" s="8">
        <v>117.189567471095</v>
      </c>
      <c r="AC132" s="8">
        <v>117.038251672439</v>
      </c>
      <c r="AD132" s="8">
        <v>116.96041049205201</v>
      </c>
      <c r="AE132" s="9">
        <v>-9.6832484358366604E-4</v>
      </c>
      <c r="AF132" s="9">
        <v>-2.2603645360466198E-3</v>
      </c>
      <c r="AG132" s="9">
        <v>-2.9256775984293701E-3</v>
      </c>
      <c r="AZ132" s="9"/>
      <c r="BB132">
        <f t="shared" si="22"/>
        <v>1</v>
      </c>
      <c r="BC132">
        <f t="shared" si="23"/>
        <v>0</v>
      </c>
      <c r="BD132">
        <f t="shared" si="24"/>
        <v>1</v>
      </c>
      <c r="BE132">
        <f t="shared" si="20"/>
        <v>1</v>
      </c>
      <c r="BF132">
        <f t="shared" si="25"/>
        <v>1</v>
      </c>
      <c r="BG132" s="9">
        <f t="shared" si="26"/>
        <v>6.8034938167500902E-3</v>
      </c>
      <c r="BH132" s="9">
        <f t="shared" si="27"/>
        <v>-7.43819378203096E-3</v>
      </c>
      <c r="BI132" s="9">
        <f t="shared" si="28"/>
        <v>-6.3469996528086985E-4</v>
      </c>
      <c r="BJ132" s="12">
        <f t="shared" si="29"/>
        <v>1.0342802309003871E-2</v>
      </c>
      <c r="BL132" s="9"/>
      <c r="BN132">
        <f t="shared" si="30"/>
        <v>0</v>
      </c>
      <c r="BO132">
        <f t="shared" si="31"/>
        <v>1</v>
      </c>
      <c r="BP132">
        <f t="shared" si="32"/>
        <v>0</v>
      </c>
      <c r="BQ132">
        <f t="shared" si="21"/>
        <v>1</v>
      </c>
      <c r="BR132">
        <f t="shared" si="33"/>
        <v>0</v>
      </c>
      <c r="BS132" s="9">
        <f t="shared" si="34"/>
        <v>0</v>
      </c>
      <c r="BT132" s="9">
        <f t="shared" si="35"/>
        <v>0</v>
      </c>
      <c r="BU132" s="9">
        <f t="shared" si="36"/>
        <v>0</v>
      </c>
      <c r="BV132" s="12">
        <f t="shared" si="37"/>
        <v>3.315815804039419E-3</v>
      </c>
      <c r="BX132" s="12">
        <f t="shared" si="38"/>
        <v>-6.3469996528086985E-4</v>
      </c>
      <c r="BY132" s="12">
        <f t="shared" si="39"/>
        <v>1.3658618113043293E-2</v>
      </c>
    </row>
    <row r="133" spans="1:77" x14ac:dyDescent="0.3">
      <c r="A133" s="1">
        <v>46217</v>
      </c>
      <c r="B133" s="8">
        <v>45.69</v>
      </c>
      <c r="C133" s="8">
        <v>115.94</v>
      </c>
      <c r="D133" s="9">
        <v>-6.5638335142984504E-4</v>
      </c>
      <c r="E133" s="9">
        <v>-9.4831680885924395E-4</v>
      </c>
      <c r="F133" s="8">
        <v>0</v>
      </c>
      <c r="G133" s="8">
        <v>0.59430000000000005</v>
      </c>
      <c r="H133" s="8">
        <v>0</v>
      </c>
      <c r="I133" s="8">
        <v>1.2530999999999901</v>
      </c>
      <c r="J133" s="8">
        <v>0.59430000000000005</v>
      </c>
      <c r="K133" s="8">
        <v>1.2530999999999901</v>
      </c>
      <c r="L133" s="8">
        <v>46.284299999999902</v>
      </c>
      <c r="M133" s="8">
        <v>117.1931</v>
      </c>
      <c r="N133" s="10">
        <v>2.5375355657693102</v>
      </c>
      <c r="O133" s="10">
        <v>2.5326711528669299</v>
      </c>
      <c r="P133" s="10">
        <v>2.53462717662297</v>
      </c>
      <c r="Q133" s="10">
        <v>2.5283994016812299</v>
      </c>
      <c r="R133" s="8">
        <v>115.71774497449</v>
      </c>
      <c r="S133" s="8">
        <v>115.754755204467</v>
      </c>
      <c r="T133" s="8">
        <v>115.50120329115499</v>
      </c>
      <c r="U133" s="9">
        <v>-1.9188229059845E-3</v>
      </c>
      <c r="V133" s="9">
        <v>-1.59904210901103E-3</v>
      </c>
      <c r="W133" s="9">
        <v>-3.7918678987603101E-3</v>
      </c>
      <c r="X133" s="10">
        <v>2.5320270588514799</v>
      </c>
      <c r="Y133" s="10">
        <v>2.53031067016226</v>
      </c>
      <c r="Z133" s="10">
        <v>2.5291235252761499</v>
      </c>
      <c r="AA133" s="10">
        <v>2.5261316646836498</v>
      </c>
      <c r="AB133" s="8">
        <v>117.113658150991</v>
      </c>
      <c r="AC133" s="8">
        <v>117.006527157826</v>
      </c>
      <c r="AD133" s="8">
        <v>116.902985468388</v>
      </c>
      <c r="AE133" s="9">
        <v>-6.7810124368522897E-4</v>
      </c>
      <c r="AF133" s="9">
        <v>-1.5932807742360001E-3</v>
      </c>
      <c r="AG133" s="9">
        <v>-2.4785948859952201E-3</v>
      </c>
      <c r="AZ133" s="9"/>
      <c r="BB133">
        <f t="shared" si="22"/>
        <v>1</v>
      </c>
      <c r="BC133">
        <f t="shared" si="23"/>
        <v>0</v>
      </c>
      <c r="BD133">
        <f t="shared" si="24"/>
        <v>1</v>
      </c>
      <c r="BE133">
        <f t="shared" si="20"/>
        <v>1</v>
      </c>
      <c r="BF133">
        <f t="shared" si="25"/>
        <v>1</v>
      </c>
      <c r="BG133" s="9">
        <f t="shared" si="26"/>
        <v>-6.5638335142984504E-4</v>
      </c>
      <c r="BH133" s="9">
        <f t="shared" si="27"/>
        <v>9.4831680885924395E-4</v>
      </c>
      <c r="BI133" s="9">
        <f t="shared" si="28"/>
        <v>2.9193345742939891E-4</v>
      </c>
      <c r="BJ133" s="12">
        <f t="shared" si="29"/>
        <v>1.063473576643327E-2</v>
      </c>
      <c r="BL133" s="9"/>
      <c r="BN133">
        <f t="shared" si="30"/>
        <v>0</v>
      </c>
      <c r="BO133">
        <f t="shared" si="31"/>
        <v>1</v>
      </c>
      <c r="BP133">
        <f t="shared" si="32"/>
        <v>0</v>
      </c>
      <c r="BQ133">
        <f t="shared" si="21"/>
        <v>1</v>
      </c>
      <c r="BR133">
        <f t="shared" si="33"/>
        <v>0</v>
      </c>
      <c r="BS133" s="9">
        <f t="shared" si="34"/>
        <v>0</v>
      </c>
      <c r="BT133" s="9">
        <f t="shared" si="35"/>
        <v>0</v>
      </c>
      <c r="BU133" s="9">
        <f t="shared" si="36"/>
        <v>0</v>
      </c>
      <c r="BV133" s="12">
        <f t="shared" si="37"/>
        <v>3.315815804039419E-3</v>
      </c>
      <c r="BX133" s="12">
        <f t="shared" si="38"/>
        <v>2.9193345742939891E-4</v>
      </c>
      <c r="BY133" s="12">
        <f t="shared" si="39"/>
        <v>1.3950551570472692E-2</v>
      </c>
    </row>
    <row r="134" spans="1:77" x14ac:dyDescent="0.3">
      <c r="A134" s="1">
        <v>46218</v>
      </c>
      <c r="B134" s="8">
        <v>45.22</v>
      </c>
      <c r="C134" s="8">
        <v>114.87</v>
      </c>
      <c r="D134" s="9">
        <v>-1.0339988725356301E-2</v>
      </c>
      <c r="E134" s="9">
        <v>-9.2717617542739106E-3</v>
      </c>
      <c r="F134" s="8">
        <v>0</v>
      </c>
      <c r="G134" s="8">
        <v>0.59430000000000005</v>
      </c>
      <c r="H134" s="8">
        <v>0</v>
      </c>
      <c r="I134" s="8">
        <v>1.2530999999999901</v>
      </c>
      <c r="J134" s="8">
        <v>0.59430000000000005</v>
      </c>
      <c r="K134" s="8">
        <v>1.2530999999999901</v>
      </c>
      <c r="L134" s="8">
        <v>45.814299999999903</v>
      </c>
      <c r="M134" s="8">
        <v>116.12309999999999</v>
      </c>
      <c r="N134" s="10">
        <v>2.5402476780185701</v>
      </c>
      <c r="O134" s="10">
        <v>2.5326711528669299</v>
      </c>
      <c r="P134" s="10">
        <v>2.53587294133705</v>
      </c>
      <c r="Q134" s="10">
        <v>2.52977477172431</v>
      </c>
      <c r="R134" s="8">
        <v>114.527389532642</v>
      </c>
      <c r="S134" s="8">
        <v>114.615840926891</v>
      </c>
      <c r="T134" s="8">
        <v>114.33422094402501</v>
      </c>
      <c r="U134" s="9">
        <v>-2.9870498770669801E-3</v>
      </c>
      <c r="V134" s="9">
        <v>-2.2150314459382699E-3</v>
      </c>
      <c r="W134" s="9">
        <v>-4.6751323307953297E-3</v>
      </c>
      <c r="X134" s="10">
        <v>2.53464747906221</v>
      </c>
      <c r="Y134" s="10">
        <v>2.53031067016226</v>
      </c>
      <c r="Z134" s="10">
        <v>2.5303517092203598</v>
      </c>
      <c r="AA134" s="10">
        <v>2.52670049554344</v>
      </c>
      <c r="AB134" s="8">
        <v>115.924412136014</v>
      </c>
      <c r="AC134" s="8">
        <v>115.870023924059</v>
      </c>
      <c r="AD134" s="8">
        <v>115.732953925316</v>
      </c>
      <c r="AE134" s="9">
        <v>-1.7124761279431E-3</v>
      </c>
      <c r="AF134" s="9">
        <v>-2.1817558386927399E-3</v>
      </c>
      <c r="AG134" s="9">
        <v>-3.3654195032898101E-3</v>
      </c>
      <c r="AZ134" s="9"/>
      <c r="BB134">
        <f t="shared" si="22"/>
        <v>1</v>
      </c>
      <c r="BC134">
        <f t="shared" si="23"/>
        <v>0</v>
      </c>
      <c r="BD134">
        <f t="shared" si="24"/>
        <v>1</v>
      </c>
      <c r="BE134">
        <f t="shared" si="20"/>
        <v>1</v>
      </c>
      <c r="BF134">
        <f t="shared" si="25"/>
        <v>1</v>
      </c>
      <c r="BG134" s="9">
        <f t="shared" si="26"/>
        <v>-1.0339988725356301E-2</v>
      </c>
      <c r="BH134" s="9">
        <f t="shared" si="27"/>
        <v>9.2717617542739106E-3</v>
      </c>
      <c r="BI134" s="9">
        <f t="shared" si="28"/>
        <v>-1.0682269710823901E-3</v>
      </c>
      <c r="BJ134" s="12">
        <f t="shared" si="29"/>
        <v>9.5665087953508803E-3</v>
      </c>
      <c r="BL134" s="9"/>
      <c r="BN134">
        <f t="shared" si="30"/>
        <v>0</v>
      </c>
      <c r="BO134">
        <f t="shared" si="31"/>
        <v>1</v>
      </c>
      <c r="BP134">
        <f t="shared" si="32"/>
        <v>0</v>
      </c>
      <c r="BQ134">
        <f t="shared" si="21"/>
        <v>1</v>
      </c>
      <c r="BR134">
        <f t="shared" si="33"/>
        <v>0</v>
      </c>
      <c r="BS134" s="9">
        <f t="shared" si="34"/>
        <v>0</v>
      </c>
      <c r="BT134" s="9">
        <f t="shared" si="35"/>
        <v>0</v>
      </c>
      <c r="BU134" s="9">
        <f t="shared" si="36"/>
        <v>0</v>
      </c>
      <c r="BV134" s="12">
        <f t="shared" si="37"/>
        <v>3.315815804039419E-3</v>
      </c>
      <c r="BX134" s="12">
        <f t="shared" si="38"/>
        <v>-1.0682269710823901E-3</v>
      </c>
      <c r="BY134" s="12">
        <f t="shared" si="39"/>
        <v>1.2882324599390302E-2</v>
      </c>
    </row>
    <row r="135" spans="1:77" x14ac:dyDescent="0.3">
      <c r="A135" s="1">
        <v>46219</v>
      </c>
      <c r="B135" s="8">
        <v>45.47</v>
      </c>
      <c r="C135" s="8">
        <v>115.67</v>
      </c>
      <c r="D135" s="9">
        <v>5.5133009870953703E-3</v>
      </c>
      <c r="E135" s="9">
        <v>6.9402551499973099E-3</v>
      </c>
      <c r="F135" s="8">
        <v>0</v>
      </c>
      <c r="G135" s="8">
        <v>0.59430000000000005</v>
      </c>
      <c r="H135" s="8">
        <v>0</v>
      </c>
      <c r="I135" s="8">
        <v>1.2530999999999901</v>
      </c>
      <c r="J135" s="8">
        <v>0.59430000000000005</v>
      </c>
      <c r="K135" s="8">
        <v>1.2530999999999901</v>
      </c>
      <c r="L135" s="8">
        <v>46.064299999999903</v>
      </c>
      <c r="M135" s="8">
        <v>116.92310000000001</v>
      </c>
      <c r="N135" s="10">
        <v>2.5438750824719598</v>
      </c>
      <c r="O135" s="10">
        <v>2.5326711528669299</v>
      </c>
      <c r="P135" s="10">
        <v>2.5371668601270199</v>
      </c>
      <c r="Q135" s="10">
        <v>2.53133603583459</v>
      </c>
      <c r="R135" s="8">
        <v>115.160557320859</v>
      </c>
      <c r="S135" s="8">
        <v>115.30614264259501</v>
      </c>
      <c r="T135" s="8">
        <v>115.02885887030401</v>
      </c>
      <c r="U135" s="9">
        <v>-4.4140040399688399E-3</v>
      </c>
      <c r="V135" s="9">
        <v>-3.1506081469878898E-3</v>
      </c>
      <c r="W135" s="9">
        <v>-5.5582657276150296E-3</v>
      </c>
      <c r="X135" s="10">
        <v>2.5382584778233901</v>
      </c>
      <c r="Y135" s="10">
        <v>2.53031067016226</v>
      </c>
      <c r="Z135" s="10">
        <v>2.5316373436631401</v>
      </c>
      <c r="AA135" s="10">
        <v>2.5274580829670299</v>
      </c>
      <c r="AB135" s="8">
        <v>116.556989803555</v>
      </c>
      <c r="AC135" s="8">
        <v>116.558880239039</v>
      </c>
      <c r="AD135" s="8">
        <v>116.390689636861</v>
      </c>
      <c r="AE135" s="9">
        <v>-3.1361174892260298E-3</v>
      </c>
      <c r="AF135" s="9">
        <v>-3.1198986407708598E-3</v>
      </c>
      <c r="AG135" s="9">
        <v>-4.5639075865095899E-3</v>
      </c>
      <c r="AZ135" s="9"/>
      <c r="BB135">
        <f t="shared" si="22"/>
        <v>1</v>
      </c>
      <c r="BC135">
        <f t="shared" si="23"/>
        <v>0</v>
      </c>
      <c r="BD135">
        <f t="shared" si="24"/>
        <v>1</v>
      </c>
      <c r="BE135">
        <f t="shared" si="20"/>
        <v>1</v>
      </c>
      <c r="BF135">
        <f t="shared" si="25"/>
        <v>1</v>
      </c>
      <c r="BG135" s="9">
        <f t="shared" si="26"/>
        <v>5.5133009870953703E-3</v>
      </c>
      <c r="BH135" s="9">
        <f t="shared" si="27"/>
        <v>-6.9402551499973099E-3</v>
      </c>
      <c r="BI135" s="9">
        <f t="shared" si="28"/>
        <v>-1.4269541629019396E-3</v>
      </c>
      <c r="BJ135" s="12">
        <f t="shared" si="29"/>
        <v>8.1395546324489407E-3</v>
      </c>
      <c r="BL135" s="9"/>
      <c r="BN135">
        <f t="shared" si="30"/>
        <v>0</v>
      </c>
      <c r="BO135">
        <f t="shared" si="31"/>
        <v>1</v>
      </c>
      <c r="BP135">
        <f t="shared" si="32"/>
        <v>0</v>
      </c>
      <c r="BQ135">
        <f t="shared" si="21"/>
        <v>1</v>
      </c>
      <c r="BR135">
        <f t="shared" si="33"/>
        <v>0</v>
      </c>
      <c r="BS135" s="9">
        <f t="shared" si="34"/>
        <v>0</v>
      </c>
      <c r="BT135" s="9">
        <f t="shared" si="35"/>
        <v>0</v>
      </c>
      <c r="BU135" s="9">
        <f t="shared" si="36"/>
        <v>0</v>
      </c>
      <c r="BV135" s="12">
        <f t="shared" si="37"/>
        <v>3.315815804039419E-3</v>
      </c>
      <c r="BX135" s="12">
        <f t="shared" si="38"/>
        <v>-1.4269541629019396E-3</v>
      </c>
      <c r="BY135" s="12">
        <f t="shared" si="39"/>
        <v>1.1455370436488362E-2</v>
      </c>
    </row>
    <row r="136" spans="1:77" x14ac:dyDescent="0.3">
      <c r="A136" s="1">
        <v>46220</v>
      </c>
      <c r="B136" s="8">
        <v>45.17</v>
      </c>
      <c r="C136" s="8">
        <v>114.84</v>
      </c>
      <c r="D136" s="9">
        <v>-6.6196181704062896E-3</v>
      </c>
      <c r="E136" s="9">
        <v>-7.20145405444693E-3</v>
      </c>
      <c r="F136" s="8">
        <v>0</v>
      </c>
      <c r="G136" s="8">
        <v>0.59430000000000005</v>
      </c>
      <c r="H136" s="8">
        <v>0</v>
      </c>
      <c r="I136" s="8">
        <v>1.2530999999999901</v>
      </c>
      <c r="J136" s="8">
        <v>0.59430000000000005</v>
      </c>
      <c r="K136" s="8">
        <v>1.2530999999999901</v>
      </c>
      <c r="L136" s="8">
        <v>45.764299999999999</v>
      </c>
      <c r="M136" s="8">
        <v>116.09310000000001</v>
      </c>
      <c r="N136" s="10">
        <v>2.5423953951737799</v>
      </c>
      <c r="O136" s="10">
        <v>2.5326711528669299</v>
      </c>
      <c r="P136" s="10">
        <v>2.5384562248192202</v>
      </c>
      <c r="Q136" s="10">
        <v>2.5327135653773598</v>
      </c>
      <c r="R136" s="8">
        <v>114.400755974999</v>
      </c>
      <c r="S136" s="8">
        <v>114.603827071937</v>
      </c>
      <c r="T136" s="8">
        <v>114.34044873864801</v>
      </c>
      <c r="U136" s="9">
        <v>-3.8321681559281202E-3</v>
      </c>
      <c r="V136" s="9">
        <v>-2.05865648673939E-3</v>
      </c>
      <c r="W136" s="9">
        <v>-4.3594648257468203E-3</v>
      </c>
      <c r="X136" s="10">
        <v>2.5367611872136102</v>
      </c>
      <c r="Y136" s="10">
        <v>2.53031067016226</v>
      </c>
      <c r="Z136" s="10">
        <v>2.5329030063965998</v>
      </c>
      <c r="AA136" s="10">
        <v>2.5280248082394099</v>
      </c>
      <c r="AB136" s="8">
        <v>115.797896602506</v>
      </c>
      <c r="AC136" s="8">
        <v>115.858610886603</v>
      </c>
      <c r="AD136" s="8">
        <v>115.667349946328</v>
      </c>
      <c r="AE136" s="9">
        <v>-2.5460544935948198E-3</v>
      </c>
      <c r="AF136" s="9">
        <v>-2.02187940225313E-3</v>
      </c>
      <c r="AG136" s="9">
        <v>-3.67405683491268E-3</v>
      </c>
      <c r="AZ136" s="9"/>
      <c r="BB136">
        <f t="shared" si="22"/>
        <v>1</v>
      </c>
      <c r="BC136">
        <f t="shared" si="23"/>
        <v>0</v>
      </c>
      <c r="BD136">
        <f t="shared" si="24"/>
        <v>1</v>
      </c>
      <c r="BE136">
        <f t="shared" si="20"/>
        <v>1</v>
      </c>
      <c r="BF136">
        <f t="shared" si="25"/>
        <v>1</v>
      </c>
      <c r="BG136" s="9">
        <f t="shared" si="26"/>
        <v>-6.6196181704062896E-3</v>
      </c>
      <c r="BH136" s="9">
        <f t="shared" si="27"/>
        <v>7.20145405444693E-3</v>
      </c>
      <c r="BI136" s="9">
        <f t="shared" si="28"/>
        <v>5.8183588404064034E-4</v>
      </c>
      <c r="BJ136" s="12">
        <f t="shared" si="29"/>
        <v>8.721390516489581E-3</v>
      </c>
      <c r="BL136" s="9"/>
      <c r="BN136">
        <f t="shared" si="30"/>
        <v>0</v>
      </c>
      <c r="BO136">
        <f t="shared" si="31"/>
        <v>1</v>
      </c>
      <c r="BP136">
        <f t="shared" si="32"/>
        <v>0</v>
      </c>
      <c r="BQ136">
        <f t="shared" si="21"/>
        <v>1</v>
      </c>
      <c r="BR136">
        <f t="shared" si="33"/>
        <v>0</v>
      </c>
      <c r="BS136" s="9">
        <f t="shared" si="34"/>
        <v>0</v>
      </c>
      <c r="BT136" s="9">
        <f t="shared" si="35"/>
        <v>0</v>
      </c>
      <c r="BU136" s="9">
        <f t="shared" si="36"/>
        <v>0</v>
      </c>
      <c r="BV136" s="12">
        <f t="shared" si="37"/>
        <v>3.315815804039419E-3</v>
      </c>
      <c r="BX136" s="12">
        <f t="shared" si="38"/>
        <v>5.8183588404064034E-4</v>
      </c>
      <c r="BY136" s="12">
        <f t="shared" si="39"/>
        <v>1.2037206320529003E-2</v>
      </c>
    </row>
    <row r="137" spans="1:77" x14ac:dyDescent="0.3">
      <c r="A137" s="1">
        <v>46223</v>
      </c>
      <c r="B137" s="8">
        <v>44.94</v>
      </c>
      <c r="C137" s="8">
        <v>114.24</v>
      </c>
      <c r="D137" s="9">
        <v>-5.1048829093297901E-3</v>
      </c>
      <c r="E137" s="9">
        <v>-5.2383566615890097E-3</v>
      </c>
      <c r="F137" s="8">
        <v>0</v>
      </c>
      <c r="G137" s="8">
        <v>0.59430000000000005</v>
      </c>
      <c r="H137" s="8">
        <v>0</v>
      </c>
      <c r="I137" s="8">
        <v>1.2530999999999901</v>
      </c>
      <c r="J137" s="8">
        <v>0.59430000000000005</v>
      </c>
      <c r="K137" s="8">
        <v>1.2530999999999901</v>
      </c>
      <c r="L137" s="8">
        <v>45.534299999999902</v>
      </c>
      <c r="M137" s="8">
        <v>115.4931</v>
      </c>
      <c r="N137" s="10">
        <v>2.5420560747663501</v>
      </c>
      <c r="O137" s="10">
        <v>2.5326711528669299</v>
      </c>
      <c r="P137" s="10">
        <v>2.53935057401771</v>
      </c>
      <c r="Q137" s="10">
        <v>2.5341572985169298</v>
      </c>
      <c r="R137" s="8">
        <v>113.81824160983901</v>
      </c>
      <c r="S137" s="8">
        <v>114.078222743376</v>
      </c>
      <c r="T137" s="8">
        <v>113.820147628058</v>
      </c>
      <c r="U137" s="9">
        <v>-3.6986944036689999E-3</v>
      </c>
      <c r="V137" s="9">
        <v>-1.4171210843694801E-3</v>
      </c>
      <c r="W137" s="9">
        <v>-3.6819483862231299E-3</v>
      </c>
      <c r="X137" s="10">
        <v>2.5363978363563202</v>
      </c>
      <c r="Y137" s="10">
        <v>2.53031067016226</v>
      </c>
      <c r="Z137" s="10">
        <v>2.53378133599545</v>
      </c>
      <c r="AA137" s="10">
        <v>2.5286594855349001</v>
      </c>
      <c r="AB137" s="8">
        <v>115.215925148369</v>
      </c>
      <c r="AC137" s="8">
        <v>115.333965364164</v>
      </c>
      <c r="AD137" s="8">
        <v>115.11184002581599</v>
      </c>
      <c r="AE137" s="9">
        <v>-2.4028100747946002E-3</v>
      </c>
      <c r="AF137" s="9">
        <v>-1.3788215068782799E-3</v>
      </c>
      <c r="AG137" s="9">
        <v>-3.3066101838249099E-3</v>
      </c>
      <c r="AZ137" s="9"/>
      <c r="BB137">
        <f t="shared" si="22"/>
        <v>1</v>
      </c>
      <c r="BC137">
        <f t="shared" si="23"/>
        <v>0</v>
      </c>
      <c r="BD137">
        <f t="shared" si="24"/>
        <v>1</v>
      </c>
      <c r="BE137">
        <f t="shared" si="20"/>
        <v>1</v>
      </c>
      <c r="BF137">
        <f t="shared" si="25"/>
        <v>1</v>
      </c>
      <c r="BG137" s="9">
        <f t="shared" si="26"/>
        <v>-5.1048829093297901E-3</v>
      </c>
      <c r="BH137" s="9">
        <f t="shared" si="27"/>
        <v>5.2383566615890097E-3</v>
      </c>
      <c r="BI137" s="9">
        <f t="shared" si="28"/>
        <v>1.334737522592196E-4</v>
      </c>
      <c r="BJ137" s="12">
        <f t="shared" si="29"/>
        <v>8.8548642687488015E-3</v>
      </c>
      <c r="BL137" s="9"/>
      <c r="BN137">
        <f t="shared" si="30"/>
        <v>0</v>
      </c>
      <c r="BO137">
        <f t="shared" si="31"/>
        <v>1</v>
      </c>
      <c r="BP137">
        <f t="shared" si="32"/>
        <v>0</v>
      </c>
      <c r="BQ137">
        <f t="shared" si="21"/>
        <v>1</v>
      </c>
      <c r="BR137">
        <f t="shared" si="33"/>
        <v>0</v>
      </c>
      <c r="BS137" s="9">
        <f t="shared" si="34"/>
        <v>0</v>
      </c>
      <c r="BT137" s="9">
        <f t="shared" si="35"/>
        <v>0</v>
      </c>
      <c r="BU137" s="9">
        <f t="shared" si="36"/>
        <v>0</v>
      </c>
      <c r="BV137" s="12">
        <f t="shared" si="37"/>
        <v>3.315815804039419E-3</v>
      </c>
      <c r="BX137" s="12">
        <f t="shared" si="38"/>
        <v>1.334737522592196E-4</v>
      </c>
      <c r="BY137" s="12">
        <f t="shared" si="39"/>
        <v>1.2170680072788223E-2</v>
      </c>
    </row>
    <row r="138" spans="1:77" x14ac:dyDescent="0.3">
      <c r="A138" s="1">
        <v>46224</v>
      </c>
      <c r="B138" s="8">
        <v>44.92</v>
      </c>
      <c r="C138" s="8">
        <v>114.01</v>
      </c>
      <c r="D138" s="9">
        <v>-4.4513688694053702E-4</v>
      </c>
      <c r="E138" s="9">
        <v>-2.0153347456457198E-3</v>
      </c>
      <c r="F138" s="8">
        <v>0</v>
      </c>
      <c r="G138" s="8">
        <v>0.59430000000000005</v>
      </c>
      <c r="H138" s="8">
        <v>0</v>
      </c>
      <c r="I138" s="8">
        <v>1.2530999999999901</v>
      </c>
      <c r="J138" s="8">
        <v>0.59430000000000005</v>
      </c>
      <c r="K138" s="8">
        <v>1.2530999999999901</v>
      </c>
      <c r="L138" s="8">
        <v>45.514299999999999</v>
      </c>
      <c r="M138" s="8">
        <v>115.26309999999999</v>
      </c>
      <c r="N138" s="10">
        <v>2.5380676758682101</v>
      </c>
      <c r="O138" s="10">
        <v>2.5326711528669299</v>
      </c>
      <c r="P138" s="10">
        <v>2.5393936654557399</v>
      </c>
      <c r="Q138" s="10">
        <v>2.53475254277545</v>
      </c>
      <c r="R138" s="8">
        <v>113.76758818678201</v>
      </c>
      <c r="S138" s="8">
        <v>114.067627784875</v>
      </c>
      <c r="T138" s="8">
        <v>113.83434584938</v>
      </c>
      <c r="U138" s="9">
        <v>-2.12849654496376E-3</v>
      </c>
      <c r="V138" s="9">
        <v>5.0533484289477695E-4</v>
      </c>
      <c r="W138" s="9">
        <v>-1.54187881875662E-3</v>
      </c>
      <c r="X138" s="10">
        <v>2.53245902936</v>
      </c>
      <c r="Y138" s="10">
        <v>2.53031067016226</v>
      </c>
      <c r="Z138" s="10">
        <v>2.5338144243948899</v>
      </c>
      <c r="AA138" s="10">
        <v>2.5292481608472501</v>
      </c>
      <c r="AB138" s="8">
        <v>115.165318934966</v>
      </c>
      <c r="AC138" s="8">
        <v>115.323283860898</v>
      </c>
      <c r="AD138" s="8">
        <v>115.090166422481</v>
      </c>
      <c r="AE138" s="9">
        <v>-8.4868933575896601E-4</v>
      </c>
      <c r="AF138" s="9">
        <v>5.2200707827525195E-4</v>
      </c>
      <c r="AG138" s="9">
        <v>-1.50146436117876E-3</v>
      </c>
      <c r="AZ138" s="9"/>
      <c r="BB138">
        <f t="shared" si="22"/>
        <v>1</v>
      </c>
      <c r="BC138">
        <f t="shared" si="23"/>
        <v>0</v>
      </c>
      <c r="BD138">
        <f t="shared" si="24"/>
        <v>1</v>
      </c>
      <c r="BE138">
        <f t="shared" si="20"/>
        <v>1</v>
      </c>
      <c r="BF138">
        <f t="shared" si="25"/>
        <v>1</v>
      </c>
      <c r="BG138" s="9">
        <f t="shared" si="26"/>
        <v>-4.4513688694053702E-4</v>
      </c>
      <c r="BH138" s="9">
        <f t="shared" si="27"/>
        <v>2.0153347456457198E-3</v>
      </c>
      <c r="BI138" s="9">
        <f t="shared" si="28"/>
        <v>1.5701978587051827E-3</v>
      </c>
      <c r="BJ138" s="12">
        <f t="shared" si="29"/>
        <v>1.0425062127453984E-2</v>
      </c>
      <c r="BL138" s="9"/>
      <c r="BN138">
        <f t="shared" si="30"/>
        <v>0</v>
      </c>
      <c r="BO138">
        <f t="shared" si="31"/>
        <v>1</v>
      </c>
      <c r="BP138">
        <f t="shared" si="32"/>
        <v>0</v>
      </c>
      <c r="BQ138">
        <f t="shared" si="21"/>
        <v>1</v>
      </c>
      <c r="BR138">
        <f t="shared" si="33"/>
        <v>0</v>
      </c>
      <c r="BS138" s="9">
        <f t="shared" si="34"/>
        <v>0</v>
      </c>
      <c r="BT138" s="9">
        <f t="shared" si="35"/>
        <v>0</v>
      </c>
      <c r="BU138" s="9">
        <f t="shared" si="36"/>
        <v>0</v>
      </c>
      <c r="BV138" s="12">
        <f t="shared" si="37"/>
        <v>3.315815804039419E-3</v>
      </c>
      <c r="BX138" s="12">
        <f t="shared" si="38"/>
        <v>1.5701978587051827E-3</v>
      </c>
      <c r="BY138" s="12">
        <f t="shared" si="39"/>
        <v>1.3740877931493405E-2</v>
      </c>
    </row>
    <row r="139" spans="1:77" x14ac:dyDescent="0.3">
      <c r="A139" s="1">
        <v>46225</v>
      </c>
      <c r="B139" s="8">
        <v>45.93</v>
      </c>
      <c r="C139" s="8">
        <v>116.44</v>
      </c>
      <c r="D139" s="9">
        <v>2.2235368467459601E-2</v>
      </c>
      <c r="E139" s="9">
        <v>2.1089955031793998E-2</v>
      </c>
      <c r="F139" s="8">
        <v>0</v>
      </c>
      <c r="G139" s="8">
        <v>0.59430000000000005</v>
      </c>
      <c r="H139" s="8">
        <v>0</v>
      </c>
      <c r="I139" s="8">
        <v>1.2530999999999901</v>
      </c>
      <c r="J139" s="8">
        <v>0.59430000000000005</v>
      </c>
      <c r="K139" s="8">
        <v>1.2530999999999901</v>
      </c>
      <c r="L139" s="8">
        <v>46.524299999999997</v>
      </c>
      <c r="M139" s="8">
        <v>117.6931</v>
      </c>
      <c r="N139" s="10">
        <v>2.53516220335292</v>
      </c>
      <c r="O139" s="10">
        <v>2.5326711528669299</v>
      </c>
      <c r="P139" s="10">
        <v>2.5392061820873302</v>
      </c>
      <c r="Q139" s="10">
        <v>2.5351072804114798</v>
      </c>
      <c r="R139" s="8">
        <v>116.32558605117801</v>
      </c>
      <c r="S139" s="8">
        <v>116.63435105438199</v>
      </c>
      <c r="T139" s="8">
        <v>116.42118428967601</v>
      </c>
      <c r="U139" s="9">
        <v>-9.83083109298119E-4</v>
      </c>
      <c r="V139" s="9">
        <v>1.6677176064076901E-3</v>
      </c>
      <c r="W139" s="9">
        <v>-1.61604523497616E-4</v>
      </c>
      <c r="X139" s="10">
        <v>2.5297124298484799</v>
      </c>
      <c r="Y139" s="10">
        <v>2.53031067016226</v>
      </c>
      <c r="Z139" s="10">
        <v>2.5336361253347102</v>
      </c>
      <c r="AA139" s="10">
        <v>2.5296034135395402</v>
      </c>
      <c r="AB139" s="8">
        <v>117.72093271183</v>
      </c>
      <c r="AC139" s="8">
        <v>117.883942424875</v>
      </c>
      <c r="AD139" s="8">
        <v>117.671500209705</v>
      </c>
      <c r="AE139" s="9">
        <v>2.3645754366529101E-4</v>
      </c>
      <c r="AF139" s="9">
        <v>1.62021277336015E-3</v>
      </c>
      <c r="AG139" s="9">
        <v>-1.83543237476374E-4</v>
      </c>
      <c r="AZ139" s="9"/>
      <c r="BB139">
        <f t="shared" si="22"/>
        <v>0</v>
      </c>
      <c r="BC139">
        <f t="shared" si="23"/>
        <v>0</v>
      </c>
      <c r="BD139">
        <f t="shared" si="24"/>
        <v>1</v>
      </c>
      <c r="BE139">
        <f t="shared" si="20"/>
        <v>1</v>
      </c>
      <c r="BF139">
        <f t="shared" si="25"/>
        <v>1</v>
      </c>
      <c r="BG139" s="9">
        <f t="shared" si="26"/>
        <v>2.2235368467459601E-2</v>
      </c>
      <c r="BH139" s="9">
        <f t="shared" si="27"/>
        <v>-2.1089955031793998E-2</v>
      </c>
      <c r="BI139" s="9">
        <f t="shared" si="28"/>
        <v>1.1454134356656022E-3</v>
      </c>
      <c r="BJ139" s="12">
        <f t="shared" si="29"/>
        <v>1.1570475563119586E-2</v>
      </c>
      <c r="BL139" s="9"/>
      <c r="BN139">
        <f t="shared" si="30"/>
        <v>0</v>
      </c>
      <c r="BO139">
        <f t="shared" si="31"/>
        <v>1</v>
      </c>
      <c r="BP139">
        <f t="shared" si="32"/>
        <v>0</v>
      </c>
      <c r="BQ139">
        <f t="shared" si="21"/>
        <v>1</v>
      </c>
      <c r="BR139">
        <f t="shared" si="33"/>
        <v>0</v>
      </c>
      <c r="BS139" s="9">
        <f t="shared" si="34"/>
        <v>0</v>
      </c>
      <c r="BT139" s="9">
        <f t="shared" si="35"/>
        <v>0</v>
      </c>
      <c r="BU139" s="9">
        <f t="shared" si="36"/>
        <v>0</v>
      </c>
      <c r="BV139" s="12">
        <f t="shared" si="37"/>
        <v>3.315815804039419E-3</v>
      </c>
      <c r="BX139" s="12">
        <f t="shared" si="38"/>
        <v>1.1454134356656022E-3</v>
      </c>
      <c r="BY139" s="12">
        <f t="shared" si="39"/>
        <v>1.4886291367159007E-2</v>
      </c>
    </row>
    <row r="140" spans="1:77" x14ac:dyDescent="0.3">
      <c r="A140" s="1">
        <v>46226</v>
      </c>
      <c r="B140" s="8">
        <v>46.19</v>
      </c>
      <c r="C140" s="8">
        <v>117.03</v>
      </c>
      <c r="D140" s="9">
        <v>5.6448261048119798E-3</v>
      </c>
      <c r="E140" s="9">
        <v>5.0541933092523497E-3</v>
      </c>
      <c r="F140" s="8">
        <v>0</v>
      </c>
      <c r="G140" s="8">
        <v>0.59430000000000005</v>
      </c>
      <c r="H140" s="8">
        <v>0</v>
      </c>
      <c r="I140" s="8">
        <v>1.2530999999999901</v>
      </c>
      <c r="J140" s="8">
        <v>0.59430000000000005</v>
      </c>
      <c r="K140" s="8">
        <v>1.2530999999999901</v>
      </c>
      <c r="L140" s="8">
        <v>46.784299999999902</v>
      </c>
      <c r="M140" s="8">
        <v>118.2831</v>
      </c>
      <c r="N140" s="10">
        <v>2.5336652955185102</v>
      </c>
      <c r="O140" s="10">
        <v>2.5326711528669299</v>
      </c>
      <c r="P140" s="10">
        <v>2.5387947368995398</v>
      </c>
      <c r="Q140" s="10">
        <v>2.5352534349546501</v>
      </c>
      <c r="R140" s="8">
        <v>116.984080550923</v>
      </c>
      <c r="S140" s="8">
        <v>117.285933550613</v>
      </c>
      <c r="T140" s="8">
        <v>117.096605282206</v>
      </c>
      <c r="U140" s="9">
        <v>-3.9245031373861199E-4</v>
      </c>
      <c r="V140" s="9">
        <v>2.1845177023553201E-3</v>
      </c>
      <c r="W140" s="9">
        <v>5.6896809248271202E-4</v>
      </c>
      <c r="X140" s="10">
        <v>2.5282648238832199</v>
      </c>
      <c r="Y140" s="10">
        <v>2.53031067016226</v>
      </c>
      <c r="Z140" s="10">
        <v>2.53324254749247</v>
      </c>
      <c r="AA140" s="10">
        <v>2.5297514897696698</v>
      </c>
      <c r="AB140" s="8">
        <v>118.378813486072</v>
      </c>
      <c r="AC140" s="8">
        <v>118.534392578496</v>
      </c>
      <c r="AD140" s="8">
        <v>118.345724980057</v>
      </c>
      <c r="AE140" s="9">
        <v>8.0886265035863298E-4</v>
      </c>
      <c r="AF140" s="9">
        <v>2.12224755931431E-3</v>
      </c>
      <c r="AG140" s="9">
        <v>5.2930982964814104E-4</v>
      </c>
      <c r="AZ140" s="9"/>
      <c r="BB140">
        <f t="shared" si="22"/>
        <v>0</v>
      </c>
      <c r="BC140">
        <f t="shared" si="23"/>
        <v>1</v>
      </c>
      <c r="BD140">
        <f t="shared" si="24"/>
        <v>1</v>
      </c>
      <c r="BE140">
        <f t="shared" si="20"/>
        <v>1</v>
      </c>
      <c r="BF140">
        <f t="shared" si="25"/>
        <v>1</v>
      </c>
      <c r="BG140" s="9">
        <f t="shared" si="26"/>
        <v>5.6448261048119798E-3</v>
      </c>
      <c r="BH140" s="9">
        <f t="shared" si="27"/>
        <v>-5.0541933092523497E-3</v>
      </c>
      <c r="BI140" s="9">
        <f t="shared" si="28"/>
        <v>5.9063279555963012E-4</v>
      </c>
      <c r="BJ140" s="12">
        <f t="shared" si="29"/>
        <v>1.2161108358679215E-2</v>
      </c>
      <c r="BL140" s="9"/>
      <c r="BN140">
        <f t="shared" si="30"/>
        <v>0</v>
      </c>
      <c r="BO140">
        <f t="shared" si="31"/>
        <v>0</v>
      </c>
      <c r="BP140">
        <f t="shared" si="32"/>
        <v>0</v>
      </c>
      <c r="BQ140">
        <f t="shared" si="21"/>
        <v>1</v>
      </c>
      <c r="BR140">
        <f t="shared" si="33"/>
        <v>0</v>
      </c>
      <c r="BS140" s="9">
        <f t="shared" si="34"/>
        <v>0</v>
      </c>
      <c r="BT140" s="9">
        <f t="shared" si="35"/>
        <v>0</v>
      </c>
      <c r="BU140" s="9">
        <f t="shared" si="36"/>
        <v>0</v>
      </c>
      <c r="BV140" s="12">
        <f t="shared" si="37"/>
        <v>3.315815804039419E-3</v>
      </c>
      <c r="BX140" s="12">
        <f t="shared" si="38"/>
        <v>5.9063279555963012E-4</v>
      </c>
      <c r="BY140" s="12">
        <f t="shared" si="39"/>
        <v>1.5476924162718637E-2</v>
      </c>
    </row>
    <row r="141" spans="1:77" x14ac:dyDescent="0.3">
      <c r="A141" s="1">
        <v>46227</v>
      </c>
      <c r="B141" s="8">
        <v>46.29</v>
      </c>
      <c r="C141" s="8">
        <v>117.16</v>
      </c>
      <c r="D141" s="9">
        <v>2.16263060066514E-3</v>
      </c>
      <c r="E141" s="9">
        <v>1.1102097728578899E-3</v>
      </c>
      <c r="F141" s="8">
        <v>0</v>
      </c>
      <c r="G141" s="8">
        <v>0.59430000000000005</v>
      </c>
      <c r="H141" s="8">
        <v>0</v>
      </c>
      <c r="I141" s="8">
        <v>1.2530999999999901</v>
      </c>
      <c r="J141" s="8">
        <v>0.59430000000000005</v>
      </c>
      <c r="K141" s="8">
        <v>1.2530999999999901</v>
      </c>
      <c r="L141" s="8">
        <v>46.884299999999897</v>
      </c>
      <c r="M141" s="8">
        <v>118.4131</v>
      </c>
      <c r="N141" s="10">
        <v>2.5310002160293799</v>
      </c>
      <c r="O141" s="10">
        <v>2.5326711528669299</v>
      </c>
      <c r="P141" s="10">
        <v>2.5382281652410801</v>
      </c>
      <c r="Q141" s="10">
        <v>2.5353694217648401</v>
      </c>
      <c r="R141" s="8">
        <v>117.23734766621</v>
      </c>
      <c r="S141" s="8">
        <v>117.520808371079</v>
      </c>
      <c r="T141" s="8">
        <v>117.35688150404999</v>
      </c>
      <c r="U141" s="9">
        <v>6.5997051406869805E-4</v>
      </c>
      <c r="V141" s="9">
        <v>3.0748884654799801E-3</v>
      </c>
      <c r="W141" s="9">
        <v>1.67903947077651E-3</v>
      </c>
      <c r="X141" s="10">
        <v>2.5256450453563302</v>
      </c>
      <c r="Y141" s="10">
        <v>2.53031067016226</v>
      </c>
      <c r="Z141" s="10">
        <v>2.53269353872609</v>
      </c>
      <c r="AA141" s="10">
        <v>2.5298685290834699</v>
      </c>
      <c r="AB141" s="8">
        <v>118.631844553088</v>
      </c>
      <c r="AC141" s="8">
        <v>118.769303569401</v>
      </c>
      <c r="AD141" s="8">
        <v>118.605627771808</v>
      </c>
      <c r="AE141" s="9">
        <v>1.84559612179834E-3</v>
      </c>
      <c r="AF141" s="9">
        <v>3.0036278563684801E-3</v>
      </c>
      <c r="AG141" s="9">
        <v>1.6245789179813099E-3</v>
      </c>
      <c r="AZ141" s="9"/>
      <c r="BB141">
        <f t="shared" si="22"/>
        <v>0</v>
      </c>
      <c r="BC141">
        <f t="shared" si="23"/>
        <v>1</v>
      </c>
      <c r="BD141">
        <f t="shared" si="24"/>
        <v>0</v>
      </c>
      <c r="BE141">
        <f t="shared" si="20"/>
        <v>1</v>
      </c>
      <c r="BF141">
        <f t="shared" si="25"/>
        <v>0</v>
      </c>
      <c r="BG141" s="9">
        <f t="shared" si="26"/>
        <v>0</v>
      </c>
      <c r="BH141" s="9">
        <f t="shared" si="27"/>
        <v>0</v>
      </c>
      <c r="BI141" s="9">
        <f t="shared" si="28"/>
        <v>0</v>
      </c>
      <c r="BJ141" s="12">
        <f t="shared" si="29"/>
        <v>1.2161108358679215E-2</v>
      </c>
      <c r="BL141" s="9"/>
      <c r="BN141">
        <f t="shared" si="30"/>
        <v>0</v>
      </c>
      <c r="BO141">
        <f t="shared" si="31"/>
        <v>0</v>
      </c>
      <c r="BP141">
        <f t="shared" si="32"/>
        <v>0</v>
      </c>
      <c r="BQ141">
        <f t="shared" si="21"/>
        <v>1</v>
      </c>
      <c r="BR141">
        <f t="shared" si="33"/>
        <v>0</v>
      </c>
      <c r="BS141" s="9">
        <f t="shared" si="34"/>
        <v>0</v>
      </c>
      <c r="BT141" s="9">
        <f t="shared" si="35"/>
        <v>0</v>
      </c>
      <c r="BU141" s="9">
        <f t="shared" si="36"/>
        <v>0</v>
      </c>
      <c r="BV141" s="12">
        <f t="shared" si="37"/>
        <v>3.315815804039419E-3</v>
      </c>
      <c r="BX141" s="12">
        <f t="shared" si="38"/>
        <v>0</v>
      </c>
      <c r="BY141" s="12">
        <f t="shared" si="39"/>
        <v>1.5476924162718637E-2</v>
      </c>
    </row>
    <row r="142" spans="1:77" x14ac:dyDescent="0.3">
      <c r="A142" s="1">
        <v>46230</v>
      </c>
      <c r="B142" s="8">
        <v>45.68</v>
      </c>
      <c r="C142" s="8">
        <v>115.69</v>
      </c>
      <c r="D142" s="9">
        <v>-1.3265389695424399E-2</v>
      </c>
      <c r="E142" s="9">
        <v>-1.26263219187351E-2</v>
      </c>
      <c r="F142" s="8">
        <v>0</v>
      </c>
      <c r="G142" s="8">
        <v>0.59430000000000005</v>
      </c>
      <c r="H142" s="8">
        <v>0</v>
      </c>
      <c r="I142" s="8">
        <v>1.2530999999999901</v>
      </c>
      <c r="J142" s="8">
        <v>0.59430000000000005</v>
      </c>
      <c r="K142" s="8">
        <v>1.2530999999999901</v>
      </c>
      <c r="L142" s="8">
        <v>46.274299999999997</v>
      </c>
      <c r="M142" s="8">
        <v>116.9431</v>
      </c>
      <c r="N142" s="10">
        <v>2.53261821366024</v>
      </c>
      <c r="O142" s="10">
        <v>2.5326711528669299</v>
      </c>
      <c r="P142" s="10">
        <v>2.5376623400629201</v>
      </c>
      <c r="Q142" s="10">
        <v>2.5355717610192801</v>
      </c>
      <c r="R142" s="8">
        <v>115.692418262961</v>
      </c>
      <c r="S142" s="8">
        <v>115.94626258821199</v>
      </c>
      <c r="T142" s="8">
        <v>115.815675186218</v>
      </c>
      <c r="U142" s="9">
        <v>2.0902737379379E-5</v>
      </c>
      <c r="V142" s="9">
        <v>2.2126301806008001E-3</v>
      </c>
      <c r="W142" s="9">
        <v>1.0857202395779899E-3</v>
      </c>
      <c r="X142" s="10">
        <v>2.5271716698037499</v>
      </c>
      <c r="Y142" s="10">
        <v>2.53031067016226</v>
      </c>
      <c r="Z142" s="10">
        <v>2.5321345037558798</v>
      </c>
      <c r="AA142" s="10">
        <v>2.53006527234953</v>
      </c>
      <c r="AB142" s="8">
        <v>117.088355044289</v>
      </c>
      <c r="AC142" s="8">
        <v>117.198620619072</v>
      </c>
      <c r="AD142" s="8">
        <v>117.06789527536699</v>
      </c>
      <c r="AE142" s="9">
        <v>1.24132940090385E-3</v>
      </c>
      <c r="AF142" s="9">
        <v>2.1826158946384E-3</v>
      </c>
      <c r="AG142" s="9">
        <v>1.0665762696419601E-3</v>
      </c>
      <c r="AZ142" s="9"/>
      <c r="BB142">
        <f t="shared" si="22"/>
        <v>0</v>
      </c>
      <c r="BC142">
        <f t="shared" si="23"/>
        <v>1</v>
      </c>
      <c r="BD142">
        <f t="shared" si="24"/>
        <v>0</v>
      </c>
      <c r="BE142">
        <f t="shared" si="20"/>
        <v>1</v>
      </c>
      <c r="BF142">
        <f t="shared" si="25"/>
        <v>0</v>
      </c>
      <c r="BG142" s="9">
        <f t="shared" si="26"/>
        <v>0</v>
      </c>
      <c r="BH142" s="9">
        <f t="shared" si="27"/>
        <v>0</v>
      </c>
      <c r="BI142" s="9">
        <f t="shared" si="28"/>
        <v>0</v>
      </c>
      <c r="BJ142" s="12">
        <f t="shared" si="29"/>
        <v>1.2161108358679215E-2</v>
      </c>
      <c r="BL142" s="9"/>
      <c r="BN142">
        <f t="shared" si="30"/>
        <v>0</v>
      </c>
      <c r="BO142">
        <f t="shared" si="31"/>
        <v>0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3.315815804039419E-3</v>
      </c>
      <c r="BX142" s="12">
        <f t="shared" si="38"/>
        <v>0</v>
      </c>
      <c r="BY142" s="12">
        <f t="shared" si="39"/>
        <v>1.5476924162718637E-2</v>
      </c>
    </row>
    <row r="143" spans="1:77" x14ac:dyDescent="0.3">
      <c r="A143" s="1">
        <v>46231</v>
      </c>
      <c r="B143" s="8">
        <v>45.52</v>
      </c>
      <c r="C143" s="8">
        <v>115.37</v>
      </c>
      <c r="D143" s="9">
        <v>-3.5087755296792501E-3</v>
      </c>
      <c r="E143" s="9">
        <v>-2.7698451015991101E-3</v>
      </c>
      <c r="F143" s="8">
        <v>0</v>
      </c>
      <c r="G143" s="8">
        <v>0.59430000000000005</v>
      </c>
      <c r="H143" s="8">
        <v>0</v>
      </c>
      <c r="I143" s="8">
        <v>1.2530999999999901</v>
      </c>
      <c r="J143" s="8">
        <v>0.59430000000000005</v>
      </c>
      <c r="K143" s="8">
        <v>1.2530999999999901</v>
      </c>
      <c r="L143" s="8">
        <v>46.1143</v>
      </c>
      <c r="M143" s="8">
        <v>116.62309999999999</v>
      </c>
      <c r="N143" s="10">
        <v>2.53449033391915</v>
      </c>
      <c r="O143" s="10">
        <v>2.5326711528669299</v>
      </c>
      <c r="P143" s="10">
        <v>2.5373578168779098</v>
      </c>
      <c r="Q143" s="10">
        <v>2.5359924967504401</v>
      </c>
      <c r="R143" s="8">
        <v>115.287190878502</v>
      </c>
      <c r="S143" s="8">
        <v>115.514389719664</v>
      </c>
      <c r="T143" s="8">
        <v>115.419226561597</v>
      </c>
      <c r="U143" s="9">
        <v>-7.18027690700636E-4</v>
      </c>
      <c r="V143" s="9">
        <v>1.2507535798602599E-3</v>
      </c>
      <c r="W143" s="9">
        <v>4.2659324334834301E-4</v>
      </c>
      <c r="X143" s="10">
        <v>2.5290007654892301</v>
      </c>
      <c r="Y143" s="10">
        <v>2.53031067016226</v>
      </c>
      <c r="Z143" s="10">
        <v>2.53183187441965</v>
      </c>
      <c r="AA143" s="10">
        <v>2.5304776998478999</v>
      </c>
      <c r="AB143" s="8">
        <v>116.683505337063</v>
      </c>
      <c r="AC143" s="8">
        <v>116.76761014655</v>
      </c>
      <c r="AD143" s="8">
        <v>116.672188988708</v>
      </c>
      <c r="AE143" s="9">
        <v>5.1781935900156099E-4</v>
      </c>
      <c r="AF143" s="9">
        <v>1.23835404525481E-3</v>
      </c>
      <c r="AG143" s="9">
        <v>4.2083138194036002E-4</v>
      </c>
      <c r="AZ143" s="9"/>
      <c r="BB143">
        <f t="shared" si="22"/>
        <v>0</v>
      </c>
      <c r="BC143">
        <f t="shared" si="23"/>
        <v>1</v>
      </c>
      <c r="BD143">
        <f t="shared" si="24"/>
        <v>0</v>
      </c>
      <c r="BE143">
        <f t="shared" si="20"/>
        <v>1</v>
      </c>
      <c r="BF143">
        <f t="shared" si="25"/>
        <v>0</v>
      </c>
      <c r="BG143" s="9">
        <f t="shared" si="26"/>
        <v>0</v>
      </c>
      <c r="BH143" s="9">
        <f t="shared" si="27"/>
        <v>0</v>
      </c>
      <c r="BI143" s="9">
        <f t="shared" si="28"/>
        <v>0</v>
      </c>
      <c r="BJ143" s="12">
        <f t="shared" si="29"/>
        <v>1.2161108358679215E-2</v>
      </c>
      <c r="BL143" s="9"/>
      <c r="BN143">
        <f t="shared" si="30"/>
        <v>0</v>
      </c>
      <c r="BO143">
        <f t="shared" si="31"/>
        <v>0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3.315815804039419E-3</v>
      </c>
      <c r="BX143" s="12">
        <f t="shared" si="38"/>
        <v>0</v>
      </c>
      <c r="BY143" s="12">
        <f t="shared" si="39"/>
        <v>1.5476924162718637E-2</v>
      </c>
    </row>
    <row r="144" spans="1:77" x14ac:dyDescent="0.3">
      <c r="A144" s="1">
        <v>46232</v>
      </c>
      <c r="B144" s="8">
        <v>44.91</v>
      </c>
      <c r="C144" s="8">
        <v>113.95</v>
      </c>
      <c r="D144" s="9">
        <v>-1.34913027184289E-2</v>
      </c>
      <c r="E144" s="9">
        <v>-1.2384599247505E-2</v>
      </c>
      <c r="F144" s="8">
        <v>0</v>
      </c>
      <c r="G144" s="8">
        <v>0.59430000000000005</v>
      </c>
      <c r="H144" s="8">
        <v>0</v>
      </c>
      <c r="I144" s="8">
        <v>1.2530999999999901</v>
      </c>
      <c r="J144" s="8">
        <v>0.59430000000000005</v>
      </c>
      <c r="K144" s="8">
        <v>1.2530999999999901</v>
      </c>
      <c r="L144" s="8">
        <v>45.504299999999901</v>
      </c>
      <c r="M144" s="8">
        <v>115.20310000000001</v>
      </c>
      <c r="N144" s="10">
        <v>2.5372968158539302</v>
      </c>
      <c r="O144" s="10">
        <v>2.5326711528669299</v>
      </c>
      <c r="P144" s="10">
        <v>2.5370627306614399</v>
      </c>
      <c r="Q144" s="10">
        <v>2.5364678359992499</v>
      </c>
      <c r="R144" s="8">
        <v>113.742261475253</v>
      </c>
      <c r="S144" s="8">
        <v>113.952739555986</v>
      </c>
      <c r="T144" s="8">
        <v>113.891423029062</v>
      </c>
      <c r="U144" s="9">
        <v>-1.8247311616244901E-3</v>
      </c>
      <c r="V144" s="9">
        <v>2.4041448491771799E-5</v>
      </c>
      <c r="W144" s="9">
        <v>-5.1419071606388601E-4</v>
      </c>
      <c r="X144" s="10">
        <v>2.53169700445891</v>
      </c>
      <c r="Y144" s="10">
        <v>2.53031067016226</v>
      </c>
      <c r="Z144" s="10">
        <v>2.5315368269593201</v>
      </c>
      <c r="AA144" s="10">
        <v>2.53094426808984</v>
      </c>
      <c r="AB144" s="8">
        <v>115.140015828264</v>
      </c>
      <c r="AC144" s="8">
        <v>115.209237163154</v>
      </c>
      <c r="AD144" s="8">
        <v>115.147616397189</v>
      </c>
      <c r="AE144" s="9">
        <v>-5.47740904570733E-4</v>
      </c>
      <c r="AF144" s="9">
        <v>5.3271133234236298E-5</v>
      </c>
      <c r="AG144" s="9">
        <v>-4.81731550496491E-4</v>
      </c>
      <c r="AZ144" s="9"/>
      <c r="BB144">
        <f t="shared" si="22"/>
        <v>0</v>
      </c>
      <c r="BC144">
        <f t="shared" si="23"/>
        <v>0</v>
      </c>
      <c r="BD144">
        <f t="shared" si="24"/>
        <v>0</v>
      </c>
      <c r="BE144">
        <f t="shared" si="20"/>
        <v>1</v>
      </c>
      <c r="BF144">
        <f t="shared" si="25"/>
        <v>0</v>
      </c>
      <c r="BG144" s="9">
        <f t="shared" si="26"/>
        <v>0</v>
      </c>
      <c r="BH144" s="9">
        <f t="shared" si="27"/>
        <v>0</v>
      </c>
      <c r="BI144" s="9">
        <f t="shared" si="28"/>
        <v>0</v>
      </c>
      <c r="BJ144" s="12">
        <f t="shared" si="29"/>
        <v>1.2161108358679215E-2</v>
      </c>
      <c r="BL144" s="9"/>
      <c r="BN144">
        <f t="shared" si="30"/>
        <v>0</v>
      </c>
      <c r="BO144">
        <f t="shared" si="31"/>
        <v>1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3.315815804039419E-3</v>
      </c>
      <c r="BX144" s="12">
        <f t="shared" si="38"/>
        <v>0</v>
      </c>
      <c r="BY144" s="12">
        <f t="shared" si="39"/>
        <v>1.5476924162718637E-2</v>
      </c>
    </row>
    <row r="145" spans="1:77" x14ac:dyDescent="0.3">
      <c r="A145" s="1">
        <v>46233</v>
      </c>
      <c r="B145" s="8">
        <v>44.66</v>
      </c>
      <c r="C145" s="8">
        <v>113.1</v>
      </c>
      <c r="D145" s="9">
        <v>-5.5822406876348402E-3</v>
      </c>
      <c r="E145" s="9">
        <v>-7.4873725696185398E-3</v>
      </c>
      <c r="F145" s="8">
        <v>0</v>
      </c>
      <c r="G145" s="8">
        <v>0.59430000000000005</v>
      </c>
      <c r="H145" s="8">
        <v>0</v>
      </c>
      <c r="I145" s="8">
        <v>1.2530999999999901</v>
      </c>
      <c r="J145" s="8">
        <v>0.59430000000000005</v>
      </c>
      <c r="K145" s="8">
        <v>1.2530999999999901</v>
      </c>
      <c r="L145" s="8">
        <v>45.254299999999901</v>
      </c>
      <c r="M145" s="8">
        <v>114.3531</v>
      </c>
      <c r="N145" s="10">
        <v>2.5324675324675301</v>
      </c>
      <c r="O145" s="10">
        <v>2.5326711528669299</v>
      </c>
      <c r="P145" s="10">
        <v>2.5359219756610001</v>
      </c>
      <c r="Q145" s="10">
        <v>2.5365444178940102</v>
      </c>
      <c r="R145" s="8">
        <v>113.109093687037</v>
      </c>
      <c r="S145" s="8">
        <v>113.30522155134</v>
      </c>
      <c r="T145" s="8">
        <v>113.278653555726</v>
      </c>
      <c r="U145" s="9">
        <v>8.04007203591443E-5</v>
      </c>
      <c r="V145" s="9">
        <v>1.8128699165063399E-3</v>
      </c>
      <c r="W145" s="9">
        <v>1.5783607686435199E-3</v>
      </c>
      <c r="X145" s="10">
        <v>2.52690020616825</v>
      </c>
      <c r="Y145" s="10">
        <v>2.53031067016226</v>
      </c>
      <c r="Z145" s="10">
        <v>2.5304009997938102</v>
      </c>
      <c r="AA145" s="10">
        <v>2.5310191717284698</v>
      </c>
      <c r="AB145" s="8">
        <v>114.507438160723</v>
      </c>
      <c r="AC145" s="8">
        <v>114.56292702826499</v>
      </c>
      <c r="AD145" s="8">
        <v>114.536111191418</v>
      </c>
      <c r="AE145" s="9">
        <v>1.3487531346482601E-3</v>
      </c>
      <c r="AF145" s="9">
        <v>1.8332232107417801E-3</v>
      </c>
      <c r="AG145" s="9">
        <v>1.59912500432383E-3</v>
      </c>
      <c r="AZ145" s="9"/>
      <c r="BB145">
        <f t="shared" si="22"/>
        <v>0</v>
      </c>
      <c r="BC145">
        <f t="shared" si="23"/>
        <v>1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1.2161108358679215E-2</v>
      </c>
      <c r="BL145" s="9"/>
      <c r="BN145">
        <f t="shared" si="30"/>
        <v>0</v>
      </c>
      <c r="BO145">
        <f t="shared" si="31"/>
        <v>0</v>
      </c>
      <c r="BP145">
        <f t="shared" si="32"/>
        <v>0</v>
      </c>
      <c r="BQ145">
        <f t="shared" si="21"/>
        <v>1</v>
      </c>
      <c r="BR145">
        <f t="shared" si="33"/>
        <v>0</v>
      </c>
      <c r="BS145" s="9">
        <f t="shared" si="34"/>
        <v>0</v>
      </c>
      <c r="BT145" s="9">
        <f t="shared" si="35"/>
        <v>0</v>
      </c>
      <c r="BU145" s="9">
        <f t="shared" si="36"/>
        <v>0</v>
      </c>
      <c r="BV145" s="12">
        <f t="shared" si="37"/>
        <v>3.315815804039419E-3</v>
      </c>
      <c r="BX145" s="12">
        <f t="shared" si="38"/>
        <v>0</v>
      </c>
      <c r="BY145" s="12">
        <f t="shared" si="39"/>
        <v>1.5476924162718637E-2</v>
      </c>
    </row>
    <row r="146" spans="1:77" x14ac:dyDescent="0.3">
      <c r="A146" s="1">
        <v>46234</v>
      </c>
      <c r="B146" s="8">
        <v>44.35</v>
      </c>
      <c r="C146" s="8">
        <v>112.39</v>
      </c>
      <c r="D146" s="9">
        <v>-6.9655376564231996E-3</v>
      </c>
      <c r="E146" s="9">
        <v>-6.2974175918989904E-3</v>
      </c>
      <c r="F146" s="8">
        <v>0</v>
      </c>
      <c r="G146" s="8">
        <v>0.59430000000000005</v>
      </c>
      <c r="H146" s="8">
        <v>0</v>
      </c>
      <c r="I146" s="8">
        <v>1.2530999999999901</v>
      </c>
      <c r="J146" s="8">
        <v>0.59430000000000005</v>
      </c>
      <c r="K146" s="8">
        <v>1.2530999999999901</v>
      </c>
      <c r="L146" s="8">
        <v>44.944299999999998</v>
      </c>
      <c r="M146" s="8">
        <v>113.6431</v>
      </c>
      <c r="N146" s="10">
        <v>2.5341600901916501</v>
      </c>
      <c r="O146" s="10">
        <v>2.5326711528669299</v>
      </c>
      <c r="P146" s="10">
        <v>2.5350984451627898</v>
      </c>
      <c r="Q146" s="10">
        <v>2.5367773349910099</v>
      </c>
      <c r="R146" s="8">
        <v>112.323965629648</v>
      </c>
      <c r="S146" s="8">
        <v>112.468139620565</v>
      </c>
      <c r="T146" s="8">
        <v>112.495744933599</v>
      </c>
      <c r="U146" s="9">
        <v>-5.8771934416501496E-4</v>
      </c>
      <c r="V146" s="9">
        <v>6.9501263189987201E-4</v>
      </c>
      <c r="W146" s="9">
        <v>9.40432586550122E-4</v>
      </c>
      <c r="X146" s="10">
        <v>2.5285319829210802</v>
      </c>
      <c r="Y146" s="10">
        <v>2.53031067016226</v>
      </c>
      <c r="Z146" s="10">
        <v>2.5295780793645601</v>
      </c>
      <c r="AA146" s="10">
        <v>2.53124054288058</v>
      </c>
      <c r="AB146" s="8">
        <v>113.723041852973</v>
      </c>
      <c r="AC146" s="8">
        <v>113.727101655033</v>
      </c>
      <c r="AD146" s="8">
        <v>113.754884959916</v>
      </c>
      <c r="AE146" s="9">
        <v>7.03199303258982E-4</v>
      </c>
      <c r="AF146" s="9">
        <v>7.3889769410050599E-4</v>
      </c>
      <c r="AG146" s="9">
        <v>9.8316587053634509E-4</v>
      </c>
      <c r="AZ146" s="9"/>
      <c r="BB146">
        <f t="shared" si="22"/>
        <v>0</v>
      </c>
      <c r="BC146">
        <f t="shared" si="23"/>
        <v>1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1.2161108358679215E-2</v>
      </c>
      <c r="BL146" s="9"/>
      <c r="BN146">
        <f t="shared" si="30"/>
        <v>0</v>
      </c>
      <c r="BO146">
        <f t="shared" si="31"/>
        <v>0</v>
      </c>
      <c r="BP146">
        <f t="shared" si="32"/>
        <v>0</v>
      </c>
      <c r="BQ146">
        <f t="shared" si="21"/>
        <v>1</v>
      </c>
      <c r="BR146">
        <f t="shared" si="33"/>
        <v>0</v>
      </c>
      <c r="BS146" s="9">
        <f t="shared" si="34"/>
        <v>0</v>
      </c>
      <c r="BT146" s="9">
        <f t="shared" si="35"/>
        <v>0</v>
      </c>
      <c r="BU146" s="9">
        <f t="shared" si="36"/>
        <v>0</v>
      </c>
      <c r="BV146" s="12">
        <f t="shared" si="37"/>
        <v>3.315815804039419E-3</v>
      </c>
      <c r="BX146" s="12">
        <f t="shared" si="38"/>
        <v>0</v>
      </c>
      <c r="BY146" s="12">
        <f t="shared" si="39"/>
        <v>1.5476924162718637E-2</v>
      </c>
    </row>
    <row r="147" spans="1:77" x14ac:dyDescent="0.3">
      <c r="A147" s="1">
        <v>46237</v>
      </c>
      <c r="B147" s="8">
        <v>44.36</v>
      </c>
      <c r="C147" s="8">
        <v>112.52</v>
      </c>
      <c r="D147" s="9">
        <v>2.2545372657780701E-4</v>
      </c>
      <c r="E147" s="9">
        <v>1.1560180914803599E-3</v>
      </c>
      <c r="F147" s="8">
        <v>0</v>
      </c>
      <c r="G147" s="8">
        <v>0.59430000000000005</v>
      </c>
      <c r="H147" s="8">
        <v>0</v>
      </c>
      <c r="I147" s="8">
        <v>1.2530999999999901</v>
      </c>
      <c r="J147" s="8">
        <v>0.59430000000000005</v>
      </c>
      <c r="K147" s="8">
        <v>1.2530999999999901</v>
      </c>
      <c r="L147" s="8">
        <v>44.954299999999897</v>
      </c>
      <c r="M147" s="8">
        <v>113.7731</v>
      </c>
      <c r="N147" s="10">
        <v>2.5365193868349798</v>
      </c>
      <c r="O147" s="10">
        <v>2.5326711528669299</v>
      </c>
      <c r="P147" s="10">
        <v>2.5345447763696498</v>
      </c>
      <c r="Q147" s="10">
        <v>2.5369476751936801</v>
      </c>
      <c r="R147" s="8">
        <v>112.34929234117701</v>
      </c>
      <c r="S147" s="8">
        <v>112.456967027421</v>
      </c>
      <c r="T147" s="8">
        <v>112.531442580201</v>
      </c>
      <c r="U147" s="9">
        <v>-1.5182837090675901E-3</v>
      </c>
      <c r="V147" s="9">
        <v>-5.6035046663450397E-4</v>
      </c>
      <c r="W147" s="9">
        <v>1.01688574664222E-4</v>
      </c>
      <c r="X147" s="10">
        <v>2.5308613414067098</v>
      </c>
      <c r="Y147" s="10">
        <v>2.53031067016226</v>
      </c>
      <c r="Z147" s="10">
        <v>2.5290244298696001</v>
      </c>
      <c r="AA147" s="10">
        <v>2.5314028829325199</v>
      </c>
      <c r="AB147" s="8">
        <v>113.74834495967499</v>
      </c>
      <c r="AC147" s="8">
        <v>113.715411853178</v>
      </c>
      <c r="AD147" s="8">
        <v>113.790146736816</v>
      </c>
      <c r="AE147" s="9">
        <v>-2.1760621665170899E-4</v>
      </c>
      <c r="AF147" s="9">
        <v>-5.0717416530868102E-4</v>
      </c>
      <c r="AG147" s="9">
        <v>1.4981977180264901E-4</v>
      </c>
      <c r="AZ147" s="9"/>
      <c r="BB147">
        <f t="shared" si="22"/>
        <v>0</v>
      </c>
      <c r="BC147">
        <f t="shared" si="23"/>
        <v>1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1.2161108358679215E-2</v>
      </c>
      <c r="BL147" s="9"/>
      <c r="BN147">
        <f t="shared" si="30"/>
        <v>0</v>
      </c>
      <c r="BO147">
        <f t="shared" si="31"/>
        <v>0</v>
      </c>
      <c r="BP147">
        <f t="shared" si="32"/>
        <v>0</v>
      </c>
      <c r="BQ147">
        <f t="shared" si="21"/>
        <v>1</v>
      </c>
      <c r="BR147">
        <f t="shared" si="33"/>
        <v>0</v>
      </c>
      <c r="BS147" s="9">
        <f t="shared" si="34"/>
        <v>0</v>
      </c>
      <c r="BT147" s="9">
        <f t="shared" si="35"/>
        <v>0</v>
      </c>
      <c r="BU147" s="9">
        <f t="shared" si="36"/>
        <v>0</v>
      </c>
      <c r="BV147" s="12">
        <f t="shared" si="37"/>
        <v>3.315815804039419E-3</v>
      </c>
      <c r="BX147" s="12">
        <f t="shared" si="38"/>
        <v>0</v>
      </c>
      <c r="BY147" s="12">
        <f t="shared" si="39"/>
        <v>1.5476924162718637E-2</v>
      </c>
    </row>
    <row r="148" spans="1:77" x14ac:dyDescent="0.3">
      <c r="A148" s="1">
        <v>46238</v>
      </c>
      <c r="B148" s="8">
        <v>44.11</v>
      </c>
      <c r="C148" s="8">
        <v>111.87</v>
      </c>
      <c r="D148" s="9">
        <v>-5.6516483653178996E-3</v>
      </c>
      <c r="E148" s="9">
        <v>-5.7935007628169E-3</v>
      </c>
      <c r="F148" s="8">
        <v>0</v>
      </c>
      <c r="G148" s="8">
        <v>0.59430000000000005</v>
      </c>
      <c r="H148" s="8">
        <v>0</v>
      </c>
      <c r="I148" s="8">
        <v>1.2530999999999901</v>
      </c>
      <c r="J148" s="8">
        <v>0.59430000000000005</v>
      </c>
      <c r="K148" s="8">
        <v>1.2530999999999901</v>
      </c>
      <c r="L148" s="8">
        <v>44.704299999999897</v>
      </c>
      <c r="M148" s="8">
        <v>113.12309999999999</v>
      </c>
      <c r="N148" s="10">
        <v>2.5361596009974998</v>
      </c>
      <c r="O148" s="10">
        <v>2.5326711528669299</v>
      </c>
      <c r="P148" s="10">
        <v>2.5343539688825798</v>
      </c>
      <c r="Q148" s="10">
        <v>2.5368738171691598</v>
      </c>
      <c r="R148" s="8">
        <v>111.71612455296</v>
      </c>
      <c r="S148" s="8">
        <v>111.798770085665</v>
      </c>
      <c r="T148" s="8">
        <v>111.904761952793</v>
      </c>
      <c r="U148" s="9">
        <v>-1.3764313115686899E-3</v>
      </c>
      <c r="V148" s="9">
        <v>-6.3692322102275496E-4</v>
      </c>
      <c r="W148" s="9">
        <v>3.1068698516110402E-4</v>
      </c>
      <c r="X148" s="10">
        <v>2.5304746970649301</v>
      </c>
      <c r="Y148" s="10">
        <v>2.53031067016226</v>
      </c>
      <c r="Z148" s="10">
        <v>2.5288259966400899</v>
      </c>
      <c r="AA148" s="10">
        <v>2.5313202105174901</v>
      </c>
      <c r="AB148" s="8">
        <v>113.115767292134</v>
      </c>
      <c r="AC148" s="8">
        <v>113.058266820219</v>
      </c>
      <c r="AD148" s="8">
        <v>113.16459389948</v>
      </c>
      <c r="AE148" s="9">
        <v>-6.4822706687232899E-5</v>
      </c>
      <c r="AF148" s="9">
        <v>-5.73284903769973E-4</v>
      </c>
      <c r="AG148" s="9">
        <v>3.6673580635957702E-4</v>
      </c>
      <c r="AZ148" s="9"/>
      <c r="BB148">
        <f t="shared" si="22"/>
        <v>0</v>
      </c>
      <c r="BC148">
        <f t="shared" si="23"/>
        <v>1</v>
      </c>
      <c r="BD148">
        <f t="shared" si="24"/>
        <v>0</v>
      </c>
      <c r="BE148">
        <f t="shared" si="20"/>
        <v>1</v>
      </c>
      <c r="BF148">
        <f t="shared" si="25"/>
        <v>0</v>
      </c>
      <c r="BG148" s="9">
        <f t="shared" si="26"/>
        <v>0</v>
      </c>
      <c r="BH148" s="9">
        <f t="shared" si="27"/>
        <v>0</v>
      </c>
      <c r="BI148" s="9">
        <f t="shared" si="28"/>
        <v>0</v>
      </c>
      <c r="BJ148" s="12">
        <f t="shared" si="29"/>
        <v>1.2161108358679215E-2</v>
      </c>
      <c r="BL148" s="9"/>
      <c r="BN148">
        <f t="shared" si="30"/>
        <v>0</v>
      </c>
      <c r="BO148">
        <f t="shared" si="31"/>
        <v>0</v>
      </c>
      <c r="BP148">
        <f t="shared" si="32"/>
        <v>0</v>
      </c>
      <c r="BQ148">
        <f t="shared" si="21"/>
        <v>1</v>
      </c>
      <c r="BR148">
        <f t="shared" si="33"/>
        <v>0</v>
      </c>
      <c r="BS148" s="9">
        <f t="shared" si="34"/>
        <v>0</v>
      </c>
      <c r="BT148" s="9">
        <f t="shared" si="35"/>
        <v>0</v>
      </c>
      <c r="BU148" s="9">
        <f t="shared" si="36"/>
        <v>0</v>
      </c>
      <c r="BV148" s="12">
        <f t="shared" si="37"/>
        <v>3.315815804039419E-3</v>
      </c>
      <c r="BX148" s="12">
        <f t="shared" si="38"/>
        <v>0</v>
      </c>
      <c r="BY148" s="12">
        <f t="shared" si="39"/>
        <v>1.5476924162718637E-2</v>
      </c>
    </row>
    <row r="149" spans="1:77" x14ac:dyDescent="0.3">
      <c r="A149" s="1">
        <v>46239</v>
      </c>
      <c r="B149" s="8">
        <v>43.66</v>
      </c>
      <c r="C149" s="8">
        <v>110.74</v>
      </c>
      <c r="D149" s="9">
        <v>-1.02541629950506E-2</v>
      </c>
      <c r="E149" s="9">
        <v>-1.0152371464018E-2</v>
      </c>
      <c r="F149" s="8">
        <v>0</v>
      </c>
      <c r="G149" s="8">
        <v>0.59430000000000005</v>
      </c>
      <c r="H149" s="8">
        <v>0</v>
      </c>
      <c r="I149" s="8">
        <v>1.2530999999999901</v>
      </c>
      <c r="J149" s="8">
        <v>0.59430000000000005</v>
      </c>
      <c r="K149" s="8">
        <v>1.2530999999999901</v>
      </c>
      <c r="L149" s="8">
        <v>44.254299999999901</v>
      </c>
      <c r="M149" s="8">
        <v>111.9931</v>
      </c>
      <c r="N149" s="10">
        <v>2.5364177737058999</v>
      </c>
      <c r="O149" s="10">
        <v>2.5326711528669299</v>
      </c>
      <c r="P149" s="10">
        <v>2.5344795259178801</v>
      </c>
      <c r="Q149" s="10">
        <v>2.5368428540025998</v>
      </c>
      <c r="R149" s="8">
        <v>110.57642253417001</v>
      </c>
      <c r="S149" s="8">
        <v>110.649894281413</v>
      </c>
      <c r="T149" s="8">
        <v>110.75991085760501</v>
      </c>
      <c r="U149" s="9">
        <v>-1.4782228426010399E-3</v>
      </c>
      <c r="V149" s="9">
        <v>-8.1400033054069296E-4</v>
      </c>
      <c r="W149" s="9">
        <v>1.7978208282074499E-4</v>
      </c>
      <c r="X149" s="10">
        <v>2.53067159575453</v>
      </c>
      <c r="Y149" s="10">
        <v>2.53031067016226</v>
      </c>
      <c r="Z149" s="10">
        <v>2.5289219132306902</v>
      </c>
      <c r="AA149" s="10">
        <v>2.5312790192826999</v>
      </c>
      <c r="AB149" s="8">
        <v>111.977127490561</v>
      </c>
      <c r="AC149" s="8">
        <v>111.911424303109</v>
      </c>
      <c r="AD149" s="8">
        <v>112.021803992304</v>
      </c>
      <c r="AE149" s="9">
        <v>-1.42630649121078E-4</v>
      </c>
      <c r="AF149" s="9">
        <v>-7.2955828621308605E-4</v>
      </c>
      <c r="AG149" s="9">
        <v>2.56268595971813E-4</v>
      </c>
      <c r="AZ149" s="9"/>
      <c r="BB149">
        <f t="shared" si="22"/>
        <v>0</v>
      </c>
      <c r="BC149">
        <f t="shared" si="23"/>
        <v>1</v>
      </c>
      <c r="BD149">
        <f t="shared" si="24"/>
        <v>0</v>
      </c>
      <c r="BE149">
        <f t="shared" si="20"/>
        <v>1</v>
      </c>
      <c r="BF149">
        <f t="shared" si="25"/>
        <v>0</v>
      </c>
      <c r="BG149" s="9">
        <f t="shared" si="26"/>
        <v>0</v>
      </c>
      <c r="BH149" s="9">
        <f t="shared" si="27"/>
        <v>0</v>
      </c>
      <c r="BI149" s="9">
        <f t="shared" si="28"/>
        <v>0</v>
      </c>
      <c r="BJ149" s="12">
        <f t="shared" si="29"/>
        <v>1.2161108358679215E-2</v>
      </c>
      <c r="BL149" s="9"/>
      <c r="BN149">
        <f t="shared" si="30"/>
        <v>0</v>
      </c>
      <c r="BO149">
        <f t="shared" si="31"/>
        <v>0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3.315815804039419E-3</v>
      </c>
      <c r="BX149" s="12">
        <f t="shared" si="38"/>
        <v>0</v>
      </c>
      <c r="BY149" s="12">
        <f t="shared" si="39"/>
        <v>1.5476924162718637E-2</v>
      </c>
    </row>
    <row r="150" spans="1:77" x14ac:dyDescent="0.3">
      <c r="A150" s="1">
        <v>46240</v>
      </c>
      <c r="B150" s="8">
        <v>43.38</v>
      </c>
      <c r="C150" s="8">
        <v>110.29</v>
      </c>
      <c r="D150" s="9">
        <v>-6.4338457230693402E-3</v>
      </c>
      <c r="E150" s="9">
        <v>-4.0718510767654504E-3</v>
      </c>
      <c r="F150" s="8">
        <v>0</v>
      </c>
      <c r="G150" s="8">
        <v>0.59430000000000005</v>
      </c>
      <c r="H150" s="8">
        <v>0</v>
      </c>
      <c r="I150" s="8">
        <v>1.2530999999999901</v>
      </c>
      <c r="J150" s="8">
        <v>0.59430000000000005</v>
      </c>
      <c r="K150" s="8">
        <v>1.2530999999999901</v>
      </c>
      <c r="L150" s="8">
        <v>43.974299999999999</v>
      </c>
      <c r="M150" s="8">
        <v>111.5431</v>
      </c>
      <c r="N150" s="10">
        <v>2.5424158598432398</v>
      </c>
      <c r="O150" s="10">
        <v>2.5326711528669299</v>
      </c>
      <c r="P150" s="10">
        <v>2.5353545823503501</v>
      </c>
      <c r="Q150" s="10">
        <v>2.5370746596249401</v>
      </c>
      <c r="R150" s="8">
        <v>109.86727461136699</v>
      </c>
      <c r="S150" s="8">
        <v>109.945721834317</v>
      </c>
      <c r="T150" s="8">
        <v>110.048243006633</v>
      </c>
      <c r="U150" s="9">
        <v>-3.8402174889049698E-3</v>
      </c>
      <c r="V150" s="9">
        <v>-3.1264541760065699E-3</v>
      </c>
      <c r="W150" s="9">
        <v>-2.19441788300073E-3</v>
      </c>
      <c r="X150" s="10">
        <v>2.5365520315275001</v>
      </c>
      <c r="Y150" s="10">
        <v>2.53031067016226</v>
      </c>
      <c r="Z150" s="10">
        <v>2.5297506339951199</v>
      </c>
      <c r="AA150" s="10">
        <v>2.5314965907437998</v>
      </c>
      <c r="AB150" s="8">
        <v>111.268640502916</v>
      </c>
      <c r="AC150" s="8">
        <v>111.20757088898</v>
      </c>
      <c r="AD150" s="8">
        <v>111.311222977643</v>
      </c>
      <c r="AE150" s="9">
        <v>-2.4636012023395702E-3</v>
      </c>
      <c r="AF150" s="9">
        <v>-3.0126002623947802E-3</v>
      </c>
      <c r="AG150" s="9">
        <v>-2.0809747186959701E-3</v>
      </c>
      <c r="AZ150" s="9"/>
      <c r="BB150">
        <f t="shared" si="22"/>
        <v>1</v>
      </c>
      <c r="BC150">
        <f t="shared" si="23"/>
        <v>0</v>
      </c>
      <c r="BD150">
        <f t="shared" si="24"/>
        <v>0</v>
      </c>
      <c r="BE150">
        <f t="shared" ref="BE150:BE167" si="40">IF(F151+H151&gt;0,0,1)</f>
        <v>1</v>
      </c>
      <c r="BF150">
        <f t="shared" si="25"/>
        <v>0</v>
      </c>
      <c r="BG150" s="9">
        <f t="shared" si="26"/>
        <v>0</v>
      </c>
      <c r="BH150" s="9">
        <f t="shared" si="27"/>
        <v>0</v>
      </c>
      <c r="BI150" s="9">
        <f t="shared" si="28"/>
        <v>0</v>
      </c>
      <c r="BJ150" s="12">
        <f t="shared" si="29"/>
        <v>1.2161108358679215E-2</v>
      </c>
      <c r="BL150" s="9"/>
      <c r="BN150">
        <f t="shared" si="30"/>
        <v>0</v>
      </c>
      <c r="BO150">
        <f t="shared" si="31"/>
        <v>1</v>
      </c>
      <c r="BP150">
        <f t="shared" si="32"/>
        <v>0</v>
      </c>
      <c r="BQ150">
        <f t="shared" ref="BQ150:BQ167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3.315815804039419E-3</v>
      </c>
      <c r="BX150" s="12">
        <f t="shared" si="38"/>
        <v>0</v>
      </c>
      <c r="BY150" s="12">
        <f t="shared" si="39"/>
        <v>1.5476924162718637E-2</v>
      </c>
    </row>
    <row r="151" spans="1:77" x14ac:dyDescent="0.3">
      <c r="A151" s="1">
        <v>46241</v>
      </c>
      <c r="B151" s="8">
        <v>43.61</v>
      </c>
      <c r="C151" s="8">
        <v>110.95</v>
      </c>
      <c r="D151" s="9">
        <v>5.2879764559467402E-3</v>
      </c>
      <c r="E151" s="9">
        <v>5.9663890605472702E-3</v>
      </c>
      <c r="F151" s="8">
        <v>0</v>
      </c>
      <c r="G151" s="8">
        <v>0.59430000000000005</v>
      </c>
      <c r="H151" s="8">
        <v>0</v>
      </c>
      <c r="I151" s="8">
        <v>1.2530999999999901</v>
      </c>
      <c r="J151" s="8">
        <v>0.59430000000000005</v>
      </c>
      <c r="K151" s="8">
        <v>1.2530999999999901</v>
      </c>
      <c r="L151" s="8">
        <v>44.204299999999897</v>
      </c>
      <c r="M151" s="8">
        <v>112.20310000000001</v>
      </c>
      <c r="N151" s="10">
        <v>2.5441412520064199</v>
      </c>
      <c r="O151" s="10">
        <v>2.5326711528669299</v>
      </c>
      <c r="P151" s="10">
        <v>2.5366686859480501</v>
      </c>
      <c r="Q151" s="10">
        <v>2.5374484255945702</v>
      </c>
      <c r="R151" s="8">
        <v>110.44978897652599</v>
      </c>
      <c r="S151" s="8">
        <v>110.566813336298</v>
      </c>
      <c r="T151" s="8">
        <v>110.64182590624399</v>
      </c>
      <c r="U151" s="9">
        <v>-4.5186300935056998E-3</v>
      </c>
      <c r="V151" s="9">
        <v>-3.4596655679142202E-3</v>
      </c>
      <c r="W151" s="9">
        <v>-2.7814590288101301E-3</v>
      </c>
      <c r="X151" s="10">
        <v>2.5382847370052199</v>
      </c>
      <c r="Y151" s="10">
        <v>2.53031067016226</v>
      </c>
      <c r="Z151" s="10">
        <v>2.5310146031600098</v>
      </c>
      <c r="AA151" s="10">
        <v>2.5318540709430502</v>
      </c>
      <c r="AB151" s="8">
        <v>111.850611957053</v>
      </c>
      <c r="AC151" s="8">
        <v>111.82585595031</v>
      </c>
      <c r="AD151" s="8">
        <v>111.90303474621599</v>
      </c>
      <c r="AE151" s="9">
        <v>-3.1464627894518598E-3</v>
      </c>
      <c r="AF151" s="9">
        <v>-3.36781827736217E-3</v>
      </c>
      <c r="AG151" s="9">
        <v>-2.67788682750185E-3</v>
      </c>
      <c r="AZ151" s="9"/>
      <c r="BB151">
        <f t="shared" ref="BB151:BB167" si="42">IF($AG151&lt;BA$20,1,0)</f>
        <v>1</v>
      </c>
      <c r="BC151">
        <f t="shared" ref="BC151:BC167" si="43">IF($AG151&gt;BA$21,1,0)</f>
        <v>0</v>
      </c>
      <c r="BD151">
        <f t="shared" ref="BD151:BD167" si="44">BF151</f>
        <v>1</v>
      </c>
      <c r="BE151">
        <f t="shared" si="40"/>
        <v>1</v>
      </c>
      <c r="BF151">
        <f t="shared" ref="BF151:BF167" si="45">IF(BB150,1,IF(BC150,0,BD150))*BE150</f>
        <v>1</v>
      </c>
      <c r="BG151" s="9">
        <f t="shared" ref="BG151:BG167" si="46">BF151*D151</f>
        <v>5.2879764559467402E-3</v>
      </c>
      <c r="BH151" s="9">
        <f t="shared" ref="BH151:BH167" si="47">-BF151*$E151</f>
        <v>-5.9663890605472702E-3</v>
      </c>
      <c r="BI151" s="9">
        <f t="shared" ref="BI151:BI167" si="48">BG151+BH151</f>
        <v>-6.7841260460053E-4</v>
      </c>
      <c r="BJ151" s="12">
        <f t="shared" ref="BJ151:BJ167" si="49">BJ150+BI151</f>
        <v>1.1482695754078686E-2</v>
      </c>
      <c r="BL151" s="9"/>
      <c r="BN151">
        <f t="shared" ref="BN151:BN167" si="50">IF($AG151&gt;BM$20,1,0)</f>
        <v>0</v>
      </c>
      <c r="BO151">
        <f t="shared" ref="BO151:BO167" si="51">IF($AG151&lt;BM$21,1,0)</f>
        <v>1</v>
      </c>
      <c r="BP151">
        <f t="shared" ref="BP151:BP167" si="52">BR151</f>
        <v>0</v>
      </c>
      <c r="BQ151">
        <f t="shared" si="41"/>
        <v>1</v>
      </c>
      <c r="BR151">
        <f t="shared" ref="BR151:BR167" si="53">IF(BN150,1,IF(BO150,0,BP150))*BQ150</f>
        <v>0</v>
      </c>
      <c r="BS151" s="9">
        <f t="shared" ref="BS151:BS167" si="54">-BR151*D151</f>
        <v>0</v>
      </c>
      <c r="BT151" s="9">
        <f t="shared" ref="BT151:BT167" si="55">BR151*$E151</f>
        <v>0</v>
      </c>
      <c r="BU151" s="9">
        <f t="shared" ref="BU151:BU167" si="56">BS151+BT151</f>
        <v>0</v>
      </c>
      <c r="BV151" s="12">
        <f t="shared" ref="BV151:BV167" si="57">BV150+BU151</f>
        <v>3.315815804039419E-3</v>
      </c>
      <c r="BX151" s="12">
        <f t="shared" ref="BX151:BX167" si="58">BI151+BU151</f>
        <v>-6.7841260460053E-4</v>
      </c>
      <c r="BY151" s="12">
        <f t="shared" ref="BY151:BY167" si="59">BY150+BX151</f>
        <v>1.4798511558118108E-2</v>
      </c>
    </row>
    <row r="152" spans="1:77" x14ac:dyDescent="0.3">
      <c r="A152" s="1">
        <v>46244</v>
      </c>
      <c r="B152" s="8">
        <v>43.13</v>
      </c>
      <c r="C152" s="8">
        <v>109.8</v>
      </c>
      <c r="D152" s="9">
        <v>-1.10676711949232E-2</v>
      </c>
      <c r="E152" s="9">
        <v>-1.0419120303172699E-2</v>
      </c>
      <c r="F152" s="8">
        <v>0</v>
      </c>
      <c r="G152" s="8">
        <v>0.59430000000000005</v>
      </c>
      <c r="H152" s="8">
        <v>0</v>
      </c>
      <c r="I152" s="8">
        <v>1.2530999999999901</v>
      </c>
      <c r="J152" s="8">
        <v>0.59430000000000005</v>
      </c>
      <c r="K152" s="8">
        <v>1.2530999999999901</v>
      </c>
      <c r="L152" s="8">
        <v>43.724299999999999</v>
      </c>
      <c r="M152" s="8">
        <v>111.0531</v>
      </c>
      <c r="N152" s="10">
        <v>2.5457917922559701</v>
      </c>
      <c r="O152" s="10">
        <v>2.5326711528669299</v>
      </c>
      <c r="P152" s="10">
        <v>2.53798604380763</v>
      </c>
      <c r="Q152" s="10">
        <v>2.53782419193527</v>
      </c>
      <c r="R152" s="8">
        <v>109.23410682315</v>
      </c>
      <c r="S152" s="8">
        <v>109.406520424939</v>
      </c>
      <c r="T152" s="8">
        <v>109.440150595893</v>
      </c>
      <c r="U152" s="9">
        <v>-5.1671809852562303E-3</v>
      </c>
      <c r="V152" s="9">
        <v>-3.5900391731679099E-3</v>
      </c>
      <c r="W152" s="9">
        <v>-3.2826991431648199E-3</v>
      </c>
      <c r="X152" s="10">
        <v>2.5398485510345501</v>
      </c>
      <c r="Y152" s="10">
        <v>2.53031067016226</v>
      </c>
      <c r="Z152" s="10">
        <v>2.53228229128309</v>
      </c>
      <c r="AA152" s="10">
        <v>2.53220839751949</v>
      </c>
      <c r="AB152" s="8">
        <v>110.636062835375</v>
      </c>
      <c r="AC152" s="8">
        <v>110.666841812949</v>
      </c>
      <c r="AD152" s="8">
        <v>110.70354695413501</v>
      </c>
      <c r="AE152" s="9">
        <v>-3.7623639444861702E-3</v>
      </c>
      <c r="AF152" s="9">
        <v>-3.4842024099940201E-3</v>
      </c>
      <c r="AG152" s="9">
        <v>-3.1525849635349701E-3</v>
      </c>
      <c r="AZ152" s="9"/>
      <c r="BB152">
        <f t="shared" si="42"/>
        <v>1</v>
      </c>
      <c r="BC152">
        <f t="shared" si="43"/>
        <v>0</v>
      </c>
      <c r="BD152">
        <f t="shared" si="44"/>
        <v>1</v>
      </c>
      <c r="BE152">
        <f t="shared" si="40"/>
        <v>1</v>
      </c>
      <c r="BF152">
        <f t="shared" si="45"/>
        <v>1</v>
      </c>
      <c r="BG152" s="9">
        <f t="shared" si="46"/>
        <v>-1.10676711949232E-2</v>
      </c>
      <c r="BH152" s="9">
        <f t="shared" si="47"/>
        <v>1.0419120303172699E-2</v>
      </c>
      <c r="BI152" s="9">
        <f t="shared" si="48"/>
        <v>-6.4855089175050104E-4</v>
      </c>
      <c r="BJ152" s="12">
        <f t="shared" si="49"/>
        <v>1.0834144862328185E-2</v>
      </c>
      <c r="BL152" s="9"/>
      <c r="BN152">
        <f t="shared" si="50"/>
        <v>0</v>
      </c>
      <c r="BO152">
        <f t="shared" si="51"/>
        <v>1</v>
      </c>
      <c r="BP152">
        <f t="shared" si="52"/>
        <v>0</v>
      </c>
      <c r="BQ152">
        <f t="shared" si="41"/>
        <v>1</v>
      </c>
      <c r="BR152">
        <f t="shared" si="53"/>
        <v>0</v>
      </c>
      <c r="BS152" s="9">
        <f t="shared" si="54"/>
        <v>0</v>
      </c>
      <c r="BT152" s="9">
        <f t="shared" si="55"/>
        <v>0</v>
      </c>
      <c r="BU152" s="9">
        <f t="shared" si="56"/>
        <v>0</v>
      </c>
      <c r="BV152" s="12">
        <f t="shared" si="57"/>
        <v>3.315815804039419E-3</v>
      </c>
      <c r="BX152" s="12">
        <f t="shared" si="58"/>
        <v>-6.4855089175050104E-4</v>
      </c>
      <c r="BY152" s="12">
        <f t="shared" si="59"/>
        <v>1.4149960666367607E-2</v>
      </c>
    </row>
    <row r="153" spans="1:77" x14ac:dyDescent="0.3">
      <c r="A153" s="1">
        <v>46245</v>
      </c>
      <c r="B153" s="8">
        <v>43.63</v>
      </c>
      <c r="C153" s="8">
        <v>110.98</v>
      </c>
      <c r="D153" s="9">
        <v>1.15261764757663E-2</v>
      </c>
      <c r="E153" s="9">
        <v>1.06894758223249E-2</v>
      </c>
      <c r="F153" s="8">
        <v>0</v>
      </c>
      <c r="G153" s="8">
        <v>0.59430000000000005</v>
      </c>
      <c r="H153" s="8">
        <v>0</v>
      </c>
      <c r="I153" s="8">
        <v>1.2530999999999901</v>
      </c>
      <c r="J153" s="8">
        <v>0.59430000000000005</v>
      </c>
      <c r="K153" s="8">
        <v>1.2530999999999901</v>
      </c>
      <c r="L153" s="8">
        <v>44.224299999999999</v>
      </c>
      <c r="M153" s="8">
        <v>112.23309999999999</v>
      </c>
      <c r="N153" s="10">
        <v>2.5436626174650399</v>
      </c>
      <c r="O153" s="10">
        <v>2.5326711528669299</v>
      </c>
      <c r="P153" s="10">
        <v>2.5389032721622198</v>
      </c>
      <c r="Q153" s="10">
        <v>2.5381305445200599</v>
      </c>
      <c r="R153" s="8">
        <v>110.500442399584</v>
      </c>
      <c r="S153" s="8">
        <v>110.732331091326</v>
      </c>
      <c r="T153" s="8">
        <v>110.725269494136</v>
      </c>
      <c r="U153" s="9">
        <v>-4.3304803318147903E-3</v>
      </c>
      <c r="V153" s="9">
        <v>-2.2341473789222201E-3</v>
      </c>
      <c r="W153" s="9">
        <v>-2.2979211864090098E-3</v>
      </c>
      <c r="X153" s="10">
        <v>2.5378151830554598</v>
      </c>
      <c r="Y153" s="10">
        <v>2.53031067016226</v>
      </c>
      <c r="Z153" s="10">
        <v>2.5331637330397099</v>
      </c>
      <c r="AA153" s="10">
        <v>2.5324978037296799</v>
      </c>
      <c r="AB153" s="8">
        <v>111.901218170456</v>
      </c>
      <c r="AC153" s="8">
        <v>111.98841173439099</v>
      </c>
      <c r="AD153" s="8">
        <v>111.985143834421</v>
      </c>
      <c r="AE153" s="9">
        <v>-2.9614569942594498E-3</v>
      </c>
      <c r="AF153" s="9">
        <v>-2.18255920985152E-3</v>
      </c>
      <c r="AG153" s="9">
        <v>-2.2117403331474599E-3</v>
      </c>
      <c r="AZ153" s="9"/>
      <c r="BB153">
        <f t="shared" si="42"/>
        <v>1</v>
      </c>
      <c r="BC153">
        <f t="shared" si="43"/>
        <v>0</v>
      </c>
      <c r="BD153">
        <f t="shared" si="44"/>
        <v>1</v>
      </c>
      <c r="BE153">
        <f t="shared" si="40"/>
        <v>1</v>
      </c>
      <c r="BF153">
        <f t="shared" si="45"/>
        <v>1</v>
      </c>
      <c r="BG153" s="9">
        <f t="shared" si="46"/>
        <v>1.15261764757663E-2</v>
      </c>
      <c r="BH153" s="9">
        <f t="shared" si="47"/>
        <v>-1.06894758223249E-2</v>
      </c>
      <c r="BI153" s="9">
        <f t="shared" si="48"/>
        <v>8.3670065344140093E-4</v>
      </c>
      <c r="BJ153" s="12">
        <f t="shared" si="49"/>
        <v>1.1670845515769586E-2</v>
      </c>
      <c r="BL153" s="9"/>
      <c r="BN153">
        <f t="shared" si="50"/>
        <v>0</v>
      </c>
      <c r="BO153">
        <f t="shared" si="51"/>
        <v>1</v>
      </c>
      <c r="BP153">
        <f t="shared" si="52"/>
        <v>0</v>
      </c>
      <c r="BQ153">
        <f t="shared" si="41"/>
        <v>1</v>
      </c>
      <c r="BR153">
        <f t="shared" si="53"/>
        <v>0</v>
      </c>
      <c r="BS153" s="9">
        <f t="shared" si="54"/>
        <v>0</v>
      </c>
      <c r="BT153" s="9">
        <f t="shared" si="55"/>
        <v>0</v>
      </c>
      <c r="BU153" s="9">
        <f t="shared" si="56"/>
        <v>0</v>
      </c>
      <c r="BV153" s="12">
        <f t="shared" si="57"/>
        <v>3.315815804039419E-3</v>
      </c>
      <c r="BX153" s="12">
        <f t="shared" si="58"/>
        <v>8.3670065344140093E-4</v>
      </c>
      <c r="BY153" s="12">
        <f t="shared" si="59"/>
        <v>1.4986661319809007E-2</v>
      </c>
    </row>
    <row r="154" spans="1:77" x14ac:dyDescent="0.3">
      <c r="A154" s="1">
        <v>46246</v>
      </c>
      <c r="B154" s="8">
        <v>43.84</v>
      </c>
      <c r="C154" s="8">
        <v>111.49</v>
      </c>
      <c r="D154" s="9">
        <v>4.8016555042419799E-3</v>
      </c>
      <c r="E154" s="9">
        <v>4.5848958817249104E-3</v>
      </c>
      <c r="F154" s="8">
        <v>0</v>
      </c>
      <c r="G154" s="8">
        <v>0.59430000000000005</v>
      </c>
      <c r="H154" s="8">
        <v>0</v>
      </c>
      <c r="I154" s="8">
        <v>1.2530999999999901</v>
      </c>
      <c r="J154" s="8">
        <v>0.59430000000000005</v>
      </c>
      <c r="K154" s="8">
        <v>1.2530999999999901</v>
      </c>
      <c r="L154" s="8">
        <v>44.4343</v>
      </c>
      <c r="M154" s="8">
        <v>112.7431</v>
      </c>
      <c r="N154" s="10">
        <v>2.5431113138686099</v>
      </c>
      <c r="O154" s="10">
        <v>2.5326711528669299</v>
      </c>
      <c r="P154" s="10">
        <v>2.5394847219636798</v>
      </c>
      <c r="Q154" s="10">
        <v>2.5382737263125601</v>
      </c>
      <c r="R154" s="8">
        <v>111.032303341686</v>
      </c>
      <c r="S154" s="8">
        <v>111.305519451591</v>
      </c>
      <c r="T154" s="8">
        <v>111.271643071759</v>
      </c>
      <c r="U154" s="9">
        <v>-4.1137207092975898E-3</v>
      </c>
      <c r="V154" s="9">
        <v>-1.6560529675282299E-3</v>
      </c>
      <c r="W154" s="9">
        <v>-1.9604541891953399E-3</v>
      </c>
      <c r="X154" s="10">
        <v>2.5372988884712901</v>
      </c>
      <c r="Y154" s="10">
        <v>2.53031067016226</v>
      </c>
      <c r="Z154" s="10">
        <v>2.5337239214409499</v>
      </c>
      <c r="AA154" s="10">
        <v>2.5326303742001399</v>
      </c>
      <c r="AB154" s="8">
        <v>112.43258341119</v>
      </c>
      <c r="AC154" s="8">
        <v>112.55935726300601</v>
      </c>
      <c r="AD154" s="8">
        <v>112.529767160266</v>
      </c>
      <c r="AE154" s="9">
        <v>-2.75799572080602E-3</v>
      </c>
      <c r="AF154" s="9">
        <v>-1.63107655336946E-3</v>
      </c>
      <c r="AG154" s="9">
        <v>-1.89399554589702E-3</v>
      </c>
      <c r="AZ154" s="9"/>
      <c r="BB154">
        <f t="shared" si="42"/>
        <v>1</v>
      </c>
      <c r="BC154">
        <f t="shared" si="43"/>
        <v>0</v>
      </c>
      <c r="BD154">
        <f t="shared" si="44"/>
        <v>1</v>
      </c>
      <c r="BE154">
        <f t="shared" si="40"/>
        <v>1</v>
      </c>
      <c r="BF154">
        <f t="shared" si="45"/>
        <v>1</v>
      </c>
      <c r="BG154" s="9">
        <f t="shared" si="46"/>
        <v>4.8016555042419799E-3</v>
      </c>
      <c r="BH154" s="9">
        <f t="shared" si="47"/>
        <v>-4.5848958817249104E-3</v>
      </c>
      <c r="BI154" s="9">
        <f t="shared" si="48"/>
        <v>2.1675962251706954E-4</v>
      </c>
      <c r="BJ154" s="12">
        <f t="shared" si="49"/>
        <v>1.1887605138286655E-2</v>
      </c>
      <c r="BL154" s="9"/>
      <c r="BN154">
        <f t="shared" si="50"/>
        <v>0</v>
      </c>
      <c r="BO154">
        <f t="shared" si="51"/>
        <v>1</v>
      </c>
      <c r="BP154">
        <f t="shared" si="52"/>
        <v>0</v>
      </c>
      <c r="BQ154">
        <f t="shared" si="41"/>
        <v>1</v>
      </c>
      <c r="BR154">
        <f t="shared" si="53"/>
        <v>0</v>
      </c>
      <c r="BS154" s="9">
        <f t="shared" si="54"/>
        <v>0</v>
      </c>
      <c r="BT154" s="9">
        <f t="shared" si="55"/>
        <v>0</v>
      </c>
      <c r="BU154" s="9">
        <f t="shared" si="56"/>
        <v>0</v>
      </c>
      <c r="BV154" s="12">
        <f t="shared" si="57"/>
        <v>3.315815804039419E-3</v>
      </c>
      <c r="BX154" s="12">
        <f t="shared" si="58"/>
        <v>2.1675962251706954E-4</v>
      </c>
      <c r="BY154" s="12">
        <f t="shared" si="59"/>
        <v>1.5203420942326077E-2</v>
      </c>
    </row>
    <row r="155" spans="1:77" x14ac:dyDescent="0.3">
      <c r="A155" s="1">
        <v>46247</v>
      </c>
      <c r="B155" s="8">
        <v>44.04</v>
      </c>
      <c r="C155" s="8">
        <v>111.86</v>
      </c>
      <c r="D155" s="9">
        <v>4.5516692147190996E-3</v>
      </c>
      <c r="E155" s="9">
        <v>3.3131886139618301E-3</v>
      </c>
      <c r="F155" s="8">
        <v>0</v>
      </c>
      <c r="G155" s="8">
        <v>0.59430000000000005</v>
      </c>
      <c r="H155" s="8">
        <v>0</v>
      </c>
      <c r="I155" s="8">
        <v>1.2530999999999901</v>
      </c>
      <c r="J155" s="8">
        <v>0.59430000000000005</v>
      </c>
      <c r="K155" s="8">
        <v>1.2530999999999901</v>
      </c>
      <c r="L155" s="8">
        <v>44.634299999999897</v>
      </c>
      <c r="M155" s="8">
        <v>113.1131</v>
      </c>
      <c r="N155" s="10">
        <v>2.5399636693914598</v>
      </c>
      <c r="O155" s="10">
        <v>2.5326711528669299</v>
      </c>
      <c r="P155" s="10">
        <v>2.5402343356560801</v>
      </c>
      <c r="Q155" s="10">
        <v>2.5380781556585399</v>
      </c>
      <c r="R155" s="8">
        <v>111.538837572259</v>
      </c>
      <c r="S155" s="8">
        <v>111.83890715528</v>
      </c>
      <c r="T155" s="8">
        <v>111.785574906805</v>
      </c>
      <c r="U155" s="9">
        <v>-2.8752401085404798E-3</v>
      </c>
      <c r="V155" s="9">
        <v>-1.8858245710621799E-4</v>
      </c>
      <c r="W155" s="9">
        <v>-6.6556287530304995E-4</v>
      </c>
      <c r="X155" s="10">
        <v>2.5342191991360901</v>
      </c>
      <c r="Y155" s="10">
        <v>2.53031067016226</v>
      </c>
      <c r="Z155" s="10">
        <v>2.5344558207377399</v>
      </c>
      <c r="AA155" s="10">
        <v>2.5324284102657701</v>
      </c>
      <c r="AB155" s="8">
        <v>112.938645545223</v>
      </c>
      <c r="AC155" s="8">
        <v>113.090993626772</v>
      </c>
      <c r="AD155" s="8">
        <v>113.042183911161</v>
      </c>
      <c r="AE155" s="9">
        <v>-1.54349163719492E-3</v>
      </c>
      <c r="AF155" s="9">
        <v>-1.9545511262724499E-4</v>
      </c>
      <c r="AG155" s="9">
        <v>-6.2714511849092601E-4</v>
      </c>
      <c r="AZ155" s="9"/>
      <c r="BB155">
        <f t="shared" si="42"/>
        <v>0</v>
      </c>
      <c r="BC155">
        <f t="shared" si="43"/>
        <v>0</v>
      </c>
      <c r="BD155">
        <f t="shared" si="44"/>
        <v>1</v>
      </c>
      <c r="BE155">
        <f t="shared" si="40"/>
        <v>1</v>
      </c>
      <c r="BF155">
        <f t="shared" si="45"/>
        <v>1</v>
      </c>
      <c r="BG155" s="9">
        <f t="shared" si="46"/>
        <v>4.5516692147190996E-3</v>
      </c>
      <c r="BH155" s="9">
        <f t="shared" si="47"/>
        <v>-3.3131886139618301E-3</v>
      </c>
      <c r="BI155" s="9">
        <f t="shared" si="48"/>
        <v>1.2384806007572696E-3</v>
      </c>
      <c r="BJ155" s="12">
        <f t="shared" si="49"/>
        <v>1.3126085739043926E-2</v>
      </c>
      <c r="BL155" s="9"/>
      <c r="BN155">
        <f t="shared" si="50"/>
        <v>0</v>
      </c>
      <c r="BO155">
        <f t="shared" si="51"/>
        <v>1</v>
      </c>
      <c r="BP155">
        <f t="shared" si="52"/>
        <v>0</v>
      </c>
      <c r="BQ155">
        <f t="shared" si="41"/>
        <v>1</v>
      </c>
      <c r="BR155">
        <f t="shared" si="53"/>
        <v>0</v>
      </c>
      <c r="BS155" s="9">
        <f t="shared" si="54"/>
        <v>0</v>
      </c>
      <c r="BT155" s="9">
        <f t="shared" si="55"/>
        <v>0</v>
      </c>
      <c r="BU155" s="9">
        <f t="shared" si="56"/>
        <v>0</v>
      </c>
      <c r="BV155" s="12">
        <f t="shared" si="57"/>
        <v>3.315815804039419E-3</v>
      </c>
      <c r="BX155" s="12">
        <f t="shared" si="58"/>
        <v>1.2384806007572696E-3</v>
      </c>
      <c r="BY155" s="12">
        <f t="shared" si="59"/>
        <v>1.6441901543083347E-2</v>
      </c>
    </row>
    <row r="156" spans="1:77" x14ac:dyDescent="0.3">
      <c r="A156" s="1">
        <v>46248</v>
      </c>
      <c r="B156" s="8">
        <v>44.31</v>
      </c>
      <c r="C156" s="8">
        <v>112.53</v>
      </c>
      <c r="D156" s="9">
        <v>6.1120733569189102E-3</v>
      </c>
      <c r="E156" s="9">
        <v>5.9717633684637601E-3</v>
      </c>
      <c r="F156" s="8">
        <v>0</v>
      </c>
      <c r="G156" s="8">
        <v>0.59430000000000005</v>
      </c>
      <c r="H156" s="8">
        <v>0</v>
      </c>
      <c r="I156" s="8">
        <v>1.2530999999999901</v>
      </c>
      <c r="J156" s="8">
        <v>0.59430000000000005</v>
      </c>
      <c r="K156" s="8">
        <v>1.2530999999999901</v>
      </c>
      <c r="L156" s="8">
        <v>44.904299999999999</v>
      </c>
      <c r="M156" s="8">
        <v>113.7831</v>
      </c>
      <c r="N156" s="10">
        <v>2.53960731211916</v>
      </c>
      <c r="O156" s="10">
        <v>2.5326711528669299</v>
      </c>
      <c r="P156" s="10">
        <v>2.5407790578488298</v>
      </c>
      <c r="Q156" s="10">
        <v>2.5379387515058101</v>
      </c>
      <c r="R156" s="8">
        <v>112.22265878353301</v>
      </c>
      <c r="S156" s="8">
        <v>112.557783412921</v>
      </c>
      <c r="T156" s="8">
        <v>112.46224307723</v>
      </c>
      <c r="U156" s="9">
        <v>-2.7349301200852798E-3</v>
      </c>
      <c r="V156" s="9">
        <v>2.4686735673374401E-4</v>
      </c>
      <c r="W156" s="9">
        <v>-6.0230454073985395E-4</v>
      </c>
      <c r="X156" s="10">
        <v>2.5339020984627298</v>
      </c>
      <c r="Y156" s="10">
        <v>2.53031067016226</v>
      </c>
      <c r="Z156" s="10">
        <v>2.5349928322919002</v>
      </c>
      <c r="AA156" s="10">
        <v>2.5322854558282302</v>
      </c>
      <c r="AB156" s="8">
        <v>113.621829426167</v>
      </c>
      <c r="AC156" s="8">
        <v>113.807964511153</v>
      </c>
      <c r="AD156" s="8">
        <v>113.71692506309699</v>
      </c>
      <c r="AE156" s="9">
        <v>-1.41835624474734E-3</v>
      </c>
      <c r="AF156" s="9">
        <v>2.1850164729502499E-4</v>
      </c>
      <c r="AG156" s="9">
        <v>-5.8175763937109504E-4</v>
      </c>
      <c r="AZ156" s="9"/>
      <c r="BB156">
        <f t="shared" si="42"/>
        <v>0</v>
      </c>
      <c r="BC156">
        <f t="shared" si="43"/>
        <v>0</v>
      </c>
      <c r="BD156">
        <f t="shared" si="44"/>
        <v>1</v>
      </c>
      <c r="BE156">
        <f t="shared" si="40"/>
        <v>1</v>
      </c>
      <c r="BF156">
        <f t="shared" si="45"/>
        <v>1</v>
      </c>
      <c r="BG156" s="9">
        <f t="shared" si="46"/>
        <v>6.1120733569189102E-3</v>
      </c>
      <c r="BH156" s="9">
        <f t="shared" si="47"/>
        <v>-5.9717633684637601E-3</v>
      </c>
      <c r="BI156" s="9">
        <f t="shared" si="48"/>
        <v>1.4030998845515012E-4</v>
      </c>
      <c r="BJ156" s="12">
        <f t="shared" si="49"/>
        <v>1.3266395727499075E-2</v>
      </c>
      <c r="BL156" s="9"/>
      <c r="BN156">
        <f t="shared" si="50"/>
        <v>0</v>
      </c>
      <c r="BO156">
        <f t="shared" si="51"/>
        <v>1</v>
      </c>
      <c r="BP156">
        <f t="shared" si="52"/>
        <v>0</v>
      </c>
      <c r="BQ156">
        <f t="shared" si="41"/>
        <v>1</v>
      </c>
      <c r="BR156">
        <f t="shared" si="53"/>
        <v>0</v>
      </c>
      <c r="BS156" s="9">
        <f t="shared" si="54"/>
        <v>0</v>
      </c>
      <c r="BT156" s="9">
        <f t="shared" si="55"/>
        <v>0</v>
      </c>
      <c r="BU156" s="9">
        <f t="shared" si="56"/>
        <v>0</v>
      </c>
      <c r="BV156" s="12">
        <f t="shared" si="57"/>
        <v>3.315815804039419E-3</v>
      </c>
      <c r="BX156" s="12">
        <f t="shared" si="58"/>
        <v>1.4030998845515012E-4</v>
      </c>
      <c r="BY156" s="12">
        <f t="shared" si="59"/>
        <v>1.6582211531538497E-2</v>
      </c>
    </row>
    <row r="157" spans="1:77" x14ac:dyDescent="0.3">
      <c r="A157" s="1">
        <v>46251</v>
      </c>
      <c r="B157" s="8">
        <v>44.18</v>
      </c>
      <c r="C157" s="8">
        <v>112.16</v>
      </c>
      <c r="D157" s="9">
        <v>-2.9381872194270998E-3</v>
      </c>
      <c r="E157" s="9">
        <v>-3.2934294756257398E-3</v>
      </c>
      <c r="F157" s="8">
        <v>0</v>
      </c>
      <c r="G157" s="8">
        <v>0.59430000000000005</v>
      </c>
      <c r="H157" s="8">
        <v>0</v>
      </c>
      <c r="I157" s="8">
        <v>1.2530999999999901</v>
      </c>
      <c r="J157" s="8">
        <v>0.59430000000000005</v>
      </c>
      <c r="K157" s="8">
        <v>1.2530999999999901</v>
      </c>
      <c r="L157" s="8">
        <v>44.774299999999997</v>
      </c>
      <c r="M157" s="8">
        <v>113.4131</v>
      </c>
      <c r="N157" s="10">
        <v>2.5387052965142498</v>
      </c>
      <c r="O157" s="10">
        <v>2.5326711528669299</v>
      </c>
      <c r="P157" s="10">
        <v>2.5409976488167501</v>
      </c>
      <c r="Q157" s="10">
        <v>2.5377712125932002</v>
      </c>
      <c r="R157" s="8">
        <v>111.89341153366099</v>
      </c>
      <c r="S157" s="8">
        <v>112.251618775761</v>
      </c>
      <c r="T157" s="8">
        <v>112.126134041526</v>
      </c>
      <c r="U157" s="9">
        <v>-2.3796878638866099E-3</v>
      </c>
      <c r="V157" s="9">
        <v>8.1652439701193104E-4</v>
      </c>
      <c r="W157" s="9">
        <v>-3.0198887573099097E-4</v>
      </c>
      <c r="X157" s="10">
        <v>2.53299549071677</v>
      </c>
      <c r="Y157" s="10">
        <v>2.53031067016226</v>
      </c>
      <c r="Z157" s="10">
        <v>2.5352062472229102</v>
      </c>
      <c r="AA157" s="10">
        <v>2.5321153385462498</v>
      </c>
      <c r="AB157" s="8">
        <v>113.292889039046</v>
      </c>
      <c r="AC157" s="8">
        <v>113.50252957088701</v>
      </c>
      <c r="AD157" s="8">
        <v>113.38130868489</v>
      </c>
      <c r="AE157" s="9">
        <v>-1.0605010721583799E-3</v>
      </c>
      <c r="AF157" s="9">
        <v>7.8821873739346902E-4</v>
      </c>
      <c r="AG157" s="9">
        <v>-2.8035360750273399E-4</v>
      </c>
      <c r="BB157">
        <f t="shared" si="42"/>
        <v>0</v>
      </c>
      <c r="BC157">
        <f t="shared" si="43"/>
        <v>0</v>
      </c>
      <c r="BD157">
        <f t="shared" si="44"/>
        <v>1</v>
      </c>
      <c r="BE157">
        <f t="shared" si="40"/>
        <v>1</v>
      </c>
      <c r="BF157">
        <f t="shared" si="45"/>
        <v>1</v>
      </c>
      <c r="BG157" s="9">
        <f t="shared" si="46"/>
        <v>-2.9381872194270998E-3</v>
      </c>
      <c r="BH157" s="9">
        <f t="shared" si="47"/>
        <v>3.2934294756257398E-3</v>
      </c>
      <c r="BI157" s="9">
        <f t="shared" si="48"/>
        <v>3.5524225619863996E-4</v>
      </c>
      <c r="BJ157" s="12">
        <f t="shared" si="49"/>
        <v>1.3621637983697716E-2</v>
      </c>
      <c r="BL157" s="9"/>
      <c r="BN157">
        <f t="shared" si="50"/>
        <v>0</v>
      </c>
      <c r="BO157">
        <f t="shared" si="51"/>
        <v>1</v>
      </c>
      <c r="BP157">
        <f t="shared" si="52"/>
        <v>0</v>
      </c>
      <c r="BQ157">
        <f t="shared" si="41"/>
        <v>1</v>
      </c>
      <c r="BR157">
        <f t="shared" si="53"/>
        <v>0</v>
      </c>
      <c r="BS157" s="9">
        <f t="shared" si="54"/>
        <v>0</v>
      </c>
      <c r="BT157" s="9">
        <f t="shared" si="55"/>
        <v>0</v>
      </c>
      <c r="BU157" s="9">
        <f t="shared" si="56"/>
        <v>0</v>
      </c>
      <c r="BV157" s="12">
        <f t="shared" si="57"/>
        <v>3.315815804039419E-3</v>
      </c>
      <c r="BX157" s="12">
        <f t="shared" si="58"/>
        <v>3.5524225619863996E-4</v>
      </c>
      <c r="BY157" s="12">
        <f t="shared" si="59"/>
        <v>1.6937453787737138E-2</v>
      </c>
    </row>
    <row r="158" spans="1:77" x14ac:dyDescent="0.3">
      <c r="A158" s="1">
        <v>46252</v>
      </c>
      <c r="B158" s="8">
        <v>44.02</v>
      </c>
      <c r="C158" s="8">
        <v>111.66</v>
      </c>
      <c r="D158" s="9">
        <v>-3.6281218936553799E-3</v>
      </c>
      <c r="E158" s="9">
        <v>-4.4678834040655299E-3</v>
      </c>
      <c r="F158" s="8">
        <v>0</v>
      </c>
      <c r="G158" s="8">
        <v>0.59430000000000005</v>
      </c>
      <c r="H158" s="8">
        <v>0</v>
      </c>
      <c r="I158" s="8">
        <v>1.2530999999999901</v>
      </c>
      <c r="J158" s="8">
        <v>0.59430000000000005</v>
      </c>
      <c r="K158" s="8">
        <v>1.2530999999999901</v>
      </c>
      <c r="L158" s="8">
        <v>44.6143</v>
      </c>
      <c r="M158" s="8">
        <v>112.9131</v>
      </c>
      <c r="N158" s="10">
        <v>2.5365742844161701</v>
      </c>
      <c r="O158" s="10">
        <v>2.5326711528669299</v>
      </c>
      <c r="P158" s="10">
        <v>2.5410391171586202</v>
      </c>
      <c r="Q158" s="10">
        <v>2.5376965430206</v>
      </c>
      <c r="R158" s="8">
        <v>111.488184149202</v>
      </c>
      <c r="S158" s="8">
        <v>111.854716500913</v>
      </c>
      <c r="T158" s="8">
        <v>111.712688778352</v>
      </c>
      <c r="U158" s="9">
        <v>-1.5399263534764901E-3</v>
      </c>
      <c r="V158" s="9">
        <v>1.7423152552976801E-3</v>
      </c>
      <c r="W158" s="9">
        <v>4.7175668268405597E-4</v>
      </c>
      <c r="X158" s="10">
        <v>2.5308723884494402</v>
      </c>
      <c r="Y158" s="10">
        <v>2.53031067016226</v>
      </c>
      <c r="Z158" s="10">
        <v>2.5352460163613602</v>
      </c>
      <c r="AA158" s="10">
        <v>2.5320360065007201</v>
      </c>
      <c r="AB158" s="8">
        <v>112.88803933182</v>
      </c>
      <c r="AC158" s="8">
        <v>113.10645207547699</v>
      </c>
      <c r="AD158" s="8">
        <v>112.968553348504</v>
      </c>
      <c r="AE158" s="9">
        <v>-2.21971141128346E-4</v>
      </c>
      <c r="AF158" s="9">
        <v>1.71093271239683E-3</v>
      </c>
      <c r="AG158" s="9">
        <v>4.9099472043178196E-4</v>
      </c>
      <c r="BB158">
        <f t="shared" si="42"/>
        <v>0</v>
      </c>
      <c r="BC158">
        <f t="shared" si="43"/>
        <v>1</v>
      </c>
      <c r="BD158">
        <f t="shared" si="44"/>
        <v>1</v>
      </c>
      <c r="BE158">
        <f t="shared" si="40"/>
        <v>1</v>
      </c>
      <c r="BF158">
        <f t="shared" si="45"/>
        <v>1</v>
      </c>
      <c r="BG158" s="9">
        <f t="shared" si="46"/>
        <v>-3.6281218936553799E-3</v>
      </c>
      <c r="BH158" s="9">
        <f t="shared" si="47"/>
        <v>4.4678834040655299E-3</v>
      </c>
      <c r="BI158" s="9">
        <f t="shared" si="48"/>
        <v>8.3976151041014998E-4</v>
      </c>
      <c r="BJ158" s="12">
        <f t="shared" si="49"/>
        <v>1.4461399494107866E-2</v>
      </c>
      <c r="BL158" s="9"/>
      <c r="BN158">
        <f t="shared" si="50"/>
        <v>0</v>
      </c>
      <c r="BO158">
        <f t="shared" si="51"/>
        <v>0</v>
      </c>
      <c r="BP158">
        <f t="shared" si="52"/>
        <v>0</v>
      </c>
      <c r="BQ158">
        <f t="shared" si="41"/>
        <v>1</v>
      </c>
      <c r="BR158">
        <f t="shared" si="53"/>
        <v>0</v>
      </c>
      <c r="BS158" s="9">
        <f t="shared" si="54"/>
        <v>0</v>
      </c>
      <c r="BT158" s="9">
        <f t="shared" si="55"/>
        <v>0</v>
      </c>
      <c r="BU158" s="9">
        <f t="shared" si="56"/>
        <v>0</v>
      </c>
      <c r="BV158" s="12">
        <f t="shared" si="57"/>
        <v>3.315815804039419E-3</v>
      </c>
      <c r="BX158" s="12">
        <f t="shared" si="58"/>
        <v>8.3976151041014998E-4</v>
      </c>
      <c r="BY158" s="12">
        <f t="shared" si="59"/>
        <v>1.7777215298147287E-2</v>
      </c>
    </row>
    <row r="159" spans="1:77" x14ac:dyDescent="0.3">
      <c r="A159" s="1">
        <v>46253</v>
      </c>
      <c r="B159" s="8">
        <v>44.02</v>
      </c>
      <c r="C159" s="8">
        <v>111.86</v>
      </c>
      <c r="D159" s="9">
        <v>0</v>
      </c>
      <c r="E159" s="9">
        <v>1.78954951122763E-3</v>
      </c>
      <c r="F159" s="8">
        <v>0</v>
      </c>
      <c r="G159" s="8">
        <v>0.59430000000000005</v>
      </c>
      <c r="H159" s="8">
        <v>0</v>
      </c>
      <c r="I159" s="8">
        <v>1.2530999999999901</v>
      </c>
      <c r="J159" s="8">
        <v>0.59430000000000005</v>
      </c>
      <c r="K159" s="8">
        <v>1.2530999999999901</v>
      </c>
      <c r="L159" s="8">
        <v>44.6143</v>
      </c>
      <c r="M159" s="8">
        <v>113.1131</v>
      </c>
      <c r="N159" s="10">
        <v>2.5411176737846399</v>
      </c>
      <c r="O159" s="10">
        <v>2.5326711528669299</v>
      </c>
      <c r="P159" s="10">
        <v>2.5415091071664899</v>
      </c>
      <c r="Q159" s="10">
        <v>2.5379943165421901</v>
      </c>
      <c r="R159" s="8">
        <v>111.488184149202</v>
      </c>
      <c r="S159" s="8">
        <v>111.85654193732201</v>
      </c>
      <c r="T159" s="8">
        <v>111.709401823767</v>
      </c>
      <c r="U159" s="9">
        <v>-3.3294758647040598E-3</v>
      </c>
      <c r="V159" s="9">
        <v>-3.0914680225137301E-5</v>
      </c>
      <c r="W159" s="9">
        <v>-1.3472165491552699E-3</v>
      </c>
      <c r="X159" s="10">
        <v>2.53535525605019</v>
      </c>
      <c r="Y159" s="10">
        <v>2.53031067016226</v>
      </c>
      <c r="Z159" s="10">
        <v>2.5357143823909198</v>
      </c>
      <c r="AA159" s="10">
        <v>2.5323181478108099</v>
      </c>
      <c r="AB159" s="8">
        <v>112.88803933182</v>
      </c>
      <c r="AC159" s="8">
        <v>113.10822634775</v>
      </c>
      <c r="AD159" s="8">
        <v>112.96501400482499</v>
      </c>
      <c r="AE159" s="9">
        <v>-1.9916779467792499E-3</v>
      </c>
      <c r="AF159" s="9">
        <v>-4.3087469503639697E-5</v>
      </c>
      <c r="AG159" s="9">
        <v>-1.3100429203892099E-3</v>
      </c>
      <c r="BB159">
        <f t="shared" si="42"/>
        <v>1</v>
      </c>
      <c r="BC159">
        <f t="shared" si="43"/>
        <v>0</v>
      </c>
      <c r="BD159">
        <f t="shared" si="44"/>
        <v>0</v>
      </c>
      <c r="BE159">
        <f t="shared" si="40"/>
        <v>1</v>
      </c>
      <c r="BF159">
        <f t="shared" si="45"/>
        <v>0</v>
      </c>
      <c r="BG159" s="9">
        <f t="shared" si="46"/>
        <v>0</v>
      </c>
      <c r="BH159" s="9">
        <f t="shared" si="47"/>
        <v>0</v>
      </c>
      <c r="BI159" s="9">
        <f t="shared" si="48"/>
        <v>0</v>
      </c>
      <c r="BJ159" s="12">
        <f t="shared" si="49"/>
        <v>1.4461399494107866E-2</v>
      </c>
      <c r="BL159" s="9"/>
      <c r="BN159">
        <f t="shared" si="50"/>
        <v>0</v>
      </c>
      <c r="BO159">
        <f t="shared" si="51"/>
        <v>1</v>
      </c>
      <c r="BP159">
        <f t="shared" si="52"/>
        <v>0</v>
      </c>
      <c r="BQ159">
        <f t="shared" si="41"/>
        <v>1</v>
      </c>
      <c r="BR159">
        <f t="shared" si="53"/>
        <v>0</v>
      </c>
      <c r="BS159" s="9">
        <f t="shared" si="54"/>
        <v>0</v>
      </c>
      <c r="BT159" s="9">
        <f t="shared" si="55"/>
        <v>0</v>
      </c>
      <c r="BU159" s="9">
        <f t="shared" si="56"/>
        <v>0</v>
      </c>
      <c r="BV159" s="12">
        <f t="shared" si="57"/>
        <v>3.315815804039419E-3</v>
      </c>
      <c r="BX159" s="12">
        <f t="shared" si="58"/>
        <v>0</v>
      </c>
      <c r="BY159" s="12">
        <f t="shared" si="59"/>
        <v>1.7777215298147287E-2</v>
      </c>
    </row>
    <row r="160" spans="1:77" x14ac:dyDescent="0.3">
      <c r="A160" s="1">
        <v>46254</v>
      </c>
      <c r="B160" s="8">
        <v>43.77</v>
      </c>
      <c r="C160" s="8">
        <v>111.22</v>
      </c>
      <c r="D160" s="9">
        <v>-5.6954248955116598E-3</v>
      </c>
      <c r="E160" s="9">
        <v>-5.7378676340240102E-3</v>
      </c>
      <c r="F160" s="8">
        <v>0</v>
      </c>
      <c r="G160" s="8">
        <v>0.59430000000000005</v>
      </c>
      <c r="H160" s="8">
        <v>0</v>
      </c>
      <c r="I160" s="8">
        <v>1.2530999999999901</v>
      </c>
      <c r="J160" s="8">
        <v>0.59430000000000005</v>
      </c>
      <c r="K160" s="8">
        <v>1.2530999999999901</v>
      </c>
      <c r="L160" s="8">
        <v>44.3643</v>
      </c>
      <c r="M160" s="8">
        <v>112.4731</v>
      </c>
      <c r="N160" s="10">
        <v>2.5410098240804202</v>
      </c>
      <c r="O160" s="10">
        <v>2.5326711528669299</v>
      </c>
      <c r="P160" s="10">
        <v>2.5413685035902098</v>
      </c>
      <c r="Q160" s="10">
        <v>2.5383615429702799</v>
      </c>
      <c r="R160" s="8">
        <v>110.855016360985</v>
      </c>
      <c r="S160" s="8">
        <v>111.24185362067701</v>
      </c>
      <c r="T160" s="8">
        <v>111.088011235051</v>
      </c>
      <c r="U160" s="9">
        <v>-3.2870331261916201E-3</v>
      </c>
      <c r="V160" s="9">
        <v>1.9647072423717299E-4</v>
      </c>
      <c r="W160" s="9">
        <v>-1.1874406120039301E-3</v>
      </c>
      <c r="X160" s="10">
        <v>2.5352163789353099</v>
      </c>
      <c r="Y160" s="10">
        <v>2.53031067016226</v>
      </c>
      <c r="Z160" s="10">
        <v>2.5355808171317</v>
      </c>
      <c r="AA160" s="10">
        <v>2.53266572556341</v>
      </c>
      <c r="AB160" s="8">
        <v>112.255461664279</v>
      </c>
      <c r="AC160" s="8">
        <v>112.495193574705</v>
      </c>
      <c r="AD160" s="8">
        <v>112.34452200492299</v>
      </c>
      <c r="AE160" s="9">
        <v>-1.9369002511239501E-3</v>
      </c>
      <c r="AF160" s="9">
        <v>1.96415009651237E-4</v>
      </c>
      <c r="AG160" s="9">
        <v>-1.1438427997690001E-3</v>
      </c>
      <c r="BB160">
        <f t="shared" si="42"/>
        <v>1</v>
      </c>
      <c r="BC160">
        <f t="shared" si="43"/>
        <v>0</v>
      </c>
      <c r="BD160">
        <f t="shared" si="44"/>
        <v>1</v>
      </c>
      <c r="BE160">
        <f t="shared" si="40"/>
        <v>1</v>
      </c>
      <c r="BF160">
        <f t="shared" si="45"/>
        <v>1</v>
      </c>
      <c r="BG160" s="9">
        <f t="shared" si="46"/>
        <v>-5.6954248955116598E-3</v>
      </c>
      <c r="BH160" s="9">
        <f t="shared" si="47"/>
        <v>5.7378676340240102E-3</v>
      </c>
      <c r="BI160" s="9">
        <f t="shared" si="48"/>
        <v>4.2442738512350406E-5</v>
      </c>
      <c r="BJ160" s="12">
        <f t="shared" si="49"/>
        <v>1.4503842232620216E-2</v>
      </c>
      <c r="BL160" s="9"/>
      <c r="BN160">
        <f t="shared" si="50"/>
        <v>0</v>
      </c>
      <c r="BO160">
        <f t="shared" si="51"/>
        <v>1</v>
      </c>
      <c r="BP160">
        <f t="shared" si="52"/>
        <v>0</v>
      </c>
      <c r="BQ160">
        <f t="shared" si="41"/>
        <v>1</v>
      </c>
      <c r="BR160">
        <f t="shared" si="53"/>
        <v>0</v>
      </c>
      <c r="BS160" s="9">
        <f t="shared" si="54"/>
        <v>0</v>
      </c>
      <c r="BT160" s="9">
        <f t="shared" si="55"/>
        <v>0</v>
      </c>
      <c r="BU160" s="9">
        <f t="shared" si="56"/>
        <v>0</v>
      </c>
      <c r="BV160" s="12">
        <f t="shared" si="57"/>
        <v>3.315815804039419E-3</v>
      </c>
      <c r="BX160" s="12">
        <f t="shared" si="58"/>
        <v>4.2442738512350406E-5</v>
      </c>
      <c r="BY160" s="12">
        <f t="shared" si="59"/>
        <v>1.7819658036659636E-2</v>
      </c>
    </row>
    <row r="161" spans="1:77" x14ac:dyDescent="0.3">
      <c r="A161" s="1">
        <v>46255</v>
      </c>
      <c r="B161" s="8">
        <v>42.77</v>
      </c>
      <c r="C161" s="8">
        <v>108.97</v>
      </c>
      <c r="D161" s="9">
        <v>-2.3111728963986701E-2</v>
      </c>
      <c r="E161" s="9">
        <v>-2.0437606770623101E-2</v>
      </c>
      <c r="F161" s="8">
        <v>0</v>
      </c>
      <c r="G161" s="8">
        <v>0.59430000000000005</v>
      </c>
      <c r="H161" s="8">
        <v>0</v>
      </c>
      <c r="I161" s="8">
        <v>1.2530999999999901</v>
      </c>
      <c r="J161" s="8">
        <v>0.59430000000000005</v>
      </c>
      <c r="K161" s="8">
        <v>1.2530999999999901</v>
      </c>
      <c r="L161" s="8">
        <v>43.3643</v>
      </c>
      <c r="M161" s="8">
        <v>110.2231</v>
      </c>
      <c r="N161" s="10">
        <v>2.5478138882394199</v>
      </c>
      <c r="O161" s="10">
        <v>2.5326711528669299</v>
      </c>
      <c r="P161" s="10">
        <v>2.5417357672135101</v>
      </c>
      <c r="Q161" s="10">
        <v>2.5392022265807799</v>
      </c>
      <c r="R161" s="8">
        <v>108.32234520811799</v>
      </c>
      <c r="S161" s="8">
        <v>108.69433089855301</v>
      </c>
      <c r="T161" s="8">
        <v>108.565723192839</v>
      </c>
      <c r="U161" s="9">
        <v>-5.9611553195551802E-3</v>
      </c>
      <c r="V161" s="9">
        <v>-2.5329758688407301E-3</v>
      </c>
      <c r="W161" s="9">
        <v>-3.7168816841461698E-3</v>
      </c>
      <c r="X161" s="10">
        <v>2.5417935951923498</v>
      </c>
      <c r="Y161" s="10">
        <v>2.53031067016226</v>
      </c>
      <c r="Z161" s="10">
        <v>2.5359317029504198</v>
      </c>
      <c r="AA161" s="10">
        <v>2.5334731530552101</v>
      </c>
      <c r="AB161" s="8">
        <v>109.725150994117</v>
      </c>
      <c r="AC161" s="8">
        <v>109.95368722834399</v>
      </c>
      <c r="AD161" s="8">
        <v>109.82727632304901</v>
      </c>
      <c r="AE161" s="9">
        <v>-4.5278819391911503E-3</v>
      </c>
      <c r="AF161" s="9">
        <v>-2.44724168706555E-3</v>
      </c>
      <c r="AG161" s="9">
        <v>-3.5975771591813298E-3</v>
      </c>
      <c r="BB161">
        <f t="shared" si="42"/>
        <v>1</v>
      </c>
      <c r="BC161">
        <f t="shared" si="43"/>
        <v>0</v>
      </c>
      <c r="BD161">
        <f t="shared" si="44"/>
        <v>1</v>
      </c>
      <c r="BE161">
        <f t="shared" si="40"/>
        <v>1</v>
      </c>
      <c r="BF161">
        <f t="shared" si="45"/>
        <v>1</v>
      </c>
      <c r="BG161" s="9">
        <f t="shared" si="46"/>
        <v>-2.3111728963986701E-2</v>
      </c>
      <c r="BH161" s="9">
        <f t="shared" si="47"/>
        <v>2.0437606770623101E-2</v>
      </c>
      <c r="BI161" s="9">
        <f t="shared" si="48"/>
        <v>-2.6741221933636004E-3</v>
      </c>
      <c r="BJ161" s="12">
        <f t="shared" si="49"/>
        <v>1.1829720039256615E-2</v>
      </c>
      <c r="BL161" s="9"/>
      <c r="BN161">
        <f t="shared" si="50"/>
        <v>0</v>
      </c>
      <c r="BO161">
        <f t="shared" si="51"/>
        <v>1</v>
      </c>
      <c r="BP161">
        <f t="shared" si="52"/>
        <v>0</v>
      </c>
      <c r="BQ161">
        <f t="shared" si="41"/>
        <v>1</v>
      </c>
      <c r="BR161">
        <f t="shared" si="53"/>
        <v>0</v>
      </c>
      <c r="BS161" s="9">
        <f t="shared" si="54"/>
        <v>0</v>
      </c>
      <c r="BT161" s="9">
        <f t="shared" si="55"/>
        <v>0</v>
      </c>
      <c r="BU161" s="9">
        <f t="shared" si="56"/>
        <v>0</v>
      </c>
      <c r="BV161" s="12">
        <f t="shared" si="57"/>
        <v>3.315815804039419E-3</v>
      </c>
      <c r="BX161" s="12">
        <f t="shared" si="58"/>
        <v>-2.6741221933636004E-3</v>
      </c>
      <c r="BY161" s="12">
        <f t="shared" si="59"/>
        <v>1.5145535843296035E-2</v>
      </c>
    </row>
    <row r="162" spans="1:77" x14ac:dyDescent="0.3">
      <c r="A162" s="1">
        <v>46258</v>
      </c>
      <c r="B162" s="8">
        <v>43.22</v>
      </c>
      <c r="C162" s="8">
        <v>110.03</v>
      </c>
      <c r="D162" s="9">
        <v>1.0466428839922401E-2</v>
      </c>
      <c r="E162" s="9">
        <v>9.6804408930264794E-3</v>
      </c>
      <c r="F162" s="8">
        <v>0</v>
      </c>
      <c r="G162" s="8">
        <v>0.59430000000000005</v>
      </c>
      <c r="H162" s="8">
        <v>0</v>
      </c>
      <c r="I162" s="8">
        <v>1.2530999999999901</v>
      </c>
      <c r="J162" s="8">
        <v>0.59430000000000005</v>
      </c>
      <c r="K162" s="8">
        <v>1.2530999999999901</v>
      </c>
      <c r="L162" s="8">
        <v>43.814299999999903</v>
      </c>
      <c r="M162" s="8">
        <v>111.2831</v>
      </c>
      <c r="N162" s="10">
        <v>2.54581212401665</v>
      </c>
      <c r="O162" s="10">
        <v>2.5326711528669299</v>
      </c>
      <c r="P162" s="10">
        <v>2.5417378003895799</v>
      </c>
      <c r="Q162" s="10">
        <v>2.5398619220985998</v>
      </c>
      <c r="R162" s="8">
        <v>109.462047226908</v>
      </c>
      <c r="S162" s="8">
        <v>109.853819858968</v>
      </c>
      <c r="T162" s="8">
        <v>109.744320232821</v>
      </c>
      <c r="U162" s="9">
        <v>-5.1751673726592199E-3</v>
      </c>
      <c r="V162" s="9">
        <v>-1.60248424687826E-3</v>
      </c>
      <c r="W162" s="9">
        <v>-2.5997571306653399E-3</v>
      </c>
      <c r="X162" s="10">
        <v>2.53988081516765</v>
      </c>
      <c r="Y162" s="10">
        <v>2.53031067016226</v>
      </c>
      <c r="Z162" s="10">
        <v>2.5359349293637301</v>
      </c>
      <c r="AA162" s="10">
        <v>2.5341086103234098</v>
      </c>
      <c r="AB162" s="8">
        <v>110.86379079568999</v>
      </c>
      <c r="AC162" s="8">
        <v>111.11007241258</v>
      </c>
      <c r="AD162" s="8">
        <v>111.00235276990701</v>
      </c>
      <c r="AE162" s="9">
        <v>-3.7750670358420099E-3</v>
      </c>
      <c r="AF162" s="9">
        <v>-1.5560515680843601E-3</v>
      </c>
      <c r="AG162" s="9">
        <v>-2.5260076705423398E-3</v>
      </c>
      <c r="BB162">
        <f t="shared" si="42"/>
        <v>1</v>
      </c>
      <c r="BC162">
        <f t="shared" si="43"/>
        <v>0</v>
      </c>
      <c r="BD162">
        <f t="shared" si="44"/>
        <v>1</v>
      </c>
      <c r="BE162">
        <f t="shared" si="40"/>
        <v>1</v>
      </c>
      <c r="BF162">
        <f t="shared" si="45"/>
        <v>1</v>
      </c>
      <c r="BG162" s="9">
        <f t="shared" si="46"/>
        <v>1.0466428839922401E-2</v>
      </c>
      <c r="BH162" s="9">
        <f t="shared" si="47"/>
        <v>-9.6804408930264794E-3</v>
      </c>
      <c r="BI162" s="9">
        <f t="shared" si="48"/>
        <v>7.8598794689592119E-4</v>
      </c>
      <c r="BJ162" s="12">
        <f t="shared" si="49"/>
        <v>1.2615707986152537E-2</v>
      </c>
      <c r="BL162" s="9"/>
      <c r="BN162">
        <f t="shared" si="50"/>
        <v>0</v>
      </c>
      <c r="BO162">
        <f t="shared" si="51"/>
        <v>1</v>
      </c>
      <c r="BP162">
        <f t="shared" si="52"/>
        <v>0</v>
      </c>
      <c r="BQ162">
        <f t="shared" si="41"/>
        <v>1</v>
      </c>
      <c r="BR162">
        <f t="shared" si="53"/>
        <v>0</v>
      </c>
      <c r="BS162" s="9">
        <f t="shared" si="54"/>
        <v>0</v>
      </c>
      <c r="BT162" s="9">
        <f t="shared" si="55"/>
        <v>0</v>
      </c>
      <c r="BU162" s="9">
        <f t="shared" si="56"/>
        <v>0</v>
      </c>
      <c r="BV162" s="12">
        <f t="shared" si="57"/>
        <v>3.315815804039419E-3</v>
      </c>
      <c r="BX162" s="12">
        <f t="shared" si="58"/>
        <v>7.8598794689592119E-4</v>
      </c>
      <c r="BY162" s="12">
        <f t="shared" si="59"/>
        <v>1.5931523790191957E-2</v>
      </c>
    </row>
    <row r="163" spans="1:77" x14ac:dyDescent="0.3">
      <c r="A163" s="1">
        <v>46259</v>
      </c>
      <c r="B163" s="8">
        <v>43.31</v>
      </c>
      <c r="C163" s="8">
        <v>110.05</v>
      </c>
      <c r="D163" s="9">
        <v>2.0802041477954798E-3</v>
      </c>
      <c r="E163" s="9">
        <v>1.8175209064929301E-4</v>
      </c>
      <c r="F163" s="8">
        <v>0</v>
      </c>
      <c r="G163" s="8">
        <v>0.59430000000000005</v>
      </c>
      <c r="H163" s="8">
        <v>0</v>
      </c>
      <c r="I163" s="8">
        <v>1.2530999999999901</v>
      </c>
      <c r="J163" s="8">
        <v>0.59430000000000005</v>
      </c>
      <c r="K163" s="8">
        <v>1.2530999999999901</v>
      </c>
      <c r="L163" s="8">
        <v>43.904299999999999</v>
      </c>
      <c r="M163" s="8">
        <v>111.3031</v>
      </c>
      <c r="N163" s="10">
        <v>2.5409836065573699</v>
      </c>
      <c r="O163" s="10">
        <v>2.5326711528669299</v>
      </c>
      <c r="P163" s="10">
        <v>2.5414698992988098</v>
      </c>
      <c r="Q163" s="10">
        <v>2.5401865857305101</v>
      </c>
      <c r="R163" s="8">
        <v>109.689987630666</v>
      </c>
      <c r="S163" s="8">
        <v>110.082664134872</v>
      </c>
      <c r="T163" s="8">
        <v>110.00141984609</v>
      </c>
      <c r="U163" s="9">
        <v>-3.2767153155130201E-3</v>
      </c>
      <c r="V163" s="9">
        <v>2.9676772632618699E-4</v>
      </c>
      <c r="W163" s="9">
        <v>-4.41534571623822E-4</v>
      </c>
      <c r="X163" s="10">
        <v>2.5351298164416698</v>
      </c>
      <c r="Y163" s="10">
        <v>2.53031067016226</v>
      </c>
      <c r="Z163" s="10">
        <v>2.5356663927023502</v>
      </c>
      <c r="AA163" s="10">
        <v>2.5344150628710298</v>
      </c>
      <c r="AB163" s="8">
        <v>111.09151875600401</v>
      </c>
      <c r="AC163" s="8">
        <v>111.338447919264</v>
      </c>
      <c r="AD163" s="8">
        <v>111.258264660222</v>
      </c>
      <c r="AE163" s="9">
        <v>-1.9027556423267299E-3</v>
      </c>
      <c r="AF163" s="9">
        <v>3.1753210388101602E-4</v>
      </c>
      <c r="AG163" s="9">
        <v>-4.0290317641344399E-4</v>
      </c>
      <c r="BB163">
        <f t="shared" si="42"/>
        <v>0</v>
      </c>
      <c r="BC163">
        <f t="shared" si="43"/>
        <v>0</v>
      </c>
      <c r="BD163">
        <f t="shared" si="44"/>
        <v>1</v>
      </c>
      <c r="BE163">
        <f t="shared" si="40"/>
        <v>1</v>
      </c>
      <c r="BF163">
        <f t="shared" si="45"/>
        <v>1</v>
      </c>
      <c r="BG163" s="9">
        <f t="shared" si="46"/>
        <v>2.0802041477954798E-3</v>
      </c>
      <c r="BH163" s="9">
        <f t="shared" si="47"/>
        <v>-1.8175209064929301E-4</v>
      </c>
      <c r="BI163" s="9">
        <f t="shared" si="48"/>
        <v>1.8984520571461868E-3</v>
      </c>
      <c r="BJ163" s="12">
        <f t="shared" si="49"/>
        <v>1.4514160043298724E-2</v>
      </c>
      <c r="BL163" s="9"/>
      <c r="BN163">
        <f t="shared" si="50"/>
        <v>0</v>
      </c>
      <c r="BO163">
        <f t="shared" si="51"/>
        <v>1</v>
      </c>
      <c r="BP163">
        <f t="shared" si="52"/>
        <v>0</v>
      </c>
      <c r="BQ163">
        <f t="shared" si="41"/>
        <v>1</v>
      </c>
      <c r="BR163">
        <f t="shared" si="53"/>
        <v>0</v>
      </c>
      <c r="BS163" s="9">
        <f t="shared" si="54"/>
        <v>0</v>
      </c>
      <c r="BT163" s="9">
        <f t="shared" si="55"/>
        <v>0</v>
      </c>
      <c r="BU163" s="9">
        <f t="shared" si="56"/>
        <v>0</v>
      </c>
      <c r="BV163" s="12">
        <f t="shared" si="57"/>
        <v>3.315815804039419E-3</v>
      </c>
      <c r="BX163" s="12">
        <f t="shared" si="58"/>
        <v>1.8984520571461868E-3</v>
      </c>
      <c r="BY163" s="12">
        <f t="shared" si="59"/>
        <v>1.7829975847338142E-2</v>
      </c>
    </row>
    <row r="164" spans="1:77" x14ac:dyDescent="0.3">
      <c r="A164" s="1">
        <v>46260</v>
      </c>
      <c r="B164" s="8">
        <v>43.51</v>
      </c>
      <c r="C164" s="8">
        <v>110.49</v>
      </c>
      <c r="D164" s="9">
        <v>4.6072415060532902E-3</v>
      </c>
      <c r="E164" s="9">
        <v>3.9902111526128898E-3</v>
      </c>
      <c r="F164" s="8">
        <v>0</v>
      </c>
      <c r="G164" s="8">
        <v>0.59430000000000005</v>
      </c>
      <c r="H164" s="8">
        <v>0</v>
      </c>
      <c r="I164" s="8">
        <v>1.2530999999999901</v>
      </c>
      <c r="J164" s="8">
        <v>0.59430000000000005</v>
      </c>
      <c r="K164" s="8">
        <v>1.2530999999999901</v>
      </c>
      <c r="L164" s="8">
        <v>44.104299999999903</v>
      </c>
      <c r="M164" s="8">
        <v>111.7431</v>
      </c>
      <c r="N164" s="10">
        <v>2.5394162261548998</v>
      </c>
      <c r="O164" s="10">
        <v>2.5326711528669299</v>
      </c>
      <c r="P164" s="10">
        <v>2.5411003905274399</v>
      </c>
      <c r="Q164" s="10">
        <v>2.5402925562455598</v>
      </c>
      <c r="R164" s="8">
        <v>110.19652186124</v>
      </c>
      <c r="S164" s="8">
        <v>110.579355318491</v>
      </c>
      <c r="T164" s="8">
        <v>110.52351834513399</v>
      </c>
      <c r="U164" s="9">
        <v>-2.6596849620726202E-3</v>
      </c>
      <c r="V164" s="9">
        <v>8.08391766728559E-4</v>
      </c>
      <c r="W164" s="9">
        <v>3.0331488899726198E-4</v>
      </c>
      <c r="X164" s="10">
        <v>2.5336101015093702</v>
      </c>
      <c r="Y164" s="10">
        <v>2.53031067016226</v>
      </c>
      <c r="Z164" s="10">
        <v>2.53529751400615</v>
      </c>
      <c r="AA164" s="10">
        <v>2.53451071772355</v>
      </c>
      <c r="AB164" s="8">
        <v>111.59758089003699</v>
      </c>
      <c r="AC164" s="8">
        <v>111.83379128366199</v>
      </c>
      <c r="AD164" s="8">
        <v>111.778602257383</v>
      </c>
      <c r="AE164" s="9">
        <v>-1.30311352123545E-3</v>
      </c>
      <c r="AF164" s="9">
        <v>8.1127605018394596E-4</v>
      </c>
      <c r="AG164" s="9">
        <v>3.1766273541236699E-4</v>
      </c>
      <c r="BB164">
        <f t="shared" si="42"/>
        <v>0</v>
      </c>
      <c r="BC164">
        <f t="shared" si="43"/>
        <v>1</v>
      </c>
      <c r="BD164">
        <f t="shared" si="44"/>
        <v>1</v>
      </c>
      <c r="BE164">
        <f t="shared" si="40"/>
        <v>1</v>
      </c>
      <c r="BF164">
        <f t="shared" si="45"/>
        <v>1</v>
      </c>
      <c r="BG164" s="9">
        <f t="shared" si="46"/>
        <v>4.6072415060532902E-3</v>
      </c>
      <c r="BH164" s="9">
        <f t="shared" si="47"/>
        <v>-3.9902111526128898E-3</v>
      </c>
      <c r="BI164" s="9">
        <f t="shared" si="48"/>
        <v>6.1703035344040039E-4</v>
      </c>
      <c r="BJ164" s="12">
        <f t="shared" si="49"/>
        <v>1.5131190396739123E-2</v>
      </c>
      <c r="BL164" s="9"/>
      <c r="BN164">
        <f t="shared" si="50"/>
        <v>0</v>
      </c>
      <c r="BO164">
        <f t="shared" si="51"/>
        <v>0</v>
      </c>
      <c r="BP164">
        <f t="shared" si="52"/>
        <v>0</v>
      </c>
      <c r="BQ164">
        <f t="shared" si="41"/>
        <v>1</v>
      </c>
      <c r="BR164">
        <f t="shared" si="53"/>
        <v>0</v>
      </c>
      <c r="BS164" s="9">
        <f t="shared" si="54"/>
        <v>0</v>
      </c>
      <c r="BT164" s="9">
        <f t="shared" si="55"/>
        <v>0</v>
      </c>
      <c r="BU164" s="9">
        <f t="shared" si="56"/>
        <v>0</v>
      </c>
      <c r="BV164" s="12">
        <f t="shared" si="57"/>
        <v>3.315815804039419E-3</v>
      </c>
      <c r="BX164" s="12">
        <f t="shared" si="58"/>
        <v>6.1703035344040039E-4</v>
      </c>
      <c r="BY164" s="12">
        <f t="shared" si="59"/>
        <v>1.8447006200778542E-2</v>
      </c>
    </row>
    <row r="165" spans="1:77" x14ac:dyDescent="0.3">
      <c r="A165" s="1">
        <v>46261</v>
      </c>
      <c r="B165" s="8">
        <v>43.18</v>
      </c>
      <c r="C165" s="8">
        <v>109.64</v>
      </c>
      <c r="D165" s="9">
        <v>-7.6133716459273696E-3</v>
      </c>
      <c r="E165" s="9">
        <v>-7.7227476904985302E-3</v>
      </c>
      <c r="F165" s="8">
        <v>0</v>
      </c>
      <c r="G165" s="8">
        <v>0.59430000000000005</v>
      </c>
      <c r="H165" s="8">
        <v>0</v>
      </c>
      <c r="I165" s="8">
        <v>1.2530999999999901</v>
      </c>
      <c r="J165" s="8">
        <v>0.59430000000000005</v>
      </c>
      <c r="K165" s="8">
        <v>1.2530999999999901</v>
      </c>
      <c r="L165" s="8">
        <v>43.774299999999997</v>
      </c>
      <c r="M165" s="8">
        <v>110.8931</v>
      </c>
      <c r="N165" s="10">
        <v>2.53913849004168</v>
      </c>
      <c r="O165" s="10">
        <v>2.5326711528669299</v>
      </c>
      <c r="P165" s="10">
        <v>2.5410178725924699</v>
      </c>
      <c r="Q165" s="10">
        <v>2.5406261041242701</v>
      </c>
      <c r="R165" s="8">
        <v>109.360740380794</v>
      </c>
      <c r="S165" s="8">
        <v>109.72471486297501</v>
      </c>
      <c r="T165" s="8">
        <v>109.689832578683</v>
      </c>
      <c r="U165" s="9">
        <v>-2.5503089175015199E-3</v>
      </c>
      <c r="V165" s="9">
        <v>7.7236548493685197E-4</v>
      </c>
      <c r="W165" s="9">
        <v>4.5440767409752703E-4</v>
      </c>
      <c r="X165" s="10">
        <v>2.5332923656117798</v>
      </c>
      <c r="Y165" s="10">
        <v>2.53031067016226</v>
      </c>
      <c r="Z165" s="10">
        <v>2.53520483065373</v>
      </c>
      <c r="AA165" s="10">
        <v>2.5348303256957299</v>
      </c>
      <c r="AB165" s="8">
        <v>110.762578368883</v>
      </c>
      <c r="AC165" s="8">
        <v>110.980873967359</v>
      </c>
      <c r="AD165" s="8">
        <v>110.94643251084599</v>
      </c>
      <c r="AE165" s="9">
        <v>-1.17769729304914E-3</v>
      </c>
      <c r="AF165" s="9">
        <v>7.9120565940432705E-4</v>
      </c>
      <c r="AG165" s="9">
        <v>4.8082062985105198E-4</v>
      </c>
      <c r="BB165">
        <f t="shared" si="42"/>
        <v>0</v>
      </c>
      <c r="BC165">
        <f t="shared" si="43"/>
        <v>1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1.5131190396739123E-2</v>
      </c>
      <c r="BL165" s="9"/>
      <c r="BN165">
        <f t="shared" si="50"/>
        <v>0</v>
      </c>
      <c r="BO165">
        <f t="shared" si="51"/>
        <v>0</v>
      </c>
      <c r="BP165">
        <f t="shared" si="52"/>
        <v>0</v>
      </c>
      <c r="BQ165">
        <f t="shared" si="41"/>
        <v>1</v>
      </c>
      <c r="BR165">
        <f t="shared" si="53"/>
        <v>0</v>
      </c>
      <c r="BS165" s="9">
        <f t="shared" si="54"/>
        <v>0</v>
      </c>
      <c r="BT165" s="9">
        <f t="shared" si="55"/>
        <v>0</v>
      </c>
      <c r="BU165" s="9">
        <f t="shared" si="56"/>
        <v>0</v>
      </c>
      <c r="BV165" s="12">
        <f t="shared" si="57"/>
        <v>3.315815804039419E-3</v>
      </c>
      <c r="BX165" s="12">
        <f t="shared" si="58"/>
        <v>0</v>
      </c>
      <c r="BY165" s="12">
        <f t="shared" si="59"/>
        <v>1.8447006200778542E-2</v>
      </c>
    </row>
    <row r="166" spans="1:77" x14ac:dyDescent="0.3">
      <c r="A166" s="1">
        <v>46262</v>
      </c>
      <c r="B166" s="8">
        <v>42.73</v>
      </c>
      <c r="C166" s="8">
        <v>108.67</v>
      </c>
      <c r="D166" s="9">
        <v>-1.0476175430727701E-2</v>
      </c>
      <c r="E166" s="9">
        <v>-8.8865043598247498E-3</v>
      </c>
      <c r="F166" s="8">
        <v>0</v>
      </c>
      <c r="G166" s="8">
        <v>0.59430000000000005</v>
      </c>
      <c r="H166" s="8">
        <v>0</v>
      </c>
      <c r="I166" s="8">
        <v>1.2530999999999901</v>
      </c>
      <c r="J166" s="8">
        <v>0.59430000000000005</v>
      </c>
      <c r="K166" s="8">
        <v>1.2530999999999901</v>
      </c>
      <c r="L166" s="8">
        <v>43.324299999999901</v>
      </c>
      <c r="M166" s="8">
        <v>109.92310000000001</v>
      </c>
      <c r="N166" s="10">
        <v>2.5431780950152101</v>
      </c>
      <c r="O166" s="10">
        <v>2.5326711528669299</v>
      </c>
      <c r="P166" s="10">
        <v>2.5413749508820702</v>
      </c>
      <c r="Q166" s="10">
        <v>2.5410770043654498</v>
      </c>
      <c r="R166" s="8">
        <v>108.22103836200399</v>
      </c>
      <c r="S166" s="8">
        <v>108.57769369587599</v>
      </c>
      <c r="T166" s="8">
        <v>108.56095342923</v>
      </c>
      <c r="U166" s="9">
        <v>-4.13997998840448E-3</v>
      </c>
      <c r="V166" s="9">
        <v>-8.4977942097445999E-4</v>
      </c>
      <c r="W166" s="9">
        <v>-1.0039690772219599E-3</v>
      </c>
      <c r="X166" s="10">
        <v>2.5372158349932898</v>
      </c>
      <c r="Y166" s="10">
        <v>2.53031067016226</v>
      </c>
      <c r="Z166" s="10">
        <v>2.53553620430678</v>
      </c>
      <c r="AA166" s="10">
        <v>2.5352645182993401</v>
      </c>
      <c r="AB166" s="8">
        <v>109.62393856731001</v>
      </c>
      <c r="AC166" s="8">
        <v>109.83597464469101</v>
      </c>
      <c r="AD166" s="8">
        <v>109.819749479539</v>
      </c>
      <c r="AE166" s="9">
        <v>-2.7252621561079499E-3</v>
      </c>
      <c r="AF166" s="9">
        <v>-7.9291706168913402E-4</v>
      </c>
      <c r="AG166" s="9">
        <v>-9.40649748791672E-4</v>
      </c>
      <c r="BB166">
        <f t="shared" si="42"/>
        <v>0</v>
      </c>
      <c r="BC166">
        <f t="shared" si="43"/>
        <v>0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1.5131190396739123E-2</v>
      </c>
      <c r="BL166" s="9"/>
      <c r="BN166">
        <f t="shared" si="50"/>
        <v>0</v>
      </c>
      <c r="BO166">
        <f t="shared" si="51"/>
        <v>1</v>
      </c>
      <c r="BP166">
        <f t="shared" si="52"/>
        <v>0</v>
      </c>
      <c r="BQ166">
        <f t="shared" si="41"/>
        <v>1</v>
      </c>
      <c r="BR166">
        <f t="shared" si="53"/>
        <v>0</v>
      </c>
      <c r="BS166" s="9">
        <f t="shared" si="54"/>
        <v>0</v>
      </c>
      <c r="BT166" s="9">
        <f t="shared" si="55"/>
        <v>0</v>
      </c>
      <c r="BU166" s="9">
        <f t="shared" si="56"/>
        <v>0</v>
      </c>
      <c r="BV166" s="12">
        <f t="shared" si="57"/>
        <v>3.315815804039419E-3</v>
      </c>
      <c r="BX166" s="12">
        <f t="shared" si="58"/>
        <v>0</v>
      </c>
      <c r="BY166" s="12">
        <f t="shared" si="59"/>
        <v>1.8447006200778542E-2</v>
      </c>
    </row>
    <row r="167" spans="1:77" x14ac:dyDescent="0.3">
      <c r="A167" s="1">
        <v>46265</v>
      </c>
      <c r="B167" s="8">
        <v>42.23</v>
      </c>
      <c r="C167" s="8">
        <v>107.59</v>
      </c>
      <c r="D167" s="9">
        <v>-1.17703807100813E-2</v>
      </c>
      <c r="E167" s="9">
        <v>-9.9880604689424404E-3</v>
      </c>
      <c r="F167" s="8">
        <v>0</v>
      </c>
      <c r="G167" s="8">
        <v>0.59430000000000005</v>
      </c>
      <c r="H167" s="8">
        <v>0</v>
      </c>
      <c r="I167" s="8">
        <v>1.2530999999999901</v>
      </c>
      <c r="J167" s="8">
        <v>0.59430000000000005</v>
      </c>
      <c r="K167" s="8">
        <v>1.2530999999999901</v>
      </c>
      <c r="L167" s="8">
        <v>42.824299999999901</v>
      </c>
      <c r="M167" s="8">
        <v>108.84310000000001</v>
      </c>
      <c r="N167" s="10">
        <v>2.5477148946246699</v>
      </c>
      <c r="O167" s="10">
        <v>2.5326711528669299</v>
      </c>
      <c r="P167" s="10">
        <v>2.5422759106931099</v>
      </c>
      <c r="Q167" s="10">
        <v>2.54163677975493</v>
      </c>
      <c r="R167" s="8">
        <v>106.95470278557001</v>
      </c>
      <c r="S167" s="8">
        <v>107.32226417575001</v>
      </c>
      <c r="T167" s="8">
        <v>107.30968189435301</v>
      </c>
      <c r="U167" s="9">
        <v>-5.9223002295434998E-3</v>
      </c>
      <c r="V167" s="9">
        <v>-2.4915838450192298E-3</v>
      </c>
      <c r="W167" s="9">
        <v>-2.6088290328090602E-3</v>
      </c>
      <c r="X167" s="10">
        <v>2.54162006150713</v>
      </c>
      <c r="Y167" s="10">
        <v>2.53031067016226</v>
      </c>
      <c r="Z167" s="10">
        <v>2.53639866138582</v>
      </c>
      <c r="AA167" s="10">
        <v>2.5358024543043598</v>
      </c>
      <c r="AB167" s="8">
        <v>108.358783232229</v>
      </c>
      <c r="AC167" s="8">
        <v>108.58256307409501</v>
      </c>
      <c r="AD167" s="8">
        <v>108.570928311006</v>
      </c>
      <c r="AE167" s="9">
        <v>-4.4596074697066399E-3</v>
      </c>
      <c r="AF167" s="9">
        <v>-2.3965620885867201E-3</v>
      </c>
      <c r="AG167" s="9">
        <v>-2.5037191324396302E-3</v>
      </c>
      <c r="BB167">
        <f t="shared" si="42"/>
        <v>1</v>
      </c>
      <c r="BC167">
        <f t="shared" si="43"/>
        <v>0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1.5131190396739123E-2</v>
      </c>
      <c r="BL167" s="9"/>
      <c r="BN167">
        <f t="shared" si="50"/>
        <v>0</v>
      </c>
      <c r="BO167">
        <f t="shared" si="51"/>
        <v>1</v>
      </c>
      <c r="BP167">
        <f t="shared" si="52"/>
        <v>0</v>
      </c>
      <c r="BQ167">
        <f t="shared" si="41"/>
        <v>1</v>
      </c>
      <c r="BR167">
        <f t="shared" si="53"/>
        <v>0</v>
      </c>
      <c r="BS167" s="9">
        <f t="shared" si="54"/>
        <v>0</v>
      </c>
      <c r="BT167" s="9">
        <f t="shared" si="55"/>
        <v>0</v>
      </c>
      <c r="BU167" s="9">
        <f t="shared" si="56"/>
        <v>0</v>
      </c>
      <c r="BV167" s="12">
        <f t="shared" si="57"/>
        <v>3.315815804039419E-3</v>
      </c>
      <c r="BX167" s="12">
        <f t="shared" si="58"/>
        <v>0</v>
      </c>
      <c r="BY167" s="12">
        <f t="shared" si="59"/>
        <v>1.8447006200778542E-2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2026-09-03T20:52:34Z</dcterms:created>
  <dcterms:modified xsi:type="dcterms:W3CDTF">2026-09-03T20:52:34Z</dcterms:modified>
</cp:coreProperties>
</file>